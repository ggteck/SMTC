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fileSharing readOnlyRecommended="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CHI-FS03\Teams\SMTC Planning Team\PLANT 2\5.- Plan Back End\Q1-2025\"/>
    </mc:Choice>
  </mc:AlternateContent>
  <xr:revisionPtr revIDLastSave="0" documentId="8_{309C82D1-026C-487A-8874-A1468622EE0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LAN - RESULTS" sheetId="1" r:id="rId1"/>
    <sheet name="Plan x Modelo BE" sheetId="9" r:id="rId2"/>
    <sheet name="WO 2025" sheetId="38" r:id="rId3"/>
    <sheet name="CC" sheetId="29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K9" i="1" l="1"/>
  <c r="EM9" i="1"/>
  <c r="EN9" i="1"/>
  <c r="D21" i="38" l="1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I17" i="38"/>
  <c r="I16" i="38"/>
  <c r="I15" i="38"/>
  <c r="I14" i="38"/>
  <c r="I13" i="38"/>
  <c r="I12" i="38"/>
  <c r="I11" i="38" l="1"/>
  <c r="I10" i="38"/>
  <c r="I9" i="38"/>
  <c r="I8" i="38"/>
  <c r="D3" i="38" l="1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" i="38"/>
  <c r="I7" i="38" l="1"/>
  <c r="I6" i="38"/>
  <c r="I5" i="38"/>
  <c r="I4" i="38"/>
  <c r="I3" i="38"/>
  <c r="I2" i="38"/>
  <c r="LG9" i="1" l="1"/>
  <c r="LF9" i="1"/>
  <c r="LD9" i="1"/>
  <c r="LC9" i="1"/>
  <c r="LA9" i="1"/>
  <c r="KZ9" i="1"/>
  <c r="KX9" i="1"/>
  <c r="KW9" i="1"/>
  <c r="KU9" i="1"/>
  <c r="KT9" i="1"/>
  <c r="KH17" i="1"/>
  <c r="KG17" i="1"/>
  <c r="KE17" i="1"/>
  <c r="KD9" i="1"/>
  <c r="KD15" i="1"/>
  <c r="KB15" i="1"/>
  <c r="JI9" i="1"/>
  <c r="JI13" i="1"/>
  <c r="KA13" i="1"/>
  <c r="JY13" i="1"/>
  <c r="JX13" i="1"/>
  <c r="JI11" i="1"/>
  <c r="JH11" i="1"/>
  <c r="JF11" i="1"/>
  <c r="JE11" i="1"/>
  <c r="JC11" i="1"/>
  <c r="JB11" i="1"/>
  <c r="IZ11" i="1"/>
  <c r="IY11" i="1"/>
  <c r="IW11" i="1"/>
  <c r="IV11" i="1"/>
  <c r="IJ11" i="1"/>
  <c r="II11" i="1"/>
  <c r="IG11" i="1"/>
  <c r="IF11" i="1"/>
  <c r="ID11" i="1"/>
  <c r="IC11" i="1"/>
  <c r="HZ11" i="1"/>
  <c r="IA11" i="1"/>
  <c r="HZ9" i="1"/>
  <c r="HX9" i="1"/>
  <c r="HW9" i="1"/>
  <c r="HK9" i="1"/>
  <c r="HJ9" i="1"/>
  <c r="HH9" i="1"/>
  <c r="HG9" i="1"/>
  <c r="HE9" i="1"/>
  <c r="HD9" i="1"/>
  <c r="HB9" i="1"/>
  <c r="HA9" i="1"/>
  <c r="GY9" i="1"/>
  <c r="GX9" i="1"/>
  <c r="GL9" i="1"/>
  <c r="GK9" i="1"/>
  <c r="GI9" i="1"/>
  <c r="GH9" i="1"/>
  <c r="GF9" i="1"/>
  <c r="GE9" i="1"/>
  <c r="GC9" i="1"/>
  <c r="GB9" i="1"/>
  <c r="FZ9" i="1"/>
  <c r="FY9" i="1"/>
  <c r="FM9" i="1"/>
  <c r="FL9" i="1"/>
  <c r="FJ9" i="1"/>
  <c r="FI9" i="1"/>
  <c r="FG9" i="1"/>
  <c r="FF9" i="1"/>
  <c r="FD9" i="1"/>
  <c r="FC9" i="1"/>
  <c r="FA9" i="1"/>
  <c r="EZ9" i="1"/>
  <c r="EJ9" i="1"/>
  <c r="EH9" i="1"/>
  <c r="EG9" i="1"/>
  <c r="EE9" i="1"/>
  <c r="ED9" i="1"/>
  <c r="DL9" i="1"/>
  <c r="DK9" i="1"/>
  <c r="DI9" i="1"/>
  <c r="DH9" i="1"/>
  <c r="DF9" i="1"/>
  <c r="DE9" i="1"/>
  <c r="DC9" i="1"/>
  <c r="DB9" i="1"/>
  <c r="CP9" i="1"/>
  <c r="CO9" i="1"/>
  <c r="CM9" i="1"/>
  <c r="CL9" i="1"/>
  <c r="CJ9" i="1"/>
  <c r="CI9" i="1"/>
  <c r="CG9" i="1"/>
  <c r="CF9" i="1"/>
  <c r="CD9" i="1"/>
  <c r="CC9" i="1"/>
  <c r="BQ9" i="1"/>
  <c r="BP9" i="1"/>
  <c r="BN9" i="1"/>
  <c r="BM9" i="1"/>
  <c r="BK9" i="1"/>
  <c r="BJ9" i="1"/>
  <c r="BH9" i="1"/>
  <c r="BG9" i="1"/>
  <c r="BE9" i="1"/>
  <c r="BD9" i="1"/>
  <c r="AO9" i="1"/>
  <c r="AN9" i="1"/>
  <c r="AL9" i="1"/>
  <c r="AK9" i="1"/>
  <c r="AI9" i="1"/>
  <c r="AH9" i="1"/>
  <c r="AF9" i="1"/>
  <c r="AE9" i="1"/>
  <c r="Z5" i="9"/>
  <c r="AA5" i="9" s="1"/>
  <c r="AA9" i="9"/>
  <c r="AA8" i="9"/>
  <c r="AA7" i="9"/>
  <c r="AA6" i="9"/>
  <c r="AA4" i="9"/>
  <c r="FY23" i="1"/>
  <c r="P9" i="9" l="1"/>
  <c r="L9" i="9"/>
  <c r="K9" i="9"/>
  <c r="J9" i="9"/>
  <c r="I9" i="9"/>
  <c r="S9" i="9" s="1"/>
  <c r="H9" i="9"/>
  <c r="G9" i="9"/>
  <c r="R8" i="9"/>
  <c r="P8" i="9"/>
  <c r="K8" i="9"/>
  <c r="I8" i="9"/>
  <c r="S8" i="9" s="1"/>
  <c r="H8" i="9"/>
  <c r="G8" i="9"/>
  <c r="F9" i="9"/>
  <c r="F8" i="9"/>
  <c r="F7" i="9"/>
  <c r="R7" i="9"/>
  <c r="R6" i="9"/>
  <c r="Q6" i="9"/>
  <c r="H7" i="9"/>
  <c r="EO31" i="1" l="1"/>
  <c r="EN31" i="1"/>
  <c r="EM31" i="1"/>
  <c r="EL31" i="1"/>
  <c r="EK31" i="1"/>
  <c r="EK33" i="1" s="1"/>
  <c r="EJ31" i="1"/>
  <c r="EI31" i="1"/>
  <c r="EH31" i="1"/>
  <c r="EG31" i="1"/>
  <c r="EF31" i="1"/>
  <c r="EE31" i="1"/>
  <c r="ED31" i="1"/>
  <c r="EC31" i="1"/>
  <c r="EB31" i="1"/>
  <c r="EA31" i="1"/>
  <c r="EO32" i="1"/>
  <c r="EN32" i="1"/>
  <c r="EM32" i="1"/>
  <c r="EL32" i="1"/>
  <c r="EK32" i="1"/>
  <c r="EJ32" i="1"/>
  <c r="EI32" i="1"/>
  <c r="EH32" i="1"/>
  <c r="EG32" i="1"/>
  <c r="EF32" i="1"/>
  <c r="EE32" i="1"/>
  <c r="ED32" i="1"/>
  <c r="EC32" i="1"/>
  <c r="EB32" i="1"/>
  <c r="EA32" i="1"/>
  <c r="EO33" i="1" l="1"/>
  <c r="EN33" i="1"/>
  <c r="EI33" i="1"/>
  <c r="ED33" i="1"/>
  <c r="EL33" i="1"/>
  <c r="EE33" i="1"/>
  <c r="EM33" i="1"/>
  <c r="EF33" i="1"/>
  <c r="EG33" i="1"/>
  <c r="EJ33" i="1"/>
  <c r="EH33" i="1"/>
  <c r="Y10" i="9" l="1"/>
  <c r="BY11" i="1" l="1"/>
  <c r="H6" i="9" s="1"/>
  <c r="AB10" i="9" l="1"/>
  <c r="AB12" i="9" l="1"/>
  <c r="AB11" i="9"/>
  <c r="Z11" i="9" l="1"/>
  <c r="Z10" i="9"/>
  <c r="AA15" i="1"/>
  <c r="AZ15" i="1"/>
  <c r="BY15" i="1"/>
  <c r="CX15" i="1"/>
  <c r="DW15" i="1"/>
  <c r="J8" i="9" s="1"/>
  <c r="EV15" i="1"/>
  <c r="FU15" i="1"/>
  <c r="L8" i="9" s="1"/>
  <c r="GT15" i="1"/>
  <c r="M8" i="9" s="1"/>
  <c r="HS15" i="1"/>
  <c r="N8" i="9" s="1"/>
  <c r="IR15" i="1"/>
  <c r="JQ15" i="1"/>
  <c r="JS15" i="1" s="1"/>
  <c r="KP15" i="1"/>
  <c r="LO15" i="1"/>
  <c r="LQ15" i="1" s="1"/>
  <c r="AB16" i="1"/>
  <c r="AD16" i="1" s="1"/>
  <c r="BA16" i="1"/>
  <c r="BZ16" i="1"/>
  <c r="CB16" i="1" s="1"/>
  <c r="CY16" i="1"/>
  <c r="DA16" i="1" s="1"/>
  <c r="DX16" i="1"/>
  <c r="DZ16" i="1" s="1"/>
  <c r="EW16" i="1"/>
  <c r="EY16" i="1" s="1"/>
  <c r="FV16" i="1"/>
  <c r="FX16" i="1" s="1"/>
  <c r="GU16" i="1"/>
  <c r="GW16" i="1" s="1"/>
  <c r="HT16" i="1"/>
  <c r="HV16" i="1" s="1"/>
  <c r="IS16" i="1"/>
  <c r="IU16" i="1" s="1"/>
  <c r="JR16" i="1"/>
  <c r="KQ16" i="1"/>
  <c r="KS16" i="1" s="1"/>
  <c r="LP16" i="1"/>
  <c r="LR16" i="1" s="1"/>
  <c r="KR15" i="1" l="1"/>
  <c r="Q8" i="9"/>
  <c r="IT15" i="1"/>
  <c r="O8" i="9"/>
  <c r="T8" i="9"/>
  <c r="HU15" i="1"/>
  <c r="FW15" i="1"/>
  <c r="BB15" i="1"/>
  <c r="DY15" i="1"/>
  <c r="CZ15" i="1"/>
  <c r="BA15" i="1"/>
  <c r="IS15" i="1"/>
  <c r="BZ15" i="1"/>
  <c r="BC16" i="1"/>
  <c r="GU15" i="1"/>
  <c r="AA10" i="9"/>
  <c r="JR15" i="1"/>
  <c r="LP15" i="1"/>
  <c r="EW15" i="1"/>
  <c r="FV15" i="1"/>
  <c r="DX15" i="1"/>
  <c r="JT16" i="1"/>
  <c r="AC15" i="1"/>
  <c r="AB15" i="1"/>
  <c r="KQ15" i="1"/>
  <c r="CY15" i="1"/>
  <c r="HT15" i="1"/>
  <c r="EX15" i="1"/>
  <c r="CA15" i="1"/>
  <c r="GV15" i="1"/>
  <c r="U8" i="9" l="1"/>
  <c r="V8" i="9" l="1"/>
  <c r="AC8" i="9" s="1"/>
  <c r="DY27" i="1" l="1"/>
  <c r="DZ31" i="1" l="1"/>
  <c r="CC31" i="1" l="1"/>
  <c r="CC30" i="1"/>
  <c r="CC23" i="1"/>
  <c r="CC32" i="1" l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H32" i="1" l="1"/>
  <c r="CP32" i="1"/>
  <c r="DQ32" i="1"/>
  <c r="DP32" i="1"/>
  <c r="DO32" i="1"/>
  <c r="DJ32" i="1"/>
  <c r="DB32" i="1"/>
  <c r="DH32" i="1"/>
  <c r="CS32" i="1"/>
  <c r="CR32" i="1"/>
  <c r="DR32" i="1"/>
  <c r="CI32" i="1"/>
  <c r="CQ32" i="1"/>
  <c r="DC32" i="1"/>
  <c r="DK32" i="1"/>
  <c r="DS32" i="1"/>
  <c r="CJ32" i="1"/>
  <c r="DI32" i="1"/>
  <c r="DD32" i="1"/>
  <c r="DL32" i="1"/>
  <c r="DT32" i="1"/>
  <c r="CK32" i="1"/>
  <c r="CD32" i="1"/>
  <c r="CL32" i="1"/>
  <c r="CT32" i="1"/>
  <c r="CE32" i="1"/>
  <c r="CM32" i="1"/>
  <c r="CU32" i="1"/>
  <c r="DG32" i="1"/>
  <c r="CF32" i="1"/>
  <c r="CN32" i="1"/>
  <c r="CV32" i="1"/>
  <c r="DE32" i="1"/>
  <c r="DM32" i="1"/>
  <c r="DU32" i="1"/>
  <c r="CG32" i="1"/>
  <c r="CO32" i="1"/>
  <c r="CW32" i="1"/>
  <c r="DF32" i="1"/>
  <c r="DN32" i="1"/>
  <c r="DV32" i="1"/>
  <c r="BI30" i="1" l="1"/>
  <c r="BH30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G30" i="1"/>
  <c r="BF30" i="1"/>
  <c r="BE30" i="1"/>
  <c r="BD30" i="1"/>
  <c r="BU32" i="1" l="1"/>
  <c r="BO32" i="1"/>
  <c r="BW32" i="1"/>
  <c r="BL32" i="1"/>
  <c r="BG32" i="1"/>
  <c r="BP32" i="1"/>
  <c r="BS32" i="1"/>
  <c r="BT32" i="1"/>
  <c r="BQ32" i="1"/>
  <c r="BX32" i="1"/>
  <c r="BR32" i="1"/>
  <c r="BV32" i="1"/>
  <c r="BN32" i="1"/>
  <c r="BM32" i="1"/>
  <c r="BK32" i="1"/>
  <c r="BJ32" i="1"/>
  <c r="BF32" i="1"/>
  <c r="BE32" i="1"/>
  <c r="BD32" i="1"/>
  <c r="BH32" i="1"/>
  <c r="BI32" i="1"/>
  <c r="AY31" i="1" l="1"/>
  <c r="AX31" i="1"/>
  <c r="AW31" i="1"/>
  <c r="AY30" i="1"/>
  <c r="AX30" i="1"/>
  <c r="AW30" i="1"/>
  <c r="AV31" i="1"/>
  <c r="AU31" i="1"/>
  <c r="AT31" i="1"/>
  <c r="AV30" i="1"/>
  <c r="AU30" i="1"/>
  <c r="AT30" i="1"/>
  <c r="AS31" i="1"/>
  <c r="AR31" i="1"/>
  <c r="AQ31" i="1"/>
  <c r="AS30" i="1"/>
  <c r="AR30" i="1"/>
  <c r="AQ30" i="1"/>
  <c r="AP31" i="1"/>
  <c r="AO31" i="1"/>
  <c r="AN31" i="1"/>
  <c r="AP30" i="1"/>
  <c r="AO30" i="1"/>
  <c r="AN30" i="1"/>
  <c r="AM31" i="1"/>
  <c r="AL31" i="1"/>
  <c r="AK31" i="1"/>
  <c r="AM30" i="1"/>
  <c r="AL30" i="1"/>
  <c r="AK30" i="1"/>
  <c r="AJ31" i="1"/>
  <c r="AI31" i="1"/>
  <c r="AH31" i="1"/>
  <c r="AJ30" i="1"/>
  <c r="AI30" i="1"/>
  <c r="AH30" i="1"/>
  <c r="AG31" i="1"/>
  <c r="AF31" i="1"/>
  <c r="AE31" i="1"/>
  <c r="AV32" i="1" l="1"/>
  <c r="AJ32" i="1"/>
  <c r="AX32" i="1"/>
  <c r="AM32" i="1"/>
  <c r="AY32" i="1"/>
  <c r="AS32" i="1"/>
  <c r="AW32" i="1"/>
  <c r="AT32" i="1"/>
  <c r="AU32" i="1"/>
  <c r="AO32" i="1"/>
  <c r="AQ32" i="1"/>
  <c r="AR32" i="1"/>
  <c r="AI32" i="1"/>
  <c r="AN32" i="1"/>
  <c r="AH32" i="1"/>
  <c r="AK32" i="1"/>
  <c r="AP32" i="1"/>
  <c r="AL32" i="1"/>
  <c r="AG30" i="1" l="1"/>
  <c r="AG32" i="1" s="1"/>
  <c r="AF30" i="1"/>
  <c r="AF32" i="1" s="1"/>
  <c r="ES23" i="1" l="1"/>
  <c r="EP23" i="1"/>
  <c r="EM23" i="1"/>
  <c r="EJ23" i="1"/>
  <c r="EG23" i="1"/>
  <c r="ED23" i="1"/>
  <c r="EA24" i="1"/>
  <c r="EA23" i="1"/>
  <c r="FU11" i="1"/>
  <c r="L6" i="9" s="1"/>
  <c r="DT24" i="1"/>
  <c r="DQ24" i="1"/>
  <c r="DN24" i="1"/>
  <c r="DK24" i="1"/>
  <c r="DH24" i="1"/>
  <c r="DE24" i="1"/>
  <c r="DT23" i="1"/>
  <c r="DQ23" i="1"/>
  <c r="DK23" i="1"/>
  <c r="DB24" i="1"/>
  <c r="CU24" i="1"/>
  <c r="CR24" i="1"/>
  <c r="CO24" i="1"/>
  <c r="CL24" i="1"/>
  <c r="CI24" i="1"/>
  <c r="CF24" i="1"/>
  <c r="CU23" i="1"/>
  <c r="CR23" i="1"/>
  <c r="CC24" i="1"/>
  <c r="CD28" i="1" s="1"/>
  <c r="BV24" i="1"/>
  <c r="BS24" i="1"/>
  <c r="BP24" i="1"/>
  <c r="BM24" i="1"/>
  <c r="BJ24" i="1"/>
  <c r="BG24" i="1"/>
  <c r="BV23" i="1"/>
  <c r="BS23" i="1"/>
  <c r="BD24" i="1"/>
  <c r="AW24" i="1"/>
  <c r="AT24" i="1"/>
  <c r="AQ24" i="1"/>
  <c r="AN24" i="1"/>
  <c r="AK24" i="1"/>
  <c r="AH24" i="1"/>
  <c r="AE24" i="1"/>
  <c r="AW23" i="1"/>
  <c r="AT23" i="1"/>
  <c r="DN23" i="1"/>
  <c r="DH23" i="1"/>
  <c r="DE23" i="1"/>
  <c r="DB23" i="1"/>
  <c r="DC28" i="1" l="1"/>
  <c r="DF28" i="1"/>
  <c r="DI28" i="1"/>
  <c r="DL28" i="1"/>
  <c r="BT28" i="1"/>
  <c r="BW28" i="1"/>
  <c r="CS28" i="1"/>
  <c r="CV28" i="1"/>
  <c r="CX24" i="1"/>
  <c r="EV23" i="1"/>
  <c r="DW24" i="1"/>
  <c r="DW23" i="1"/>
  <c r="CO23" i="1" l="1"/>
  <c r="CP28" i="1" s="1"/>
  <c r="CL23" i="1"/>
  <c r="CM28" i="1" s="1"/>
  <c r="CI23" i="1"/>
  <c r="CJ28" i="1" s="1"/>
  <c r="CF23" i="1"/>
  <c r="CG28" i="1" s="1"/>
  <c r="BP23" i="1"/>
  <c r="BQ28" i="1" s="1"/>
  <c r="BM23" i="1"/>
  <c r="BN28" i="1" s="1"/>
  <c r="BJ23" i="1"/>
  <c r="BK28" i="1" s="1"/>
  <c r="BG23" i="1"/>
  <c r="BH28" i="1" s="1"/>
  <c r="BD23" i="1"/>
  <c r="BE28" i="1" s="1"/>
  <c r="AQ23" i="1"/>
  <c r="AN23" i="1"/>
  <c r="AK23" i="1"/>
  <c r="AL28" i="1" s="1"/>
  <c r="AH23" i="1"/>
  <c r="AI28" i="1" s="1"/>
  <c r="CX23" i="1" l="1"/>
  <c r="CX28" i="1" s="1"/>
  <c r="BY23" i="1"/>
  <c r="AE30" i="1"/>
  <c r="AE32" i="1" s="1"/>
  <c r="AE23" i="1"/>
  <c r="AF28" i="1" s="1"/>
  <c r="LM33" i="1" l="1"/>
  <c r="LL33" i="1"/>
  <c r="LJ33" i="1"/>
  <c r="LI33" i="1"/>
  <c r="LH33" i="1"/>
  <c r="LG33" i="1"/>
  <c r="LF33" i="1"/>
  <c r="LD33" i="1"/>
  <c r="LC33" i="1"/>
  <c r="LA33" i="1"/>
  <c r="KZ33" i="1"/>
  <c r="KY33" i="1"/>
  <c r="KX33" i="1"/>
  <c r="KW33" i="1"/>
  <c r="KV33" i="1"/>
  <c r="KU33" i="1"/>
  <c r="KT33" i="1"/>
  <c r="KN33" i="1"/>
  <c r="KM33" i="1"/>
  <c r="KK33" i="1"/>
  <c r="KJ33" i="1"/>
  <c r="KI33" i="1"/>
  <c r="KH33" i="1"/>
  <c r="KG33" i="1"/>
  <c r="KE33" i="1"/>
  <c r="KD33" i="1"/>
  <c r="KB33" i="1"/>
  <c r="KA33" i="1"/>
  <c r="JZ33" i="1"/>
  <c r="JY33" i="1"/>
  <c r="JX33" i="1"/>
  <c r="KP33" i="1" l="1"/>
  <c r="KR33" i="1" s="1"/>
  <c r="KQ33" i="1" l="1"/>
  <c r="AA11" i="1"/>
  <c r="F6" i="9" s="1"/>
  <c r="FT32" i="1" l="1"/>
  <c r="FS32" i="1"/>
  <c r="FR32" i="1"/>
  <c r="FT31" i="1"/>
  <c r="FS31" i="1"/>
  <c r="FR31" i="1"/>
  <c r="FQ32" i="1"/>
  <c r="FP32" i="1"/>
  <c r="FO32" i="1"/>
  <c r="FQ31" i="1"/>
  <c r="FP31" i="1"/>
  <c r="FO31" i="1"/>
  <c r="FN32" i="1"/>
  <c r="FM32" i="1"/>
  <c r="FL32" i="1"/>
  <c r="FN31" i="1"/>
  <c r="FM31" i="1"/>
  <c r="FL31" i="1"/>
  <c r="FK32" i="1"/>
  <c r="FJ32" i="1"/>
  <c r="FI32" i="1"/>
  <c r="FK31" i="1"/>
  <c r="FJ31" i="1"/>
  <c r="FI31" i="1"/>
  <c r="FH32" i="1"/>
  <c r="FG32" i="1"/>
  <c r="FF32" i="1"/>
  <c r="FH31" i="1"/>
  <c r="FG31" i="1"/>
  <c r="FF31" i="1"/>
  <c r="FK33" i="1" l="1"/>
  <c r="FH33" i="1"/>
  <c r="FO33" i="1"/>
  <c r="FI33" i="1"/>
  <c r="FM33" i="1"/>
  <c r="FQ33" i="1"/>
  <c r="FR33" i="1"/>
  <c r="FS33" i="1"/>
  <c r="FL33" i="1"/>
  <c r="FF33" i="1"/>
  <c r="FJ33" i="1"/>
  <c r="FN33" i="1"/>
  <c r="FP33" i="1"/>
  <c r="FG33" i="1"/>
  <c r="FT33" i="1"/>
  <c r="FE32" i="1" l="1"/>
  <c r="FD32" i="1"/>
  <c r="FC32" i="1"/>
  <c r="FE31" i="1"/>
  <c r="FD31" i="1"/>
  <c r="FC31" i="1"/>
  <c r="FC33" i="1" l="1"/>
  <c r="FE33" i="1"/>
  <c r="FD33" i="1"/>
  <c r="FB32" i="1"/>
  <c r="FA32" i="1"/>
  <c r="EZ32" i="1"/>
  <c r="FB31" i="1"/>
  <c r="FA31" i="1"/>
  <c r="EZ31" i="1"/>
  <c r="EU32" i="1"/>
  <c r="ET32" i="1"/>
  <c r="ES32" i="1"/>
  <c r="EU31" i="1"/>
  <c r="ET31" i="1"/>
  <c r="ES31" i="1"/>
  <c r="ER32" i="1"/>
  <c r="EQ32" i="1"/>
  <c r="EP32" i="1"/>
  <c r="ER31" i="1"/>
  <c r="EQ31" i="1"/>
  <c r="EP31" i="1"/>
  <c r="ER33" i="1" l="1"/>
  <c r="ET33" i="1"/>
  <c r="EU33" i="1"/>
  <c r="EQ33" i="1"/>
  <c r="FA33" i="1"/>
  <c r="FB33" i="1"/>
  <c r="EZ33" i="1"/>
  <c r="EP33" i="1"/>
  <c r="ES33" i="1"/>
  <c r="FU33" i="1" l="1"/>
  <c r="LO11" i="1" l="1"/>
  <c r="KP11" i="1"/>
  <c r="EC33" i="1" l="1"/>
  <c r="EB33" i="1"/>
  <c r="EA33" i="1"/>
  <c r="EV32" i="1"/>
  <c r="EV31" i="1"/>
  <c r="EV34" i="1" l="1"/>
  <c r="EV33" i="1"/>
  <c r="DX14" i="1" l="1"/>
  <c r="DW13" i="1"/>
  <c r="J7" i="9" s="1"/>
  <c r="DX13" i="1" l="1"/>
  <c r="F24" i="1" l="1"/>
  <c r="F23" i="1"/>
  <c r="G2" i="9"/>
  <c r="H2" i="9" s="1"/>
  <c r="I2" i="9" s="1"/>
  <c r="J2" i="9" s="1"/>
  <c r="K2" i="9" s="1"/>
  <c r="L2" i="9" s="1"/>
  <c r="M2" i="9" s="1"/>
  <c r="N2" i="9" s="1"/>
  <c r="O2" i="9" s="1"/>
  <c r="P2" i="9" s="1"/>
  <c r="Q2" i="9" s="1"/>
  <c r="R2" i="9" s="1"/>
  <c r="R29" i="9" l="1"/>
  <c r="R34" i="9" s="1"/>
  <c r="Q29" i="9"/>
  <c r="Q34" i="9" s="1"/>
  <c r="P29" i="9"/>
  <c r="P34" i="9" s="1"/>
  <c r="O29" i="9"/>
  <c r="O34" i="9" s="1"/>
  <c r="N29" i="9"/>
  <c r="N34" i="9" s="1"/>
  <c r="M29" i="9"/>
  <c r="M34" i="9" s="1"/>
  <c r="L29" i="9"/>
  <c r="L34" i="9" s="1"/>
  <c r="K29" i="9"/>
  <c r="K34" i="9" s="1"/>
  <c r="J29" i="9"/>
  <c r="J34" i="9" s="1"/>
  <c r="I29" i="9"/>
  <c r="I34" i="9" s="1"/>
  <c r="K23" i="9"/>
  <c r="I23" i="9"/>
  <c r="J23" i="9" s="1"/>
  <c r="L23" i="9" s="1"/>
  <c r="N37" i="9" l="1"/>
  <c r="U37" i="9" s="1"/>
  <c r="M37" i="9"/>
  <c r="L37" i="9"/>
  <c r="K37" i="9"/>
  <c r="J37" i="9"/>
  <c r="I37" i="9"/>
  <c r="S37" i="9" s="1"/>
  <c r="U32" i="9"/>
  <c r="T32" i="9"/>
  <c r="S32" i="9"/>
  <c r="U31" i="9"/>
  <c r="T31" i="9"/>
  <c r="S31" i="9"/>
  <c r="U30" i="9"/>
  <c r="T30" i="9"/>
  <c r="S30" i="9"/>
  <c r="U29" i="9"/>
  <c r="T29" i="9"/>
  <c r="S29" i="9"/>
  <c r="U28" i="9"/>
  <c r="R33" i="9"/>
  <c r="R38" i="9" s="1"/>
  <c r="Q33" i="9"/>
  <c r="Q38" i="9" s="1"/>
  <c r="P33" i="9"/>
  <c r="P38" i="9" s="1"/>
  <c r="O33" i="9"/>
  <c r="O38" i="9" s="1"/>
  <c r="N33" i="9"/>
  <c r="M33" i="9"/>
  <c r="L33" i="9"/>
  <c r="T28" i="9"/>
  <c r="J33" i="9"/>
  <c r="I33" i="9"/>
  <c r="S28" i="9"/>
  <c r="U27" i="9"/>
  <c r="T27" i="9"/>
  <c r="L38" i="9" l="1"/>
  <c r="M38" i="9"/>
  <c r="J38" i="9"/>
  <c r="T37" i="9"/>
  <c r="U33" i="9"/>
  <c r="U38" i="9" s="1"/>
  <c r="I38" i="9"/>
  <c r="T33" i="9"/>
  <c r="N38" i="9"/>
  <c r="S27" i="9"/>
  <c r="S33" i="9" s="1"/>
  <c r="S38" i="9" s="1"/>
  <c r="K33" i="9"/>
  <c r="K38" i="9" s="1"/>
  <c r="C34" i="9"/>
  <c r="T38" i="9" l="1"/>
  <c r="LL24" i="1" l="1"/>
  <c r="LI24" i="1"/>
  <c r="LF24" i="1"/>
  <c r="LC24" i="1"/>
  <c r="KZ24" i="1"/>
  <c r="KW24" i="1"/>
  <c r="LL23" i="1"/>
  <c r="LI23" i="1"/>
  <c r="LF23" i="1"/>
  <c r="LC23" i="1"/>
  <c r="KZ23" i="1"/>
  <c r="KM23" i="1"/>
  <c r="KJ23" i="1"/>
  <c r="KG23" i="1"/>
  <c r="KD23" i="1"/>
  <c r="KA23" i="1"/>
  <c r="KM24" i="1"/>
  <c r="KJ24" i="1"/>
  <c r="KG24" i="1"/>
  <c r="KD24" i="1"/>
  <c r="KA24" i="1"/>
  <c r="JN24" i="1"/>
  <c r="JK24" i="1"/>
  <c r="JH24" i="1"/>
  <c r="JE24" i="1"/>
  <c r="JB24" i="1"/>
  <c r="IY24" i="1"/>
  <c r="JN23" i="1"/>
  <c r="JK23" i="1"/>
  <c r="JH23" i="1"/>
  <c r="JE23" i="1"/>
  <c r="JB23" i="1"/>
  <c r="IY23" i="1"/>
  <c r="JK27" i="1" l="1"/>
  <c r="KG27" i="1"/>
  <c r="LF27" i="1"/>
  <c r="KA27" i="1"/>
  <c r="JB27" i="1"/>
  <c r="IY27" i="1"/>
  <c r="JN27" i="1"/>
  <c r="LC27" i="1"/>
  <c r="KJ27" i="1"/>
  <c r="KZ27" i="1"/>
  <c r="JE27" i="1"/>
  <c r="KM27" i="1"/>
  <c r="LI27" i="1"/>
  <c r="KD27" i="1"/>
  <c r="JH27" i="1"/>
  <c r="LL27" i="1"/>
  <c r="BP27" i="1" l="1"/>
  <c r="BV27" i="1"/>
  <c r="BS27" i="1"/>
  <c r="BM27" i="1"/>
  <c r="BG27" i="1"/>
  <c r="BJ27" i="1"/>
  <c r="AZ24" i="1" l="1"/>
  <c r="AX4" i="1"/>
  <c r="X24" i="1"/>
  <c r="U24" i="1"/>
  <c r="R24" i="1"/>
  <c r="O24" i="1"/>
  <c r="L24" i="1"/>
  <c r="I24" i="1"/>
  <c r="X23" i="1"/>
  <c r="U23" i="1"/>
  <c r="R23" i="1"/>
  <c r="O23" i="1"/>
  <c r="L23" i="1"/>
  <c r="I23" i="1"/>
  <c r="IO23" i="1"/>
  <c r="IL23" i="1"/>
  <c r="II23" i="1"/>
  <c r="IF23" i="1"/>
  <c r="IC23" i="1"/>
  <c r="HZ23" i="1"/>
  <c r="IO24" i="1"/>
  <c r="IL24" i="1"/>
  <c r="II24" i="1"/>
  <c r="IF24" i="1"/>
  <c r="IC24" i="1"/>
  <c r="HZ24" i="1"/>
  <c r="HZ27" i="1" l="1"/>
  <c r="IC27" i="1"/>
  <c r="IF27" i="1"/>
  <c r="II27" i="1"/>
  <c r="IO27" i="1"/>
  <c r="IL27" i="1"/>
  <c r="R27" i="1"/>
  <c r="AE27" i="1"/>
  <c r="AH27" i="1"/>
  <c r="AK27" i="1"/>
  <c r="AN27" i="1"/>
  <c r="AZ23" i="1"/>
  <c r="AQ27" i="1"/>
  <c r="AT27" i="1"/>
  <c r="AW27" i="1"/>
  <c r="L27" i="1"/>
  <c r="I27" i="1"/>
  <c r="X27" i="1"/>
  <c r="U27" i="1"/>
  <c r="O27" i="1"/>
  <c r="AA23" i="1"/>
  <c r="FR23" i="1" l="1"/>
  <c r="FO23" i="1"/>
  <c r="FL23" i="1"/>
  <c r="FI23" i="1"/>
  <c r="FF23" i="1"/>
  <c r="FC23" i="1"/>
  <c r="GQ24" i="1"/>
  <c r="GN24" i="1"/>
  <c r="GK24" i="1"/>
  <c r="GH24" i="1"/>
  <c r="GE24" i="1"/>
  <c r="GB24" i="1"/>
  <c r="FY24" i="1"/>
  <c r="FR24" i="1"/>
  <c r="FO24" i="1"/>
  <c r="FL24" i="1"/>
  <c r="FI24" i="1"/>
  <c r="FF24" i="1"/>
  <c r="FC24" i="1"/>
  <c r="EZ24" i="1"/>
  <c r="ES24" i="1"/>
  <c r="EP24" i="1"/>
  <c r="EM24" i="1"/>
  <c r="EJ24" i="1"/>
  <c r="EG24" i="1"/>
  <c r="ED24" i="1"/>
  <c r="GT24" i="1" l="1"/>
  <c r="FU24" i="1"/>
  <c r="EV24" i="1"/>
  <c r="FD28" i="1"/>
  <c r="FG28" i="1"/>
  <c r="ET28" i="1"/>
  <c r="EQ28" i="1"/>
  <c r="EK28" i="1"/>
  <c r="EE28" i="1"/>
  <c r="EH28" i="1"/>
  <c r="FO27" i="1"/>
  <c r="EM27" i="1"/>
  <c r="ED27" i="1"/>
  <c r="EG27" i="1"/>
  <c r="FR27" i="1"/>
  <c r="ES27" i="1"/>
  <c r="EP27" i="1"/>
  <c r="EJ27" i="1"/>
  <c r="FL27" i="1"/>
  <c r="FI27" i="1"/>
  <c r="EH21" i="1" l="1"/>
  <c r="EG21" i="1"/>
  <c r="DL22" i="1"/>
  <c r="DC22" i="1"/>
  <c r="CS22" i="1"/>
  <c r="CK21" i="1"/>
  <c r="CJ22" i="1"/>
  <c r="CI22" i="1"/>
  <c r="JS27" i="1"/>
  <c r="JS28" i="1" s="1"/>
  <c r="KT24" i="1"/>
  <c r="JX24" i="1"/>
  <c r="JU24" i="1"/>
  <c r="IV24" i="1"/>
  <c r="HW24" i="1"/>
  <c r="HP24" i="1"/>
  <c r="HM24" i="1"/>
  <c r="HJ24" i="1"/>
  <c r="HG24" i="1"/>
  <c r="HD24" i="1"/>
  <c r="HA24" i="1"/>
  <c r="GX24" i="1"/>
  <c r="AA24" i="1"/>
  <c r="KW23" i="1"/>
  <c r="KW27" i="1" s="1"/>
  <c r="KT23" i="1"/>
  <c r="LN22" i="1"/>
  <c r="LM22" i="1"/>
  <c r="LL22" i="1"/>
  <c r="LK22" i="1"/>
  <c r="LJ22" i="1"/>
  <c r="LI22" i="1"/>
  <c r="LH22" i="1"/>
  <c r="LG22" i="1"/>
  <c r="LF22" i="1"/>
  <c r="LE22" i="1"/>
  <c r="LD22" i="1"/>
  <c r="LC22" i="1"/>
  <c r="LB22" i="1"/>
  <c r="LA22" i="1"/>
  <c r="KZ22" i="1"/>
  <c r="KY22" i="1"/>
  <c r="KX22" i="1"/>
  <c r="KW22" i="1"/>
  <c r="KV22" i="1"/>
  <c r="KU22" i="1"/>
  <c r="KT22" i="1"/>
  <c r="KO22" i="1"/>
  <c r="KN22" i="1"/>
  <c r="KM22" i="1"/>
  <c r="KL22" i="1"/>
  <c r="KK22" i="1"/>
  <c r="KJ22" i="1"/>
  <c r="KI22" i="1"/>
  <c r="JP22" i="1"/>
  <c r="JM22" i="1"/>
  <c r="JJ22" i="1"/>
  <c r="IQ22" i="1"/>
  <c r="IN22" i="1"/>
  <c r="IM22" i="1"/>
  <c r="IK22" i="1"/>
  <c r="HR22" i="1"/>
  <c r="HO22" i="1"/>
  <c r="HL22" i="1"/>
  <c r="GS22" i="1"/>
  <c r="GP22" i="1"/>
  <c r="GM22" i="1"/>
  <c r="GE22" i="1"/>
  <c r="GA22" i="1"/>
  <c r="FZ22" i="1"/>
  <c r="FY22" i="1"/>
  <c r="FT22" i="1"/>
  <c r="FQ22" i="1"/>
  <c r="FP22" i="1"/>
  <c r="FO22" i="1"/>
  <c r="FN22" i="1"/>
  <c r="EU22" i="1"/>
  <c r="ER22" i="1"/>
  <c r="EO22" i="1"/>
  <c r="EB22" i="1"/>
  <c r="EA22" i="1"/>
  <c r="DS22" i="1"/>
  <c r="DP22" i="1"/>
  <c r="CW22" i="1"/>
  <c r="CT22" i="1"/>
  <c r="CQ22" i="1"/>
  <c r="BX22" i="1"/>
  <c r="BU22" i="1"/>
  <c r="BR22" i="1"/>
  <c r="AY22" i="1"/>
  <c r="AV22" i="1"/>
  <c r="AS22" i="1"/>
  <c r="Z22" i="1"/>
  <c r="W22" i="1"/>
  <c r="T22" i="1"/>
  <c r="LN21" i="1"/>
  <c r="LM21" i="1"/>
  <c r="LL21" i="1"/>
  <c r="LK21" i="1"/>
  <c r="LJ21" i="1"/>
  <c r="LI21" i="1"/>
  <c r="LH21" i="1"/>
  <c r="LG21" i="1"/>
  <c r="LF21" i="1"/>
  <c r="LE21" i="1"/>
  <c r="LD21" i="1"/>
  <c r="LC21" i="1"/>
  <c r="LB21" i="1"/>
  <c r="LA21" i="1"/>
  <c r="KZ21" i="1"/>
  <c r="KY21" i="1"/>
  <c r="KX21" i="1"/>
  <c r="KW21" i="1"/>
  <c r="KV21" i="1"/>
  <c r="KU21" i="1"/>
  <c r="KT21" i="1"/>
  <c r="KO21" i="1"/>
  <c r="KN21" i="1"/>
  <c r="KM21" i="1"/>
  <c r="KL21" i="1"/>
  <c r="KK21" i="1"/>
  <c r="KJ21" i="1"/>
  <c r="KI21" i="1"/>
  <c r="JP21" i="1"/>
  <c r="JN21" i="1"/>
  <c r="JM21" i="1"/>
  <c r="JJ21" i="1"/>
  <c r="JE21" i="1"/>
  <c r="JD21" i="1"/>
  <c r="IQ21" i="1"/>
  <c r="IN21" i="1"/>
  <c r="IK21" i="1"/>
  <c r="II21" i="1"/>
  <c r="IH21" i="1"/>
  <c r="HR21" i="1"/>
  <c r="HO21" i="1"/>
  <c r="HL21" i="1"/>
  <c r="HJ21" i="1"/>
  <c r="HI21" i="1"/>
  <c r="GZ21" i="1"/>
  <c r="GY21" i="1"/>
  <c r="GS21" i="1"/>
  <c r="GP21" i="1"/>
  <c r="GN21" i="1"/>
  <c r="GM21" i="1"/>
  <c r="GF21" i="1"/>
  <c r="GE21" i="1"/>
  <c r="GA21" i="1"/>
  <c r="FZ21" i="1"/>
  <c r="FY21" i="1"/>
  <c r="FT21" i="1"/>
  <c r="FQ21" i="1"/>
  <c r="FP21" i="1"/>
  <c r="FO21" i="1"/>
  <c r="FN21" i="1"/>
  <c r="FM21" i="1"/>
  <c r="EU21" i="1"/>
  <c r="ET21" i="1"/>
  <c r="ES21" i="1"/>
  <c r="ER21" i="1"/>
  <c r="EO21" i="1"/>
  <c r="DS21" i="1"/>
  <c r="DR21" i="1"/>
  <c r="DP21" i="1"/>
  <c r="DK21" i="1"/>
  <c r="CW21" i="1"/>
  <c r="CT21" i="1"/>
  <c r="CQ21" i="1"/>
  <c r="BX21" i="1"/>
  <c r="BU21" i="1"/>
  <c r="BR21" i="1"/>
  <c r="AY21" i="1"/>
  <c r="AV21" i="1"/>
  <c r="AS21" i="1"/>
  <c r="Z21" i="1"/>
  <c r="W21" i="1"/>
  <c r="T21" i="1"/>
  <c r="LP20" i="1"/>
  <c r="KQ20" i="1"/>
  <c r="JR20" i="1"/>
  <c r="IS20" i="1"/>
  <c r="IU20" i="1" s="1"/>
  <c r="HT20" i="1"/>
  <c r="GU20" i="1"/>
  <c r="FV20" i="1"/>
  <c r="EW20" i="1"/>
  <c r="DX20" i="1"/>
  <c r="CY20" i="1"/>
  <c r="BZ20" i="1"/>
  <c r="BA20" i="1"/>
  <c r="BC20" i="1" s="1"/>
  <c r="AB20" i="1"/>
  <c r="LO19" i="1"/>
  <c r="KP19" i="1"/>
  <c r="JQ19" i="1"/>
  <c r="IR19" i="1"/>
  <c r="HS19" i="1"/>
  <c r="GT19" i="1"/>
  <c r="FU19" i="1"/>
  <c r="EV19" i="1"/>
  <c r="DW19" i="1"/>
  <c r="CX19" i="1"/>
  <c r="BY19" i="1"/>
  <c r="AZ19" i="1"/>
  <c r="AA19" i="1"/>
  <c r="LP18" i="1"/>
  <c r="KQ18" i="1"/>
  <c r="JR18" i="1"/>
  <c r="IS18" i="1"/>
  <c r="HT18" i="1"/>
  <c r="GU18" i="1"/>
  <c r="FV18" i="1"/>
  <c r="EW18" i="1"/>
  <c r="DX18" i="1"/>
  <c r="CY18" i="1"/>
  <c r="BZ18" i="1"/>
  <c r="BA18" i="1"/>
  <c r="AB18" i="1"/>
  <c r="LO17" i="1"/>
  <c r="R9" i="9" s="1"/>
  <c r="KP17" i="1"/>
  <c r="Q9" i="9" s="1"/>
  <c r="JQ17" i="1"/>
  <c r="IR17" i="1"/>
  <c r="O9" i="9" s="1"/>
  <c r="HS17" i="1"/>
  <c r="N9" i="9" s="1"/>
  <c r="GT17" i="1"/>
  <c r="M9" i="9" s="1"/>
  <c r="T9" i="9" s="1"/>
  <c r="FU17" i="1"/>
  <c r="AX21" i="1"/>
  <c r="AA17" i="1"/>
  <c r="LP14" i="1"/>
  <c r="KQ14" i="1"/>
  <c r="JR14" i="1"/>
  <c r="IS14" i="1"/>
  <c r="HT14" i="1"/>
  <c r="GU14" i="1"/>
  <c r="FV14" i="1"/>
  <c r="EW14" i="1"/>
  <c r="CY14" i="1"/>
  <c r="BZ14" i="1"/>
  <c r="BA14" i="1"/>
  <c r="AB14" i="1"/>
  <c r="LO13" i="1"/>
  <c r="KP13" i="1"/>
  <c r="Q7" i="9" s="1"/>
  <c r="JQ13" i="1"/>
  <c r="P7" i="9" s="1"/>
  <c r="IR13" i="1"/>
  <c r="O7" i="9" s="1"/>
  <c r="GT13" i="1"/>
  <c r="M7" i="9" s="1"/>
  <c r="FU13" i="1"/>
  <c r="L7" i="9" s="1"/>
  <c r="EV13" i="1"/>
  <c r="K7" i="9" s="1"/>
  <c r="CX13" i="1"/>
  <c r="I7" i="9" s="1"/>
  <c r="S7" i="9" s="1"/>
  <c r="BY13" i="1"/>
  <c r="AZ13" i="1"/>
  <c r="G7" i="9" s="1"/>
  <c r="AA13" i="1"/>
  <c r="LP12" i="1"/>
  <c r="KQ12" i="1"/>
  <c r="JR12" i="1"/>
  <c r="IS12" i="1"/>
  <c r="HT12" i="1"/>
  <c r="GU12" i="1"/>
  <c r="FV12" i="1"/>
  <c r="FV11" i="1" s="1"/>
  <c r="EW12" i="1"/>
  <c r="DX12" i="1"/>
  <c r="CY12" i="1"/>
  <c r="BZ12" i="1"/>
  <c r="BA12" i="1"/>
  <c r="AB12" i="1"/>
  <c r="KF22" i="1"/>
  <c r="KE22" i="1"/>
  <c r="KC22" i="1"/>
  <c r="KB21" i="1"/>
  <c r="JY21" i="1"/>
  <c r="JW22" i="1"/>
  <c r="JV22" i="1"/>
  <c r="JL22" i="1"/>
  <c r="JD22" i="1"/>
  <c r="JC22" i="1"/>
  <c r="IW22" i="1"/>
  <c r="IV22" i="1"/>
  <c r="IO22" i="1"/>
  <c r="IM21" i="1"/>
  <c r="IL21" i="1"/>
  <c r="IJ22" i="1"/>
  <c r="IH22" i="1"/>
  <c r="IR11" i="1"/>
  <c r="O6" i="9" s="1"/>
  <c r="HQ22" i="1"/>
  <c r="HI22" i="1"/>
  <c r="HH22" i="1"/>
  <c r="HB21" i="1"/>
  <c r="HA21" i="1"/>
  <c r="GZ22" i="1"/>
  <c r="GY22" i="1"/>
  <c r="GQ21" i="1"/>
  <c r="GO22" i="1"/>
  <c r="GG22" i="1"/>
  <c r="GF22" i="1"/>
  <c r="GE23" i="1"/>
  <c r="GE27" i="1" s="1"/>
  <c r="FS22" i="1"/>
  <c r="FM22" i="1"/>
  <c r="FJ21" i="1"/>
  <c r="FD21" i="1"/>
  <c r="ET22" i="1"/>
  <c r="EQ22" i="1"/>
  <c r="EP21" i="1"/>
  <c r="EN22" i="1"/>
  <c r="EM21" i="1"/>
  <c r="EL22" i="1"/>
  <c r="EK22" i="1"/>
  <c r="EF22" i="1"/>
  <c r="EE22" i="1"/>
  <c r="ED21" i="1"/>
  <c r="EC22" i="1"/>
  <c r="EB21" i="1"/>
  <c r="DU22" i="1"/>
  <c r="DR22" i="1"/>
  <c r="DK22" i="1"/>
  <c r="DJ22" i="1"/>
  <c r="DI21" i="1"/>
  <c r="DH22" i="1"/>
  <c r="DD22" i="1"/>
  <c r="BQ21" i="1"/>
  <c r="BP21" i="1"/>
  <c r="BI21" i="1"/>
  <c r="BH22" i="1"/>
  <c r="AW21" i="1"/>
  <c r="AP22" i="1"/>
  <c r="AO22" i="1"/>
  <c r="AN22" i="1"/>
  <c r="AH21" i="1"/>
  <c r="AG22" i="1"/>
  <c r="AF21" i="1"/>
  <c r="V22" i="1"/>
  <c r="U21" i="1"/>
  <c r="N21" i="1"/>
  <c r="M21" i="1"/>
  <c r="L22" i="1"/>
  <c r="F21" i="1"/>
  <c r="LP10" i="1"/>
  <c r="KQ10" i="1"/>
  <c r="JR10" i="1"/>
  <c r="IS10" i="1"/>
  <c r="HT10" i="1"/>
  <c r="GU10" i="1"/>
  <c r="FV10" i="1"/>
  <c r="EW10" i="1"/>
  <c r="DX10" i="1"/>
  <c r="CY10" i="1"/>
  <c r="BZ10" i="1"/>
  <c r="BA10" i="1"/>
  <c r="AB10" i="1"/>
  <c r="LO9" i="1"/>
  <c r="R5" i="9" s="1"/>
  <c r="KP9" i="1"/>
  <c r="Q5" i="9" s="1"/>
  <c r="JQ9" i="1"/>
  <c r="P5" i="9" s="1"/>
  <c r="IR9" i="1"/>
  <c r="O5" i="9" s="1"/>
  <c r="HS9" i="1"/>
  <c r="N5" i="9" s="1"/>
  <c r="GT9" i="1"/>
  <c r="M5" i="9" s="1"/>
  <c r="FU9" i="1"/>
  <c r="L5" i="9" s="1"/>
  <c r="EV9" i="1"/>
  <c r="K5" i="9" s="1"/>
  <c r="DW9" i="1"/>
  <c r="J5" i="9" s="1"/>
  <c r="CX9" i="1"/>
  <c r="I5" i="9" s="1"/>
  <c r="S5" i="9" s="1"/>
  <c r="BY9" i="1"/>
  <c r="H5" i="9" s="1"/>
  <c r="AZ9" i="1"/>
  <c r="AA9" i="1"/>
  <c r="F5" i="9" s="1"/>
  <c r="LP8" i="1"/>
  <c r="KQ8" i="1"/>
  <c r="JR8" i="1"/>
  <c r="IS8" i="1"/>
  <c r="HT8" i="1"/>
  <c r="GU8" i="1"/>
  <c r="FV8" i="1"/>
  <c r="EW8" i="1"/>
  <c r="EY8" i="1" s="1"/>
  <c r="DX8" i="1"/>
  <c r="CY8" i="1"/>
  <c r="BZ8" i="1"/>
  <c r="BA8" i="1"/>
  <c r="BA4" i="1" s="1"/>
  <c r="AB8" i="1"/>
  <c r="LO7" i="1"/>
  <c r="R4" i="9" s="1"/>
  <c r="KP7" i="1"/>
  <c r="Q4" i="9" s="1"/>
  <c r="JQ7" i="1"/>
  <c r="P4" i="9" s="1"/>
  <c r="HY22" i="1"/>
  <c r="HW22" i="1"/>
  <c r="HS7" i="1"/>
  <c r="N4" i="9" s="1"/>
  <c r="GT7" i="1"/>
  <c r="M4" i="9" s="1"/>
  <c r="FE22" i="1"/>
  <c r="FD22" i="1"/>
  <c r="EV7" i="1"/>
  <c r="K4" i="9" s="1"/>
  <c r="DW7" i="1"/>
  <c r="J4" i="9" s="1"/>
  <c r="CC21" i="1"/>
  <c r="BY7" i="1"/>
  <c r="H4" i="9" s="1"/>
  <c r="AZ7" i="1"/>
  <c r="G4" i="9" s="1"/>
  <c r="AA7" i="1"/>
  <c r="F4" i="9" s="1"/>
  <c r="I5" i="1"/>
  <c r="L5" i="1" s="1"/>
  <c r="O5" i="1" s="1"/>
  <c r="R5" i="1" s="1"/>
  <c r="U5" i="1" s="1"/>
  <c r="X5" i="1" s="1"/>
  <c r="AE5" i="1" s="1"/>
  <c r="AH5" i="1" s="1"/>
  <c r="BW4" i="1"/>
  <c r="CV4" i="1" s="1"/>
  <c r="DU4" i="1" s="1"/>
  <c r="ET4" i="1" s="1"/>
  <c r="FS4" i="1" s="1"/>
  <c r="GR4" i="1" s="1"/>
  <c r="HQ4" i="1" s="1"/>
  <c r="IP4" i="1" s="1"/>
  <c r="JO4" i="1" s="1"/>
  <c r="KN4" i="1" s="1"/>
  <c r="LM4" i="1" s="1"/>
  <c r="CY4" i="1" l="1"/>
  <c r="G5" i="9"/>
  <c r="AZ4" i="1"/>
  <c r="U9" i="9"/>
  <c r="V9" i="9" s="1"/>
  <c r="AC9" i="9" s="1"/>
  <c r="T7" i="9"/>
  <c r="T5" i="9"/>
  <c r="U5" i="9"/>
  <c r="BZ4" i="1"/>
  <c r="H14" i="9" s="1"/>
  <c r="BC14" i="1"/>
  <c r="G14" i="9"/>
  <c r="KP24" i="1"/>
  <c r="FY27" i="1"/>
  <c r="Q10" i="9"/>
  <c r="Q15" i="9" s="1"/>
  <c r="R10" i="9"/>
  <c r="R15" i="9" s="1"/>
  <c r="HS24" i="1"/>
  <c r="R11" i="9"/>
  <c r="EA27" i="1"/>
  <c r="EV27" i="1" s="1"/>
  <c r="EB28" i="1"/>
  <c r="I14" i="9"/>
  <c r="BP25" i="1"/>
  <c r="AK5" i="1"/>
  <c r="AN5" i="1" s="1"/>
  <c r="AQ5" i="1" s="1"/>
  <c r="AT5" i="1" s="1"/>
  <c r="AW5" i="1" s="1"/>
  <c r="BD5" i="1" s="1"/>
  <c r="BG5" i="1" s="1"/>
  <c r="AC7" i="1"/>
  <c r="KT27" i="1"/>
  <c r="AW25" i="1"/>
  <c r="AN26" i="1"/>
  <c r="JS7" i="1"/>
  <c r="CA7" i="1"/>
  <c r="AB4" i="1"/>
  <c r="F14" i="9" s="1"/>
  <c r="LR20" i="1"/>
  <c r="KR7" i="1"/>
  <c r="IT13" i="1"/>
  <c r="CB18" i="1"/>
  <c r="V21" i="1"/>
  <c r="U25" i="1" s="1"/>
  <c r="BY17" i="1"/>
  <c r="DC21" i="1"/>
  <c r="CJ21" i="1"/>
  <c r="CX17" i="1"/>
  <c r="BB19" i="1"/>
  <c r="BB7" i="1"/>
  <c r="BB13" i="1"/>
  <c r="DX9" i="1"/>
  <c r="LP9" i="1"/>
  <c r="BB9" i="1"/>
  <c r="IU8" i="1"/>
  <c r="LP4" i="1"/>
  <c r="CF27" i="1"/>
  <c r="HU7" i="1"/>
  <c r="LP7" i="1"/>
  <c r="CA9" i="1"/>
  <c r="BC10" i="1"/>
  <c r="AX22" i="1"/>
  <c r="AD14" i="1"/>
  <c r="HV20" i="1"/>
  <c r="CU27" i="1"/>
  <c r="BH21" i="1"/>
  <c r="AF22" i="1"/>
  <c r="LQ7" i="1"/>
  <c r="AG21" i="1"/>
  <c r="FY26" i="1"/>
  <c r="DA10" i="1"/>
  <c r="DB21" i="1"/>
  <c r="LP13" i="1"/>
  <c r="LP19" i="1"/>
  <c r="AO21" i="1"/>
  <c r="GW8" i="1"/>
  <c r="GU13" i="1"/>
  <c r="LQ13" i="1"/>
  <c r="LQ19" i="1"/>
  <c r="AW22" i="1"/>
  <c r="KJ26" i="1"/>
  <c r="KQ7" i="1"/>
  <c r="BA9" i="1"/>
  <c r="LR14" i="1"/>
  <c r="FY25" i="1"/>
  <c r="KZ25" i="1"/>
  <c r="M22" i="1"/>
  <c r="LO4" i="1"/>
  <c r="G22" i="1"/>
  <c r="AD20" i="1"/>
  <c r="BP22" i="1"/>
  <c r="FO26" i="1"/>
  <c r="CO27" i="1"/>
  <c r="IT19" i="1"/>
  <c r="GW10" i="1"/>
  <c r="GW18" i="1"/>
  <c r="FW19" i="1"/>
  <c r="EW9" i="1"/>
  <c r="EY14" i="1"/>
  <c r="EX7" i="1"/>
  <c r="EW7" i="1"/>
  <c r="DX4" i="1"/>
  <c r="J14" i="9" s="1"/>
  <c r="DZ20" i="1"/>
  <c r="DE27" i="1"/>
  <c r="CR27" i="1"/>
  <c r="CL27" i="1"/>
  <c r="GE26" i="1"/>
  <c r="FO25" i="1"/>
  <c r="ES25" i="1"/>
  <c r="DK27" i="1"/>
  <c r="GV7" i="1"/>
  <c r="GU7" i="1"/>
  <c r="DN27" i="1"/>
  <c r="DQ27" i="1"/>
  <c r="DH27" i="1"/>
  <c r="DB27" i="1"/>
  <c r="CI27" i="1"/>
  <c r="CU21" i="1"/>
  <c r="CR21" i="1"/>
  <c r="CX11" i="1"/>
  <c r="I6" i="9" s="1"/>
  <c r="S6" i="9" s="1"/>
  <c r="KS12" i="1"/>
  <c r="KS18" i="1"/>
  <c r="KQ4" i="1"/>
  <c r="JT10" i="1"/>
  <c r="JT18" i="1"/>
  <c r="JS9" i="1"/>
  <c r="IT9" i="1"/>
  <c r="HV14" i="1"/>
  <c r="GW12" i="1"/>
  <c r="GU4" i="1"/>
  <c r="M14" i="9" s="1"/>
  <c r="FW13" i="1"/>
  <c r="FX18" i="1"/>
  <c r="EX9" i="1"/>
  <c r="DZ14" i="1"/>
  <c r="DX19" i="1"/>
  <c r="DY19" i="1"/>
  <c r="DA12" i="1"/>
  <c r="DA18" i="1"/>
  <c r="LF25" i="1"/>
  <c r="KM25" i="1"/>
  <c r="KT26" i="1"/>
  <c r="LL26" i="1"/>
  <c r="KW25" i="1"/>
  <c r="EA26" i="1"/>
  <c r="JS17" i="1"/>
  <c r="JR17" i="1"/>
  <c r="GV17" i="1"/>
  <c r="GU17" i="1"/>
  <c r="IT11" i="1"/>
  <c r="IS11" i="1"/>
  <c r="KR17" i="1"/>
  <c r="KQ17" i="1"/>
  <c r="JH21" i="1"/>
  <c r="DY7" i="1"/>
  <c r="BC8" i="1"/>
  <c r="JT8" i="1"/>
  <c r="HW23" i="1"/>
  <c r="HW27" i="1" s="1"/>
  <c r="FB21" i="1"/>
  <c r="FB22" i="1"/>
  <c r="BZ7" i="1"/>
  <c r="FC27" i="1"/>
  <c r="FC22" i="1"/>
  <c r="FC26" i="1" s="1"/>
  <c r="FC21" i="1"/>
  <c r="IR7" i="1"/>
  <c r="O4" i="9" s="1"/>
  <c r="U4" i="9" s="1"/>
  <c r="BM22" i="1"/>
  <c r="BM21" i="1"/>
  <c r="FX8" i="1"/>
  <c r="I22" i="1"/>
  <c r="I21" i="1"/>
  <c r="Q22" i="1"/>
  <c r="Q21" i="1"/>
  <c r="AK22" i="1"/>
  <c r="AK21" i="1"/>
  <c r="BF21" i="1"/>
  <c r="BF22" i="1"/>
  <c r="BN22" i="1"/>
  <c r="BN21" i="1"/>
  <c r="EA21" i="1"/>
  <c r="EI21" i="1"/>
  <c r="EG25" i="1" s="1"/>
  <c r="EI22" i="1"/>
  <c r="FL22" i="1"/>
  <c r="FL26" i="1" s="1"/>
  <c r="IF21" i="1"/>
  <c r="IF22" i="1"/>
  <c r="IP22" i="1"/>
  <c r="IO26" i="1" s="1"/>
  <c r="IP21" i="1"/>
  <c r="HT17" i="1"/>
  <c r="HV18" i="1"/>
  <c r="CA19" i="1"/>
  <c r="BZ19" i="1"/>
  <c r="IV23" i="1"/>
  <c r="IV27" i="1" s="1"/>
  <c r="HT9" i="1"/>
  <c r="KQ9" i="1"/>
  <c r="P22" i="1"/>
  <c r="P21" i="1"/>
  <c r="AR22" i="1"/>
  <c r="AR21" i="1"/>
  <c r="BW21" i="1"/>
  <c r="BW22" i="1"/>
  <c r="FK22" i="1"/>
  <c r="FK21" i="1"/>
  <c r="HV12" i="1"/>
  <c r="BA13" i="1"/>
  <c r="HU9" i="1"/>
  <c r="KR9" i="1"/>
  <c r="IU10" i="1"/>
  <c r="AT22" i="1"/>
  <c r="AT21" i="1"/>
  <c r="GV19" i="1"/>
  <c r="IS4" i="1"/>
  <c r="AB7" i="1"/>
  <c r="HZ22" i="1"/>
  <c r="HZ21" i="1"/>
  <c r="CB8" i="1"/>
  <c r="KS8" i="1"/>
  <c r="LQ9" i="1"/>
  <c r="EY10" i="1"/>
  <c r="J22" i="1"/>
  <c r="J21" i="1"/>
  <c r="R22" i="1"/>
  <c r="R21" i="1"/>
  <c r="AL22" i="1"/>
  <c r="AL21" i="1"/>
  <c r="AU22" i="1"/>
  <c r="AU21" i="1"/>
  <c r="BO22" i="1"/>
  <c r="DE21" i="1"/>
  <c r="DM21" i="1"/>
  <c r="EJ22" i="1"/>
  <c r="EJ26" i="1" s="1"/>
  <c r="EJ21" i="1"/>
  <c r="IG21" i="1"/>
  <c r="IG22" i="1"/>
  <c r="GU19" i="1"/>
  <c r="EY20" i="1"/>
  <c r="EC21" i="1"/>
  <c r="JH22" i="1"/>
  <c r="IE21" i="1"/>
  <c r="IE22" i="1"/>
  <c r="O22" i="1"/>
  <c r="AI22" i="1"/>
  <c r="AI21" i="1"/>
  <c r="BV21" i="1"/>
  <c r="BV22" i="1"/>
  <c r="GL22" i="1"/>
  <c r="GL21" i="1"/>
  <c r="FV17" i="1"/>
  <c r="LR18" i="1"/>
  <c r="IS19" i="1"/>
  <c r="H22" i="1"/>
  <c r="H21" i="1"/>
  <c r="AJ22" i="1"/>
  <c r="AJ21" i="1"/>
  <c r="BE22" i="1"/>
  <c r="BE21" i="1"/>
  <c r="JI22" i="1"/>
  <c r="JI21" i="1"/>
  <c r="FW17" i="1"/>
  <c r="DX7" i="1"/>
  <c r="CD22" i="1"/>
  <c r="CD21" i="1"/>
  <c r="IS9" i="1"/>
  <c r="K22" i="1"/>
  <c r="K21" i="1"/>
  <c r="S22" i="1"/>
  <c r="S21" i="1"/>
  <c r="AE21" i="1"/>
  <c r="AZ11" i="1"/>
  <c r="G6" i="9" s="1"/>
  <c r="AM21" i="1"/>
  <c r="AM22" i="1"/>
  <c r="CL21" i="1"/>
  <c r="CV21" i="1"/>
  <c r="DF21" i="1"/>
  <c r="DN21" i="1"/>
  <c r="EV11" i="1"/>
  <c r="K6" i="9" s="1"/>
  <c r="FR21" i="1"/>
  <c r="FR22" i="1"/>
  <c r="FR26" i="1" s="1"/>
  <c r="GH21" i="1"/>
  <c r="GR21" i="1"/>
  <c r="GQ25" i="1" s="1"/>
  <c r="HC21" i="1"/>
  <c r="HA25" i="1" s="1"/>
  <c r="HK21" i="1"/>
  <c r="HJ25" i="1" s="1"/>
  <c r="DZ12" i="1"/>
  <c r="JS13" i="1"/>
  <c r="JR13" i="1"/>
  <c r="AZ17" i="1"/>
  <c r="DW17" i="1"/>
  <c r="HU17" i="1"/>
  <c r="DZ18" i="1"/>
  <c r="BA19" i="1"/>
  <c r="AE22" i="1"/>
  <c r="DI22" i="1"/>
  <c r="DH26" i="1" s="1"/>
  <c r="ES22" i="1"/>
  <c r="ES26" i="1" s="1"/>
  <c r="HX21" i="1"/>
  <c r="HX22" i="1"/>
  <c r="HW26" i="1" s="1"/>
  <c r="FG22" i="1"/>
  <c r="FG21" i="1"/>
  <c r="IB22" i="1"/>
  <c r="IB21" i="1"/>
  <c r="AB9" i="1"/>
  <c r="FV9" i="1"/>
  <c r="DG22" i="1"/>
  <c r="DG21" i="1"/>
  <c r="DO22" i="1"/>
  <c r="DO21" i="1"/>
  <c r="ED22" i="1"/>
  <c r="ED26" i="1" s="1"/>
  <c r="GI21" i="1"/>
  <c r="HM21" i="1"/>
  <c r="HM22" i="1"/>
  <c r="KA22" i="1"/>
  <c r="IS13" i="1"/>
  <c r="IT17" i="1"/>
  <c r="IS17" i="1"/>
  <c r="G21" i="1"/>
  <c r="CI21" i="1"/>
  <c r="DJ21" i="1"/>
  <c r="EK21" i="1"/>
  <c r="FE21" i="1"/>
  <c r="KC21" i="1"/>
  <c r="FF27" i="1"/>
  <c r="FF22" i="1"/>
  <c r="FF21" i="1"/>
  <c r="IA22" i="1"/>
  <c r="IA21" i="1"/>
  <c r="JR7" i="1"/>
  <c r="CE22" i="1"/>
  <c r="CE21" i="1"/>
  <c r="DA8" i="1"/>
  <c r="CY9" i="1"/>
  <c r="FX10" i="1"/>
  <c r="CM22" i="1"/>
  <c r="CM21" i="1"/>
  <c r="HD23" i="1"/>
  <c r="HD22" i="1"/>
  <c r="HD21" i="1"/>
  <c r="FV4" i="1"/>
  <c r="L14" i="9" s="1"/>
  <c r="BA7" i="1"/>
  <c r="CX7" i="1"/>
  <c r="EZ23" i="1"/>
  <c r="FU23" i="1" s="1"/>
  <c r="EZ22" i="1"/>
  <c r="EZ21" i="1"/>
  <c r="FH22" i="1"/>
  <c r="FH21" i="1"/>
  <c r="HT7" i="1"/>
  <c r="IC22" i="1"/>
  <c r="IC21" i="1"/>
  <c r="DZ8" i="1"/>
  <c r="AC9" i="1"/>
  <c r="CZ9" i="1"/>
  <c r="FW9" i="1"/>
  <c r="CB10" i="1"/>
  <c r="KS10" i="1"/>
  <c r="BJ21" i="1"/>
  <c r="BS21" i="1"/>
  <c r="CF22" i="1"/>
  <c r="CF21" i="1"/>
  <c r="CN22" i="1"/>
  <c r="CN21" i="1"/>
  <c r="DH21" i="1"/>
  <c r="DQ21" i="1"/>
  <c r="DQ25" i="1" s="1"/>
  <c r="DQ22" i="1"/>
  <c r="DQ26" i="1" s="1"/>
  <c r="GB23" i="1"/>
  <c r="GB27" i="1" s="1"/>
  <c r="GB22" i="1"/>
  <c r="GT11" i="1"/>
  <c r="M6" i="9" s="1"/>
  <c r="GB21" i="1"/>
  <c r="GJ22" i="1"/>
  <c r="GJ21" i="1"/>
  <c r="HE21" i="1"/>
  <c r="HE22" i="1"/>
  <c r="IX22" i="1"/>
  <c r="IV26" i="1" s="1"/>
  <c r="JF22" i="1"/>
  <c r="KB22" i="1"/>
  <c r="LR12" i="1"/>
  <c r="IU14" i="1"/>
  <c r="EV17" i="1"/>
  <c r="AD18" i="1"/>
  <c r="EL21" i="1"/>
  <c r="FL21" i="1"/>
  <c r="FL25" i="1" s="1"/>
  <c r="Y22" i="1"/>
  <c r="Y21" i="1"/>
  <c r="AQ22" i="1"/>
  <c r="AQ21" i="1"/>
  <c r="BD27" i="1"/>
  <c r="BD22" i="1"/>
  <c r="BD21" i="1"/>
  <c r="BL22" i="1"/>
  <c r="BL21" i="1"/>
  <c r="CH22" i="1"/>
  <c r="CH21" i="1"/>
  <c r="CP21" i="1"/>
  <c r="CP22" i="1"/>
  <c r="DB22" i="1"/>
  <c r="DB26" i="1" s="1"/>
  <c r="DW11" i="1"/>
  <c r="J6" i="9" s="1"/>
  <c r="DT22" i="1"/>
  <c r="DT21" i="1"/>
  <c r="GD22" i="1"/>
  <c r="GD21" i="1"/>
  <c r="IZ21" i="1"/>
  <c r="IZ22" i="1"/>
  <c r="JA22" i="1"/>
  <c r="JA21" i="1"/>
  <c r="HT4" i="1"/>
  <c r="N14" i="9" s="1"/>
  <c r="JR4" i="1"/>
  <c r="FA22" i="1"/>
  <c r="FA21" i="1"/>
  <c r="FU7" i="1"/>
  <c r="L4" i="9" s="1"/>
  <c r="T4" i="9" s="1"/>
  <c r="ID22" i="1"/>
  <c r="ID21" i="1"/>
  <c r="AD8" i="1"/>
  <c r="EW4" i="1"/>
  <c r="K14" i="9" s="1"/>
  <c r="DY9" i="1"/>
  <c r="GV9" i="1"/>
  <c r="GU9" i="1"/>
  <c r="F27" i="1"/>
  <c r="AA27" i="1" s="1"/>
  <c r="F22" i="1"/>
  <c r="N22" i="1"/>
  <c r="X22" i="1"/>
  <c r="X21" i="1"/>
  <c r="AH22" i="1"/>
  <c r="BK22" i="1"/>
  <c r="BK21" i="1"/>
  <c r="BT22" i="1"/>
  <c r="BT21" i="1"/>
  <c r="CG22" i="1"/>
  <c r="CG21" i="1"/>
  <c r="CO21" i="1"/>
  <c r="FI21" i="1"/>
  <c r="GC22" i="1"/>
  <c r="GC21" i="1"/>
  <c r="GK23" i="1"/>
  <c r="GK27" i="1" s="1"/>
  <c r="GK21" i="1"/>
  <c r="GX23" i="1"/>
  <c r="GX27" i="1" s="1"/>
  <c r="GX21" i="1"/>
  <c r="GX25" i="1" s="1"/>
  <c r="GX22" i="1"/>
  <c r="GX26" i="1" s="1"/>
  <c r="HS11" i="1"/>
  <c r="N6" i="9" s="1"/>
  <c r="HF21" i="1"/>
  <c r="HF22" i="1"/>
  <c r="HP23" i="1"/>
  <c r="HP27" i="1" s="1"/>
  <c r="HP22" i="1"/>
  <c r="HP26" i="1" s="1"/>
  <c r="HP21" i="1"/>
  <c r="IL25" i="1"/>
  <c r="JU23" i="1"/>
  <c r="JU22" i="1"/>
  <c r="JU26" i="1" s="1"/>
  <c r="KP4" i="1"/>
  <c r="JU21" i="1"/>
  <c r="AD12" i="1"/>
  <c r="CA13" i="1"/>
  <c r="BZ13" i="1"/>
  <c r="GV13" i="1"/>
  <c r="JS19" i="1"/>
  <c r="JR19" i="1"/>
  <c r="O21" i="1"/>
  <c r="AP21" i="1"/>
  <c r="HW21" i="1"/>
  <c r="CO22" i="1"/>
  <c r="GK22" i="1"/>
  <c r="JB22" i="1"/>
  <c r="JB26" i="1" s="1"/>
  <c r="JK22" i="1"/>
  <c r="JK26" i="1" s="1"/>
  <c r="KD22" i="1"/>
  <c r="KD26" i="1" s="1"/>
  <c r="CS21" i="1"/>
  <c r="DD21" i="1"/>
  <c r="DL21" i="1"/>
  <c r="EE21" i="1"/>
  <c r="GG21" i="1"/>
  <c r="GE25" i="1" s="1"/>
  <c r="GO21" i="1"/>
  <c r="GN25" i="1" s="1"/>
  <c r="IJ21" i="1"/>
  <c r="II25" i="1" s="1"/>
  <c r="IV21" i="1"/>
  <c r="JF21" i="1"/>
  <c r="KD21" i="1"/>
  <c r="GN23" i="1"/>
  <c r="GN27" i="1" s="1"/>
  <c r="GN22" i="1"/>
  <c r="GN26" i="1" s="1"/>
  <c r="HG23" i="1"/>
  <c r="HG27" i="1" s="1"/>
  <c r="HG22" i="1"/>
  <c r="HG26" i="1" s="1"/>
  <c r="II22" i="1"/>
  <c r="II26" i="1" s="1"/>
  <c r="LP11" i="1"/>
  <c r="EW13" i="1"/>
  <c r="CB14" i="1"/>
  <c r="FX14" i="1"/>
  <c r="JT14" i="1"/>
  <c r="AB17" i="1"/>
  <c r="EW19" i="1"/>
  <c r="CB20" i="1"/>
  <c r="FX20" i="1"/>
  <c r="JT20" i="1"/>
  <c r="DU21" i="1"/>
  <c r="EF21" i="1"/>
  <c r="EN21" i="1"/>
  <c r="EM25" i="1" s="1"/>
  <c r="IW21" i="1"/>
  <c r="KE21" i="1"/>
  <c r="JN22" i="1"/>
  <c r="BY24" i="1"/>
  <c r="CR22" i="1"/>
  <c r="CR26" i="1" s="1"/>
  <c r="EM22" i="1"/>
  <c r="EM26" i="1" s="1"/>
  <c r="JX22" i="1"/>
  <c r="JX23" i="1"/>
  <c r="JX27" i="1" s="1"/>
  <c r="LQ11" i="1"/>
  <c r="BC12" i="1"/>
  <c r="EY12" i="1"/>
  <c r="IU12" i="1"/>
  <c r="AB13" i="1"/>
  <c r="EX13" i="1"/>
  <c r="AC17" i="1"/>
  <c r="BC18" i="1"/>
  <c r="EY18" i="1"/>
  <c r="IU18" i="1"/>
  <c r="AB19" i="1"/>
  <c r="EX19" i="1"/>
  <c r="HT19" i="1"/>
  <c r="IX21" i="1"/>
  <c r="JV21" i="1"/>
  <c r="KF21" i="1"/>
  <c r="U22" i="1"/>
  <c r="U26" i="1" s="1"/>
  <c r="BG22" i="1"/>
  <c r="FJ22" i="1"/>
  <c r="GQ22" i="1"/>
  <c r="GQ23" i="1"/>
  <c r="GQ27" i="1" s="1"/>
  <c r="HA23" i="1"/>
  <c r="HA27" i="1" s="1"/>
  <c r="HA22" i="1"/>
  <c r="IL22" i="1"/>
  <c r="IL26" i="1" s="1"/>
  <c r="JE22" i="1"/>
  <c r="JO21" i="1"/>
  <c r="JN25" i="1" s="1"/>
  <c r="JO22" i="1"/>
  <c r="AC13" i="1"/>
  <c r="CY13" i="1"/>
  <c r="KQ13" i="1"/>
  <c r="DA14" i="1"/>
  <c r="GW14" i="1"/>
  <c r="KS14" i="1"/>
  <c r="LP17" i="1"/>
  <c r="AC19" i="1"/>
  <c r="CY19" i="1"/>
  <c r="HU19" i="1"/>
  <c r="KQ19" i="1"/>
  <c r="DA20" i="1"/>
  <c r="GW20" i="1"/>
  <c r="KS20" i="1"/>
  <c r="JK21" i="1"/>
  <c r="JW21" i="1"/>
  <c r="KG21" i="1"/>
  <c r="JY22" i="1"/>
  <c r="KZ26" i="1"/>
  <c r="CC27" i="1"/>
  <c r="CC22" i="1"/>
  <c r="HY21" i="1"/>
  <c r="HV8" i="1"/>
  <c r="LR8" i="1"/>
  <c r="BZ9" i="1"/>
  <c r="JR9" i="1"/>
  <c r="AD10" i="1"/>
  <c r="DZ10" i="1"/>
  <c r="HV10" i="1"/>
  <c r="LR10" i="1"/>
  <c r="BI22" i="1"/>
  <c r="BQ22" i="1"/>
  <c r="CK22" i="1"/>
  <c r="CI26" i="1" s="1"/>
  <c r="CU22" i="1"/>
  <c r="DE22" i="1"/>
  <c r="DM22" i="1"/>
  <c r="DK26" i="1" s="1"/>
  <c r="EG22" i="1"/>
  <c r="EP22" i="1"/>
  <c r="EP26" i="1" s="1"/>
  <c r="FI22" i="1"/>
  <c r="GH23" i="1"/>
  <c r="GH27" i="1" s="1"/>
  <c r="GH22" i="1"/>
  <c r="GR22" i="1"/>
  <c r="HB22" i="1"/>
  <c r="HJ23" i="1"/>
  <c r="HJ27" i="1" s="1"/>
  <c r="HJ22" i="1"/>
  <c r="JQ11" i="1"/>
  <c r="P6" i="9" s="1"/>
  <c r="JZ21" i="1"/>
  <c r="JZ22" i="1"/>
  <c r="KH21" i="1"/>
  <c r="KH22" i="1"/>
  <c r="CB12" i="1"/>
  <c r="FX12" i="1"/>
  <c r="JT12" i="1"/>
  <c r="CZ13" i="1"/>
  <c r="FV13" i="1"/>
  <c r="KR13" i="1"/>
  <c r="LQ17" i="1"/>
  <c r="CZ19" i="1"/>
  <c r="FV19" i="1"/>
  <c r="KR19" i="1"/>
  <c r="L21" i="1"/>
  <c r="L25" i="1" s="1"/>
  <c r="EQ21" i="1"/>
  <c r="EP25" i="1" s="1"/>
  <c r="HG21" i="1"/>
  <c r="HQ21" i="1"/>
  <c r="JB21" i="1"/>
  <c r="JL21" i="1"/>
  <c r="JX21" i="1"/>
  <c r="LC25" i="1"/>
  <c r="BJ22" i="1"/>
  <c r="BS22" i="1"/>
  <c r="CL22" i="1"/>
  <c r="CV22" i="1"/>
  <c r="DF22" i="1"/>
  <c r="DN22" i="1"/>
  <c r="EH22" i="1"/>
  <c r="GI22" i="1"/>
  <c r="HC22" i="1"/>
  <c r="HK22" i="1"/>
  <c r="IO21" i="1"/>
  <c r="IY21" i="1"/>
  <c r="IY22" i="1"/>
  <c r="JG21" i="1"/>
  <c r="JG22" i="1"/>
  <c r="KA21" i="1"/>
  <c r="AN21" i="1"/>
  <c r="BG21" i="1"/>
  <c r="BO21" i="1"/>
  <c r="FS21" i="1"/>
  <c r="HH21" i="1"/>
  <c r="JC21" i="1"/>
  <c r="LL25" i="1"/>
  <c r="KG22" i="1"/>
  <c r="LI26" i="1"/>
  <c r="LI25" i="1"/>
  <c r="LC26" i="1"/>
  <c r="KT25" i="1"/>
  <c r="KJ25" i="1"/>
  <c r="KW26" i="1"/>
  <c r="KM26" i="1"/>
  <c r="LF26" i="1"/>
  <c r="HZ25" i="1" l="1"/>
  <c r="HZ26" i="1"/>
  <c r="IC25" i="1"/>
  <c r="IC26" i="1"/>
  <c r="IF26" i="1"/>
  <c r="IF25" i="1"/>
  <c r="U6" i="9"/>
  <c r="T6" i="9"/>
  <c r="V5" i="9"/>
  <c r="AC5" i="9" s="1"/>
  <c r="I4" i="9"/>
  <c r="CX4" i="1"/>
  <c r="CZ3" i="1" s="1"/>
  <c r="O10" i="9"/>
  <c r="O15" i="9" s="1"/>
  <c r="BY4" i="1"/>
  <c r="CA3" i="1" s="1"/>
  <c r="CB3" i="1" s="1"/>
  <c r="GT23" i="1"/>
  <c r="GT27" i="1"/>
  <c r="JU27" i="1"/>
  <c r="KP27" i="1" s="1"/>
  <c r="KP23" i="1"/>
  <c r="P10" i="9"/>
  <c r="P15" i="9" s="1"/>
  <c r="J10" i="9"/>
  <c r="K10" i="9"/>
  <c r="K15" i="9" s="1"/>
  <c r="BB3" i="1"/>
  <c r="HD27" i="1"/>
  <c r="AA4" i="1"/>
  <c r="EZ27" i="1"/>
  <c r="FU27" i="1" s="1"/>
  <c r="FA28" i="1"/>
  <c r="FU4" i="1"/>
  <c r="CX27" i="1"/>
  <c r="BC4" i="1"/>
  <c r="BA22" i="1" s="1"/>
  <c r="BV25" i="1"/>
  <c r="CB4" i="1"/>
  <c r="BZ22" i="1" s="1"/>
  <c r="BJ26" i="1"/>
  <c r="BP26" i="1"/>
  <c r="O26" i="1"/>
  <c r="BS26" i="1"/>
  <c r="BM25" i="1"/>
  <c r="BG26" i="1"/>
  <c r="BS25" i="1"/>
  <c r="BM26" i="1"/>
  <c r="BJ25" i="1"/>
  <c r="BG25" i="1"/>
  <c r="BV26" i="1"/>
  <c r="X26" i="1"/>
  <c r="X25" i="1"/>
  <c r="I25" i="1"/>
  <c r="L26" i="1"/>
  <c r="O25" i="1"/>
  <c r="R25" i="1"/>
  <c r="I26" i="1"/>
  <c r="R26" i="1"/>
  <c r="BJ5" i="1"/>
  <c r="BM5" i="1" s="1"/>
  <c r="BP5" i="1" s="1"/>
  <c r="BS5" i="1" s="1"/>
  <c r="BV5" i="1" s="1"/>
  <c r="CC5" i="1" s="1"/>
  <c r="CF5" i="1" s="1"/>
  <c r="AW26" i="1"/>
  <c r="AQ26" i="1"/>
  <c r="AN25" i="1"/>
  <c r="AH25" i="1"/>
  <c r="AT25" i="1"/>
  <c r="AQ25" i="1"/>
  <c r="BZ17" i="1"/>
  <c r="AH26" i="1"/>
  <c r="AK25" i="1"/>
  <c r="AK26" i="1"/>
  <c r="AT26" i="1"/>
  <c r="JQ4" i="1"/>
  <c r="JS3" i="1" s="1"/>
  <c r="JT3" i="1" s="1"/>
  <c r="CY11" i="1"/>
  <c r="CA11" i="1"/>
  <c r="BZ11" i="1"/>
  <c r="AE25" i="1"/>
  <c r="AZ27" i="1"/>
  <c r="CZ11" i="1"/>
  <c r="CI25" i="1"/>
  <c r="CY17" i="1"/>
  <c r="CZ17" i="1"/>
  <c r="CA17" i="1"/>
  <c r="U14" i="9"/>
  <c r="BD26" i="1"/>
  <c r="T14" i="9"/>
  <c r="DB25" i="1"/>
  <c r="KG26" i="1"/>
  <c r="IY26" i="1"/>
  <c r="GK26" i="1"/>
  <c r="F26" i="1"/>
  <c r="AE26" i="1"/>
  <c r="LQ3" i="1"/>
  <c r="LR3" i="1" s="1"/>
  <c r="GQ26" i="1"/>
  <c r="FI25" i="1"/>
  <c r="DN26" i="1"/>
  <c r="IO25" i="1"/>
  <c r="DE26" i="1"/>
  <c r="CO25" i="1"/>
  <c r="GK25" i="1"/>
  <c r="GH25" i="1"/>
  <c r="GH26" i="1"/>
  <c r="ED25" i="1"/>
  <c r="EJ25" i="1"/>
  <c r="GB25" i="1"/>
  <c r="GB26" i="1"/>
  <c r="FR25" i="1"/>
  <c r="FI26" i="1"/>
  <c r="FF26" i="1"/>
  <c r="FF25" i="1"/>
  <c r="EZ25" i="1"/>
  <c r="EZ26" i="1"/>
  <c r="FC25" i="1"/>
  <c r="EG26" i="1"/>
  <c r="DH25" i="1"/>
  <c r="DK25" i="1"/>
  <c r="DE25" i="1"/>
  <c r="DN25" i="1"/>
  <c r="CU25" i="1"/>
  <c r="CU26" i="1"/>
  <c r="CO26" i="1"/>
  <c r="CR25" i="1"/>
  <c r="CL25" i="1"/>
  <c r="CL26" i="1"/>
  <c r="CF26" i="1"/>
  <c r="CF25" i="1"/>
  <c r="CC26" i="1"/>
  <c r="F25" i="1"/>
  <c r="HJ26" i="1"/>
  <c r="EA25" i="1"/>
  <c r="JE25" i="1"/>
  <c r="HW25" i="1"/>
  <c r="CC25" i="1"/>
  <c r="BD25" i="1"/>
  <c r="HA26" i="1"/>
  <c r="JX26" i="1"/>
  <c r="IV25" i="1"/>
  <c r="JB25" i="1"/>
  <c r="BB11" i="1"/>
  <c r="BA11" i="1"/>
  <c r="KS4" i="1"/>
  <c r="KQ22" i="1" s="1"/>
  <c r="AC11" i="1"/>
  <c r="AB11" i="1"/>
  <c r="LR4" i="1"/>
  <c r="LP22" i="1" s="1"/>
  <c r="KD25" i="1"/>
  <c r="HU11" i="1"/>
  <c r="HT11" i="1"/>
  <c r="DY11" i="1"/>
  <c r="DX11" i="1"/>
  <c r="FW11" i="1"/>
  <c r="DZ4" i="1"/>
  <c r="DX22" i="1" s="1"/>
  <c r="DW4" i="1"/>
  <c r="BB17" i="1"/>
  <c r="BA17" i="1"/>
  <c r="EX11" i="1"/>
  <c r="EV4" i="1"/>
  <c r="EW11" i="1"/>
  <c r="IS7" i="1"/>
  <c r="IR4" i="1"/>
  <c r="IT7" i="1"/>
  <c r="JT4" i="1"/>
  <c r="JR22" i="1" s="1"/>
  <c r="DY17" i="1"/>
  <c r="DX17" i="1"/>
  <c r="IY25" i="1"/>
  <c r="HG25" i="1"/>
  <c r="HV4" i="1"/>
  <c r="HT22" i="1" s="1"/>
  <c r="KR11" i="1"/>
  <c r="KQ11" i="1"/>
  <c r="LQ4" i="1"/>
  <c r="LO21" i="1" s="1"/>
  <c r="JH25" i="1"/>
  <c r="KG25" i="1"/>
  <c r="JE26" i="1"/>
  <c r="HP25" i="1"/>
  <c r="HD25" i="1"/>
  <c r="DA4" i="1"/>
  <c r="CY22" i="1" s="1"/>
  <c r="JH26" i="1"/>
  <c r="EY4" i="1"/>
  <c r="EW22" i="1" s="1"/>
  <c r="CY7" i="1"/>
  <c r="CZ7" i="1"/>
  <c r="KA25" i="1"/>
  <c r="HD26" i="1"/>
  <c r="IU4" i="1"/>
  <c r="IS22" i="1" s="1"/>
  <c r="JX25" i="1"/>
  <c r="JK25" i="1"/>
  <c r="S14" i="9"/>
  <c r="EX17" i="1"/>
  <c r="EW17" i="1"/>
  <c r="GV11" i="1"/>
  <c r="GU11" i="1"/>
  <c r="GT4" i="1"/>
  <c r="GV3" i="1" s="1"/>
  <c r="FX4" i="1"/>
  <c r="FV22" i="1" s="1"/>
  <c r="GW4" i="1"/>
  <c r="GU22" i="1" s="1"/>
  <c r="JR11" i="1"/>
  <c r="JS11" i="1"/>
  <c r="BY27" i="1"/>
  <c r="JN26" i="1"/>
  <c r="JU25" i="1"/>
  <c r="AD4" i="1"/>
  <c r="AB22" i="1" s="1"/>
  <c r="FV7" i="1"/>
  <c r="FW7" i="1"/>
  <c r="KA26" i="1"/>
  <c r="KR3" i="1"/>
  <c r="KS3" i="1" s="1"/>
  <c r="S4" i="9" l="1"/>
  <c r="V4" i="9" s="1"/>
  <c r="I10" i="9"/>
  <c r="I15" i="9" s="1"/>
  <c r="M10" i="9"/>
  <c r="M15" i="9" s="1"/>
  <c r="KP26" i="1"/>
  <c r="KP25" i="1"/>
  <c r="G10" i="9"/>
  <c r="G16" i="9" s="1"/>
  <c r="H16" i="9" s="1"/>
  <c r="H10" i="9"/>
  <c r="L10" i="9"/>
  <c r="L15" i="9" s="1"/>
  <c r="I11" i="9"/>
  <c r="FW4" i="1"/>
  <c r="FU21" i="1" s="1"/>
  <c r="BB4" i="1"/>
  <c r="AZ21" i="1" s="1"/>
  <c r="CA4" i="1"/>
  <c r="BY21" i="1" s="1"/>
  <c r="AA25" i="1"/>
  <c r="AA26" i="1"/>
  <c r="CI5" i="1"/>
  <c r="CL5" i="1" s="1"/>
  <c r="CO5" i="1" s="1"/>
  <c r="CR5" i="1" s="1"/>
  <c r="CU5" i="1" s="1"/>
  <c r="DB5" i="1" s="1"/>
  <c r="DE5" i="1" s="1"/>
  <c r="DH5" i="1" s="1"/>
  <c r="DK5" i="1" s="1"/>
  <c r="DN5" i="1" s="1"/>
  <c r="AZ25" i="1"/>
  <c r="AZ26" i="1"/>
  <c r="AC4" i="1"/>
  <c r="AA21" i="1" s="1"/>
  <c r="AC3" i="1"/>
  <c r="AD3" i="1" s="1"/>
  <c r="EX3" i="1"/>
  <c r="EY3" i="1" s="1"/>
  <c r="FW3" i="1"/>
  <c r="FX3" i="1" s="1"/>
  <c r="DA3" i="1"/>
  <c r="KR4" i="1"/>
  <c r="KP21" i="1" s="1"/>
  <c r="JS4" i="1"/>
  <c r="JQ21" i="1" s="1"/>
  <c r="GV4" i="1"/>
  <c r="GT21" i="1" s="1"/>
  <c r="H11" i="9"/>
  <c r="EX4" i="1"/>
  <c r="EV21" i="1" s="1"/>
  <c r="CZ4" i="1"/>
  <c r="CX21" i="1" s="1"/>
  <c r="IT4" i="1"/>
  <c r="IR21" i="1" s="1"/>
  <c r="P11" i="9"/>
  <c r="BC3" i="1"/>
  <c r="GW3" i="1"/>
  <c r="IT3" i="1"/>
  <c r="IU3" i="1" s="1"/>
  <c r="W4" i="9" l="1"/>
  <c r="AC4" i="9"/>
  <c r="V6" i="9"/>
  <c r="AC6" i="9" s="1"/>
  <c r="X4" i="9"/>
  <c r="H15" i="9"/>
  <c r="DQ5" i="1"/>
  <c r="DT5" i="1" s="1"/>
  <c r="EA5" i="1" s="1"/>
  <c r="ED5" i="1" s="1"/>
  <c r="EG5" i="1" s="1"/>
  <c r="EJ5" i="1" s="1"/>
  <c r="EM5" i="1" s="1"/>
  <c r="EP5" i="1" s="1"/>
  <c r="ES5" i="1" s="1"/>
  <c r="EZ5" i="1" s="1"/>
  <c r="FC5" i="1" s="1"/>
  <c r="FF5" i="1" s="1"/>
  <c r="FI5" i="1" s="1"/>
  <c r="FL5" i="1" s="1"/>
  <c r="FO5" i="1" s="1"/>
  <c r="FR5" i="1" s="1"/>
  <c r="FY5" i="1" s="1"/>
  <c r="GB5" i="1" s="1"/>
  <c r="GE5" i="1" s="1"/>
  <c r="GH5" i="1" s="1"/>
  <c r="GK5" i="1" s="1"/>
  <c r="GN5" i="1" s="1"/>
  <c r="GQ5" i="1" s="1"/>
  <c r="GX5" i="1" s="1"/>
  <c r="HA5" i="1" s="1"/>
  <c r="HD5" i="1" s="1"/>
  <c r="F10" i="9"/>
  <c r="F15" i="9" s="1"/>
  <c r="F11" i="9"/>
  <c r="G15" i="9"/>
  <c r="G11" i="9"/>
  <c r="L11" i="9"/>
  <c r="O11" i="9"/>
  <c r="K11" i="9"/>
  <c r="Q11" i="9"/>
  <c r="M11" i="9"/>
  <c r="S10" i="9" l="1"/>
  <c r="S15" i="9" s="1"/>
  <c r="W5" i="9"/>
  <c r="X5" i="9"/>
  <c r="S11" i="9"/>
  <c r="HG5" i="1"/>
  <c r="HJ5" i="1" s="1"/>
  <c r="HM5" i="1" s="1"/>
  <c r="HP5" i="1" s="1"/>
  <c r="HW5" i="1" s="1"/>
  <c r="HZ5" i="1" s="1"/>
  <c r="IC5" i="1" s="1"/>
  <c r="IF5" i="1" s="1"/>
  <c r="II5" i="1" s="1"/>
  <c r="IL5" i="1" s="1"/>
  <c r="IO5" i="1" s="1"/>
  <c r="IV5" i="1" s="1"/>
  <c r="IY5" i="1" s="1"/>
  <c r="JB5" i="1" s="1"/>
  <c r="JE5" i="1" s="1"/>
  <c r="JH5" i="1" s="1"/>
  <c r="JK5" i="1" s="1"/>
  <c r="JN5" i="1" s="1"/>
  <c r="JU5" i="1" s="1"/>
  <c r="JX5" i="1" s="1"/>
  <c r="X8" i="9" l="1"/>
  <c r="KA5" i="1"/>
  <c r="KD5" i="1" s="1"/>
  <c r="KG5" i="1" s="1"/>
  <c r="KJ5" i="1" s="1"/>
  <c r="KM5" i="1" s="1"/>
  <c r="KT5" i="1" s="1"/>
  <c r="KW5" i="1" s="1"/>
  <c r="KZ5" i="1" s="1"/>
  <c r="LC5" i="1" s="1"/>
  <c r="LF5" i="1" s="1"/>
  <c r="LI5" i="1" s="1"/>
  <c r="LL5" i="1" s="1"/>
  <c r="W6" i="9"/>
  <c r="X6" i="9"/>
  <c r="W9" i="9"/>
  <c r="X9" i="9"/>
  <c r="W8" i="9"/>
  <c r="DV21" i="1" l="1"/>
  <c r="DT25" i="1" s="1"/>
  <c r="DT27" i="1"/>
  <c r="DW27" i="1" s="1"/>
  <c r="DY13" i="1"/>
  <c r="DY4" i="1" s="1"/>
  <c r="DW21" i="1" s="1"/>
  <c r="DV22" i="1"/>
  <c r="DT26" i="1" s="1"/>
  <c r="DY3" i="1"/>
  <c r="DZ3" i="1" s="1"/>
  <c r="J15" i="9"/>
  <c r="J11" i="9"/>
  <c r="T10" i="9" l="1"/>
  <c r="T15" i="9" s="1"/>
  <c r="T11" i="9"/>
  <c r="HN22" i="1" l="1"/>
  <c r="HM26" i="1" s="1"/>
  <c r="HN21" i="1"/>
  <c r="HM25" i="1" s="1"/>
  <c r="HM23" i="1"/>
  <c r="HS13" i="1"/>
  <c r="HS4" i="1" l="1"/>
  <c r="N7" i="9"/>
  <c r="U7" i="9" s="1"/>
  <c r="HM27" i="1"/>
  <c r="HS27" i="1" s="1"/>
  <c r="HS23" i="1"/>
  <c r="HT13" i="1"/>
  <c r="HU3" i="1"/>
  <c r="HV3" i="1" s="1"/>
  <c r="HU13" i="1"/>
  <c r="V7" i="9" l="1"/>
  <c r="AC7" i="9" s="1"/>
  <c r="N10" i="9"/>
  <c r="N15" i="9" s="1"/>
  <c r="HU4" i="1"/>
  <c r="HS21" i="1" s="1"/>
  <c r="N11" i="9"/>
  <c r="U10" i="9" l="1"/>
  <c r="U15" i="9" s="1"/>
  <c r="U11" i="9"/>
  <c r="W11" i="9" s="1"/>
  <c r="C11" i="9"/>
  <c r="AC10" i="9" l="1"/>
  <c r="AC11" i="9"/>
  <c r="AC12" i="9" s="1"/>
  <c r="AC14" i="9" s="1"/>
  <c r="X7" i="9"/>
  <c r="X10" i="9" s="1"/>
  <c r="V10" i="9"/>
  <c r="W7" i="9"/>
  <c r="W10" i="9" s="1"/>
</calcChain>
</file>

<file path=xl/sharedStrings.xml><?xml version="1.0" encoding="utf-8"?>
<sst xmlns="http://schemas.openxmlformats.org/spreadsheetml/2006/main" count="584" uniqueCount="159">
  <si>
    <t>Model</t>
  </si>
  <si>
    <t>Description</t>
  </si>
  <si>
    <t>Price</t>
  </si>
  <si>
    <t>Status</t>
  </si>
  <si>
    <t>Total P</t>
  </si>
  <si>
    <t>Total R</t>
  </si>
  <si>
    <t>Plan</t>
  </si>
  <si>
    <t>Results</t>
  </si>
  <si>
    <t>Week</t>
  </si>
  <si>
    <t>1st Shift</t>
  </si>
  <si>
    <t>2nd Shift</t>
  </si>
  <si>
    <t>3rd Shift</t>
  </si>
  <si>
    <t>WA</t>
  </si>
  <si>
    <t xml:space="preserve">PLAN DE PRODUCCION </t>
  </si>
  <si>
    <t>Production planned vs Weekly target</t>
  </si>
  <si>
    <t>$$</t>
  </si>
  <si>
    <t>Modelo</t>
  </si>
  <si>
    <t>BADBD68216-001</t>
  </si>
  <si>
    <t>BADBD69603-001</t>
  </si>
  <si>
    <t>INTEGRAL REMOTE SHUT OFFVALVE</t>
  </si>
  <si>
    <t>Nimbus Alternate Cellular CAT M</t>
  </si>
  <si>
    <t>UPH</t>
  </si>
  <si>
    <t>CHI_BAD</t>
  </si>
  <si>
    <t>BADBD69770-001</t>
  </si>
  <si>
    <t>ORION CELLULAR C ENDPOINT</t>
  </si>
  <si>
    <t>PCB ASSEMBLY - ORION CELLULAR HLB ENDPOINT</t>
  </si>
  <si>
    <t>Total pcs</t>
  </si>
  <si>
    <t>UPH x Equipo</t>
  </si>
  <si>
    <t>Plan BE pcs</t>
  </si>
  <si>
    <t>BADBD69529-006</t>
  </si>
  <si>
    <t>ORION CELLULAR HLD ENDPOINT US CELLULAR SIM - NO M</t>
  </si>
  <si>
    <t>ORION MOBILE M ENDPOINT</t>
  </si>
  <si>
    <t>$$ std</t>
  </si>
  <si>
    <t>$$ Sell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</si>
  <si>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</si>
  <si>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</si>
  <si>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</si>
  <si>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</si>
  <si>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</si>
  <si>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</si>
  <si>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</si>
  <si>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</si>
  <si>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</si>
  <si>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</si>
  <si>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</si>
  <si>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</si>
  <si>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</si>
  <si>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Mes calendario</t>
  </si>
  <si>
    <t>Delta</t>
  </si>
  <si>
    <t xml:space="preserve">Real </t>
  </si>
  <si>
    <t>%</t>
  </si>
  <si>
    <t>HC</t>
  </si>
  <si>
    <t>Plan BE pcs Q2</t>
  </si>
  <si>
    <t>Apr</t>
  </si>
  <si>
    <t>May</t>
  </si>
  <si>
    <t>Jun</t>
  </si>
  <si>
    <t>Plan WK17</t>
  </si>
  <si>
    <t>Plan WK18</t>
  </si>
  <si>
    <t>Plan WK19</t>
  </si>
  <si>
    <t>Plan WK20</t>
  </si>
  <si>
    <t>Plan WK21</t>
  </si>
  <si>
    <t>Plan WK22</t>
  </si>
  <si>
    <t>Plan WK23</t>
  </si>
  <si>
    <t>Plan WK24</t>
  </si>
  <si>
    <t>Plan WK25</t>
  </si>
  <si>
    <t>Plan WK26</t>
  </si>
  <si>
    <t>$$ Std</t>
  </si>
  <si>
    <t>CODIGO DE COLOR</t>
  </si>
  <si>
    <t>VERDE</t>
  </si>
  <si>
    <t>Piezas que estan Clear y no tienen ningun otro problema</t>
  </si>
  <si>
    <t>ROJO</t>
  </si>
  <si>
    <t>Piezas que ya deben correr pero estan afectadas por un corto de material</t>
  </si>
  <si>
    <t>AMARILLO</t>
  </si>
  <si>
    <t>Piezas que estan afectadas con un corto,  pero el corto llega en esa semana y SI salen las piezas.</t>
  </si>
  <si>
    <t>AZUL</t>
  </si>
  <si>
    <t>Piezas que ya tienen pero que estan en diagnostico y reparacion.</t>
  </si>
  <si>
    <t>NARANJA</t>
  </si>
  <si>
    <t>Piezas que tienen un problema de capacidad (Head Count)</t>
  </si>
  <si>
    <t>OTROS</t>
  </si>
  <si>
    <t>Piezas afectadas por problemas diferentes  a los arriba mencionados</t>
  </si>
  <si>
    <t>Demand</t>
  </si>
  <si>
    <t>BADBD70188-001</t>
  </si>
  <si>
    <t>BADBD70188-006</t>
  </si>
  <si>
    <t>FG</t>
  </si>
  <si>
    <t>A planear</t>
  </si>
  <si>
    <t>Venta</t>
  </si>
  <si>
    <t>kanban</t>
  </si>
  <si>
    <t>Jan</t>
  </si>
  <si>
    <t>Feb</t>
  </si>
  <si>
    <t>Mar</t>
  </si>
  <si>
    <t>BADBD69798-001</t>
  </si>
  <si>
    <t>Plan WK01</t>
  </si>
  <si>
    <t>Plan WK02</t>
  </si>
  <si>
    <t>Plan WK03</t>
  </si>
  <si>
    <t>Plan WK04</t>
  </si>
  <si>
    <t>Plan WK05</t>
  </si>
  <si>
    <t>Plan WK06</t>
  </si>
  <si>
    <t>Plan WK07</t>
  </si>
  <si>
    <t>Plan WK08</t>
  </si>
  <si>
    <t>Plan WK09</t>
  </si>
  <si>
    <t>Plan WK10</t>
  </si>
  <si>
    <t>Plan WK11</t>
  </si>
  <si>
    <t>Plan WK12</t>
  </si>
  <si>
    <t>Plan WK13</t>
  </si>
  <si>
    <t>BADBD70203-001</t>
  </si>
  <si>
    <t>Date</t>
  </si>
  <si>
    <t>WO</t>
  </si>
  <si>
    <t>NP</t>
  </si>
  <si>
    <t>AGE</t>
  </si>
  <si>
    <t>QTY</t>
  </si>
  <si>
    <t>50531351</t>
  </si>
  <si>
    <t>50531352</t>
  </si>
  <si>
    <t>50531353</t>
  </si>
  <si>
    <t>50531354</t>
  </si>
  <si>
    <t>50531355</t>
  </si>
  <si>
    <t>50531356</t>
  </si>
  <si>
    <t>50531357</t>
  </si>
  <si>
    <t>50531358</t>
  </si>
  <si>
    <t>50531359</t>
  </si>
  <si>
    <t>50531360</t>
  </si>
  <si>
    <t>50531361</t>
  </si>
  <si>
    <t>50531362</t>
  </si>
  <si>
    <t>50531363</t>
  </si>
  <si>
    <t>50531364</t>
  </si>
  <si>
    <t>50531365</t>
  </si>
  <si>
    <t>50531366</t>
  </si>
  <si>
    <t>Complete</t>
  </si>
  <si>
    <t>Fail</t>
  </si>
  <si>
    <t>Scrap</t>
  </si>
  <si>
    <t>In process</t>
  </si>
  <si>
    <t>BL</t>
  </si>
  <si>
    <t>50531367</t>
  </si>
  <si>
    <t>50531368</t>
  </si>
  <si>
    <t>50531369</t>
  </si>
  <si>
    <t>50531370</t>
  </si>
  <si>
    <t>50531371</t>
  </si>
  <si>
    <t>50531372</t>
  </si>
  <si>
    <t>50531390</t>
  </si>
  <si>
    <t>50531391</t>
  </si>
  <si>
    <t>50531392</t>
  </si>
  <si>
    <t>50531373</t>
  </si>
  <si>
    <t>50531374</t>
  </si>
  <si>
    <t>50531375</t>
  </si>
  <si>
    <t>50531376</t>
  </si>
  <si>
    <t>50531377</t>
  </si>
  <si>
    <t>50531378</t>
  </si>
  <si>
    <t>50531379</t>
  </si>
  <si>
    <t>50531380</t>
  </si>
  <si>
    <t>50531381</t>
  </si>
  <si>
    <t>50531382</t>
  </si>
  <si>
    <t>50531383</t>
  </si>
  <si>
    <t>50531384</t>
  </si>
  <si>
    <t>50531385</t>
  </si>
  <si>
    <t>50531386</t>
  </si>
  <si>
    <t>50531387</t>
  </si>
  <si>
    <t>50531388</t>
  </si>
  <si>
    <t>50531393</t>
  </si>
  <si>
    <t>50531394</t>
  </si>
  <si>
    <t>50531395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</si>
</sst>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.0_);[Red]\(&quot;$&quot;#,##0.0\)"/>
    <numFmt numFmtId="168" formatCode="0_);[Red]\(0\)"/>
    <numFmt numFmtId="169" formatCode="&quot;$&quot;#,##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206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9">
    <xf numFmtId="0" fontId="0" fillId="0" borderId="0" xfId="0"/>
    <xf numFmtId="0" fontId="0" fillId="0" borderId="0" xfId="0" applyAlignment="1">
      <alignment horizontal="center"/>
    </xf>
    <xf numFmtId="16" fontId="4" fillId="2" borderId="3" xfId="0" applyNumberFormat="1" applyFont="1" applyFill="1" applyBorder="1" applyAlignment="1">
      <alignment textRotation="90"/>
    </xf>
    <xf numFmtId="16" fontId="4" fillId="0" borderId="3" xfId="0" applyNumberFormat="1" applyFont="1" applyBorder="1" applyAlignment="1">
      <alignment textRotation="90"/>
    </xf>
    <xf numFmtId="0" fontId="9" fillId="3" borderId="3" xfId="0" applyFont="1" applyFill="1" applyBorder="1"/>
    <xf numFmtId="0" fontId="0" fillId="0" borderId="7" xfId="0" applyBorder="1"/>
    <xf numFmtId="0" fontId="0" fillId="0" borderId="8" xfId="0" applyBorder="1"/>
    <xf numFmtId="9" fontId="9" fillId="0" borderId="9" xfId="2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2" fillId="0" borderId="0" xfId="0" applyFont="1"/>
    <xf numFmtId="0" fontId="11" fillId="0" borderId="0" xfId="0" applyFont="1"/>
    <xf numFmtId="164" fontId="7" fillId="0" borderId="6" xfId="0" applyNumberFormat="1" applyFont="1" applyBorder="1"/>
    <xf numFmtId="0" fontId="7" fillId="0" borderId="6" xfId="0" applyFont="1" applyBorder="1"/>
    <xf numFmtId="164" fontId="7" fillId="0" borderId="14" xfId="0" applyNumberFormat="1" applyFont="1" applyBorder="1"/>
    <xf numFmtId="0" fontId="4" fillId="0" borderId="14" xfId="0" applyFont="1" applyBorder="1" applyAlignment="1">
      <alignment horizontal="center" vertical="center"/>
    </xf>
    <xf numFmtId="164" fontId="7" fillId="0" borderId="15" xfId="0" applyNumberFormat="1" applyFont="1" applyBorder="1"/>
    <xf numFmtId="164" fontId="7" fillId="0" borderId="17" xfId="0" applyNumberFormat="1" applyFont="1" applyBorder="1"/>
    <xf numFmtId="0" fontId="4" fillId="0" borderId="17" xfId="0" applyFont="1" applyBorder="1" applyAlignment="1">
      <alignment horizontal="center" vertical="center"/>
    </xf>
    <xf numFmtId="164" fontId="7" fillId="0" borderId="18" xfId="0" applyNumberFormat="1" applyFont="1" applyBorder="1"/>
    <xf numFmtId="16" fontId="4" fillId="2" borderId="7" xfId="0" applyNumberFormat="1" applyFont="1" applyFill="1" applyBorder="1" applyAlignment="1">
      <alignment textRotation="90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" fontId="4" fillId="2" borderId="21" xfId="0" applyNumberFormat="1" applyFont="1" applyFill="1" applyBorder="1" applyAlignment="1">
      <alignment textRotation="90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16" fontId="4" fillId="0" borderId="27" xfId="0" applyNumberFormat="1" applyFont="1" applyBorder="1" applyAlignment="1">
      <alignment textRotation="90"/>
    </xf>
    <xf numFmtId="16" fontId="4" fillId="0" borderId="28" xfId="0" applyNumberFormat="1" applyFont="1" applyBorder="1" applyAlignment="1">
      <alignment textRotation="90"/>
    </xf>
    <xf numFmtId="0" fontId="4" fillId="0" borderId="29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7" fillId="0" borderId="19" xfId="0" applyFont="1" applyBorder="1"/>
    <xf numFmtId="0" fontId="7" fillId="0" borderId="20" xfId="0" applyFont="1" applyBorder="1"/>
    <xf numFmtId="16" fontId="4" fillId="2" borderId="27" xfId="0" applyNumberFormat="1" applyFont="1" applyFill="1" applyBorder="1" applyAlignment="1">
      <alignment textRotation="90"/>
    </xf>
    <xf numFmtId="16" fontId="4" fillId="2" borderId="28" xfId="0" applyNumberFormat="1" applyFont="1" applyFill="1" applyBorder="1" applyAlignment="1">
      <alignment textRotation="90"/>
    </xf>
    <xf numFmtId="164" fontId="7" fillId="0" borderId="5" xfId="0" applyNumberFormat="1" applyFont="1" applyBorder="1"/>
    <xf numFmtId="164" fontId="7" fillId="0" borderId="32" xfId="0" applyNumberFormat="1" applyFont="1" applyBorder="1"/>
    <xf numFmtId="0" fontId="9" fillId="3" borderId="33" xfId="0" applyFont="1" applyFill="1" applyBorder="1"/>
    <xf numFmtId="0" fontId="9" fillId="3" borderId="34" xfId="0" applyFont="1" applyFill="1" applyBorder="1"/>
    <xf numFmtId="0" fontId="9" fillId="3" borderId="35" xfId="0" applyFont="1" applyFill="1" applyBorder="1"/>
    <xf numFmtId="0" fontId="9" fillId="3" borderId="27" xfId="0" applyFont="1" applyFill="1" applyBorder="1"/>
    <xf numFmtId="0" fontId="9" fillId="3" borderId="28" xfId="0" applyFont="1" applyFill="1" applyBorder="1"/>
    <xf numFmtId="0" fontId="6" fillId="0" borderId="0" xfId="0" applyFont="1"/>
    <xf numFmtId="0" fontId="4" fillId="0" borderId="0" xfId="0" applyFont="1"/>
    <xf numFmtId="164" fontId="7" fillId="0" borderId="0" xfId="0" applyNumberFormat="1" applyFont="1" applyAlignment="1">
      <alignment textRotation="90"/>
    </xf>
    <xf numFmtId="0" fontId="7" fillId="0" borderId="36" xfId="0" applyFont="1" applyBorder="1"/>
    <xf numFmtId="164" fontId="7" fillId="0" borderId="2" xfId="0" applyNumberFormat="1" applyFont="1" applyBorder="1" applyAlignment="1">
      <alignment textRotation="90"/>
    </xf>
    <xf numFmtId="0" fontId="7" fillId="0" borderId="2" xfId="0" applyFont="1" applyBorder="1"/>
    <xf numFmtId="0" fontId="7" fillId="0" borderId="4" xfId="0" applyFont="1" applyBorder="1"/>
    <xf numFmtId="164" fontId="7" fillId="0" borderId="6" xfId="0" applyNumberFormat="1" applyFont="1" applyBorder="1" applyAlignment="1">
      <alignment textRotation="90"/>
    </xf>
    <xf numFmtId="0" fontId="5" fillId="4" borderId="1" xfId="0" applyFont="1" applyFill="1" applyBorder="1"/>
    <xf numFmtId="164" fontId="9" fillId="0" borderId="6" xfId="0" applyNumberFormat="1" applyFont="1" applyBorder="1" applyAlignment="1">
      <alignment textRotation="90"/>
    </xf>
    <xf numFmtId="164" fontId="9" fillId="0" borderId="2" xfId="0" applyNumberFormat="1" applyFont="1" applyBorder="1" applyAlignment="1">
      <alignment textRotation="90"/>
    </xf>
    <xf numFmtId="1" fontId="4" fillId="0" borderId="29" xfId="0" applyNumberFormat="1" applyFont="1" applyBorder="1" applyAlignment="1">
      <alignment horizontal="center" vertical="center"/>
    </xf>
    <xf numFmtId="1" fontId="4" fillId="0" borderId="14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 vertical="center"/>
    </xf>
    <xf numFmtId="1" fontId="4" fillId="0" borderId="17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" fontId="4" fillId="5" borderId="29" xfId="0" applyNumberFormat="1" applyFont="1" applyFill="1" applyBorder="1" applyAlignment="1">
      <alignment horizontal="center"/>
    </xf>
    <xf numFmtId="1" fontId="10" fillId="0" borderId="14" xfId="0" applyNumberFormat="1" applyFont="1" applyBorder="1" applyAlignment="1">
      <alignment horizontal="center"/>
    </xf>
    <xf numFmtId="1" fontId="4" fillId="0" borderId="30" xfId="0" applyNumberFormat="1" applyFont="1" applyBorder="1" applyAlignment="1">
      <alignment horizontal="center"/>
    </xf>
    <xf numFmtId="1" fontId="4" fillId="5" borderId="17" xfId="0" applyNumberFormat="1" applyFont="1" applyFill="1" applyBorder="1" applyAlignment="1">
      <alignment horizontal="center"/>
    </xf>
    <xf numFmtId="0" fontId="5" fillId="4" borderId="39" xfId="0" applyFont="1" applyFill="1" applyBorder="1"/>
    <xf numFmtId="0" fontId="8" fillId="0" borderId="1" xfId="0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1" fontId="0" fillId="0" borderId="0" xfId="0" applyNumberFormat="1"/>
    <xf numFmtId="0" fontId="11" fillId="6" borderId="1" xfId="0" applyFont="1" applyFill="1" applyBorder="1" applyAlignment="1">
      <alignment horizontal="center"/>
    </xf>
    <xf numFmtId="165" fontId="8" fillId="0" borderId="0" xfId="1" applyNumberFormat="1" applyFont="1"/>
    <xf numFmtId="166" fontId="7" fillId="0" borderId="2" xfId="3" applyNumberFormat="1" applyFont="1" applyFill="1" applyBorder="1" applyAlignment="1">
      <alignment horizontal="center"/>
    </xf>
    <xf numFmtId="0" fontId="9" fillId="8" borderId="2" xfId="0" applyFont="1" applyFill="1" applyBorder="1" applyAlignment="1">
      <alignment horizontal="center" wrapText="1"/>
    </xf>
    <xf numFmtId="0" fontId="9" fillId="8" borderId="2" xfId="0" applyFont="1" applyFill="1" applyBorder="1" applyAlignment="1">
      <alignment horizontal="center"/>
    </xf>
    <xf numFmtId="166" fontId="9" fillId="8" borderId="2" xfId="3" applyNumberFormat="1" applyFont="1" applyFill="1" applyBorder="1" applyAlignment="1">
      <alignment horizontal="center"/>
    </xf>
    <xf numFmtId="1" fontId="4" fillId="0" borderId="23" xfId="0" applyNumberFormat="1" applyFont="1" applyBorder="1" applyAlignment="1">
      <alignment horizontal="center" vertical="center"/>
    </xf>
    <xf numFmtId="1" fontId="4" fillId="0" borderId="20" xfId="0" applyNumberFormat="1" applyFont="1" applyBorder="1" applyAlignment="1">
      <alignment horizontal="center" vertical="center"/>
    </xf>
    <xf numFmtId="0" fontId="3" fillId="0" borderId="0" xfId="0" applyFont="1"/>
    <xf numFmtId="166" fontId="7" fillId="0" borderId="2" xfId="3" applyNumberFormat="1" applyFont="1" applyBorder="1" applyAlignment="1">
      <alignment horizontal="center" vertical="center"/>
    </xf>
    <xf numFmtId="166" fontId="9" fillId="8" borderId="2" xfId="3" applyNumberFormat="1" applyFont="1" applyFill="1" applyBorder="1" applyAlignment="1">
      <alignment horizontal="center" vertical="center"/>
    </xf>
    <xf numFmtId="166" fontId="7" fillId="3" borderId="2" xfId="3" applyNumberFormat="1" applyFont="1" applyFill="1" applyBorder="1" applyAlignment="1">
      <alignment horizontal="center"/>
    </xf>
    <xf numFmtId="166" fontId="7" fillId="9" borderId="2" xfId="3" applyNumberFormat="1" applyFont="1" applyFill="1" applyBorder="1" applyAlignment="1">
      <alignment horizontal="center"/>
    </xf>
    <xf numFmtId="1" fontId="12" fillId="0" borderId="14" xfId="0" applyNumberFormat="1" applyFont="1" applyBorder="1" applyAlignment="1">
      <alignment horizontal="center"/>
    </xf>
    <xf numFmtId="9" fontId="0" fillId="0" borderId="0" xfId="2" applyFont="1"/>
    <xf numFmtId="0" fontId="0" fillId="0" borderId="2" xfId="0" applyBorder="1" applyAlignment="1">
      <alignment horizontal="center"/>
    </xf>
    <xf numFmtId="43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9" fontId="7" fillId="9" borderId="2" xfId="2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43" fontId="0" fillId="0" borderId="0" xfId="0" applyNumberFormat="1" applyAlignment="1">
      <alignment horizontal="center"/>
    </xf>
    <xf numFmtId="168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3" fillId="7" borderId="2" xfId="0" applyNumberFormat="1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164" fontId="9" fillId="0" borderId="2" xfId="0" applyNumberFormat="1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42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9" fontId="4" fillId="0" borderId="9" xfId="2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0" xfId="0" applyFont="1" applyAlignment="1">
      <alignment horizontal="center"/>
    </xf>
    <xf numFmtId="16" fontId="9" fillId="3" borderId="24" xfId="0" applyNumberFormat="1" applyFont="1" applyFill="1" applyBorder="1" applyAlignment="1">
      <alignment horizontal="center"/>
    </xf>
    <xf numFmtId="16" fontId="9" fillId="3" borderId="25" xfId="0" applyNumberFormat="1" applyFont="1" applyFill="1" applyBorder="1" applyAlignment="1">
      <alignment horizontal="center"/>
    </xf>
    <xf numFmtId="16" fontId="9" fillId="3" borderId="26" xfId="0" applyNumberFormat="1" applyFont="1" applyFill="1" applyBorder="1" applyAlignment="1">
      <alignment horizontal="center"/>
    </xf>
    <xf numFmtId="0" fontId="7" fillId="0" borderId="4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166" fontId="4" fillId="0" borderId="0" xfId="0" applyNumberFormat="1" applyFont="1"/>
    <xf numFmtId="0" fontId="7" fillId="0" borderId="43" xfId="0" applyFont="1" applyBorder="1"/>
    <xf numFmtId="0" fontId="8" fillId="0" borderId="0" xfId="0" applyFont="1"/>
    <xf numFmtId="0" fontId="0" fillId="10" borderId="0" xfId="0" applyFill="1"/>
    <xf numFmtId="166" fontId="7" fillId="9" borderId="2" xfId="3" applyNumberFormat="1" applyFont="1" applyFill="1" applyBorder="1" applyAlignment="1"/>
    <xf numFmtId="166" fontId="0" fillId="0" borderId="0" xfId="0" applyNumberFormat="1"/>
    <xf numFmtId="166" fontId="7" fillId="0" borderId="0" xfId="0" applyNumberFormat="1" applyFont="1"/>
    <xf numFmtId="0" fontId="7" fillId="0" borderId="0" xfId="0" applyFont="1"/>
    <xf numFmtId="16" fontId="0" fillId="0" borderId="0" xfId="0" applyNumberFormat="1"/>
    <xf numFmtId="8" fontId="0" fillId="0" borderId="0" xfId="0" applyNumberFormat="1"/>
    <xf numFmtId="0" fontId="16" fillId="11" borderId="51" xfId="0" applyFont="1" applyFill="1" applyBorder="1" applyAlignment="1">
      <alignment horizontal="center"/>
    </xf>
    <xf numFmtId="0" fontId="15" fillId="0" borderId="51" xfId="0" applyFont="1" applyBorder="1" applyAlignment="1">
      <alignment horizontal="left"/>
    </xf>
    <xf numFmtId="0" fontId="14" fillId="12" borderId="51" xfId="0" applyFont="1" applyFill="1" applyBorder="1" applyAlignment="1">
      <alignment horizontal="center"/>
    </xf>
    <xf numFmtId="0" fontId="17" fillId="13" borderId="51" xfId="0" applyFont="1" applyFill="1" applyBorder="1" applyAlignment="1">
      <alignment horizontal="center"/>
    </xf>
    <xf numFmtId="0" fontId="14" fillId="14" borderId="51" xfId="0" applyFont="1" applyFill="1" applyBorder="1" applyAlignment="1">
      <alignment horizontal="center"/>
    </xf>
    <xf numFmtId="0" fontId="14" fillId="15" borderId="51" xfId="0" applyFont="1" applyFill="1" applyBorder="1" applyAlignment="1">
      <alignment horizontal="center"/>
    </xf>
    <xf numFmtId="0" fontId="14" fillId="16" borderId="51" xfId="0" applyFont="1" applyFill="1" applyBorder="1" applyAlignment="1">
      <alignment horizontal="center"/>
    </xf>
    <xf numFmtId="1" fontId="8" fillId="0" borderId="0" xfId="0" applyNumberFormat="1" applyFont="1"/>
    <xf numFmtId="168" fontId="8" fillId="0" borderId="0" xfId="0" applyNumberFormat="1" applyFont="1"/>
    <xf numFmtId="9" fontId="4" fillId="0" borderId="0" xfId="2" applyFont="1" applyAlignment="1">
      <alignment horizontal="center"/>
    </xf>
    <xf numFmtId="9" fontId="8" fillId="0" borderId="0" xfId="2" applyFont="1"/>
    <xf numFmtId="1" fontId="8" fillId="0" borderId="7" xfId="0" applyNumberFormat="1" applyFont="1" applyBorder="1"/>
    <xf numFmtId="1" fontId="8" fillId="0" borderId="8" xfId="0" applyNumberFormat="1" applyFont="1" applyBorder="1"/>
    <xf numFmtId="1" fontId="8" fillId="0" borderId="21" xfId="0" applyNumberFormat="1" applyFont="1" applyBorder="1"/>
    <xf numFmtId="0" fontId="8" fillId="0" borderId="31" xfId="0" applyFont="1" applyBorder="1"/>
    <xf numFmtId="0" fontId="8" fillId="0" borderId="52" xfId="0" applyFont="1" applyBorder="1"/>
    <xf numFmtId="168" fontId="8" fillId="0" borderId="45" xfId="0" applyNumberFormat="1" applyFont="1" applyBorder="1"/>
    <xf numFmtId="168" fontId="8" fillId="0" borderId="11" xfId="0" applyNumberFormat="1" applyFont="1" applyBorder="1"/>
    <xf numFmtId="168" fontId="8" fillId="0" borderId="53" xfId="0" applyNumberFormat="1" applyFont="1" applyBorder="1"/>
    <xf numFmtId="9" fontId="4" fillId="0" borderId="0" xfId="2" applyFont="1"/>
    <xf numFmtId="168" fontId="4" fillId="0" borderId="0" xfId="0" applyNumberFormat="1" applyFont="1"/>
    <xf numFmtId="165" fontId="7" fillId="3" borderId="2" xfId="1" applyNumberFormat="1" applyFont="1" applyFill="1" applyBorder="1" applyAlignment="1">
      <alignment horizontal="center"/>
    </xf>
    <xf numFmtId="165" fontId="9" fillId="8" borderId="2" xfId="1" applyNumberFormat="1" applyFont="1" applyFill="1" applyBorder="1" applyAlignment="1">
      <alignment horizontal="center"/>
    </xf>
    <xf numFmtId="1" fontId="10" fillId="0" borderId="0" xfId="0" applyNumberFormat="1" applyFont="1" applyAlignment="1">
      <alignment horizontal="center" vertical="center"/>
    </xf>
    <xf numFmtId="1" fontId="10" fillId="5" borderId="0" xfId="0" applyNumberFormat="1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164" fontId="18" fillId="0" borderId="0" xfId="0" applyNumberFormat="1" applyFont="1"/>
    <xf numFmtId="167" fontId="0" fillId="0" borderId="0" xfId="0" applyNumberFormat="1" applyAlignment="1">
      <alignment horizontal="center"/>
    </xf>
    <xf numFmtId="168" fontId="8" fillId="0" borderId="2" xfId="0" applyNumberFormat="1" applyFont="1" applyBorder="1" applyAlignment="1">
      <alignment horizontal="center"/>
    </xf>
    <xf numFmtId="168" fontId="8" fillId="0" borderId="54" xfId="0" applyNumberFormat="1" applyFont="1" applyBorder="1" applyAlignment="1">
      <alignment horizontal="center"/>
    </xf>
    <xf numFmtId="168" fontId="8" fillId="0" borderId="55" xfId="0" applyNumberFormat="1" applyFont="1" applyBorder="1" applyAlignment="1">
      <alignment horizontal="center"/>
    </xf>
    <xf numFmtId="168" fontId="8" fillId="0" borderId="56" xfId="0" applyNumberFormat="1" applyFont="1" applyBorder="1" applyAlignment="1">
      <alignment horizontal="center"/>
    </xf>
    <xf numFmtId="168" fontId="8" fillId="0" borderId="57" xfId="0" applyNumberFormat="1" applyFont="1" applyBorder="1" applyAlignment="1">
      <alignment horizontal="center"/>
    </xf>
    <xf numFmtId="168" fontId="8" fillId="0" borderId="58" xfId="0" applyNumberFormat="1" applyFont="1" applyBorder="1" applyAlignment="1">
      <alignment horizontal="center"/>
    </xf>
    <xf numFmtId="168" fontId="8" fillId="0" borderId="59" xfId="0" applyNumberFormat="1" applyFont="1" applyBorder="1" applyAlignment="1">
      <alignment horizontal="center"/>
    </xf>
    <xf numFmtId="168" fontId="8" fillId="0" borderId="60" xfId="0" applyNumberFormat="1" applyFont="1" applyBorder="1" applyAlignment="1">
      <alignment horizontal="center"/>
    </xf>
    <xf numFmtId="168" fontId="8" fillId="0" borderId="61" xfId="0" applyNumberFormat="1" applyFont="1" applyBorder="1" applyAlignment="1">
      <alignment horizontal="center"/>
    </xf>
    <xf numFmtId="168" fontId="8" fillId="0" borderId="0" xfId="0" applyNumberFormat="1" applyFont="1" applyAlignment="1">
      <alignment horizontal="center"/>
    </xf>
    <xf numFmtId="9" fontId="8" fillId="0" borderId="0" xfId="2" applyFont="1" applyAlignment="1">
      <alignment horizontal="center"/>
    </xf>
    <xf numFmtId="0" fontId="9" fillId="8" borderId="12" xfId="0" applyFont="1" applyFill="1" applyBorder="1" applyAlignment="1">
      <alignment horizontal="center"/>
    </xf>
    <xf numFmtId="1" fontId="4" fillId="17" borderId="29" xfId="0" applyNumberFormat="1" applyFont="1" applyFill="1" applyBorder="1" applyAlignment="1">
      <alignment horizontal="center" vertical="center"/>
    </xf>
    <xf numFmtId="1" fontId="4" fillId="17" borderId="14" xfId="0" applyNumberFormat="1" applyFont="1" applyFill="1" applyBorder="1" applyAlignment="1">
      <alignment horizontal="center" vertical="center"/>
    </xf>
    <xf numFmtId="1" fontId="4" fillId="17" borderId="15" xfId="0" applyNumberFormat="1" applyFont="1" applyFill="1" applyBorder="1" applyAlignment="1">
      <alignment horizontal="center" vertical="center"/>
    </xf>
    <xf numFmtId="1" fontId="4" fillId="17" borderId="30" xfId="0" applyNumberFormat="1" applyFont="1" applyFill="1" applyBorder="1" applyAlignment="1">
      <alignment horizontal="center" vertical="center"/>
    </xf>
    <xf numFmtId="1" fontId="4" fillId="17" borderId="17" xfId="0" applyNumberFormat="1" applyFont="1" applyFill="1" applyBorder="1" applyAlignment="1">
      <alignment horizontal="center" vertical="center"/>
    </xf>
    <xf numFmtId="1" fontId="4" fillId="17" borderId="18" xfId="0" applyNumberFormat="1" applyFont="1" applyFill="1" applyBorder="1" applyAlignment="1">
      <alignment horizontal="center" vertical="center"/>
    </xf>
    <xf numFmtId="0" fontId="4" fillId="17" borderId="30" xfId="0" applyFont="1" applyFill="1" applyBorder="1" applyAlignment="1">
      <alignment horizontal="center" vertical="center"/>
    </xf>
    <xf numFmtId="0" fontId="4" fillId="17" borderId="17" xfId="0" applyFont="1" applyFill="1" applyBorder="1" applyAlignment="1">
      <alignment horizontal="center" vertical="center"/>
    </xf>
    <xf numFmtId="0" fontId="4" fillId="17" borderId="18" xfId="0" applyFont="1" applyFill="1" applyBorder="1" applyAlignment="1">
      <alignment horizontal="center" vertical="center"/>
    </xf>
    <xf numFmtId="0" fontId="4" fillId="17" borderId="47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48" xfId="0" applyFont="1" applyFill="1" applyBorder="1" applyAlignment="1">
      <alignment horizontal="center" vertical="center"/>
    </xf>
    <xf numFmtId="0" fontId="4" fillId="17" borderId="29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17" borderId="15" xfId="0" applyFont="1" applyFill="1" applyBorder="1" applyAlignment="1">
      <alignment horizontal="center" vertical="center"/>
    </xf>
    <xf numFmtId="0" fontId="4" fillId="17" borderId="22" xfId="0" applyFont="1" applyFill="1" applyBorder="1" applyAlignment="1">
      <alignment horizontal="center" vertical="center"/>
    </xf>
    <xf numFmtId="0" fontId="4" fillId="17" borderId="19" xfId="0" applyFont="1" applyFill="1" applyBorder="1" applyAlignment="1">
      <alignment horizontal="center" vertical="center"/>
    </xf>
    <xf numFmtId="0" fontId="4" fillId="17" borderId="23" xfId="0" applyFont="1" applyFill="1" applyBorder="1" applyAlignment="1">
      <alignment horizontal="center" vertical="center"/>
    </xf>
    <xf numFmtId="0" fontId="4" fillId="17" borderId="20" xfId="0" applyFont="1" applyFill="1" applyBorder="1" applyAlignment="1">
      <alignment horizontal="center" vertical="center"/>
    </xf>
    <xf numFmtId="1" fontId="4" fillId="17" borderId="23" xfId="0" applyNumberFormat="1" applyFont="1" applyFill="1" applyBorder="1" applyAlignment="1">
      <alignment horizontal="center" vertical="center"/>
    </xf>
    <xf numFmtId="0" fontId="4" fillId="17" borderId="44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9" fontId="7" fillId="0" borderId="43" xfId="2" applyFont="1" applyFill="1" applyBorder="1" applyAlignment="1">
      <alignment horizontal="center"/>
    </xf>
    <xf numFmtId="167" fontId="9" fillId="0" borderId="2" xfId="0" applyNumberFormat="1" applyFont="1" applyBorder="1" applyAlignment="1">
      <alignment horizontal="center" vertical="center"/>
    </xf>
    <xf numFmtId="167" fontId="3" fillId="20" borderId="0" xfId="0" applyNumberFormat="1" applyFont="1" applyFill="1"/>
    <xf numFmtId="167" fontId="9" fillId="21" borderId="2" xfId="0" applyNumberFormat="1" applyFont="1" applyFill="1" applyBorder="1" applyAlignment="1">
      <alignment horizontal="center" vertical="center"/>
    </xf>
    <xf numFmtId="1" fontId="8" fillId="0" borderId="31" xfId="0" applyNumberFormat="1" applyFont="1" applyBorder="1"/>
    <xf numFmtId="1" fontId="4" fillId="19" borderId="29" xfId="0" applyNumberFormat="1" applyFont="1" applyFill="1" applyBorder="1" applyAlignment="1">
      <alignment horizontal="center" vertical="center"/>
    </xf>
    <xf numFmtId="1" fontId="4" fillId="19" borderId="14" xfId="0" applyNumberFormat="1" applyFont="1" applyFill="1" applyBorder="1" applyAlignment="1">
      <alignment horizontal="center" vertical="center"/>
    </xf>
    <xf numFmtId="1" fontId="4" fillId="19" borderId="15" xfId="0" applyNumberFormat="1" applyFont="1" applyFill="1" applyBorder="1" applyAlignment="1">
      <alignment horizontal="center" vertical="center"/>
    </xf>
    <xf numFmtId="0" fontId="4" fillId="19" borderId="30" xfId="0" applyFont="1" applyFill="1" applyBorder="1" applyAlignment="1">
      <alignment horizontal="center" vertical="center"/>
    </xf>
    <xf numFmtId="0" fontId="4" fillId="19" borderId="17" xfId="0" applyFont="1" applyFill="1" applyBorder="1" applyAlignment="1">
      <alignment horizontal="center" vertical="center"/>
    </xf>
    <xf numFmtId="0" fontId="4" fillId="19" borderId="18" xfId="0" applyFont="1" applyFill="1" applyBorder="1" applyAlignment="1">
      <alignment horizontal="center" vertical="center"/>
    </xf>
    <xf numFmtId="0" fontId="4" fillId="19" borderId="23" xfId="0" applyFont="1" applyFill="1" applyBorder="1" applyAlignment="1">
      <alignment horizontal="center" vertical="center"/>
    </xf>
    <xf numFmtId="0" fontId="4" fillId="19" borderId="20" xfId="0" applyFont="1" applyFill="1" applyBorder="1" applyAlignment="1">
      <alignment horizontal="center" vertical="center"/>
    </xf>
    <xf numFmtId="1" fontId="4" fillId="19" borderId="30" xfId="0" applyNumberFormat="1" applyFont="1" applyFill="1" applyBorder="1" applyAlignment="1">
      <alignment horizontal="center" vertical="center"/>
    </xf>
    <xf numFmtId="1" fontId="4" fillId="19" borderId="17" xfId="0" applyNumberFormat="1" applyFont="1" applyFill="1" applyBorder="1" applyAlignment="1">
      <alignment horizontal="center" vertical="center"/>
    </xf>
    <xf numFmtId="1" fontId="4" fillId="19" borderId="18" xfId="0" applyNumberFormat="1" applyFont="1" applyFill="1" applyBorder="1" applyAlignment="1">
      <alignment horizontal="center" vertical="center"/>
    </xf>
    <xf numFmtId="1" fontId="4" fillId="19" borderId="20" xfId="0" applyNumberFormat="1" applyFont="1" applyFill="1" applyBorder="1" applyAlignment="1">
      <alignment horizontal="center" vertical="center"/>
    </xf>
    <xf numFmtId="1" fontId="4" fillId="19" borderId="23" xfId="0" applyNumberFormat="1" applyFont="1" applyFill="1" applyBorder="1" applyAlignment="1">
      <alignment horizontal="center" vertical="center"/>
    </xf>
    <xf numFmtId="166" fontId="7" fillId="18" borderId="2" xfId="3" applyNumberFormat="1" applyFont="1" applyFill="1" applyBorder="1" applyAlignment="1">
      <alignment horizontal="center"/>
    </xf>
    <xf numFmtId="1" fontId="4" fillId="18" borderId="29" xfId="0" applyNumberFormat="1" applyFont="1" applyFill="1" applyBorder="1" applyAlignment="1">
      <alignment horizontal="center" vertical="center"/>
    </xf>
    <xf numFmtId="1" fontId="4" fillId="18" borderId="14" xfId="0" applyNumberFormat="1" applyFont="1" applyFill="1" applyBorder="1" applyAlignment="1">
      <alignment horizontal="center" vertical="center"/>
    </xf>
    <xf numFmtId="1" fontId="4" fillId="18" borderId="15" xfId="0" applyNumberFormat="1" applyFont="1" applyFill="1" applyBorder="1" applyAlignment="1">
      <alignment horizontal="center" vertical="center"/>
    </xf>
    <xf numFmtId="0" fontId="4" fillId="18" borderId="30" xfId="0" applyFont="1" applyFill="1" applyBorder="1" applyAlignment="1">
      <alignment horizontal="center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18" xfId="0" applyFont="1" applyFill="1" applyBorder="1" applyAlignment="1">
      <alignment horizontal="center" vertical="center"/>
    </xf>
    <xf numFmtId="1" fontId="4" fillId="18" borderId="30" xfId="0" applyNumberFormat="1" applyFont="1" applyFill="1" applyBorder="1" applyAlignment="1">
      <alignment horizontal="center" vertical="center"/>
    </xf>
    <xf numFmtId="1" fontId="4" fillId="18" borderId="17" xfId="0" applyNumberFormat="1" applyFont="1" applyFill="1" applyBorder="1" applyAlignment="1">
      <alignment horizontal="center" vertical="center"/>
    </xf>
    <xf numFmtId="1" fontId="4" fillId="18" borderId="18" xfId="0" applyNumberFormat="1" applyFont="1" applyFill="1" applyBorder="1" applyAlignment="1">
      <alignment horizontal="center" vertical="center"/>
    </xf>
    <xf numFmtId="1" fontId="4" fillId="18" borderId="23" xfId="0" applyNumberFormat="1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4" fillId="18" borderId="15" xfId="0" applyFont="1" applyFill="1" applyBorder="1" applyAlignment="1">
      <alignment horizontal="center" vertical="center"/>
    </xf>
    <xf numFmtId="6" fontId="19" fillId="0" borderId="62" xfId="0" applyNumberFormat="1" applyFont="1" applyBorder="1" applyAlignment="1">
      <alignment horizontal="center" vertical="center"/>
    </xf>
    <xf numFmtId="168" fontId="0" fillId="0" borderId="0" xfId="0" applyNumberFormat="1"/>
    <xf numFmtId="166" fontId="7" fillId="5" borderId="2" xfId="3" applyNumberFormat="1" applyFont="1" applyFill="1" applyBorder="1" applyAlignment="1">
      <alignment horizontal="center"/>
    </xf>
    <xf numFmtId="0" fontId="21" fillId="22" borderId="1" xfId="0" applyFont="1" applyFill="1" applyBorder="1" applyAlignment="1">
      <alignment horizontal="center"/>
    </xf>
    <xf numFmtId="49" fontId="21" fillId="22" borderId="1" xfId="0" applyNumberFormat="1" applyFont="1" applyFill="1" applyBorder="1" applyAlignment="1">
      <alignment horizontal="center"/>
    </xf>
    <xf numFmtId="14" fontId="20" fillId="0" borderId="1" xfId="0" applyNumberFormat="1" applyFont="1" applyBorder="1"/>
    <xf numFmtId="49" fontId="20" fillId="0" borderId="1" xfId="0" applyNumberFormat="1" applyFont="1" applyBorder="1"/>
    <xf numFmtId="0" fontId="20" fillId="0" borderId="1" xfId="0" applyFont="1" applyBorder="1"/>
    <xf numFmtId="0" fontId="20" fillId="0" borderId="1" xfId="0" applyFont="1" applyBorder="1" applyAlignment="1">
      <alignment horizontal="center"/>
    </xf>
    <xf numFmtId="1" fontId="4" fillId="23" borderId="29" xfId="0" applyNumberFormat="1" applyFont="1" applyFill="1" applyBorder="1" applyAlignment="1">
      <alignment horizontal="center" vertical="center"/>
    </xf>
    <xf numFmtId="1" fontId="4" fillId="23" borderId="14" xfId="0" applyNumberFormat="1" applyFont="1" applyFill="1" applyBorder="1" applyAlignment="1">
      <alignment horizontal="center" vertical="center"/>
    </xf>
    <xf numFmtId="1" fontId="4" fillId="23" borderId="15" xfId="0" applyNumberFormat="1" applyFont="1" applyFill="1" applyBorder="1" applyAlignment="1">
      <alignment horizontal="center" vertical="center"/>
    </xf>
    <xf numFmtId="0" fontId="4" fillId="23" borderId="23" xfId="0" applyFont="1" applyFill="1" applyBorder="1" applyAlignment="1">
      <alignment horizontal="center" vertical="center"/>
    </xf>
    <xf numFmtId="0" fontId="4" fillId="23" borderId="17" xfId="0" applyFont="1" applyFill="1" applyBorder="1" applyAlignment="1">
      <alignment horizontal="center" vertical="center"/>
    </xf>
    <xf numFmtId="0" fontId="4" fillId="23" borderId="20" xfId="0" applyFont="1" applyFill="1" applyBorder="1" applyAlignment="1">
      <alignment horizontal="center" vertical="center"/>
    </xf>
    <xf numFmtId="1" fontId="4" fillId="23" borderId="30" xfId="0" applyNumberFormat="1" applyFont="1" applyFill="1" applyBorder="1" applyAlignment="1">
      <alignment horizontal="center" vertical="center"/>
    </xf>
    <xf numFmtId="1" fontId="4" fillId="23" borderId="17" xfId="0" applyNumberFormat="1" applyFont="1" applyFill="1" applyBorder="1" applyAlignment="1">
      <alignment horizontal="center" vertical="center"/>
    </xf>
    <xf numFmtId="1" fontId="4" fillId="23" borderId="18" xfId="0" applyNumberFormat="1" applyFont="1" applyFill="1" applyBorder="1" applyAlignment="1">
      <alignment horizontal="center" vertical="center"/>
    </xf>
    <xf numFmtId="0" fontId="4" fillId="23" borderId="30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/>
    </xf>
    <xf numFmtId="1" fontId="4" fillId="24" borderId="29" xfId="0" applyNumberFormat="1" applyFont="1" applyFill="1" applyBorder="1" applyAlignment="1">
      <alignment horizontal="center" vertical="center"/>
    </xf>
    <xf numFmtId="1" fontId="4" fillId="24" borderId="14" xfId="0" applyNumberFormat="1" applyFont="1" applyFill="1" applyBorder="1" applyAlignment="1">
      <alignment horizontal="center" vertical="center"/>
    </xf>
    <xf numFmtId="1" fontId="4" fillId="24" borderId="15" xfId="0" applyNumberFormat="1" applyFont="1" applyFill="1" applyBorder="1" applyAlignment="1">
      <alignment horizontal="center" vertical="center"/>
    </xf>
    <xf numFmtId="0" fontId="0" fillId="0" borderId="1" xfId="0" applyBorder="1"/>
    <xf numFmtId="1" fontId="10" fillId="12" borderId="29" xfId="0" applyNumberFormat="1" applyFont="1" applyFill="1" applyBorder="1" applyAlignment="1">
      <alignment horizontal="center" vertical="center"/>
    </xf>
    <xf numFmtId="1" fontId="10" fillId="12" borderId="14" xfId="0" applyNumberFormat="1" applyFont="1" applyFill="1" applyBorder="1" applyAlignment="1">
      <alignment horizontal="center" vertical="center"/>
    </xf>
    <xf numFmtId="1" fontId="10" fillId="12" borderId="15" xfId="0" applyNumberFormat="1" applyFont="1" applyFill="1" applyBorder="1" applyAlignment="1">
      <alignment horizontal="center" vertical="center"/>
    </xf>
    <xf numFmtId="0" fontId="4" fillId="24" borderId="15" xfId="0" applyFont="1" applyFill="1" applyBorder="1" applyAlignment="1">
      <alignment horizontal="center" vertical="center"/>
    </xf>
    <xf numFmtId="1" fontId="4" fillId="25" borderId="29" xfId="0" applyNumberFormat="1" applyFont="1" applyFill="1" applyBorder="1" applyAlignment="1">
      <alignment horizontal="center" vertical="center"/>
    </xf>
    <xf numFmtId="1" fontId="4" fillId="25" borderId="14" xfId="0" applyNumberFormat="1" applyFont="1" applyFill="1" applyBorder="1" applyAlignment="1">
      <alignment horizontal="center" vertical="center"/>
    </xf>
    <xf numFmtId="1" fontId="4" fillId="25" borderId="15" xfId="0" applyNumberFormat="1" applyFont="1" applyFill="1" applyBorder="1" applyAlignment="1">
      <alignment horizontal="center" vertical="center"/>
    </xf>
    <xf numFmtId="0" fontId="4" fillId="25" borderId="23" xfId="0" applyFont="1" applyFill="1" applyBorder="1" applyAlignment="1">
      <alignment horizontal="center" vertical="center"/>
    </xf>
    <xf numFmtId="0" fontId="4" fillId="25" borderId="17" xfId="0" applyFont="1" applyFill="1" applyBorder="1" applyAlignment="1">
      <alignment horizontal="center" vertical="center"/>
    </xf>
    <xf numFmtId="0" fontId="4" fillId="25" borderId="20" xfId="0" applyFont="1" applyFill="1" applyBorder="1" applyAlignment="1">
      <alignment horizontal="center" vertical="center"/>
    </xf>
    <xf numFmtId="1" fontId="4" fillId="25" borderId="30" xfId="0" applyNumberFormat="1" applyFont="1" applyFill="1" applyBorder="1" applyAlignment="1">
      <alignment horizontal="center" vertical="center"/>
    </xf>
    <xf numFmtId="1" fontId="4" fillId="25" borderId="17" xfId="0" applyNumberFormat="1" applyFont="1" applyFill="1" applyBorder="1" applyAlignment="1">
      <alignment horizontal="center" vertical="center"/>
    </xf>
    <xf numFmtId="1" fontId="4" fillId="25" borderId="18" xfId="0" applyNumberFormat="1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0" fontId="4" fillId="25" borderId="18" xfId="0" applyFont="1" applyFill="1" applyBorder="1" applyAlignment="1">
      <alignment horizontal="center" vertical="center"/>
    </xf>
    <xf numFmtId="16" fontId="9" fillId="3" borderId="24" xfId="0" applyNumberFormat="1" applyFont="1" applyFill="1" applyBorder="1" applyAlignment="1">
      <alignment horizontal="center"/>
    </xf>
    <xf numFmtId="16" fontId="9" fillId="3" borderId="25" xfId="0" applyNumberFormat="1" applyFont="1" applyFill="1" applyBorder="1" applyAlignment="1">
      <alignment horizontal="center"/>
    </xf>
    <xf numFmtId="16" fontId="9" fillId="3" borderId="26" xfId="0" applyNumberFormat="1" applyFont="1" applyFill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37" xfId="0" applyNumberFormat="1" applyBorder="1" applyAlignment="1">
      <alignment horizontal="center"/>
    </xf>
    <xf numFmtId="168" fontId="0" fillId="0" borderId="38" xfId="0" applyNumberFormat="1" applyBorder="1" applyAlignment="1">
      <alignment horizontal="center"/>
    </xf>
    <xf numFmtId="1" fontId="0" fillId="0" borderId="4" xfId="0" applyNumberFormat="1" applyBorder="1" applyAlignment="1">
      <alignment horizontal="center" vertical="center"/>
    </xf>
    <xf numFmtId="1" fontId="0" fillId="0" borderId="37" xfId="0" applyNumberFormat="1" applyBorder="1" applyAlignment="1">
      <alignment horizontal="center" vertical="center"/>
    </xf>
    <xf numFmtId="1" fontId="0" fillId="0" borderId="38" xfId="0" applyNumberFormat="1" applyBorder="1" applyAlignment="1">
      <alignment horizontal="center" vertical="center"/>
    </xf>
    <xf numFmtId="1" fontId="3" fillId="7" borderId="4" xfId="0" applyNumberFormat="1" applyFont="1" applyFill="1" applyBorder="1" applyAlignment="1">
      <alignment horizontal="center" vertical="center"/>
    </xf>
    <xf numFmtId="0" fontId="3" fillId="7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/>
    </xf>
    <xf numFmtId="164" fontId="9" fillId="0" borderId="37" xfId="0" applyNumberFormat="1" applyFont="1" applyBorder="1" applyAlignment="1">
      <alignment horizontal="center"/>
    </xf>
    <xf numFmtId="164" fontId="9" fillId="0" borderId="38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3" fillId="7" borderId="4" xfId="0" applyNumberFormat="1" applyFont="1" applyFill="1" applyBorder="1" applyAlignment="1">
      <alignment horizontal="center"/>
    </xf>
    <xf numFmtId="1" fontId="3" fillId="7" borderId="38" xfId="0" applyNumberFormat="1" applyFont="1" applyFill="1" applyBorder="1" applyAlignment="1">
      <alignment horizontal="center"/>
    </xf>
    <xf numFmtId="168" fontId="0" fillId="0" borderId="4" xfId="0" applyNumberFormat="1" applyBorder="1" applyAlignment="1">
      <alignment horizontal="center" vertical="center"/>
    </xf>
    <xf numFmtId="168" fontId="0" fillId="0" borderId="37" xfId="0" applyNumberFormat="1" applyBorder="1" applyAlignment="1">
      <alignment horizontal="center" vertical="center"/>
    </xf>
    <xf numFmtId="168" fontId="0" fillId="0" borderId="38" xfId="0" applyNumberFormat="1" applyBorder="1" applyAlignment="1">
      <alignment horizontal="center" vertical="center"/>
    </xf>
    <xf numFmtId="169" fontId="9" fillId="0" borderId="4" xfId="0" applyNumberFormat="1" applyFont="1" applyBorder="1" applyAlignment="1">
      <alignment horizontal="center"/>
    </xf>
    <xf numFmtId="169" fontId="9" fillId="0" borderId="37" xfId="0" applyNumberFormat="1" applyFont="1" applyBorder="1" applyAlignment="1">
      <alignment horizontal="center"/>
    </xf>
    <xf numFmtId="169" fontId="9" fillId="0" borderId="38" xfId="0" applyNumberFormat="1" applyFont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64" fontId="9" fillId="0" borderId="38" xfId="0" applyNumberFormat="1" applyFont="1" applyBorder="1" applyAlignment="1">
      <alignment horizontal="center" vertical="center"/>
    </xf>
    <xf numFmtId="16" fontId="9" fillId="3" borderId="46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37" xfId="0" applyFont="1" applyFill="1" applyBorder="1" applyAlignment="1">
      <alignment horizontal="center"/>
    </xf>
    <xf numFmtId="0" fontId="3" fillId="7" borderId="38" xfId="0" applyFont="1" applyFill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0" fontId="15" fillId="0" borderId="49" xfId="0" applyFont="1" applyBorder="1" applyAlignment="1">
      <alignment horizontal="center"/>
    </xf>
    <xf numFmtId="0" fontId="15" fillId="0" borderId="50" xfId="0" applyFont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CC00"/>
      <color rgb="FFFF505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R35"/>
  <sheetViews>
    <sheetView tabSelected="1" zoomScale="70" zoomScaleNormal="70" workbookViewId="0">
      <selection activeCell="B7" sqref="B7:B17"/>
    </sheetView>
  </sheetViews>
  <sheetFormatPr defaultRowHeight="14.5" x14ac:dyDescent="0.35"/>
  <cols>
    <col min="1" max="1" width="4.1796875" bestFit="1" customWidth="1"/>
    <col min="2" max="2" width="12.90625" bestFit="1" customWidth="1"/>
    <col min="3" max="3" width="41.36328125" hidden="1" customWidth="1"/>
    <col min="4" max="4" width="8.26953125" bestFit="1" customWidth="1"/>
    <col min="5" max="5" width="6" customWidth="1"/>
    <col min="6" max="6" width="5.54296875" hidden="1" customWidth="1"/>
    <col min="7" max="13" width="4.7265625" hidden="1" customWidth="1"/>
    <col min="14" max="14" width="3.54296875" hidden="1" customWidth="1"/>
    <col min="15" max="16" width="4.7265625" hidden="1" customWidth="1"/>
    <col min="17" max="17" width="3.54296875" hidden="1" customWidth="1"/>
    <col min="18" max="22" width="4.7265625" hidden="1" customWidth="1"/>
    <col min="23" max="23" width="3.54296875" hidden="1" customWidth="1"/>
    <col min="24" max="25" width="4.7265625" hidden="1" customWidth="1"/>
    <col min="26" max="26" width="3.54296875" hidden="1" customWidth="1"/>
    <col min="27" max="27" width="6.08984375" hidden="1" customWidth="1"/>
    <col min="28" max="28" width="5.54296875" hidden="1" customWidth="1"/>
    <col min="29" max="29" width="10.54296875" hidden="1" customWidth="1"/>
    <col min="30" max="30" width="9.1796875" hidden="1" customWidth="1"/>
    <col min="31" max="31" width="4.90625" hidden="1" customWidth="1"/>
    <col min="32" max="47" width="4.7265625" hidden="1" customWidth="1"/>
    <col min="48" max="48" width="3.54296875" hidden="1" customWidth="1"/>
    <col min="49" max="50" width="4.7265625" hidden="1" customWidth="1"/>
    <col min="51" max="51" width="3.54296875" hidden="1" customWidth="1"/>
    <col min="52" max="52" width="6.08984375" hidden="1" customWidth="1"/>
    <col min="53" max="53" width="5.54296875" hidden="1" customWidth="1"/>
    <col min="54" max="55" width="9.26953125" hidden="1" customWidth="1"/>
    <col min="56" max="74" width="4.90625" hidden="1" customWidth="1"/>
    <col min="75" max="75" width="4.7265625" hidden="1" customWidth="1"/>
    <col min="76" max="76" width="3.90625" hidden="1" customWidth="1"/>
    <col min="77" max="77" width="7.453125" hidden="1" customWidth="1"/>
    <col min="78" max="78" width="8.453125" hidden="1" customWidth="1"/>
    <col min="79" max="80" width="9.26953125" hidden="1" customWidth="1"/>
    <col min="81" max="81" width="5.7265625" hidden="1" customWidth="1"/>
    <col min="82" max="84" width="4.7265625" hidden="1" customWidth="1"/>
    <col min="85" max="85" width="5.453125" hidden="1" customWidth="1"/>
    <col min="86" max="86" width="4.453125" hidden="1" customWidth="1"/>
    <col min="87" max="87" width="4.7265625" hidden="1" customWidth="1"/>
    <col min="88" max="88" width="5.453125" hidden="1" customWidth="1"/>
    <col min="89" max="90" width="4.7265625" hidden="1" customWidth="1"/>
    <col min="91" max="91" width="5.453125" hidden="1" customWidth="1"/>
    <col min="92" max="93" width="4.7265625" hidden="1" customWidth="1"/>
    <col min="94" max="94" width="5.453125" hidden="1" customWidth="1"/>
    <col min="95" max="96" width="4.7265625" hidden="1" customWidth="1"/>
    <col min="97" max="97" width="6.36328125" hidden="1" customWidth="1"/>
    <col min="98" max="98" width="3.54296875" hidden="1" customWidth="1"/>
    <col min="99" max="100" width="4.7265625" hidden="1" customWidth="1"/>
    <col min="101" max="101" width="3.90625" hidden="1" customWidth="1"/>
    <col min="102" max="102" width="7.453125" hidden="1" customWidth="1"/>
    <col min="103" max="103" width="5.54296875" hidden="1" customWidth="1"/>
    <col min="104" max="105" width="9.26953125" hidden="1" customWidth="1"/>
    <col min="106" max="106" width="7.08984375" customWidth="1"/>
    <col min="107" max="107" width="5.453125" customWidth="1"/>
    <col min="108" max="109" width="4.7265625" customWidth="1"/>
    <col min="110" max="110" width="5.453125" customWidth="1"/>
    <col min="111" max="111" width="4.7265625" customWidth="1"/>
    <col min="112" max="112" width="5" customWidth="1"/>
    <col min="113" max="113" width="5.453125" customWidth="1"/>
    <col min="114" max="114" width="4.453125" customWidth="1"/>
    <col min="115" max="115" width="4.7265625" customWidth="1"/>
    <col min="116" max="116" width="5.453125" customWidth="1"/>
    <col min="117" max="117" width="3.81640625" customWidth="1"/>
    <col min="118" max="118" width="4.7265625" customWidth="1"/>
    <col min="119" max="119" width="5.6328125" customWidth="1"/>
    <col min="120" max="120" width="4.7265625" customWidth="1"/>
    <col min="121" max="122" width="4.7265625" hidden="1" customWidth="1"/>
    <col min="123" max="123" width="3.54296875" hidden="1" customWidth="1"/>
    <col min="124" max="125" width="4.7265625" hidden="1" customWidth="1"/>
    <col min="126" max="126" width="3.54296875" hidden="1" customWidth="1"/>
    <col min="127" max="127" width="7.453125" customWidth="1"/>
    <col min="128" max="128" width="6.1796875" customWidth="1"/>
    <col min="129" max="129" width="9.81640625" bestFit="1" customWidth="1"/>
    <col min="130" max="130" width="9.1796875" customWidth="1"/>
    <col min="131" max="131" width="7.08984375" customWidth="1"/>
    <col min="132" max="133" width="5.1796875" customWidth="1"/>
    <col min="134" max="135" width="7.26953125" customWidth="1"/>
    <col min="136" max="136" width="5.1796875" customWidth="1"/>
    <col min="137" max="138" width="7.26953125" customWidth="1"/>
    <col min="139" max="139" width="4.7265625" customWidth="1"/>
    <col min="140" max="141" width="5.1796875" customWidth="1"/>
    <col min="142" max="142" width="4.7265625" customWidth="1"/>
    <col min="143" max="145" width="4.7265625" bestFit="1" customWidth="1"/>
    <col min="146" max="147" width="4.7265625" hidden="1" customWidth="1"/>
    <col min="148" max="148" width="3.54296875" hidden="1" customWidth="1"/>
    <col min="149" max="150" width="4.7265625" hidden="1" customWidth="1"/>
    <col min="151" max="151" width="3.90625" hidden="1" customWidth="1"/>
    <col min="152" max="152" width="7.453125" bestFit="1" customWidth="1"/>
    <col min="153" max="153" width="5.54296875" customWidth="1"/>
    <col min="154" max="154" width="15.08984375" customWidth="1"/>
    <col min="155" max="155" width="9.26953125" customWidth="1"/>
    <col min="156" max="156" width="7.08984375" bestFit="1" customWidth="1"/>
    <col min="157" max="163" width="5.1796875" bestFit="1" customWidth="1"/>
    <col min="164" max="164" width="4.54296875" customWidth="1"/>
    <col min="165" max="166" width="5.1796875" bestFit="1" customWidth="1"/>
    <col min="167" max="167" width="4.54296875" customWidth="1"/>
    <col min="168" max="169" width="5.1796875" bestFit="1" customWidth="1"/>
    <col min="170" max="170" width="4.54296875" bestFit="1" customWidth="1"/>
    <col min="171" max="171" width="5.90625" hidden="1" customWidth="1"/>
    <col min="172" max="172" width="6.6328125" hidden="1" customWidth="1"/>
    <col min="173" max="173" width="3.90625" hidden="1" customWidth="1"/>
    <col min="174" max="174" width="5.90625" hidden="1" customWidth="1"/>
    <col min="175" max="175" width="6.6328125" hidden="1" customWidth="1"/>
    <col min="176" max="176" width="3.90625" hidden="1" customWidth="1"/>
    <col min="177" max="177" width="6.7265625" bestFit="1" customWidth="1"/>
    <col min="178" max="178" width="5.54296875" customWidth="1"/>
    <col min="179" max="180" width="9.26953125" customWidth="1"/>
    <col min="181" max="181" width="7.08984375" bestFit="1" customWidth="1"/>
    <col min="182" max="182" width="5.1796875" bestFit="1" customWidth="1"/>
    <col min="183" max="183" width="4.7265625" bestFit="1" customWidth="1"/>
    <col min="184" max="184" width="6.08984375" bestFit="1" customWidth="1"/>
    <col min="185" max="186" width="4.7265625" bestFit="1" customWidth="1"/>
    <col min="187" max="187" width="6.08984375" bestFit="1" customWidth="1"/>
    <col min="188" max="189" width="4.7265625" bestFit="1" customWidth="1"/>
    <col min="190" max="190" width="6.08984375" bestFit="1" customWidth="1"/>
    <col min="191" max="192" width="4.7265625" bestFit="1" customWidth="1"/>
    <col min="193" max="193" width="6.08984375" bestFit="1" customWidth="1"/>
    <col min="194" max="195" width="4.7265625" bestFit="1" customWidth="1"/>
    <col min="196" max="196" width="6.08984375" hidden="1" customWidth="1"/>
    <col min="197" max="197" width="4.7265625" hidden="1" customWidth="1"/>
    <col min="198" max="198" width="3.54296875" hidden="1" customWidth="1"/>
    <col min="199" max="199" width="6.08984375" hidden="1" customWidth="1"/>
    <col min="200" max="200" width="6.1796875" hidden="1" customWidth="1"/>
    <col min="201" max="201" width="3.90625" hidden="1" customWidth="1"/>
    <col min="202" max="202" width="7.08984375" bestFit="1" customWidth="1"/>
    <col min="203" max="203" width="5.54296875" customWidth="1"/>
    <col min="204" max="205" width="9.26953125" customWidth="1"/>
    <col min="206" max="220" width="4.7265625" customWidth="1"/>
    <col min="221" max="226" width="4.7265625" hidden="1" customWidth="1"/>
    <col min="227" max="227" width="7.453125" bestFit="1" customWidth="1"/>
    <col min="228" max="228" width="5.54296875" customWidth="1"/>
    <col min="229" max="230" width="9.26953125" customWidth="1"/>
    <col min="231" max="231" width="8.08984375" bestFit="1" customWidth="1"/>
    <col min="232" max="232" width="4.453125" bestFit="1" customWidth="1"/>
    <col min="233" max="233" width="3.54296875" bestFit="1" customWidth="1"/>
    <col min="234" max="235" width="4.453125" bestFit="1" customWidth="1"/>
    <col min="236" max="236" width="3.54296875" bestFit="1" customWidth="1"/>
    <col min="237" max="238" width="4.453125" bestFit="1" customWidth="1"/>
    <col min="239" max="239" width="3.54296875" bestFit="1" customWidth="1"/>
    <col min="240" max="241" width="4.453125" bestFit="1" customWidth="1"/>
    <col min="242" max="242" width="3.54296875" bestFit="1" customWidth="1"/>
    <col min="243" max="244" width="4.453125" bestFit="1" customWidth="1"/>
    <col min="245" max="245" width="3.54296875" bestFit="1" customWidth="1"/>
    <col min="246" max="246" width="4.54296875" hidden="1" customWidth="1"/>
    <col min="247" max="247" width="4.7265625" hidden="1" customWidth="1"/>
    <col min="248" max="248" width="3.54296875" hidden="1" customWidth="1"/>
    <col min="249" max="249" width="6.7265625" hidden="1" customWidth="1"/>
    <col min="250" max="250" width="4.7265625" hidden="1" customWidth="1"/>
    <col min="251" max="251" width="3.90625" hidden="1" customWidth="1"/>
    <col min="252" max="252" width="5.54296875" bestFit="1" customWidth="1"/>
    <col min="253" max="253" width="5.54296875" customWidth="1"/>
    <col min="254" max="254" width="9.26953125" customWidth="1"/>
    <col min="255" max="255" width="5.6328125" customWidth="1"/>
    <col min="256" max="256" width="9.1796875" bestFit="1" customWidth="1"/>
    <col min="257" max="258" width="7.26953125" bestFit="1" customWidth="1"/>
    <col min="259" max="259" width="9.1796875" bestFit="1" customWidth="1"/>
    <col min="260" max="261" width="7.26953125" bestFit="1" customWidth="1"/>
    <col min="262" max="262" width="8.36328125" bestFit="1" customWidth="1"/>
    <col min="263" max="263" width="7.26953125" bestFit="1" customWidth="1"/>
    <col min="264" max="264" width="3.54296875" bestFit="1" customWidth="1"/>
    <col min="265" max="265" width="8.36328125" bestFit="1" customWidth="1"/>
    <col min="266" max="266" width="7.26953125" bestFit="1" customWidth="1"/>
    <col min="267" max="267" width="3.54296875" bestFit="1" customWidth="1"/>
    <col min="268" max="268" width="9.1796875" bestFit="1" customWidth="1"/>
    <col min="269" max="269" width="7.26953125" bestFit="1" customWidth="1"/>
    <col min="270" max="270" width="5.1796875" bestFit="1" customWidth="1"/>
    <col min="271" max="271" width="9.1796875" hidden="1" customWidth="1"/>
    <col min="272" max="272" width="7.26953125" hidden="1" customWidth="1"/>
    <col min="273" max="273" width="3.54296875" hidden="1" customWidth="1"/>
    <col min="274" max="274" width="9.1796875" hidden="1" customWidth="1"/>
    <col min="275" max="275" width="7.26953125" hidden="1" customWidth="1"/>
    <col min="276" max="276" width="3.54296875" hidden="1" customWidth="1"/>
    <col min="277" max="278" width="5.81640625" bestFit="1" customWidth="1"/>
    <col min="279" max="279" width="9.1796875" bestFit="1" customWidth="1"/>
    <col min="280" max="280" width="5.81640625" bestFit="1" customWidth="1"/>
    <col min="281" max="281" width="8.08984375" customWidth="1"/>
    <col min="282" max="282" width="4.453125" bestFit="1" customWidth="1"/>
    <col min="283" max="283" width="3.54296875" customWidth="1"/>
    <col min="284" max="284" width="7.1796875" customWidth="1"/>
    <col min="285" max="286" width="4.7265625" customWidth="1"/>
    <col min="287" max="287" width="8.36328125" customWidth="1"/>
    <col min="288" max="288" width="4.7265625" customWidth="1"/>
    <col min="289" max="289" width="3.54296875" customWidth="1"/>
    <col min="290" max="290" width="5.7265625" customWidth="1"/>
    <col min="291" max="291" width="4.7265625" customWidth="1"/>
    <col min="292" max="292" width="3.54296875" customWidth="1"/>
    <col min="293" max="293" width="5.90625" customWidth="1"/>
    <col min="294" max="295" width="4.7265625" customWidth="1"/>
    <col min="296" max="296" width="4.54296875" hidden="1" customWidth="1"/>
    <col min="297" max="297" width="4.7265625" hidden="1" customWidth="1"/>
    <col min="298" max="298" width="3.54296875" hidden="1" customWidth="1"/>
    <col min="299" max="299" width="5.54296875" hidden="1" customWidth="1"/>
    <col min="300" max="300" width="4.7265625" hidden="1" customWidth="1"/>
    <col min="301" max="301" width="3.54296875" hidden="1" customWidth="1"/>
    <col min="302" max="302" width="7.26953125" bestFit="1" customWidth="1"/>
    <col min="303" max="303" width="5.81640625" bestFit="1" customWidth="1"/>
    <col min="304" max="304" width="9.1796875" bestFit="1" customWidth="1"/>
    <col min="305" max="305" width="5.81640625" bestFit="1" customWidth="1"/>
    <col min="306" max="306" width="9.1796875" customWidth="1"/>
    <col min="307" max="308" width="4.7265625" customWidth="1"/>
    <col min="309" max="309" width="9.1796875" customWidth="1"/>
    <col min="310" max="311" width="4.7265625" customWidth="1"/>
    <col min="312" max="312" width="8.36328125" customWidth="1"/>
    <col min="313" max="313" width="4.7265625" customWidth="1"/>
    <col min="314" max="314" width="3.54296875" customWidth="1"/>
    <col min="315" max="315" width="8.36328125" customWidth="1"/>
    <col min="316" max="316" width="4.7265625" customWidth="1"/>
    <col min="317" max="317" width="3.54296875" customWidth="1"/>
    <col min="318" max="318" width="9.1796875" customWidth="1"/>
    <col min="319" max="320" width="4.7265625" customWidth="1"/>
    <col min="321" max="321" width="9.1796875" customWidth="1"/>
    <col min="322" max="322" width="4.7265625" customWidth="1"/>
    <col min="323" max="323" width="3.54296875" customWidth="1"/>
    <col min="324" max="324" width="6.6328125" customWidth="1"/>
    <col min="325" max="325" width="6.7265625" customWidth="1"/>
    <col min="326" max="326" width="7.54296875" customWidth="1"/>
    <col min="327" max="327" width="5.54296875" bestFit="1" customWidth="1"/>
    <col min="328" max="328" width="5.54296875" customWidth="1"/>
    <col min="329" max="329" width="9" customWidth="1"/>
    <col min="330" max="330" width="5.6328125" customWidth="1"/>
  </cols>
  <sheetData>
    <row r="1" spans="1:330" x14ac:dyDescent="0.35">
      <c r="B1">
        <v>8.25</v>
      </c>
      <c r="CX1" s="67"/>
      <c r="DQ1" s="111"/>
      <c r="EV1" s="112"/>
    </row>
    <row r="2" spans="1:330" x14ac:dyDescent="0.35">
      <c r="B2">
        <v>7.75</v>
      </c>
      <c r="F2" s="96" t="s">
        <v>34</v>
      </c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 t="s">
        <v>35</v>
      </c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 t="s">
        <v>36</v>
      </c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 t="s">
        <v>37</v>
      </c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 t="s">
        <v>38</v>
      </c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 t="s">
        <v>39</v>
      </c>
      <c r="EB2" s="96"/>
      <c r="EC2" s="96"/>
      <c r="ED2" s="96"/>
      <c r="EE2" s="96"/>
      <c r="EF2" s="96"/>
      <c r="EG2" s="96"/>
      <c r="EH2" s="96"/>
      <c r="EI2" s="96"/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 t="s">
        <v>40</v>
      </c>
      <c r="FA2" s="96"/>
      <c r="FB2" s="96"/>
      <c r="FC2" s="96"/>
      <c r="FD2" s="96"/>
      <c r="FE2" s="96"/>
      <c r="FF2" s="96"/>
      <c r="FG2" s="96"/>
      <c r="FH2" s="96"/>
      <c r="FI2" s="96"/>
      <c r="FJ2" s="96"/>
      <c r="FK2" s="96"/>
      <c r="FL2" s="96"/>
      <c r="FM2" s="96"/>
      <c r="FN2" s="96"/>
      <c r="FO2" s="96"/>
      <c r="FP2" s="96"/>
      <c r="FQ2" s="96"/>
      <c r="FR2" s="96"/>
      <c r="FS2" s="96"/>
      <c r="FT2" s="96"/>
      <c r="FU2" s="96"/>
      <c r="FV2" s="96"/>
      <c r="FW2" s="96"/>
      <c r="FX2" s="96"/>
      <c r="FY2" s="96" t="s">
        <v>41</v>
      </c>
      <c r="FZ2" s="96"/>
      <c r="GA2" s="96"/>
      <c r="GB2" s="96"/>
      <c r="GC2" s="96"/>
      <c r="GD2" s="96"/>
      <c r="GE2" s="96"/>
      <c r="GF2" s="96"/>
      <c r="GG2" s="96"/>
      <c r="GH2" s="96"/>
      <c r="GI2" s="96"/>
      <c r="GJ2" s="96"/>
      <c r="GK2" s="96"/>
      <c r="GL2" s="96"/>
      <c r="GM2" s="96"/>
      <c r="GN2" s="96"/>
      <c r="GO2" s="96"/>
      <c r="GP2" s="96"/>
      <c r="GQ2" s="96"/>
      <c r="GR2" s="96"/>
      <c r="GS2" s="96"/>
      <c r="GT2" s="96"/>
      <c r="GU2" s="96"/>
      <c r="GV2" s="96"/>
      <c r="GW2" s="96"/>
      <c r="GX2" s="96" t="s">
        <v>42</v>
      </c>
      <c r="GY2" s="96"/>
      <c r="GZ2" s="96"/>
      <c r="HA2" s="96"/>
      <c r="HB2" s="96"/>
      <c r="HC2" s="96"/>
      <c r="HD2" s="96"/>
      <c r="HE2" s="96"/>
      <c r="HF2" s="96"/>
      <c r="HG2" s="96"/>
      <c r="HH2" s="96"/>
      <c r="HI2" s="96"/>
      <c r="HJ2" s="96"/>
      <c r="HK2" s="96"/>
      <c r="HL2" s="96"/>
      <c r="HM2" s="96"/>
      <c r="HN2" s="96"/>
      <c r="HO2" s="96"/>
      <c r="HP2" s="96"/>
      <c r="HQ2" s="96"/>
      <c r="HR2" s="96"/>
      <c r="HS2" s="96"/>
      <c r="HT2" s="96"/>
      <c r="HU2" s="96"/>
      <c r="HV2" s="96"/>
      <c r="HW2" s="96" t="s">
        <v>43</v>
      </c>
      <c r="HX2" s="96"/>
      <c r="HY2" s="96"/>
      <c r="HZ2" s="96"/>
      <c r="IA2" s="96"/>
      <c r="IB2" s="96"/>
      <c r="IC2" s="96"/>
      <c r="ID2" s="96"/>
      <c r="IE2" s="96"/>
      <c r="IF2" s="96"/>
      <c r="IG2" s="96"/>
      <c r="IH2" s="96"/>
      <c r="II2" s="96"/>
      <c r="IJ2" s="96"/>
      <c r="IK2" s="96"/>
      <c r="IL2" s="96"/>
      <c r="IM2" s="96"/>
      <c r="IN2" s="96"/>
      <c r="IO2" s="96"/>
      <c r="IP2" s="96"/>
      <c r="IQ2" s="96"/>
      <c r="IR2" s="96"/>
      <c r="IS2" s="96"/>
      <c r="IT2" s="96"/>
      <c r="IU2" s="96"/>
      <c r="IV2" s="96" t="s">
        <v>44</v>
      </c>
      <c r="IW2" s="96"/>
      <c r="IX2" s="96"/>
      <c r="IY2" s="96"/>
      <c r="IZ2" s="96"/>
      <c r="JA2" s="96"/>
      <c r="JB2" s="96"/>
      <c r="JC2" s="96"/>
      <c r="JD2" s="96"/>
      <c r="JE2" s="96"/>
      <c r="JF2" s="96"/>
      <c r="JG2" s="96"/>
      <c r="JH2" s="96"/>
      <c r="JI2" s="96"/>
      <c r="JJ2" s="96"/>
      <c r="JK2" s="96"/>
      <c r="JL2" s="96"/>
      <c r="JM2" s="96"/>
      <c r="JN2" s="96"/>
      <c r="JO2" s="96"/>
      <c r="JP2" s="96"/>
      <c r="JQ2" s="96"/>
      <c r="JR2" s="96"/>
      <c r="JS2" s="96"/>
      <c r="JT2" s="96"/>
      <c r="JU2" s="96" t="s">
        <v>45</v>
      </c>
      <c r="JV2" s="96"/>
      <c r="JW2" s="96"/>
      <c r="JX2" s="96"/>
      <c r="JY2" s="96"/>
      <c r="JZ2" s="96"/>
      <c r="KA2" s="96"/>
      <c r="KB2" s="96"/>
      <c r="KC2" s="96"/>
      <c r="KD2" s="96"/>
      <c r="KE2" s="96"/>
      <c r="KF2" s="96"/>
      <c r="KG2" s="96"/>
      <c r="KH2" s="96"/>
      <c r="KI2" s="96"/>
      <c r="KJ2" s="96"/>
      <c r="KK2" s="96"/>
      <c r="KL2" s="96"/>
      <c r="KM2" s="96"/>
      <c r="KN2" s="96"/>
      <c r="KO2" s="96"/>
      <c r="KP2" s="96"/>
      <c r="KQ2" s="96"/>
      <c r="KR2" s="96"/>
      <c r="KS2" s="96"/>
      <c r="KT2" s="96" t="s">
        <v>46</v>
      </c>
      <c r="KU2" s="96"/>
      <c r="KV2" s="96"/>
      <c r="KW2" s="96"/>
      <c r="KX2" s="96"/>
      <c r="KY2" s="96"/>
      <c r="KZ2" s="96"/>
      <c r="LA2" s="96"/>
      <c r="LB2" s="96"/>
      <c r="LC2" s="96"/>
      <c r="LD2" s="96"/>
      <c r="LE2" s="96"/>
      <c r="LF2" s="96"/>
      <c r="LG2" s="96"/>
      <c r="LH2" s="96"/>
      <c r="LI2" s="96"/>
      <c r="LJ2" s="96"/>
      <c r="LK2" s="96"/>
      <c r="LL2" s="96"/>
      <c r="LM2" s="96"/>
      <c r="LN2" s="96"/>
      <c r="LO2" s="96"/>
      <c r="LP2" s="96"/>
      <c r="LQ2" s="96"/>
      <c r="LR2" s="96"/>
    </row>
    <row r="3" spans="1:330" x14ac:dyDescent="0.35">
      <c r="B3">
        <v>4.8499999999999996</v>
      </c>
      <c r="C3" s="9" t="s">
        <v>13</v>
      </c>
      <c r="D3" t="s">
        <v>22</v>
      </c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101" t="s">
        <v>12</v>
      </c>
      <c r="AB3" s="101"/>
      <c r="AC3" s="7" t="e">
        <f>(IF(AB7&lt;0,AA7,AB8)+IF(AB9&lt;0,AA9,AB10)+IF(AB11&lt;0,AA11,AB12)+IF(AB15&lt;0,AA15,AB16)+IF(AB17&lt;0,AA17,AB18)+IF(AB19&lt;0,AA19,AB20))/AA4</f>
        <v>#DIV/0!</v>
      </c>
      <c r="AD3" s="8">
        <f>IFERROR(AA4*AC3,0)</f>
        <v>0</v>
      </c>
      <c r="AE3" s="5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101" t="s">
        <v>12</v>
      </c>
      <c r="BA3" s="101"/>
      <c r="BB3" s="7">
        <f>(IF(BA7&lt;0,AZ7,BA8)+IF(BA9&lt;0,AZ9,BA10))/AZ4</f>
        <v>0.83769415680473369</v>
      </c>
      <c r="BC3" s="8">
        <f>IFERROR(AZ4*BB3,0)</f>
        <v>18121</v>
      </c>
      <c r="BD3" s="5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101" t="s">
        <v>12</v>
      </c>
      <c r="BZ3" s="101"/>
      <c r="CA3" s="7">
        <f>(IF(BZ7&lt;0,BY7,BZ8)+IF(BZ9&lt;0,BY9,BZ10))/BY4</f>
        <v>0.92307692307692313</v>
      </c>
      <c r="CB3" s="8">
        <f>IFERROR(BY4*CA3,0)</f>
        <v>24960</v>
      </c>
      <c r="CC3" s="5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101" t="s">
        <v>12</v>
      </c>
      <c r="CY3" s="101"/>
      <c r="CZ3" s="7">
        <f>CY4/CX4</f>
        <v>0.94276166533815686</v>
      </c>
      <c r="DA3" s="8">
        <f>IFERROR(CX4*CZ3,0)</f>
        <v>30751</v>
      </c>
      <c r="DB3" s="5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101" t="s">
        <v>12</v>
      </c>
      <c r="DX3" s="101"/>
      <c r="DY3" s="7">
        <f>(IF(DX7&lt;0,DW7,DX8)+IF(DX9&lt;0,DW9,DX10)+IF(DX11&lt;0,DW11,DX12)+IF(DX13&lt;0,DV13,DX14)+IF(DX15&lt;0,DW15,DX16)+IF(DX17&lt;0,DW17,DX18)+IF(DX19&lt;0,DW19,DX20))/DW4</f>
        <v>0.12892936390532544</v>
      </c>
      <c r="DZ3" s="8">
        <f>IFERROR(DW4*DY3,0)</f>
        <v>2789</v>
      </c>
      <c r="EA3" s="5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101" t="s">
        <v>12</v>
      </c>
      <c r="EW3" s="101"/>
      <c r="EX3" s="7">
        <f>(IF(EW7&lt;0,EV7,EW8)+IF(EW9&lt;0,EV9,EW10)+IF(EW11&lt;0,EV11,EW12)+IF(EW13&lt;0,EV13,EW14)+IF(EW15&lt;0,EV15,EW16)+IF(EW17&lt;0,EV17,EW18)+IF(EW19&lt;0,EV19,EW20))/EV4</f>
        <v>0</v>
      </c>
      <c r="EY3" s="8">
        <f>IFERROR(EV4*EX3,0)</f>
        <v>0</v>
      </c>
      <c r="EZ3" s="5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101" t="s">
        <v>12</v>
      </c>
      <c r="FV3" s="101"/>
      <c r="FW3" s="7">
        <f>(IF(FV7&lt;0,FU7,FV8)+IF(FV9&lt;0,FU9,FV10)+IF(FV11&lt;0,FU11,FV12)+IF(FV13&lt;0,FU13,FV14)+IF(FV15&lt;0,FU15,FV16)+IF(FV17&lt;0,FU17,FV18)+IF(FV19&lt;0,FU19,FV20))/FU4</f>
        <v>0</v>
      </c>
      <c r="FX3" s="8">
        <f>IFERROR(FU4*FW3,0)</f>
        <v>0</v>
      </c>
      <c r="FY3" s="5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101" t="s">
        <v>12</v>
      </c>
      <c r="GU3" s="101"/>
      <c r="GV3" s="7">
        <f>(IF(GU7&lt;0,GT7,GU8)+IF(GU9&lt;0,GT9,GU10))/GT4</f>
        <v>0</v>
      </c>
      <c r="GW3" s="8">
        <f>IFERROR(GT4*GV3,0)</f>
        <v>0</v>
      </c>
      <c r="GX3" s="5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101" t="s">
        <v>12</v>
      </c>
      <c r="HT3" s="101"/>
      <c r="HU3" s="7">
        <f>(IF(HT7&lt;0,HS7,HT8)+IF(HT9&lt;0,HS9,HT10))/HS4</f>
        <v>0</v>
      </c>
      <c r="HV3" s="8">
        <f>IFERROR(HS4*HU3,0)</f>
        <v>0</v>
      </c>
      <c r="HW3" s="5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101" t="s">
        <v>12</v>
      </c>
      <c r="IS3" s="101"/>
      <c r="IT3" s="7">
        <f>(IF(IS7&lt;0,IR7,IS8)+IF(IS9&lt;0,IR9,IS10))/IR4</f>
        <v>0</v>
      </c>
      <c r="IU3" s="8">
        <f>IFERROR(IR4*IT3,0)</f>
        <v>0</v>
      </c>
      <c r="IV3" s="5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01" t="s">
        <v>12</v>
      </c>
      <c r="JR3" s="101"/>
      <c r="JS3" s="7">
        <f>(IF(JR7&lt;0,JQ7,JR8)+IF(JR9&lt;0,JQ9,JR10))/JQ4</f>
        <v>0</v>
      </c>
      <c r="JT3" s="8">
        <f>IFERROR(JQ4*JS3,0)</f>
        <v>0</v>
      </c>
      <c r="JU3" s="5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101" t="s">
        <v>12</v>
      </c>
      <c r="KQ3" s="101"/>
      <c r="KR3" s="7">
        <f>(IF(KQ7&lt;0,KP7,KQ8)+IF(KQ9&lt;0,KP9,KQ10))/KP4</f>
        <v>0</v>
      </c>
      <c r="KS3" s="8">
        <f>IFERROR(KP4*KR3,0)</f>
        <v>0</v>
      </c>
      <c r="KT3" s="5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101" t="s">
        <v>12</v>
      </c>
      <c r="LP3" s="101"/>
      <c r="LQ3" s="7">
        <f>(IF(LP7&lt;0,LO7,LP8)+IF(LP9&lt;0,LO9,LP10))/LO4</f>
        <v>0</v>
      </c>
      <c r="LR3" s="8">
        <f>IFERROR(LO4*LQ3,0)</f>
        <v>0</v>
      </c>
    </row>
    <row r="4" spans="1:330" ht="15" thickBot="1" x14ac:dyDescent="0.4">
      <c r="C4" s="10" t="s">
        <v>14</v>
      </c>
      <c r="D4" s="69"/>
      <c r="F4" s="102" t="s">
        <v>8</v>
      </c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42">
        <v>40</v>
      </c>
      <c r="Z4" s="43"/>
      <c r="AA4" s="66">
        <f>SUM(AA7:AA20)</f>
        <v>0</v>
      </c>
      <c r="AB4" s="66">
        <f>AB8+AB10+AB12+AB14+AB16+AB18+AB20</f>
        <v>0</v>
      </c>
      <c r="AC4" s="35">
        <f>SUM(AC7:AC20)</f>
        <v>0</v>
      </c>
      <c r="AD4" s="36">
        <f>SUM(AD7:AD20)</f>
        <v>0</v>
      </c>
      <c r="AE4" s="102" t="s">
        <v>8</v>
      </c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42">
        <f>Y4+1</f>
        <v>41</v>
      </c>
      <c r="AY4" s="43"/>
      <c r="AZ4" s="66">
        <f>SUM(AZ7:AZ20)</f>
        <v>21632</v>
      </c>
      <c r="BA4" s="66">
        <f>BA10+BA12+BA14+BA16+BA18+BA20+BA8</f>
        <v>18173</v>
      </c>
      <c r="BB4" s="35">
        <f>SUM(BB9:BB20)</f>
        <v>397163.51999999996</v>
      </c>
      <c r="BC4" s="36">
        <f>SUM(BC9:BC20)</f>
        <v>332701.56</v>
      </c>
      <c r="BD4" s="102" t="s">
        <v>8</v>
      </c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42">
        <f>AX4+1</f>
        <v>42</v>
      </c>
      <c r="BX4" s="43"/>
      <c r="BY4" s="66">
        <f>SUM(BY7:BY20)</f>
        <v>27040</v>
      </c>
      <c r="BZ4" s="66">
        <f>BZ10+BZ12+BZ14+BZ16+BZ18+BZ20+BZ8</f>
        <v>25034</v>
      </c>
      <c r="CA4" s="35">
        <f>SUM(CA9:CA20)</f>
        <v>496454.39999999997</v>
      </c>
      <c r="CB4" s="36">
        <f>SUM(CB9:CB20)</f>
        <v>458265.59999999998</v>
      </c>
      <c r="CC4" s="102" t="s">
        <v>8</v>
      </c>
      <c r="CD4" s="103"/>
      <c r="CE4" s="103"/>
      <c r="CF4" s="103"/>
      <c r="CG4" s="103"/>
      <c r="CH4" s="103"/>
      <c r="CI4" s="103"/>
      <c r="CJ4" s="103"/>
      <c r="CK4" s="103"/>
      <c r="CL4" s="103"/>
      <c r="CM4" s="103"/>
      <c r="CN4" s="103"/>
      <c r="CO4" s="103"/>
      <c r="CP4" s="103"/>
      <c r="CQ4" s="103"/>
      <c r="CR4" s="103"/>
      <c r="CS4" s="103"/>
      <c r="CT4" s="103"/>
      <c r="CU4" s="103"/>
      <c r="CV4" s="42">
        <f>BW4+1</f>
        <v>43</v>
      </c>
      <c r="CW4" s="43"/>
      <c r="CX4" s="66">
        <f>SUM(CX7:CX20)</f>
        <v>32618</v>
      </c>
      <c r="CY4" s="66">
        <f>CY8+CY12+CY14+CY10</f>
        <v>30751</v>
      </c>
      <c r="CZ4" s="35">
        <f>SUM(CZ7:CZ20)</f>
        <v>598866.48</v>
      </c>
      <c r="DA4" s="36">
        <f>SUM(DA7:DA20)</f>
        <v>564588.36</v>
      </c>
      <c r="DB4" s="102" t="s">
        <v>8</v>
      </c>
      <c r="DC4" s="103"/>
      <c r="DD4" s="103"/>
      <c r="DE4" s="103"/>
      <c r="DF4" s="103"/>
      <c r="DG4" s="103"/>
      <c r="DH4" s="103"/>
      <c r="DI4" s="103"/>
      <c r="DJ4" s="103"/>
      <c r="DK4" s="103"/>
      <c r="DL4" s="103"/>
      <c r="DM4" s="103"/>
      <c r="DN4" s="103"/>
      <c r="DO4" s="103"/>
      <c r="DP4" s="103"/>
      <c r="DQ4" s="103"/>
      <c r="DR4" s="103"/>
      <c r="DS4" s="103"/>
      <c r="DT4" s="103"/>
      <c r="DU4" s="42">
        <f>CV4+1</f>
        <v>44</v>
      </c>
      <c r="DV4" s="43"/>
      <c r="DW4" s="66">
        <f>SUM(DW7:DW20)</f>
        <v>21632</v>
      </c>
      <c r="DX4" s="66">
        <f>DX8+DX10+DX12+DX14+DX16+DX18+DX20</f>
        <v>2789</v>
      </c>
      <c r="DY4" s="35">
        <f>SUM(DY7:DY20)</f>
        <v>397163.51999999996</v>
      </c>
      <c r="DZ4" s="36">
        <f>SUM(DZ7:DZ20)</f>
        <v>51206.04</v>
      </c>
      <c r="EA4" s="102" t="s">
        <v>8</v>
      </c>
      <c r="EB4" s="103"/>
      <c r="EC4" s="103"/>
      <c r="ED4" s="103"/>
      <c r="EE4" s="103"/>
      <c r="EF4" s="103"/>
      <c r="EG4" s="103"/>
      <c r="EH4" s="103"/>
      <c r="EI4" s="103"/>
      <c r="EJ4" s="103"/>
      <c r="EK4" s="103"/>
      <c r="EL4" s="103"/>
      <c r="EM4" s="103"/>
      <c r="EN4" s="103"/>
      <c r="EO4" s="103"/>
      <c r="EP4" s="103"/>
      <c r="EQ4" s="103"/>
      <c r="ER4" s="103"/>
      <c r="ES4" s="103"/>
      <c r="ET4" s="42">
        <f>DU4+1</f>
        <v>45</v>
      </c>
      <c r="EU4" s="43"/>
      <c r="EV4" s="66">
        <f>SUM(EV7:EV20)</f>
        <v>21632</v>
      </c>
      <c r="EW4" s="66">
        <f>EW8+EW10+EW12+EW14+EW16+EW18+EW20</f>
        <v>0</v>
      </c>
      <c r="EX4" s="35">
        <f>SUM(EX7:EX20)</f>
        <v>397163.51999999996</v>
      </c>
      <c r="EY4" s="36">
        <f>SUM(EY7:EY20)</f>
        <v>0</v>
      </c>
      <c r="EZ4" s="102" t="s">
        <v>8</v>
      </c>
      <c r="FA4" s="103"/>
      <c r="FB4" s="103"/>
      <c r="FC4" s="103"/>
      <c r="FD4" s="103"/>
      <c r="FE4" s="103"/>
      <c r="FF4" s="103"/>
      <c r="FG4" s="103"/>
      <c r="FH4" s="103"/>
      <c r="FI4" s="103"/>
      <c r="FJ4" s="103"/>
      <c r="FK4" s="103"/>
      <c r="FL4" s="103"/>
      <c r="FM4" s="103">
        <v>46</v>
      </c>
      <c r="FN4" s="103"/>
      <c r="FO4" s="103"/>
      <c r="FP4" s="103"/>
      <c r="FQ4" s="103"/>
      <c r="FR4" s="103"/>
      <c r="FS4" s="42">
        <f>ET4+1</f>
        <v>46</v>
      </c>
      <c r="FT4" s="43"/>
      <c r="FU4" s="66">
        <f>SUM(FU7:FU20)</f>
        <v>27040</v>
      </c>
      <c r="FV4" s="66">
        <f>FV8+FV10+FV12+FV14+FV16+FV18+FV20</f>
        <v>0</v>
      </c>
      <c r="FW4" s="35">
        <f>SUM(FW7:FW20)</f>
        <v>496454.39999999997</v>
      </c>
      <c r="FX4" s="36">
        <f>SUM(FX7:FX20)</f>
        <v>0</v>
      </c>
      <c r="FY4" s="102" t="s">
        <v>8</v>
      </c>
      <c r="FZ4" s="103"/>
      <c r="GA4" s="103"/>
      <c r="GB4" s="103"/>
      <c r="GC4" s="103"/>
      <c r="GD4" s="103"/>
      <c r="GE4" s="103"/>
      <c r="GF4" s="103"/>
      <c r="GG4" s="103"/>
      <c r="GH4" s="103"/>
      <c r="GI4" s="103"/>
      <c r="GJ4" s="103"/>
      <c r="GK4" s="103"/>
      <c r="GL4" s="103"/>
      <c r="GM4" s="103">
        <v>47</v>
      </c>
      <c r="GN4" s="103"/>
      <c r="GO4" s="103"/>
      <c r="GP4" s="103"/>
      <c r="GQ4" s="103"/>
      <c r="GR4" s="42">
        <f>FS4+1</f>
        <v>47</v>
      </c>
      <c r="GS4" s="43"/>
      <c r="GT4" s="66">
        <f>SUM(GT7:GT20)</f>
        <v>27040</v>
      </c>
      <c r="GU4" s="66">
        <f>GU8+GU10+GU12+GU14+GU16+GU18+GU20</f>
        <v>0</v>
      </c>
      <c r="GV4" s="35">
        <f>SUM(GV7:GV20)</f>
        <v>496454.39999999997</v>
      </c>
      <c r="GW4" s="36">
        <f>SUM(GW7:GW20)</f>
        <v>0</v>
      </c>
      <c r="GX4" s="102" t="s">
        <v>8</v>
      </c>
      <c r="GY4" s="103"/>
      <c r="GZ4" s="103"/>
      <c r="HA4" s="103"/>
      <c r="HB4" s="103"/>
      <c r="HC4" s="103"/>
      <c r="HD4" s="103"/>
      <c r="HE4" s="103"/>
      <c r="HF4" s="103"/>
      <c r="HG4" s="103"/>
      <c r="HH4" s="103"/>
      <c r="HI4" s="103"/>
      <c r="HJ4" s="103">
        <v>48</v>
      </c>
      <c r="HK4" s="103"/>
      <c r="HL4" s="103"/>
      <c r="HM4" s="103"/>
      <c r="HN4" s="103"/>
      <c r="HO4" s="103"/>
      <c r="HP4" s="103"/>
      <c r="HQ4" s="42">
        <f>GR4+1</f>
        <v>48</v>
      </c>
      <c r="HR4" s="43"/>
      <c r="HS4" s="66">
        <f>SUM(HS7:HS20)</f>
        <v>27040</v>
      </c>
      <c r="HT4" s="66">
        <f>HT8+HT10+HT12+HT14+HT16+HT18+HT20</f>
        <v>0</v>
      </c>
      <c r="HU4" s="35">
        <f>SUM(HU7:HU20)</f>
        <v>496454.39999999997</v>
      </c>
      <c r="HV4" s="36">
        <f>SUM(HV7:HV20)</f>
        <v>0</v>
      </c>
      <c r="HW4" s="102" t="s">
        <v>8</v>
      </c>
      <c r="HX4" s="103"/>
      <c r="HY4" s="103"/>
      <c r="HZ4" s="103"/>
      <c r="IA4" s="103"/>
      <c r="IB4" s="103"/>
      <c r="IC4" s="103"/>
      <c r="ID4" s="103"/>
      <c r="IE4" s="103"/>
      <c r="IF4" s="103"/>
      <c r="IG4" s="103"/>
      <c r="IH4" s="103"/>
      <c r="II4" s="103">
        <v>49</v>
      </c>
      <c r="IJ4" s="103"/>
      <c r="IK4" s="103"/>
      <c r="IL4" s="103"/>
      <c r="IM4" s="103"/>
      <c r="IN4" s="103"/>
      <c r="IO4" s="103"/>
      <c r="IP4" s="42">
        <f>HQ4+1</f>
        <v>49</v>
      </c>
      <c r="IQ4" s="43"/>
      <c r="IR4" s="66">
        <f>SUM(IR7:IR20)</f>
        <v>27027</v>
      </c>
      <c r="IS4" s="66">
        <f>IS8+IS10+IS12+IS14+IS16+IS18+IS20</f>
        <v>0</v>
      </c>
      <c r="IT4" s="35">
        <f>SUM(IT7:IT20)</f>
        <v>490004.64500000002</v>
      </c>
      <c r="IU4" s="36">
        <f>SUM(IU7:IU20)</f>
        <v>0</v>
      </c>
      <c r="IV4" s="102" t="s">
        <v>8</v>
      </c>
      <c r="IW4" s="103"/>
      <c r="IX4" s="103"/>
      <c r="IY4" s="103"/>
      <c r="IZ4" s="103"/>
      <c r="JA4" s="103"/>
      <c r="JB4" s="103"/>
      <c r="JC4" s="103"/>
      <c r="JD4" s="103"/>
      <c r="JE4" s="103"/>
      <c r="JF4" s="103"/>
      <c r="JG4" s="103"/>
      <c r="JH4" s="103"/>
      <c r="JI4" s="103">
        <v>50</v>
      </c>
      <c r="JJ4" s="103"/>
      <c r="JK4" s="103"/>
      <c r="JL4" s="103"/>
      <c r="JM4" s="103"/>
      <c r="JN4" s="103"/>
      <c r="JO4" s="42">
        <f>IP4+1</f>
        <v>50</v>
      </c>
      <c r="JP4" s="43"/>
      <c r="JQ4" s="66">
        <f>SUM(JQ7:JQ20)</f>
        <v>26920</v>
      </c>
      <c r="JR4" s="66">
        <f>JR8+JR10+JR12+JR14+JR16+JR18+JR20</f>
        <v>0</v>
      </c>
      <c r="JS4" s="35">
        <f>SUM(JS7:JS20)</f>
        <v>486620.34</v>
      </c>
      <c r="JT4" s="36">
        <f>SUM(JT7:JT20)</f>
        <v>0</v>
      </c>
      <c r="JU4" s="102" t="s">
        <v>8</v>
      </c>
      <c r="JV4" s="103"/>
      <c r="JW4" s="103"/>
      <c r="JX4" s="103"/>
      <c r="JY4" s="103"/>
      <c r="JZ4" s="103"/>
      <c r="KA4" s="103"/>
      <c r="KB4" s="103"/>
      <c r="KC4" s="103"/>
      <c r="KD4" s="103"/>
      <c r="KE4" s="103"/>
      <c r="KF4" s="103"/>
      <c r="KG4" s="103"/>
      <c r="KH4" s="103"/>
      <c r="KI4" s="103"/>
      <c r="KJ4" s="103"/>
      <c r="KK4" s="103"/>
      <c r="KL4" s="103"/>
      <c r="KM4" s="103"/>
      <c r="KN4" s="42">
        <f>JO4+1</f>
        <v>51</v>
      </c>
      <c r="KO4" s="43"/>
      <c r="KP4" s="66">
        <f>SUM(KP7:KP20)</f>
        <v>21538</v>
      </c>
      <c r="KQ4" s="66">
        <f>KQ8+KQ10+KQ12+KQ14+KQ16+KQ18+KQ20</f>
        <v>0</v>
      </c>
      <c r="KR4" s="35">
        <f>SUM(KR7:KR20)</f>
        <v>326988.185</v>
      </c>
      <c r="KS4" s="36">
        <f>SUM(KS7:KS20)</f>
        <v>0</v>
      </c>
      <c r="KT4" s="102" t="s">
        <v>8</v>
      </c>
      <c r="KU4" s="103"/>
      <c r="KV4" s="103"/>
      <c r="KW4" s="103"/>
      <c r="KX4" s="103"/>
      <c r="KY4" s="103"/>
      <c r="KZ4" s="103"/>
      <c r="LA4" s="103"/>
      <c r="LB4" s="103"/>
      <c r="LC4" s="103"/>
      <c r="LD4" s="103"/>
      <c r="LE4" s="103"/>
      <c r="LF4" s="103"/>
      <c r="LG4" s="103"/>
      <c r="LH4" s="103"/>
      <c r="LI4" s="103"/>
      <c r="LJ4" s="103"/>
      <c r="LK4" s="103"/>
      <c r="LL4" s="103"/>
      <c r="LM4" s="42">
        <f>KN4+1</f>
        <v>52</v>
      </c>
      <c r="LN4" s="43"/>
      <c r="LO4" s="66">
        <f>SUM(LO7:LO20)</f>
        <v>27040</v>
      </c>
      <c r="LP4" s="66">
        <f>LP8+LP10+LP12+LP14+LP16+LP18+LP20</f>
        <v>0</v>
      </c>
      <c r="LQ4" s="35">
        <f>SUM(LQ7:LQ20)</f>
        <v>496454.39999999997</v>
      </c>
      <c r="LR4" s="36">
        <f>SUM(LR7:LR20)</f>
        <v>0</v>
      </c>
    </row>
    <row r="5" spans="1:330" x14ac:dyDescent="0.35">
      <c r="A5" s="50" t="s">
        <v>21</v>
      </c>
      <c r="B5" s="50" t="s">
        <v>0</v>
      </c>
      <c r="C5" s="50" t="s">
        <v>1</v>
      </c>
      <c r="D5" s="50" t="s">
        <v>2</v>
      </c>
      <c r="E5" s="50" t="s">
        <v>3</v>
      </c>
      <c r="F5" s="282">
        <v>45656</v>
      </c>
      <c r="G5" s="254"/>
      <c r="H5" s="255"/>
      <c r="I5" s="253">
        <f>F5+1</f>
        <v>45657</v>
      </c>
      <c r="J5" s="254"/>
      <c r="K5" s="255"/>
      <c r="L5" s="253">
        <f>I5+1</f>
        <v>45658</v>
      </c>
      <c r="M5" s="254"/>
      <c r="N5" s="255"/>
      <c r="O5" s="253">
        <f>L5+1</f>
        <v>45659</v>
      </c>
      <c r="P5" s="254"/>
      <c r="Q5" s="255"/>
      <c r="R5" s="253">
        <f>O5+1</f>
        <v>45660</v>
      </c>
      <c r="S5" s="254"/>
      <c r="T5" s="255"/>
      <c r="U5" s="253">
        <f>R5+1</f>
        <v>45661</v>
      </c>
      <c r="V5" s="254"/>
      <c r="W5" s="255"/>
      <c r="X5" s="253">
        <f>U5+1</f>
        <v>45662</v>
      </c>
      <c r="Y5" s="254"/>
      <c r="Z5" s="255"/>
      <c r="AA5" s="37" t="s">
        <v>4</v>
      </c>
      <c r="AB5" s="38" t="s">
        <v>5</v>
      </c>
      <c r="AC5" s="38" t="s">
        <v>6</v>
      </c>
      <c r="AD5" s="39" t="s">
        <v>7</v>
      </c>
      <c r="AE5" s="253">
        <f>X5+1</f>
        <v>45663</v>
      </c>
      <c r="AF5" s="254"/>
      <c r="AG5" s="255"/>
      <c r="AH5" s="253">
        <f>AE5+1</f>
        <v>45664</v>
      </c>
      <c r="AI5" s="254"/>
      <c r="AJ5" s="255"/>
      <c r="AK5" s="253">
        <f>AH5+1</f>
        <v>45665</v>
      </c>
      <c r="AL5" s="254"/>
      <c r="AM5" s="255"/>
      <c r="AN5" s="253">
        <f>AK5+1</f>
        <v>45666</v>
      </c>
      <c r="AO5" s="254"/>
      <c r="AP5" s="255"/>
      <c r="AQ5" s="253">
        <f>AN5+1</f>
        <v>45667</v>
      </c>
      <c r="AR5" s="254"/>
      <c r="AS5" s="255"/>
      <c r="AT5" s="253">
        <f>AQ5+1</f>
        <v>45668</v>
      </c>
      <c r="AU5" s="254"/>
      <c r="AV5" s="255"/>
      <c r="AW5" s="253">
        <f>AT5+1</f>
        <v>45669</v>
      </c>
      <c r="AX5" s="254"/>
      <c r="AY5" s="255"/>
      <c r="AZ5" s="37" t="s">
        <v>4</v>
      </c>
      <c r="BA5" s="38" t="s">
        <v>5</v>
      </c>
      <c r="BB5" s="38" t="s">
        <v>6</v>
      </c>
      <c r="BC5" s="39" t="s">
        <v>7</v>
      </c>
      <c r="BD5" s="253">
        <f>AW5+1</f>
        <v>45670</v>
      </c>
      <c r="BE5" s="254"/>
      <c r="BF5" s="255"/>
      <c r="BG5" s="253">
        <f>BD5+1</f>
        <v>45671</v>
      </c>
      <c r="BH5" s="254"/>
      <c r="BI5" s="255"/>
      <c r="BJ5" s="253">
        <f>BG5+1</f>
        <v>45672</v>
      </c>
      <c r="BK5" s="254"/>
      <c r="BL5" s="255"/>
      <c r="BM5" s="253">
        <f>BJ5+1</f>
        <v>45673</v>
      </c>
      <c r="BN5" s="254"/>
      <c r="BO5" s="255"/>
      <c r="BP5" s="253">
        <f>BM5+1</f>
        <v>45674</v>
      </c>
      <c r="BQ5" s="254"/>
      <c r="BR5" s="255"/>
      <c r="BS5" s="253">
        <f>BP5+1</f>
        <v>45675</v>
      </c>
      <c r="BT5" s="254"/>
      <c r="BU5" s="255"/>
      <c r="BV5" s="253">
        <f>BS5+1</f>
        <v>45676</v>
      </c>
      <c r="BW5" s="254"/>
      <c r="BX5" s="255"/>
      <c r="BY5" s="37" t="s">
        <v>4</v>
      </c>
      <c r="BZ5" s="38" t="s">
        <v>5</v>
      </c>
      <c r="CA5" s="38" t="s">
        <v>6</v>
      </c>
      <c r="CB5" s="39" t="s">
        <v>7</v>
      </c>
      <c r="CC5" s="253">
        <f>BV5+1</f>
        <v>45677</v>
      </c>
      <c r="CD5" s="254"/>
      <c r="CE5" s="255"/>
      <c r="CF5" s="253">
        <f>CC5+1</f>
        <v>45678</v>
      </c>
      <c r="CG5" s="254"/>
      <c r="CH5" s="255"/>
      <c r="CI5" s="253">
        <f>CF5+1</f>
        <v>45679</v>
      </c>
      <c r="CJ5" s="254"/>
      <c r="CK5" s="255"/>
      <c r="CL5" s="253">
        <f>CI5+1</f>
        <v>45680</v>
      </c>
      <c r="CM5" s="254"/>
      <c r="CN5" s="255"/>
      <c r="CO5" s="253">
        <f>CL5+1</f>
        <v>45681</v>
      </c>
      <c r="CP5" s="254"/>
      <c r="CQ5" s="255"/>
      <c r="CR5" s="253">
        <f>CO5+1</f>
        <v>45682</v>
      </c>
      <c r="CS5" s="254"/>
      <c r="CT5" s="255"/>
      <c r="CU5" s="253">
        <f>CR5+1</f>
        <v>45683</v>
      </c>
      <c r="CV5" s="254"/>
      <c r="CW5" s="255"/>
      <c r="CX5" s="37" t="s">
        <v>4</v>
      </c>
      <c r="CY5" s="38" t="s">
        <v>5</v>
      </c>
      <c r="CZ5" s="38" t="s">
        <v>6</v>
      </c>
      <c r="DA5" s="39" t="s">
        <v>7</v>
      </c>
      <c r="DB5" s="253">
        <f>CU5+1</f>
        <v>45684</v>
      </c>
      <c r="DC5" s="254"/>
      <c r="DD5" s="255"/>
      <c r="DE5" s="253">
        <f>DB5+1</f>
        <v>45685</v>
      </c>
      <c r="DF5" s="254"/>
      <c r="DG5" s="255"/>
      <c r="DH5" s="253">
        <f t="shared" ref="DH5" si="0">DE5+1</f>
        <v>45686</v>
      </c>
      <c r="DI5" s="254"/>
      <c r="DJ5" s="255"/>
      <c r="DK5" s="253">
        <f t="shared" ref="DK5" si="1">DH5+1</f>
        <v>45687</v>
      </c>
      <c r="DL5" s="254"/>
      <c r="DM5" s="255"/>
      <c r="DN5" s="253">
        <f t="shared" ref="DN5" si="2">DK5+1</f>
        <v>45688</v>
      </c>
      <c r="DO5" s="254"/>
      <c r="DP5" s="255"/>
      <c r="DQ5" s="253">
        <f t="shared" ref="DQ5" si="3">DN5+1</f>
        <v>45689</v>
      </c>
      <c r="DR5" s="254"/>
      <c r="DS5" s="255"/>
      <c r="DT5" s="253">
        <f t="shared" ref="DT5" si="4">DQ5+1</f>
        <v>45690</v>
      </c>
      <c r="DU5" s="254"/>
      <c r="DV5" s="255"/>
      <c r="DW5" s="37" t="s">
        <v>4</v>
      </c>
      <c r="DX5" s="38" t="s">
        <v>5</v>
      </c>
      <c r="DY5" s="38" t="s">
        <v>6</v>
      </c>
      <c r="DZ5" s="39" t="s">
        <v>7</v>
      </c>
      <c r="EA5" s="253">
        <f>DT5+1</f>
        <v>45691</v>
      </c>
      <c r="EB5" s="254"/>
      <c r="EC5" s="255"/>
      <c r="ED5" s="253">
        <f>EA5+1</f>
        <v>45692</v>
      </c>
      <c r="EE5" s="254"/>
      <c r="EF5" s="255"/>
      <c r="EG5" s="253">
        <f t="shared" ref="EG5" si="5">ED5+1</f>
        <v>45693</v>
      </c>
      <c r="EH5" s="254"/>
      <c r="EI5" s="255"/>
      <c r="EJ5" s="253">
        <f t="shared" ref="EJ5" si="6">EG5+1</f>
        <v>45694</v>
      </c>
      <c r="EK5" s="254"/>
      <c r="EL5" s="255"/>
      <c r="EM5" s="253">
        <f t="shared" ref="EM5" si="7">EJ5+1</f>
        <v>45695</v>
      </c>
      <c r="EN5" s="254"/>
      <c r="EO5" s="255"/>
      <c r="EP5" s="253">
        <f t="shared" ref="EP5" si="8">EM5+1</f>
        <v>45696</v>
      </c>
      <c r="EQ5" s="254"/>
      <c r="ER5" s="255"/>
      <c r="ES5" s="253">
        <f t="shared" ref="ES5" si="9">EP5+1</f>
        <v>45697</v>
      </c>
      <c r="ET5" s="254"/>
      <c r="EU5" s="255"/>
      <c r="EV5" s="37" t="s">
        <v>4</v>
      </c>
      <c r="EW5" s="38" t="s">
        <v>5</v>
      </c>
      <c r="EX5" s="38" t="s">
        <v>6</v>
      </c>
      <c r="EY5" s="39" t="s">
        <v>7</v>
      </c>
      <c r="EZ5" s="253">
        <f>ES5+1</f>
        <v>45698</v>
      </c>
      <c r="FA5" s="254"/>
      <c r="FB5" s="255"/>
      <c r="FC5" s="253">
        <f>EZ5+1</f>
        <v>45699</v>
      </c>
      <c r="FD5" s="254"/>
      <c r="FE5" s="255"/>
      <c r="FF5" s="253">
        <f t="shared" ref="FF5" si="10">FC5+1</f>
        <v>45700</v>
      </c>
      <c r="FG5" s="254"/>
      <c r="FH5" s="255"/>
      <c r="FI5" s="253">
        <f t="shared" ref="FI5" si="11">FF5+1</f>
        <v>45701</v>
      </c>
      <c r="FJ5" s="254"/>
      <c r="FK5" s="255"/>
      <c r="FL5" s="253">
        <f t="shared" ref="FL5" si="12">FI5+1</f>
        <v>45702</v>
      </c>
      <c r="FM5" s="254"/>
      <c r="FN5" s="255"/>
      <c r="FO5" s="104">
        <f t="shared" ref="FO5" si="13">FL5+1</f>
        <v>45703</v>
      </c>
      <c r="FP5" s="105"/>
      <c r="FQ5" s="106"/>
      <c r="FR5" s="105">
        <f t="shared" ref="FR5" si="14">FO5+1</f>
        <v>45704</v>
      </c>
      <c r="FS5" s="105"/>
      <c r="FT5" s="105"/>
      <c r="FU5" s="37" t="s">
        <v>4</v>
      </c>
      <c r="FV5" s="38" t="s">
        <v>5</v>
      </c>
      <c r="FW5" s="38" t="s">
        <v>6</v>
      </c>
      <c r="FX5" s="39" t="s">
        <v>7</v>
      </c>
      <c r="FY5" s="104">
        <f>FR5+1</f>
        <v>45705</v>
      </c>
      <c r="FZ5" s="105"/>
      <c r="GA5" s="106"/>
      <c r="GB5" s="104">
        <f>FY5+1</f>
        <v>45706</v>
      </c>
      <c r="GC5" s="105"/>
      <c r="GD5" s="106"/>
      <c r="GE5" s="105">
        <f t="shared" ref="GE5" si="15">GB5+1</f>
        <v>45707</v>
      </c>
      <c r="GF5" s="105"/>
      <c r="GG5" s="105"/>
      <c r="GH5" s="104">
        <f t="shared" ref="GH5" si="16">GE5+1</f>
        <v>45708</v>
      </c>
      <c r="GI5" s="105"/>
      <c r="GJ5" s="106"/>
      <c r="GK5" s="105">
        <f t="shared" ref="GK5" si="17">GH5+1</f>
        <v>45709</v>
      </c>
      <c r="GL5" s="105"/>
      <c r="GM5" s="105"/>
      <c r="GN5" s="104">
        <f t="shared" ref="GN5" si="18">GK5+1</f>
        <v>45710</v>
      </c>
      <c r="GO5" s="105"/>
      <c r="GP5" s="106"/>
      <c r="GQ5" s="105">
        <f t="shared" ref="GQ5" si="19">GN5+1</f>
        <v>45711</v>
      </c>
      <c r="GR5" s="105"/>
      <c r="GS5" s="105"/>
      <c r="GT5" s="37" t="s">
        <v>4</v>
      </c>
      <c r="GU5" s="38" t="s">
        <v>5</v>
      </c>
      <c r="GV5" s="38" t="s">
        <v>6</v>
      </c>
      <c r="GW5" s="39" t="s">
        <v>7</v>
      </c>
      <c r="GX5" s="253">
        <f>GQ5+1</f>
        <v>45712</v>
      </c>
      <c r="GY5" s="254"/>
      <c r="GZ5" s="255"/>
      <c r="HA5" s="253">
        <f>GX5+1</f>
        <v>45713</v>
      </c>
      <c r="HB5" s="254"/>
      <c r="HC5" s="255"/>
      <c r="HD5" s="253">
        <f t="shared" ref="HD5" si="20">HA5+1</f>
        <v>45714</v>
      </c>
      <c r="HE5" s="254"/>
      <c r="HF5" s="255"/>
      <c r="HG5" s="253">
        <f t="shared" ref="HG5" si="21">HD5+1</f>
        <v>45715</v>
      </c>
      <c r="HH5" s="254"/>
      <c r="HI5" s="255"/>
      <c r="HJ5" s="253">
        <f t="shared" ref="HJ5" si="22">HG5+1</f>
        <v>45716</v>
      </c>
      <c r="HK5" s="254"/>
      <c r="HL5" s="255"/>
      <c r="HM5" s="253">
        <f t="shared" ref="HM5" si="23">HJ5+1</f>
        <v>45717</v>
      </c>
      <c r="HN5" s="254"/>
      <c r="HO5" s="255"/>
      <c r="HP5" s="253">
        <f t="shared" ref="HP5" si="24">HM5+1</f>
        <v>45718</v>
      </c>
      <c r="HQ5" s="254"/>
      <c r="HR5" s="255"/>
      <c r="HS5" s="37" t="s">
        <v>4</v>
      </c>
      <c r="HT5" s="38" t="s">
        <v>5</v>
      </c>
      <c r="HU5" s="38" t="s">
        <v>6</v>
      </c>
      <c r="HV5" s="39" t="s">
        <v>7</v>
      </c>
      <c r="HW5" s="253">
        <f>HP5+1</f>
        <v>45719</v>
      </c>
      <c r="HX5" s="254"/>
      <c r="HY5" s="255"/>
      <c r="HZ5" s="253">
        <f>HW5+1</f>
        <v>45720</v>
      </c>
      <c r="IA5" s="254"/>
      <c r="IB5" s="255"/>
      <c r="IC5" s="253">
        <f>HZ5+1</f>
        <v>45721</v>
      </c>
      <c r="ID5" s="254"/>
      <c r="IE5" s="255"/>
      <c r="IF5" s="253">
        <f>IC5+1</f>
        <v>45722</v>
      </c>
      <c r="IG5" s="254"/>
      <c r="IH5" s="255"/>
      <c r="II5" s="253">
        <f>IF5+1</f>
        <v>45723</v>
      </c>
      <c r="IJ5" s="254"/>
      <c r="IK5" s="255"/>
      <c r="IL5" s="253">
        <f>II5+1</f>
        <v>45724</v>
      </c>
      <c r="IM5" s="254"/>
      <c r="IN5" s="255"/>
      <c r="IO5" s="253">
        <f>IL5+1</f>
        <v>45725</v>
      </c>
      <c r="IP5" s="254"/>
      <c r="IQ5" s="255"/>
      <c r="IR5" s="37" t="s">
        <v>4</v>
      </c>
      <c r="IS5" s="38" t="s">
        <v>5</v>
      </c>
      <c r="IT5" s="38" t="s">
        <v>6</v>
      </c>
      <c r="IU5" s="39" t="s">
        <v>7</v>
      </c>
      <c r="IV5" s="253">
        <f>IO5+1</f>
        <v>45726</v>
      </c>
      <c r="IW5" s="254"/>
      <c r="IX5" s="255"/>
      <c r="IY5" s="253">
        <f>IV5+1</f>
        <v>45727</v>
      </c>
      <c r="IZ5" s="254"/>
      <c r="JA5" s="255"/>
      <c r="JB5" s="253">
        <f>IY5+1</f>
        <v>45728</v>
      </c>
      <c r="JC5" s="254"/>
      <c r="JD5" s="255"/>
      <c r="JE5" s="253">
        <f>JB5+1</f>
        <v>45729</v>
      </c>
      <c r="JF5" s="254"/>
      <c r="JG5" s="255"/>
      <c r="JH5" s="253">
        <f>JE5+1</f>
        <v>45730</v>
      </c>
      <c r="JI5" s="254"/>
      <c r="JJ5" s="255"/>
      <c r="JK5" s="253">
        <f>JH5+1</f>
        <v>45731</v>
      </c>
      <c r="JL5" s="254"/>
      <c r="JM5" s="255"/>
      <c r="JN5" s="253">
        <f>JK5+1</f>
        <v>45732</v>
      </c>
      <c r="JO5" s="254"/>
      <c r="JP5" s="255"/>
      <c r="JQ5" s="37" t="s">
        <v>4</v>
      </c>
      <c r="JR5" s="38" t="s">
        <v>5</v>
      </c>
      <c r="JS5" s="38" t="s">
        <v>6</v>
      </c>
      <c r="JT5" s="39" t="s">
        <v>7</v>
      </c>
      <c r="JU5" s="253">
        <f>JN5+1</f>
        <v>45733</v>
      </c>
      <c r="JV5" s="254"/>
      <c r="JW5" s="255"/>
      <c r="JX5" s="253">
        <f>JU5+1</f>
        <v>45734</v>
      </c>
      <c r="JY5" s="254"/>
      <c r="JZ5" s="255"/>
      <c r="KA5" s="253">
        <f>JX5+1</f>
        <v>45735</v>
      </c>
      <c r="KB5" s="254"/>
      <c r="KC5" s="255"/>
      <c r="KD5" s="253">
        <f>KA5+1</f>
        <v>45736</v>
      </c>
      <c r="KE5" s="254"/>
      <c r="KF5" s="255"/>
      <c r="KG5" s="253">
        <f>KD5+1</f>
        <v>45737</v>
      </c>
      <c r="KH5" s="254"/>
      <c r="KI5" s="255"/>
      <c r="KJ5" s="253">
        <f>KG5+1</f>
        <v>45738</v>
      </c>
      <c r="KK5" s="254"/>
      <c r="KL5" s="255"/>
      <c r="KM5" s="253">
        <f>KJ5+1</f>
        <v>45739</v>
      </c>
      <c r="KN5" s="254"/>
      <c r="KO5" s="255"/>
      <c r="KP5" s="37" t="s">
        <v>4</v>
      </c>
      <c r="KQ5" s="38" t="s">
        <v>5</v>
      </c>
      <c r="KR5" s="38" t="s">
        <v>6</v>
      </c>
      <c r="KS5" s="39" t="s">
        <v>7</v>
      </c>
      <c r="KT5" s="253">
        <f>KM5+1</f>
        <v>45740</v>
      </c>
      <c r="KU5" s="254"/>
      <c r="KV5" s="255"/>
      <c r="KW5" s="253">
        <f>KT5+1</f>
        <v>45741</v>
      </c>
      <c r="KX5" s="254"/>
      <c r="KY5" s="255"/>
      <c r="KZ5" s="253">
        <f>KW5+1</f>
        <v>45742</v>
      </c>
      <c r="LA5" s="254"/>
      <c r="LB5" s="255"/>
      <c r="LC5" s="253">
        <f>KZ5+1</f>
        <v>45743</v>
      </c>
      <c r="LD5" s="254"/>
      <c r="LE5" s="255"/>
      <c r="LF5" s="253">
        <f>LC5+1</f>
        <v>45744</v>
      </c>
      <c r="LG5" s="254"/>
      <c r="LH5" s="255"/>
      <c r="LI5" s="253">
        <f>LF5+1</f>
        <v>45745</v>
      </c>
      <c r="LJ5" s="254"/>
      <c r="LK5" s="255"/>
      <c r="LL5" s="253">
        <f>LI5+1</f>
        <v>45746</v>
      </c>
      <c r="LM5" s="254"/>
      <c r="LN5" s="255"/>
      <c r="LO5" s="37" t="s">
        <v>4</v>
      </c>
      <c r="LP5" s="38" t="s">
        <v>5</v>
      </c>
      <c r="LQ5" s="38" t="s">
        <v>6</v>
      </c>
      <c r="LR5" s="39" t="s">
        <v>7</v>
      </c>
    </row>
    <row r="6" spans="1:330" ht="42.5" thickBot="1" x14ac:dyDescent="0.4">
      <c r="A6" s="64"/>
      <c r="B6" s="64"/>
      <c r="C6" s="50"/>
      <c r="D6" s="50"/>
      <c r="E6" s="50"/>
      <c r="F6" s="22" t="s">
        <v>9</v>
      </c>
      <c r="G6" s="2" t="s">
        <v>10</v>
      </c>
      <c r="H6" s="34" t="s">
        <v>11</v>
      </c>
      <c r="I6" s="25" t="s">
        <v>9</v>
      </c>
      <c r="J6" s="3" t="s">
        <v>10</v>
      </c>
      <c r="K6" s="26" t="s">
        <v>11</v>
      </c>
      <c r="L6" s="22" t="s">
        <v>9</v>
      </c>
      <c r="M6" s="2" t="s">
        <v>10</v>
      </c>
      <c r="N6" s="19" t="s">
        <v>11</v>
      </c>
      <c r="O6" s="25" t="s">
        <v>9</v>
      </c>
      <c r="P6" s="3" t="s">
        <v>10</v>
      </c>
      <c r="Q6" s="26" t="s">
        <v>11</v>
      </c>
      <c r="R6" s="33" t="s">
        <v>9</v>
      </c>
      <c r="S6" s="2" t="s">
        <v>10</v>
      </c>
      <c r="T6" s="34" t="s">
        <v>11</v>
      </c>
      <c r="U6" s="25" t="s">
        <v>9</v>
      </c>
      <c r="V6" s="3" t="s">
        <v>10</v>
      </c>
      <c r="W6" s="26" t="s">
        <v>11</v>
      </c>
      <c r="X6" s="22" t="s">
        <v>9</v>
      </c>
      <c r="Y6" s="2" t="s">
        <v>10</v>
      </c>
      <c r="Z6" s="34" t="s">
        <v>11</v>
      </c>
      <c r="AA6" s="40"/>
      <c r="AB6" s="4"/>
      <c r="AC6" s="4"/>
      <c r="AD6" s="41"/>
      <c r="AE6" s="33" t="s">
        <v>9</v>
      </c>
      <c r="AF6" s="2" t="s">
        <v>10</v>
      </c>
      <c r="AG6" s="34" t="s">
        <v>11</v>
      </c>
      <c r="AH6" s="25" t="s">
        <v>9</v>
      </c>
      <c r="AI6" s="3" t="s">
        <v>10</v>
      </c>
      <c r="AJ6" s="26" t="s">
        <v>11</v>
      </c>
      <c r="AK6" s="22" t="s">
        <v>9</v>
      </c>
      <c r="AL6" s="2" t="s">
        <v>10</v>
      </c>
      <c r="AM6" s="19" t="s">
        <v>11</v>
      </c>
      <c r="AN6" s="25" t="s">
        <v>9</v>
      </c>
      <c r="AO6" s="3" t="s">
        <v>10</v>
      </c>
      <c r="AP6" s="26" t="s">
        <v>11</v>
      </c>
      <c r="AQ6" s="22" t="s">
        <v>9</v>
      </c>
      <c r="AR6" s="2" t="s">
        <v>10</v>
      </c>
      <c r="AS6" s="19" t="s">
        <v>11</v>
      </c>
      <c r="AT6" s="25" t="s">
        <v>9</v>
      </c>
      <c r="AU6" s="3" t="s">
        <v>10</v>
      </c>
      <c r="AV6" s="26" t="s">
        <v>11</v>
      </c>
      <c r="AW6" s="22" t="s">
        <v>9</v>
      </c>
      <c r="AX6" s="2" t="s">
        <v>10</v>
      </c>
      <c r="AY6" s="19" t="s">
        <v>11</v>
      </c>
      <c r="AZ6" s="40"/>
      <c r="BA6" s="4"/>
      <c r="BB6" s="4"/>
      <c r="BC6" s="41"/>
      <c r="BD6" s="33" t="s">
        <v>9</v>
      </c>
      <c r="BE6" s="2" t="s">
        <v>10</v>
      </c>
      <c r="BF6" s="34" t="s">
        <v>11</v>
      </c>
      <c r="BG6" s="25" t="s">
        <v>9</v>
      </c>
      <c r="BH6" s="3" t="s">
        <v>10</v>
      </c>
      <c r="BI6" s="26" t="s">
        <v>11</v>
      </c>
      <c r="BJ6" s="22" t="s">
        <v>9</v>
      </c>
      <c r="BK6" s="2" t="s">
        <v>10</v>
      </c>
      <c r="BL6" s="19" t="s">
        <v>11</v>
      </c>
      <c r="BM6" s="25" t="s">
        <v>9</v>
      </c>
      <c r="BN6" s="3" t="s">
        <v>10</v>
      </c>
      <c r="BO6" s="26" t="s">
        <v>11</v>
      </c>
      <c r="BP6" s="22" t="s">
        <v>9</v>
      </c>
      <c r="BQ6" s="2" t="s">
        <v>10</v>
      </c>
      <c r="BR6" s="19" t="s">
        <v>11</v>
      </c>
      <c r="BS6" s="25" t="s">
        <v>9</v>
      </c>
      <c r="BT6" s="3" t="s">
        <v>10</v>
      </c>
      <c r="BU6" s="26" t="s">
        <v>11</v>
      </c>
      <c r="BV6" s="22" t="s">
        <v>9</v>
      </c>
      <c r="BW6" s="2" t="s">
        <v>10</v>
      </c>
      <c r="BX6" s="19" t="s">
        <v>11</v>
      </c>
      <c r="BY6" s="40"/>
      <c r="BZ6" s="4"/>
      <c r="CA6" s="4"/>
      <c r="CB6" s="41"/>
      <c r="CC6" s="33" t="s">
        <v>9</v>
      </c>
      <c r="CD6" s="2" t="s">
        <v>10</v>
      </c>
      <c r="CE6" s="34" t="s">
        <v>11</v>
      </c>
      <c r="CF6" s="25" t="s">
        <v>9</v>
      </c>
      <c r="CG6" s="3" t="s">
        <v>10</v>
      </c>
      <c r="CH6" s="26" t="s">
        <v>11</v>
      </c>
      <c r="CI6" s="22" t="s">
        <v>9</v>
      </c>
      <c r="CJ6" s="2" t="s">
        <v>10</v>
      </c>
      <c r="CK6" s="19" t="s">
        <v>11</v>
      </c>
      <c r="CL6" s="25" t="s">
        <v>9</v>
      </c>
      <c r="CM6" s="3" t="s">
        <v>10</v>
      </c>
      <c r="CN6" s="26" t="s">
        <v>11</v>
      </c>
      <c r="CO6" s="22" t="s">
        <v>9</v>
      </c>
      <c r="CP6" s="2" t="s">
        <v>10</v>
      </c>
      <c r="CQ6" s="19" t="s">
        <v>11</v>
      </c>
      <c r="CR6" s="25" t="s">
        <v>9</v>
      </c>
      <c r="CS6" s="3" t="s">
        <v>10</v>
      </c>
      <c r="CT6" s="26" t="s">
        <v>11</v>
      </c>
      <c r="CU6" s="22" t="s">
        <v>9</v>
      </c>
      <c r="CV6" s="2" t="s">
        <v>10</v>
      </c>
      <c r="CW6" s="19" t="s">
        <v>11</v>
      </c>
      <c r="CX6" s="40"/>
      <c r="CY6" s="4"/>
      <c r="CZ6" s="4"/>
      <c r="DA6" s="41"/>
      <c r="DB6" s="33" t="s">
        <v>9</v>
      </c>
      <c r="DC6" s="2" t="s">
        <v>10</v>
      </c>
      <c r="DD6" s="34" t="s">
        <v>11</v>
      </c>
      <c r="DE6" s="25" t="s">
        <v>9</v>
      </c>
      <c r="DF6" s="3" t="s">
        <v>10</v>
      </c>
      <c r="DG6" s="26" t="s">
        <v>11</v>
      </c>
      <c r="DH6" s="22" t="s">
        <v>9</v>
      </c>
      <c r="DI6" s="2" t="s">
        <v>10</v>
      </c>
      <c r="DJ6" s="19" t="s">
        <v>11</v>
      </c>
      <c r="DK6" s="25" t="s">
        <v>9</v>
      </c>
      <c r="DL6" s="3" t="s">
        <v>10</v>
      </c>
      <c r="DM6" s="26" t="s">
        <v>11</v>
      </c>
      <c r="DN6" s="22" t="s">
        <v>9</v>
      </c>
      <c r="DO6" s="2" t="s">
        <v>10</v>
      </c>
      <c r="DP6" s="19" t="s">
        <v>11</v>
      </c>
      <c r="DQ6" s="25" t="s">
        <v>9</v>
      </c>
      <c r="DR6" s="3" t="s">
        <v>10</v>
      </c>
      <c r="DS6" s="26" t="s">
        <v>11</v>
      </c>
      <c r="DT6" s="22" t="s">
        <v>9</v>
      </c>
      <c r="DU6" s="2" t="s">
        <v>10</v>
      </c>
      <c r="DV6" s="34" t="s">
        <v>11</v>
      </c>
      <c r="DW6" s="40"/>
      <c r="DX6" s="4"/>
      <c r="DY6" s="4"/>
      <c r="DZ6" s="41"/>
      <c r="EA6" s="33" t="s">
        <v>9</v>
      </c>
      <c r="EB6" s="2" t="s">
        <v>10</v>
      </c>
      <c r="EC6" s="34" t="s">
        <v>11</v>
      </c>
      <c r="ED6" s="25" t="s">
        <v>9</v>
      </c>
      <c r="EE6" s="3" t="s">
        <v>10</v>
      </c>
      <c r="EF6" s="26" t="s">
        <v>11</v>
      </c>
      <c r="EG6" s="22" t="s">
        <v>9</v>
      </c>
      <c r="EH6" s="2" t="s">
        <v>10</v>
      </c>
      <c r="EI6" s="19" t="s">
        <v>11</v>
      </c>
      <c r="EJ6" s="25" t="s">
        <v>9</v>
      </c>
      <c r="EK6" s="3" t="s">
        <v>10</v>
      </c>
      <c r="EL6" s="26" t="s">
        <v>11</v>
      </c>
      <c r="EM6" s="22" t="s">
        <v>9</v>
      </c>
      <c r="EN6" s="2" t="s">
        <v>10</v>
      </c>
      <c r="EO6" s="19" t="s">
        <v>11</v>
      </c>
      <c r="EP6" s="25" t="s">
        <v>9</v>
      </c>
      <c r="EQ6" s="3" t="s">
        <v>10</v>
      </c>
      <c r="ER6" s="26" t="s">
        <v>11</v>
      </c>
      <c r="ES6" s="22" t="s">
        <v>9</v>
      </c>
      <c r="ET6" s="2" t="s">
        <v>10</v>
      </c>
      <c r="EU6" s="19" t="s">
        <v>11</v>
      </c>
      <c r="EV6" s="40"/>
      <c r="EW6" s="4"/>
      <c r="EX6" s="4"/>
      <c r="EY6" s="41"/>
      <c r="EZ6" s="33" t="s">
        <v>9</v>
      </c>
      <c r="FA6" s="2" t="s">
        <v>10</v>
      </c>
      <c r="FB6" s="34" t="s">
        <v>11</v>
      </c>
      <c r="FC6" s="25" t="s">
        <v>9</v>
      </c>
      <c r="FD6" s="3" t="s">
        <v>10</v>
      </c>
      <c r="FE6" s="26" t="s">
        <v>11</v>
      </c>
      <c r="FF6" s="22" t="s">
        <v>9</v>
      </c>
      <c r="FG6" s="2" t="s">
        <v>10</v>
      </c>
      <c r="FH6" s="19" t="s">
        <v>11</v>
      </c>
      <c r="FI6" s="25" t="s">
        <v>9</v>
      </c>
      <c r="FJ6" s="3" t="s">
        <v>10</v>
      </c>
      <c r="FK6" s="26" t="s">
        <v>11</v>
      </c>
      <c r="FL6" s="22" t="s">
        <v>9</v>
      </c>
      <c r="FM6" s="2" t="s">
        <v>10</v>
      </c>
      <c r="FN6" s="19" t="s">
        <v>11</v>
      </c>
      <c r="FO6" s="25" t="s">
        <v>9</v>
      </c>
      <c r="FP6" s="3" t="s">
        <v>10</v>
      </c>
      <c r="FQ6" s="26" t="s">
        <v>11</v>
      </c>
      <c r="FR6" s="22" t="s">
        <v>9</v>
      </c>
      <c r="FS6" s="2" t="s">
        <v>10</v>
      </c>
      <c r="FT6" s="19" t="s">
        <v>11</v>
      </c>
      <c r="FU6" s="40"/>
      <c r="FV6" s="4"/>
      <c r="FW6" s="4"/>
      <c r="FX6" s="41"/>
      <c r="FY6" s="33" t="s">
        <v>9</v>
      </c>
      <c r="FZ6" s="2" t="s">
        <v>10</v>
      </c>
      <c r="GA6" s="34" t="s">
        <v>11</v>
      </c>
      <c r="GB6" s="25" t="s">
        <v>9</v>
      </c>
      <c r="GC6" s="3" t="s">
        <v>10</v>
      </c>
      <c r="GD6" s="26" t="s">
        <v>11</v>
      </c>
      <c r="GE6" s="22" t="s">
        <v>9</v>
      </c>
      <c r="GF6" s="2" t="s">
        <v>10</v>
      </c>
      <c r="GG6" s="19" t="s">
        <v>11</v>
      </c>
      <c r="GH6" s="25" t="s">
        <v>9</v>
      </c>
      <c r="GI6" s="3" t="s">
        <v>10</v>
      </c>
      <c r="GJ6" s="26" t="s">
        <v>11</v>
      </c>
      <c r="GK6" s="22" t="s">
        <v>9</v>
      </c>
      <c r="GL6" s="2" t="s">
        <v>10</v>
      </c>
      <c r="GM6" s="19" t="s">
        <v>11</v>
      </c>
      <c r="GN6" s="25" t="s">
        <v>9</v>
      </c>
      <c r="GO6" s="3" t="s">
        <v>10</v>
      </c>
      <c r="GP6" s="26" t="s">
        <v>11</v>
      </c>
      <c r="GQ6" s="22" t="s">
        <v>9</v>
      </c>
      <c r="GR6" s="2" t="s">
        <v>10</v>
      </c>
      <c r="GS6" s="19" t="s">
        <v>11</v>
      </c>
      <c r="GT6" s="40"/>
      <c r="GU6" s="4"/>
      <c r="GV6" s="4"/>
      <c r="GW6" s="41"/>
      <c r="GX6" s="33" t="s">
        <v>9</v>
      </c>
      <c r="GY6" s="2" t="s">
        <v>10</v>
      </c>
      <c r="GZ6" s="34" t="s">
        <v>11</v>
      </c>
      <c r="HA6" s="25" t="s">
        <v>9</v>
      </c>
      <c r="HB6" s="3" t="s">
        <v>10</v>
      </c>
      <c r="HC6" s="26" t="s">
        <v>11</v>
      </c>
      <c r="HD6" s="22" t="s">
        <v>9</v>
      </c>
      <c r="HE6" s="2" t="s">
        <v>10</v>
      </c>
      <c r="HF6" s="19" t="s">
        <v>11</v>
      </c>
      <c r="HG6" s="25" t="s">
        <v>9</v>
      </c>
      <c r="HH6" s="3" t="s">
        <v>10</v>
      </c>
      <c r="HI6" s="26" t="s">
        <v>11</v>
      </c>
      <c r="HJ6" s="22" t="s">
        <v>9</v>
      </c>
      <c r="HK6" s="2" t="s">
        <v>10</v>
      </c>
      <c r="HL6" s="19" t="s">
        <v>11</v>
      </c>
      <c r="HM6" s="25" t="s">
        <v>9</v>
      </c>
      <c r="HN6" s="3" t="s">
        <v>10</v>
      </c>
      <c r="HO6" s="26" t="s">
        <v>11</v>
      </c>
      <c r="HP6" s="22" t="s">
        <v>9</v>
      </c>
      <c r="HQ6" s="2" t="s">
        <v>10</v>
      </c>
      <c r="HR6" s="19" t="s">
        <v>11</v>
      </c>
      <c r="HS6" s="40"/>
      <c r="HT6" s="4"/>
      <c r="HU6" s="4"/>
      <c r="HV6" s="41"/>
      <c r="HW6" s="33" t="s">
        <v>9</v>
      </c>
      <c r="HX6" s="2" t="s">
        <v>10</v>
      </c>
      <c r="HY6" s="34" t="s">
        <v>11</v>
      </c>
      <c r="HZ6" s="25" t="s">
        <v>9</v>
      </c>
      <c r="IA6" s="3" t="s">
        <v>10</v>
      </c>
      <c r="IB6" s="26" t="s">
        <v>11</v>
      </c>
      <c r="IC6" s="22" t="s">
        <v>9</v>
      </c>
      <c r="ID6" s="2" t="s">
        <v>10</v>
      </c>
      <c r="IE6" s="19" t="s">
        <v>11</v>
      </c>
      <c r="IF6" s="25" t="s">
        <v>9</v>
      </c>
      <c r="IG6" s="3" t="s">
        <v>10</v>
      </c>
      <c r="IH6" s="26" t="s">
        <v>11</v>
      </c>
      <c r="II6" s="22" t="s">
        <v>9</v>
      </c>
      <c r="IJ6" s="2" t="s">
        <v>10</v>
      </c>
      <c r="IK6" s="19" t="s">
        <v>11</v>
      </c>
      <c r="IL6" s="25" t="s">
        <v>9</v>
      </c>
      <c r="IM6" s="3" t="s">
        <v>10</v>
      </c>
      <c r="IN6" s="26" t="s">
        <v>11</v>
      </c>
      <c r="IO6" s="22" t="s">
        <v>9</v>
      </c>
      <c r="IP6" s="2" t="s">
        <v>10</v>
      </c>
      <c r="IQ6" s="34" t="s">
        <v>11</v>
      </c>
      <c r="IR6" s="40"/>
      <c r="IS6" s="4"/>
      <c r="IT6" s="4"/>
      <c r="IU6" s="41"/>
      <c r="IV6" s="33" t="s">
        <v>9</v>
      </c>
      <c r="IW6" s="2" t="s">
        <v>10</v>
      </c>
      <c r="IX6" s="34" t="s">
        <v>11</v>
      </c>
      <c r="IY6" s="25" t="s">
        <v>9</v>
      </c>
      <c r="IZ6" s="3" t="s">
        <v>10</v>
      </c>
      <c r="JA6" s="26" t="s">
        <v>11</v>
      </c>
      <c r="JB6" s="22" t="s">
        <v>9</v>
      </c>
      <c r="JC6" s="2" t="s">
        <v>10</v>
      </c>
      <c r="JD6" s="19" t="s">
        <v>11</v>
      </c>
      <c r="JE6" s="25" t="s">
        <v>9</v>
      </c>
      <c r="JF6" s="3" t="s">
        <v>10</v>
      </c>
      <c r="JG6" s="26" t="s">
        <v>11</v>
      </c>
      <c r="JH6" s="22" t="s">
        <v>9</v>
      </c>
      <c r="JI6" s="2" t="s">
        <v>10</v>
      </c>
      <c r="JJ6" s="19" t="s">
        <v>11</v>
      </c>
      <c r="JK6" s="25" t="s">
        <v>9</v>
      </c>
      <c r="JL6" s="3" t="s">
        <v>10</v>
      </c>
      <c r="JM6" s="26" t="s">
        <v>11</v>
      </c>
      <c r="JN6" s="22" t="s">
        <v>9</v>
      </c>
      <c r="JO6" s="2" t="s">
        <v>10</v>
      </c>
      <c r="JP6" s="19" t="s">
        <v>11</v>
      </c>
      <c r="JQ6" s="40"/>
      <c r="JR6" s="4"/>
      <c r="JS6" s="4"/>
      <c r="JT6" s="41"/>
      <c r="JU6" s="33" t="s">
        <v>9</v>
      </c>
      <c r="JV6" s="2" t="s">
        <v>10</v>
      </c>
      <c r="JW6" s="34" t="s">
        <v>11</v>
      </c>
      <c r="JX6" s="25" t="s">
        <v>9</v>
      </c>
      <c r="JY6" s="3" t="s">
        <v>10</v>
      </c>
      <c r="JZ6" s="26" t="s">
        <v>11</v>
      </c>
      <c r="KA6" s="22" t="s">
        <v>9</v>
      </c>
      <c r="KB6" s="2" t="s">
        <v>10</v>
      </c>
      <c r="KC6" s="19" t="s">
        <v>11</v>
      </c>
      <c r="KD6" s="25" t="s">
        <v>9</v>
      </c>
      <c r="KE6" s="3" t="s">
        <v>10</v>
      </c>
      <c r="KF6" s="26" t="s">
        <v>11</v>
      </c>
      <c r="KG6" s="22" t="s">
        <v>9</v>
      </c>
      <c r="KH6" s="2" t="s">
        <v>10</v>
      </c>
      <c r="KI6" s="19" t="s">
        <v>11</v>
      </c>
      <c r="KJ6" s="25" t="s">
        <v>9</v>
      </c>
      <c r="KK6" s="3" t="s">
        <v>10</v>
      </c>
      <c r="KL6" s="26" t="s">
        <v>11</v>
      </c>
      <c r="KM6" s="22" t="s">
        <v>9</v>
      </c>
      <c r="KN6" s="2" t="s">
        <v>10</v>
      </c>
      <c r="KO6" s="19" t="s">
        <v>11</v>
      </c>
      <c r="KP6" s="40"/>
      <c r="KQ6" s="4"/>
      <c r="KR6" s="4"/>
      <c r="KS6" s="41"/>
      <c r="KT6" s="33" t="s">
        <v>9</v>
      </c>
      <c r="KU6" s="2" t="s">
        <v>10</v>
      </c>
      <c r="KV6" s="34" t="s">
        <v>11</v>
      </c>
      <c r="KW6" s="25" t="s">
        <v>9</v>
      </c>
      <c r="KX6" s="3" t="s">
        <v>10</v>
      </c>
      <c r="KY6" s="26" t="s">
        <v>11</v>
      </c>
      <c r="KZ6" s="22" t="s">
        <v>9</v>
      </c>
      <c r="LA6" s="2" t="s">
        <v>10</v>
      </c>
      <c r="LB6" s="19" t="s">
        <v>11</v>
      </c>
      <c r="LC6" s="25" t="s">
        <v>9</v>
      </c>
      <c r="LD6" s="3" t="s">
        <v>10</v>
      </c>
      <c r="LE6" s="26" t="s">
        <v>11</v>
      </c>
      <c r="LF6" s="22" t="s">
        <v>9</v>
      </c>
      <c r="LG6" s="2" t="s">
        <v>10</v>
      </c>
      <c r="LH6" s="19" t="s">
        <v>11</v>
      </c>
      <c r="LI6" s="25" t="s">
        <v>9</v>
      </c>
      <c r="LJ6" s="3" t="s">
        <v>10</v>
      </c>
      <c r="LK6" s="26" t="s">
        <v>11</v>
      </c>
      <c r="LL6" s="22" t="s">
        <v>9</v>
      </c>
      <c r="LM6" s="2" t="s">
        <v>10</v>
      </c>
      <c r="LN6" s="19" t="s">
        <v>11</v>
      </c>
      <c r="LO6" s="40"/>
      <c r="LP6" s="4"/>
      <c r="LQ6" s="4"/>
      <c r="LR6" s="41"/>
    </row>
    <row r="7" spans="1:330" x14ac:dyDescent="0.35">
      <c r="A7" s="65"/>
      <c r="B7" s="107" t="s">
        <v>29</v>
      </c>
      <c r="C7" s="108" t="s">
        <v>19</v>
      </c>
      <c r="D7" s="11">
        <v>17.38</v>
      </c>
      <c r="E7" s="45" t="s">
        <v>6</v>
      </c>
      <c r="F7" s="186"/>
      <c r="G7" s="187"/>
      <c r="H7" s="188"/>
      <c r="I7" s="186"/>
      <c r="J7" s="187"/>
      <c r="K7" s="188"/>
      <c r="L7" s="186"/>
      <c r="M7" s="187"/>
      <c r="N7" s="188"/>
      <c r="O7" s="186"/>
      <c r="P7" s="187"/>
      <c r="Q7" s="188"/>
      <c r="R7" s="186"/>
      <c r="S7" s="187"/>
      <c r="T7" s="188"/>
      <c r="U7" s="53"/>
      <c r="V7" s="54"/>
      <c r="W7" s="55"/>
      <c r="X7" s="56"/>
      <c r="Y7" s="54"/>
      <c r="Z7" s="55"/>
      <c r="AA7" s="60">
        <f>SUM(F7:Z7)</f>
        <v>0</v>
      </c>
      <c r="AB7" s="61">
        <f>AA7-AB8</f>
        <v>0</v>
      </c>
      <c r="AC7" s="13">
        <f>AA7*$D7</f>
        <v>0</v>
      </c>
      <c r="AD7" s="15"/>
      <c r="AE7" s="53"/>
      <c r="AF7" s="54"/>
      <c r="AG7" s="55"/>
      <c r="AH7" s="53"/>
      <c r="AI7" s="54"/>
      <c r="AJ7" s="55"/>
      <c r="AK7" s="53"/>
      <c r="AL7" s="54"/>
      <c r="AM7" s="55"/>
      <c r="AN7" s="53"/>
      <c r="AO7" s="54"/>
      <c r="AP7" s="55"/>
      <c r="AQ7" s="222"/>
      <c r="AR7" s="223"/>
      <c r="AS7" s="224"/>
      <c r="AT7" s="53"/>
      <c r="AU7" s="54"/>
      <c r="AV7" s="55"/>
      <c r="AW7" s="56"/>
      <c r="AX7" s="54"/>
      <c r="AY7" s="55"/>
      <c r="AZ7" s="60">
        <f>SUM(AE7:AY7)</f>
        <v>0</v>
      </c>
      <c r="BA7" s="61">
        <f>AZ7-BA8</f>
        <v>-52</v>
      </c>
      <c r="BB7" s="13">
        <f>AZ7*$D7</f>
        <v>0</v>
      </c>
      <c r="BC7" s="15"/>
      <c r="BD7" s="53"/>
      <c r="BE7" s="54"/>
      <c r="BF7" s="55"/>
      <c r="BG7" s="53"/>
      <c r="BH7" s="54"/>
      <c r="BI7" s="55"/>
      <c r="BJ7" s="53"/>
      <c r="BK7" s="54"/>
      <c r="BL7" s="55"/>
      <c r="BM7" s="53"/>
      <c r="BN7" s="54"/>
      <c r="BO7" s="55"/>
      <c r="BP7" s="53"/>
      <c r="BQ7" s="54"/>
      <c r="BR7" s="55"/>
      <c r="BS7" s="53"/>
      <c r="BT7" s="54"/>
      <c r="BU7" s="55"/>
      <c r="BV7" s="56"/>
      <c r="BW7" s="54"/>
      <c r="BX7" s="55"/>
      <c r="BY7" s="60">
        <f>SUM(BD7:BX7)</f>
        <v>0</v>
      </c>
      <c r="BZ7" s="61">
        <f>BY7-BZ8</f>
        <v>-74</v>
      </c>
      <c r="CA7" s="13">
        <f>BY7*$D7</f>
        <v>0</v>
      </c>
      <c r="CB7" s="15"/>
      <c r="CC7" s="53"/>
      <c r="CD7" s="54"/>
      <c r="CE7" s="55"/>
      <c r="CF7" s="53"/>
      <c r="CG7" s="54"/>
      <c r="CH7" s="55"/>
      <c r="CI7" s="53"/>
      <c r="CJ7" s="54"/>
      <c r="CK7" s="55"/>
      <c r="CL7" s="53"/>
      <c r="CM7" s="54"/>
      <c r="CN7" s="55"/>
      <c r="CO7" s="53"/>
      <c r="CP7" s="54"/>
      <c r="CQ7" s="55"/>
      <c r="CR7" s="53"/>
      <c r="CS7" s="54"/>
      <c r="CT7" s="55"/>
      <c r="CU7" s="56"/>
      <c r="CV7" s="54"/>
      <c r="CW7" s="55"/>
      <c r="CX7" s="60">
        <f>SUM(CC7:CW7)</f>
        <v>0</v>
      </c>
      <c r="CY7" s="81">
        <f>CX7-CY8</f>
        <v>0</v>
      </c>
      <c r="CZ7" s="13">
        <f>CX7*$D7</f>
        <v>0</v>
      </c>
      <c r="DA7" s="15"/>
      <c r="DB7" s="53"/>
      <c r="DC7" s="54"/>
      <c r="DD7" s="55"/>
      <c r="DE7" s="53"/>
      <c r="DF7" s="54"/>
      <c r="DG7" s="55"/>
      <c r="DH7" s="53"/>
      <c r="DI7" s="54"/>
      <c r="DJ7" s="55"/>
      <c r="DK7" s="53"/>
      <c r="DL7" s="54"/>
      <c r="DM7" s="55"/>
      <c r="DN7" s="242"/>
      <c r="DO7" s="243"/>
      <c r="DP7" s="244"/>
      <c r="DQ7" s="53"/>
      <c r="DR7" s="54"/>
      <c r="DS7" s="55"/>
      <c r="DT7" s="56"/>
      <c r="DU7" s="54"/>
      <c r="DV7" s="55"/>
      <c r="DW7" s="60">
        <f>SUM(DB7:DV7)</f>
        <v>0</v>
      </c>
      <c r="DX7" s="61">
        <f>DW7-DX8</f>
        <v>0</v>
      </c>
      <c r="DY7" s="13">
        <f>DW7*$D7</f>
        <v>0</v>
      </c>
      <c r="DZ7" s="15"/>
      <c r="EA7" s="200"/>
      <c r="EB7" s="201"/>
      <c r="EC7" s="202"/>
      <c r="ED7" s="53"/>
      <c r="EE7" s="54"/>
      <c r="EF7" s="55"/>
      <c r="EG7" s="53"/>
      <c r="EH7" s="54"/>
      <c r="EI7" s="55"/>
      <c r="EJ7" s="53"/>
      <c r="EK7" s="54"/>
      <c r="EL7" s="55"/>
      <c r="EM7" s="53"/>
      <c r="EN7" s="54"/>
      <c r="EO7" s="55"/>
      <c r="EP7" s="53"/>
      <c r="EQ7" s="54"/>
      <c r="ER7" s="55"/>
      <c r="ES7" s="53"/>
      <c r="ET7" s="54"/>
      <c r="EU7" s="20"/>
      <c r="EV7" s="60">
        <f>SUM(EA7:EU7)</f>
        <v>0</v>
      </c>
      <c r="EW7" s="61">
        <f>EV7-EW8</f>
        <v>0</v>
      </c>
      <c r="EX7" s="13">
        <f>EV7*$D7</f>
        <v>0</v>
      </c>
      <c r="EY7" s="15"/>
      <c r="EZ7" s="53"/>
      <c r="FA7" s="54"/>
      <c r="FB7" s="55"/>
      <c r="FC7" s="53"/>
      <c r="FD7" s="54"/>
      <c r="FE7" s="55"/>
      <c r="FF7" s="53"/>
      <c r="FG7" s="54"/>
      <c r="FH7" s="55"/>
      <c r="FI7" s="53"/>
      <c r="FJ7" s="54"/>
      <c r="FK7" s="55"/>
      <c r="FL7" s="53"/>
      <c r="FM7" s="54"/>
      <c r="FN7" s="55"/>
      <c r="FO7" s="53"/>
      <c r="FP7" s="54"/>
      <c r="FQ7" s="55"/>
      <c r="FR7" s="53"/>
      <c r="FS7" s="54"/>
      <c r="FT7" s="20"/>
      <c r="FU7" s="60">
        <f>SUM(EZ7:FT7)</f>
        <v>0</v>
      </c>
      <c r="FV7" s="61">
        <f>FU7-FV8</f>
        <v>0</v>
      </c>
      <c r="FW7" s="13">
        <f>FU7*$D7</f>
        <v>0</v>
      </c>
      <c r="FX7" s="15"/>
      <c r="FY7" s="53"/>
      <c r="FZ7" s="54"/>
      <c r="GA7" s="55"/>
      <c r="GB7" s="53"/>
      <c r="GC7" s="54"/>
      <c r="GD7" s="55"/>
      <c r="GE7" s="53"/>
      <c r="GF7" s="54"/>
      <c r="GG7" s="55"/>
      <c r="GH7" s="53"/>
      <c r="GI7" s="54"/>
      <c r="GJ7" s="55"/>
      <c r="GK7" s="53"/>
      <c r="GL7" s="54"/>
      <c r="GM7" s="55"/>
      <c r="GN7" s="53"/>
      <c r="GO7" s="54"/>
      <c r="GP7" s="55"/>
      <c r="GQ7" s="53"/>
      <c r="GR7" s="54"/>
      <c r="GS7" s="20"/>
      <c r="GT7" s="60">
        <f>SUM(FY7:GS7)</f>
        <v>0</v>
      </c>
      <c r="GU7" s="61">
        <f>GT7-GU8</f>
        <v>0</v>
      </c>
      <c r="GV7" s="13">
        <f>GT7*$D7</f>
        <v>0</v>
      </c>
      <c r="GW7" s="15"/>
      <c r="GX7" s="53"/>
      <c r="GY7" s="54"/>
      <c r="GZ7" s="55"/>
      <c r="HA7" s="53"/>
      <c r="HB7" s="54"/>
      <c r="HC7" s="55"/>
      <c r="HD7" s="53"/>
      <c r="HE7" s="54"/>
      <c r="HF7" s="55"/>
      <c r="HG7" s="53"/>
      <c r="HH7" s="54"/>
      <c r="HI7" s="55"/>
      <c r="HJ7" s="53"/>
      <c r="HK7" s="54"/>
      <c r="HL7" s="55"/>
      <c r="HM7" s="53"/>
      <c r="HN7" s="54"/>
      <c r="HO7" s="55"/>
      <c r="HP7" s="53"/>
      <c r="HQ7" s="54"/>
      <c r="HR7" s="20"/>
      <c r="HS7" s="60">
        <f>SUM(GX7:HR7)</f>
        <v>0</v>
      </c>
      <c r="HT7" s="61">
        <f>HS7-HT8</f>
        <v>0</v>
      </c>
      <c r="HU7" s="13">
        <f>HS7*$D7</f>
        <v>0</v>
      </c>
      <c r="HV7" s="15"/>
      <c r="HW7" s="53"/>
      <c r="HX7" s="54"/>
      <c r="HY7" s="55"/>
      <c r="HZ7" s="53"/>
      <c r="IA7" s="54"/>
      <c r="IB7" s="55"/>
      <c r="IC7" s="53"/>
      <c r="ID7" s="54"/>
      <c r="IE7" s="55"/>
      <c r="IF7" s="53"/>
      <c r="IG7" s="54"/>
      <c r="IH7" s="55"/>
      <c r="II7" s="53"/>
      <c r="IJ7" s="54"/>
      <c r="IK7" s="55"/>
      <c r="IL7" s="53"/>
      <c r="IM7" s="54"/>
      <c r="IN7" s="55"/>
      <c r="IO7" s="53"/>
      <c r="IP7" s="54"/>
      <c r="IQ7" s="20"/>
      <c r="IR7" s="60">
        <f>SUM(HW7:IQ7)</f>
        <v>0</v>
      </c>
      <c r="IS7" s="61">
        <f>IR7-IS8</f>
        <v>0</v>
      </c>
      <c r="IT7" s="13">
        <f>IR7*$D7</f>
        <v>0</v>
      </c>
      <c r="IU7" s="15"/>
      <c r="IV7" s="53"/>
      <c r="IW7" s="54"/>
      <c r="IX7" s="55"/>
      <c r="IY7" s="53"/>
      <c r="IZ7" s="54"/>
      <c r="JA7" s="55"/>
      <c r="JB7" s="53"/>
      <c r="JC7" s="54"/>
      <c r="JD7" s="55"/>
      <c r="JE7" s="53"/>
      <c r="JF7" s="54"/>
      <c r="JG7" s="55"/>
      <c r="JH7" s="53"/>
      <c r="JI7" s="54"/>
      <c r="JJ7" s="55"/>
      <c r="JK7" s="53"/>
      <c r="JL7" s="54"/>
      <c r="JM7" s="55"/>
      <c r="JN7" s="53"/>
      <c r="JO7" s="54"/>
      <c r="JP7" s="20"/>
      <c r="JQ7" s="60">
        <f>SUM(IV7:JP7)</f>
        <v>0</v>
      </c>
      <c r="JR7" s="61">
        <f>JQ7-JR8</f>
        <v>0</v>
      </c>
      <c r="JS7" s="13">
        <f>JQ7*$D7</f>
        <v>0</v>
      </c>
      <c r="JT7" s="15"/>
      <c r="JU7" s="200"/>
      <c r="JV7" s="201"/>
      <c r="JW7" s="202"/>
      <c r="JX7" s="53"/>
      <c r="JY7" s="54"/>
      <c r="JZ7" s="55"/>
      <c r="KA7" s="53"/>
      <c r="KB7" s="54"/>
      <c r="KC7" s="55"/>
      <c r="KD7" s="53"/>
      <c r="KE7" s="54"/>
      <c r="KF7" s="55"/>
      <c r="KG7" s="53"/>
      <c r="KH7" s="54"/>
      <c r="KI7" s="55"/>
      <c r="KJ7" s="53"/>
      <c r="KK7" s="54"/>
      <c r="KL7" s="55"/>
      <c r="KM7" s="53"/>
      <c r="KN7" s="54"/>
      <c r="KO7" s="20"/>
      <c r="KP7" s="60">
        <f>SUM(JU7:KO7)</f>
        <v>0</v>
      </c>
      <c r="KQ7" s="61">
        <f>KP7-KQ8</f>
        <v>0</v>
      </c>
      <c r="KR7" s="13">
        <f>KP7*$D7</f>
        <v>0</v>
      </c>
      <c r="KS7" s="15"/>
      <c r="KT7" s="53"/>
      <c r="KU7" s="54"/>
      <c r="KV7" s="55"/>
      <c r="KW7" s="53"/>
      <c r="KX7" s="54"/>
      <c r="KY7" s="55"/>
      <c r="KZ7" s="53"/>
      <c r="LA7" s="54"/>
      <c r="LB7" s="55"/>
      <c r="LC7" s="53"/>
      <c r="LD7" s="54"/>
      <c r="LE7" s="55"/>
      <c r="LF7" s="53"/>
      <c r="LG7" s="54"/>
      <c r="LH7" s="55"/>
      <c r="LI7" s="171"/>
      <c r="LJ7" s="172"/>
      <c r="LK7" s="173"/>
      <c r="LL7" s="174"/>
      <c r="LM7" s="172"/>
      <c r="LN7" s="173"/>
      <c r="LO7" s="60">
        <f>SUM(KT7:LN7)</f>
        <v>0</v>
      </c>
      <c r="LP7" s="61">
        <f>LO7-LP8</f>
        <v>0</v>
      </c>
      <c r="LQ7" s="13">
        <f>LO7*$D7</f>
        <v>0</v>
      </c>
      <c r="LR7" s="15"/>
    </row>
    <row r="8" spans="1:330" ht="15" thickBot="1" x14ac:dyDescent="0.4">
      <c r="A8" s="68">
        <v>30</v>
      </c>
      <c r="B8" s="98"/>
      <c r="C8" s="100"/>
      <c r="D8" s="16">
        <v>17.38</v>
      </c>
      <c r="E8" s="32" t="s">
        <v>7</v>
      </c>
      <c r="F8" s="189"/>
      <c r="G8" s="190"/>
      <c r="H8" s="191"/>
      <c r="I8" s="189"/>
      <c r="J8" s="190"/>
      <c r="K8" s="191"/>
      <c r="L8" s="192"/>
      <c r="M8" s="190"/>
      <c r="N8" s="193"/>
      <c r="O8" s="189"/>
      <c r="P8" s="190"/>
      <c r="Q8" s="191"/>
      <c r="R8" s="192"/>
      <c r="S8" s="190"/>
      <c r="T8" s="193"/>
      <c r="U8" s="57"/>
      <c r="V8" s="58"/>
      <c r="W8" s="59"/>
      <c r="X8" s="74"/>
      <c r="Y8" s="58"/>
      <c r="Z8" s="59"/>
      <c r="AA8" s="62"/>
      <c r="AB8" s="63">
        <f>SUM(F8:Z8)</f>
        <v>0</v>
      </c>
      <c r="AC8" s="16"/>
      <c r="AD8" s="18">
        <f>AB8*$D8</f>
        <v>0</v>
      </c>
      <c r="AE8" s="29">
        <v>46</v>
      </c>
      <c r="AF8" s="17">
        <v>5</v>
      </c>
      <c r="AG8" s="30"/>
      <c r="AH8" s="29"/>
      <c r="AI8" s="17"/>
      <c r="AJ8" s="30"/>
      <c r="AK8" s="24"/>
      <c r="AL8" s="17"/>
      <c r="AM8" s="21"/>
      <c r="AN8" s="29"/>
      <c r="AO8" s="17">
        <v>1</v>
      </c>
      <c r="AP8" s="30"/>
      <c r="AQ8" s="225"/>
      <c r="AR8" s="226"/>
      <c r="AS8" s="227"/>
      <c r="AT8" s="57"/>
      <c r="AU8" s="58"/>
      <c r="AV8" s="59"/>
      <c r="AW8" s="74"/>
      <c r="AX8" s="58"/>
      <c r="AY8" s="59"/>
      <c r="AZ8" s="62"/>
      <c r="BA8" s="63">
        <f>SUM(AE8:AY8)</f>
        <v>52</v>
      </c>
      <c r="BB8" s="16"/>
      <c r="BC8" s="18">
        <f>BA8*$D8</f>
        <v>903.76</v>
      </c>
      <c r="BD8" s="29"/>
      <c r="BE8" s="17"/>
      <c r="BF8" s="30"/>
      <c r="BG8" s="29"/>
      <c r="BH8" s="17"/>
      <c r="BI8" s="30"/>
      <c r="BJ8" s="24"/>
      <c r="BK8" s="17"/>
      <c r="BL8" s="21"/>
      <c r="BM8" s="29"/>
      <c r="BN8" s="17">
        <v>71</v>
      </c>
      <c r="BO8" s="30"/>
      <c r="BP8" s="24">
        <v>2</v>
      </c>
      <c r="BQ8" s="17">
        <v>1</v>
      </c>
      <c r="BR8" s="21"/>
      <c r="BS8" s="57"/>
      <c r="BT8" s="58"/>
      <c r="BU8" s="59"/>
      <c r="BV8" s="74"/>
      <c r="BW8" s="58"/>
      <c r="BX8" s="59"/>
      <c r="BY8" s="62"/>
      <c r="BZ8" s="63">
        <f>SUM(BD8:BX8)</f>
        <v>74</v>
      </c>
      <c r="CA8" s="16"/>
      <c r="CB8" s="18">
        <f>BZ8*$D8</f>
        <v>1286.1199999999999</v>
      </c>
      <c r="CC8" s="29"/>
      <c r="CD8" s="17"/>
      <c r="CE8" s="30"/>
      <c r="CF8" s="29"/>
      <c r="CG8" s="17"/>
      <c r="CH8" s="30"/>
      <c r="CI8" s="24"/>
      <c r="CJ8" s="17"/>
      <c r="CK8" s="21"/>
      <c r="CL8" s="29"/>
      <c r="CM8" s="17"/>
      <c r="CN8" s="30"/>
      <c r="CO8" s="24"/>
      <c r="CP8" s="17"/>
      <c r="CQ8" s="21"/>
      <c r="CR8" s="57"/>
      <c r="CS8" s="58"/>
      <c r="CT8" s="59"/>
      <c r="CU8" s="74"/>
      <c r="CV8" s="58"/>
      <c r="CW8" s="59"/>
      <c r="CX8" s="62"/>
      <c r="CY8" s="63">
        <f>SUM(CC8:CW8)</f>
        <v>0</v>
      </c>
      <c r="CZ8" s="16"/>
      <c r="DA8" s="18">
        <f>CY8*$D8</f>
        <v>0</v>
      </c>
      <c r="DB8" s="29"/>
      <c r="DC8" s="17"/>
      <c r="DD8" s="30"/>
      <c r="DE8" s="29"/>
      <c r="DF8" s="17"/>
      <c r="DG8" s="30"/>
      <c r="DH8" s="24"/>
      <c r="DI8" s="17"/>
      <c r="DJ8" s="21"/>
      <c r="DK8" s="29"/>
      <c r="DL8" s="17"/>
      <c r="DM8" s="30"/>
      <c r="DN8" s="245"/>
      <c r="DO8" s="246"/>
      <c r="DP8" s="247"/>
      <c r="DQ8" s="57"/>
      <c r="DR8" s="58"/>
      <c r="DS8" s="59"/>
      <c r="DT8" s="74"/>
      <c r="DU8" s="58"/>
      <c r="DV8" s="59"/>
      <c r="DW8" s="62"/>
      <c r="DX8" s="63">
        <f>SUM(DB8:DV8)</f>
        <v>0</v>
      </c>
      <c r="DY8" s="16"/>
      <c r="DZ8" s="18">
        <f>DX8*$D8</f>
        <v>0</v>
      </c>
      <c r="EA8" s="203"/>
      <c r="EB8" s="204"/>
      <c r="EC8" s="205"/>
      <c r="ED8" s="29"/>
      <c r="EE8" s="17"/>
      <c r="EF8" s="30"/>
      <c r="EG8" s="24"/>
      <c r="EH8" s="17"/>
      <c r="EI8" s="21"/>
      <c r="EJ8" s="29"/>
      <c r="EK8" s="17"/>
      <c r="EL8" s="30"/>
      <c r="EM8" s="24"/>
      <c r="EN8" s="17"/>
      <c r="EO8" s="21"/>
      <c r="EP8" s="29"/>
      <c r="EQ8" s="17"/>
      <c r="ER8" s="30"/>
      <c r="ES8" s="24"/>
      <c r="ET8" s="17"/>
      <c r="EU8" s="21"/>
      <c r="EV8" s="62"/>
      <c r="EW8" s="63">
        <f>SUM(EA8:EU8)</f>
        <v>0</v>
      </c>
      <c r="EX8" s="16"/>
      <c r="EY8" s="18">
        <f>EW8*$D8</f>
        <v>0</v>
      </c>
      <c r="EZ8" s="29"/>
      <c r="FA8" s="17"/>
      <c r="FB8" s="30"/>
      <c r="FC8" s="29"/>
      <c r="FD8" s="17"/>
      <c r="FE8" s="30"/>
      <c r="FF8" s="24"/>
      <c r="FG8" s="17"/>
      <c r="FH8" s="21"/>
      <c r="FI8" s="29"/>
      <c r="FJ8" s="17"/>
      <c r="FK8" s="30"/>
      <c r="FL8" s="24"/>
      <c r="FM8" s="17"/>
      <c r="FN8" s="21"/>
      <c r="FO8" s="29"/>
      <c r="FP8" s="17"/>
      <c r="FQ8" s="30"/>
      <c r="FR8" s="24"/>
      <c r="FS8" s="17"/>
      <c r="FT8" s="21"/>
      <c r="FU8" s="62"/>
      <c r="FV8" s="63">
        <f>SUM(EZ8:FT8)</f>
        <v>0</v>
      </c>
      <c r="FW8" s="16"/>
      <c r="FX8" s="18">
        <f>FV8*$D8</f>
        <v>0</v>
      </c>
      <c r="FY8" s="29"/>
      <c r="FZ8" s="17"/>
      <c r="GA8" s="30"/>
      <c r="GB8" s="29"/>
      <c r="GC8" s="17"/>
      <c r="GD8" s="30"/>
      <c r="GE8" s="24"/>
      <c r="GF8" s="17"/>
      <c r="GG8" s="21"/>
      <c r="GH8" s="29"/>
      <c r="GI8" s="17"/>
      <c r="GJ8" s="30"/>
      <c r="GK8" s="24"/>
      <c r="GL8" s="17"/>
      <c r="GM8" s="21"/>
      <c r="GN8" s="29"/>
      <c r="GO8" s="17"/>
      <c r="GP8" s="30"/>
      <c r="GQ8" s="24"/>
      <c r="GR8" s="17"/>
      <c r="GS8" s="21"/>
      <c r="GT8" s="62"/>
      <c r="GU8" s="63">
        <f>SUM(FY8:GS8)</f>
        <v>0</v>
      </c>
      <c r="GV8" s="16"/>
      <c r="GW8" s="18">
        <f>GU8*$D8</f>
        <v>0</v>
      </c>
      <c r="GX8" s="29"/>
      <c r="GY8" s="17"/>
      <c r="GZ8" s="30"/>
      <c r="HA8" s="29"/>
      <c r="HB8" s="17"/>
      <c r="HC8" s="30"/>
      <c r="HD8" s="24"/>
      <c r="HE8" s="17"/>
      <c r="HF8" s="21"/>
      <c r="HG8" s="29"/>
      <c r="HH8" s="17"/>
      <c r="HI8" s="30"/>
      <c r="HJ8" s="24"/>
      <c r="HK8" s="17"/>
      <c r="HL8" s="21"/>
      <c r="HM8" s="29"/>
      <c r="HN8" s="17"/>
      <c r="HO8" s="30"/>
      <c r="HP8" s="24"/>
      <c r="HQ8" s="17"/>
      <c r="HR8" s="21"/>
      <c r="HS8" s="62"/>
      <c r="HT8" s="63">
        <f>SUM(GX8:HR8)</f>
        <v>0</v>
      </c>
      <c r="HU8" s="16"/>
      <c r="HV8" s="18">
        <f>HT8*$D8</f>
        <v>0</v>
      </c>
      <c r="HW8" s="29"/>
      <c r="HX8" s="17"/>
      <c r="HY8" s="30"/>
      <c r="HZ8" s="29"/>
      <c r="IA8" s="17"/>
      <c r="IB8" s="30"/>
      <c r="IC8" s="24"/>
      <c r="ID8" s="17"/>
      <c r="IE8" s="21"/>
      <c r="IF8" s="29"/>
      <c r="IG8" s="17"/>
      <c r="IH8" s="30"/>
      <c r="II8" s="24"/>
      <c r="IJ8" s="17"/>
      <c r="IK8" s="21"/>
      <c r="IL8" s="29"/>
      <c r="IM8" s="17"/>
      <c r="IN8" s="30"/>
      <c r="IO8" s="24"/>
      <c r="IP8" s="17"/>
      <c r="IQ8" s="21"/>
      <c r="IR8" s="62"/>
      <c r="IS8" s="63">
        <f>SUM(HW8:IQ8)</f>
        <v>0</v>
      </c>
      <c r="IT8" s="16"/>
      <c r="IU8" s="18">
        <f>IS8*$D8</f>
        <v>0</v>
      </c>
      <c r="IV8" s="29"/>
      <c r="IW8" s="17"/>
      <c r="IX8" s="30"/>
      <c r="IY8" s="29"/>
      <c r="IZ8" s="17"/>
      <c r="JA8" s="30"/>
      <c r="JB8" s="24"/>
      <c r="JC8" s="17"/>
      <c r="JD8" s="21"/>
      <c r="JE8" s="29"/>
      <c r="JF8" s="17"/>
      <c r="JG8" s="30"/>
      <c r="JH8" s="24"/>
      <c r="JI8" s="17"/>
      <c r="JJ8" s="21"/>
      <c r="JK8" s="29"/>
      <c r="JL8" s="17"/>
      <c r="JM8" s="30"/>
      <c r="JN8" s="24"/>
      <c r="JO8" s="17"/>
      <c r="JP8" s="21"/>
      <c r="JQ8" s="62"/>
      <c r="JR8" s="63">
        <f>SUM(IV8:JP8)</f>
        <v>0</v>
      </c>
      <c r="JS8" s="16"/>
      <c r="JT8" s="18">
        <f>JR8*$D8</f>
        <v>0</v>
      </c>
      <c r="JU8" s="203"/>
      <c r="JV8" s="204"/>
      <c r="JW8" s="205"/>
      <c r="JX8" s="29"/>
      <c r="JY8" s="17"/>
      <c r="JZ8" s="30"/>
      <c r="KA8" s="24"/>
      <c r="KB8" s="17"/>
      <c r="KC8" s="21"/>
      <c r="KD8" s="29"/>
      <c r="KE8" s="17"/>
      <c r="KF8" s="30"/>
      <c r="KG8" s="24"/>
      <c r="KH8" s="17"/>
      <c r="KI8" s="21"/>
      <c r="KJ8" s="29"/>
      <c r="KK8" s="17"/>
      <c r="KL8" s="30"/>
      <c r="KM8" s="24"/>
      <c r="KN8" s="17"/>
      <c r="KO8" s="21"/>
      <c r="KP8" s="62"/>
      <c r="KQ8" s="63">
        <f>SUM(JU8:KO8)</f>
        <v>0</v>
      </c>
      <c r="KR8" s="16"/>
      <c r="KS8" s="18">
        <f>KQ8*$D8</f>
        <v>0</v>
      </c>
      <c r="KT8" s="29"/>
      <c r="KU8" s="17"/>
      <c r="KV8" s="30"/>
      <c r="KW8" s="29"/>
      <c r="KX8" s="17"/>
      <c r="KY8" s="30"/>
      <c r="KZ8" s="24"/>
      <c r="LA8" s="17"/>
      <c r="LB8" s="21"/>
      <c r="LC8" s="29"/>
      <c r="LD8" s="17"/>
      <c r="LE8" s="30"/>
      <c r="LF8" s="24"/>
      <c r="LG8" s="17"/>
      <c r="LH8" s="21"/>
      <c r="LI8" s="165"/>
      <c r="LJ8" s="166"/>
      <c r="LK8" s="167"/>
      <c r="LL8" s="176"/>
      <c r="LM8" s="166"/>
      <c r="LN8" s="167"/>
      <c r="LO8" s="62"/>
      <c r="LP8" s="63">
        <f>SUM(KT8:LN8)</f>
        <v>0</v>
      </c>
      <c r="LQ8" s="16"/>
      <c r="LR8" s="18">
        <f>LP8*$D8</f>
        <v>0</v>
      </c>
    </row>
    <row r="9" spans="1:330" x14ac:dyDescent="0.35">
      <c r="A9" s="65"/>
      <c r="B9" s="88" t="s">
        <v>23</v>
      </c>
      <c r="C9" s="99" t="s">
        <v>30</v>
      </c>
      <c r="D9" s="13">
        <v>18.36</v>
      </c>
      <c r="E9" s="31" t="s">
        <v>6</v>
      </c>
      <c r="F9" s="186"/>
      <c r="G9" s="187"/>
      <c r="H9" s="188"/>
      <c r="I9" s="186"/>
      <c r="J9" s="187"/>
      <c r="K9" s="188"/>
      <c r="L9" s="186"/>
      <c r="M9" s="187"/>
      <c r="N9" s="188"/>
      <c r="O9" s="186"/>
      <c r="P9" s="187"/>
      <c r="Q9" s="188"/>
      <c r="R9" s="186"/>
      <c r="S9" s="187"/>
      <c r="T9" s="188"/>
      <c r="U9" s="53"/>
      <c r="V9" s="54"/>
      <c r="W9" s="28"/>
      <c r="X9" s="53"/>
      <c r="Y9" s="54"/>
      <c r="Z9" s="55"/>
      <c r="AA9" s="60">
        <f>SUM(F9:Z9)</f>
        <v>0</v>
      </c>
      <c r="AB9" s="61">
        <f>AA9-AB10</f>
        <v>0</v>
      </c>
      <c r="AC9" s="13">
        <f>AA9*$D9</f>
        <v>0</v>
      </c>
      <c r="AD9" s="15"/>
      <c r="AE9" s="53">
        <f>(13*26)*8.25</f>
        <v>2788.5</v>
      </c>
      <c r="AF9" s="54">
        <f>(13*26)*7.75</f>
        <v>2619.5</v>
      </c>
      <c r="AG9" s="55"/>
      <c r="AH9" s="53">
        <f>(13*26)*8.25</f>
        <v>2788.5</v>
      </c>
      <c r="AI9" s="54">
        <f>(13*26)*7.75</f>
        <v>2619.5</v>
      </c>
      <c r="AJ9" s="55"/>
      <c r="AK9" s="53">
        <f>(13*26)*8.25</f>
        <v>2788.5</v>
      </c>
      <c r="AL9" s="54">
        <f>(13*26)*7.75</f>
        <v>2619.5</v>
      </c>
      <c r="AM9" s="55"/>
      <c r="AN9" s="53">
        <f>(13*26)*8.25</f>
        <v>2788.5</v>
      </c>
      <c r="AO9" s="54">
        <f>(13*26)*7.75</f>
        <v>2619.5</v>
      </c>
      <c r="AP9" s="55"/>
      <c r="AQ9" s="222"/>
      <c r="AR9" s="223"/>
      <c r="AS9" s="224"/>
      <c r="AT9" s="53"/>
      <c r="AU9" s="54"/>
      <c r="AV9" s="28"/>
      <c r="AW9" s="53"/>
      <c r="AX9" s="54"/>
      <c r="AY9" s="55"/>
      <c r="AZ9" s="60">
        <f>SUM(AE9:AY9)</f>
        <v>21632</v>
      </c>
      <c r="BA9" s="81">
        <f>AZ9-BA10</f>
        <v>3511</v>
      </c>
      <c r="BB9" s="13">
        <f>AZ9*$D9</f>
        <v>397163.51999999996</v>
      </c>
      <c r="BC9" s="15"/>
      <c r="BD9" s="53">
        <f>(13*26)*8.25</f>
        <v>2788.5</v>
      </c>
      <c r="BE9" s="54">
        <f>(13*26)*7.75</f>
        <v>2619.5</v>
      </c>
      <c r="BF9" s="55"/>
      <c r="BG9" s="53">
        <f>(13*26)*8.25</f>
        <v>2788.5</v>
      </c>
      <c r="BH9" s="54">
        <f>(13*26)*7.75</f>
        <v>2619.5</v>
      </c>
      <c r="BI9" s="55"/>
      <c r="BJ9" s="53">
        <f>(13*26)*8.25</f>
        <v>2788.5</v>
      </c>
      <c r="BK9" s="54">
        <f>(13*26)*7.75</f>
        <v>2619.5</v>
      </c>
      <c r="BL9" s="55"/>
      <c r="BM9" s="53">
        <f>(13*26)*8.25</f>
        <v>2788.5</v>
      </c>
      <c r="BN9" s="54">
        <f>(13*26)*7.75</f>
        <v>2619.5</v>
      </c>
      <c r="BO9" s="55"/>
      <c r="BP9" s="53">
        <f>(13*26)*8.25</f>
        <v>2788.5</v>
      </c>
      <c r="BQ9" s="54">
        <f>(13*26)*7.75</f>
        <v>2619.5</v>
      </c>
      <c r="BR9" s="55"/>
      <c r="BS9" s="53"/>
      <c r="BT9" s="54"/>
      <c r="BU9" s="28"/>
      <c r="BV9" s="53"/>
      <c r="BW9" s="54"/>
      <c r="BX9" s="55"/>
      <c r="BY9" s="60">
        <f>SUM(BD9:BX9)</f>
        <v>27040</v>
      </c>
      <c r="BZ9" s="61">
        <f>BY9-BZ10</f>
        <v>2080</v>
      </c>
      <c r="CA9" s="13">
        <f>BY9*$D9</f>
        <v>496454.39999999997</v>
      </c>
      <c r="CB9" s="15"/>
      <c r="CC9" s="234">
        <f>(13*26)*8.25</f>
        <v>2788.5</v>
      </c>
      <c r="CD9" s="235">
        <f>(13*26)*7.75</f>
        <v>2619.5</v>
      </c>
      <c r="CE9" s="236"/>
      <c r="CF9" s="234">
        <f>(13*26)*8.25</f>
        <v>2788.5</v>
      </c>
      <c r="CG9" s="235">
        <f>(13*26)*7.75</f>
        <v>2619.5</v>
      </c>
      <c r="CH9" s="236"/>
      <c r="CI9" s="234">
        <f>(13*26)*8.25</f>
        <v>2788.5</v>
      </c>
      <c r="CJ9" s="235">
        <f>(13*26)*7.75</f>
        <v>2619.5</v>
      </c>
      <c r="CK9" s="236"/>
      <c r="CL9" s="234">
        <f>(13*26)*8.25</f>
        <v>2788.5</v>
      </c>
      <c r="CM9" s="235">
        <f>(13*26)*7.75</f>
        <v>2619.5</v>
      </c>
      <c r="CN9" s="236"/>
      <c r="CO9" s="234">
        <f>(13*26)*8.25</f>
        <v>2788.5</v>
      </c>
      <c r="CP9" s="235">
        <f>(13*26)*7.75</f>
        <v>2619.5</v>
      </c>
      <c r="CQ9" s="236"/>
      <c r="CR9" s="234">
        <v>2789</v>
      </c>
      <c r="CS9" s="235"/>
      <c r="CT9" s="241"/>
      <c r="CU9" s="234">
        <v>2789</v>
      </c>
      <c r="CV9" s="235"/>
      <c r="CW9" s="236"/>
      <c r="CX9" s="60">
        <f>SUM(CC9:CW9)</f>
        <v>32618</v>
      </c>
      <c r="CY9" s="61">
        <f>CX9-CY10</f>
        <v>1867</v>
      </c>
      <c r="CZ9" s="13">
        <f>CX9*$D9</f>
        <v>598866.48</v>
      </c>
      <c r="DA9" s="15"/>
      <c r="DB9" s="234">
        <f>(13*26)*8.25</f>
        <v>2788.5</v>
      </c>
      <c r="DC9" s="235">
        <f>(13*26)*7.75</f>
        <v>2619.5</v>
      </c>
      <c r="DD9" s="236"/>
      <c r="DE9" s="234">
        <f>(13*26)*8.25</f>
        <v>2788.5</v>
      </c>
      <c r="DF9" s="235">
        <f>(13*26)*7.75</f>
        <v>2619.5</v>
      </c>
      <c r="DG9" s="236"/>
      <c r="DH9" s="234">
        <f>(13*26)*8.25</f>
        <v>2788.5</v>
      </c>
      <c r="DI9" s="235">
        <f>(13*26)*7.75</f>
        <v>2619.5</v>
      </c>
      <c r="DJ9" s="236"/>
      <c r="DK9" s="234">
        <f>(13*26)*8.25</f>
        <v>2788.5</v>
      </c>
      <c r="DL9" s="235">
        <f>(13*26)*7.75</f>
        <v>2619.5</v>
      </c>
      <c r="DM9" s="55"/>
      <c r="DN9" s="242"/>
      <c r="DO9" s="243"/>
      <c r="DP9" s="244"/>
      <c r="DQ9" s="53"/>
      <c r="DR9" s="54"/>
      <c r="DS9" s="28"/>
      <c r="DT9" s="53"/>
      <c r="DU9" s="54"/>
      <c r="DV9" s="55"/>
      <c r="DW9" s="60">
        <f>SUM(DB9:DV9)</f>
        <v>21632</v>
      </c>
      <c r="DX9" s="81">
        <f>DW9-DX10</f>
        <v>18843</v>
      </c>
      <c r="DY9" s="13">
        <f>DW9*$D9</f>
        <v>397163.51999999996</v>
      </c>
      <c r="DZ9" s="15"/>
      <c r="EA9" s="200"/>
      <c r="EB9" s="201"/>
      <c r="EC9" s="202"/>
      <c r="ED9" s="234">
        <f>(13*26)*8.25</f>
        <v>2788.5</v>
      </c>
      <c r="EE9" s="235">
        <f>(13*26)*7.75</f>
        <v>2619.5</v>
      </c>
      <c r="EF9" s="236"/>
      <c r="EG9" s="234">
        <f>(13*26)*8.25</f>
        <v>2788.5</v>
      </c>
      <c r="EH9" s="235">
        <f>(13*26)*7.75</f>
        <v>2619.5</v>
      </c>
      <c r="EI9" s="236"/>
      <c r="EJ9" s="234">
        <f>(13*26)*8.25</f>
        <v>2788.5</v>
      </c>
      <c r="EK9" s="239">
        <f>(13*26)*7.75</f>
        <v>2619.5</v>
      </c>
      <c r="EL9" s="240"/>
      <c r="EM9" s="238">
        <f>(13*26)*8.25</f>
        <v>2788.5</v>
      </c>
      <c r="EN9" s="239">
        <f>(13*26)*7.75</f>
        <v>2619.5</v>
      </c>
      <c r="EO9" s="240"/>
      <c r="EP9" s="53"/>
      <c r="EQ9" s="14"/>
      <c r="ER9" s="28"/>
      <c r="ES9" s="53"/>
      <c r="ET9" s="54"/>
      <c r="EU9" s="20"/>
      <c r="EV9" s="60">
        <f>SUM(EA9:EU9)</f>
        <v>21632</v>
      </c>
      <c r="EW9" s="61">
        <f>EV9-EW10</f>
        <v>21632</v>
      </c>
      <c r="EX9" s="13">
        <f>EV9*$D9</f>
        <v>397163.51999999996</v>
      </c>
      <c r="EY9" s="15"/>
      <c r="EZ9" s="238">
        <f>(13*26)*8.25</f>
        <v>2788.5</v>
      </c>
      <c r="FA9" s="239">
        <f>(13*26)*7.75</f>
        <v>2619.5</v>
      </c>
      <c r="FB9" s="240"/>
      <c r="FC9" s="238">
        <f>(13*26)*8.25</f>
        <v>2788.5</v>
      </c>
      <c r="FD9" s="239">
        <f>(13*26)*7.75</f>
        <v>2619.5</v>
      </c>
      <c r="FE9" s="240"/>
      <c r="FF9" s="238">
        <f>(13*26)*8.25</f>
        <v>2788.5</v>
      </c>
      <c r="FG9" s="239">
        <f>(13*26)*7.75</f>
        <v>2619.5</v>
      </c>
      <c r="FH9" s="240"/>
      <c r="FI9" s="238">
        <f>(13*26)*8.25</f>
        <v>2788.5</v>
      </c>
      <c r="FJ9" s="239">
        <f>(13*26)*7.75</f>
        <v>2619.5</v>
      </c>
      <c r="FK9" s="240"/>
      <c r="FL9" s="238">
        <f>(13*26)*8.25</f>
        <v>2788.5</v>
      </c>
      <c r="FM9" s="239">
        <f>(13*26)*7.75</f>
        <v>2619.5</v>
      </c>
      <c r="FN9" s="55"/>
      <c r="FO9" s="53"/>
      <c r="FP9" s="14"/>
      <c r="FQ9" s="28"/>
      <c r="FR9" s="53"/>
      <c r="FS9" s="54"/>
      <c r="FT9" s="20"/>
      <c r="FU9" s="60">
        <f>SUM(EZ9:FT9)</f>
        <v>27040</v>
      </c>
      <c r="FV9" s="61">
        <f>FU9-FV10</f>
        <v>27040</v>
      </c>
      <c r="FW9" s="13">
        <f>FU9*$D9</f>
        <v>496454.39999999997</v>
      </c>
      <c r="FX9" s="15"/>
      <c r="FY9" s="53">
        <f>(13*26)*8.25</f>
        <v>2788.5</v>
      </c>
      <c r="FZ9" s="54">
        <f>(13*26)*7.75</f>
        <v>2619.5</v>
      </c>
      <c r="GA9" s="55"/>
      <c r="GB9" s="53">
        <f>(13*26)*8.25</f>
        <v>2788.5</v>
      </c>
      <c r="GC9" s="54">
        <f>(13*26)*7.75</f>
        <v>2619.5</v>
      </c>
      <c r="GD9" s="55"/>
      <c r="GE9" s="53">
        <f>(13*26)*8.25</f>
        <v>2788.5</v>
      </c>
      <c r="GF9" s="54">
        <f>(13*26)*7.75</f>
        <v>2619.5</v>
      </c>
      <c r="GG9" s="55"/>
      <c r="GH9" s="53">
        <f>(13*26)*8.25</f>
        <v>2788.5</v>
      </c>
      <c r="GI9" s="54">
        <f>(13*26)*7.75</f>
        <v>2619.5</v>
      </c>
      <c r="GJ9" s="55"/>
      <c r="GK9" s="53">
        <f>(13*26)*8.25</f>
        <v>2788.5</v>
      </c>
      <c r="GL9" s="54">
        <f>(13*26)*7.75</f>
        <v>2619.5</v>
      </c>
      <c r="GM9" s="55"/>
      <c r="GN9" s="53"/>
      <c r="GO9" s="14"/>
      <c r="GP9" s="28"/>
      <c r="GQ9" s="53"/>
      <c r="GR9" s="54"/>
      <c r="GS9" s="20"/>
      <c r="GT9" s="60">
        <f>SUM(FY9:GS9)</f>
        <v>27040</v>
      </c>
      <c r="GU9" s="61">
        <f>GT9-GU10</f>
        <v>27040</v>
      </c>
      <c r="GV9" s="13">
        <f>GT9*$D9</f>
        <v>496454.39999999997</v>
      </c>
      <c r="GW9" s="15"/>
      <c r="GX9" s="53">
        <f>(13*26)*8.25</f>
        <v>2788.5</v>
      </c>
      <c r="GY9" s="54">
        <f>(13*26)*7.75</f>
        <v>2619.5</v>
      </c>
      <c r="GZ9" s="55"/>
      <c r="HA9" s="53">
        <f>(13*26)*8.25</f>
        <v>2788.5</v>
      </c>
      <c r="HB9" s="54">
        <f>(13*26)*7.75</f>
        <v>2619.5</v>
      </c>
      <c r="HC9" s="55"/>
      <c r="HD9" s="53">
        <f>(13*26)*8.25</f>
        <v>2788.5</v>
      </c>
      <c r="HE9" s="54">
        <f>(13*26)*7.75</f>
        <v>2619.5</v>
      </c>
      <c r="HF9" s="55"/>
      <c r="HG9" s="53">
        <f>(13*26)*8.25</f>
        <v>2788.5</v>
      </c>
      <c r="HH9" s="54">
        <f>(13*26)*7.75</f>
        <v>2619.5</v>
      </c>
      <c r="HI9" s="55"/>
      <c r="HJ9" s="53">
        <f>(13*26)*8.25</f>
        <v>2788.5</v>
      </c>
      <c r="HK9" s="54">
        <f>(13*26)*7.75</f>
        <v>2619.5</v>
      </c>
      <c r="HL9" s="55"/>
      <c r="HM9" s="53"/>
      <c r="HN9" s="14"/>
      <c r="HO9" s="28"/>
      <c r="HP9" s="53"/>
      <c r="HQ9" s="54"/>
      <c r="HR9" s="20"/>
      <c r="HS9" s="60">
        <f>SUM(GX9:HR9)</f>
        <v>27040</v>
      </c>
      <c r="HT9" s="61">
        <f>HS9-HT10</f>
        <v>27040</v>
      </c>
      <c r="HU9" s="13">
        <f>HS9*$D9</f>
        <v>496454.39999999997</v>
      </c>
      <c r="HV9" s="15"/>
      <c r="HW9" s="53">
        <f>(13*26)*8.25</f>
        <v>2788.5</v>
      </c>
      <c r="HX9" s="54">
        <f>(13*26)*7.75</f>
        <v>2619.5</v>
      </c>
      <c r="HY9" s="55"/>
      <c r="HZ9" s="54">
        <f>(1*26)*7.75</f>
        <v>201.5</v>
      </c>
      <c r="IA9" s="54"/>
      <c r="IB9" s="55"/>
      <c r="IC9" s="53"/>
      <c r="ID9" s="54"/>
      <c r="IE9" s="55"/>
      <c r="IF9" s="53"/>
      <c r="IG9" s="54"/>
      <c r="IH9" s="55"/>
      <c r="II9" s="53"/>
      <c r="IJ9" s="54"/>
      <c r="IK9" s="55"/>
      <c r="IL9" s="53"/>
      <c r="IM9" s="14"/>
      <c r="IN9" s="28"/>
      <c r="IO9" s="53"/>
      <c r="IP9" s="54"/>
      <c r="IQ9" s="20"/>
      <c r="IR9" s="60">
        <f>SUM(HW9:IQ9)</f>
        <v>5609.5</v>
      </c>
      <c r="IS9" s="61">
        <f>IR9-IS10</f>
        <v>5609.5</v>
      </c>
      <c r="IT9" s="13">
        <f>IR9*$D9</f>
        <v>102990.42</v>
      </c>
      <c r="IU9" s="15"/>
      <c r="IV9" s="53"/>
      <c r="IW9" s="54"/>
      <c r="IX9" s="55"/>
      <c r="IY9" s="53"/>
      <c r="IZ9" s="54"/>
      <c r="JA9" s="55"/>
      <c r="JB9" s="53"/>
      <c r="JC9" s="54"/>
      <c r="JD9" s="55"/>
      <c r="JE9" s="53"/>
      <c r="JF9" s="54"/>
      <c r="JG9" s="55"/>
      <c r="JH9" s="53"/>
      <c r="JI9" s="54">
        <f>(10*26)*7.75-61</f>
        <v>1954</v>
      </c>
      <c r="JJ9" s="55"/>
      <c r="JK9" s="53"/>
      <c r="JL9" s="14"/>
      <c r="JM9" s="28"/>
      <c r="JN9" s="53"/>
      <c r="JO9" s="54"/>
      <c r="JP9" s="20"/>
      <c r="JQ9" s="60">
        <f>SUM(IV9:JP9)</f>
        <v>1954</v>
      </c>
      <c r="JR9" s="61">
        <f>JQ9-JR10</f>
        <v>1954</v>
      </c>
      <c r="JS9" s="13">
        <f>JQ9*$D9</f>
        <v>35875.440000000002</v>
      </c>
      <c r="JT9" s="15"/>
      <c r="JU9" s="200"/>
      <c r="JV9" s="201"/>
      <c r="JW9" s="202"/>
      <c r="JX9" s="53"/>
      <c r="JY9" s="54"/>
      <c r="JZ9" s="55"/>
      <c r="KA9" s="53"/>
      <c r="KB9" s="54"/>
      <c r="KC9" s="55"/>
      <c r="KD9" s="53">
        <f>(8*26)*8.25</f>
        <v>1716</v>
      </c>
      <c r="KE9" s="54"/>
      <c r="KF9" s="55"/>
      <c r="KG9" s="53"/>
      <c r="KH9" s="54"/>
      <c r="KI9" s="55"/>
      <c r="KJ9" s="53"/>
      <c r="KK9" s="14"/>
      <c r="KL9" s="28"/>
      <c r="KM9" s="53"/>
      <c r="KN9" s="54"/>
      <c r="KO9" s="20"/>
      <c r="KP9" s="60">
        <f>SUM(JU9:KO9)</f>
        <v>1716</v>
      </c>
      <c r="KQ9" s="61">
        <f>KP9-KQ10</f>
        <v>1716</v>
      </c>
      <c r="KR9" s="13">
        <f>KP9*$D9</f>
        <v>31505.759999999998</v>
      </c>
      <c r="KS9" s="15"/>
      <c r="KT9" s="53">
        <f>(13*26)*8.25</f>
        <v>2788.5</v>
      </c>
      <c r="KU9" s="54">
        <f>(13*26)*7.75</f>
        <v>2619.5</v>
      </c>
      <c r="KV9" s="55"/>
      <c r="KW9" s="53">
        <f>(13*26)*8.25</f>
        <v>2788.5</v>
      </c>
      <c r="KX9" s="54">
        <f>(13*26)*7.75</f>
        <v>2619.5</v>
      </c>
      <c r="KY9" s="55"/>
      <c r="KZ9" s="53">
        <f>(13*26)*8.25</f>
        <v>2788.5</v>
      </c>
      <c r="LA9" s="54">
        <f>(13*26)*7.75</f>
        <v>2619.5</v>
      </c>
      <c r="LB9" s="55"/>
      <c r="LC9" s="53">
        <f>(13*26)*8.25</f>
        <v>2788.5</v>
      </c>
      <c r="LD9" s="54">
        <f>(13*26)*7.75</f>
        <v>2619.5</v>
      </c>
      <c r="LE9" s="55"/>
      <c r="LF9" s="53">
        <f>(13*26)*8.25</f>
        <v>2788.5</v>
      </c>
      <c r="LG9" s="54">
        <f>(13*26)*7.75</f>
        <v>2619.5</v>
      </c>
      <c r="LH9" s="55"/>
      <c r="LI9" s="159"/>
      <c r="LJ9" s="172"/>
      <c r="LK9" s="173"/>
      <c r="LL9" s="174"/>
      <c r="LM9" s="172"/>
      <c r="LN9" s="161"/>
      <c r="LO9" s="60">
        <f>SUM(KT9:LN9)</f>
        <v>27040</v>
      </c>
      <c r="LP9" s="61">
        <f>LO9-LP10</f>
        <v>27040</v>
      </c>
      <c r="LQ9" s="13">
        <f>LO9*$D9</f>
        <v>496454.39999999997</v>
      </c>
      <c r="LR9" s="15"/>
    </row>
    <row r="10" spans="1:330" ht="15" thickBot="1" x14ac:dyDescent="0.4">
      <c r="A10" s="68">
        <v>26</v>
      </c>
      <c r="B10" s="98"/>
      <c r="C10" s="100"/>
      <c r="D10" s="16">
        <v>18.36</v>
      </c>
      <c r="E10" s="32" t="s">
        <v>7</v>
      </c>
      <c r="F10" s="194"/>
      <c r="G10" s="195"/>
      <c r="H10" s="196"/>
      <c r="I10" s="194"/>
      <c r="J10" s="195"/>
      <c r="K10" s="196"/>
      <c r="L10" s="194"/>
      <c r="M10" s="195"/>
      <c r="N10" s="197"/>
      <c r="O10" s="194"/>
      <c r="P10" s="195"/>
      <c r="Q10" s="196"/>
      <c r="R10" s="194"/>
      <c r="S10" s="195"/>
      <c r="T10" s="196"/>
      <c r="U10" s="57"/>
      <c r="V10" s="58"/>
      <c r="W10" s="59"/>
      <c r="X10" s="74"/>
      <c r="Y10" s="58"/>
      <c r="Z10" s="59"/>
      <c r="AA10" s="62"/>
      <c r="AB10" s="63">
        <f>SUM(F10:Z10)</f>
        <v>0</v>
      </c>
      <c r="AC10" s="16"/>
      <c r="AD10" s="18">
        <f>AB10*$D10</f>
        <v>0</v>
      </c>
      <c r="AE10" s="57">
        <v>1483</v>
      </c>
      <c r="AF10" s="58">
        <v>2031</v>
      </c>
      <c r="AG10" s="59"/>
      <c r="AH10" s="57">
        <v>2253</v>
      </c>
      <c r="AI10" s="58">
        <v>2606</v>
      </c>
      <c r="AJ10" s="59"/>
      <c r="AK10" s="57">
        <v>2536</v>
      </c>
      <c r="AL10" s="58">
        <v>2445</v>
      </c>
      <c r="AM10" s="75"/>
      <c r="AN10" s="57">
        <v>2426</v>
      </c>
      <c r="AO10" s="58">
        <v>2341</v>
      </c>
      <c r="AP10" s="59"/>
      <c r="AQ10" s="228"/>
      <c r="AR10" s="229"/>
      <c r="AS10" s="230"/>
      <c r="AT10" s="57"/>
      <c r="AU10" s="58"/>
      <c r="AV10" s="59"/>
      <c r="AW10" s="74"/>
      <c r="AX10" s="58"/>
      <c r="AY10" s="59"/>
      <c r="AZ10" s="62"/>
      <c r="BA10" s="63">
        <f>SUM(AE10:AY10)</f>
        <v>18121</v>
      </c>
      <c r="BB10" s="16"/>
      <c r="BC10" s="18">
        <f>BA10*$D10</f>
        <v>332701.56</v>
      </c>
      <c r="BD10" s="57">
        <v>2171</v>
      </c>
      <c r="BE10" s="58">
        <v>2247</v>
      </c>
      <c r="BF10" s="59"/>
      <c r="BG10" s="57">
        <v>2703</v>
      </c>
      <c r="BH10" s="58">
        <v>2520</v>
      </c>
      <c r="BI10" s="59"/>
      <c r="BJ10" s="57">
        <v>2635</v>
      </c>
      <c r="BK10" s="58">
        <v>2575</v>
      </c>
      <c r="BL10" s="75"/>
      <c r="BM10" s="57">
        <v>2529</v>
      </c>
      <c r="BN10" s="58">
        <v>2387</v>
      </c>
      <c r="BO10" s="59"/>
      <c r="BP10" s="57">
        <v>2753</v>
      </c>
      <c r="BQ10" s="58">
        <v>2440</v>
      </c>
      <c r="BR10" s="59"/>
      <c r="BS10" s="57"/>
      <c r="BT10" s="58"/>
      <c r="BU10" s="59"/>
      <c r="BV10" s="74"/>
      <c r="BW10" s="58"/>
      <c r="BX10" s="59"/>
      <c r="BY10" s="62"/>
      <c r="BZ10" s="63">
        <f>SUM(BD10:BX10)</f>
        <v>24960</v>
      </c>
      <c r="CA10" s="16"/>
      <c r="CB10" s="18">
        <f>BZ10*$D10</f>
        <v>458265.59999999998</v>
      </c>
      <c r="CC10" s="57">
        <v>2710</v>
      </c>
      <c r="CD10" s="58">
        <v>2447</v>
      </c>
      <c r="CE10" s="59"/>
      <c r="CF10" s="57">
        <v>2799</v>
      </c>
      <c r="CG10" s="58">
        <v>2629</v>
      </c>
      <c r="CH10" s="59"/>
      <c r="CI10" s="57">
        <v>2824</v>
      </c>
      <c r="CJ10" s="58">
        <v>2625</v>
      </c>
      <c r="CK10" s="75"/>
      <c r="CL10" s="57">
        <v>2807</v>
      </c>
      <c r="CM10" s="58">
        <v>2588</v>
      </c>
      <c r="CN10" s="59"/>
      <c r="CO10" s="57">
        <v>2795</v>
      </c>
      <c r="CP10" s="58">
        <v>2304</v>
      </c>
      <c r="CQ10" s="59"/>
      <c r="CR10" s="57">
        <v>2623</v>
      </c>
      <c r="CS10" s="58"/>
      <c r="CT10" s="59"/>
      <c r="CU10" s="74">
        <v>1600</v>
      </c>
      <c r="CV10" s="58"/>
      <c r="CW10" s="59"/>
      <c r="CX10" s="62"/>
      <c r="CY10" s="63">
        <f>SUM(CC10:CW10)</f>
        <v>30751</v>
      </c>
      <c r="CZ10" s="16"/>
      <c r="DA10" s="18">
        <f>CY10*$D10</f>
        <v>564588.36</v>
      </c>
      <c r="DB10" s="57">
        <v>2789</v>
      </c>
      <c r="DC10" s="58"/>
      <c r="DD10" s="59"/>
      <c r="DE10" s="57"/>
      <c r="DF10" s="58"/>
      <c r="DG10" s="59"/>
      <c r="DH10" s="57"/>
      <c r="DI10" s="58"/>
      <c r="DJ10" s="75"/>
      <c r="DK10" s="57"/>
      <c r="DL10" s="58"/>
      <c r="DM10" s="59"/>
      <c r="DN10" s="248"/>
      <c r="DO10" s="249"/>
      <c r="DP10" s="250"/>
      <c r="DQ10" s="57"/>
      <c r="DR10" s="58"/>
      <c r="DS10" s="59"/>
      <c r="DT10" s="74"/>
      <c r="DU10" s="58"/>
      <c r="DV10" s="59"/>
      <c r="DW10" s="62"/>
      <c r="DX10" s="63">
        <f>SUM(DB10:DV10)</f>
        <v>2789</v>
      </c>
      <c r="DY10" s="16"/>
      <c r="DZ10" s="18">
        <f>DX10*$D10</f>
        <v>51206.04</v>
      </c>
      <c r="EA10" s="206"/>
      <c r="EB10" s="207"/>
      <c r="EC10" s="208"/>
      <c r="ED10" s="57"/>
      <c r="EE10" s="58"/>
      <c r="EF10" s="59"/>
      <c r="EG10" s="57"/>
      <c r="EH10" s="58"/>
      <c r="EI10" s="75"/>
      <c r="EJ10" s="57"/>
      <c r="EK10" s="58"/>
      <c r="EL10" s="59"/>
      <c r="EM10" s="57"/>
      <c r="EN10" s="58"/>
      <c r="EO10" s="59"/>
      <c r="EP10" s="57"/>
      <c r="EQ10" s="58"/>
      <c r="ER10" s="59"/>
      <c r="ES10" s="57"/>
      <c r="ET10" s="17"/>
      <c r="EU10" s="21"/>
      <c r="EV10" s="62"/>
      <c r="EW10" s="63">
        <f>SUM(EA10:EU10)</f>
        <v>0</v>
      </c>
      <c r="EX10" s="16"/>
      <c r="EY10" s="18">
        <f>EW10*$D10</f>
        <v>0</v>
      </c>
      <c r="EZ10" s="57"/>
      <c r="FA10" s="58"/>
      <c r="FB10" s="59"/>
      <c r="FC10" s="57"/>
      <c r="FD10" s="58"/>
      <c r="FE10" s="59"/>
      <c r="FF10" s="57"/>
      <c r="FG10" s="58"/>
      <c r="FH10" s="75"/>
      <c r="FI10" s="57"/>
      <c r="FJ10" s="58"/>
      <c r="FK10" s="59"/>
      <c r="FL10" s="57"/>
      <c r="FM10" s="58"/>
      <c r="FN10" s="59"/>
      <c r="FO10" s="57"/>
      <c r="FP10" s="58"/>
      <c r="FQ10" s="59"/>
      <c r="FR10" s="57"/>
      <c r="FS10" s="17"/>
      <c r="FT10" s="21"/>
      <c r="FU10" s="62"/>
      <c r="FV10" s="63">
        <f>SUM(EZ10:FT10)</f>
        <v>0</v>
      </c>
      <c r="FW10" s="16"/>
      <c r="FX10" s="18">
        <f>FV10*$D10</f>
        <v>0</v>
      </c>
      <c r="FY10" s="57"/>
      <c r="FZ10" s="58"/>
      <c r="GA10" s="59"/>
      <c r="GB10" s="57"/>
      <c r="GC10" s="58"/>
      <c r="GD10" s="59"/>
      <c r="GE10" s="57"/>
      <c r="GF10" s="58"/>
      <c r="GG10" s="75"/>
      <c r="GH10" s="57"/>
      <c r="GI10" s="58"/>
      <c r="GJ10" s="59"/>
      <c r="GK10" s="57"/>
      <c r="GL10" s="58"/>
      <c r="GM10" s="59"/>
      <c r="GN10" s="57"/>
      <c r="GO10" s="58"/>
      <c r="GP10" s="59"/>
      <c r="GQ10" s="57"/>
      <c r="GR10" s="17"/>
      <c r="GS10" s="21"/>
      <c r="GT10" s="62"/>
      <c r="GU10" s="63">
        <f>SUM(FY10:GS10)</f>
        <v>0</v>
      </c>
      <c r="GV10" s="16"/>
      <c r="GW10" s="18">
        <f>GU10*$D10</f>
        <v>0</v>
      </c>
      <c r="GX10" s="57"/>
      <c r="GY10" s="58"/>
      <c r="GZ10" s="59"/>
      <c r="HA10" s="57"/>
      <c r="HB10" s="58"/>
      <c r="HC10" s="59"/>
      <c r="HD10" s="57"/>
      <c r="HE10" s="58"/>
      <c r="HF10" s="75"/>
      <c r="HG10" s="57"/>
      <c r="HH10" s="58"/>
      <c r="HI10" s="59"/>
      <c r="HJ10" s="57"/>
      <c r="HK10" s="58"/>
      <c r="HL10" s="59"/>
      <c r="HM10" s="57"/>
      <c r="HN10" s="58"/>
      <c r="HO10" s="59"/>
      <c r="HP10" s="57"/>
      <c r="HQ10" s="17"/>
      <c r="HR10" s="21"/>
      <c r="HS10" s="62"/>
      <c r="HT10" s="63">
        <f>SUM(GX10:HR10)</f>
        <v>0</v>
      </c>
      <c r="HU10" s="16"/>
      <c r="HV10" s="18">
        <f>HT10*$D10</f>
        <v>0</v>
      </c>
      <c r="HW10" s="57"/>
      <c r="HX10" s="58"/>
      <c r="HY10" s="59"/>
      <c r="HZ10" s="57"/>
      <c r="IA10" s="58"/>
      <c r="IB10" s="59"/>
      <c r="IC10" s="57"/>
      <c r="ID10" s="58"/>
      <c r="IE10" s="75"/>
      <c r="IF10" s="57"/>
      <c r="IG10" s="58"/>
      <c r="IH10" s="59"/>
      <c r="II10" s="57"/>
      <c r="IJ10" s="58"/>
      <c r="IK10" s="59"/>
      <c r="IL10" s="57"/>
      <c r="IM10" s="58"/>
      <c r="IN10" s="59"/>
      <c r="IO10" s="57"/>
      <c r="IP10" s="17"/>
      <c r="IQ10" s="21"/>
      <c r="IR10" s="62"/>
      <c r="IS10" s="63">
        <f>SUM(HW10:IQ10)</f>
        <v>0</v>
      </c>
      <c r="IT10" s="16"/>
      <c r="IU10" s="18">
        <f>IS10*$D10</f>
        <v>0</v>
      </c>
      <c r="IV10" s="57"/>
      <c r="IW10" s="58"/>
      <c r="IX10" s="59"/>
      <c r="IY10" s="57"/>
      <c r="IZ10" s="58"/>
      <c r="JA10" s="59"/>
      <c r="JB10" s="57"/>
      <c r="JC10" s="58"/>
      <c r="JD10" s="75"/>
      <c r="JE10" s="57"/>
      <c r="JF10" s="58"/>
      <c r="JG10" s="59"/>
      <c r="JH10" s="57"/>
      <c r="JI10" s="58"/>
      <c r="JJ10" s="59"/>
      <c r="JK10" s="57"/>
      <c r="JL10" s="58"/>
      <c r="JM10" s="59"/>
      <c r="JN10" s="57"/>
      <c r="JO10" s="17"/>
      <c r="JP10" s="21"/>
      <c r="JQ10" s="62"/>
      <c r="JR10" s="63">
        <f>SUM(IV10:JP10)</f>
        <v>0</v>
      </c>
      <c r="JS10" s="16"/>
      <c r="JT10" s="18">
        <f>JR10*$D10</f>
        <v>0</v>
      </c>
      <c r="JU10" s="206"/>
      <c r="JV10" s="207"/>
      <c r="JW10" s="208"/>
      <c r="JX10" s="57"/>
      <c r="JY10" s="58"/>
      <c r="JZ10" s="59"/>
      <c r="KA10" s="57"/>
      <c r="KB10" s="58"/>
      <c r="KC10" s="75"/>
      <c r="KD10" s="57"/>
      <c r="KE10" s="58"/>
      <c r="KF10" s="59"/>
      <c r="KG10" s="57"/>
      <c r="KH10" s="58"/>
      <c r="KI10" s="59"/>
      <c r="KJ10" s="57"/>
      <c r="KK10" s="58"/>
      <c r="KL10" s="59"/>
      <c r="KM10" s="57"/>
      <c r="KN10" s="17"/>
      <c r="KO10" s="21"/>
      <c r="KP10" s="62"/>
      <c r="KQ10" s="63">
        <f>SUM(JU10:KO10)</f>
        <v>0</v>
      </c>
      <c r="KR10" s="16"/>
      <c r="KS10" s="18">
        <f>KQ10*$D10</f>
        <v>0</v>
      </c>
      <c r="KT10" s="57"/>
      <c r="KU10" s="58"/>
      <c r="KV10" s="59"/>
      <c r="KW10" s="57"/>
      <c r="KX10" s="58"/>
      <c r="KY10" s="59"/>
      <c r="KZ10" s="57"/>
      <c r="LA10" s="58"/>
      <c r="LB10" s="75"/>
      <c r="LC10" s="57"/>
      <c r="LD10" s="58"/>
      <c r="LE10" s="59"/>
      <c r="LF10" s="57"/>
      <c r="LG10" s="58"/>
      <c r="LH10" s="59"/>
      <c r="LI10" s="162"/>
      <c r="LJ10" s="163"/>
      <c r="LK10" s="164"/>
      <c r="LL10" s="178"/>
      <c r="LM10" s="163"/>
      <c r="LN10" s="167"/>
      <c r="LO10" s="62"/>
      <c r="LP10" s="63">
        <f>SUM(KT10:LN10)</f>
        <v>0</v>
      </c>
      <c r="LQ10" s="16"/>
      <c r="LR10" s="18">
        <f>LP10*$D10</f>
        <v>0</v>
      </c>
    </row>
    <row r="11" spans="1:330" ht="15" customHeight="1" x14ac:dyDescent="0.35">
      <c r="A11" s="65"/>
      <c r="B11" s="97" t="s">
        <v>90</v>
      </c>
      <c r="C11" s="99" t="s">
        <v>20</v>
      </c>
      <c r="D11" s="13">
        <v>18.07</v>
      </c>
      <c r="E11" s="31" t="s">
        <v>6</v>
      </c>
      <c r="F11" s="186"/>
      <c r="G11" s="187"/>
      <c r="H11" s="188"/>
      <c r="I11" s="186"/>
      <c r="J11" s="187"/>
      <c r="K11" s="188"/>
      <c r="L11" s="186"/>
      <c r="M11" s="187"/>
      <c r="N11" s="188"/>
      <c r="O11" s="186"/>
      <c r="P11" s="187"/>
      <c r="Q11" s="188"/>
      <c r="R11" s="186"/>
      <c r="S11" s="187"/>
      <c r="T11" s="188"/>
      <c r="U11" s="53"/>
      <c r="V11" s="54"/>
      <c r="W11" s="55"/>
      <c r="X11" s="53"/>
      <c r="Y11" s="54"/>
      <c r="Z11" s="55"/>
      <c r="AA11" s="60">
        <f>SUM(F11:Z11)</f>
        <v>0</v>
      </c>
      <c r="AB11" s="61">
        <f>AA11-AB12</f>
        <v>0</v>
      </c>
      <c r="AC11" s="13">
        <f>AA11*$D11</f>
        <v>0</v>
      </c>
      <c r="AD11" s="15"/>
      <c r="AE11" s="53"/>
      <c r="AF11" s="54"/>
      <c r="AG11" s="55"/>
      <c r="AH11" s="53"/>
      <c r="AI11" s="54"/>
      <c r="AJ11" s="55"/>
      <c r="AK11" s="53"/>
      <c r="AL11" s="54"/>
      <c r="AM11" s="55"/>
      <c r="AN11" s="53"/>
      <c r="AO11" s="54"/>
      <c r="AP11" s="55"/>
      <c r="AQ11" s="222"/>
      <c r="AR11" s="223"/>
      <c r="AS11" s="224"/>
      <c r="AT11" s="53"/>
      <c r="AU11" s="54"/>
      <c r="AV11" s="55"/>
      <c r="AW11" s="53"/>
      <c r="AX11" s="54"/>
      <c r="AY11" s="55"/>
      <c r="AZ11" s="60">
        <f>SUM(AE11:AY11)</f>
        <v>0</v>
      </c>
      <c r="BA11" s="61">
        <f>AZ11-BA12</f>
        <v>0</v>
      </c>
      <c r="BB11" s="13">
        <f>AZ11*$D11</f>
        <v>0</v>
      </c>
      <c r="BC11" s="15"/>
      <c r="BD11" s="53"/>
      <c r="BE11" s="54"/>
      <c r="BF11" s="55"/>
      <c r="BG11" s="53"/>
      <c r="BH11" s="54"/>
      <c r="BI11" s="55"/>
      <c r="BJ11" s="53"/>
      <c r="BK11" s="54"/>
      <c r="BL11" s="55"/>
      <c r="BM11" s="53"/>
      <c r="BN11" s="54"/>
      <c r="BO11" s="55"/>
      <c r="BP11" s="53"/>
      <c r="BQ11" s="54"/>
      <c r="BR11" s="55"/>
      <c r="BS11" s="53"/>
      <c r="BT11" s="54"/>
      <c r="BU11" s="55"/>
      <c r="BV11" s="53"/>
      <c r="BW11" s="54"/>
      <c r="BX11" s="55"/>
      <c r="BY11" s="60">
        <f>SUM(BD11:BX11)</f>
        <v>0</v>
      </c>
      <c r="BZ11" s="61">
        <f>BY11-BZ12</f>
        <v>0</v>
      </c>
      <c r="CA11" s="13">
        <f>BY11*$D11</f>
        <v>0</v>
      </c>
      <c r="CB11" s="15"/>
      <c r="CC11" s="53"/>
      <c r="CD11" s="54"/>
      <c r="CE11" s="55"/>
      <c r="CF11" s="53"/>
      <c r="CG11" s="54"/>
      <c r="CH11" s="55"/>
      <c r="CI11" s="53"/>
      <c r="CJ11" s="54"/>
      <c r="CK11" s="55"/>
      <c r="CL11" s="53"/>
      <c r="CM11" s="54"/>
      <c r="CN11" s="55"/>
      <c r="CO11" s="53"/>
      <c r="CP11" s="54"/>
      <c r="CQ11" s="55"/>
      <c r="CR11" s="53"/>
      <c r="CS11" s="54"/>
      <c r="CT11" s="55"/>
      <c r="CU11" s="53"/>
      <c r="CV11" s="54"/>
      <c r="CW11" s="55"/>
      <c r="CX11" s="60">
        <f>SUM(CC11:CW11)</f>
        <v>0</v>
      </c>
      <c r="CY11" s="81">
        <f>CX11-CY12</f>
        <v>0</v>
      </c>
      <c r="CZ11" s="13">
        <f>CX11*$D11</f>
        <v>0</v>
      </c>
      <c r="DA11" s="15"/>
      <c r="DB11" s="53"/>
      <c r="DC11" s="54"/>
      <c r="DD11" s="55"/>
      <c r="DE11" s="53"/>
      <c r="DF11" s="54"/>
      <c r="DG11" s="55"/>
      <c r="DH11" s="53"/>
      <c r="DI11" s="54"/>
      <c r="DJ11" s="55"/>
      <c r="DK11" s="53"/>
      <c r="DL11" s="54"/>
      <c r="DM11" s="55"/>
      <c r="DN11" s="242"/>
      <c r="DO11" s="243"/>
      <c r="DP11" s="244"/>
      <c r="DQ11" s="53"/>
      <c r="DR11" s="54"/>
      <c r="DS11" s="55"/>
      <c r="DT11" s="53"/>
      <c r="DU11" s="54"/>
      <c r="DV11" s="55"/>
      <c r="DW11" s="60">
        <f>SUM(DB11:DV11)</f>
        <v>0</v>
      </c>
      <c r="DX11" s="81">
        <f>DW11-DX12</f>
        <v>0</v>
      </c>
      <c r="DY11" s="13">
        <f>DW11*$D11</f>
        <v>0</v>
      </c>
      <c r="DZ11" s="15"/>
      <c r="EA11" s="200"/>
      <c r="EB11" s="201"/>
      <c r="EC11" s="202"/>
      <c r="ED11" s="53"/>
      <c r="EE11" s="54"/>
      <c r="EF11" s="55"/>
      <c r="EG11" s="53"/>
      <c r="EH11" s="54"/>
      <c r="EI11" s="55"/>
      <c r="EJ11" s="53"/>
      <c r="EK11" s="54"/>
      <c r="EL11" s="55"/>
      <c r="EM11" s="53"/>
      <c r="EN11" s="54"/>
      <c r="EO11" s="55"/>
      <c r="EP11" s="53"/>
      <c r="EQ11" s="14"/>
      <c r="ER11" s="55"/>
      <c r="ES11" s="53"/>
      <c r="ET11" s="54"/>
      <c r="EU11" s="20"/>
      <c r="EV11" s="60">
        <f>SUM(EA11:EU11)</f>
        <v>0</v>
      </c>
      <c r="EW11" s="61">
        <f>EV11-EW12</f>
        <v>0</v>
      </c>
      <c r="EX11" s="13">
        <f>EV11*$D11</f>
        <v>0</v>
      </c>
      <c r="EY11" s="15"/>
      <c r="EZ11" s="53"/>
      <c r="FA11" s="54"/>
      <c r="FB11" s="55"/>
      <c r="FC11" s="53"/>
      <c r="FD11" s="54"/>
      <c r="FE11" s="55"/>
      <c r="FF11" s="53"/>
      <c r="FG11" s="54"/>
      <c r="FH11" s="55"/>
      <c r="FI11" s="53"/>
      <c r="FJ11" s="54"/>
      <c r="FK11" s="55"/>
      <c r="FL11" s="53"/>
      <c r="FM11" s="54"/>
      <c r="FN11" s="55"/>
      <c r="FO11" s="53"/>
      <c r="FP11" s="14"/>
      <c r="FQ11" s="55"/>
      <c r="FR11" s="53"/>
      <c r="FS11" s="54"/>
      <c r="FT11" s="20"/>
      <c r="FU11" s="60">
        <f>SUM(EZ11:FT11)</f>
        <v>0</v>
      </c>
      <c r="FV11" s="61">
        <f>FU11-FV12</f>
        <v>0</v>
      </c>
      <c r="FW11" s="13">
        <f>FU11*$D11</f>
        <v>0</v>
      </c>
      <c r="FX11" s="15"/>
      <c r="FY11" s="53"/>
      <c r="FZ11" s="54"/>
      <c r="GA11" s="55"/>
      <c r="GB11" s="53"/>
      <c r="GC11" s="54"/>
      <c r="GD11" s="55"/>
      <c r="GE11" s="53"/>
      <c r="GF11" s="54"/>
      <c r="GG11" s="55"/>
      <c r="GH11" s="53"/>
      <c r="GI11" s="54"/>
      <c r="GJ11" s="55"/>
      <c r="GK11" s="53"/>
      <c r="GL11" s="54"/>
      <c r="GM11" s="55"/>
      <c r="GN11" s="53"/>
      <c r="GO11" s="14"/>
      <c r="GP11" s="55"/>
      <c r="GQ11" s="53"/>
      <c r="GR11" s="54"/>
      <c r="GS11" s="20"/>
      <c r="GT11" s="60">
        <f>SUM(FY11:GS11)</f>
        <v>0</v>
      </c>
      <c r="GU11" s="61">
        <f>GT11-GU12</f>
        <v>0</v>
      </c>
      <c r="GV11" s="13">
        <f>GT11*$D11</f>
        <v>0</v>
      </c>
      <c r="GW11" s="15"/>
      <c r="GX11" s="53"/>
      <c r="GY11" s="54"/>
      <c r="GZ11" s="55"/>
      <c r="HA11" s="53"/>
      <c r="HB11" s="54"/>
      <c r="HC11" s="55"/>
      <c r="HD11" s="53"/>
      <c r="HE11" s="54"/>
      <c r="HF11" s="55"/>
      <c r="HG11" s="53"/>
      <c r="HH11" s="54"/>
      <c r="HI11" s="55"/>
      <c r="HJ11" s="53"/>
      <c r="HK11" s="54"/>
      <c r="HL11" s="55"/>
      <c r="HM11" s="53"/>
      <c r="HN11" s="14"/>
      <c r="HO11" s="55"/>
      <c r="HP11" s="53"/>
      <c r="HQ11" s="54"/>
      <c r="HR11" s="20"/>
      <c r="HS11" s="60">
        <f>SUM(GX11:HR11)</f>
        <v>0</v>
      </c>
      <c r="HT11" s="61">
        <f>HS11-HT12</f>
        <v>0</v>
      </c>
      <c r="HU11" s="13">
        <f>HS11*$D11</f>
        <v>0</v>
      </c>
      <c r="HV11" s="15"/>
      <c r="HW11" s="53"/>
      <c r="HX11" s="54"/>
      <c r="HY11" s="55"/>
      <c r="HZ11" s="53">
        <f>(12*26)*8.25</f>
        <v>2574</v>
      </c>
      <c r="IA11" s="54">
        <f>(13*26)*7.75</f>
        <v>2619.5</v>
      </c>
      <c r="IB11" s="55"/>
      <c r="IC11" s="53">
        <f>(13*26)*8.25</f>
        <v>2788.5</v>
      </c>
      <c r="ID11" s="54">
        <f>(13*26)*7.75</f>
        <v>2619.5</v>
      </c>
      <c r="IE11" s="55"/>
      <c r="IF11" s="53">
        <f>(13*26)*8.25</f>
        <v>2788.5</v>
      </c>
      <c r="IG11" s="54">
        <f>(13*26)*7.75</f>
        <v>2619.5</v>
      </c>
      <c r="IH11" s="55"/>
      <c r="II11" s="53">
        <f>(13*26)*8.25</f>
        <v>2788.5</v>
      </c>
      <c r="IJ11" s="54">
        <f>(13*26)*7.75</f>
        <v>2619.5</v>
      </c>
      <c r="IK11" s="55"/>
      <c r="IL11" s="53"/>
      <c r="IM11" s="14"/>
      <c r="IN11" s="55"/>
      <c r="IO11" s="53"/>
      <c r="IP11" s="54"/>
      <c r="IQ11" s="20"/>
      <c r="IR11" s="60">
        <f>SUM(HW11:IQ11)</f>
        <v>21417.5</v>
      </c>
      <c r="IS11" s="61">
        <f>IR11-IS12</f>
        <v>21417.5</v>
      </c>
      <c r="IT11" s="13">
        <f>IR11*$D11</f>
        <v>387014.22500000003</v>
      </c>
      <c r="IU11" s="15"/>
      <c r="IV11" s="53">
        <f>(13*26)*8.25</f>
        <v>2788.5</v>
      </c>
      <c r="IW11" s="54">
        <f>(13*26)*7.75</f>
        <v>2619.5</v>
      </c>
      <c r="IX11" s="55"/>
      <c r="IY11" s="53">
        <f>(13*26)*8.25</f>
        <v>2788.5</v>
      </c>
      <c r="IZ11" s="54">
        <f>(13*26)*7.75</f>
        <v>2619.5</v>
      </c>
      <c r="JA11" s="55"/>
      <c r="JB11" s="53">
        <f>(13*26)*8.25</f>
        <v>2788.5</v>
      </c>
      <c r="JC11" s="54">
        <f>(13*26)*7.75</f>
        <v>2619.5</v>
      </c>
      <c r="JD11" s="55"/>
      <c r="JE11" s="53">
        <f>(13*26)*8.25</f>
        <v>2788.5</v>
      </c>
      <c r="JF11" s="54">
        <f>(13*26)*7.75</f>
        <v>2619.5</v>
      </c>
      <c r="JG11" s="55"/>
      <c r="JH11" s="53">
        <f>(13*26)*8.25</f>
        <v>2788.5</v>
      </c>
      <c r="JI11" s="54">
        <f>(2*26)*7.75-61</f>
        <v>342</v>
      </c>
      <c r="JJ11" s="55"/>
      <c r="JK11" s="53"/>
      <c r="JL11" s="54"/>
      <c r="JM11" s="55"/>
      <c r="JN11" s="53"/>
      <c r="JO11" s="54"/>
      <c r="JP11" s="20"/>
      <c r="JQ11" s="60">
        <f>SUM(IV11:JP11)</f>
        <v>24762.5</v>
      </c>
      <c r="JR11" s="61">
        <f>JQ11-JR12</f>
        <v>24762.5</v>
      </c>
      <c r="JS11" s="13">
        <f>JQ11*$D11</f>
        <v>447458.375</v>
      </c>
      <c r="JT11" s="15"/>
      <c r="JU11" s="200"/>
      <c r="JV11" s="201"/>
      <c r="JW11" s="202"/>
      <c r="JX11" s="53"/>
      <c r="JY11" s="54"/>
      <c r="JZ11" s="55"/>
      <c r="KA11" s="53"/>
      <c r="KB11" s="54"/>
      <c r="KC11" s="55"/>
      <c r="KD11" s="53"/>
      <c r="KE11" s="54"/>
      <c r="KF11" s="55"/>
      <c r="KG11" s="53"/>
      <c r="KH11" s="54"/>
      <c r="KI11" s="55"/>
      <c r="KJ11" s="53"/>
      <c r="KK11" s="14"/>
      <c r="KL11" s="55"/>
      <c r="KM11" s="53"/>
      <c r="KN11" s="54"/>
      <c r="KO11" s="20"/>
      <c r="KP11" s="60">
        <f>SUM(JU11:KO11)</f>
        <v>0</v>
      </c>
      <c r="KQ11" s="61">
        <f>KP11-KQ12</f>
        <v>0</v>
      </c>
      <c r="KR11" s="13">
        <f>KP11*$D11</f>
        <v>0</v>
      </c>
      <c r="KS11" s="15"/>
      <c r="KT11" s="53"/>
      <c r="KU11" s="54"/>
      <c r="KV11" s="55"/>
      <c r="KW11" s="53"/>
      <c r="KX11" s="54"/>
      <c r="KY11" s="55"/>
      <c r="KZ11" s="53"/>
      <c r="LA11" s="54"/>
      <c r="LB11" s="55"/>
      <c r="LC11" s="53"/>
      <c r="LD11" s="54"/>
      <c r="LE11" s="55"/>
      <c r="LF11" s="53"/>
      <c r="LG11" s="54"/>
      <c r="LH11" s="55"/>
      <c r="LI11" s="159"/>
      <c r="LJ11" s="160"/>
      <c r="LK11" s="161"/>
      <c r="LL11" s="159"/>
      <c r="LM11" s="160"/>
      <c r="LN11" s="175"/>
      <c r="LO11" s="60">
        <f>SUM(KT11:LN11)</f>
        <v>0</v>
      </c>
      <c r="LP11" s="61">
        <f>LO11-LP12</f>
        <v>0</v>
      </c>
      <c r="LQ11" s="13">
        <f>LO11*$D11</f>
        <v>0</v>
      </c>
      <c r="LR11" s="15"/>
    </row>
    <row r="12" spans="1:330" ht="15" thickBot="1" x14ac:dyDescent="0.4">
      <c r="A12" s="68">
        <v>26</v>
      </c>
      <c r="B12" s="98"/>
      <c r="C12" s="100"/>
      <c r="D12" s="16">
        <v>18.07</v>
      </c>
      <c r="E12" s="32" t="s">
        <v>7</v>
      </c>
      <c r="F12" s="194"/>
      <c r="G12" s="195"/>
      <c r="H12" s="196"/>
      <c r="I12" s="194"/>
      <c r="J12" s="195"/>
      <c r="K12" s="196"/>
      <c r="L12" s="194"/>
      <c r="M12" s="195"/>
      <c r="N12" s="196"/>
      <c r="O12" s="194"/>
      <c r="P12" s="195"/>
      <c r="Q12" s="196"/>
      <c r="R12" s="194"/>
      <c r="S12" s="195"/>
      <c r="T12" s="196"/>
      <c r="U12" s="57"/>
      <c r="V12" s="58"/>
      <c r="W12" s="59"/>
      <c r="X12" s="74"/>
      <c r="Y12" s="58"/>
      <c r="Z12" s="59"/>
      <c r="AA12" s="62"/>
      <c r="AB12" s="63">
        <f>SUM(F12:Z12)</f>
        <v>0</v>
      </c>
      <c r="AC12" s="16"/>
      <c r="AD12" s="18">
        <f>AB12*$D12</f>
        <v>0</v>
      </c>
      <c r="AE12" s="57"/>
      <c r="AF12" s="58"/>
      <c r="AG12" s="59"/>
      <c r="AH12" s="57"/>
      <c r="AI12" s="58"/>
      <c r="AJ12" s="59"/>
      <c r="AK12" s="57"/>
      <c r="AL12" s="58"/>
      <c r="AM12" s="59"/>
      <c r="AN12" s="57"/>
      <c r="AO12" s="58"/>
      <c r="AP12" s="59"/>
      <c r="AQ12" s="228"/>
      <c r="AR12" s="229"/>
      <c r="AS12" s="230"/>
      <c r="AT12" s="57"/>
      <c r="AU12" s="58"/>
      <c r="AV12" s="59"/>
      <c r="AW12" s="74"/>
      <c r="AX12" s="58"/>
      <c r="AY12" s="59"/>
      <c r="AZ12" s="62"/>
      <c r="BA12" s="63">
        <f>SUM(AE12:AY12)</f>
        <v>0</v>
      </c>
      <c r="BB12" s="16"/>
      <c r="BC12" s="18">
        <f>BA12*$D12</f>
        <v>0</v>
      </c>
      <c r="BD12" s="57"/>
      <c r="BE12" s="58"/>
      <c r="BF12" s="59"/>
      <c r="BG12" s="57"/>
      <c r="BH12" s="58"/>
      <c r="BI12" s="59"/>
      <c r="BJ12" s="57"/>
      <c r="BK12" s="58"/>
      <c r="BL12" s="59"/>
      <c r="BM12" s="57"/>
      <c r="BN12" s="58"/>
      <c r="BO12" s="59"/>
      <c r="BP12" s="57"/>
      <c r="BQ12" s="58"/>
      <c r="BR12" s="59"/>
      <c r="BS12" s="57"/>
      <c r="BT12" s="58"/>
      <c r="BU12" s="59"/>
      <c r="BV12" s="74"/>
      <c r="BW12" s="58"/>
      <c r="BX12" s="59"/>
      <c r="BY12" s="62"/>
      <c r="BZ12" s="63">
        <f>SUM(BD12:BX12)</f>
        <v>0</v>
      </c>
      <c r="CA12" s="16"/>
      <c r="CB12" s="18">
        <f>BZ12*$D12</f>
        <v>0</v>
      </c>
      <c r="CC12" s="57"/>
      <c r="CD12" s="58"/>
      <c r="CE12" s="59"/>
      <c r="CF12" s="57"/>
      <c r="CG12" s="58"/>
      <c r="CH12" s="59"/>
      <c r="CI12" s="57"/>
      <c r="CJ12" s="58"/>
      <c r="CK12" s="59"/>
      <c r="CL12" s="57"/>
      <c r="CM12" s="58"/>
      <c r="CN12" s="59"/>
      <c r="CO12" s="57"/>
      <c r="CP12" s="58"/>
      <c r="CQ12" s="59"/>
      <c r="CR12" s="57"/>
      <c r="CS12" s="58"/>
      <c r="CT12" s="59"/>
      <c r="CU12" s="74"/>
      <c r="CV12" s="58"/>
      <c r="CW12" s="59"/>
      <c r="CX12" s="62"/>
      <c r="CY12" s="63">
        <f>SUM(CC12:CW12)</f>
        <v>0</v>
      </c>
      <c r="CZ12" s="16"/>
      <c r="DA12" s="18">
        <f>CY12*$D12</f>
        <v>0</v>
      </c>
      <c r="DB12" s="57"/>
      <c r="DC12" s="58"/>
      <c r="DD12" s="59"/>
      <c r="DE12" s="57"/>
      <c r="DF12" s="58"/>
      <c r="DG12" s="59"/>
      <c r="DH12" s="57"/>
      <c r="DI12" s="58"/>
      <c r="DJ12" s="59"/>
      <c r="DK12" s="57"/>
      <c r="DL12" s="58"/>
      <c r="DM12" s="59"/>
      <c r="DN12" s="248"/>
      <c r="DO12" s="249"/>
      <c r="DP12" s="250"/>
      <c r="DQ12" s="57"/>
      <c r="DR12" s="58"/>
      <c r="DS12" s="59"/>
      <c r="DT12" s="74"/>
      <c r="DU12" s="58"/>
      <c r="DV12" s="59"/>
      <c r="DW12" s="62"/>
      <c r="DX12" s="63">
        <f>SUM(DB12:DV12)</f>
        <v>0</v>
      </c>
      <c r="DY12" s="16"/>
      <c r="DZ12" s="18">
        <f>DX12*$D12</f>
        <v>0</v>
      </c>
      <c r="EA12" s="206"/>
      <c r="EB12" s="207"/>
      <c r="EC12" s="208"/>
      <c r="ED12" s="57"/>
      <c r="EE12" s="58"/>
      <c r="EF12" s="59"/>
      <c r="EG12" s="57"/>
      <c r="EH12" s="58"/>
      <c r="EI12" s="59"/>
      <c r="EJ12" s="57"/>
      <c r="EK12" s="58"/>
      <c r="EL12" s="59"/>
      <c r="EM12" s="57"/>
      <c r="EN12" s="58"/>
      <c r="EO12" s="59"/>
      <c r="EP12" s="29"/>
      <c r="EQ12" s="17"/>
      <c r="ER12" s="30"/>
      <c r="ES12" s="24"/>
      <c r="ET12" s="17"/>
      <c r="EU12" s="21"/>
      <c r="EV12" s="62"/>
      <c r="EW12" s="63">
        <f>SUM(EA12:EU12)</f>
        <v>0</v>
      </c>
      <c r="EX12" s="16"/>
      <c r="EY12" s="18">
        <f>EW12*$D12</f>
        <v>0</v>
      </c>
      <c r="EZ12" s="57"/>
      <c r="FA12" s="58"/>
      <c r="FB12" s="59"/>
      <c r="FC12" s="57"/>
      <c r="FD12" s="58"/>
      <c r="FE12" s="59"/>
      <c r="FF12" s="57"/>
      <c r="FG12" s="58"/>
      <c r="FH12" s="59"/>
      <c r="FI12" s="57"/>
      <c r="FJ12" s="58"/>
      <c r="FK12" s="59"/>
      <c r="FL12" s="57"/>
      <c r="FM12" s="58"/>
      <c r="FN12" s="59"/>
      <c r="FO12" s="29"/>
      <c r="FP12" s="17"/>
      <c r="FQ12" s="30"/>
      <c r="FR12" s="24"/>
      <c r="FS12" s="17"/>
      <c r="FT12" s="21"/>
      <c r="FU12" s="62"/>
      <c r="FV12" s="63">
        <f>SUM(EZ12:FT12)</f>
        <v>0</v>
      </c>
      <c r="FW12" s="16"/>
      <c r="FX12" s="18">
        <f>FV12*$D12</f>
        <v>0</v>
      </c>
      <c r="FY12" s="57"/>
      <c r="FZ12" s="58"/>
      <c r="GA12" s="59"/>
      <c r="GB12" s="57"/>
      <c r="GC12" s="58"/>
      <c r="GD12" s="59"/>
      <c r="GE12" s="57"/>
      <c r="GF12" s="58"/>
      <c r="GG12" s="59"/>
      <c r="GH12" s="57"/>
      <c r="GI12" s="58"/>
      <c r="GJ12" s="59"/>
      <c r="GK12" s="57"/>
      <c r="GL12" s="58"/>
      <c r="GM12" s="59"/>
      <c r="GN12" s="29"/>
      <c r="GO12" s="17"/>
      <c r="GP12" s="30"/>
      <c r="GQ12" s="24"/>
      <c r="GR12" s="17"/>
      <c r="GS12" s="21"/>
      <c r="GT12" s="62"/>
      <c r="GU12" s="63">
        <f>SUM(FY12:GS12)</f>
        <v>0</v>
      </c>
      <c r="GV12" s="16"/>
      <c r="GW12" s="18">
        <f>GU12*$D12</f>
        <v>0</v>
      </c>
      <c r="GX12" s="57"/>
      <c r="GY12" s="58"/>
      <c r="GZ12" s="59"/>
      <c r="HA12" s="57"/>
      <c r="HB12" s="58"/>
      <c r="HC12" s="59"/>
      <c r="HD12" s="57"/>
      <c r="HE12" s="58"/>
      <c r="HF12" s="59"/>
      <c r="HG12" s="57"/>
      <c r="HH12" s="58"/>
      <c r="HI12" s="59"/>
      <c r="HJ12" s="57"/>
      <c r="HK12" s="58"/>
      <c r="HL12" s="59"/>
      <c r="HM12" s="29"/>
      <c r="HN12" s="17"/>
      <c r="HO12" s="30"/>
      <c r="HP12" s="24"/>
      <c r="HQ12" s="17"/>
      <c r="HR12" s="21"/>
      <c r="HS12" s="62"/>
      <c r="HT12" s="63">
        <f>SUM(GX12:HR12)</f>
        <v>0</v>
      </c>
      <c r="HU12" s="16"/>
      <c r="HV12" s="18">
        <f>HT12*$D12</f>
        <v>0</v>
      </c>
      <c r="HW12" s="57"/>
      <c r="HX12" s="58"/>
      <c r="HY12" s="59"/>
      <c r="HZ12" s="57"/>
      <c r="IA12" s="58"/>
      <c r="IB12" s="59"/>
      <c r="IC12" s="57"/>
      <c r="ID12" s="58"/>
      <c r="IE12" s="59"/>
      <c r="IF12" s="57"/>
      <c r="IG12" s="58"/>
      <c r="IH12" s="59"/>
      <c r="II12" s="57"/>
      <c r="IJ12" s="58"/>
      <c r="IK12" s="59"/>
      <c r="IL12" s="29"/>
      <c r="IM12" s="17"/>
      <c r="IN12" s="30"/>
      <c r="IO12" s="24"/>
      <c r="IP12" s="17"/>
      <c r="IQ12" s="21"/>
      <c r="IR12" s="62"/>
      <c r="IS12" s="63">
        <f>SUM(HW12:IQ12)</f>
        <v>0</v>
      </c>
      <c r="IT12" s="16"/>
      <c r="IU12" s="18">
        <f>IS12*$D12</f>
        <v>0</v>
      </c>
      <c r="IV12" s="57"/>
      <c r="IW12" s="58"/>
      <c r="IX12" s="59"/>
      <c r="IY12" s="57"/>
      <c r="IZ12" s="58"/>
      <c r="JA12" s="59"/>
      <c r="JB12" s="57"/>
      <c r="JC12" s="58"/>
      <c r="JD12" s="59"/>
      <c r="JE12" s="57"/>
      <c r="JF12" s="58"/>
      <c r="JG12" s="59"/>
      <c r="JH12" s="57"/>
      <c r="JI12" s="58"/>
      <c r="JJ12" s="59"/>
      <c r="JK12" s="29"/>
      <c r="JL12" s="17"/>
      <c r="JM12" s="30"/>
      <c r="JN12" s="24"/>
      <c r="JO12" s="17"/>
      <c r="JP12" s="21"/>
      <c r="JQ12" s="62"/>
      <c r="JR12" s="63">
        <f>SUM(IV12:JP12)</f>
        <v>0</v>
      </c>
      <c r="JS12" s="16"/>
      <c r="JT12" s="18">
        <f>JR12*$D12</f>
        <v>0</v>
      </c>
      <c r="JU12" s="206"/>
      <c r="JV12" s="207"/>
      <c r="JW12" s="208"/>
      <c r="JX12" s="57"/>
      <c r="JY12" s="58"/>
      <c r="JZ12" s="59"/>
      <c r="KA12" s="57"/>
      <c r="KB12" s="58"/>
      <c r="KC12" s="59"/>
      <c r="KD12" s="57"/>
      <c r="KE12" s="58"/>
      <c r="KF12" s="59"/>
      <c r="KG12" s="57"/>
      <c r="KH12" s="58"/>
      <c r="KI12" s="59"/>
      <c r="KJ12" s="29"/>
      <c r="KK12" s="17"/>
      <c r="KL12" s="30"/>
      <c r="KM12" s="24"/>
      <c r="KN12" s="17"/>
      <c r="KO12" s="21"/>
      <c r="KP12" s="62"/>
      <c r="KQ12" s="63">
        <f>SUM(JU12:KO12)</f>
        <v>0</v>
      </c>
      <c r="KR12" s="16"/>
      <c r="KS12" s="18">
        <f>KQ12*$D12</f>
        <v>0</v>
      </c>
      <c r="KT12" s="57"/>
      <c r="KU12" s="58"/>
      <c r="KV12" s="59"/>
      <c r="KW12" s="57"/>
      <c r="KX12" s="58"/>
      <c r="KY12" s="59"/>
      <c r="KZ12" s="57"/>
      <c r="LA12" s="58"/>
      <c r="LB12" s="59"/>
      <c r="LC12" s="57"/>
      <c r="LD12" s="58"/>
      <c r="LE12" s="59"/>
      <c r="LF12" s="57"/>
      <c r="LG12" s="58"/>
      <c r="LH12" s="59"/>
      <c r="LI12" s="162"/>
      <c r="LJ12" s="163"/>
      <c r="LK12" s="164"/>
      <c r="LL12" s="178"/>
      <c r="LM12" s="163"/>
      <c r="LN12" s="177"/>
      <c r="LO12" s="62"/>
      <c r="LP12" s="63">
        <f>SUM(KT12:LN12)</f>
        <v>0</v>
      </c>
      <c r="LQ12" s="16"/>
      <c r="LR12" s="18">
        <f>LP12*$D12</f>
        <v>0</v>
      </c>
    </row>
    <row r="13" spans="1:330" x14ac:dyDescent="0.35">
      <c r="A13" s="65"/>
      <c r="B13" s="88" t="s">
        <v>81</v>
      </c>
      <c r="C13" s="99" t="s">
        <v>25</v>
      </c>
      <c r="D13" s="13">
        <v>16.149999999999999</v>
      </c>
      <c r="E13" s="31" t="s">
        <v>6</v>
      </c>
      <c r="F13" s="186"/>
      <c r="G13" s="187"/>
      <c r="H13" s="188"/>
      <c r="I13" s="186"/>
      <c r="J13" s="187"/>
      <c r="K13" s="188"/>
      <c r="L13" s="186"/>
      <c r="M13" s="187"/>
      <c r="N13" s="188"/>
      <c r="O13" s="186"/>
      <c r="P13" s="187"/>
      <c r="Q13" s="188"/>
      <c r="R13" s="186"/>
      <c r="S13" s="187"/>
      <c r="T13" s="188"/>
      <c r="U13" s="53"/>
      <c r="V13" s="54"/>
      <c r="W13" s="55"/>
      <c r="X13" s="53"/>
      <c r="Y13" s="54"/>
      <c r="Z13" s="55"/>
      <c r="AA13" s="60">
        <f>SUM(F13:Z13)</f>
        <v>0</v>
      </c>
      <c r="AB13" s="61">
        <f>AA13-AB14</f>
        <v>0</v>
      </c>
      <c r="AC13" s="13">
        <f>AA13*$D13</f>
        <v>0</v>
      </c>
      <c r="AD13" s="15"/>
      <c r="AE13" s="53"/>
      <c r="AF13" s="54"/>
      <c r="AG13" s="55"/>
      <c r="AH13" s="53"/>
      <c r="AI13" s="54"/>
      <c r="AJ13" s="55"/>
      <c r="AK13" s="53"/>
      <c r="AL13" s="54"/>
      <c r="AM13" s="55"/>
      <c r="AN13" s="53"/>
      <c r="AO13" s="54"/>
      <c r="AP13" s="55"/>
      <c r="AQ13" s="222"/>
      <c r="AR13" s="223"/>
      <c r="AS13" s="224"/>
      <c r="AT13" s="53"/>
      <c r="AU13" s="54"/>
      <c r="AV13" s="55"/>
      <c r="AW13" s="53"/>
      <c r="AX13" s="54"/>
      <c r="AY13" s="55"/>
      <c r="AZ13" s="60">
        <f>SUM(AE13:AY13)</f>
        <v>0</v>
      </c>
      <c r="BA13" s="81">
        <f>AZ13-BA14</f>
        <v>0</v>
      </c>
      <c r="BB13" s="13">
        <f>AZ13*$D13</f>
        <v>0</v>
      </c>
      <c r="BC13" s="15"/>
      <c r="BD13" s="53"/>
      <c r="BE13" s="54"/>
      <c r="BF13" s="55"/>
      <c r="BG13" s="53"/>
      <c r="BH13" s="54"/>
      <c r="BI13" s="55"/>
      <c r="BJ13" s="53"/>
      <c r="BK13" s="54"/>
      <c r="BL13" s="55"/>
      <c r="BM13" s="53"/>
      <c r="BN13" s="54"/>
      <c r="BO13" s="55"/>
      <c r="BP13" s="53"/>
      <c r="BQ13" s="54"/>
      <c r="BR13" s="55"/>
      <c r="BS13" s="53"/>
      <c r="BT13" s="54"/>
      <c r="BU13" s="55"/>
      <c r="BV13" s="53"/>
      <c r="BW13" s="54"/>
      <c r="BX13" s="55"/>
      <c r="BY13" s="60">
        <f>SUM(BD13:BX13)</f>
        <v>0</v>
      </c>
      <c r="BZ13" s="81">
        <f>BY13-BZ14</f>
        <v>0</v>
      </c>
      <c r="CA13" s="13">
        <f>BY13*$D13</f>
        <v>0</v>
      </c>
      <c r="CB13" s="15"/>
      <c r="CC13" s="53"/>
      <c r="CD13" s="54"/>
      <c r="CE13" s="55"/>
      <c r="CF13" s="53"/>
      <c r="CG13" s="54"/>
      <c r="CH13" s="55"/>
      <c r="CI13" s="53"/>
      <c r="CJ13" s="54"/>
      <c r="CK13" s="55"/>
      <c r="CL13" s="53"/>
      <c r="CM13" s="54"/>
      <c r="CN13" s="55"/>
      <c r="CO13" s="53"/>
      <c r="CP13" s="54"/>
      <c r="CQ13" s="55"/>
      <c r="CR13" s="53"/>
      <c r="CS13" s="54"/>
      <c r="CT13" s="55"/>
      <c r="CU13" s="53"/>
      <c r="CV13" s="54"/>
      <c r="CW13" s="55"/>
      <c r="CX13" s="60">
        <f>SUM(CC13:CW13)</f>
        <v>0</v>
      </c>
      <c r="CY13" s="81">
        <f>CX13-CY14</f>
        <v>0</v>
      </c>
      <c r="CZ13" s="13">
        <f>CX13*$D13</f>
        <v>0</v>
      </c>
      <c r="DA13" s="15"/>
      <c r="DB13" s="53"/>
      <c r="DC13" s="54"/>
      <c r="DD13" s="55"/>
      <c r="DE13" s="53"/>
      <c r="DF13" s="54"/>
      <c r="DG13" s="55"/>
      <c r="DH13" s="53"/>
      <c r="DI13" s="54"/>
      <c r="DJ13" s="55"/>
      <c r="DK13" s="53"/>
      <c r="DL13" s="54"/>
      <c r="DM13" s="55"/>
      <c r="DN13" s="242"/>
      <c r="DO13" s="243"/>
      <c r="DP13" s="244"/>
      <c r="DQ13" s="53"/>
      <c r="DR13" s="54"/>
      <c r="DS13" s="55"/>
      <c r="DT13" s="53"/>
      <c r="DU13" s="54"/>
      <c r="DV13" s="55"/>
      <c r="DW13" s="60">
        <f>SUM(DB13:DV13)</f>
        <v>0</v>
      </c>
      <c r="DX13" s="81">
        <f>DW13-DX14</f>
        <v>0</v>
      </c>
      <c r="DY13" s="13">
        <f>DV13*$D13</f>
        <v>0</v>
      </c>
      <c r="DZ13" s="15"/>
      <c r="EA13" s="200"/>
      <c r="EB13" s="201"/>
      <c r="EC13" s="202"/>
      <c r="ED13" s="53"/>
      <c r="EE13" s="54"/>
      <c r="EF13" s="55"/>
      <c r="EG13" s="53"/>
      <c r="EH13" s="54"/>
      <c r="EI13" s="55"/>
      <c r="EJ13" s="53"/>
      <c r="EK13" s="54"/>
      <c r="EL13" s="55"/>
      <c r="EM13" s="53"/>
      <c r="EN13" s="54"/>
      <c r="EO13" s="55"/>
      <c r="EP13" s="53"/>
      <c r="EQ13" s="14"/>
      <c r="ER13" s="55"/>
      <c r="ES13" s="53"/>
      <c r="ET13" s="14"/>
      <c r="EU13" s="55"/>
      <c r="EV13" s="60">
        <f>SUM(EA13:EU13)</f>
        <v>0</v>
      </c>
      <c r="EW13" s="61">
        <f>EV13-EW14</f>
        <v>0</v>
      </c>
      <c r="EX13" s="13">
        <f>EV13*$D13</f>
        <v>0</v>
      </c>
      <c r="EY13" s="15"/>
      <c r="EZ13" s="53"/>
      <c r="FA13" s="54"/>
      <c r="FB13" s="55"/>
      <c r="FC13" s="53"/>
      <c r="FD13" s="54"/>
      <c r="FE13" s="55"/>
      <c r="FF13" s="53"/>
      <c r="FG13" s="54"/>
      <c r="FH13" s="55"/>
      <c r="FI13" s="53"/>
      <c r="FJ13" s="54"/>
      <c r="FK13" s="55"/>
      <c r="FL13" s="53"/>
      <c r="FM13" s="54"/>
      <c r="FN13" s="55"/>
      <c r="FO13" s="53"/>
      <c r="FP13" s="14"/>
      <c r="FQ13" s="55"/>
      <c r="FR13" s="53"/>
      <c r="FS13" s="14"/>
      <c r="FT13" s="55"/>
      <c r="FU13" s="60">
        <f>SUM(EZ13:FT13)</f>
        <v>0</v>
      </c>
      <c r="FV13" s="61">
        <f>FU13-FV14</f>
        <v>0</v>
      </c>
      <c r="FW13" s="13">
        <f>FU13*$D13</f>
        <v>0</v>
      </c>
      <c r="FX13" s="15"/>
      <c r="FY13" s="53"/>
      <c r="FZ13" s="54"/>
      <c r="GA13" s="55"/>
      <c r="GB13" s="53"/>
      <c r="GC13" s="54"/>
      <c r="GD13" s="55"/>
      <c r="GE13" s="53"/>
      <c r="GF13" s="54"/>
      <c r="GG13" s="55"/>
      <c r="GH13" s="53"/>
      <c r="GI13" s="54"/>
      <c r="GJ13" s="55"/>
      <c r="GK13" s="53"/>
      <c r="GL13" s="54"/>
      <c r="GM13" s="55"/>
      <c r="GN13" s="53"/>
      <c r="GO13" s="14"/>
      <c r="GP13" s="55"/>
      <c r="GQ13" s="53"/>
      <c r="GR13" s="14"/>
      <c r="GS13" s="55"/>
      <c r="GT13" s="60">
        <f>SUM(FY13:GS13)</f>
        <v>0</v>
      </c>
      <c r="GU13" s="61">
        <f>GT13-GU14</f>
        <v>0</v>
      </c>
      <c r="GV13" s="13">
        <f>GT13*$D13</f>
        <v>0</v>
      </c>
      <c r="GW13" s="15"/>
      <c r="GX13" s="53"/>
      <c r="GY13" s="54"/>
      <c r="GZ13" s="55"/>
      <c r="HA13" s="53"/>
      <c r="HB13" s="54"/>
      <c r="HC13" s="55"/>
      <c r="HD13" s="53"/>
      <c r="HE13" s="54"/>
      <c r="HF13" s="55"/>
      <c r="HG13" s="53"/>
      <c r="HH13" s="54"/>
      <c r="HI13" s="55"/>
      <c r="HJ13" s="53"/>
      <c r="HK13" s="54"/>
      <c r="HL13" s="55"/>
      <c r="HM13" s="53"/>
      <c r="HN13" s="14"/>
      <c r="HO13" s="55"/>
      <c r="HP13" s="53"/>
      <c r="HQ13" s="14"/>
      <c r="HR13" s="55"/>
      <c r="HS13" s="60">
        <f>SUM(GX13:HR13)</f>
        <v>0</v>
      </c>
      <c r="HT13" s="61">
        <f>HS13-HT14</f>
        <v>0</v>
      </c>
      <c r="HU13" s="13">
        <f>HS13*$D13</f>
        <v>0</v>
      </c>
      <c r="HV13" s="15"/>
      <c r="HW13" s="53"/>
      <c r="HX13" s="54"/>
      <c r="HY13" s="55"/>
      <c r="HZ13" s="53"/>
      <c r="IA13" s="54"/>
      <c r="IB13" s="55"/>
      <c r="IC13" s="53"/>
      <c r="ID13" s="54"/>
      <c r="IE13" s="55"/>
      <c r="IF13" s="53"/>
      <c r="IG13" s="54"/>
      <c r="IH13" s="55"/>
      <c r="II13" s="53"/>
      <c r="IJ13" s="54"/>
      <c r="IK13" s="55"/>
      <c r="IL13" s="53"/>
      <c r="IM13" s="14"/>
      <c r="IN13" s="55"/>
      <c r="IO13" s="53"/>
      <c r="IP13" s="14"/>
      <c r="IQ13" s="55"/>
      <c r="IR13" s="60">
        <f>SUM(HW13:IQ13)</f>
        <v>0</v>
      </c>
      <c r="IS13" s="61">
        <f>IR13-IS14</f>
        <v>0</v>
      </c>
      <c r="IT13" s="13">
        <f>IR13*$D13</f>
        <v>0</v>
      </c>
      <c r="IU13" s="15"/>
      <c r="IV13" s="53"/>
      <c r="IW13" s="54"/>
      <c r="IX13" s="55"/>
      <c r="IY13" s="53"/>
      <c r="IZ13" s="54"/>
      <c r="JA13" s="55"/>
      <c r="JB13" s="53"/>
      <c r="JC13" s="54"/>
      <c r="JD13" s="55"/>
      <c r="JE13" s="53"/>
      <c r="JF13" s="54"/>
      <c r="JG13" s="55"/>
      <c r="JH13" s="53"/>
      <c r="JI13" s="54">
        <f>(1*26)*7.75+2</f>
        <v>203.5</v>
      </c>
      <c r="JJ13" s="55"/>
      <c r="JK13" s="53"/>
      <c r="JL13" s="14"/>
      <c r="JM13" s="55"/>
      <c r="JN13" s="53"/>
      <c r="JO13" s="14"/>
      <c r="JP13" s="55"/>
      <c r="JQ13" s="60">
        <f>SUM(IV13:JP13)</f>
        <v>203.5</v>
      </c>
      <c r="JR13" s="61">
        <f>JQ13-JR14</f>
        <v>203.5</v>
      </c>
      <c r="JS13" s="13">
        <f>JQ13*$D13</f>
        <v>3286.5249999999996</v>
      </c>
      <c r="JT13" s="15"/>
      <c r="JU13" s="200"/>
      <c r="JV13" s="201"/>
      <c r="JW13" s="202"/>
      <c r="JX13" s="53">
        <f>(13*26)*8.25</f>
        <v>2788.5</v>
      </c>
      <c r="JY13" s="54">
        <f>(13*26)*7.75</f>
        <v>2619.5</v>
      </c>
      <c r="JZ13" s="55"/>
      <c r="KA13" s="53">
        <f>(13*26)*8.25</f>
        <v>2788.5</v>
      </c>
      <c r="KB13" s="54"/>
      <c r="KC13" s="55"/>
      <c r="KD13" s="53"/>
      <c r="KE13" s="54"/>
      <c r="KF13" s="55"/>
      <c r="KG13" s="53"/>
      <c r="KH13" s="54"/>
      <c r="KI13" s="55"/>
      <c r="KJ13" s="53"/>
      <c r="KK13" s="14"/>
      <c r="KL13" s="55"/>
      <c r="KM13" s="53"/>
      <c r="KN13" s="14"/>
      <c r="KO13" s="55"/>
      <c r="KP13" s="60">
        <f>SUM(JU13:KO13)</f>
        <v>8196.5</v>
      </c>
      <c r="KQ13" s="61">
        <f>KP13-KQ14</f>
        <v>8196.5</v>
      </c>
      <c r="KR13" s="13">
        <f>KP13*$D13</f>
        <v>132373.47499999998</v>
      </c>
      <c r="KS13" s="15"/>
      <c r="KT13" s="53"/>
      <c r="KU13" s="54"/>
      <c r="KV13" s="55"/>
      <c r="KW13" s="53"/>
      <c r="KX13" s="54"/>
      <c r="KY13" s="55"/>
      <c r="KZ13" s="53"/>
      <c r="LA13" s="54"/>
      <c r="LB13" s="55"/>
      <c r="LC13" s="53"/>
      <c r="LD13" s="54"/>
      <c r="LE13" s="55"/>
      <c r="LF13" s="53"/>
      <c r="LG13" s="54"/>
      <c r="LH13" s="55"/>
      <c r="LI13" s="159"/>
      <c r="LJ13" s="160"/>
      <c r="LK13" s="161"/>
      <c r="LL13" s="159"/>
      <c r="LM13" s="160"/>
      <c r="LN13" s="179"/>
      <c r="LO13" s="60">
        <f>SUM(KT13:LN13)</f>
        <v>0</v>
      </c>
      <c r="LP13" s="61">
        <f>LO13-LP14</f>
        <v>0</v>
      </c>
      <c r="LQ13" s="13">
        <f>LO13*$D13</f>
        <v>0</v>
      </c>
      <c r="LR13" s="15"/>
    </row>
    <row r="14" spans="1:330" ht="15" thickBot="1" x14ac:dyDescent="0.4">
      <c r="A14" s="68"/>
      <c r="B14" s="98"/>
      <c r="C14" s="100"/>
      <c r="D14" s="16">
        <v>16.149999999999999</v>
      </c>
      <c r="E14" s="32" t="s">
        <v>7</v>
      </c>
      <c r="F14" s="194"/>
      <c r="G14" s="195"/>
      <c r="H14" s="196"/>
      <c r="I14" s="194"/>
      <c r="J14" s="195"/>
      <c r="K14" s="196"/>
      <c r="L14" s="198"/>
      <c r="M14" s="195"/>
      <c r="N14" s="197"/>
      <c r="O14" s="194"/>
      <c r="P14" s="195"/>
      <c r="Q14" s="196"/>
      <c r="R14" s="194"/>
      <c r="S14" s="195"/>
      <c r="T14" s="196"/>
      <c r="U14" s="57"/>
      <c r="V14" s="58"/>
      <c r="W14" s="59"/>
      <c r="X14" s="74"/>
      <c r="Y14" s="58"/>
      <c r="Z14" s="59"/>
      <c r="AA14" s="62"/>
      <c r="AB14" s="63">
        <f>SUM(F14:Z14)</f>
        <v>0</v>
      </c>
      <c r="AC14" s="16"/>
      <c r="AD14" s="18">
        <f>AB14*$D14</f>
        <v>0</v>
      </c>
      <c r="AE14" s="57"/>
      <c r="AF14" s="58"/>
      <c r="AG14" s="59"/>
      <c r="AH14" s="57"/>
      <c r="AI14" s="58"/>
      <c r="AJ14" s="59"/>
      <c r="AK14" s="74"/>
      <c r="AL14" s="58"/>
      <c r="AM14" s="75"/>
      <c r="AN14" s="57"/>
      <c r="AO14" s="58"/>
      <c r="AP14" s="59"/>
      <c r="AQ14" s="228"/>
      <c r="AR14" s="229"/>
      <c r="AS14" s="230"/>
      <c r="AT14" s="57"/>
      <c r="AU14" s="58"/>
      <c r="AV14" s="59"/>
      <c r="AW14" s="74"/>
      <c r="AX14" s="58"/>
      <c r="AY14" s="59"/>
      <c r="AZ14" s="62"/>
      <c r="BA14" s="63">
        <f>SUM(AE14:AY14)</f>
        <v>0</v>
      </c>
      <c r="BB14" s="16"/>
      <c r="BC14" s="18">
        <f>BA14*$D14</f>
        <v>0</v>
      </c>
      <c r="BD14" s="57"/>
      <c r="BE14" s="58"/>
      <c r="BF14" s="59"/>
      <c r="BG14" s="57"/>
      <c r="BH14" s="58"/>
      <c r="BI14" s="59"/>
      <c r="BJ14" s="74"/>
      <c r="BK14" s="58"/>
      <c r="BL14" s="75"/>
      <c r="BM14" s="57"/>
      <c r="BN14" s="58"/>
      <c r="BO14" s="59"/>
      <c r="BP14" s="57"/>
      <c r="BQ14" s="58"/>
      <c r="BR14" s="59"/>
      <c r="BS14" s="57"/>
      <c r="BT14" s="58"/>
      <c r="BU14" s="59"/>
      <c r="BV14" s="74"/>
      <c r="BW14" s="58"/>
      <c r="BX14" s="59"/>
      <c r="BY14" s="62"/>
      <c r="BZ14" s="63">
        <f>SUM(BD14:BX14)</f>
        <v>0</v>
      </c>
      <c r="CA14" s="16"/>
      <c r="CB14" s="18">
        <f>BZ14*$D14</f>
        <v>0</v>
      </c>
      <c r="CC14" s="57"/>
      <c r="CD14" s="58"/>
      <c r="CE14" s="59"/>
      <c r="CF14" s="57"/>
      <c r="CG14" s="58"/>
      <c r="CH14" s="59"/>
      <c r="CI14" s="74"/>
      <c r="CJ14" s="58"/>
      <c r="CK14" s="75"/>
      <c r="CL14" s="57"/>
      <c r="CM14" s="58"/>
      <c r="CN14" s="59"/>
      <c r="CO14" s="57"/>
      <c r="CP14" s="58"/>
      <c r="CQ14" s="59"/>
      <c r="CR14" s="57"/>
      <c r="CS14" s="58"/>
      <c r="CT14" s="59"/>
      <c r="CU14" s="74"/>
      <c r="CV14" s="58"/>
      <c r="CW14" s="59"/>
      <c r="CX14" s="62"/>
      <c r="CY14" s="63">
        <f>SUM(CC14:CW14)</f>
        <v>0</v>
      </c>
      <c r="CZ14" s="16"/>
      <c r="DA14" s="18">
        <f>CY14*$D14</f>
        <v>0</v>
      </c>
      <c r="DB14" s="57"/>
      <c r="DC14" s="58"/>
      <c r="DD14" s="59"/>
      <c r="DE14" s="57"/>
      <c r="DF14" s="58"/>
      <c r="DG14" s="59"/>
      <c r="DH14" s="74"/>
      <c r="DI14" s="58"/>
      <c r="DJ14" s="75"/>
      <c r="DK14" s="57"/>
      <c r="DL14" s="58"/>
      <c r="DM14" s="59"/>
      <c r="DN14" s="248"/>
      <c r="DO14" s="249"/>
      <c r="DP14" s="250"/>
      <c r="DQ14" s="57"/>
      <c r="DR14" s="58"/>
      <c r="DS14" s="59"/>
      <c r="DT14" s="74"/>
      <c r="DU14" s="58"/>
      <c r="DV14" s="59"/>
      <c r="DW14" s="62"/>
      <c r="DX14" s="63">
        <f>SUM(DB14:DV14)</f>
        <v>0</v>
      </c>
      <c r="DY14" s="16"/>
      <c r="DZ14" s="18">
        <f>DX14*$D14</f>
        <v>0</v>
      </c>
      <c r="EA14" s="206"/>
      <c r="EB14" s="207"/>
      <c r="EC14" s="208"/>
      <c r="ED14" s="57"/>
      <c r="EE14" s="58"/>
      <c r="EF14" s="59"/>
      <c r="EG14" s="74"/>
      <c r="EH14" s="58"/>
      <c r="EI14" s="75"/>
      <c r="EJ14" s="57"/>
      <c r="EK14" s="58"/>
      <c r="EL14" s="59"/>
      <c r="EM14" s="57"/>
      <c r="EN14" s="58"/>
      <c r="EO14" s="59"/>
      <c r="EP14" s="57"/>
      <c r="EQ14" s="58"/>
      <c r="ER14" s="59"/>
      <c r="ES14" s="74"/>
      <c r="ET14" s="58"/>
      <c r="EU14" s="59"/>
      <c r="EV14" s="62"/>
      <c r="EW14" s="63">
        <f>SUM(EA14:EU14)</f>
        <v>0</v>
      </c>
      <c r="EX14" s="16"/>
      <c r="EY14" s="18">
        <f>EW14*$D14</f>
        <v>0</v>
      </c>
      <c r="EZ14" s="57"/>
      <c r="FA14" s="58"/>
      <c r="FB14" s="59"/>
      <c r="FC14" s="57"/>
      <c r="FD14" s="58"/>
      <c r="FE14" s="59"/>
      <c r="FF14" s="74"/>
      <c r="FG14" s="58"/>
      <c r="FH14" s="75"/>
      <c r="FI14" s="57"/>
      <c r="FJ14" s="58"/>
      <c r="FK14" s="59"/>
      <c r="FL14" s="57"/>
      <c r="FM14" s="58"/>
      <c r="FN14" s="59"/>
      <c r="FO14" s="57"/>
      <c r="FP14" s="58"/>
      <c r="FQ14" s="59"/>
      <c r="FR14" s="74"/>
      <c r="FS14" s="58"/>
      <c r="FT14" s="59"/>
      <c r="FU14" s="62"/>
      <c r="FV14" s="63">
        <f>SUM(EZ14:FT14)</f>
        <v>0</v>
      </c>
      <c r="FW14" s="16"/>
      <c r="FX14" s="18">
        <f>FV14*$D14</f>
        <v>0</v>
      </c>
      <c r="FY14" s="57"/>
      <c r="FZ14" s="58"/>
      <c r="GA14" s="59"/>
      <c r="GB14" s="57"/>
      <c r="GC14" s="58"/>
      <c r="GD14" s="59"/>
      <c r="GE14" s="74"/>
      <c r="GF14" s="58"/>
      <c r="GG14" s="75"/>
      <c r="GH14" s="57"/>
      <c r="GI14" s="58"/>
      <c r="GJ14" s="59"/>
      <c r="GK14" s="57"/>
      <c r="GL14" s="58"/>
      <c r="GM14" s="59"/>
      <c r="GN14" s="57"/>
      <c r="GO14" s="58"/>
      <c r="GP14" s="59"/>
      <c r="GQ14" s="74"/>
      <c r="GR14" s="58"/>
      <c r="GS14" s="59"/>
      <c r="GT14" s="62"/>
      <c r="GU14" s="63">
        <f>SUM(FY14:GS14)</f>
        <v>0</v>
      </c>
      <c r="GV14" s="16"/>
      <c r="GW14" s="18">
        <f>GU14*$D14</f>
        <v>0</v>
      </c>
      <c r="GX14" s="57"/>
      <c r="GY14" s="58"/>
      <c r="GZ14" s="59"/>
      <c r="HA14" s="57"/>
      <c r="HB14" s="58"/>
      <c r="HC14" s="59"/>
      <c r="HD14" s="74"/>
      <c r="HE14" s="58"/>
      <c r="HF14" s="75"/>
      <c r="HG14" s="57"/>
      <c r="HH14" s="58"/>
      <c r="HI14" s="59"/>
      <c r="HJ14" s="57"/>
      <c r="HK14" s="58"/>
      <c r="HL14" s="59"/>
      <c r="HM14" s="57"/>
      <c r="HN14" s="58"/>
      <c r="HO14" s="59"/>
      <c r="HP14" s="74"/>
      <c r="HQ14" s="58"/>
      <c r="HR14" s="59"/>
      <c r="HS14" s="62"/>
      <c r="HT14" s="63">
        <f>SUM(GX14:HR14)</f>
        <v>0</v>
      </c>
      <c r="HU14" s="16"/>
      <c r="HV14" s="18">
        <f>HT14*$D14</f>
        <v>0</v>
      </c>
      <c r="HW14" s="57"/>
      <c r="HX14" s="58"/>
      <c r="HY14" s="59"/>
      <c r="HZ14" s="57"/>
      <c r="IA14" s="58"/>
      <c r="IB14" s="59"/>
      <c r="IC14" s="74"/>
      <c r="ID14" s="58"/>
      <c r="IE14" s="75"/>
      <c r="IF14" s="57"/>
      <c r="IG14" s="58"/>
      <c r="IH14" s="59"/>
      <c r="II14" s="57"/>
      <c r="IJ14" s="58"/>
      <c r="IK14" s="59"/>
      <c r="IL14" s="57"/>
      <c r="IM14" s="58"/>
      <c r="IN14" s="59"/>
      <c r="IO14" s="74"/>
      <c r="IP14" s="58"/>
      <c r="IQ14" s="59"/>
      <c r="IR14" s="62"/>
      <c r="IS14" s="63">
        <f>SUM(HW14:IQ14)</f>
        <v>0</v>
      </c>
      <c r="IT14" s="16"/>
      <c r="IU14" s="18">
        <f>IS14*$D14</f>
        <v>0</v>
      </c>
      <c r="IV14" s="57"/>
      <c r="IW14" s="58"/>
      <c r="IX14" s="59"/>
      <c r="IY14" s="57"/>
      <c r="IZ14" s="58"/>
      <c r="JA14" s="59"/>
      <c r="JB14" s="74"/>
      <c r="JC14" s="58"/>
      <c r="JD14" s="75"/>
      <c r="JE14" s="57"/>
      <c r="JF14" s="58"/>
      <c r="JG14" s="59"/>
      <c r="JH14" s="57"/>
      <c r="JI14" s="58"/>
      <c r="JJ14" s="59"/>
      <c r="JK14" s="57"/>
      <c r="JL14" s="58"/>
      <c r="JM14" s="59"/>
      <c r="JN14" s="74"/>
      <c r="JO14" s="58"/>
      <c r="JP14" s="59"/>
      <c r="JQ14" s="62"/>
      <c r="JR14" s="63">
        <f>SUM(IV14:JP14)</f>
        <v>0</v>
      </c>
      <c r="JS14" s="16"/>
      <c r="JT14" s="18">
        <f>JR14*$D14</f>
        <v>0</v>
      </c>
      <c r="JU14" s="206"/>
      <c r="JV14" s="207"/>
      <c r="JW14" s="208"/>
      <c r="JX14" s="57"/>
      <c r="JY14" s="58"/>
      <c r="JZ14" s="59"/>
      <c r="KA14" s="74"/>
      <c r="KB14" s="58"/>
      <c r="KC14" s="75"/>
      <c r="KD14" s="57"/>
      <c r="KE14" s="58"/>
      <c r="KF14" s="59"/>
      <c r="KG14" s="57"/>
      <c r="KH14" s="58"/>
      <c r="KI14" s="59"/>
      <c r="KJ14" s="57"/>
      <c r="KK14" s="58"/>
      <c r="KL14" s="59"/>
      <c r="KM14" s="74"/>
      <c r="KN14" s="58"/>
      <c r="KO14" s="59"/>
      <c r="KP14" s="62"/>
      <c r="KQ14" s="63">
        <f>SUM(JU14:KO14)</f>
        <v>0</v>
      </c>
      <c r="KR14" s="16"/>
      <c r="KS14" s="18">
        <f>KQ14*$D14</f>
        <v>0</v>
      </c>
      <c r="KT14" s="57"/>
      <c r="KU14" s="58"/>
      <c r="KV14" s="59"/>
      <c r="KW14" s="57"/>
      <c r="KX14" s="58"/>
      <c r="KY14" s="59"/>
      <c r="KZ14" s="74"/>
      <c r="LA14" s="58"/>
      <c r="LB14" s="75"/>
      <c r="LC14" s="57"/>
      <c r="LD14" s="58"/>
      <c r="LE14" s="59"/>
      <c r="LF14" s="57"/>
      <c r="LG14" s="58"/>
      <c r="LH14" s="59"/>
      <c r="LI14" s="168"/>
      <c r="LJ14" s="169"/>
      <c r="LK14" s="170"/>
      <c r="LL14" s="180"/>
      <c r="LM14" s="169"/>
      <c r="LN14" s="170"/>
      <c r="LO14" s="62"/>
      <c r="LP14" s="63">
        <f>SUM(KT14:LN14)</f>
        <v>0</v>
      </c>
      <c r="LQ14" s="16"/>
      <c r="LR14" s="18">
        <f>LP14*$D14</f>
        <v>0</v>
      </c>
    </row>
    <row r="15" spans="1:330" x14ac:dyDescent="0.35">
      <c r="A15" s="65"/>
      <c r="B15" s="88" t="s">
        <v>82</v>
      </c>
      <c r="C15" s="99" t="s">
        <v>24</v>
      </c>
      <c r="D15" s="13">
        <v>16.55</v>
      </c>
      <c r="E15" s="31" t="s">
        <v>6</v>
      </c>
      <c r="F15" s="186"/>
      <c r="G15" s="187"/>
      <c r="H15" s="188"/>
      <c r="I15" s="186"/>
      <c r="J15" s="187"/>
      <c r="K15" s="188"/>
      <c r="L15" s="186"/>
      <c r="M15" s="187"/>
      <c r="N15" s="188"/>
      <c r="O15" s="186"/>
      <c r="P15" s="187"/>
      <c r="Q15" s="188"/>
      <c r="R15" s="186"/>
      <c r="S15" s="187"/>
      <c r="T15" s="188"/>
      <c r="U15" s="53"/>
      <c r="V15" s="54"/>
      <c r="W15" s="55"/>
      <c r="X15" s="53"/>
      <c r="Y15" s="54"/>
      <c r="Z15" s="55"/>
      <c r="AA15" s="60">
        <f>SUM(F15:Z15)</f>
        <v>0</v>
      </c>
      <c r="AB15" s="81">
        <f>AA15-AB16</f>
        <v>0</v>
      </c>
      <c r="AC15" s="13">
        <f>AA15*$D15</f>
        <v>0</v>
      </c>
      <c r="AD15" s="15"/>
      <c r="AE15" s="53"/>
      <c r="AF15" s="54"/>
      <c r="AG15" s="55"/>
      <c r="AH15" s="53"/>
      <c r="AI15" s="54"/>
      <c r="AJ15" s="55"/>
      <c r="AK15" s="53"/>
      <c r="AL15" s="54"/>
      <c r="AM15" s="55"/>
      <c r="AN15" s="53"/>
      <c r="AO15" s="54"/>
      <c r="AP15" s="55"/>
      <c r="AQ15" s="222"/>
      <c r="AR15" s="223"/>
      <c r="AS15" s="224"/>
      <c r="AT15" s="53"/>
      <c r="AU15" s="54"/>
      <c r="AV15" s="55"/>
      <c r="AW15" s="53"/>
      <c r="AX15" s="54"/>
      <c r="AY15" s="55"/>
      <c r="AZ15" s="60">
        <f>SUM(AE15:AY15)</f>
        <v>0</v>
      </c>
      <c r="BA15" s="61">
        <f>AZ15-BA16</f>
        <v>0</v>
      </c>
      <c r="BB15" s="13">
        <f>AZ15*$D15</f>
        <v>0</v>
      </c>
      <c r="BC15" s="15"/>
      <c r="BD15" s="53"/>
      <c r="BE15" s="54"/>
      <c r="BF15" s="55"/>
      <c r="BG15" s="53"/>
      <c r="BH15" s="54"/>
      <c r="BI15" s="55"/>
      <c r="BJ15" s="53"/>
      <c r="BK15" s="54"/>
      <c r="BL15" s="55"/>
      <c r="BM15" s="53"/>
      <c r="BN15" s="54"/>
      <c r="BO15" s="55"/>
      <c r="BP15" s="53"/>
      <c r="BQ15" s="54"/>
      <c r="BR15" s="55"/>
      <c r="BS15" s="53"/>
      <c r="BT15" s="54"/>
      <c r="BU15" s="55"/>
      <c r="BV15" s="53"/>
      <c r="BW15" s="54"/>
      <c r="BX15" s="55"/>
      <c r="BY15" s="60">
        <f>SUM(BD15:BX15)</f>
        <v>0</v>
      </c>
      <c r="BZ15" s="61">
        <f>BY15-BZ16</f>
        <v>0</v>
      </c>
      <c r="CA15" s="13">
        <f>BY15*$D15</f>
        <v>0</v>
      </c>
      <c r="CB15" s="15"/>
      <c r="CC15" s="53"/>
      <c r="CD15" s="54"/>
      <c r="CE15" s="55"/>
      <c r="CF15" s="53"/>
      <c r="CG15" s="54"/>
      <c r="CH15" s="55"/>
      <c r="CI15" s="53"/>
      <c r="CJ15" s="54"/>
      <c r="CK15" s="55"/>
      <c r="CL15" s="53"/>
      <c r="CM15" s="54"/>
      <c r="CN15" s="55"/>
      <c r="CO15" s="53"/>
      <c r="CP15" s="54"/>
      <c r="CQ15" s="55"/>
      <c r="CR15" s="53"/>
      <c r="CS15" s="54"/>
      <c r="CT15" s="55"/>
      <c r="CU15" s="53"/>
      <c r="CV15" s="54"/>
      <c r="CW15" s="55"/>
      <c r="CX15" s="60">
        <f>SUM(CC15:CW15)</f>
        <v>0</v>
      </c>
      <c r="CY15" s="81">
        <f>CX15-CY16</f>
        <v>0</v>
      </c>
      <c r="CZ15" s="13">
        <f>CX15*$D15</f>
        <v>0</v>
      </c>
      <c r="DA15" s="15"/>
      <c r="DB15" s="53"/>
      <c r="DC15" s="54"/>
      <c r="DD15" s="55"/>
      <c r="DE15" s="53"/>
      <c r="DF15" s="54"/>
      <c r="DG15" s="55"/>
      <c r="DH15" s="53"/>
      <c r="DI15" s="54"/>
      <c r="DJ15" s="55"/>
      <c r="DK15" s="53"/>
      <c r="DL15" s="54"/>
      <c r="DM15" s="55"/>
      <c r="DN15" s="242"/>
      <c r="DO15" s="243"/>
      <c r="DP15" s="244"/>
      <c r="DQ15" s="53"/>
      <c r="DR15" s="54"/>
      <c r="DS15" s="55"/>
      <c r="DT15" s="53"/>
      <c r="DU15" s="54"/>
      <c r="DV15" s="55"/>
      <c r="DW15" s="60">
        <f>SUM(DB15:DV15)</f>
        <v>0</v>
      </c>
      <c r="DX15" s="61">
        <f>DW15-DX16</f>
        <v>0</v>
      </c>
      <c r="DY15" s="13">
        <f>DW15*$D15</f>
        <v>0</v>
      </c>
      <c r="DZ15" s="15"/>
      <c r="EA15" s="200"/>
      <c r="EB15" s="201"/>
      <c r="EC15" s="202"/>
      <c r="ED15" s="53"/>
      <c r="EE15" s="54"/>
      <c r="EF15" s="55"/>
      <c r="EG15" s="53"/>
      <c r="EH15" s="54"/>
      <c r="EI15" s="55"/>
      <c r="EJ15" s="53"/>
      <c r="EK15" s="54"/>
      <c r="EL15" s="55"/>
      <c r="EM15" s="53"/>
      <c r="EN15" s="54"/>
      <c r="EO15" s="55"/>
      <c r="EP15" s="53"/>
      <c r="EQ15" s="54"/>
      <c r="ER15" s="55"/>
      <c r="ES15" s="53"/>
      <c r="ET15" s="54"/>
      <c r="EU15" s="55"/>
      <c r="EV15" s="60">
        <f>SUM(EA15:EU15)</f>
        <v>0</v>
      </c>
      <c r="EW15" s="61">
        <f>EV15-EW16</f>
        <v>0</v>
      </c>
      <c r="EX15" s="13">
        <f>EV15*$D15</f>
        <v>0</v>
      </c>
      <c r="EY15" s="15"/>
      <c r="EZ15" s="53"/>
      <c r="FA15" s="54"/>
      <c r="FB15" s="55"/>
      <c r="FC15" s="53"/>
      <c r="FD15" s="54"/>
      <c r="FE15" s="55"/>
      <c r="FF15" s="53"/>
      <c r="FG15" s="54"/>
      <c r="FH15" s="55"/>
      <c r="FI15" s="53"/>
      <c r="FJ15" s="54"/>
      <c r="FK15" s="55"/>
      <c r="FL15" s="53"/>
      <c r="FM15" s="54"/>
      <c r="FN15" s="55"/>
      <c r="FO15" s="53"/>
      <c r="FP15" s="54"/>
      <c r="FQ15" s="55"/>
      <c r="FR15" s="53"/>
      <c r="FS15" s="54"/>
      <c r="FT15" s="55"/>
      <c r="FU15" s="60">
        <f>SUM(EZ15:FT15)</f>
        <v>0</v>
      </c>
      <c r="FV15" s="61">
        <f>FU15-FV16</f>
        <v>0</v>
      </c>
      <c r="FW15" s="13">
        <f>FU15*$D15</f>
        <v>0</v>
      </c>
      <c r="FX15" s="15"/>
      <c r="FY15" s="53"/>
      <c r="FZ15" s="54"/>
      <c r="GA15" s="55"/>
      <c r="GB15" s="53"/>
      <c r="GC15" s="54"/>
      <c r="GD15" s="55"/>
      <c r="GE15" s="53"/>
      <c r="GF15" s="54"/>
      <c r="GG15" s="55"/>
      <c r="GH15" s="53"/>
      <c r="GI15" s="54"/>
      <c r="GJ15" s="55"/>
      <c r="GK15" s="53"/>
      <c r="GL15" s="54"/>
      <c r="GM15" s="55"/>
      <c r="GN15" s="53"/>
      <c r="GO15" s="54"/>
      <c r="GP15" s="55"/>
      <c r="GQ15" s="53"/>
      <c r="GR15" s="54"/>
      <c r="GS15" s="55"/>
      <c r="GT15" s="60">
        <f>SUM(FY15:GS15)</f>
        <v>0</v>
      </c>
      <c r="GU15" s="61">
        <f>GT15-GU16</f>
        <v>0</v>
      </c>
      <c r="GV15" s="13">
        <f>GT15*$D15</f>
        <v>0</v>
      </c>
      <c r="GW15" s="15"/>
      <c r="GX15" s="53"/>
      <c r="GY15" s="54"/>
      <c r="GZ15" s="55"/>
      <c r="HA15" s="53"/>
      <c r="HB15" s="54"/>
      <c r="HC15" s="55"/>
      <c r="HD15" s="53"/>
      <c r="HE15" s="54"/>
      <c r="HF15" s="55"/>
      <c r="HG15" s="53"/>
      <c r="HH15" s="54"/>
      <c r="HI15" s="55"/>
      <c r="HJ15" s="53"/>
      <c r="HK15" s="54"/>
      <c r="HL15" s="55"/>
      <c r="HM15" s="53"/>
      <c r="HN15" s="54"/>
      <c r="HO15" s="55"/>
      <c r="HP15" s="53"/>
      <c r="HQ15" s="54"/>
      <c r="HR15" s="55"/>
      <c r="HS15" s="60">
        <f>SUM(GX15:HR15)</f>
        <v>0</v>
      </c>
      <c r="HT15" s="61">
        <f>HS15-HT16</f>
        <v>0</v>
      </c>
      <c r="HU15" s="13">
        <f>HS15*$D15</f>
        <v>0</v>
      </c>
      <c r="HV15" s="15"/>
      <c r="HW15" s="53"/>
      <c r="HX15" s="54"/>
      <c r="HY15" s="55"/>
      <c r="HZ15" s="53"/>
      <c r="IA15" s="54"/>
      <c r="IB15" s="55"/>
      <c r="IC15" s="53"/>
      <c r="ID15" s="54"/>
      <c r="IE15" s="55"/>
      <c r="IF15" s="53"/>
      <c r="IG15" s="54"/>
      <c r="IH15" s="55"/>
      <c r="II15" s="53"/>
      <c r="IJ15" s="54"/>
      <c r="IK15" s="55"/>
      <c r="IL15" s="53"/>
      <c r="IM15" s="54"/>
      <c r="IN15" s="55"/>
      <c r="IO15" s="53"/>
      <c r="IP15" s="54"/>
      <c r="IQ15" s="55"/>
      <c r="IR15" s="60">
        <f>SUM(HW15:IQ15)</f>
        <v>0</v>
      </c>
      <c r="IS15" s="61">
        <f>IR15-IS16</f>
        <v>0</v>
      </c>
      <c r="IT15" s="13">
        <f>IR15*$D15</f>
        <v>0</v>
      </c>
      <c r="IU15" s="15"/>
      <c r="IV15" s="53"/>
      <c r="IW15" s="54"/>
      <c r="IX15" s="55"/>
      <c r="IY15" s="53"/>
      <c r="IZ15" s="54"/>
      <c r="JA15" s="55"/>
      <c r="JB15" s="53"/>
      <c r="JC15" s="54"/>
      <c r="JD15" s="55"/>
      <c r="JE15" s="53"/>
      <c r="JF15" s="54"/>
      <c r="JG15" s="55"/>
      <c r="JH15" s="53"/>
      <c r="JI15" s="54"/>
      <c r="JJ15" s="55"/>
      <c r="JK15" s="53"/>
      <c r="JL15" s="54"/>
      <c r="JM15" s="55"/>
      <c r="JN15" s="53"/>
      <c r="JO15" s="54"/>
      <c r="JP15" s="55"/>
      <c r="JQ15" s="60">
        <f>SUM(IV15:JP15)</f>
        <v>0</v>
      </c>
      <c r="JR15" s="61">
        <f>JQ15-JR16</f>
        <v>0</v>
      </c>
      <c r="JS15" s="13">
        <f>JQ15*$D15</f>
        <v>0</v>
      </c>
      <c r="JT15" s="15"/>
      <c r="JU15" s="200"/>
      <c r="JV15" s="201"/>
      <c r="JW15" s="202"/>
      <c r="JX15" s="53"/>
      <c r="JY15" s="54"/>
      <c r="JZ15" s="55"/>
      <c r="KA15" s="53"/>
      <c r="KB15" s="54">
        <f>(13*26)*7.75</f>
        <v>2619.5</v>
      </c>
      <c r="KC15" s="55"/>
      <c r="KD15" s="53">
        <f>(5*26)*8.25-92</f>
        <v>980.5</v>
      </c>
      <c r="KE15" s="54"/>
      <c r="KF15" s="55"/>
      <c r="KG15" s="53"/>
      <c r="KH15" s="54"/>
      <c r="KI15" s="55"/>
      <c r="KJ15" s="53"/>
      <c r="KK15" s="54"/>
      <c r="KL15" s="55"/>
      <c r="KM15" s="53"/>
      <c r="KN15" s="54"/>
      <c r="KO15" s="55"/>
      <c r="KP15" s="60">
        <f>SUM(JU15:KH15)</f>
        <v>3600</v>
      </c>
      <c r="KQ15" s="61">
        <f>KP15-KQ16</f>
        <v>3600</v>
      </c>
      <c r="KR15" s="13">
        <f>KP15*$D15</f>
        <v>59580</v>
      </c>
      <c r="KS15" s="15"/>
      <c r="KT15" s="53"/>
      <c r="KU15" s="54"/>
      <c r="KV15" s="55"/>
      <c r="KW15" s="53"/>
      <c r="KX15" s="54"/>
      <c r="KY15" s="55"/>
      <c r="KZ15" s="53"/>
      <c r="LA15" s="54"/>
      <c r="LB15" s="55"/>
      <c r="LC15" s="53"/>
      <c r="LD15" s="54"/>
      <c r="LE15" s="55"/>
      <c r="LF15" s="53"/>
      <c r="LG15" s="54"/>
      <c r="LH15" s="55"/>
      <c r="LI15" s="159"/>
      <c r="LJ15" s="160"/>
      <c r="LK15" s="161"/>
      <c r="LL15" s="159"/>
      <c r="LM15" s="160"/>
      <c r="LN15" s="175"/>
      <c r="LO15" s="60">
        <f>SUM(KT15:LN15)</f>
        <v>0</v>
      </c>
      <c r="LP15" s="61">
        <f>LO15-LP16</f>
        <v>0</v>
      </c>
      <c r="LQ15" s="13">
        <f>LO15*$D15</f>
        <v>0</v>
      </c>
      <c r="LR15" s="15"/>
    </row>
    <row r="16" spans="1:330" ht="15" thickBot="1" x14ac:dyDescent="0.4">
      <c r="A16" s="68"/>
      <c r="B16" s="98"/>
      <c r="C16" s="100"/>
      <c r="D16" s="16">
        <v>16.55</v>
      </c>
      <c r="E16" s="32" t="s">
        <v>7</v>
      </c>
      <c r="F16" s="189"/>
      <c r="G16" s="190"/>
      <c r="H16" s="191"/>
      <c r="I16" s="189"/>
      <c r="J16" s="190"/>
      <c r="K16" s="191"/>
      <c r="L16" s="189"/>
      <c r="M16" s="190"/>
      <c r="N16" s="191"/>
      <c r="O16" s="189"/>
      <c r="P16" s="190"/>
      <c r="Q16" s="191"/>
      <c r="R16" s="189"/>
      <c r="S16" s="190"/>
      <c r="T16" s="191"/>
      <c r="U16" s="57"/>
      <c r="V16" s="58"/>
      <c r="W16" s="59"/>
      <c r="X16" s="74"/>
      <c r="Y16" s="58"/>
      <c r="Z16" s="59"/>
      <c r="AA16" s="62"/>
      <c r="AB16" s="63">
        <f>SUM(F16:Z16)</f>
        <v>0</v>
      </c>
      <c r="AC16" s="16"/>
      <c r="AD16" s="18">
        <f>AB16*$D16</f>
        <v>0</v>
      </c>
      <c r="AE16" s="29"/>
      <c r="AF16" s="17"/>
      <c r="AG16" s="30"/>
      <c r="AH16" s="29"/>
      <c r="AI16" s="17"/>
      <c r="AJ16" s="30"/>
      <c r="AK16" s="29"/>
      <c r="AL16" s="17"/>
      <c r="AM16" s="30"/>
      <c r="AN16" s="29"/>
      <c r="AO16" s="17"/>
      <c r="AP16" s="30"/>
      <c r="AQ16" s="231"/>
      <c r="AR16" s="226"/>
      <c r="AS16" s="232"/>
      <c r="AT16" s="57"/>
      <c r="AU16" s="58"/>
      <c r="AV16" s="59"/>
      <c r="AW16" s="74"/>
      <c r="AX16" s="58"/>
      <c r="AY16" s="59"/>
      <c r="AZ16" s="62"/>
      <c r="BA16" s="63">
        <f>SUM(AE16:AY16)</f>
        <v>0</v>
      </c>
      <c r="BB16" s="16"/>
      <c r="BC16" s="18">
        <f>BA16*$D16</f>
        <v>0</v>
      </c>
      <c r="BD16" s="29"/>
      <c r="BE16" s="17"/>
      <c r="BF16" s="30"/>
      <c r="BG16" s="29"/>
      <c r="BH16" s="17"/>
      <c r="BI16" s="30"/>
      <c r="BJ16" s="29"/>
      <c r="BK16" s="17"/>
      <c r="BL16" s="30"/>
      <c r="BM16" s="29"/>
      <c r="BN16" s="17"/>
      <c r="BO16" s="30"/>
      <c r="BP16" s="29"/>
      <c r="BQ16" s="17"/>
      <c r="BR16" s="30"/>
      <c r="BS16" s="57"/>
      <c r="BT16" s="58"/>
      <c r="BU16" s="59"/>
      <c r="BV16" s="74"/>
      <c r="BW16" s="58"/>
      <c r="BX16" s="59"/>
      <c r="BY16" s="62"/>
      <c r="BZ16" s="63">
        <f>SUM(BD16:BX16)</f>
        <v>0</v>
      </c>
      <c r="CA16" s="16"/>
      <c r="CB16" s="18">
        <f>BZ16*$D16</f>
        <v>0</v>
      </c>
      <c r="CC16" s="29"/>
      <c r="CD16" s="17"/>
      <c r="CE16" s="30"/>
      <c r="CF16" s="29"/>
      <c r="CG16" s="17"/>
      <c r="CH16" s="30"/>
      <c r="CI16" s="29"/>
      <c r="CJ16" s="17"/>
      <c r="CK16" s="30"/>
      <c r="CL16" s="29"/>
      <c r="CM16" s="17"/>
      <c r="CN16" s="30"/>
      <c r="CO16" s="29"/>
      <c r="CP16" s="17"/>
      <c r="CQ16" s="30"/>
      <c r="CR16" s="57"/>
      <c r="CS16" s="58"/>
      <c r="CT16" s="59"/>
      <c r="CU16" s="74"/>
      <c r="CV16" s="58"/>
      <c r="CW16" s="59"/>
      <c r="CX16" s="62"/>
      <c r="CY16" s="63">
        <f>SUM(CC16:CW16)</f>
        <v>0</v>
      </c>
      <c r="CZ16" s="16"/>
      <c r="DA16" s="18">
        <f>CY16*$D16</f>
        <v>0</v>
      </c>
      <c r="DB16" s="29"/>
      <c r="DC16" s="17"/>
      <c r="DD16" s="30"/>
      <c r="DE16" s="29"/>
      <c r="DF16" s="17"/>
      <c r="DG16" s="30"/>
      <c r="DH16" s="29"/>
      <c r="DI16" s="17"/>
      <c r="DJ16" s="30"/>
      <c r="DK16" s="29"/>
      <c r="DL16" s="17"/>
      <c r="DM16" s="30"/>
      <c r="DN16" s="251"/>
      <c r="DO16" s="246"/>
      <c r="DP16" s="252"/>
      <c r="DQ16" s="57"/>
      <c r="DR16" s="58"/>
      <c r="DS16" s="59"/>
      <c r="DT16" s="74"/>
      <c r="DU16" s="58"/>
      <c r="DV16" s="59"/>
      <c r="DW16" s="62"/>
      <c r="DX16" s="63">
        <f>SUM(DB16:DV16)</f>
        <v>0</v>
      </c>
      <c r="DY16" s="16"/>
      <c r="DZ16" s="18">
        <f>DX16*$D16</f>
        <v>0</v>
      </c>
      <c r="EA16" s="203"/>
      <c r="EB16" s="204"/>
      <c r="EC16" s="205"/>
      <c r="ED16" s="29"/>
      <c r="EE16" s="17"/>
      <c r="EF16" s="30"/>
      <c r="EG16" s="29"/>
      <c r="EH16" s="17"/>
      <c r="EI16" s="30"/>
      <c r="EJ16" s="29"/>
      <c r="EK16" s="17"/>
      <c r="EL16" s="30"/>
      <c r="EM16" s="29"/>
      <c r="EN16" s="17"/>
      <c r="EO16" s="30"/>
      <c r="EP16" s="24"/>
      <c r="EQ16" s="17"/>
      <c r="ER16" s="30"/>
      <c r="ES16" s="24"/>
      <c r="ET16" s="17"/>
      <c r="EU16" s="21"/>
      <c r="EV16" s="62"/>
      <c r="EW16" s="63">
        <f>SUM(EA16:EU16)</f>
        <v>0</v>
      </c>
      <c r="EX16" s="16"/>
      <c r="EY16" s="18">
        <f>EW16*$D16</f>
        <v>0</v>
      </c>
      <c r="EZ16" s="29"/>
      <c r="FA16" s="17"/>
      <c r="FB16" s="30"/>
      <c r="FC16" s="29"/>
      <c r="FD16" s="17"/>
      <c r="FE16" s="30"/>
      <c r="FF16" s="29"/>
      <c r="FG16" s="17"/>
      <c r="FH16" s="30"/>
      <c r="FI16" s="29"/>
      <c r="FJ16" s="17"/>
      <c r="FK16" s="30"/>
      <c r="FL16" s="29"/>
      <c r="FM16" s="17"/>
      <c r="FN16" s="30"/>
      <c r="FO16" s="24"/>
      <c r="FP16" s="17"/>
      <c r="FQ16" s="30"/>
      <c r="FR16" s="24"/>
      <c r="FS16" s="17"/>
      <c r="FT16" s="21"/>
      <c r="FU16" s="62"/>
      <c r="FV16" s="63">
        <f>SUM(EZ16:FT16)</f>
        <v>0</v>
      </c>
      <c r="FW16" s="16"/>
      <c r="FX16" s="18">
        <f>FV16*$D16</f>
        <v>0</v>
      </c>
      <c r="FY16" s="29"/>
      <c r="FZ16" s="17"/>
      <c r="GA16" s="30"/>
      <c r="GB16" s="29"/>
      <c r="GC16" s="17"/>
      <c r="GD16" s="30"/>
      <c r="GE16" s="29"/>
      <c r="GF16" s="17"/>
      <c r="GG16" s="30"/>
      <c r="GH16" s="29"/>
      <c r="GI16" s="17"/>
      <c r="GJ16" s="30"/>
      <c r="GK16" s="29"/>
      <c r="GL16" s="17"/>
      <c r="GM16" s="30"/>
      <c r="GN16" s="24"/>
      <c r="GO16" s="17"/>
      <c r="GP16" s="30"/>
      <c r="GQ16" s="24"/>
      <c r="GR16" s="17"/>
      <c r="GS16" s="21"/>
      <c r="GT16" s="62"/>
      <c r="GU16" s="63">
        <f>SUM(FY16:GS16)</f>
        <v>0</v>
      </c>
      <c r="GV16" s="16"/>
      <c r="GW16" s="18">
        <f>GU16*$D16</f>
        <v>0</v>
      </c>
      <c r="GX16" s="29"/>
      <c r="GY16" s="17"/>
      <c r="GZ16" s="30"/>
      <c r="HA16" s="29"/>
      <c r="HB16" s="17"/>
      <c r="HC16" s="30"/>
      <c r="HD16" s="29"/>
      <c r="HE16" s="17"/>
      <c r="HF16" s="30"/>
      <c r="HG16" s="29"/>
      <c r="HH16" s="17"/>
      <c r="HI16" s="30"/>
      <c r="HJ16" s="29"/>
      <c r="HK16" s="17"/>
      <c r="HL16" s="30"/>
      <c r="HM16" s="24"/>
      <c r="HN16" s="17"/>
      <c r="HO16" s="30"/>
      <c r="HP16" s="24"/>
      <c r="HQ16" s="17"/>
      <c r="HR16" s="21"/>
      <c r="HS16" s="62"/>
      <c r="HT16" s="63">
        <f>SUM(GX16:HR16)</f>
        <v>0</v>
      </c>
      <c r="HU16" s="16"/>
      <c r="HV16" s="18">
        <f>HT16*$D16</f>
        <v>0</v>
      </c>
      <c r="HW16" s="29"/>
      <c r="HX16" s="17"/>
      <c r="HY16" s="30"/>
      <c r="HZ16" s="29"/>
      <c r="IA16" s="17"/>
      <c r="IB16" s="30"/>
      <c r="IC16" s="29"/>
      <c r="ID16" s="17"/>
      <c r="IE16" s="30"/>
      <c r="IF16" s="29"/>
      <c r="IG16" s="17"/>
      <c r="IH16" s="30"/>
      <c r="II16" s="29"/>
      <c r="IJ16" s="17"/>
      <c r="IK16" s="30"/>
      <c r="IL16" s="24"/>
      <c r="IM16" s="17"/>
      <c r="IN16" s="30"/>
      <c r="IO16" s="24"/>
      <c r="IP16" s="17"/>
      <c r="IQ16" s="21"/>
      <c r="IR16" s="62"/>
      <c r="IS16" s="63">
        <f>SUM(HW16:IQ16)</f>
        <v>0</v>
      </c>
      <c r="IT16" s="16"/>
      <c r="IU16" s="18">
        <f>IS16*$D16</f>
        <v>0</v>
      </c>
      <c r="IV16" s="29"/>
      <c r="IW16" s="17"/>
      <c r="IX16" s="30"/>
      <c r="IY16" s="29"/>
      <c r="IZ16" s="17"/>
      <c r="JA16" s="30"/>
      <c r="JB16" s="29"/>
      <c r="JC16" s="17"/>
      <c r="JD16" s="30"/>
      <c r="JE16" s="29"/>
      <c r="JF16" s="17"/>
      <c r="JG16" s="30"/>
      <c r="JH16" s="29"/>
      <c r="JI16" s="17"/>
      <c r="JJ16" s="30"/>
      <c r="JK16" s="24"/>
      <c r="JL16" s="17"/>
      <c r="JM16" s="30"/>
      <c r="JN16" s="24"/>
      <c r="JO16" s="17"/>
      <c r="JP16" s="21"/>
      <c r="JQ16" s="62"/>
      <c r="JR16" s="63">
        <f>SUM(IV16:JP16)</f>
        <v>0</v>
      </c>
      <c r="JS16" s="16"/>
      <c r="JT16" s="18">
        <f>JR16*$D16</f>
        <v>0</v>
      </c>
      <c r="JU16" s="203"/>
      <c r="JV16" s="204"/>
      <c r="JW16" s="205"/>
      <c r="JX16" s="29"/>
      <c r="JY16" s="17"/>
      <c r="JZ16" s="30"/>
      <c r="KA16" s="29"/>
      <c r="KB16" s="17"/>
      <c r="KC16" s="30"/>
      <c r="KD16" s="29"/>
      <c r="KE16" s="17"/>
      <c r="KF16" s="30"/>
      <c r="KG16" s="29"/>
      <c r="KH16" s="17"/>
      <c r="KI16" s="30"/>
      <c r="KJ16" s="24"/>
      <c r="KK16" s="17"/>
      <c r="KL16" s="30"/>
      <c r="KM16" s="24"/>
      <c r="KN16" s="17"/>
      <c r="KO16" s="21"/>
      <c r="KP16" s="62"/>
      <c r="KQ16" s="63">
        <f>SUM(JU16:KO16)</f>
        <v>0</v>
      </c>
      <c r="KR16" s="16"/>
      <c r="KS16" s="18">
        <f>KQ16*$D16</f>
        <v>0</v>
      </c>
      <c r="KT16" s="29"/>
      <c r="KU16" s="17"/>
      <c r="KV16" s="30"/>
      <c r="KW16" s="29"/>
      <c r="KX16" s="17"/>
      <c r="KY16" s="30"/>
      <c r="KZ16" s="29"/>
      <c r="LA16" s="17"/>
      <c r="LB16" s="30"/>
      <c r="LC16" s="29"/>
      <c r="LD16" s="17"/>
      <c r="LE16" s="30"/>
      <c r="LF16" s="29"/>
      <c r="LG16" s="17"/>
      <c r="LH16" s="30"/>
      <c r="LI16" s="165"/>
      <c r="LJ16" s="166"/>
      <c r="LK16" s="167"/>
      <c r="LL16" s="180"/>
      <c r="LM16" s="166"/>
      <c r="LN16" s="177"/>
      <c r="LO16" s="62"/>
      <c r="LP16" s="63">
        <f>SUM(KT16:LN16)</f>
        <v>0</v>
      </c>
      <c r="LQ16" s="16"/>
      <c r="LR16" s="18">
        <f>LP16*$D16</f>
        <v>0</v>
      </c>
    </row>
    <row r="17" spans="1:330" x14ac:dyDescent="0.35">
      <c r="A17" s="65"/>
      <c r="B17" s="88" t="s">
        <v>104</v>
      </c>
      <c r="C17" s="99" t="s">
        <v>31</v>
      </c>
      <c r="D17" s="13">
        <v>12.9</v>
      </c>
      <c r="E17" s="31" t="s">
        <v>6</v>
      </c>
      <c r="F17" s="186"/>
      <c r="G17" s="187"/>
      <c r="H17" s="188"/>
      <c r="I17" s="186"/>
      <c r="J17" s="187"/>
      <c r="K17" s="188"/>
      <c r="L17" s="186"/>
      <c r="M17" s="187"/>
      <c r="N17" s="188"/>
      <c r="O17" s="186"/>
      <c r="P17" s="187"/>
      <c r="Q17" s="188"/>
      <c r="R17" s="186"/>
      <c r="S17" s="187"/>
      <c r="T17" s="188"/>
      <c r="U17" s="53"/>
      <c r="V17" s="14"/>
      <c r="W17" s="28"/>
      <c r="X17" s="53"/>
      <c r="Y17" s="14"/>
      <c r="Z17" s="55"/>
      <c r="AA17" s="60">
        <f>SUM(F17:Z17)</f>
        <v>0</v>
      </c>
      <c r="AB17" s="61">
        <f>AA17-AB18</f>
        <v>0</v>
      </c>
      <c r="AC17" s="13">
        <f>AA17*$D17</f>
        <v>0</v>
      </c>
      <c r="AD17" s="15"/>
      <c r="AE17" s="53"/>
      <c r="AF17" s="54"/>
      <c r="AG17" s="55"/>
      <c r="AH17" s="53"/>
      <c r="AI17" s="54"/>
      <c r="AJ17" s="55"/>
      <c r="AK17" s="53"/>
      <c r="AL17" s="54"/>
      <c r="AM17" s="55"/>
      <c r="AN17" s="53"/>
      <c r="AO17" s="54"/>
      <c r="AP17" s="55"/>
      <c r="AQ17" s="222"/>
      <c r="AR17" s="223"/>
      <c r="AS17" s="224"/>
      <c r="AT17" s="53"/>
      <c r="AU17" s="14"/>
      <c r="AV17" s="28"/>
      <c r="AW17" s="53"/>
      <c r="AX17" s="14"/>
      <c r="AY17" s="55"/>
      <c r="AZ17" s="60">
        <f>SUM(AE17:AY17)</f>
        <v>0</v>
      </c>
      <c r="BA17" s="61">
        <f>AZ17-BA18</f>
        <v>0</v>
      </c>
      <c r="BB17" s="13">
        <f>AZ17*$D17</f>
        <v>0</v>
      </c>
      <c r="BC17" s="15"/>
      <c r="BD17" s="53"/>
      <c r="BE17" s="54"/>
      <c r="BF17" s="55"/>
      <c r="BG17" s="53"/>
      <c r="BH17" s="54"/>
      <c r="BI17" s="55"/>
      <c r="BJ17" s="53"/>
      <c r="BK17" s="54"/>
      <c r="BL17" s="55"/>
      <c r="BM17" s="53"/>
      <c r="BN17" s="54"/>
      <c r="BO17" s="55"/>
      <c r="BP17" s="53"/>
      <c r="BQ17" s="54"/>
      <c r="BR17" s="55"/>
      <c r="BS17" s="53"/>
      <c r="BT17" s="14"/>
      <c r="BU17" s="28"/>
      <c r="BV17" s="53"/>
      <c r="BW17" s="14"/>
      <c r="BX17" s="55"/>
      <c r="BY17" s="60">
        <f>SUM(BD17:BX17)</f>
        <v>0</v>
      </c>
      <c r="BZ17" s="61">
        <f>BY17-BZ18</f>
        <v>0</v>
      </c>
      <c r="CA17" s="13">
        <f>BY17*$D17</f>
        <v>0</v>
      </c>
      <c r="CB17" s="15"/>
      <c r="CC17" s="53"/>
      <c r="CD17" s="54"/>
      <c r="CE17" s="55"/>
      <c r="CF17" s="53"/>
      <c r="CG17" s="54"/>
      <c r="CH17" s="55"/>
      <c r="CI17" s="53"/>
      <c r="CJ17" s="54"/>
      <c r="CK17" s="55"/>
      <c r="CL17" s="53"/>
      <c r="CM17" s="54"/>
      <c r="CN17" s="55"/>
      <c r="CO17" s="53"/>
      <c r="CP17" s="54"/>
      <c r="CQ17" s="55"/>
      <c r="CR17" s="53"/>
      <c r="CS17" s="14"/>
      <c r="CT17" s="28"/>
      <c r="CU17" s="53"/>
      <c r="CV17" s="14"/>
      <c r="CW17" s="55"/>
      <c r="CX17" s="60">
        <f>SUM(CC17:CW17)</f>
        <v>0</v>
      </c>
      <c r="CY17" s="81">
        <f>CX17-CY18</f>
        <v>0</v>
      </c>
      <c r="CZ17" s="13">
        <f>CX17*$D17</f>
        <v>0</v>
      </c>
      <c r="DA17" s="15"/>
      <c r="DB17" s="53"/>
      <c r="DC17" s="54"/>
      <c r="DD17" s="55"/>
      <c r="DE17" s="53"/>
      <c r="DF17" s="54"/>
      <c r="DG17" s="55"/>
      <c r="DH17" s="53"/>
      <c r="DI17" s="54"/>
      <c r="DJ17" s="55"/>
      <c r="DK17" s="53"/>
      <c r="DL17" s="54"/>
      <c r="DM17" s="55"/>
      <c r="DN17" s="242"/>
      <c r="DO17" s="243"/>
      <c r="DP17" s="244"/>
      <c r="DQ17" s="53"/>
      <c r="DR17" s="14"/>
      <c r="DS17" s="28"/>
      <c r="DT17" s="53"/>
      <c r="DU17" s="14"/>
      <c r="DV17" s="55"/>
      <c r="DW17" s="60">
        <f>SUM(DB17:DV17)</f>
        <v>0</v>
      </c>
      <c r="DX17" s="61">
        <f>DW17-DX18</f>
        <v>0</v>
      </c>
      <c r="DY17" s="13">
        <f>DW17*$D17</f>
        <v>0</v>
      </c>
      <c r="DZ17" s="15"/>
      <c r="EA17" s="200"/>
      <c r="EB17" s="201"/>
      <c r="EC17" s="202"/>
      <c r="ED17" s="53"/>
      <c r="EE17" s="54"/>
      <c r="EF17" s="55"/>
      <c r="EG17" s="53"/>
      <c r="EH17" s="54"/>
      <c r="EI17" s="55"/>
      <c r="EJ17" s="53"/>
      <c r="EK17" s="54"/>
      <c r="EL17" s="55"/>
      <c r="EM17" s="53"/>
      <c r="EN17" s="54"/>
      <c r="EO17" s="55"/>
      <c r="EP17" s="56"/>
      <c r="EQ17" s="54"/>
      <c r="ER17" s="55"/>
      <c r="ES17" s="56"/>
      <c r="ET17" s="54"/>
      <c r="EU17" s="20"/>
      <c r="EV17" s="60">
        <f>SUM(EA17:EU17)</f>
        <v>0</v>
      </c>
      <c r="EW17" s="61">
        <f>EV17-EW18</f>
        <v>0</v>
      </c>
      <c r="EX17" s="13">
        <f>EV17*$D17</f>
        <v>0</v>
      </c>
      <c r="EY17" s="15"/>
      <c r="EZ17" s="53"/>
      <c r="FA17" s="54"/>
      <c r="FB17" s="55"/>
      <c r="FC17" s="53"/>
      <c r="FD17" s="54"/>
      <c r="FE17" s="55"/>
      <c r="FF17" s="53"/>
      <c r="FG17" s="54"/>
      <c r="FH17" s="55"/>
      <c r="FI17" s="53"/>
      <c r="FJ17" s="54"/>
      <c r="FK17" s="55"/>
      <c r="FL17" s="53"/>
      <c r="FM17" s="54"/>
      <c r="FN17" s="55"/>
      <c r="FO17" s="56"/>
      <c r="FP17" s="54"/>
      <c r="FQ17" s="55"/>
      <c r="FR17" s="56"/>
      <c r="FS17" s="54"/>
      <c r="FT17" s="20"/>
      <c r="FU17" s="60">
        <f>SUM(EZ17:FT17)</f>
        <v>0</v>
      </c>
      <c r="FV17" s="61">
        <f>FU17-FV18</f>
        <v>0</v>
      </c>
      <c r="FW17" s="13">
        <f>FU17*$D17</f>
        <v>0</v>
      </c>
      <c r="FX17" s="15"/>
      <c r="FY17" s="53"/>
      <c r="FZ17" s="54"/>
      <c r="GA17" s="55"/>
      <c r="GB17" s="53"/>
      <c r="GC17" s="54"/>
      <c r="GD17" s="55"/>
      <c r="GE17" s="53"/>
      <c r="GF17" s="54"/>
      <c r="GG17" s="55"/>
      <c r="GH17" s="53"/>
      <c r="GI17" s="54"/>
      <c r="GJ17" s="55"/>
      <c r="GK17" s="53"/>
      <c r="GL17" s="54"/>
      <c r="GM17" s="55"/>
      <c r="GN17" s="56"/>
      <c r="GO17" s="54"/>
      <c r="GP17" s="55"/>
      <c r="GQ17" s="56"/>
      <c r="GR17" s="54"/>
      <c r="GS17" s="20"/>
      <c r="GT17" s="60">
        <f>SUM(FY17:GS17)</f>
        <v>0</v>
      </c>
      <c r="GU17" s="61">
        <f>GT17-GU18</f>
        <v>0</v>
      </c>
      <c r="GV17" s="13">
        <f>GT17*$D17</f>
        <v>0</v>
      </c>
      <c r="GW17" s="15"/>
      <c r="GX17" s="53"/>
      <c r="GY17" s="54"/>
      <c r="GZ17" s="55"/>
      <c r="HA17" s="53"/>
      <c r="HB17" s="54"/>
      <c r="HC17" s="55"/>
      <c r="HD17" s="53"/>
      <c r="HE17" s="54"/>
      <c r="HF17" s="55"/>
      <c r="HG17" s="53"/>
      <c r="HH17" s="54"/>
      <c r="HI17" s="55"/>
      <c r="HJ17" s="53"/>
      <c r="HK17" s="54"/>
      <c r="HL17" s="55"/>
      <c r="HM17" s="56"/>
      <c r="HN17" s="54"/>
      <c r="HO17" s="55"/>
      <c r="HP17" s="56"/>
      <c r="HQ17" s="54"/>
      <c r="HR17" s="20"/>
      <c r="HS17" s="60">
        <f>SUM(GX17:HR17)</f>
        <v>0</v>
      </c>
      <c r="HT17" s="61">
        <f>HS17-HT18</f>
        <v>0</v>
      </c>
      <c r="HU17" s="13">
        <f>HS17*$D17</f>
        <v>0</v>
      </c>
      <c r="HV17" s="15"/>
      <c r="HW17" s="53"/>
      <c r="HX17" s="54"/>
      <c r="HY17" s="55"/>
      <c r="HZ17" s="53"/>
      <c r="IA17" s="54"/>
      <c r="IB17" s="55"/>
      <c r="IC17" s="53"/>
      <c r="ID17" s="54"/>
      <c r="IE17" s="55"/>
      <c r="IF17" s="53"/>
      <c r="IG17" s="54"/>
      <c r="IH17" s="55"/>
      <c r="II17" s="53"/>
      <c r="IJ17" s="54"/>
      <c r="IK17" s="55"/>
      <c r="IL17" s="56"/>
      <c r="IM17" s="54"/>
      <c r="IN17" s="55"/>
      <c r="IO17" s="56"/>
      <c r="IP17" s="54"/>
      <c r="IQ17" s="20"/>
      <c r="IR17" s="60">
        <f>SUM(HW17:IQ17)</f>
        <v>0</v>
      </c>
      <c r="IS17" s="61">
        <f>IR17-IS18</f>
        <v>0</v>
      </c>
      <c r="IT17" s="13">
        <f>IR17*$D17</f>
        <v>0</v>
      </c>
      <c r="IU17" s="15"/>
      <c r="IV17" s="53"/>
      <c r="IW17" s="54"/>
      <c r="IX17" s="55"/>
      <c r="IY17" s="53"/>
      <c r="IZ17" s="54"/>
      <c r="JA17" s="55"/>
      <c r="JB17" s="53"/>
      <c r="JC17" s="54"/>
      <c r="JD17" s="55"/>
      <c r="JE17" s="53"/>
      <c r="JF17" s="54"/>
      <c r="JG17" s="55"/>
      <c r="JH17" s="53"/>
      <c r="JI17" s="54"/>
      <c r="JJ17" s="55"/>
      <c r="JK17" s="56"/>
      <c r="JL17" s="54"/>
      <c r="JM17" s="55"/>
      <c r="JN17" s="56"/>
      <c r="JO17" s="54"/>
      <c r="JP17" s="20"/>
      <c r="JQ17" s="60">
        <f>SUM(IV17:JP17)</f>
        <v>0</v>
      </c>
      <c r="JR17" s="61">
        <f>JQ17-JR18</f>
        <v>0</v>
      </c>
      <c r="JS17" s="13">
        <f>JQ17*$D17</f>
        <v>0</v>
      </c>
      <c r="JT17" s="15"/>
      <c r="JU17" s="200"/>
      <c r="JV17" s="201"/>
      <c r="JW17" s="202"/>
      <c r="JX17" s="53"/>
      <c r="JY17" s="54"/>
      <c r="JZ17" s="55"/>
      <c r="KA17" s="53"/>
      <c r="KB17" s="54"/>
      <c r="KC17" s="55"/>
      <c r="KD17" s="53"/>
      <c r="KE17" s="54">
        <f>(13*26)*8.25-171</f>
        <v>2617.5</v>
      </c>
      <c r="KF17" s="55"/>
      <c r="KG17" s="53">
        <f>(13*26)*8.25</f>
        <v>2788.5</v>
      </c>
      <c r="KH17" s="54">
        <f>(13*26)*7.75</f>
        <v>2619.5</v>
      </c>
      <c r="KI17" s="55"/>
      <c r="KJ17" s="56"/>
      <c r="KK17" s="54"/>
      <c r="KL17" s="55"/>
      <c r="KM17" s="56"/>
      <c r="KN17" s="54"/>
      <c r="KO17" s="20"/>
      <c r="KP17" s="60">
        <f>SUM(JU17:KO17)</f>
        <v>8025.5</v>
      </c>
      <c r="KQ17" s="61">
        <f>KP17-KQ18</f>
        <v>8025.5</v>
      </c>
      <c r="KR17" s="13">
        <f>KP17*$D17</f>
        <v>103528.95</v>
      </c>
      <c r="KS17" s="15"/>
      <c r="KT17" s="53"/>
      <c r="KU17" s="54"/>
      <c r="KV17" s="55"/>
      <c r="KW17" s="53"/>
      <c r="KX17" s="54"/>
      <c r="KY17" s="55"/>
      <c r="KZ17" s="53"/>
      <c r="LA17" s="54"/>
      <c r="LB17" s="55"/>
      <c r="LC17" s="53"/>
      <c r="LD17" s="54"/>
      <c r="LE17" s="55"/>
      <c r="LF17" s="53"/>
      <c r="LG17" s="54"/>
      <c r="LH17" s="55"/>
      <c r="LI17" s="159"/>
      <c r="LJ17" s="172"/>
      <c r="LK17" s="173"/>
      <c r="LL17" s="159"/>
      <c r="LM17" s="160"/>
      <c r="LN17" s="175"/>
      <c r="LO17" s="60">
        <f>SUM(KT17:LN17)</f>
        <v>0</v>
      </c>
      <c r="LP17" s="61">
        <f>LO17-LP18</f>
        <v>0</v>
      </c>
      <c r="LQ17" s="13">
        <f>LO17*$D17</f>
        <v>0</v>
      </c>
      <c r="LR17" s="15"/>
    </row>
    <row r="18" spans="1:330" ht="15" thickBot="1" x14ac:dyDescent="0.4">
      <c r="A18" s="68"/>
      <c r="B18" s="98"/>
      <c r="C18" s="100"/>
      <c r="D18" s="16">
        <v>12.9</v>
      </c>
      <c r="E18" s="32" t="s">
        <v>7</v>
      </c>
      <c r="F18" s="189"/>
      <c r="G18" s="190"/>
      <c r="H18" s="191"/>
      <c r="I18" s="189"/>
      <c r="J18" s="190"/>
      <c r="K18" s="191"/>
      <c r="L18" s="189"/>
      <c r="M18" s="190"/>
      <c r="N18" s="191"/>
      <c r="O18" s="189"/>
      <c r="P18" s="190"/>
      <c r="Q18" s="191"/>
      <c r="R18" s="189"/>
      <c r="S18" s="190"/>
      <c r="T18" s="191"/>
      <c r="U18" s="57"/>
      <c r="V18" s="58"/>
      <c r="W18" s="59"/>
      <c r="X18" s="74"/>
      <c r="Y18" s="58"/>
      <c r="Z18" s="59"/>
      <c r="AA18" s="62"/>
      <c r="AB18" s="63">
        <f>SUM(F18:Z18)</f>
        <v>0</v>
      </c>
      <c r="AC18" s="16"/>
      <c r="AD18" s="18">
        <f>AB18*$D18</f>
        <v>0</v>
      </c>
      <c r="AE18" s="74"/>
      <c r="AF18" s="58"/>
      <c r="AG18" s="59"/>
      <c r="AH18" s="29"/>
      <c r="AI18" s="17"/>
      <c r="AJ18" s="30"/>
      <c r="AK18" s="24"/>
      <c r="AL18" s="17"/>
      <c r="AM18" s="21"/>
      <c r="AN18" s="29"/>
      <c r="AO18" s="17"/>
      <c r="AP18" s="30"/>
      <c r="AQ18" s="225"/>
      <c r="AR18" s="226"/>
      <c r="AS18" s="227"/>
      <c r="AT18" s="57"/>
      <c r="AU18" s="58"/>
      <c r="AV18" s="59"/>
      <c r="AW18" s="74"/>
      <c r="AX18" s="58"/>
      <c r="AY18" s="59"/>
      <c r="AZ18" s="62"/>
      <c r="BA18" s="63">
        <f>SUM(AE18:AY18)</f>
        <v>0</v>
      </c>
      <c r="BB18" s="16"/>
      <c r="BC18" s="18">
        <f>BA18*$D18</f>
        <v>0</v>
      </c>
      <c r="BD18" s="74"/>
      <c r="BE18" s="58"/>
      <c r="BF18" s="59"/>
      <c r="BG18" s="29"/>
      <c r="BH18" s="17"/>
      <c r="BI18" s="30"/>
      <c r="BJ18" s="24"/>
      <c r="BK18" s="17"/>
      <c r="BL18" s="21"/>
      <c r="BM18" s="29"/>
      <c r="BN18" s="17"/>
      <c r="BO18" s="30"/>
      <c r="BP18" s="24"/>
      <c r="BQ18" s="17"/>
      <c r="BR18" s="21"/>
      <c r="BS18" s="57"/>
      <c r="BT18" s="58"/>
      <c r="BU18" s="59"/>
      <c r="BV18" s="74"/>
      <c r="BW18" s="58"/>
      <c r="BX18" s="59"/>
      <c r="BY18" s="62"/>
      <c r="BZ18" s="63">
        <f>SUM(BD18:BX18)</f>
        <v>0</v>
      </c>
      <c r="CA18" s="16"/>
      <c r="CB18" s="18">
        <f>BZ18*$D18</f>
        <v>0</v>
      </c>
      <c r="CC18" s="74"/>
      <c r="CD18" s="58"/>
      <c r="CE18" s="59"/>
      <c r="CF18" s="29"/>
      <c r="CG18" s="17"/>
      <c r="CH18" s="30"/>
      <c r="CI18" s="24"/>
      <c r="CJ18" s="17"/>
      <c r="CK18" s="21"/>
      <c r="CL18" s="29"/>
      <c r="CM18" s="17"/>
      <c r="CN18" s="30"/>
      <c r="CO18" s="24"/>
      <c r="CP18" s="17"/>
      <c r="CQ18" s="21"/>
      <c r="CR18" s="57"/>
      <c r="CS18" s="58"/>
      <c r="CT18" s="59"/>
      <c r="CU18" s="74"/>
      <c r="CV18" s="58"/>
      <c r="CW18" s="59"/>
      <c r="CX18" s="62"/>
      <c r="CY18" s="63">
        <f>SUM(CC18:CW18)</f>
        <v>0</v>
      </c>
      <c r="CZ18" s="16"/>
      <c r="DA18" s="18">
        <f>CY18*$D18</f>
        <v>0</v>
      </c>
      <c r="DB18" s="74"/>
      <c r="DC18" s="58"/>
      <c r="DD18" s="59"/>
      <c r="DE18" s="29"/>
      <c r="DF18" s="17"/>
      <c r="DG18" s="30"/>
      <c r="DH18" s="24"/>
      <c r="DI18" s="17"/>
      <c r="DJ18" s="21"/>
      <c r="DK18" s="29"/>
      <c r="DL18" s="17"/>
      <c r="DM18" s="30"/>
      <c r="DN18" s="245"/>
      <c r="DO18" s="246"/>
      <c r="DP18" s="247"/>
      <c r="DQ18" s="57"/>
      <c r="DR18" s="58"/>
      <c r="DS18" s="59"/>
      <c r="DT18" s="74"/>
      <c r="DU18" s="58"/>
      <c r="DV18" s="59"/>
      <c r="DW18" s="62"/>
      <c r="DX18" s="63">
        <f>SUM(DB18:DV18)</f>
        <v>0</v>
      </c>
      <c r="DY18" s="16"/>
      <c r="DZ18" s="18">
        <f>DX18*$D18</f>
        <v>0</v>
      </c>
      <c r="EA18" s="209"/>
      <c r="EB18" s="207"/>
      <c r="EC18" s="208"/>
      <c r="ED18" s="29"/>
      <c r="EE18" s="17"/>
      <c r="EF18" s="30"/>
      <c r="EG18" s="24"/>
      <c r="EH18" s="17"/>
      <c r="EI18" s="21"/>
      <c r="EJ18" s="29"/>
      <c r="EK18" s="17"/>
      <c r="EL18" s="30"/>
      <c r="EM18" s="24"/>
      <c r="EN18" s="17"/>
      <c r="EO18" s="21"/>
      <c r="EP18" s="29"/>
      <c r="EQ18" s="17"/>
      <c r="ER18" s="30"/>
      <c r="ES18" s="24"/>
      <c r="ET18" s="17"/>
      <c r="EU18" s="21"/>
      <c r="EV18" s="62"/>
      <c r="EW18" s="63">
        <f>SUM(EA18:EU18)</f>
        <v>0</v>
      </c>
      <c r="EX18" s="16"/>
      <c r="EY18" s="18">
        <f>EW18*$D18</f>
        <v>0</v>
      </c>
      <c r="EZ18" s="74"/>
      <c r="FA18" s="58"/>
      <c r="FB18" s="59"/>
      <c r="FC18" s="29"/>
      <c r="FD18" s="17"/>
      <c r="FE18" s="30"/>
      <c r="FF18" s="24"/>
      <c r="FG18" s="17"/>
      <c r="FH18" s="21"/>
      <c r="FI18" s="29"/>
      <c r="FJ18" s="17"/>
      <c r="FK18" s="30"/>
      <c r="FL18" s="24"/>
      <c r="FM18" s="17"/>
      <c r="FN18" s="21"/>
      <c r="FO18" s="29"/>
      <c r="FP18" s="17"/>
      <c r="FQ18" s="30"/>
      <c r="FR18" s="24"/>
      <c r="FS18" s="17"/>
      <c r="FT18" s="21"/>
      <c r="FU18" s="62"/>
      <c r="FV18" s="63">
        <f>SUM(EZ18:FT18)</f>
        <v>0</v>
      </c>
      <c r="FW18" s="16"/>
      <c r="FX18" s="18">
        <f>FV18*$D18</f>
        <v>0</v>
      </c>
      <c r="FY18" s="74"/>
      <c r="FZ18" s="58"/>
      <c r="GA18" s="59"/>
      <c r="GB18" s="29"/>
      <c r="GC18" s="17"/>
      <c r="GD18" s="30"/>
      <c r="GE18" s="24"/>
      <c r="GF18" s="17"/>
      <c r="GG18" s="21"/>
      <c r="GH18" s="29"/>
      <c r="GI18" s="17"/>
      <c r="GJ18" s="30"/>
      <c r="GK18" s="24"/>
      <c r="GL18" s="17"/>
      <c r="GM18" s="21"/>
      <c r="GN18" s="29"/>
      <c r="GO18" s="17"/>
      <c r="GP18" s="30"/>
      <c r="GQ18" s="24"/>
      <c r="GR18" s="17"/>
      <c r="GS18" s="21"/>
      <c r="GT18" s="62"/>
      <c r="GU18" s="63">
        <f>SUM(FY18:GS18)</f>
        <v>0</v>
      </c>
      <c r="GV18" s="16"/>
      <c r="GW18" s="18">
        <f>GU18*$D18</f>
        <v>0</v>
      </c>
      <c r="GX18" s="74"/>
      <c r="GY18" s="58"/>
      <c r="GZ18" s="59"/>
      <c r="HA18" s="29"/>
      <c r="HB18" s="17"/>
      <c r="HC18" s="30"/>
      <c r="HD18" s="24"/>
      <c r="HE18" s="17"/>
      <c r="HF18" s="21"/>
      <c r="HG18" s="29"/>
      <c r="HH18" s="17"/>
      <c r="HI18" s="30"/>
      <c r="HJ18" s="24"/>
      <c r="HK18" s="17"/>
      <c r="HL18" s="21"/>
      <c r="HM18" s="29"/>
      <c r="HN18" s="17"/>
      <c r="HO18" s="30"/>
      <c r="HP18" s="24"/>
      <c r="HQ18" s="17"/>
      <c r="HR18" s="21"/>
      <c r="HS18" s="62"/>
      <c r="HT18" s="63">
        <f>SUM(GX18:HR18)</f>
        <v>0</v>
      </c>
      <c r="HU18" s="16"/>
      <c r="HV18" s="18">
        <f>HT18*$D18</f>
        <v>0</v>
      </c>
      <c r="HW18" s="74"/>
      <c r="HX18" s="58"/>
      <c r="HY18" s="59"/>
      <c r="HZ18" s="29"/>
      <c r="IA18" s="17"/>
      <c r="IB18" s="30"/>
      <c r="IC18" s="24"/>
      <c r="ID18" s="17"/>
      <c r="IE18" s="21"/>
      <c r="IF18" s="29"/>
      <c r="IG18" s="17"/>
      <c r="IH18" s="30"/>
      <c r="II18" s="24"/>
      <c r="IJ18" s="17"/>
      <c r="IK18" s="21"/>
      <c r="IL18" s="29"/>
      <c r="IM18" s="17"/>
      <c r="IN18" s="30"/>
      <c r="IO18" s="24"/>
      <c r="IP18" s="17"/>
      <c r="IQ18" s="21"/>
      <c r="IR18" s="62"/>
      <c r="IS18" s="63">
        <f>SUM(HW18:IQ18)</f>
        <v>0</v>
      </c>
      <c r="IT18" s="16"/>
      <c r="IU18" s="18">
        <f>IS18*$D18</f>
        <v>0</v>
      </c>
      <c r="IV18" s="74"/>
      <c r="IW18" s="58"/>
      <c r="IX18" s="59"/>
      <c r="IY18" s="29"/>
      <c r="IZ18" s="17"/>
      <c r="JA18" s="30"/>
      <c r="JB18" s="24"/>
      <c r="JC18" s="17"/>
      <c r="JD18" s="21"/>
      <c r="JE18" s="29"/>
      <c r="JF18" s="17"/>
      <c r="JG18" s="30"/>
      <c r="JH18" s="24"/>
      <c r="JI18" s="17"/>
      <c r="JJ18" s="21"/>
      <c r="JK18" s="29"/>
      <c r="JL18" s="17"/>
      <c r="JM18" s="30"/>
      <c r="JN18" s="24"/>
      <c r="JO18" s="17"/>
      <c r="JP18" s="21"/>
      <c r="JQ18" s="62"/>
      <c r="JR18" s="63">
        <f>SUM(IV18:JP18)</f>
        <v>0</v>
      </c>
      <c r="JS18" s="16"/>
      <c r="JT18" s="18">
        <f>JR18*$D18</f>
        <v>0</v>
      </c>
      <c r="JU18" s="209"/>
      <c r="JV18" s="207"/>
      <c r="JW18" s="208"/>
      <c r="JX18" s="29"/>
      <c r="JY18" s="17"/>
      <c r="JZ18" s="30"/>
      <c r="KA18" s="24"/>
      <c r="KB18" s="17"/>
      <c r="KC18" s="21"/>
      <c r="KD18" s="29"/>
      <c r="KE18" s="17"/>
      <c r="KF18" s="30"/>
      <c r="KG18" s="24"/>
      <c r="KH18" s="17"/>
      <c r="KI18" s="21"/>
      <c r="KJ18" s="29"/>
      <c r="KK18" s="17"/>
      <c r="KL18" s="30"/>
      <c r="KM18" s="24"/>
      <c r="KN18" s="17"/>
      <c r="KO18" s="21"/>
      <c r="KP18" s="62"/>
      <c r="KQ18" s="63">
        <f>SUM(JU18:KO18)</f>
        <v>0</v>
      </c>
      <c r="KR18" s="16"/>
      <c r="KS18" s="18">
        <f>KQ18*$D18</f>
        <v>0</v>
      </c>
      <c r="KT18" s="74"/>
      <c r="KU18" s="58"/>
      <c r="KV18" s="59"/>
      <c r="KW18" s="29"/>
      <c r="KX18" s="17"/>
      <c r="KY18" s="30"/>
      <c r="KZ18" s="24"/>
      <c r="LA18" s="17"/>
      <c r="LB18" s="21"/>
      <c r="LC18" s="29"/>
      <c r="LD18" s="17"/>
      <c r="LE18" s="30"/>
      <c r="LF18" s="24"/>
      <c r="LG18" s="17"/>
      <c r="LH18" s="21"/>
      <c r="LI18" s="165"/>
      <c r="LJ18" s="166"/>
      <c r="LK18" s="167"/>
      <c r="LL18" s="176"/>
      <c r="LM18" s="166"/>
      <c r="LN18" s="177"/>
      <c r="LO18" s="62"/>
      <c r="LP18" s="63">
        <f>SUM(KT18:LN18)</f>
        <v>0</v>
      </c>
      <c r="LQ18" s="16"/>
      <c r="LR18" s="18">
        <f>LP18*$D18</f>
        <v>0</v>
      </c>
    </row>
    <row r="19" spans="1:330" ht="15.5" hidden="1" customHeight="1" x14ac:dyDescent="0.35">
      <c r="A19" s="65"/>
      <c r="B19" s="97"/>
      <c r="C19" s="99"/>
      <c r="D19" s="13"/>
      <c r="E19" s="31" t="s">
        <v>6</v>
      </c>
      <c r="F19" s="186"/>
      <c r="G19" s="187"/>
      <c r="H19" s="188"/>
      <c r="I19" s="186"/>
      <c r="J19" s="187"/>
      <c r="K19" s="188"/>
      <c r="L19" s="186"/>
      <c r="M19" s="187"/>
      <c r="N19" s="188"/>
      <c r="O19" s="186"/>
      <c r="P19" s="187"/>
      <c r="Q19" s="188"/>
      <c r="R19" s="186"/>
      <c r="S19" s="187"/>
      <c r="T19" s="188"/>
      <c r="U19" s="53"/>
      <c r="V19" s="14"/>
      <c r="W19" s="28"/>
      <c r="X19" s="23"/>
      <c r="Y19" s="14"/>
      <c r="Z19" s="55"/>
      <c r="AA19" s="60">
        <f>SUM(F19:Z19)</f>
        <v>0</v>
      </c>
      <c r="AB19" s="61">
        <f>AA19-AB20</f>
        <v>0</v>
      </c>
      <c r="AC19" s="13">
        <f>AA19*$D19</f>
        <v>0</v>
      </c>
      <c r="AD19" s="15"/>
      <c r="AE19" s="27"/>
      <c r="AF19" s="14"/>
      <c r="AG19" s="28"/>
      <c r="AH19" s="27"/>
      <c r="AI19" s="14"/>
      <c r="AJ19" s="28"/>
      <c r="AK19" s="27"/>
      <c r="AL19" s="14"/>
      <c r="AM19" s="28"/>
      <c r="AN19" s="27"/>
      <c r="AO19" s="14"/>
      <c r="AP19" s="28"/>
      <c r="AQ19" s="23"/>
      <c r="AR19" s="14"/>
      <c r="AS19" s="20"/>
      <c r="AT19" s="53"/>
      <c r="AU19" s="14"/>
      <c r="AV19" s="28"/>
      <c r="AW19" s="23"/>
      <c r="AX19" s="14"/>
      <c r="AY19" s="55"/>
      <c r="AZ19" s="60">
        <f>SUM(AE19:AY19)</f>
        <v>0</v>
      </c>
      <c r="BA19" s="61">
        <f>AZ19-BA20</f>
        <v>0</v>
      </c>
      <c r="BB19" s="13">
        <f>AZ19*$D19</f>
        <v>0</v>
      </c>
      <c r="BC19" s="15"/>
      <c r="BD19" s="27"/>
      <c r="BE19" s="14"/>
      <c r="BF19" s="28"/>
      <c r="BG19" s="27"/>
      <c r="BH19" s="14"/>
      <c r="BI19" s="28"/>
      <c r="BJ19" s="27"/>
      <c r="BK19" s="14"/>
      <c r="BL19" s="28"/>
      <c r="BM19" s="27"/>
      <c r="BN19" s="14"/>
      <c r="BO19" s="28"/>
      <c r="BP19" s="23"/>
      <c r="BQ19" s="14"/>
      <c r="BR19" s="20"/>
      <c r="BS19" s="53"/>
      <c r="BT19" s="14"/>
      <c r="BU19" s="28"/>
      <c r="BV19" s="23"/>
      <c r="BW19" s="14"/>
      <c r="BX19" s="55"/>
      <c r="BY19" s="60">
        <f>SUM(BD19:BX19)</f>
        <v>0</v>
      </c>
      <c r="BZ19" s="61">
        <f>BY19-BZ20</f>
        <v>0</v>
      </c>
      <c r="CA19" s="13">
        <f>BY19*$D19</f>
        <v>0</v>
      </c>
      <c r="CB19" s="15"/>
      <c r="CC19" s="27"/>
      <c r="CD19" s="14"/>
      <c r="CE19" s="28"/>
      <c r="CF19" s="27"/>
      <c r="CG19" s="14"/>
      <c r="CH19" s="28"/>
      <c r="CI19" s="27"/>
      <c r="CJ19" s="14"/>
      <c r="CK19" s="28"/>
      <c r="CL19" s="27"/>
      <c r="CM19" s="14"/>
      <c r="CN19" s="28"/>
      <c r="CO19" s="23"/>
      <c r="CP19" s="14"/>
      <c r="CQ19" s="20"/>
      <c r="CR19" s="53"/>
      <c r="CS19" s="14"/>
      <c r="CT19" s="28"/>
      <c r="CU19" s="23"/>
      <c r="CV19" s="14"/>
      <c r="CW19" s="55"/>
      <c r="CX19" s="60">
        <f>SUM(CC19:CW19)</f>
        <v>0</v>
      </c>
      <c r="CY19" s="61">
        <f>CX19-CY20</f>
        <v>0</v>
      </c>
      <c r="CZ19" s="13">
        <f>CX19*$D19</f>
        <v>0</v>
      </c>
      <c r="DA19" s="15"/>
      <c r="DB19" s="27"/>
      <c r="DC19" s="14"/>
      <c r="DD19" s="28"/>
      <c r="DE19" s="27"/>
      <c r="DF19" s="14"/>
      <c r="DG19" s="28"/>
      <c r="DH19" s="27"/>
      <c r="DI19" s="14"/>
      <c r="DJ19" s="28"/>
      <c r="DK19" s="27"/>
      <c r="DL19" s="14"/>
      <c r="DM19" s="28"/>
      <c r="DN19" s="23"/>
      <c r="DO19" s="14"/>
      <c r="DP19" s="20"/>
      <c r="DQ19" s="53"/>
      <c r="DR19" s="14"/>
      <c r="DS19" s="28"/>
      <c r="DT19" s="23"/>
      <c r="DU19" s="14"/>
      <c r="DV19" s="55"/>
      <c r="DW19" s="60">
        <f>SUM(DB19:DV19)</f>
        <v>0</v>
      </c>
      <c r="DX19" s="61">
        <f>DW19-DX20</f>
        <v>0</v>
      </c>
      <c r="DY19" s="13">
        <f>DW19*$D19</f>
        <v>0</v>
      </c>
      <c r="DZ19" s="15"/>
      <c r="EA19" s="200"/>
      <c r="EB19" s="201"/>
      <c r="EC19" s="202"/>
      <c r="ED19" s="53"/>
      <c r="EE19" s="54"/>
      <c r="EF19" s="55"/>
      <c r="EG19" s="53"/>
      <c r="EH19" s="54"/>
      <c r="EI19" s="55"/>
      <c r="EJ19" s="27"/>
      <c r="EK19" s="14"/>
      <c r="EL19" s="28"/>
      <c r="EM19" s="23"/>
      <c r="EN19" s="14"/>
      <c r="EO19" s="20"/>
      <c r="EP19" s="27"/>
      <c r="EQ19" s="14"/>
      <c r="ER19" s="28"/>
      <c r="ES19" s="23"/>
      <c r="ET19" s="14"/>
      <c r="EU19" s="20"/>
      <c r="EV19" s="60">
        <f>SUM(EA19:EU19)</f>
        <v>0</v>
      </c>
      <c r="EW19" s="61">
        <f>EV19-EW20</f>
        <v>0</v>
      </c>
      <c r="EX19" s="13">
        <f>EV19*$D19</f>
        <v>0</v>
      </c>
      <c r="EY19" s="15"/>
      <c r="EZ19" s="27"/>
      <c r="FA19" s="14"/>
      <c r="FB19" s="28"/>
      <c r="FC19" s="27"/>
      <c r="FD19" s="14"/>
      <c r="FE19" s="28"/>
      <c r="FF19" s="27"/>
      <c r="FG19" s="14"/>
      <c r="FH19" s="28"/>
      <c r="FI19" s="27"/>
      <c r="FJ19" s="14"/>
      <c r="FK19" s="28"/>
      <c r="FL19" s="23"/>
      <c r="FM19" s="14"/>
      <c r="FN19" s="20"/>
      <c r="FO19" s="27"/>
      <c r="FP19" s="14"/>
      <c r="FQ19" s="28"/>
      <c r="FR19" s="23"/>
      <c r="FS19" s="14"/>
      <c r="FT19" s="20"/>
      <c r="FU19" s="60">
        <f>SUM(EZ19:FT19)</f>
        <v>0</v>
      </c>
      <c r="FV19" s="61">
        <f>FU19-FV20</f>
        <v>0</v>
      </c>
      <c r="FW19" s="13">
        <f>FU19*$D19</f>
        <v>0</v>
      </c>
      <c r="FX19" s="15"/>
      <c r="FY19" s="27"/>
      <c r="FZ19" s="14"/>
      <c r="GA19" s="28"/>
      <c r="GB19" s="27"/>
      <c r="GC19" s="14"/>
      <c r="GD19" s="28"/>
      <c r="GE19" s="27"/>
      <c r="GF19" s="14"/>
      <c r="GG19" s="28"/>
      <c r="GH19" s="27"/>
      <c r="GI19" s="14"/>
      <c r="GJ19" s="28"/>
      <c r="GK19" s="23"/>
      <c r="GL19" s="14"/>
      <c r="GM19" s="20"/>
      <c r="GN19" s="27"/>
      <c r="GO19" s="14"/>
      <c r="GP19" s="28"/>
      <c r="GQ19" s="23"/>
      <c r="GR19" s="14"/>
      <c r="GS19" s="20"/>
      <c r="GT19" s="60">
        <f>SUM(FY19:GS19)</f>
        <v>0</v>
      </c>
      <c r="GU19" s="61">
        <f>GT19-GU20</f>
        <v>0</v>
      </c>
      <c r="GV19" s="13">
        <f>GT19*$D19</f>
        <v>0</v>
      </c>
      <c r="GW19" s="15"/>
      <c r="GX19" s="27"/>
      <c r="GY19" s="14"/>
      <c r="GZ19" s="28"/>
      <c r="HA19" s="27"/>
      <c r="HB19" s="14"/>
      <c r="HC19" s="28"/>
      <c r="HD19" s="27"/>
      <c r="HE19" s="14"/>
      <c r="HF19" s="28"/>
      <c r="HG19" s="27"/>
      <c r="HH19" s="14"/>
      <c r="HI19" s="28"/>
      <c r="HJ19" s="23"/>
      <c r="HK19" s="14"/>
      <c r="HL19" s="20"/>
      <c r="HM19" s="27"/>
      <c r="HN19" s="14"/>
      <c r="HO19" s="28"/>
      <c r="HP19" s="23"/>
      <c r="HQ19" s="14"/>
      <c r="HR19" s="20"/>
      <c r="HS19" s="60">
        <f>SUM(GX19:HR19)</f>
        <v>0</v>
      </c>
      <c r="HT19" s="61">
        <f>HS19-HT20</f>
        <v>0</v>
      </c>
      <c r="HU19" s="13">
        <f>HS19*$D19</f>
        <v>0</v>
      </c>
      <c r="HV19" s="15"/>
      <c r="HW19" s="27"/>
      <c r="HX19" s="14"/>
      <c r="HY19" s="28"/>
      <c r="HZ19" s="27"/>
      <c r="IA19" s="14"/>
      <c r="IB19" s="28"/>
      <c r="IC19" s="27"/>
      <c r="ID19" s="14"/>
      <c r="IE19" s="28"/>
      <c r="IF19" s="27"/>
      <c r="IG19" s="14"/>
      <c r="IH19" s="28"/>
      <c r="II19" s="23"/>
      <c r="IJ19" s="14"/>
      <c r="IK19" s="20"/>
      <c r="IL19" s="27"/>
      <c r="IM19" s="14"/>
      <c r="IN19" s="28"/>
      <c r="IO19" s="23"/>
      <c r="IP19" s="14"/>
      <c r="IQ19" s="20"/>
      <c r="IR19" s="60">
        <f>SUM(HW19:IQ19)</f>
        <v>0</v>
      </c>
      <c r="IS19" s="61">
        <f>IR19-IS20</f>
        <v>0</v>
      </c>
      <c r="IT19" s="13">
        <f>IR19*$D19</f>
        <v>0</v>
      </c>
      <c r="IU19" s="15"/>
      <c r="IV19" s="27"/>
      <c r="IW19" s="14"/>
      <c r="IX19" s="28"/>
      <c r="IY19" s="27"/>
      <c r="IZ19" s="14"/>
      <c r="JA19" s="28"/>
      <c r="JB19" s="27"/>
      <c r="JC19" s="14"/>
      <c r="JD19" s="28"/>
      <c r="JE19" s="27"/>
      <c r="JF19" s="14"/>
      <c r="JG19" s="28"/>
      <c r="JH19" s="23"/>
      <c r="JI19" s="14"/>
      <c r="JJ19" s="20"/>
      <c r="JK19" s="27"/>
      <c r="JL19" s="14"/>
      <c r="JM19" s="28"/>
      <c r="JN19" s="23"/>
      <c r="JO19" s="14"/>
      <c r="JP19" s="20"/>
      <c r="JQ19" s="60">
        <f>SUM(IV19:JP19)</f>
        <v>0</v>
      </c>
      <c r="JR19" s="61">
        <f>JQ19-JR20</f>
        <v>0</v>
      </c>
      <c r="JS19" s="13">
        <f>JQ19*$D19</f>
        <v>0</v>
      </c>
      <c r="JT19" s="15"/>
      <c r="JU19" s="210"/>
      <c r="JV19" s="211"/>
      <c r="JW19" s="212"/>
      <c r="JX19" s="27"/>
      <c r="JY19" s="14"/>
      <c r="JZ19" s="28"/>
      <c r="KA19" s="27"/>
      <c r="KB19" s="14"/>
      <c r="KC19" s="28"/>
      <c r="KD19" s="27"/>
      <c r="KE19" s="14"/>
      <c r="KF19" s="28"/>
      <c r="KG19" s="23"/>
      <c r="KH19" s="14"/>
      <c r="KI19" s="20"/>
      <c r="KJ19" s="27"/>
      <c r="KK19" s="14"/>
      <c r="KL19" s="28"/>
      <c r="KM19" s="27"/>
      <c r="KN19" s="14"/>
      <c r="KO19" s="28"/>
      <c r="KP19" s="60">
        <f>SUM(JU19:KO19)</f>
        <v>0</v>
      </c>
      <c r="KQ19" s="61">
        <f>KP19-KQ20</f>
        <v>0</v>
      </c>
      <c r="KR19" s="13">
        <f>KP19*$D19</f>
        <v>0</v>
      </c>
      <c r="KS19" s="15"/>
      <c r="KT19" s="27"/>
      <c r="KU19" s="14"/>
      <c r="KV19" s="28"/>
      <c r="KW19" s="27"/>
      <c r="KX19" s="14"/>
      <c r="KY19" s="28"/>
      <c r="KZ19" s="27"/>
      <c r="LA19" s="14"/>
      <c r="LB19" s="28"/>
      <c r="LC19" s="27"/>
      <c r="LD19" s="14"/>
      <c r="LE19" s="28"/>
      <c r="LF19" s="23"/>
      <c r="LG19" s="14"/>
      <c r="LH19" s="20"/>
      <c r="LI19" s="159"/>
      <c r="LJ19" s="172"/>
      <c r="LK19" s="173"/>
      <c r="LL19" s="159"/>
      <c r="LM19" s="160"/>
      <c r="LN19" s="175"/>
      <c r="LO19" s="60">
        <f>SUM(KT19:LN19)</f>
        <v>0</v>
      </c>
      <c r="LP19" s="61">
        <f>LO19-LP20</f>
        <v>0</v>
      </c>
      <c r="LQ19" s="13">
        <f>LO19*$D19</f>
        <v>0</v>
      </c>
      <c r="LR19" s="15"/>
    </row>
    <row r="20" spans="1:330" ht="15" hidden="1" thickBot="1" x14ac:dyDescent="0.4">
      <c r="A20" s="68"/>
      <c r="B20" s="98"/>
      <c r="C20" s="100"/>
      <c r="D20" s="16"/>
      <c r="E20" s="32" t="s">
        <v>7</v>
      </c>
      <c r="F20" s="189"/>
      <c r="G20" s="190"/>
      <c r="H20" s="191"/>
      <c r="I20" s="189"/>
      <c r="J20" s="190"/>
      <c r="K20" s="191"/>
      <c r="L20" s="189"/>
      <c r="M20" s="190"/>
      <c r="N20" s="191"/>
      <c r="O20" s="189"/>
      <c r="P20" s="190"/>
      <c r="Q20" s="191"/>
      <c r="R20" s="189"/>
      <c r="S20" s="190"/>
      <c r="T20" s="191"/>
      <c r="U20" s="57"/>
      <c r="V20" s="58"/>
      <c r="W20" s="59"/>
      <c r="X20" s="74"/>
      <c r="Y20" s="58"/>
      <c r="Z20" s="59"/>
      <c r="AA20" s="62"/>
      <c r="AB20" s="63">
        <f>SUM(F20:Z20)</f>
        <v>0</v>
      </c>
      <c r="AC20" s="16"/>
      <c r="AD20" s="18">
        <f>AB20*$D20</f>
        <v>0</v>
      </c>
      <c r="AE20" s="29"/>
      <c r="AF20" s="17"/>
      <c r="AG20" s="30"/>
      <c r="AH20" s="29"/>
      <c r="AI20" s="17"/>
      <c r="AJ20" s="30"/>
      <c r="AK20" s="29"/>
      <c r="AL20" s="17"/>
      <c r="AM20" s="30"/>
      <c r="AN20" s="29"/>
      <c r="AO20" s="17"/>
      <c r="AP20" s="30"/>
      <c r="AQ20" s="24"/>
      <c r="AR20" s="17"/>
      <c r="AS20" s="21"/>
      <c r="AT20" s="57"/>
      <c r="AU20" s="58"/>
      <c r="AV20" s="59"/>
      <c r="AW20" s="74"/>
      <c r="AX20" s="58"/>
      <c r="AY20" s="59"/>
      <c r="AZ20" s="62"/>
      <c r="BA20" s="63">
        <f>SUM(AE20:AY20)</f>
        <v>0</v>
      </c>
      <c r="BB20" s="16"/>
      <c r="BC20" s="18">
        <f>BA20*$D20</f>
        <v>0</v>
      </c>
      <c r="BD20" s="29"/>
      <c r="BE20" s="17"/>
      <c r="BF20" s="30"/>
      <c r="BG20" s="29"/>
      <c r="BH20" s="17"/>
      <c r="BI20" s="30"/>
      <c r="BJ20" s="29"/>
      <c r="BK20" s="17"/>
      <c r="BL20" s="30"/>
      <c r="BM20" s="29"/>
      <c r="BN20" s="17"/>
      <c r="BO20" s="30"/>
      <c r="BP20" s="24"/>
      <c r="BQ20" s="17"/>
      <c r="BR20" s="21"/>
      <c r="BS20" s="57"/>
      <c r="BT20" s="58"/>
      <c r="BU20" s="59"/>
      <c r="BV20" s="74"/>
      <c r="BW20" s="58"/>
      <c r="BX20" s="59"/>
      <c r="BY20" s="62"/>
      <c r="BZ20" s="63">
        <f>SUM(BD20:BX20)</f>
        <v>0</v>
      </c>
      <c r="CA20" s="16"/>
      <c r="CB20" s="18">
        <f>BZ20*$D20</f>
        <v>0</v>
      </c>
      <c r="CC20" s="29"/>
      <c r="CD20" s="17"/>
      <c r="CE20" s="30"/>
      <c r="CF20" s="29"/>
      <c r="CG20" s="17"/>
      <c r="CH20" s="30"/>
      <c r="CI20" s="29"/>
      <c r="CJ20" s="17"/>
      <c r="CK20" s="30"/>
      <c r="CL20" s="29"/>
      <c r="CM20" s="17"/>
      <c r="CN20" s="30"/>
      <c r="CO20" s="24"/>
      <c r="CP20" s="17"/>
      <c r="CQ20" s="21"/>
      <c r="CR20" s="57"/>
      <c r="CS20" s="58"/>
      <c r="CT20" s="59"/>
      <c r="CU20" s="74"/>
      <c r="CV20" s="58"/>
      <c r="CW20" s="59"/>
      <c r="CX20" s="62"/>
      <c r="CY20" s="63">
        <f>SUM(CC20:CW20)</f>
        <v>0</v>
      </c>
      <c r="CZ20" s="16"/>
      <c r="DA20" s="18">
        <f>CY20*$D20</f>
        <v>0</v>
      </c>
      <c r="DB20" s="29"/>
      <c r="DC20" s="17"/>
      <c r="DD20" s="30"/>
      <c r="DE20" s="29"/>
      <c r="DF20" s="17"/>
      <c r="DG20" s="30"/>
      <c r="DH20" s="29"/>
      <c r="DI20" s="17"/>
      <c r="DJ20" s="30"/>
      <c r="DK20" s="29"/>
      <c r="DL20" s="17"/>
      <c r="DM20" s="30"/>
      <c r="DN20" s="24"/>
      <c r="DO20" s="17"/>
      <c r="DP20" s="21"/>
      <c r="DQ20" s="57"/>
      <c r="DR20" s="58"/>
      <c r="DS20" s="59"/>
      <c r="DT20" s="74"/>
      <c r="DU20" s="58"/>
      <c r="DV20" s="59"/>
      <c r="DW20" s="62"/>
      <c r="DX20" s="63">
        <f>SUM(DB20:DV20)</f>
        <v>0</v>
      </c>
      <c r="DY20" s="16"/>
      <c r="DZ20" s="18">
        <f>DX20*$D20</f>
        <v>0</v>
      </c>
      <c r="EA20" s="203"/>
      <c r="EB20" s="204"/>
      <c r="EC20" s="205"/>
      <c r="ED20" s="29"/>
      <c r="EE20" s="17"/>
      <c r="EF20" s="30"/>
      <c r="EG20" s="24"/>
      <c r="EH20" s="17"/>
      <c r="EI20" s="21"/>
      <c r="EJ20" s="29"/>
      <c r="EK20" s="17"/>
      <c r="EL20" s="30"/>
      <c r="EM20" s="24"/>
      <c r="EN20" s="17"/>
      <c r="EO20" s="21"/>
      <c r="EP20" s="29"/>
      <c r="EQ20" s="17"/>
      <c r="ER20" s="30"/>
      <c r="ES20" s="24"/>
      <c r="ET20" s="17"/>
      <c r="EU20" s="21"/>
      <c r="EV20" s="62"/>
      <c r="EW20" s="63">
        <f>SUM(EA20:EU20)</f>
        <v>0</v>
      </c>
      <c r="EX20" s="16"/>
      <c r="EY20" s="18">
        <f>EW20*$D20</f>
        <v>0</v>
      </c>
      <c r="EZ20" s="29"/>
      <c r="FA20" s="17"/>
      <c r="FB20" s="30"/>
      <c r="FC20" s="29"/>
      <c r="FD20" s="17"/>
      <c r="FE20" s="30"/>
      <c r="FF20" s="29"/>
      <c r="FG20" s="17"/>
      <c r="FH20" s="30"/>
      <c r="FI20" s="29"/>
      <c r="FJ20" s="17"/>
      <c r="FK20" s="30"/>
      <c r="FL20" s="24"/>
      <c r="FM20" s="17"/>
      <c r="FN20" s="21"/>
      <c r="FO20" s="29"/>
      <c r="FP20" s="17"/>
      <c r="FQ20" s="30"/>
      <c r="FR20" s="24"/>
      <c r="FS20" s="17"/>
      <c r="FT20" s="21"/>
      <c r="FU20" s="62"/>
      <c r="FV20" s="63">
        <f>SUM(EZ20:FT20)</f>
        <v>0</v>
      </c>
      <c r="FW20" s="16"/>
      <c r="FX20" s="18">
        <f>FV20*$D20</f>
        <v>0</v>
      </c>
      <c r="FY20" s="29"/>
      <c r="FZ20" s="17"/>
      <c r="GA20" s="30"/>
      <c r="GB20" s="29"/>
      <c r="GC20" s="17"/>
      <c r="GD20" s="30"/>
      <c r="GE20" s="29"/>
      <c r="GF20" s="17"/>
      <c r="GG20" s="30"/>
      <c r="GH20" s="29"/>
      <c r="GI20" s="17"/>
      <c r="GJ20" s="30"/>
      <c r="GK20" s="24"/>
      <c r="GL20" s="17"/>
      <c r="GM20" s="21"/>
      <c r="GN20" s="29"/>
      <c r="GO20" s="17"/>
      <c r="GP20" s="30"/>
      <c r="GQ20" s="24"/>
      <c r="GR20" s="17"/>
      <c r="GS20" s="21"/>
      <c r="GT20" s="62"/>
      <c r="GU20" s="63">
        <f>SUM(FY20:GS20)</f>
        <v>0</v>
      </c>
      <c r="GV20" s="16"/>
      <c r="GW20" s="18">
        <f>GU20*$D20</f>
        <v>0</v>
      </c>
      <c r="GX20" s="29"/>
      <c r="GY20" s="17"/>
      <c r="GZ20" s="30"/>
      <c r="HA20" s="29"/>
      <c r="HB20" s="17"/>
      <c r="HC20" s="30"/>
      <c r="HD20" s="29"/>
      <c r="HE20" s="17"/>
      <c r="HF20" s="30"/>
      <c r="HG20" s="29"/>
      <c r="HH20" s="17"/>
      <c r="HI20" s="30"/>
      <c r="HJ20" s="24"/>
      <c r="HK20" s="17"/>
      <c r="HL20" s="21"/>
      <c r="HM20" s="29"/>
      <c r="HN20" s="17"/>
      <c r="HO20" s="30"/>
      <c r="HP20" s="24"/>
      <c r="HQ20" s="17"/>
      <c r="HR20" s="21"/>
      <c r="HS20" s="62"/>
      <c r="HT20" s="63">
        <f>SUM(GX20:HR20)</f>
        <v>0</v>
      </c>
      <c r="HU20" s="16"/>
      <c r="HV20" s="18">
        <f>HT20*$D20</f>
        <v>0</v>
      </c>
      <c r="HW20" s="29"/>
      <c r="HX20" s="17"/>
      <c r="HY20" s="30"/>
      <c r="HZ20" s="29"/>
      <c r="IA20" s="17"/>
      <c r="IB20" s="30"/>
      <c r="IC20" s="29"/>
      <c r="ID20" s="17"/>
      <c r="IE20" s="30"/>
      <c r="IF20" s="29"/>
      <c r="IG20" s="17"/>
      <c r="IH20" s="30"/>
      <c r="II20" s="24"/>
      <c r="IJ20" s="17"/>
      <c r="IK20" s="21"/>
      <c r="IL20" s="29"/>
      <c r="IM20" s="17"/>
      <c r="IN20" s="30"/>
      <c r="IO20" s="24"/>
      <c r="IP20" s="17"/>
      <c r="IQ20" s="21"/>
      <c r="IR20" s="62"/>
      <c r="IS20" s="63">
        <f>SUM(HW20:IQ20)</f>
        <v>0</v>
      </c>
      <c r="IT20" s="16"/>
      <c r="IU20" s="18">
        <f>IS20*$D20</f>
        <v>0</v>
      </c>
      <c r="IV20" s="29"/>
      <c r="IW20" s="17"/>
      <c r="IX20" s="30"/>
      <c r="IY20" s="29"/>
      <c r="IZ20" s="17"/>
      <c r="JA20" s="30"/>
      <c r="JB20" s="29"/>
      <c r="JC20" s="17"/>
      <c r="JD20" s="30"/>
      <c r="JE20" s="29"/>
      <c r="JF20" s="17"/>
      <c r="JG20" s="30"/>
      <c r="JH20" s="24"/>
      <c r="JI20" s="17"/>
      <c r="JJ20" s="21"/>
      <c r="JK20" s="29"/>
      <c r="JL20" s="17"/>
      <c r="JM20" s="30"/>
      <c r="JN20" s="24"/>
      <c r="JO20" s="17"/>
      <c r="JP20" s="21"/>
      <c r="JQ20" s="62"/>
      <c r="JR20" s="63">
        <f>SUM(IV20:JP20)</f>
        <v>0</v>
      </c>
      <c r="JS20" s="16"/>
      <c r="JT20" s="18">
        <f>JR20*$D20</f>
        <v>0</v>
      </c>
      <c r="JU20" s="203"/>
      <c r="JV20" s="204"/>
      <c r="JW20" s="205"/>
      <c r="JX20" s="29"/>
      <c r="JY20" s="17"/>
      <c r="JZ20" s="30"/>
      <c r="KA20" s="29"/>
      <c r="KB20" s="17"/>
      <c r="KC20" s="30"/>
      <c r="KD20" s="29"/>
      <c r="KE20" s="17"/>
      <c r="KF20" s="30"/>
      <c r="KG20" s="24"/>
      <c r="KH20" s="17"/>
      <c r="KI20" s="21"/>
      <c r="KJ20" s="29"/>
      <c r="KK20" s="17"/>
      <c r="KL20" s="30"/>
      <c r="KM20" s="29"/>
      <c r="KN20" s="17"/>
      <c r="KO20" s="30"/>
      <c r="KP20" s="62"/>
      <c r="KQ20" s="63">
        <f>SUM(JU20:KO20)</f>
        <v>0</v>
      </c>
      <c r="KR20" s="16"/>
      <c r="KS20" s="18">
        <f>KQ20*$D20</f>
        <v>0</v>
      </c>
      <c r="KT20" s="29"/>
      <c r="KU20" s="17"/>
      <c r="KV20" s="30"/>
      <c r="KW20" s="29"/>
      <c r="KX20" s="17"/>
      <c r="KY20" s="30"/>
      <c r="KZ20" s="29"/>
      <c r="LA20" s="17"/>
      <c r="LB20" s="30"/>
      <c r="LC20" s="29"/>
      <c r="LD20" s="17"/>
      <c r="LE20" s="30"/>
      <c r="LF20" s="24"/>
      <c r="LG20" s="17"/>
      <c r="LH20" s="21"/>
      <c r="LI20" s="165"/>
      <c r="LJ20" s="166"/>
      <c r="LK20" s="167"/>
      <c r="LL20" s="176"/>
      <c r="LM20" s="166"/>
      <c r="LN20" s="177"/>
      <c r="LO20" s="62"/>
      <c r="LP20" s="63">
        <f>SUM(KT20:LN20)</f>
        <v>0</v>
      </c>
      <c r="LQ20" s="16"/>
      <c r="LR20" s="18">
        <f>LP20*$D20</f>
        <v>0</v>
      </c>
    </row>
    <row r="21" spans="1:330" ht="25" hidden="1" x14ac:dyDescent="0.35">
      <c r="D21" s="1" t="s">
        <v>15</v>
      </c>
      <c r="E21" s="12" t="s">
        <v>6</v>
      </c>
      <c r="F21" s="49">
        <f t="shared" ref="F21:Z21" si="25">SUMPRODUCT((($D7:$D20)*(F$7:F$20))*($E7:$E20=$E$21))</f>
        <v>0</v>
      </c>
      <c r="G21" s="49">
        <f t="shared" si="25"/>
        <v>0</v>
      </c>
      <c r="H21" s="49">
        <f t="shared" si="25"/>
        <v>0</v>
      </c>
      <c r="I21" s="49">
        <f t="shared" si="25"/>
        <v>0</v>
      </c>
      <c r="J21" s="49">
        <f t="shared" si="25"/>
        <v>0</v>
      </c>
      <c r="K21" s="49">
        <f t="shared" si="25"/>
        <v>0</v>
      </c>
      <c r="L21" s="49">
        <f t="shared" si="25"/>
        <v>0</v>
      </c>
      <c r="M21" s="49">
        <f t="shared" si="25"/>
        <v>0</v>
      </c>
      <c r="N21" s="49">
        <f t="shared" si="25"/>
        <v>0</v>
      </c>
      <c r="O21" s="49">
        <f t="shared" si="25"/>
        <v>0</v>
      </c>
      <c r="P21" s="49">
        <f t="shared" si="25"/>
        <v>0</v>
      </c>
      <c r="Q21" s="49">
        <f t="shared" si="25"/>
        <v>0</v>
      </c>
      <c r="R21" s="49">
        <f t="shared" si="25"/>
        <v>0</v>
      </c>
      <c r="S21" s="49">
        <f t="shared" si="25"/>
        <v>0</v>
      </c>
      <c r="T21" s="49">
        <f t="shared" si="25"/>
        <v>0</v>
      </c>
      <c r="U21" s="49">
        <f t="shared" si="25"/>
        <v>0</v>
      </c>
      <c r="V21" s="49">
        <f t="shared" si="25"/>
        <v>0</v>
      </c>
      <c r="W21" s="49">
        <f t="shared" si="25"/>
        <v>0</v>
      </c>
      <c r="X21" s="49">
        <f t="shared" si="25"/>
        <v>0</v>
      </c>
      <c r="Y21" s="49">
        <f t="shared" si="25"/>
        <v>0</v>
      </c>
      <c r="Z21" s="49">
        <f t="shared" si="25"/>
        <v>0</v>
      </c>
      <c r="AA21" s="51">
        <f>AC4</f>
        <v>0</v>
      </c>
      <c r="AB21" s="51"/>
      <c r="AC21" s="44"/>
      <c r="AD21" s="44"/>
      <c r="AE21" s="49">
        <f t="shared" ref="AE21:AY21" si="26">SUMPRODUCT((($D7:$D20)*(AE$7:AE$20))*($E7:$E20=$E$21))</f>
        <v>51196.86</v>
      </c>
      <c r="AF21" s="49">
        <f t="shared" si="26"/>
        <v>48094.02</v>
      </c>
      <c r="AG21" s="49">
        <f t="shared" si="26"/>
        <v>0</v>
      </c>
      <c r="AH21" s="49">
        <f t="shared" si="26"/>
        <v>51196.86</v>
      </c>
      <c r="AI21" s="49">
        <f t="shared" si="26"/>
        <v>48094.02</v>
      </c>
      <c r="AJ21" s="49">
        <f t="shared" si="26"/>
        <v>0</v>
      </c>
      <c r="AK21" s="49">
        <f t="shared" si="26"/>
        <v>51196.86</v>
      </c>
      <c r="AL21" s="49">
        <f t="shared" si="26"/>
        <v>48094.02</v>
      </c>
      <c r="AM21" s="49">
        <f t="shared" si="26"/>
        <v>0</v>
      </c>
      <c r="AN21" s="49">
        <f t="shared" si="26"/>
        <v>51196.86</v>
      </c>
      <c r="AO21" s="49">
        <f t="shared" si="26"/>
        <v>48094.02</v>
      </c>
      <c r="AP21" s="49">
        <f t="shared" si="26"/>
        <v>0</v>
      </c>
      <c r="AQ21" s="49">
        <f t="shared" si="26"/>
        <v>0</v>
      </c>
      <c r="AR21" s="49">
        <f t="shared" si="26"/>
        <v>0</v>
      </c>
      <c r="AS21" s="49">
        <f t="shared" si="26"/>
        <v>0</v>
      </c>
      <c r="AT21" s="49">
        <f t="shared" si="26"/>
        <v>0</v>
      </c>
      <c r="AU21" s="49">
        <f t="shared" si="26"/>
        <v>0</v>
      </c>
      <c r="AV21" s="49">
        <f t="shared" si="26"/>
        <v>0</v>
      </c>
      <c r="AW21" s="49">
        <f t="shared" si="26"/>
        <v>0</v>
      </c>
      <c r="AX21" s="49">
        <f t="shared" si="26"/>
        <v>0</v>
      </c>
      <c r="AY21" s="49">
        <f t="shared" si="26"/>
        <v>0</v>
      </c>
      <c r="AZ21" s="51">
        <f>BB4</f>
        <v>397163.51999999996</v>
      </c>
      <c r="BA21" s="51"/>
      <c r="BB21" s="51"/>
      <c r="BC21" s="44"/>
      <c r="BD21" s="49">
        <f t="shared" ref="BD21:BX21" si="27">SUMPRODUCT((($D7:$D20)*(BD$7:BD$20))*($E7:$E20=$E$21))</f>
        <v>51196.86</v>
      </c>
      <c r="BE21" s="49">
        <f t="shared" si="27"/>
        <v>48094.02</v>
      </c>
      <c r="BF21" s="49">
        <f t="shared" si="27"/>
        <v>0</v>
      </c>
      <c r="BG21" s="49">
        <f t="shared" si="27"/>
        <v>51196.86</v>
      </c>
      <c r="BH21" s="49">
        <f t="shared" si="27"/>
        <v>48094.02</v>
      </c>
      <c r="BI21" s="49">
        <f t="shared" si="27"/>
        <v>0</v>
      </c>
      <c r="BJ21" s="49">
        <f t="shared" si="27"/>
        <v>51196.86</v>
      </c>
      <c r="BK21" s="49">
        <f t="shared" si="27"/>
        <v>48094.02</v>
      </c>
      <c r="BL21" s="49">
        <f t="shared" si="27"/>
        <v>0</v>
      </c>
      <c r="BM21" s="49">
        <f t="shared" si="27"/>
        <v>51196.86</v>
      </c>
      <c r="BN21" s="49">
        <f t="shared" si="27"/>
        <v>48094.02</v>
      </c>
      <c r="BO21" s="49">
        <f t="shared" si="27"/>
        <v>0</v>
      </c>
      <c r="BP21" s="49">
        <f t="shared" si="27"/>
        <v>51196.86</v>
      </c>
      <c r="BQ21" s="49">
        <f t="shared" si="27"/>
        <v>48094.02</v>
      </c>
      <c r="BR21" s="49">
        <f t="shared" si="27"/>
        <v>0</v>
      </c>
      <c r="BS21" s="49">
        <f t="shared" si="27"/>
        <v>0</v>
      </c>
      <c r="BT21" s="49">
        <f t="shared" si="27"/>
        <v>0</v>
      </c>
      <c r="BU21" s="49">
        <f t="shared" si="27"/>
        <v>0</v>
      </c>
      <c r="BV21" s="49">
        <f t="shared" si="27"/>
        <v>0</v>
      </c>
      <c r="BW21" s="49">
        <f t="shared" si="27"/>
        <v>0</v>
      </c>
      <c r="BX21" s="49">
        <f t="shared" si="27"/>
        <v>0</v>
      </c>
      <c r="BY21" s="51">
        <f>CA4</f>
        <v>496454.39999999997</v>
      </c>
      <c r="BZ21" s="51"/>
      <c r="CA21" s="51"/>
      <c r="CB21" s="44"/>
      <c r="CC21" s="49">
        <f t="shared" ref="CC21:CW21" si="28">SUMPRODUCT((($D7:$D20)*(CC$7:CC$20))*($E7:$E20=$E$21))</f>
        <v>51196.86</v>
      </c>
      <c r="CD21" s="49">
        <f t="shared" si="28"/>
        <v>48094.02</v>
      </c>
      <c r="CE21" s="49">
        <f t="shared" si="28"/>
        <v>0</v>
      </c>
      <c r="CF21" s="49">
        <f t="shared" si="28"/>
        <v>51196.86</v>
      </c>
      <c r="CG21" s="49">
        <f t="shared" si="28"/>
        <v>48094.02</v>
      </c>
      <c r="CH21" s="49">
        <f t="shared" si="28"/>
        <v>0</v>
      </c>
      <c r="CI21" s="49">
        <f t="shared" si="28"/>
        <v>51196.86</v>
      </c>
      <c r="CJ21" s="49">
        <f t="shared" si="28"/>
        <v>48094.02</v>
      </c>
      <c r="CK21" s="49">
        <f t="shared" si="28"/>
        <v>0</v>
      </c>
      <c r="CL21" s="49">
        <f t="shared" si="28"/>
        <v>51196.86</v>
      </c>
      <c r="CM21" s="49">
        <f t="shared" si="28"/>
        <v>48094.02</v>
      </c>
      <c r="CN21" s="49">
        <f t="shared" si="28"/>
        <v>0</v>
      </c>
      <c r="CO21" s="49">
        <f t="shared" si="28"/>
        <v>51196.86</v>
      </c>
      <c r="CP21" s="49">
        <f t="shared" si="28"/>
        <v>48094.02</v>
      </c>
      <c r="CQ21" s="49">
        <f t="shared" si="28"/>
        <v>0</v>
      </c>
      <c r="CR21" s="49">
        <f t="shared" si="28"/>
        <v>51206.04</v>
      </c>
      <c r="CS21" s="49">
        <f t="shared" si="28"/>
        <v>0</v>
      </c>
      <c r="CT21" s="49">
        <f t="shared" si="28"/>
        <v>0</v>
      </c>
      <c r="CU21" s="49">
        <f t="shared" si="28"/>
        <v>51206.04</v>
      </c>
      <c r="CV21" s="49">
        <f t="shared" si="28"/>
        <v>0</v>
      </c>
      <c r="CW21" s="49">
        <f t="shared" si="28"/>
        <v>0</v>
      </c>
      <c r="CX21" s="51">
        <f>CZ4</f>
        <v>598866.48</v>
      </c>
      <c r="CY21" s="51"/>
      <c r="CZ21" s="51"/>
      <c r="DA21" s="44"/>
      <c r="DB21" s="49">
        <f t="shared" ref="DB21:DV21" si="29">SUMPRODUCT((($D7:$D20)*(DB$7:DB$20))*($E7:$E20=$E$21))</f>
        <v>51196.86</v>
      </c>
      <c r="DC21" s="49">
        <f t="shared" si="29"/>
        <v>48094.02</v>
      </c>
      <c r="DD21" s="49">
        <f t="shared" si="29"/>
        <v>0</v>
      </c>
      <c r="DE21" s="49">
        <f t="shared" si="29"/>
        <v>51196.86</v>
      </c>
      <c r="DF21" s="49">
        <f t="shared" si="29"/>
        <v>48094.02</v>
      </c>
      <c r="DG21" s="49">
        <f t="shared" si="29"/>
        <v>0</v>
      </c>
      <c r="DH21" s="49">
        <f t="shared" si="29"/>
        <v>51196.86</v>
      </c>
      <c r="DI21" s="49">
        <f t="shared" si="29"/>
        <v>48094.02</v>
      </c>
      <c r="DJ21" s="49">
        <f t="shared" si="29"/>
        <v>0</v>
      </c>
      <c r="DK21" s="49">
        <f t="shared" si="29"/>
        <v>51196.86</v>
      </c>
      <c r="DL21" s="49">
        <f t="shared" si="29"/>
        <v>48094.02</v>
      </c>
      <c r="DM21" s="49">
        <f t="shared" si="29"/>
        <v>0</v>
      </c>
      <c r="DN21" s="49">
        <f t="shared" si="29"/>
        <v>0</v>
      </c>
      <c r="DO21" s="49">
        <f t="shared" si="29"/>
        <v>0</v>
      </c>
      <c r="DP21" s="49">
        <f t="shared" si="29"/>
        <v>0</v>
      </c>
      <c r="DQ21" s="49">
        <f t="shared" si="29"/>
        <v>0</v>
      </c>
      <c r="DR21" s="49">
        <f t="shared" si="29"/>
        <v>0</v>
      </c>
      <c r="DS21" s="49">
        <f t="shared" si="29"/>
        <v>0</v>
      </c>
      <c r="DT21" s="49">
        <f t="shared" si="29"/>
        <v>0</v>
      </c>
      <c r="DU21" s="49">
        <f t="shared" si="29"/>
        <v>0</v>
      </c>
      <c r="DV21" s="49">
        <f t="shared" si="29"/>
        <v>0</v>
      </c>
      <c r="DW21" s="51">
        <f>DY4</f>
        <v>397163.51999999996</v>
      </c>
      <c r="DX21" s="51"/>
      <c r="DY21" s="51"/>
      <c r="DZ21" s="44"/>
      <c r="EA21" s="49">
        <f t="shared" ref="EA21:EU21" si="30">SUMPRODUCT((($D7:$D20)*(EA$7:EA$20))*($E7:$E20=$E$21))</f>
        <v>0</v>
      </c>
      <c r="EB21" s="49">
        <f t="shared" si="30"/>
        <v>0</v>
      </c>
      <c r="EC21" s="49">
        <f t="shared" si="30"/>
        <v>0</v>
      </c>
      <c r="ED21" s="49">
        <f t="shared" si="30"/>
        <v>51196.86</v>
      </c>
      <c r="EE21" s="49">
        <f t="shared" si="30"/>
        <v>48094.02</v>
      </c>
      <c r="EF21" s="49">
        <f t="shared" si="30"/>
        <v>0</v>
      </c>
      <c r="EG21" s="49">
        <f t="shared" si="30"/>
        <v>51196.86</v>
      </c>
      <c r="EH21" s="49">
        <f t="shared" si="30"/>
        <v>48094.02</v>
      </c>
      <c r="EI21" s="49">
        <f t="shared" si="30"/>
        <v>0</v>
      </c>
      <c r="EJ21" s="49">
        <f t="shared" si="30"/>
        <v>51196.86</v>
      </c>
      <c r="EK21" s="49">
        <f t="shared" si="30"/>
        <v>48094.02</v>
      </c>
      <c r="EL21" s="49">
        <f t="shared" si="30"/>
        <v>0</v>
      </c>
      <c r="EM21" s="49">
        <f t="shared" si="30"/>
        <v>51196.86</v>
      </c>
      <c r="EN21" s="49">
        <f t="shared" si="30"/>
        <v>48094.02</v>
      </c>
      <c r="EO21" s="49">
        <f t="shared" si="30"/>
        <v>0</v>
      </c>
      <c r="EP21" s="49">
        <f t="shared" si="30"/>
        <v>0</v>
      </c>
      <c r="EQ21" s="49">
        <f t="shared" si="30"/>
        <v>0</v>
      </c>
      <c r="ER21" s="49">
        <f t="shared" si="30"/>
        <v>0</v>
      </c>
      <c r="ES21" s="49">
        <f t="shared" si="30"/>
        <v>0</v>
      </c>
      <c r="ET21" s="49">
        <f t="shared" si="30"/>
        <v>0</v>
      </c>
      <c r="EU21" s="49">
        <f t="shared" si="30"/>
        <v>0</v>
      </c>
      <c r="EV21" s="51">
        <f>EX4</f>
        <v>397163.51999999996</v>
      </c>
      <c r="EW21" s="51"/>
      <c r="EX21" s="51"/>
      <c r="EY21" s="44"/>
      <c r="EZ21" s="49">
        <f t="shared" ref="EZ21:FT21" si="31">SUMPRODUCT((($D7:$D20)*(EZ$7:EZ$20))*($E7:$E20=$E$21))</f>
        <v>51196.86</v>
      </c>
      <c r="FA21" s="49">
        <f t="shared" si="31"/>
        <v>48094.02</v>
      </c>
      <c r="FB21" s="49">
        <f t="shared" si="31"/>
        <v>0</v>
      </c>
      <c r="FC21" s="49">
        <f t="shared" si="31"/>
        <v>51196.86</v>
      </c>
      <c r="FD21" s="49">
        <f t="shared" si="31"/>
        <v>48094.02</v>
      </c>
      <c r="FE21" s="49">
        <f t="shared" si="31"/>
        <v>0</v>
      </c>
      <c r="FF21" s="49">
        <f t="shared" si="31"/>
        <v>51196.86</v>
      </c>
      <c r="FG21" s="49">
        <f t="shared" si="31"/>
        <v>48094.02</v>
      </c>
      <c r="FH21" s="49">
        <f t="shared" si="31"/>
        <v>0</v>
      </c>
      <c r="FI21" s="49">
        <f t="shared" si="31"/>
        <v>51196.86</v>
      </c>
      <c r="FJ21" s="49">
        <f t="shared" si="31"/>
        <v>48094.02</v>
      </c>
      <c r="FK21" s="49">
        <f t="shared" si="31"/>
        <v>0</v>
      </c>
      <c r="FL21" s="49">
        <f t="shared" si="31"/>
        <v>51196.86</v>
      </c>
      <c r="FM21" s="49">
        <f t="shared" si="31"/>
        <v>48094.02</v>
      </c>
      <c r="FN21" s="49">
        <f t="shared" si="31"/>
        <v>0</v>
      </c>
      <c r="FO21" s="49">
        <f t="shared" si="31"/>
        <v>0</v>
      </c>
      <c r="FP21" s="49">
        <f t="shared" si="31"/>
        <v>0</v>
      </c>
      <c r="FQ21" s="49">
        <f t="shared" si="31"/>
        <v>0</v>
      </c>
      <c r="FR21" s="49">
        <f t="shared" si="31"/>
        <v>0</v>
      </c>
      <c r="FS21" s="49">
        <f t="shared" si="31"/>
        <v>0</v>
      </c>
      <c r="FT21" s="49">
        <f t="shared" si="31"/>
        <v>0</v>
      </c>
      <c r="FU21" s="51">
        <f>FW4</f>
        <v>496454.39999999997</v>
      </c>
      <c r="FV21" s="51"/>
      <c r="FW21" s="51"/>
      <c r="FX21" s="44"/>
      <c r="FY21" s="49">
        <f t="shared" ref="FY21:GS21" si="32">SUMPRODUCT((($D7:$D20)*(FY$7:FY$20))*($E7:$E20=$E$21))</f>
        <v>51196.86</v>
      </c>
      <c r="FZ21" s="49">
        <f t="shared" si="32"/>
        <v>48094.02</v>
      </c>
      <c r="GA21" s="49">
        <f t="shared" si="32"/>
        <v>0</v>
      </c>
      <c r="GB21" s="49">
        <f t="shared" si="32"/>
        <v>51196.86</v>
      </c>
      <c r="GC21" s="49">
        <f t="shared" si="32"/>
        <v>48094.02</v>
      </c>
      <c r="GD21" s="49">
        <f t="shared" si="32"/>
        <v>0</v>
      </c>
      <c r="GE21" s="49">
        <f t="shared" si="32"/>
        <v>51196.86</v>
      </c>
      <c r="GF21" s="49">
        <f t="shared" si="32"/>
        <v>48094.02</v>
      </c>
      <c r="GG21" s="49">
        <f t="shared" si="32"/>
        <v>0</v>
      </c>
      <c r="GH21" s="49">
        <f t="shared" si="32"/>
        <v>51196.86</v>
      </c>
      <c r="GI21" s="49">
        <f t="shared" si="32"/>
        <v>48094.02</v>
      </c>
      <c r="GJ21" s="49">
        <f t="shared" si="32"/>
        <v>0</v>
      </c>
      <c r="GK21" s="49">
        <f t="shared" si="32"/>
        <v>51196.86</v>
      </c>
      <c r="GL21" s="49">
        <f t="shared" si="32"/>
        <v>48094.02</v>
      </c>
      <c r="GM21" s="49">
        <f t="shared" si="32"/>
        <v>0</v>
      </c>
      <c r="GN21" s="49">
        <f t="shared" si="32"/>
        <v>0</v>
      </c>
      <c r="GO21" s="49">
        <f t="shared" si="32"/>
        <v>0</v>
      </c>
      <c r="GP21" s="49">
        <f t="shared" si="32"/>
        <v>0</v>
      </c>
      <c r="GQ21" s="49">
        <f t="shared" si="32"/>
        <v>0</v>
      </c>
      <c r="GR21" s="49">
        <f t="shared" si="32"/>
        <v>0</v>
      </c>
      <c r="GS21" s="49">
        <f t="shared" si="32"/>
        <v>0</v>
      </c>
      <c r="GT21" s="51">
        <f>GV4</f>
        <v>496454.39999999997</v>
      </c>
      <c r="GU21" s="51"/>
      <c r="GV21" s="51"/>
      <c r="GW21" s="44"/>
      <c r="GX21" s="49">
        <f t="shared" ref="GX21:HR21" si="33">SUMPRODUCT((($D7:$D20)*(GX$7:GX$20))*($E7:$E20=$E$21))</f>
        <v>51196.86</v>
      </c>
      <c r="GY21" s="49">
        <f t="shared" si="33"/>
        <v>48094.02</v>
      </c>
      <c r="GZ21" s="49">
        <f t="shared" si="33"/>
        <v>0</v>
      </c>
      <c r="HA21" s="49">
        <f t="shared" si="33"/>
        <v>51196.86</v>
      </c>
      <c r="HB21" s="49">
        <f t="shared" si="33"/>
        <v>48094.02</v>
      </c>
      <c r="HC21" s="49">
        <f t="shared" si="33"/>
        <v>0</v>
      </c>
      <c r="HD21" s="49">
        <f t="shared" si="33"/>
        <v>51196.86</v>
      </c>
      <c r="HE21" s="49">
        <f t="shared" si="33"/>
        <v>48094.02</v>
      </c>
      <c r="HF21" s="49">
        <f t="shared" si="33"/>
        <v>0</v>
      </c>
      <c r="HG21" s="49">
        <f t="shared" si="33"/>
        <v>51196.86</v>
      </c>
      <c r="HH21" s="49">
        <f t="shared" si="33"/>
        <v>48094.02</v>
      </c>
      <c r="HI21" s="49">
        <f t="shared" si="33"/>
        <v>0</v>
      </c>
      <c r="HJ21" s="49">
        <f t="shared" si="33"/>
        <v>51196.86</v>
      </c>
      <c r="HK21" s="49">
        <f t="shared" si="33"/>
        <v>48094.02</v>
      </c>
      <c r="HL21" s="49">
        <f t="shared" si="33"/>
        <v>0</v>
      </c>
      <c r="HM21" s="49">
        <f t="shared" si="33"/>
        <v>0</v>
      </c>
      <c r="HN21" s="49">
        <f t="shared" si="33"/>
        <v>0</v>
      </c>
      <c r="HO21" s="49">
        <f t="shared" si="33"/>
        <v>0</v>
      </c>
      <c r="HP21" s="49">
        <f t="shared" si="33"/>
        <v>0</v>
      </c>
      <c r="HQ21" s="49">
        <f t="shared" si="33"/>
        <v>0</v>
      </c>
      <c r="HR21" s="49">
        <f t="shared" si="33"/>
        <v>0</v>
      </c>
      <c r="HS21" s="51">
        <f>HU4</f>
        <v>496454.39999999997</v>
      </c>
      <c r="HT21" s="51"/>
      <c r="HU21" s="51"/>
      <c r="HV21" s="44"/>
      <c r="HW21" s="49">
        <f t="shared" ref="HW21:IQ21" si="34">SUMPRODUCT((($D7:$D20)*(HW$7:HW$20))*($E7:$E20=$E$21))</f>
        <v>51196.86</v>
      </c>
      <c r="HX21" s="49">
        <f t="shared" si="34"/>
        <v>48094.02</v>
      </c>
      <c r="HY21" s="49">
        <f t="shared" si="34"/>
        <v>0</v>
      </c>
      <c r="HZ21" s="49">
        <f t="shared" si="34"/>
        <v>50211.72</v>
      </c>
      <c r="IA21" s="49">
        <f t="shared" si="34"/>
        <v>47334.364999999998</v>
      </c>
      <c r="IB21" s="49">
        <f t="shared" si="34"/>
        <v>0</v>
      </c>
      <c r="IC21" s="49">
        <f t="shared" si="34"/>
        <v>50388.195</v>
      </c>
      <c r="ID21" s="49">
        <f t="shared" si="34"/>
        <v>47334.364999999998</v>
      </c>
      <c r="IE21" s="49">
        <f t="shared" si="34"/>
        <v>0</v>
      </c>
      <c r="IF21" s="49">
        <f t="shared" si="34"/>
        <v>50388.195</v>
      </c>
      <c r="IG21" s="49">
        <f t="shared" si="34"/>
        <v>47334.364999999998</v>
      </c>
      <c r="IH21" s="49">
        <f t="shared" si="34"/>
        <v>0</v>
      </c>
      <c r="II21" s="49">
        <f t="shared" si="34"/>
        <v>50388.195</v>
      </c>
      <c r="IJ21" s="49">
        <f t="shared" si="34"/>
        <v>47334.364999999998</v>
      </c>
      <c r="IK21" s="49">
        <f t="shared" si="34"/>
        <v>0</v>
      </c>
      <c r="IL21" s="49">
        <f t="shared" si="34"/>
        <v>0</v>
      </c>
      <c r="IM21" s="49">
        <f t="shared" si="34"/>
        <v>0</v>
      </c>
      <c r="IN21" s="49">
        <f t="shared" si="34"/>
        <v>0</v>
      </c>
      <c r="IO21" s="49">
        <f t="shared" si="34"/>
        <v>0</v>
      </c>
      <c r="IP21" s="49">
        <f t="shared" si="34"/>
        <v>0</v>
      </c>
      <c r="IQ21" s="49">
        <f t="shared" si="34"/>
        <v>0</v>
      </c>
      <c r="IR21" s="51">
        <f>IT4</f>
        <v>490004.64500000002</v>
      </c>
      <c r="IS21" s="51"/>
      <c r="IT21" s="51"/>
      <c r="IU21" s="44"/>
      <c r="IV21" s="49">
        <f t="shared" ref="IV21:JP21" si="35">SUMPRODUCT((($D7:$D20)*(IV$7:IV$20))*($E7:$E20=$E$21))</f>
        <v>50388.195</v>
      </c>
      <c r="IW21" s="49">
        <f t="shared" si="35"/>
        <v>47334.364999999998</v>
      </c>
      <c r="IX21" s="49">
        <f t="shared" si="35"/>
        <v>0</v>
      </c>
      <c r="IY21" s="49">
        <f t="shared" si="35"/>
        <v>50388.195</v>
      </c>
      <c r="IZ21" s="49">
        <f t="shared" si="35"/>
        <v>47334.364999999998</v>
      </c>
      <c r="JA21" s="49">
        <f t="shared" si="35"/>
        <v>0</v>
      </c>
      <c r="JB21" s="49">
        <f t="shared" si="35"/>
        <v>50388.195</v>
      </c>
      <c r="JC21" s="49">
        <f t="shared" si="35"/>
        <v>47334.364999999998</v>
      </c>
      <c r="JD21" s="49">
        <f t="shared" si="35"/>
        <v>0</v>
      </c>
      <c r="JE21" s="49">
        <f t="shared" si="35"/>
        <v>50388.195</v>
      </c>
      <c r="JF21" s="49">
        <f t="shared" si="35"/>
        <v>47334.364999999998</v>
      </c>
      <c r="JG21" s="49">
        <f t="shared" si="35"/>
        <v>0</v>
      </c>
      <c r="JH21" s="49">
        <f t="shared" si="35"/>
        <v>50388.195</v>
      </c>
      <c r="JI21" s="49">
        <f t="shared" si="35"/>
        <v>45341.905000000006</v>
      </c>
      <c r="JJ21" s="49">
        <f t="shared" si="35"/>
        <v>0</v>
      </c>
      <c r="JK21" s="49">
        <f t="shared" si="35"/>
        <v>0</v>
      </c>
      <c r="JL21" s="49">
        <f t="shared" si="35"/>
        <v>0</v>
      </c>
      <c r="JM21" s="49">
        <f t="shared" si="35"/>
        <v>0</v>
      </c>
      <c r="JN21" s="49">
        <f t="shared" si="35"/>
        <v>0</v>
      </c>
      <c r="JO21" s="49">
        <f t="shared" si="35"/>
        <v>0</v>
      </c>
      <c r="JP21" s="49">
        <f t="shared" si="35"/>
        <v>0</v>
      </c>
      <c r="JQ21" s="51">
        <f>JS4</f>
        <v>486620.34</v>
      </c>
      <c r="JR21" s="51"/>
      <c r="JS21" s="51"/>
      <c r="JT21" s="44"/>
      <c r="JU21" s="49">
        <f t="shared" ref="JU21:KO21" si="36">SUMPRODUCT((($D7:$D20)*(JU$7:JU$20))*($E7:$E20=$E$21))</f>
        <v>0</v>
      </c>
      <c r="JV21" s="49">
        <f t="shared" si="36"/>
        <v>0</v>
      </c>
      <c r="JW21" s="49">
        <f t="shared" si="36"/>
        <v>0</v>
      </c>
      <c r="JX21" s="49">
        <f t="shared" si="36"/>
        <v>45034.274999999994</v>
      </c>
      <c r="JY21" s="49">
        <f t="shared" si="36"/>
        <v>42304.924999999996</v>
      </c>
      <c r="JZ21" s="49">
        <f t="shared" si="36"/>
        <v>0</v>
      </c>
      <c r="KA21" s="49">
        <f t="shared" si="36"/>
        <v>45034.274999999994</v>
      </c>
      <c r="KB21" s="49">
        <f t="shared" si="36"/>
        <v>43352.724999999999</v>
      </c>
      <c r="KC21" s="49">
        <f t="shared" si="36"/>
        <v>0</v>
      </c>
      <c r="KD21" s="49">
        <f t="shared" si="36"/>
        <v>47733.035000000003</v>
      </c>
      <c r="KE21" s="49">
        <f t="shared" si="36"/>
        <v>33765.75</v>
      </c>
      <c r="KF21" s="49">
        <f t="shared" si="36"/>
        <v>0</v>
      </c>
      <c r="KG21" s="49">
        <f t="shared" si="36"/>
        <v>35971.65</v>
      </c>
      <c r="KH21" s="49">
        <f t="shared" si="36"/>
        <v>33791.550000000003</v>
      </c>
      <c r="KI21" s="49">
        <f t="shared" si="36"/>
        <v>0</v>
      </c>
      <c r="KJ21" s="49">
        <f t="shared" si="36"/>
        <v>0</v>
      </c>
      <c r="KK21" s="49">
        <f t="shared" si="36"/>
        <v>0</v>
      </c>
      <c r="KL21" s="49">
        <f t="shared" si="36"/>
        <v>0</v>
      </c>
      <c r="KM21" s="49">
        <f t="shared" si="36"/>
        <v>0</v>
      </c>
      <c r="KN21" s="49">
        <f t="shared" si="36"/>
        <v>0</v>
      </c>
      <c r="KO21" s="49">
        <f t="shared" si="36"/>
        <v>0</v>
      </c>
      <c r="KP21" s="51">
        <f>KR4</f>
        <v>326988.185</v>
      </c>
      <c r="KQ21" s="51"/>
      <c r="KR21" s="51"/>
      <c r="KS21" s="44"/>
      <c r="KT21" s="49">
        <f t="shared" ref="KT21:LN21" si="37">SUMPRODUCT((($D7:$D20)*(KT$7:KT$20))*($E7:$E20=$E$21))</f>
        <v>51196.86</v>
      </c>
      <c r="KU21" s="49">
        <f t="shared" si="37"/>
        <v>48094.02</v>
      </c>
      <c r="KV21" s="49">
        <f t="shared" si="37"/>
        <v>0</v>
      </c>
      <c r="KW21" s="49">
        <f t="shared" si="37"/>
        <v>51196.86</v>
      </c>
      <c r="KX21" s="49">
        <f t="shared" si="37"/>
        <v>48094.02</v>
      </c>
      <c r="KY21" s="49">
        <f t="shared" si="37"/>
        <v>0</v>
      </c>
      <c r="KZ21" s="49">
        <f t="shared" si="37"/>
        <v>51196.86</v>
      </c>
      <c r="LA21" s="49">
        <f t="shared" si="37"/>
        <v>48094.02</v>
      </c>
      <c r="LB21" s="49">
        <f t="shared" si="37"/>
        <v>0</v>
      </c>
      <c r="LC21" s="49">
        <f t="shared" si="37"/>
        <v>51196.86</v>
      </c>
      <c r="LD21" s="49">
        <f t="shared" si="37"/>
        <v>48094.02</v>
      </c>
      <c r="LE21" s="49">
        <f t="shared" si="37"/>
        <v>0</v>
      </c>
      <c r="LF21" s="49">
        <f t="shared" si="37"/>
        <v>51196.86</v>
      </c>
      <c r="LG21" s="49">
        <f t="shared" si="37"/>
        <v>48094.02</v>
      </c>
      <c r="LH21" s="49">
        <f t="shared" si="37"/>
        <v>0</v>
      </c>
      <c r="LI21" s="49">
        <f t="shared" si="37"/>
        <v>0</v>
      </c>
      <c r="LJ21" s="49">
        <f t="shared" si="37"/>
        <v>0</v>
      </c>
      <c r="LK21" s="49">
        <f t="shared" si="37"/>
        <v>0</v>
      </c>
      <c r="LL21" s="49">
        <f t="shared" si="37"/>
        <v>0</v>
      </c>
      <c r="LM21" s="49">
        <f t="shared" si="37"/>
        <v>0</v>
      </c>
      <c r="LN21" s="49">
        <f t="shared" si="37"/>
        <v>0</v>
      </c>
      <c r="LO21" s="51">
        <f>LQ4</f>
        <v>496454.39999999997</v>
      </c>
      <c r="LP21" s="51"/>
      <c r="LQ21" s="51"/>
      <c r="LR21" s="44"/>
    </row>
    <row r="22" spans="1:330" ht="25" hidden="1" x14ac:dyDescent="0.35">
      <c r="D22" s="1" t="s">
        <v>15</v>
      </c>
      <c r="E22" s="47" t="s">
        <v>7</v>
      </c>
      <c r="F22" s="46">
        <f t="shared" ref="F22:Z22" si="38">SUMPRODUCT((($D7:$D20)*(F$7:F$20))*($E7:$E20=$E$22))</f>
        <v>0</v>
      </c>
      <c r="G22" s="46">
        <f t="shared" si="38"/>
        <v>0</v>
      </c>
      <c r="H22" s="46">
        <f t="shared" si="38"/>
        <v>0</v>
      </c>
      <c r="I22" s="46">
        <f t="shared" si="38"/>
        <v>0</v>
      </c>
      <c r="J22" s="46">
        <f t="shared" si="38"/>
        <v>0</v>
      </c>
      <c r="K22" s="46">
        <f t="shared" si="38"/>
        <v>0</v>
      </c>
      <c r="L22" s="46">
        <f t="shared" si="38"/>
        <v>0</v>
      </c>
      <c r="M22" s="46">
        <f t="shared" si="38"/>
        <v>0</v>
      </c>
      <c r="N22" s="46">
        <f t="shared" si="38"/>
        <v>0</v>
      </c>
      <c r="O22" s="46">
        <f t="shared" si="38"/>
        <v>0</v>
      </c>
      <c r="P22" s="46">
        <f t="shared" si="38"/>
        <v>0</v>
      </c>
      <c r="Q22" s="46">
        <f t="shared" si="38"/>
        <v>0</v>
      </c>
      <c r="R22" s="46">
        <f t="shared" si="38"/>
        <v>0</v>
      </c>
      <c r="S22" s="46">
        <f t="shared" si="38"/>
        <v>0</v>
      </c>
      <c r="T22" s="46">
        <f t="shared" si="38"/>
        <v>0</v>
      </c>
      <c r="U22" s="46">
        <f t="shared" si="38"/>
        <v>0</v>
      </c>
      <c r="V22" s="46">
        <f t="shared" si="38"/>
        <v>0</v>
      </c>
      <c r="W22" s="46">
        <f t="shared" si="38"/>
        <v>0</v>
      </c>
      <c r="X22" s="46">
        <f t="shared" si="38"/>
        <v>0</v>
      </c>
      <c r="Y22" s="46">
        <f t="shared" si="38"/>
        <v>0</v>
      </c>
      <c r="Z22" s="46">
        <f t="shared" si="38"/>
        <v>0</v>
      </c>
      <c r="AA22" s="52"/>
      <c r="AB22" s="52">
        <f>AD4</f>
        <v>0</v>
      </c>
      <c r="AC22" s="44"/>
      <c r="AD22" s="44"/>
      <c r="AE22" s="46">
        <f t="shared" ref="AE22:AY22" si="39">SUMPRODUCT((($D7:$D20)*(AE$7:AE$20))*($E7:$E20=$E$22))</f>
        <v>28027.359999999997</v>
      </c>
      <c r="AF22" s="46">
        <f t="shared" si="39"/>
        <v>37376.06</v>
      </c>
      <c r="AG22" s="46">
        <f t="shared" si="39"/>
        <v>0</v>
      </c>
      <c r="AH22" s="46">
        <f t="shared" si="39"/>
        <v>41365.08</v>
      </c>
      <c r="AI22" s="46">
        <f t="shared" si="39"/>
        <v>47846.159999999996</v>
      </c>
      <c r="AJ22" s="46">
        <f t="shared" si="39"/>
        <v>0</v>
      </c>
      <c r="AK22" s="46">
        <f t="shared" si="39"/>
        <v>46560.959999999999</v>
      </c>
      <c r="AL22" s="46">
        <f t="shared" si="39"/>
        <v>44890.2</v>
      </c>
      <c r="AM22" s="46">
        <f t="shared" si="39"/>
        <v>0</v>
      </c>
      <c r="AN22" s="46">
        <f t="shared" si="39"/>
        <v>44541.36</v>
      </c>
      <c r="AO22" s="46">
        <f t="shared" si="39"/>
        <v>42998.14</v>
      </c>
      <c r="AP22" s="46">
        <f t="shared" si="39"/>
        <v>0</v>
      </c>
      <c r="AQ22" s="46">
        <f t="shared" si="39"/>
        <v>0</v>
      </c>
      <c r="AR22" s="46">
        <f t="shared" si="39"/>
        <v>0</v>
      </c>
      <c r="AS22" s="46">
        <f t="shared" si="39"/>
        <v>0</v>
      </c>
      <c r="AT22" s="46">
        <f t="shared" si="39"/>
        <v>0</v>
      </c>
      <c r="AU22" s="46">
        <f t="shared" si="39"/>
        <v>0</v>
      </c>
      <c r="AV22" s="46">
        <f t="shared" si="39"/>
        <v>0</v>
      </c>
      <c r="AW22" s="46">
        <f t="shared" si="39"/>
        <v>0</v>
      </c>
      <c r="AX22" s="46">
        <f t="shared" si="39"/>
        <v>0</v>
      </c>
      <c r="AY22" s="46">
        <f t="shared" si="39"/>
        <v>0</v>
      </c>
      <c r="AZ22" s="52"/>
      <c r="BA22" s="52">
        <f>BC4</f>
        <v>332701.56</v>
      </c>
      <c r="BB22" s="52"/>
      <c r="BC22" s="44"/>
      <c r="BD22" s="46">
        <f t="shared" ref="BD22:BX22" si="40">SUMPRODUCT((($D7:$D20)*(BD$7:BD$20))*($E7:$E20=$E$22))</f>
        <v>39859.56</v>
      </c>
      <c r="BE22" s="46">
        <f t="shared" si="40"/>
        <v>41254.92</v>
      </c>
      <c r="BF22" s="46">
        <f t="shared" si="40"/>
        <v>0</v>
      </c>
      <c r="BG22" s="46">
        <f t="shared" si="40"/>
        <v>49627.08</v>
      </c>
      <c r="BH22" s="46">
        <f t="shared" si="40"/>
        <v>46267.199999999997</v>
      </c>
      <c r="BI22" s="46">
        <f t="shared" si="40"/>
        <v>0</v>
      </c>
      <c r="BJ22" s="46">
        <f t="shared" si="40"/>
        <v>48378.6</v>
      </c>
      <c r="BK22" s="46">
        <f t="shared" si="40"/>
        <v>47277</v>
      </c>
      <c r="BL22" s="46">
        <f t="shared" si="40"/>
        <v>0</v>
      </c>
      <c r="BM22" s="46">
        <f t="shared" si="40"/>
        <v>46432.439999999995</v>
      </c>
      <c r="BN22" s="46">
        <f t="shared" si="40"/>
        <v>45059.3</v>
      </c>
      <c r="BO22" s="46">
        <f t="shared" si="40"/>
        <v>0</v>
      </c>
      <c r="BP22" s="46">
        <f t="shared" si="40"/>
        <v>50579.840000000004</v>
      </c>
      <c r="BQ22" s="46">
        <f t="shared" si="40"/>
        <v>44815.78</v>
      </c>
      <c r="BR22" s="46">
        <f t="shared" si="40"/>
        <v>0</v>
      </c>
      <c r="BS22" s="46">
        <f t="shared" si="40"/>
        <v>0</v>
      </c>
      <c r="BT22" s="46">
        <f t="shared" si="40"/>
        <v>0</v>
      </c>
      <c r="BU22" s="46">
        <f t="shared" si="40"/>
        <v>0</v>
      </c>
      <c r="BV22" s="46">
        <f t="shared" si="40"/>
        <v>0</v>
      </c>
      <c r="BW22" s="46">
        <f t="shared" si="40"/>
        <v>0</v>
      </c>
      <c r="BX22" s="46">
        <f t="shared" si="40"/>
        <v>0</v>
      </c>
      <c r="BY22" s="52"/>
      <c r="BZ22" s="52">
        <f>CB4</f>
        <v>458265.59999999998</v>
      </c>
      <c r="CA22" s="52"/>
      <c r="CB22" s="44"/>
      <c r="CC22" s="46">
        <f t="shared" ref="CC22:CW22" si="41">SUMPRODUCT((($D7:$D20)*(CC$7:CC$20))*($E7:$E20=$E$22))</f>
        <v>49755.6</v>
      </c>
      <c r="CD22" s="46">
        <f t="shared" si="41"/>
        <v>44926.92</v>
      </c>
      <c r="CE22" s="46">
        <f t="shared" si="41"/>
        <v>0</v>
      </c>
      <c r="CF22" s="46">
        <f t="shared" si="41"/>
        <v>51389.64</v>
      </c>
      <c r="CG22" s="46">
        <f t="shared" si="41"/>
        <v>48268.439999999995</v>
      </c>
      <c r="CH22" s="46">
        <f t="shared" si="41"/>
        <v>0</v>
      </c>
      <c r="CI22" s="46">
        <f t="shared" si="41"/>
        <v>51848.639999999999</v>
      </c>
      <c r="CJ22" s="46">
        <f t="shared" si="41"/>
        <v>48195</v>
      </c>
      <c r="CK22" s="46">
        <f t="shared" si="41"/>
        <v>0</v>
      </c>
      <c r="CL22" s="46">
        <f t="shared" si="41"/>
        <v>51536.52</v>
      </c>
      <c r="CM22" s="46">
        <f t="shared" si="41"/>
        <v>47515.68</v>
      </c>
      <c r="CN22" s="46">
        <f t="shared" si="41"/>
        <v>0</v>
      </c>
      <c r="CO22" s="46">
        <f t="shared" si="41"/>
        <v>51316.2</v>
      </c>
      <c r="CP22" s="46">
        <f t="shared" si="41"/>
        <v>42301.440000000002</v>
      </c>
      <c r="CQ22" s="46">
        <f t="shared" si="41"/>
        <v>0</v>
      </c>
      <c r="CR22" s="46">
        <f t="shared" si="41"/>
        <v>48158.28</v>
      </c>
      <c r="CS22" s="46">
        <f t="shared" si="41"/>
        <v>0</v>
      </c>
      <c r="CT22" s="46">
        <f t="shared" si="41"/>
        <v>0</v>
      </c>
      <c r="CU22" s="46">
        <f t="shared" si="41"/>
        <v>29376</v>
      </c>
      <c r="CV22" s="46">
        <f t="shared" si="41"/>
        <v>0</v>
      </c>
      <c r="CW22" s="46">
        <f t="shared" si="41"/>
        <v>0</v>
      </c>
      <c r="CX22" s="52"/>
      <c r="CY22" s="52">
        <f>DA4</f>
        <v>564588.36</v>
      </c>
      <c r="CZ22" s="52"/>
      <c r="DA22" s="44"/>
      <c r="DB22" s="46">
        <f t="shared" ref="DB22:DV22" si="42">SUMPRODUCT((($D7:$D20)*(DB$7:DB$20))*($E7:$E20=$E$22))</f>
        <v>51206.04</v>
      </c>
      <c r="DC22" s="46">
        <f t="shared" si="42"/>
        <v>0</v>
      </c>
      <c r="DD22" s="46">
        <f t="shared" si="42"/>
        <v>0</v>
      </c>
      <c r="DE22" s="46">
        <f t="shared" si="42"/>
        <v>0</v>
      </c>
      <c r="DF22" s="46">
        <f t="shared" si="42"/>
        <v>0</v>
      </c>
      <c r="DG22" s="46">
        <f t="shared" si="42"/>
        <v>0</v>
      </c>
      <c r="DH22" s="46">
        <f t="shared" si="42"/>
        <v>0</v>
      </c>
      <c r="DI22" s="46">
        <f t="shared" si="42"/>
        <v>0</v>
      </c>
      <c r="DJ22" s="46">
        <f t="shared" si="42"/>
        <v>0</v>
      </c>
      <c r="DK22" s="46">
        <f t="shared" si="42"/>
        <v>0</v>
      </c>
      <c r="DL22" s="46">
        <f t="shared" si="42"/>
        <v>0</v>
      </c>
      <c r="DM22" s="46">
        <f t="shared" si="42"/>
        <v>0</v>
      </c>
      <c r="DN22" s="46">
        <f t="shared" si="42"/>
        <v>0</v>
      </c>
      <c r="DO22" s="46">
        <f t="shared" si="42"/>
        <v>0</v>
      </c>
      <c r="DP22" s="46">
        <f t="shared" si="42"/>
        <v>0</v>
      </c>
      <c r="DQ22" s="46">
        <f t="shared" si="42"/>
        <v>0</v>
      </c>
      <c r="DR22" s="46">
        <f t="shared" si="42"/>
        <v>0</v>
      </c>
      <c r="DS22" s="46">
        <f t="shared" si="42"/>
        <v>0</v>
      </c>
      <c r="DT22" s="46">
        <f t="shared" si="42"/>
        <v>0</v>
      </c>
      <c r="DU22" s="46">
        <f t="shared" si="42"/>
        <v>0</v>
      </c>
      <c r="DV22" s="46">
        <f t="shared" si="42"/>
        <v>0</v>
      </c>
      <c r="DW22" s="52"/>
      <c r="DX22" s="52">
        <f>DZ4</f>
        <v>51206.04</v>
      </c>
      <c r="DY22" s="52"/>
      <c r="DZ22" s="44"/>
      <c r="EA22" s="46">
        <f t="shared" ref="EA22:EU22" si="43">SUMPRODUCT((($D7:$D20)*(EA$7:EA$20))*($E7:$E20=$E$22))</f>
        <v>0</v>
      </c>
      <c r="EB22" s="46">
        <f t="shared" si="43"/>
        <v>0</v>
      </c>
      <c r="EC22" s="46">
        <f t="shared" si="43"/>
        <v>0</v>
      </c>
      <c r="ED22" s="46">
        <f t="shared" si="43"/>
        <v>0</v>
      </c>
      <c r="EE22" s="46">
        <f t="shared" si="43"/>
        <v>0</v>
      </c>
      <c r="EF22" s="46">
        <f t="shared" si="43"/>
        <v>0</v>
      </c>
      <c r="EG22" s="46">
        <f t="shared" si="43"/>
        <v>0</v>
      </c>
      <c r="EH22" s="46">
        <f t="shared" si="43"/>
        <v>0</v>
      </c>
      <c r="EI22" s="46">
        <f t="shared" si="43"/>
        <v>0</v>
      </c>
      <c r="EJ22" s="46">
        <f t="shared" si="43"/>
        <v>0</v>
      </c>
      <c r="EK22" s="46">
        <f t="shared" si="43"/>
        <v>0</v>
      </c>
      <c r="EL22" s="46">
        <f t="shared" si="43"/>
        <v>0</v>
      </c>
      <c r="EM22" s="46">
        <f t="shared" si="43"/>
        <v>0</v>
      </c>
      <c r="EN22" s="46">
        <f t="shared" si="43"/>
        <v>0</v>
      </c>
      <c r="EO22" s="46">
        <f t="shared" si="43"/>
        <v>0</v>
      </c>
      <c r="EP22" s="46">
        <f t="shared" si="43"/>
        <v>0</v>
      </c>
      <c r="EQ22" s="46">
        <f t="shared" si="43"/>
        <v>0</v>
      </c>
      <c r="ER22" s="46">
        <f t="shared" si="43"/>
        <v>0</v>
      </c>
      <c r="ES22" s="46">
        <f t="shared" si="43"/>
        <v>0</v>
      </c>
      <c r="ET22" s="46">
        <f t="shared" si="43"/>
        <v>0</v>
      </c>
      <c r="EU22" s="46">
        <f t="shared" si="43"/>
        <v>0</v>
      </c>
      <c r="EV22" s="52"/>
      <c r="EW22" s="52">
        <f>EY4</f>
        <v>0</v>
      </c>
      <c r="EX22" s="52"/>
      <c r="EY22" s="44"/>
      <c r="EZ22" s="46">
        <f t="shared" ref="EZ22:FT22" si="44">SUMPRODUCT((($D7:$D20)*(EZ$7:EZ$20))*($E7:$E20=$E$22))</f>
        <v>0</v>
      </c>
      <c r="FA22" s="46">
        <f t="shared" si="44"/>
        <v>0</v>
      </c>
      <c r="FB22" s="46">
        <f t="shared" si="44"/>
        <v>0</v>
      </c>
      <c r="FC22" s="46">
        <f t="shared" si="44"/>
        <v>0</v>
      </c>
      <c r="FD22" s="46">
        <f t="shared" si="44"/>
        <v>0</v>
      </c>
      <c r="FE22" s="46">
        <f t="shared" si="44"/>
        <v>0</v>
      </c>
      <c r="FF22" s="46">
        <f t="shared" si="44"/>
        <v>0</v>
      </c>
      <c r="FG22" s="46">
        <f t="shared" si="44"/>
        <v>0</v>
      </c>
      <c r="FH22" s="46">
        <f t="shared" si="44"/>
        <v>0</v>
      </c>
      <c r="FI22" s="46">
        <f t="shared" si="44"/>
        <v>0</v>
      </c>
      <c r="FJ22" s="46">
        <f t="shared" si="44"/>
        <v>0</v>
      </c>
      <c r="FK22" s="46">
        <f t="shared" si="44"/>
        <v>0</v>
      </c>
      <c r="FL22" s="46">
        <f t="shared" si="44"/>
        <v>0</v>
      </c>
      <c r="FM22" s="46">
        <f t="shared" si="44"/>
        <v>0</v>
      </c>
      <c r="FN22" s="46">
        <f t="shared" si="44"/>
        <v>0</v>
      </c>
      <c r="FO22" s="46">
        <f t="shared" si="44"/>
        <v>0</v>
      </c>
      <c r="FP22" s="46">
        <f t="shared" si="44"/>
        <v>0</v>
      </c>
      <c r="FQ22" s="46">
        <f t="shared" si="44"/>
        <v>0</v>
      </c>
      <c r="FR22" s="46">
        <f t="shared" si="44"/>
        <v>0</v>
      </c>
      <c r="FS22" s="46">
        <f t="shared" si="44"/>
        <v>0</v>
      </c>
      <c r="FT22" s="46">
        <f t="shared" si="44"/>
        <v>0</v>
      </c>
      <c r="FU22" s="52"/>
      <c r="FV22" s="52">
        <f>FX4</f>
        <v>0</v>
      </c>
      <c r="FW22" s="52"/>
      <c r="FX22" s="44"/>
      <c r="FY22" s="46">
        <f t="shared" ref="FY22:GS22" si="45">SUMPRODUCT((($D7:$D20)*(FY$7:FY$20))*($E7:$E20=$E$22))</f>
        <v>0</v>
      </c>
      <c r="FZ22" s="46">
        <f t="shared" si="45"/>
        <v>0</v>
      </c>
      <c r="GA22" s="46">
        <f t="shared" si="45"/>
        <v>0</v>
      </c>
      <c r="GB22" s="46">
        <f t="shared" si="45"/>
        <v>0</v>
      </c>
      <c r="GC22" s="46">
        <f t="shared" si="45"/>
        <v>0</v>
      </c>
      <c r="GD22" s="46">
        <f t="shared" si="45"/>
        <v>0</v>
      </c>
      <c r="GE22" s="46">
        <f t="shared" si="45"/>
        <v>0</v>
      </c>
      <c r="GF22" s="46">
        <f t="shared" si="45"/>
        <v>0</v>
      </c>
      <c r="GG22" s="46">
        <f t="shared" si="45"/>
        <v>0</v>
      </c>
      <c r="GH22" s="46">
        <f t="shared" si="45"/>
        <v>0</v>
      </c>
      <c r="GI22" s="46">
        <f t="shared" si="45"/>
        <v>0</v>
      </c>
      <c r="GJ22" s="46">
        <f t="shared" si="45"/>
        <v>0</v>
      </c>
      <c r="GK22" s="46">
        <f t="shared" si="45"/>
        <v>0</v>
      </c>
      <c r="GL22" s="46">
        <f t="shared" si="45"/>
        <v>0</v>
      </c>
      <c r="GM22" s="46">
        <f t="shared" si="45"/>
        <v>0</v>
      </c>
      <c r="GN22" s="46">
        <f t="shared" si="45"/>
        <v>0</v>
      </c>
      <c r="GO22" s="46">
        <f t="shared" si="45"/>
        <v>0</v>
      </c>
      <c r="GP22" s="46">
        <f t="shared" si="45"/>
        <v>0</v>
      </c>
      <c r="GQ22" s="46">
        <f t="shared" si="45"/>
        <v>0</v>
      </c>
      <c r="GR22" s="46">
        <f t="shared" si="45"/>
        <v>0</v>
      </c>
      <c r="GS22" s="46">
        <f t="shared" si="45"/>
        <v>0</v>
      </c>
      <c r="GT22" s="52"/>
      <c r="GU22" s="52">
        <f>GW4</f>
        <v>0</v>
      </c>
      <c r="GV22" s="52"/>
      <c r="GW22" s="44"/>
      <c r="GX22" s="46">
        <f t="shared" ref="GX22:HR22" si="46">SUMPRODUCT((($D7:$D20)*(GX$7:GX$20))*($E7:$E20=$E$22))</f>
        <v>0</v>
      </c>
      <c r="GY22" s="46">
        <f t="shared" si="46"/>
        <v>0</v>
      </c>
      <c r="GZ22" s="46">
        <f t="shared" si="46"/>
        <v>0</v>
      </c>
      <c r="HA22" s="46">
        <f t="shared" si="46"/>
        <v>0</v>
      </c>
      <c r="HB22" s="46">
        <f t="shared" si="46"/>
        <v>0</v>
      </c>
      <c r="HC22" s="46">
        <f t="shared" si="46"/>
        <v>0</v>
      </c>
      <c r="HD22" s="46">
        <f t="shared" si="46"/>
        <v>0</v>
      </c>
      <c r="HE22" s="46">
        <f t="shared" si="46"/>
        <v>0</v>
      </c>
      <c r="HF22" s="46">
        <f t="shared" si="46"/>
        <v>0</v>
      </c>
      <c r="HG22" s="46">
        <f t="shared" si="46"/>
        <v>0</v>
      </c>
      <c r="HH22" s="46">
        <f t="shared" si="46"/>
        <v>0</v>
      </c>
      <c r="HI22" s="46">
        <f t="shared" si="46"/>
        <v>0</v>
      </c>
      <c r="HJ22" s="46">
        <f t="shared" si="46"/>
        <v>0</v>
      </c>
      <c r="HK22" s="46">
        <f t="shared" si="46"/>
        <v>0</v>
      </c>
      <c r="HL22" s="46">
        <f t="shared" si="46"/>
        <v>0</v>
      </c>
      <c r="HM22" s="46">
        <f t="shared" si="46"/>
        <v>0</v>
      </c>
      <c r="HN22" s="46">
        <f t="shared" si="46"/>
        <v>0</v>
      </c>
      <c r="HO22" s="46">
        <f t="shared" si="46"/>
        <v>0</v>
      </c>
      <c r="HP22" s="46">
        <f t="shared" si="46"/>
        <v>0</v>
      </c>
      <c r="HQ22" s="46">
        <f t="shared" si="46"/>
        <v>0</v>
      </c>
      <c r="HR22" s="46">
        <f t="shared" si="46"/>
        <v>0</v>
      </c>
      <c r="HS22" s="52"/>
      <c r="HT22" s="52">
        <f>HV4</f>
        <v>0</v>
      </c>
      <c r="HU22" s="52"/>
      <c r="HV22" s="44"/>
      <c r="HW22" s="46">
        <f t="shared" ref="HW22:IQ22" si="47">SUMPRODUCT((($D7:$D20)*(HW$7:HW$20))*($E7:$E20=$E$22))</f>
        <v>0</v>
      </c>
      <c r="HX22" s="46">
        <f t="shared" si="47"/>
        <v>0</v>
      </c>
      <c r="HY22" s="46">
        <f t="shared" si="47"/>
        <v>0</v>
      </c>
      <c r="HZ22" s="46">
        <f t="shared" si="47"/>
        <v>0</v>
      </c>
      <c r="IA22" s="46">
        <f t="shared" si="47"/>
        <v>0</v>
      </c>
      <c r="IB22" s="46">
        <f t="shared" si="47"/>
        <v>0</v>
      </c>
      <c r="IC22" s="46">
        <f t="shared" si="47"/>
        <v>0</v>
      </c>
      <c r="ID22" s="46">
        <f t="shared" si="47"/>
        <v>0</v>
      </c>
      <c r="IE22" s="46">
        <f t="shared" si="47"/>
        <v>0</v>
      </c>
      <c r="IF22" s="46">
        <f t="shared" si="47"/>
        <v>0</v>
      </c>
      <c r="IG22" s="46">
        <f t="shared" si="47"/>
        <v>0</v>
      </c>
      <c r="IH22" s="46">
        <f t="shared" si="47"/>
        <v>0</v>
      </c>
      <c r="II22" s="46">
        <f t="shared" si="47"/>
        <v>0</v>
      </c>
      <c r="IJ22" s="46">
        <f t="shared" si="47"/>
        <v>0</v>
      </c>
      <c r="IK22" s="46">
        <f t="shared" si="47"/>
        <v>0</v>
      </c>
      <c r="IL22" s="46">
        <f t="shared" si="47"/>
        <v>0</v>
      </c>
      <c r="IM22" s="46">
        <f t="shared" si="47"/>
        <v>0</v>
      </c>
      <c r="IN22" s="46">
        <f t="shared" si="47"/>
        <v>0</v>
      </c>
      <c r="IO22" s="46">
        <f t="shared" si="47"/>
        <v>0</v>
      </c>
      <c r="IP22" s="46">
        <f t="shared" si="47"/>
        <v>0</v>
      </c>
      <c r="IQ22" s="46">
        <f t="shared" si="47"/>
        <v>0</v>
      </c>
      <c r="IR22" s="52"/>
      <c r="IS22" s="52">
        <f>IU4</f>
        <v>0</v>
      </c>
      <c r="IT22" s="52"/>
      <c r="IU22" s="44"/>
      <c r="IV22" s="46">
        <f t="shared" ref="IV22:JP22" si="48">SUMPRODUCT((($D7:$D20)*(IV$7:IV$20))*($E7:$E20=$E$22))</f>
        <v>0</v>
      </c>
      <c r="IW22" s="46">
        <f t="shared" si="48"/>
        <v>0</v>
      </c>
      <c r="IX22" s="46">
        <f t="shared" si="48"/>
        <v>0</v>
      </c>
      <c r="IY22" s="46">
        <f t="shared" si="48"/>
        <v>0</v>
      </c>
      <c r="IZ22" s="46">
        <f t="shared" si="48"/>
        <v>0</v>
      </c>
      <c r="JA22" s="46">
        <f t="shared" si="48"/>
        <v>0</v>
      </c>
      <c r="JB22" s="46">
        <f t="shared" si="48"/>
        <v>0</v>
      </c>
      <c r="JC22" s="46">
        <f t="shared" si="48"/>
        <v>0</v>
      </c>
      <c r="JD22" s="46">
        <f t="shared" si="48"/>
        <v>0</v>
      </c>
      <c r="JE22" s="46">
        <f t="shared" si="48"/>
        <v>0</v>
      </c>
      <c r="JF22" s="46">
        <f t="shared" si="48"/>
        <v>0</v>
      </c>
      <c r="JG22" s="46">
        <f t="shared" si="48"/>
        <v>0</v>
      </c>
      <c r="JH22" s="46">
        <f t="shared" si="48"/>
        <v>0</v>
      </c>
      <c r="JI22" s="46">
        <f t="shared" si="48"/>
        <v>0</v>
      </c>
      <c r="JJ22" s="46">
        <f t="shared" si="48"/>
        <v>0</v>
      </c>
      <c r="JK22" s="46">
        <f t="shared" si="48"/>
        <v>0</v>
      </c>
      <c r="JL22" s="46">
        <f t="shared" si="48"/>
        <v>0</v>
      </c>
      <c r="JM22" s="46">
        <f t="shared" si="48"/>
        <v>0</v>
      </c>
      <c r="JN22" s="46">
        <f t="shared" si="48"/>
        <v>0</v>
      </c>
      <c r="JO22" s="46">
        <f t="shared" si="48"/>
        <v>0</v>
      </c>
      <c r="JP22" s="46">
        <f t="shared" si="48"/>
        <v>0</v>
      </c>
      <c r="JQ22" s="52"/>
      <c r="JR22" s="52">
        <f>JT4</f>
        <v>0</v>
      </c>
      <c r="JS22" s="52"/>
      <c r="JT22" s="44"/>
      <c r="JU22" s="46">
        <f t="shared" ref="JU22:KO22" si="49">SUMPRODUCT((($D7:$D20)*(JU$7:JU$20))*($E7:$E20=$E$22))</f>
        <v>0</v>
      </c>
      <c r="JV22" s="46">
        <f t="shared" si="49"/>
        <v>0</v>
      </c>
      <c r="JW22" s="46">
        <f t="shared" si="49"/>
        <v>0</v>
      </c>
      <c r="JX22" s="46">
        <f t="shared" si="49"/>
        <v>0</v>
      </c>
      <c r="JY22" s="46">
        <f t="shared" si="49"/>
        <v>0</v>
      </c>
      <c r="JZ22" s="46">
        <f t="shared" si="49"/>
        <v>0</v>
      </c>
      <c r="KA22" s="46">
        <f t="shared" si="49"/>
        <v>0</v>
      </c>
      <c r="KB22" s="46">
        <f t="shared" si="49"/>
        <v>0</v>
      </c>
      <c r="KC22" s="46">
        <f t="shared" si="49"/>
        <v>0</v>
      </c>
      <c r="KD22" s="46">
        <f t="shared" si="49"/>
        <v>0</v>
      </c>
      <c r="KE22" s="46">
        <f t="shared" si="49"/>
        <v>0</v>
      </c>
      <c r="KF22" s="46">
        <f t="shared" si="49"/>
        <v>0</v>
      </c>
      <c r="KG22" s="46">
        <f t="shared" si="49"/>
        <v>0</v>
      </c>
      <c r="KH22" s="46">
        <f t="shared" si="49"/>
        <v>0</v>
      </c>
      <c r="KI22" s="46">
        <f t="shared" si="49"/>
        <v>0</v>
      </c>
      <c r="KJ22" s="46">
        <f t="shared" si="49"/>
        <v>0</v>
      </c>
      <c r="KK22" s="46">
        <f t="shared" si="49"/>
        <v>0</v>
      </c>
      <c r="KL22" s="46">
        <f t="shared" si="49"/>
        <v>0</v>
      </c>
      <c r="KM22" s="46">
        <f t="shared" si="49"/>
        <v>0</v>
      </c>
      <c r="KN22" s="46">
        <f t="shared" si="49"/>
        <v>0</v>
      </c>
      <c r="KO22" s="46">
        <f t="shared" si="49"/>
        <v>0</v>
      </c>
      <c r="KP22" s="52"/>
      <c r="KQ22" s="52">
        <f>KS4</f>
        <v>0</v>
      </c>
      <c r="KR22" s="52"/>
      <c r="KS22" s="44"/>
      <c r="KT22" s="46">
        <f t="shared" ref="KT22:LN22" si="50">SUMPRODUCT((($D7:$D20)*(KT$7:KT$20))*($E7:$E20=$E$22))</f>
        <v>0</v>
      </c>
      <c r="KU22" s="46">
        <f t="shared" si="50"/>
        <v>0</v>
      </c>
      <c r="KV22" s="46">
        <f t="shared" si="50"/>
        <v>0</v>
      </c>
      <c r="KW22" s="46">
        <f t="shared" si="50"/>
        <v>0</v>
      </c>
      <c r="KX22" s="46">
        <f t="shared" si="50"/>
        <v>0</v>
      </c>
      <c r="KY22" s="46">
        <f t="shared" si="50"/>
        <v>0</v>
      </c>
      <c r="KZ22" s="46">
        <f t="shared" si="50"/>
        <v>0</v>
      </c>
      <c r="LA22" s="46">
        <f t="shared" si="50"/>
        <v>0</v>
      </c>
      <c r="LB22" s="46">
        <f t="shared" si="50"/>
        <v>0</v>
      </c>
      <c r="LC22" s="46">
        <f t="shared" si="50"/>
        <v>0</v>
      </c>
      <c r="LD22" s="46">
        <f t="shared" si="50"/>
        <v>0</v>
      </c>
      <c r="LE22" s="46">
        <f t="shared" si="50"/>
        <v>0</v>
      </c>
      <c r="LF22" s="46">
        <f t="shared" si="50"/>
        <v>0</v>
      </c>
      <c r="LG22" s="46">
        <f t="shared" si="50"/>
        <v>0</v>
      </c>
      <c r="LH22" s="46">
        <f t="shared" si="50"/>
        <v>0</v>
      </c>
      <c r="LI22" s="46">
        <f t="shared" si="50"/>
        <v>0</v>
      </c>
      <c r="LJ22" s="46">
        <f t="shared" si="50"/>
        <v>0</v>
      </c>
      <c r="LK22" s="46">
        <f t="shared" si="50"/>
        <v>0</v>
      </c>
      <c r="LL22" s="46">
        <f t="shared" si="50"/>
        <v>0</v>
      </c>
      <c r="LM22" s="46">
        <f t="shared" si="50"/>
        <v>0</v>
      </c>
      <c r="LN22" s="46">
        <f t="shared" si="50"/>
        <v>0</v>
      </c>
      <c r="LO22" s="52"/>
      <c r="LP22" s="52">
        <f>LR4</f>
        <v>0</v>
      </c>
      <c r="LQ22" s="52"/>
      <c r="LR22" s="44"/>
    </row>
    <row r="23" spans="1:330" x14ac:dyDescent="0.35">
      <c r="E23" s="45" t="s">
        <v>6</v>
      </c>
      <c r="F23" s="259">
        <f>SUMIF($E$7:$E$20,"Plan",F7:F20)+SUMIF($E$7:$E$20,"Plan",G7:G20)+SUMIF($E$7:$E$20,"Plan",H7:H20)</f>
        <v>0</v>
      </c>
      <c r="G23" s="260"/>
      <c r="H23" s="261"/>
      <c r="I23" s="259">
        <f>SUMIF($E$7:$E$20,"Plan",I7:I20)+SUMIF($E$7:$E$20,"Plan",J7:J20)+SUMIF($E$7:$E$20,"Plan",K7:K20)</f>
        <v>0</v>
      </c>
      <c r="J23" s="260"/>
      <c r="K23" s="261"/>
      <c r="L23" s="259">
        <f>SUMIF($E$7:$E$20,"Plan",L7:L20)+SUMIF($E$7:$E$20,"Plan",M7:M20)+SUMIF($E$7:$E$20,"Plan",N7:N20)</f>
        <v>0</v>
      </c>
      <c r="M23" s="260"/>
      <c r="N23" s="261"/>
      <c r="O23" s="259">
        <f>SUMIF($E$7:$E$20,"Plan",O7:O20)+SUMIF($E$7:$E$20,"Plan",P7:P20)+SUMIF($E$7:$E$20,"Plan",Q7:Q20)</f>
        <v>0</v>
      </c>
      <c r="P23" s="260"/>
      <c r="Q23" s="261"/>
      <c r="R23" s="259">
        <f>SUMIF($E$7:$E$20,"Plan",R7:R20)+SUMIF($E$7:$E$20,"Plan",S7:S20)+SUMIF($E$7:$E$20,"Plan",T7:T20)</f>
        <v>0</v>
      </c>
      <c r="S23" s="260"/>
      <c r="T23" s="261"/>
      <c r="U23" s="259">
        <f>SUMIF($E$7:$E$20,"Plan",U7:U20)+SUMIF($E$7:$E$20,"Plan",V7:V20)+SUMIF($E$7:$E$20,"Plan",W7:W20)</f>
        <v>0</v>
      </c>
      <c r="V23" s="260"/>
      <c r="W23" s="261"/>
      <c r="X23" s="259">
        <f>SUMIF($E$7:$E$20,"Plan",X7:X20)+SUMIF($E$7:$E$20,"Plan",Y7:Y20)+SUMIF($E$7:$E$20,"Plan",Z7:Z20)</f>
        <v>0</v>
      </c>
      <c r="Y23" s="260"/>
      <c r="Z23" s="261"/>
      <c r="AA23" s="268">
        <f>SUM(F23:Z23)</f>
        <v>0</v>
      </c>
      <c r="AB23" s="269"/>
      <c r="AE23" s="259">
        <f>SUMIF($E$7:$E$20,"Plan",AE7:AE20)+SUMIF($E$7:$E$20,"Plan",AF7:AF20)+SUMIF($E$7:$E$20,"Plan",AG7:AG20)</f>
        <v>5408</v>
      </c>
      <c r="AF23" s="260"/>
      <c r="AG23" s="261"/>
      <c r="AH23" s="259">
        <f>SUMIF($E$7:$E$20,"Plan",AH7:AH20)+SUMIF($E$7:$E$20,"Plan",AI7:AI20)+SUMIF($E$7:$E$20,"Plan",AJ7:AJ20)</f>
        <v>5408</v>
      </c>
      <c r="AI23" s="260"/>
      <c r="AJ23" s="261"/>
      <c r="AK23" s="259">
        <f>SUMIF($E$7:$E$20,"Plan",AK7:AK20)+SUMIF($E$7:$E$20,"Plan",AL7:AL20)+SUMIF($E$7:$E$20,"Plan",AM7:AM20)</f>
        <v>5408</v>
      </c>
      <c r="AL23" s="260"/>
      <c r="AM23" s="261"/>
      <c r="AN23" s="259">
        <f>SUMIF($E$7:$E$20,"Plan",AN7:AN20)+SUMIF($E$7:$E$20,"Plan",AO7:AO20)+SUMIF($E$7:$E$20,"Plan",AP7:AP20)</f>
        <v>5408</v>
      </c>
      <c r="AO23" s="260"/>
      <c r="AP23" s="261"/>
      <c r="AQ23" s="259">
        <f>SUMIF($E$7:$E$20,"Plan",AQ7:AQ20)+SUMIF($E$7:$E$20,"Plan",AR7:AR20)+SUMIF($E$7:$E$20,"Plan",AS7:AS20)</f>
        <v>0</v>
      </c>
      <c r="AR23" s="260"/>
      <c r="AS23" s="261"/>
      <c r="AT23" s="259">
        <f>SUMIF($E$7:$E$20,"Plan",AT7:AT20)+SUMIF($E$7:$E$20,"Plan",AU7:AU20)+SUMIF($E$7:$E$20,"Plan",AV7:AV20)</f>
        <v>0</v>
      </c>
      <c r="AU23" s="260"/>
      <c r="AV23" s="261"/>
      <c r="AW23" s="259">
        <f>SUMIF($E$7:$E$20,"Plan",AW7:AW20)+SUMIF($E$7:$E$20,"Plan",AX7:AX20)+SUMIF($E$7:$E$20,"Plan",AY7:AY20)</f>
        <v>0</v>
      </c>
      <c r="AX23" s="260"/>
      <c r="AY23" s="261"/>
      <c r="AZ23" s="268">
        <f>SUM(AE23:AY23)</f>
        <v>21632</v>
      </c>
      <c r="BA23" s="269"/>
      <c r="BD23" s="259">
        <f>SUMIF($E$7:$E$20,"Plan",BD7:BD20)+SUMIF($E$7:$E$20,"Plan",BE7:BE20)+SUMIF($E$7:$E$20,"Plan",BF7:BF20)</f>
        <v>5408</v>
      </c>
      <c r="BE23" s="260"/>
      <c r="BF23" s="261"/>
      <c r="BG23" s="259">
        <f>SUMIF($E$7:$E$20,"Plan",BG7:BG20)+SUMIF($E$7:$E$20,"Plan",BH7:BH20)+SUMIF($E$7:$E$20,"Plan",BI7:BI20)</f>
        <v>5408</v>
      </c>
      <c r="BH23" s="260"/>
      <c r="BI23" s="261"/>
      <c r="BJ23" s="259">
        <f>SUMIF($E$7:$E$20,"Plan",BJ7:BJ20)+SUMIF($E$7:$E$20,"Plan",BK7:BK20)+SUMIF($E$7:$E$20,"Plan",BL7:BL20)</f>
        <v>5408</v>
      </c>
      <c r="BK23" s="260"/>
      <c r="BL23" s="261"/>
      <c r="BM23" s="259">
        <f>SUMIF($E$7:$E$20,"Plan",BM7:BM20)+SUMIF($E$7:$E$20,"Plan",BN7:BN20)+SUMIF($E$7:$E$20,"Plan",BO7:BO20)</f>
        <v>5408</v>
      </c>
      <c r="BN23" s="260"/>
      <c r="BO23" s="261"/>
      <c r="BP23" s="259">
        <f>SUMIF($E$7:$E$20,"Plan",BP7:BP20)+SUMIF($E$7:$E$20,"Plan",BQ7:BQ20)+SUMIF($E$7:$E$20,"Plan",BR7:BR20)</f>
        <v>5408</v>
      </c>
      <c r="BQ23" s="260"/>
      <c r="BR23" s="261"/>
      <c r="BS23" s="259">
        <f>SUMIF($E$7:$E$20,"Plan",BS7:BS20)+SUMIF($E$7:$E$20,"Plan",BT7:BT20)+SUMIF($E$7:$E$20,"Plan",BU7:BU20)</f>
        <v>0</v>
      </c>
      <c r="BT23" s="260"/>
      <c r="BU23" s="261"/>
      <c r="BV23" s="259">
        <f>SUMIF($E$7:$E$20,"Plan",BV7:BV20)+SUMIF($E$7:$E$20,"Plan",BW7:BW20)+SUMIF($E$7:$E$20,"Plan",BX7:BX20)</f>
        <v>0</v>
      </c>
      <c r="BW23" s="260"/>
      <c r="BX23" s="261"/>
      <c r="BY23" s="92">
        <f>SUM(BD23:BX23)</f>
        <v>27040</v>
      </c>
      <c r="BZ23" s="83"/>
      <c r="CC23" s="259">
        <f>SUMIF($E$7:$E$20,"Plan",CC7:CC20)+SUMIF($E$7:$E$20,"Plan",CD7:CD20)+SUMIF($E$7:$E$20,"Plan",CE7:CE20)</f>
        <v>5408</v>
      </c>
      <c r="CD23" s="260"/>
      <c r="CE23" s="261"/>
      <c r="CF23" s="259">
        <f>SUMIF($E$7:$E$20,"Plan",CF7:CF20)+SUMIF($E$7:$E$20,"Plan",CG7:CG20)+SUMIF($E$7:$E$20,"Plan",CH7:CH20)</f>
        <v>5408</v>
      </c>
      <c r="CG23" s="260"/>
      <c r="CH23" s="261"/>
      <c r="CI23" s="259">
        <f>SUMIF($E$7:$E$20,"Plan",CI7:CI20)+SUMIF($E$7:$E$20,"Plan",CJ7:CJ20)+SUMIF($E$7:$E$20,"Plan",CK7:CK20)</f>
        <v>5408</v>
      </c>
      <c r="CJ23" s="260"/>
      <c r="CK23" s="261"/>
      <c r="CL23" s="259">
        <f>SUMIF($E$7:$E$20,"Plan",CL7:CL20)+SUMIF($E$7:$E$20,"Plan",CM7:CM20)+SUMIF($E$7:$E$20,"Plan",CN7:CN20)</f>
        <v>5408</v>
      </c>
      <c r="CM23" s="260"/>
      <c r="CN23" s="261"/>
      <c r="CO23" s="259">
        <f>SUMIF($E$7:$E$20,"Plan",CO7:CO20)+SUMIF($E$7:$E$20,"Plan",CP7:CP20)+SUMIF($E$7:$E$20,"Plan",CQ7:CQ20)</f>
        <v>5408</v>
      </c>
      <c r="CP23" s="260"/>
      <c r="CQ23" s="261"/>
      <c r="CR23" s="259">
        <f>SUMIF($E$7:$E$20,"Plan",CR7:CR20)+SUMIF($E$7:$E$20,"Plan",CS7:CS20)+SUMIF($E$7:$E$20,"Plan",CT7:CT20)</f>
        <v>2789</v>
      </c>
      <c r="CS23" s="260"/>
      <c r="CT23" s="261"/>
      <c r="CU23" s="259">
        <f>SUMIF($E$7:$E$20,"Plan",CU7:CU20)+SUMIF($E$7:$E$20,"Plan",CV7:CV20)+SUMIF($E$7:$E$20,"Plan",CW7:CW20)</f>
        <v>2789</v>
      </c>
      <c r="CV23" s="260"/>
      <c r="CW23" s="261"/>
      <c r="CX23" s="91">
        <f>SUM(CC23:CW23)</f>
        <v>32618</v>
      </c>
      <c r="DB23" s="259">
        <f>SUMIF($E$7:$E$20,"Plan",DB7:DB20)+SUMIF($E$7:$E$20,"Plan",DC7:DC20)+SUMIF($E$7:$E$20,"Plan",DD7:DD20)</f>
        <v>5408</v>
      </c>
      <c r="DC23" s="260"/>
      <c r="DD23" s="261"/>
      <c r="DE23" s="259">
        <f>SUMIF($E$7:$E$20,"Plan",DE7:DE20)+SUMIF($E$7:$E$20,"Plan",DF7:DF20)+SUMIF($E$7:$E$20,"Plan",DG7:DG20)</f>
        <v>5408</v>
      </c>
      <c r="DF23" s="260"/>
      <c r="DG23" s="261"/>
      <c r="DH23" s="259">
        <f>SUMIF($E$7:$E$20,"Plan",DH7:DH20)+SUMIF($E$7:$E$20,"Plan",DI7:DI20)+SUMIF($E$7:$E$20,"Plan",DJ7:DJ20)</f>
        <v>5408</v>
      </c>
      <c r="DI23" s="260"/>
      <c r="DJ23" s="261"/>
      <c r="DK23" s="259">
        <f>SUMIF($E$7:$E$20,"Plan",DK7:DK20)+SUMIF($E$7:$E$20,"Plan",DL7:DL20)+SUMIF($E$7:$E$20,"Plan",DM7:DM20)</f>
        <v>5408</v>
      </c>
      <c r="DL23" s="260"/>
      <c r="DM23" s="261"/>
      <c r="DN23" s="259">
        <f>SUMIF($E$7:$E$20,"Plan",DN7:DN20)+SUMIF($E$7:$E$20,"Plan",DO7:DO20)+SUMIF($E$7:$E$20,"Plan",DP7:DP20)</f>
        <v>0</v>
      </c>
      <c r="DO23" s="260"/>
      <c r="DP23" s="261"/>
      <c r="DQ23" s="259">
        <f>SUMIF($E$7:$E$20,"Plan",DQ7:DQ20)+SUMIF($E$7:$E$20,"Plan",DR7:DR20)+SUMIF($E$7:$E$20,"Plan",DS7:DS20)</f>
        <v>0</v>
      </c>
      <c r="DR23" s="260"/>
      <c r="DS23" s="261"/>
      <c r="DT23" s="259">
        <f>SUMIF($E$7:$E$20,"Plan",DT7:DT20)+SUMIF($E$7:$E$20,"Plan",DU7:DU20)+SUMIF($E$7:$E$20,"Plan",DV7:DV20)</f>
        <v>0</v>
      </c>
      <c r="DU23" s="260"/>
      <c r="DV23" s="261"/>
      <c r="DW23" s="91">
        <f>SUM(DB23:DV23)</f>
        <v>21632</v>
      </c>
      <c r="EA23" s="259">
        <f>SUMIF($E$7:$E$20,"Plan",EA7:EA20)+SUMIF($E$7:$E$20,"Plan",EB7:EB20)+SUMIF($E$7:$E$20,"Plan",EC7:EC20)</f>
        <v>0</v>
      </c>
      <c r="EB23" s="260"/>
      <c r="EC23" s="261"/>
      <c r="ED23" s="259">
        <f>SUMIF($E$7:$E$20,"Plan",ED7:ED20)+SUMIF($E$7:$E$20,"Plan",EE7:EE20)+SUMIF($E$7:$E$20,"Plan",EF7:EF20)</f>
        <v>5408</v>
      </c>
      <c r="EE23" s="260"/>
      <c r="EF23" s="261"/>
      <c r="EG23" s="259">
        <f>SUMIF($E$7:$E$20,"Plan",EG7:EG20)+SUMIF($E$7:$E$20,"Plan",EH7:EH20)+SUMIF($E$7:$E$20,"Plan",EI7:EI20)</f>
        <v>5408</v>
      </c>
      <c r="EH23" s="260"/>
      <c r="EI23" s="261"/>
      <c r="EJ23" s="259">
        <f>SUMIF($E$7:$E$20,"Plan",EJ7:EJ20)+SUMIF($E$7:$E$20,"Plan",EK7:EK20)+SUMIF($E$7:$E$20,"Plan",EL7:EL20)</f>
        <v>5408</v>
      </c>
      <c r="EK23" s="260"/>
      <c r="EL23" s="261"/>
      <c r="EM23" s="259">
        <f>SUMIF($E$7:$E$20,"Plan",EM7:EM20)+SUMIF($E$7:$E$20,"Plan",EN7:EN20)+SUMIF($E$7:$E$20,"Plan",EO7:EO20)</f>
        <v>5408</v>
      </c>
      <c r="EN23" s="260"/>
      <c r="EO23" s="261"/>
      <c r="EP23" s="259">
        <f>SUMIF($E$7:$E$20,"Plan",EP7:EP20)+SUMIF($E$7:$E$20,"Plan",EQ7:EQ20)+SUMIF($E$7:$E$20,"Plan",ER7:ER20)</f>
        <v>0</v>
      </c>
      <c r="EQ23" s="260"/>
      <c r="ER23" s="261"/>
      <c r="ES23" s="259">
        <f>SUMIF($E$7:$E$20,"Plan",ES7:ES20)+SUMIF($E$7:$E$20,"Plan",ET7:ET20)+SUMIF($E$7:$E$20,"Plan",EU7:EU20)</f>
        <v>0</v>
      </c>
      <c r="ET23" s="260"/>
      <c r="EU23" s="261"/>
      <c r="EV23" s="91">
        <f>SUM(EA23:EU23)</f>
        <v>21632</v>
      </c>
      <c r="EZ23" s="268">
        <f>SUMIF($E$7:$E$20,"Plan",EZ7:EZ20)+SUMIF($E$7:$E$20,"Plan",FA7:FA20)+SUMIF($E$7:$E$20,"Plan",FB7:FB20)</f>
        <v>5408</v>
      </c>
      <c r="FA23" s="286"/>
      <c r="FB23" s="269"/>
      <c r="FC23" s="268">
        <f>SUMIF($E$7:$E$20,"Plan",FC7:FC20)+SUMIF($E$7:$E$20,"Plan",FD7:FD20)+SUMIF($E$7:$E$20,"Plan",FE7:FE20)</f>
        <v>5408</v>
      </c>
      <c r="FD23" s="286"/>
      <c r="FE23" s="269"/>
      <c r="FF23" s="268">
        <f>SUMIF($E$7:$E$20,"Plan",FF7:FF20)+SUMIF($E$7:$E$20,"Plan",FG7:FG20)+SUMIF($E$7:$E$20,"Plan",FH7:FH20)</f>
        <v>5408</v>
      </c>
      <c r="FG23" s="286"/>
      <c r="FH23" s="269"/>
      <c r="FI23" s="268">
        <f>SUMIF($E$7:$E$20,"Plan",FI7:FI20)+SUMIF($E$7:$E$20,"Plan",FJ7:FJ20)+SUMIF($E$7:$E$20,"Plan",FK7:FK20)</f>
        <v>5408</v>
      </c>
      <c r="FJ23" s="286"/>
      <c r="FK23" s="269"/>
      <c r="FL23" s="268">
        <f>SUMIF($E$7:$E$20,"Plan",FL7:FL20)+SUMIF($E$7:$E$20,"Plan",FM7:FM20)+SUMIF($E$7:$E$20,"Plan",FN7:FN20)</f>
        <v>5408</v>
      </c>
      <c r="FM23" s="286"/>
      <c r="FN23" s="269"/>
      <c r="FO23" s="268">
        <f>SUMIF($E$7:$E$20,"Plan",FO7:FO20)+SUMIF($E$7:$E$20,"Plan",FP7:FP20)+SUMIF($E$7:$E$20,"Plan",FQ7:FQ20)</f>
        <v>0</v>
      </c>
      <c r="FP23" s="286"/>
      <c r="FQ23" s="269"/>
      <c r="FR23" s="268">
        <f>SUMIF($E$7:$E$20,"Plan",FR7:FR20)+SUMIF($E$7:$E$20,"Plan",FS7:FS20)+SUMIF($E$7:$E$20,"Plan",FT7:FT20)</f>
        <v>0</v>
      </c>
      <c r="FS23" s="286"/>
      <c r="FT23" s="269"/>
      <c r="FU23" s="91">
        <f>SUM(EZ23:FT23)</f>
        <v>27040</v>
      </c>
      <c r="FY23" s="268">
        <f>SUMIF($E$7:$E$20,"Plan",FY7:FY20)+SUMIF($E$7:$E$20,"Plan",FZ7:FZ20)+SUMIF($E$7:$E$20,"Plan",GA7:GA20)</f>
        <v>5408</v>
      </c>
      <c r="FZ23" s="286"/>
      <c r="GA23" s="269"/>
      <c r="GB23" s="268">
        <f>SUMIF($E$7:$E$20,"Plan",GB7:GB20)+SUMIF($E$7:$E$20,"Plan",GC7:GC20)+SUMIF($E$7:$E$20,"Plan",GD7:GD20)</f>
        <v>5408</v>
      </c>
      <c r="GC23" s="286"/>
      <c r="GD23" s="269"/>
      <c r="GE23" s="268">
        <f>SUMIF($E$7:$E$20,"Plan",GE7:GE20)+SUMIF($E$7:$E$20,"Plan",GF7:GF20)+SUMIF($E$7:$E$20,"Plan",GG7:GG20)</f>
        <v>5408</v>
      </c>
      <c r="GF23" s="286"/>
      <c r="GG23" s="269"/>
      <c r="GH23" s="268">
        <f>SUMIF($E$7:$E$20,"Plan",GH7:GH20)+SUMIF($E$7:$E$20,"Plan",GI7:GI20)+SUMIF($E$7:$E$20,"Plan",GJ7:GJ20)</f>
        <v>5408</v>
      </c>
      <c r="GI23" s="286"/>
      <c r="GJ23" s="269"/>
      <c r="GK23" s="268">
        <f>SUMIF($E$7:$E$20,"Plan",GK7:GK20)+SUMIF($E$7:$E$20,"Plan",GL7:GL20)+SUMIF($E$7:$E$20,"Plan",GM7:GM20)</f>
        <v>5408</v>
      </c>
      <c r="GL23" s="286"/>
      <c r="GM23" s="269"/>
      <c r="GN23" s="268">
        <f>SUMIF($E$7:$E$20,"Plan",GN7:GN20)+SUMIF($E$7:$E$20,"Plan",GO7:GO20)+SUMIF($E$7:$E$20,"Plan",GP7:GP20)</f>
        <v>0</v>
      </c>
      <c r="GO23" s="286"/>
      <c r="GP23" s="269"/>
      <c r="GQ23" s="268">
        <f>SUMIF($E$7:$E$20,"Plan",GQ7:GQ20)+SUMIF($E$7:$E$20,"Plan",GR7:GR20)+SUMIF($E$7:$E$20,"Plan",GS7:GS20)</f>
        <v>0</v>
      </c>
      <c r="GR23" s="286"/>
      <c r="GS23" s="269"/>
      <c r="GT23" s="91">
        <f>SUM(FY23:GS23)</f>
        <v>27040</v>
      </c>
      <c r="GX23" s="268">
        <f>SUMIF($E$7:$E$20,"Plan",GX7:GX20)+SUMIF($E$7:$E$20,"Plan",GY7:GY20)+SUMIF($E$7:$E$20,"Plan",GZ7:GZ20)</f>
        <v>5408</v>
      </c>
      <c r="GY23" s="286"/>
      <c r="GZ23" s="269"/>
      <c r="HA23" s="268">
        <f>SUMIF($E$7:$E$20,"Plan",HA7:HA20)+SUMIF($E$7:$E$20,"Plan",HB7:HB20)+SUMIF($E$7:$E$20,"Plan",HC7:HC20)</f>
        <v>5408</v>
      </c>
      <c r="HB23" s="286"/>
      <c r="HC23" s="269"/>
      <c r="HD23" s="268">
        <f>SUMIF($E$7:$E$20,"Plan",HD7:HD20)+SUMIF($E$7:$E$20,"Plan",HE7:HE20)+SUMIF($E$7:$E$20,"Plan",HF7:HF20)</f>
        <v>5408</v>
      </c>
      <c r="HE23" s="286"/>
      <c r="HF23" s="269"/>
      <c r="HG23" s="268">
        <f>SUMIF($E$7:$E$20,"Plan",HG7:HG20)+SUMIF($E$7:$E$20,"Plan",HH7:HH20)+SUMIF($E$7:$E$20,"Plan",HI7:HI20)</f>
        <v>5408</v>
      </c>
      <c r="HH23" s="286"/>
      <c r="HI23" s="269"/>
      <c r="HJ23" s="268">
        <f>SUMIF($E$7:$E$20,"Plan",HJ7:HJ20)+SUMIF($E$7:$E$20,"Plan",HK7:HK20)+SUMIF($E$7:$E$20,"Plan",HL7:HL20)</f>
        <v>5408</v>
      </c>
      <c r="HK23" s="286"/>
      <c r="HL23" s="269"/>
      <c r="HM23" s="268">
        <f>SUMIF($E$7:$E$20,"Plan",HM7:HM20)+SUMIF($E$7:$E$20,"Plan",HN7:HN20)+SUMIF($E$7:$E$20,"Plan",HO7:HO20)</f>
        <v>0</v>
      </c>
      <c r="HN23" s="286"/>
      <c r="HO23" s="269"/>
      <c r="HP23" s="268">
        <f>SUMIF($E$7:$E$20,"Plan",HP7:HP20)+SUMIF($E$7:$E$20,"Plan",HQ7:HQ20)+SUMIF($E$7:$E$20,"Plan",HR7:HR20)</f>
        <v>0</v>
      </c>
      <c r="HQ23" s="286"/>
      <c r="HR23" s="269"/>
      <c r="HS23" s="91">
        <f>SUM(GX23:HR23)</f>
        <v>27040</v>
      </c>
      <c r="HW23" s="268">
        <f>SUMIF($E$7:$E$20,"Plan",HW7:HW20)+SUMIF($E$7:$E$20,"Plan",HX7:HX20)+SUMIF($E$7:$E$20,"Plan",HY7:HY20)</f>
        <v>5408</v>
      </c>
      <c r="HX23" s="286"/>
      <c r="HY23" s="269"/>
      <c r="HZ23" s="268">
        <f>SUMIF($E$7:$E$20,"Plan",HZ7:HZ20)+SUMIF($E$7:$E$20,"Plan",IA7:IA20)+SUMIF($E$7:$E$20,"Plan",IB7:IB20)</f>
        <v>5395</v>
      </c>
      <c r="IA23" s="286"/>
      <c r="IB23" s="269"/>
      <c r="IC23" s="268">
        <f>SUMIF($E$7:$E$20,"Plan",IC7:IC20)+SUMIF($E$7:$E$20,"Plan",ID7:ID20)+SUMIF($E$7:$E$20,"Plan",IE7:IE20)</f>
        <v>5408</v>
      </c>
      <c r="ID23" s="286"/>
      <c r="IE23" s="269"/>
      <c r="IF23" s="268">
        <f>SUMIF($E$7:$E$20,"Plan",IF7:IF20)+SUMIF($E$7:$E$20,"Plan",IG7:IG20)+SUMIF($E$7:$E$20,"Plan",IH7:IH20)</f>
        <v>5408</v>
      </c>
      <c r="IG23" s="286"/>
      <c r="IH23" s="269"/>
      <c r="II23" s="268">
        <f>SUMIF($E$7:$E$20,"Plan",II7:II20)+SUMIF($E$7:$E$20,"Plan",IJ7:IJ20)+SUMIF($E$7:$E$20,"Plan",IK7:IK20)</f>
        <v>5408</v>
      </c>
      <c r="IJ23" s="286"/>
      <c r="IK23" s="269"/>
      <c r="IL23" s="268">
        <f>SUMIF($E$7:$E$20,"Plan",IL7:IL20)+SUMIF($E$7:$E$20,"Plan",IM7:IM20)+SUMIF($E$7:$E$20,"Plan",IN7:IN20)</f>
        <v>0</v>
      </c>
      <c r="IM23" s="286"/>
      <c r="IN23" s="269"/>
      <c r="IO23" s="268">
        <f>SUMIF($E$7:$E$20,"Plan",IO7:IO20)+SUMIF($E$7:$E$20,"Plan",IP7:IP20)+SUMIF($E$7:$E$20,"Plan",IQ7:IQ20)</f>
        <v>0</v>
      </c>
      <c r="IP23" s="286"/>
      <c r="IQ23" s="269"/>
      <c r="IV23" s="268">
        <f>SUMIF($E$7:$E$20,"Plan",IV7:IV20)+SUMIF($E$7:$E$20,"Plan",IW7:IW20)+SUMIF($E$7:$E$20,"Plan",IX7:IX20)</f>
        <v>5408</v>
      </c>
      <c r="IW23" s="286"/>
      <c r="IX23" s="269"/>
      <c r="IY23" s="268">
        <f>SUMIF($E$7:$E$20,"Plan",IY7:IY20)+SUMIF($E$7:$E$20,"Plan",IZ7:IZ20)+SUMIF($E$7:$E$20,"Plan",JA7:JA20)</f>
        <v>5408</v>
      </c>
      <c r="IZ23" s="286"/>
      <c r="JA23" s="269"/>
      <c r="JB23" s="268">
        <f>SUMIF($E$7:$E$20,"Plan",JB7:JB20)+SUMIF($E$7:$E$20,"Plan",JC7:JC20)+SUMIF($E$7:$E$20,"Plan",JD7:JD20)</f>
        <v>5408</v>
      </c>
      <c r="JC23" s="286"/>
      <c r="JD23" s="269"/>
      <c r="JE23" s="268">
        <f>SUMIF($E$7:$E$20,"Plan",JE7:JE20)+SUMIF($E$7:$E$20,"Plan",JF7:JF20)+SUMIF($E$7:$E$20,"Plan",JG7:JG20)</f>
        <v>5408</v>
      </c>
      <c r="JF23" s="286"/>
      <c r="JG23" s="269"/>
      <c r="JH23" s="268">
        <f>SUMIF($E$7:$E$20,"Plan",JH7:JH20)+SUMIF($E$7:$E$20,"Plan",JI7:JI20)+SUMIF($E$7:$E$20,"Plan",JJ7:JJ20)</f>
        <v>5288</v>
      </c>
      <c r="JI23" s="286"/>
      <c r="JJ23" s="269"/>
      <c r="JK23" s="268">
        <f>SUMIF($E$7:$E$20,"Plan",JK7:JK20)+SUMIF($E$7:$E$20,"Plan",JL7:JL20)+SUMIF($E$7:$E$20,"Plan",JM7:JM20)</f>
        <v>0</v>
      </c>
      <c r="JL23" s="286"/>
      <c r="JM23" s="269"/>
      <c r="JN23" s="268">
        <f>SUMIF($E$7:$E$20,"Plan",JN7:JN20)+SUMIF($E$7:$E$20,"Plan",JO7:JO20)+SUMIF($E$7:$E$20,"Plan",JP7:JP20)</f>
        <v>0</v>
      </c>
      <c r="JO23" s="286"/>
      <c r="JP23" s="269"/>
      <c r="JU23" s="268">
        <f>SUMIF($E$7:$E$20,"Plan",JU7:JU20)+SUMIF($E$7:$E$20,"Plan",JV7:JV20)+SUMIF($E$7:$E$20,"Plan",JW7:JW20)</f>
        <v>0</v>
      </c>
      <c r="JV23" s="286"/>
      <c r="JW23" s="269"/>
      <c r="JX23" s="268">
        <f>SUMIF($E$7:$E$20,"Plan",JX7:JX20)+SUMIF($E$7:$E$20,"Plan",JY7:JY20)+SUMIF($E$7:$E$20,"Plan",JZ7:JZ20)</f>
        <v>5408</v>
      </c>
      <c r="JY23" s="286"/>
      <c r="JZ23" s="269"/>
      <c r="KA23" s="268">
        <f>SUMIF($E$7:$E$20,"Plan",KA7:KA20)+SUMIF($E$7:$E$20,"Plan",KB7:KB20)+SUMIF($E$7:$E$20,"Plan",KC7:KC20)</f>
        <v>5408</v>
      </c>
      <c r="KB23" s="286"/>
      <c r="KC23" s="269"/>
      <c r="KD23" s="268">
        <f>SUMIF($E$7:$E$20,"Plan",KD7:KD20)+SUMIF($E$7:$E$20,"Plan",KE7:KE20)+SUMIF($E$7:$E$20,"Plan",KF7:KF20)</f>
        <v>5314</v>
      </c>
      <c r="KE23" s="286"/>
      <c r="KF23" s="269"/>
      <c r="KG23" s="268">
        <f>SUMIF($E$7:$E$20,"Plan",KG7:KG20)+SUMIF($E$7:$E$20,"Plan",KH7:KH20)+SUMIF($E$7:$E$20,"Plan",KI7:KI20)</f>
        <v>5408</v>
      </c>
      <c r="KH23" s="286"/>
      <c r="KI23" s="269"/>
      <c r="KJ23" s="268">
        <f>SUMIF($E$7:$E$20,"Plan",KJ7:KJ20)+SUMIF($E$7:$E$20,"Plan",KK7:KK20)+SUMIF($E$7:$E$20,"Plan",KL7:KL20)</f>
        <v>0</v>
      </c>
      <c r="KK23" s="286"/>
      <c r="KL23" s="269"/>
      <c r="KM23" s="268">
        <f>SUMIF($E$7:$E$20,"Plan",KM7:KM20)+SUMIF($E$7:$E$20,"Plan",KN7:KN20)+SUMIF($E$7:$E$20,"Plan",KO7:KO20)</f>
        <v>0</v>
      </c>
      <c r="KN23" s="286"/>
      <c r="KO23" s="269"/>
      <c r="KP23" s="67">
        <f>SUM(JU23:KO23)</f>
        <v>21538</v>
      </c>
      <c r="KT23" s="268">
        <f>SUMIF($E$7:$E$20,"Plan",KT7:KT20)+SUMIF($E$7:$E$20,"Plan",KU7:KU20)+SUMIF($E$7:$E$20,"Plan",KV7:KV20)</f>
        <v>5408</v>
      </c>
      <c r="KU23" s="286"/>
      <c r="KV23" s="269"/>
      <c r="KW23" s="268">
        <f>SUMIF($E$7:$E$20,"Plan",KW7:KW20)+SUMIF($E$7:$E$20,"Plan",KX7:KX20)+SUMIF($E$7:$E$20,"Plan",KY7:KY20)</f>
        <v>5408</v>
      </c>
      <c r="KX23" s="286"/>
      <c r="KY23" s="269"/>
      <c r="KZ23" s="268">
        <f>SUMIF($E$7:$E$20,"Plan",KZ7:KZ20)+SUMIF($E$7:$E$20,"Plan",LA7:LA20)+SUMIF($E$7:$E$20,"Plan",LB7:LB20)</f>
        <v>5408</v>
      </c>
      <c r="LA23" s="286"/>
      <c r="LB23" s="269"/>
      <c r="LC23" s="268">
        <f>SUMIF($E$7:$E$20,"Plan",LC7:LC20)+SUMIF($E$7:$E$20,"Plan",LD7:LD20)+SUMIF($E$7:$E$20,"Plan",LE7:LE20)</f>
        <v>5408</v>
      </c>
      <c r="LD23" s="286"/>
      <c r="LE23" s="269"/>
      <c r="LF23" s="268">
        <f>SUMIF($E$7:$E$20,"Plan",LF7:LF20)+SUMIF($E$7:$E$20,"Plan",LG7:LG20)+SUMIF($E$7:$E$20,"Plan",LH7:LH20)</f>
        <v>5408</v>
      </c>
      <c r="LG23" s="286"/>
      <c r="LH23" s="269"/>
      <c r="LI23" s="268">
        <f>SUMIF($E$7:$E$20,"Plan",LI7:LI20)+SUMIF($E$7:$E$20,"Plan",LJ7:LJ20)+SUMIF($E$7:$E$20,"Plan",LK7:LK20)</f>
        <v>0</v>
      </c>
      <c r="LJ23" s="286"/>
      <c r="LK23" s="269"/>
      <c r="LL23" s="268">
        <f>SUMIF($E$7:$E$20,"Plan",LL7:LL20)+SUMIF($E$7:$E$20,"Plan",LM7:LM20)+SUMIF($E$7:$E$20,"Plan",LN7:LN20)</f>
        <v>0</v>
      </c>
      <c r="LM23" s="286"/>
      <c r="LN23" s="269"/>
    </row>
    <row r="24" spans="1:330" x14ac:dyDescent="0.35">
      <c r="E24" s="48" t="s">
        <v>7</v>
      </c>
      <c r="F24" s="278">
        <f>SUMIF($E$7:$E$20,"Results",F7:H20)+SUMIF($E$7:$E$20,"Results",G7:G20)+SUMIF($E$7:$E$20,"Results",H7:H20)</f>
        <v>0</v>
      </c>
      <c r="G24" s="263"/>
      <c r="H24" s="264"/>
      <c r="I24" s="278">
        <f>SUMIF($E$7:$E$20,"Results",I7:K20)+SUMIF($E$7:$E$20,"Results",J7:J20)+SUMIF($E$7:$E$20,"Results",K7:K20)</f>
        <v>0</v>
      </c>
      <c r="J24" s="263"/>
      <c r="K24" s="264"/>
      <c r="L24" s="278">
        <f>SUMIF($E$7:$E$20,"Results",L7:N20)+SUMIF($E$7:$E$20,"Results",M7:M20)+SUMIF($E$7:$E$20,"Results",N7:N20)</f>
        <v>0</v>
      </c>
      <c r="M24" s="263"/>
      <c r="N24" s="264"/>
      <c r="O24" s="278">
        <f>SUMIF($E$7:$E$20,"Results",O7:Q20)+SUMIF($E$7:$E$20,"Results",P7:P20)+SUMIF($E$7:$E$20,"Results",Q7:Q20)</f>
        <v>0</v>
      </c>
      <c r="P24" s="263"/>
      <c r="Q24" s="264"/>
      <c r="R24" s="278">
        <f>SUMIF($E$7:$E$20,"Results",R7:T20)+SUMIF($E$7:$E$20,"Results",S7:S20)+SUMIF($E$7:$E$20,"Results",T7:T20)</f>
        <v>0</v>
      </c>
      <c r="S24" s="263"/>
      <c r="T24" s="264"/>
      <c r="U24" s="278">
        <f>SUMIF($E$7:$E$20,"Results",U7:W20)+SUMIF($E$7:$E$20,"Results",V7:V20)+SUMIF($E$7:$E$20,"Results",W7:W20)</f>
        <v>0</v>
      </c>
      <c r="V24" s="263"/>
      <c r="W24" s="264"/>
      <c r="X24" s="278">
        <f>SUMIF($E$7:$E$20,"Results",X7:Z20)+SUMIF($E$7:$E$20,"Results",Y7:Y20)+SUMIF($E$7:$E$20,"Results",Z7:Z20)</f>
        <v>0</v>
      </c>
      <c r="Y24" s="263"/>
      <c r="Z24" s="264"/>
      <c r="AA24" s="270">
        <f>SUM(F24:Z24)</f>
        <v>0</v>
      </c>
      <c r="AB24" s="271"/>
      <c r="AE24" s="262">
        <f>SUMIF($E$7:$E$20,"Results",AE7:AG20)+SUMIF($E$7:$E$20,"Results",AF7:AF20)+SUMIF($E$7:$E$20,"Results",AG7:AG20)</f>
        <v>3565</v>
      </c>
      <c r="AF24" s="263"/>
      <c r="AG24" s="264"/>
      <c r="AH24" s="262">
        <f>SUMIF($E$7:$E$20,"Results",AH7:AJ20)+SUMIF($E$7:$E$20,"Results",AI7:AI20)+SUMIF($E$7:$E$20,"Results",AJ7:AJ20)</f>
        <v>4859</v>
      </c>
      <c r="AI24" s="263"/>
      <c r="AJ24" s="264"/>
      <c r="AK24" s="262">
        <f>SUMIF($E$7:$E$20,"Results",AK7:AM20)+SUMIF($E$7:$E$20,"Results",AL7:AL20)+SUMIF($E$7:$E$20,"Results",AM7:AM20)</f>
        <v>4981</v>
      </c>
      <c r="AL24" s="263"/>
      <c r="AM24" s="264"/>
      <c r="AN24" s="262">
        <f>SUMIF($E$7:$E$20,"Results",AN7:AP20)+SUMIF($E$7:$E$20,"Results",AO7:AO20)+SUMIF($E$7:$E$20,"Results",AP7:AP20)</f>
        <v>4768</v>
      </c>
      <c r="AO24" s="263"/>
      <c r="AP24" s="264"/>
      <c r="AQ24" s="262">
        <f>SUMIF($E$7:$E$20,"Results",AQ7:AS20)+SUMIF($E$7:$E$20,"Results",AR7:AR20)+SUMIF($E$7:$E$20,"Results",AS7:AS20)</f>
        <v>0</v>
      </c>
      <c r="AR24" s="263"/>
      <c r="AS24" s="264"/>
      <c r="AT24" s="262">
        <f>SUMIF($E$7:$E$20,"Results",AT7:AV20)+SUMIF($E$7:$E$20,"Results",AU7:AU20)+SUMIF($E$7:$E$20,"Results",AV7:AV20)</f>
        <v>0</v>
      </c>
      <c r="AU24" s="263"/>
      <c r="AV24" s="264"/>
      <c r="AW24" s="262">
        <f>SUMIF($E$7:$E$20,"Results",AW7:AY20)+SUMIF($E$7:$E$20,"Results",AX7:AX20)+SUMIF($E$7:$E$20,"Results",AY7:AY20)</f>
        <v>0</v>
      </c>
      <c r="AX24" s="263"/>
      <c r="AY24" s="264"/>
      <c r="AZ24" s="270">
        <f>SUM(AE24:AY24)</f>
        <v>18173</v>
      </c>
      <c r="BA24" s="271"/>
      <c r="BD24" s="262">
        <f>SUMIF($E$7:$E$20,"Results",BD7:BF20)+SUMIF($E$7:$E$20,"Results",BE7:BE20)+SUMIF($E$7:$E$20,"Results",BF7:BF20)</f>
        <v>4418</v>
      </c>
      <c r="BE24" s="263"/>
      <c r="BF24" s="264"/>
      <c r="BG24" s="262">
        <f>SUMIF($E$7:$E$20,"Results",BG7:BI20)+SUMIF($E$7:$E$20,"Results",BH7:BH20)+SUMIF($E$7:$E$20,"Results",BI7:BI20)</f>
        <v>5223</v>
      </c>
      <c r="BH24" s="263"/>
      <c r="BI24" s="264"/>
      <c r="BJ24" s="262">
        <f>SUMIF($E$7:$E$20,"Results",BJ7:BL20)+SUMIF($E$7:$E$20,"Results",BK7:BK20)+SUMIF($E$7:$E$20,"Results",BL7:BL20)</f>
        <v>5210</v>
      </c>
      <c r="BK24" s="263"/>
      <c r="BL24" s="264"/>
      <c r="BM24" s="262">
        <f>SUMIF($E$7:$E$20,"Results",BM7:BO20)+SUMIF($E$7:$E$20,"Results",BN7:BN20)+SUMIF($E$7:$E$20,"Results",BO7:BO20)</f>
        <v>4987</v>
      </c>
      <c r="BN24" s="263"/>
      <c r="BO24" s="264"/>
      <c r="BP24" s="262">
        <f>SUMIF($E$7:$E$20,"Results",BP7:BR20)+SUMIF($E$7:$E$20,"Results",BQ7:BQ20)+SUMIF($E$7:$E$20,"Results",BR7:BR20)</f>
        <v>5196</v>
      </c>
      <c r="BQ24" s="263"/>
      <c r="BR24" s="264"/>
      <c r="BS24" s="262">
        <f>SUMIF($E$7:$E$20,"Results",BS7:BU20)+SUMIF($E$7:$E$20,"Results",BT7:BT20)+SUMIF($E$7:$E$20,"Results",BU7:BU20)</f>
        <v>0</v>
      </c>
      <c r="BT24" s="263"/>
      <c r="BU24" s="264"/>
      <c r="BV24" s="262">
        <f>SUMIF($E$7:$E$20,"Results",BV7:BX20)+SUMIF($E$7:$E$20,"Results",BW7:BW20)+SUMIF($E$7:$E$20,"Results",BX7:BX20)</f>
        <v>0</v>
      </c>
      <c r="BW24" s="263"/>
      <c r="BX24" s="264"/>
      <c r="BY24" s="93">
        <f>SUM(BD24:BX24)</f>
        <v>25034</v>
      </c>
      <c r="BZ24" s="94"/>
      <c r="CC24" s="262">
        <f>SUMIF($E$7:$E$20,"Results",CC7:CE20)+SUMIF($E$7:$E$20,"Results",CD7:CD20)+SUMIF($E$7:$E$20,"Results",CE7:CE20)</f>
        <v>5157</v>
      </c>
      <c r="CD24" s="263"/>
      <c r="CE24" s="264"/>
      <c r="CF24" s="262">
        <f>SUMIF($E$7:$E$20,"Results",CF7:CH20)+SUMIF($E$7:$E$20,"Results",CG7:CG20)+SUMIF($E$7:$E$20,"Results",CH7:CH20)</f>
        <v>5428</v>
      </c>
      <c r="CG24" s="263"/>
      <c r="CH24" s="264"/>
      <c r="CI24" s="262">
        <f>SUMIF($E$7:$E$20,"Results",CI7:CK20)+SUMIF($E$7:$E$20,"Results",CJ7:CJ20)+SUMIF($E$7:$E$20,"Results",CK7:CK20)</f>
        <v>5449</v>
      </c>
      <c r="CJ24" s="263"/>
      <c r="CK24" s="264"/>
      <c r="CL24" s="262">
        <f>SUMIF($E$7:$E$20,"Results",CL7:CN20)+SUMIF($E$7:$E$20,"Results",CM7:CM20)+SUMIF($E$7:$E$20,"Results",CN7:CN20)</f>
        <v>5395</v>
      </c>
      <c r="CM24" s="263"/>
      <c r="CN24" s="264"/>
      <c r="CO24" s="262">
        <f>SUMIF($E$7:$E$20,"Results",CO7:CQ20)+SUMIF($E$7:$E$20,"Results",CP7:CP20)+SUMIF($E$7:$E$20,"Results",CQ7:CQ20)</f>
        <v>5099</v>
      </c>
      <c r="CP24" s="263"/>
      <c r="CQ24" s="264"/>
      <c r="CR24" s="262">
        <f>SUMIF($E$7:$E$20,"Results",CR7:CT20)+SUMIF($E$7:$E$20,"Results",CS7:CS20)+SUMIF($E$7:$E$20,"Results",CT7:CT20)</f>
        <v>2623</v>
      </c>
      <c r="CS24" s="263"/>
      <c r="CT24" s="264"/>
      <c r="CU24" s="262">
        <f>SUMIF($E$7:$E$20,"Results",CU7:CW20)+SUMIF($E$7:$E$20,"Results",CV7:CV20)+SUMIF($E$7:$E$20,"Results",CW7:CW20)</f>
        <v>1600</v>
      </c>
      <c r="CV24" s="263"/>
      <c r="CW24" s="264"/>
      <c r="CX24" s="91">
        <f>SUM(CC24:CW24)</f>
        <v>30751</v>
      </c>
      <c r="DB24" s="262">
        <f>SUMIF($E$7:$E$20,"Results",DB7:DD20)+SUMIF($E$7:$E$20,"Results",DC7:DC20)+SUMIF($E$7:$E$20,"Results",DD7:DD20)</f>
        <v>2789</v>
      </c>
      <c r="DC24" s="263"/>
      <c r="DD24" s="264"/>
      <c r="DE24" s="262">
        <f>SUMIF($E$7:$E$20,"Results",DE7:DG20)+SUMIF($E$7:$E$20,"Results",DF7:DF20)+SUMIF($E$7:$E$20,"Results",DG7:DG20)</f>
        <v>0</v>
      </c>
      <c r="DF24" s="263"/>
      <c r="DG24" s="264"/>
      <c r="DH24" s="262">
        <f>SUMIF($E$7:$E$20,"Results",DH7:DJ20)+SUMIF($E$7:$E$20,"Results",DI7:DI20)+SUMIF($E$7:$E$20,"Results",DJ7:DJ20)</f>
        <v>0</v>
      </c>
      <c r="DI24" s="263"/>
      <c r="DJ24" s="264"/>
      <c r="DK24" s="262">
        <f>SUMIF($E$7:$E$20,"Results",DK7:DM20)+SUMIF($E$7:$E$20,"Results",DL7:DL20)+SUMIF($E$7:$E$20,"Results",DM7:DM20)</f>
        <v>0</v>
      </c>
      <c r="DL24" s="263"/>
      <c r="DM24" s="264"/>
      <c r="DN24" s="262">
        <f>SUMIF($E$7:$E$20,"Results",DN7:DP20)+SUMIF($E$7:$E$20,"Results",DO7:DO20)+SUMIF($E$7:$E$20,"Results",DP7:DP20)</f>
        <v>0</v>
      </c>
      <c r="DO24" s="263"/>
      <c r="DP24" s="264"/>
      <c r="DQ24" s="262">
        <f>SUMIF($E$7:$E$20,"Results",DQ7:DS20)+SUMIF($E$7:$E$20,"Results",DR7:DR20)+SUMIF($E$7:$E$20,"Results",DS7:DS20)</f>
        <v>0</v>
      </c>
      <c r="DR24" s="263"/>
      <c r="DS24" s="264"/>
      <c r="DT24" s="262">
        <f>SUMIF($E$7:$E$20,"Results",DT7:DV20)+SUMIF($E$7:$E$20,"Results",DU7:DU20)+SUMIF($E$7:$E$20,"Results",DV7:DV20)</f>
        <v>0</v>
      </c>
      <c r="DU24" s="263"/>
      <c r="DV24" s="264"/>
      <c r="DW24" s="91">
        <f>SUM(DB24:DV24)</f>
        <v>2789</v>
      </c>
      <c r="EA24" s="262">
        <f>SUMIF($E$7:$E$20,"Results",EA7:EC20)+SUMIF($E$7:$E$20,"Results",EB7:EB20)+SUMIF($E$7:$E$20,"Results",EC7:EC20)</f>
        <v>0</v>
      </c>
      <c r="EB24" s="263"/>
      <c r="EC24" s="264"/>
      <c r="ED24" s="283">
        <f>SUMIF($E$7:$E$20,"Results",ED7:EF20)+SUMIF($E$7:$E$20,"Results",EE7:EE20)+SUMIF($E$7:$E$20,"Results",EF7:EF20)</f>
        <v>0</v>
      </c>
      <c r="EE24" s="284"/>
      <c r="EF24" s="285"/>
      <c r="EG24" s="283">
        <f>SUMIF($E$7:$E$20,"Results",EG7:EI20)+SUMIF($E$7:$E$20,"Results",EH7:EH20)+SUMIF($E$7:$E$20,"Results",EI7:EI20)</f>
        <v>0</v>
      </c>
      <c r="EH24" s="284"/>
      <c r="EI24" s="285"/>
      <c r="EJ24" s="283">
        <f>SUMIF($E$7:$E$20,"Results",EJ7:EL20)+SUMIF($E$7:$E$20,"Results",EK7:EK20)+SUMIF($E$7:$E$20,"Results",EL7:EL20)</f>
        <v>0</v>
      </c>
      <c r="EK24" s="284"/>
      <c r="EL24" s="285"/>
      <c r="EM24" s="283">
        <f>SUMIF($E$7:$E$20,"Results",EM7:EO20)+SUMIF($E$7:$E$20,"Results",EN7:EN20)+SUMIF($E$7:$E$20,"Results",EO7:EO20)</f>
        <v>0</v>
      </c>
      <c r="EN24" s="284"/>
      <c r="EO24" s="285"/>
      <c r="EP24" s="283">
        <f>SUMIF($E$7:$E$20,"Results",EP7:ER20)+SUMIF($E$7:$E$20,"Results",EQ7:EQ20)+SUMIF($E$7:$E$20,"Results",ER7:ER20)</f>
        <v>0</v>
      </c>
      <c r="EQ24" s="284"/>
      <c r="ER24" s="285"/>
      <c r="ES24" s="283">
        <f>SUMIF($E$7:$E$20,"Results",ES7:EU20)+SUMIF($E$7:$E$20,"Results",ET7:ET20)+SUMIF($E$7:$E$20,"Results",EU7:EU20)</f>
        <v>0</v>
      </c>
      <c r="ET24" s="284"/>
      <c r="EU24" s="285"/>
      <c r="EV24" s="91">
        <f>SUM(EA24:EU24)</f>
        <v>0</v>
      </c>
      <c r="EZ24" s="283">
        <f>SUMIF($E$7:$E$20,"Results",EZ7:FB20)+SUMIF($E$7:$E$20,"Results",FA7:FA20)+SUMIF($E$7:$E$20,"Results",FB7:FB20)</f>
        <v>0</v>
      </c>
      <c r="FA24" s="284"/>
      <c r="FB24" s="285"/>
      <c r="FC24" s="283">
        <f>SUMIF($E$7:$E$20,"Results",FC7:FE20)+SUMIF($E$7:$E$20,"Results",FD7:FD20)+SUMIF($E$7:$E$20,"Results",FE7:FE20)</f>
        <v>0</v>
      </c>
      <c r="FD24" s="284"/>
      <c r="FE24" s="285"/>
      <c r="FF24" s="283">
        <f>SUMIF($E$7:$E$20,"Results",FF7:FH20)+SUMIF($E$7:$E$20,"Results",FG7:FG20)+SUMIF($E$7:$E$20,"Results",FH7:FH20)</f>
        <v>0</v>
      </c>
      <c r="FG24" s="284"/>
      <c r="FH24" s="285"/>
      <c r="FI24" s="283">
        <f>SUMIF($E$7:$E$20,"Results",FI7:FK20)+SUMIF($E$7:$E$20,"Results",FJ7:FJ20)+SUMIF($E$7:$E$20,"Results",FK7:FK20)</f>
        <v>0</v>
      </c>
      <c r="FJ24" s="284"/>
      <c r="FK24" s="285"/>
      <c r="FL24" s="283">
        <f>SUMIF($E$7:$E$20,"Results",FL7:FN20)+SUMIF($E$7:$E$20,"Results",FM7:FM20)+SUMIF($E$7:$E$20,"Results",FN7:FN20)</f>
        <v>0</v>
      </c>
      <c r="FM24" s="284"/>
      <c r="FN24" s="285"/>
      <c r="FO24" s="283">
        <f>SUMIF($E$7:$E$20,"Results",FO7:FQ20)+SUMIF($E$7:$E$20,"Results",FP7:FP20)+SUMIF($E$7:$E$20,"Results",FQ7:FQ20)</f>
        <v>0</v>
      </c>
      <c r="FP24" s="284"/>
      <c r="FQ24" s="285"/>
      <c r="FR24" s="283">
        <f>SUMIF($E$7:$E$20,"Results",FR7:FT20)+SUMIF($E$7:$E$20,"Results",FS7:FS20)+SUMIF($E$7:$E$20,"Results",FT7:FT20)</f>
        <v>0</v>
      </c>
      <c r="FS24" s="284"/>
      <c r="FT24" s="285"/>
      <c r="FU24" s="91">
        <f>SUM(EZ24:FT24)</f>
        <v>0</v>
      </c>
      <c r="FY24" s="283">
        <f>SUMIF($E$7:$E$20,"Results",FY7:GA20)+SUMIF($E$7:$E$20,"Results",FZ7:FZ20)+SUMIF($E$7:$E$20,"Results",GA7:GA20)</f>
        <v>0</v>
      </c>
      <c r="FZ24" s="284"/>
      <c r="GA24" s="285"/>
      <c r="GB24" s="283">
        <f>SUMIF($E$7:$E$20,"Results",GB7:GD20)+SUMIF($E$7:$E$20,"Results",GC7:GC20)+SUMIF($E$7:$E$20,"Results",GD7:GD20)</f>
        <v>0</v>
      </c>
      <c r="GC24" s="284"/>
      <c r="GD24" s="285"/>
      <c r="GE24" s="283">
        <f>SUMIF($E$7:$E$20,"Results",GE7:GG20)+SUMIF($E$7:$E$20,"Results",GF7:GF20)+SUMIF($E$7:$E$20,"Results",GG7:GG20)</f>
        <v>0</v>
      </c>
      <c r="GF24" s="284"/>
      <c r="GG24" s="285"/>
      <c r="GH24" s="283">
        <f>SUMIF($E$7:$E$20,"Results",GH7:GJ20)+SUMIF($E$7:$E$20,"Results",GI7:GI20)+SUMIF($E$7:$E$20,"Results",GJ7:GJ20)</f>
        <v>0</v>
      </c>
      <c r="GI24" s="284"/>
      <c r="GJ24" s="285"/>
      <c r="GK24" s="283">
        <f>SUMIF($E$7:$E$20,"Results",GK7:GM20)+SUMIF($E$7:$E$20,"Results",GL7:GL20)+SUMIF($E$7:$E$20,"Results",GM7:GM20)</f>
        <v>0</v>
      </c>
      <c r="GL24" s="284"/>
      <c r="GM24" s="285"/>
      <c r="GN24" s="283">
        <f>SUMIF($E$7:$E$20,"Results",GN7:GP20)+SUMIF($E$7:$E$20,"Results",GO7:GO20)+SUMIF($E$7:$E$20,"Results",GP7:GP20)</f>
        <v>0</v>
      </c>
      <c r="GO24" s="284"/>
      <c r="GP24" s="285"/>
      <c r="GQ24" s="283">
        <f>SUMIF($E$7:$E$20,"Results",GQ7:GS20)+SUMIF($E$7:$E$20,"Results",GR7:GR20)+SUMIF($E$7:$E$20,"Results",GS7:GS20)</f>
        <v>0</v>
      </c>
      <c r="GR24" s="284"/>
      <c r="GS24" s="285"/>
      <c r="GT24" s="91">
        <f>SUM(FY24:GS24)</f>
        <v>0</v>
      </c>
      <c r="GX24" s="283">
        <f>SUMIF($E$7:$E$20,"Results",GX7:GZ20)+SUMIF($E$7:$E$20,"Results",GY7:GY20)+SUMIF($E$7:$E$20,"Results",GZ7:GZ20)</f>
        <v>0</v>
      </c>
      <c r="GY24" s="284"/>
      <c r="GZ24" s="285"/>
      <c r="HA24" s="283">
        <f>SUMIF($E$7:$E$20,"Results",HA7:HC20)+SUMIF($E$7:$E$20,"Results",HB7:HB20)+SUMIF($E$7:$E$20,"Results",HC7:HC20)</f>
        <v>0</v>
      </c>
      <c r="HB24" s="284"/>
      <c r="HC24" s="285"/>
      <c r="HD24" s="283">
        <f>SUMIF($E$7:$E$20,"Results",HD7:HF20)+SUMIF($E$7:$E$20,"Results",HE7:HE20)+SUMIF($E$7:$E$20,"Results",HF7:HF20)</f>
        <v>0</v>
      </c>
      <c r="HE24" s="284"/>
      <c r="HF24" s="285"/>
      <c r="HG24" s="283">
        <f>SUMIF($E$7:$E$20,"Results",HG7:HI20)+SUMIF($E$7:$E$20,"Results",HH7:HH20)+SUMIF($E$7:$E$20,"Results",HI7:HI20)</f>
        <v>0</v>
      </c>
      <c r="HH24" s="284"/>
      <c r="HI24" s="285"/>
      <c r="HJ24" s="283">
        <f>SUMIF($E$7:$E$20,"Results",HJ7:HL20)+SUMIF($E$7:$E$20,"Results",HK7:HK20)+SUMIF($E$7:$E$20,"Results",HL7:HL20)</f>
        <v>0</v>
      </c>
      <c r="HK24" s="284"/>
      <c r="HL24" s="285"/>
      <c r="HM24" s="283">
        <f>SUMIF($E$7:$E$20,"Results",HM7:HO20)+SUMIF($E$7:$E$20,"Results",HN7:HN20)+SUMIF($E$7:$E$20,"Results",HO7:HO20)</f>
        <v>0</v>
      </c>
      <c r="HN24" s="284"/>
      <c r="HO24" s="285"/>
      <c r="HP24" s="283">
        <f>SUMIF($E$7:$E$20,"Results",HP7:HR20)+SUMIF($E$7:$E$20,"Results",HQ7:HQ20)+SUMIF($E$7:$E$20,"Results",HR7:HR20)</f>
        <v>0</v>
      </c>
      <c r="HQ24" s="284"/>
      <c r="HR24" s="285"/>
      <c r="HS24" s="91">
        <f>SUM(GX24:HR24)</f>
        <v>0</v>
      </c>
      <c r="HW24" s="283">
        <f>SUMIF($E$7:$E$20,"Results",HW7:HY20)+SUMIF($E$7:$E$20,"Results",HX7:HX20)+SUMIF($E$7:$E$20,"Results",HY7:HY20)</f>
        <v>0</v>
      </c>
      <c r="HX24" s="284"/>
      <c r="HY24" s="285"/>
      <c r="HZ24" s="283">
        <f>SUMIF($E$7:$E$20,"Results",HZ7:IB20)+SUMIF($E$7:$E$20,"Results",IA7:IA20)+SUMIF($E$7:$E$20,"Results",IB7:IB20)</f>
        <v>0</v>
      </c>
      <c r="IA24" s="284"/>
      <c r="IB24" s="285"/>
      <c r="IC24" s="283">
        <f>SUMIF($E$7:$E$20,"Results",IC7:IE20)+SUMIF($E$7:$E$20,"Results",ID7:ID20)+SUMIF($E$7:$E$20,"Results",IE7:IE20)</f>
        <v>0</v>
      </c>
      <c r="ID24" s="284"/>
      <c r="IE24" s="285"/>
      <c r="IF24" s="283">
        <f>SUMIF($E$7:$E$20,"Results",IF7:IH20)+SUMIF($E$7:$E$20,"Results",IG7:IG20)+SUMIF($E$7:$E$20,"Results",IH7:IH20)</f>
        <v>0</v>
      </c>
      <c r="IG24" s="284"/>
      <c r="IH24" s="285"/>
      <c r="II24" s="283">
        <f>SUMIF($E$7:$E$20,"Results",II7:IK20)+SUMIF($E$7:$E$20,"Results",IJ7:IJ20)+SUMIF($E$7:$E$20,"Results",IK7:IK20)</f>
        <v>0</v>
      </c>
      <c r="IJ24" s="284"/>
      <c r="IK24" s="285"/>
      <c r="IL24" s="283">
        <f>SUMIF($E$7:$E$20,"Results",IL7:IN20)+SUMIF($E$7:$E$20,"Results",IM7:IM20)+SUMIF($E$7:$E$20,"Results",IN7:IN20)</f>
        <v>0</v>
      </c>
      <c r="IM24" s="284"/>
      <c r="IN24" s="285"/>
      <c r="IO24" s="283">
        <f>SUMIF($E$7:$E$20,"Results",IO7:IQ20)+SUMIF($E$7:$E$20,"Results",IP7:IP20)+SUMIF($E$7:$E$20,"Results",IQ7:IQ20)</f>
        <v>0</v>
      </c>
      <c r="IP24" s="284"/>
      <c r="IQ24" s="285"/>
      <c r="IV24" s="283">
        <f>SUMIF($E$7:$E$20,"Results",IV7:IX20)+SUMIF($E$7:$E$20,"Results",IW7:IW20)+SUMIF($E$7:$E$20,"Results",IX7:IX20)</f>
        <v>0</v>
      </c>
      <c r="IW24" s="284"/>
      <c r="IX24" s="285"/>
      <c r="IY24" s="283">
        <f>SUMIF($E$7:$E$20,"Results",IY7:JA20)+SUMIF($E$7:$E$20,"Results",IZ7:IZ20)+SUMIF($E$7:$E$20,"Results",JA7:JA20)</f>
        <v>0</v>
      </c>
      <c r="IZ24" s="284"/>
      <c r="JA24" s="285"/>
      <c r="JB24" s="283">
        <f>SUMIF($E$7:$E$20,"Results",JB7:JD20)+SUMIF($E$7:$E$20,"Results",JC7:JC20)+SUMIF($E$7:$E$20,"Results",JD7:JD20)</f>
        <v>0</v>
      </c>
      <c r="JC24" s="284"/>
      <c r="JD24" s="285"/>
      <c r="JE24" s="283">
        <f>SUMIF($E$7:$E$20,"Results",JE7:JG20)+SUMIF($E$7:$E$20,"Results",JF7:JF20)+SUMIF($E$7:$E$20,"Results",JG7:JG20)</f>
        <v>0</v>
      </c>
      <c r="JF24" s="284"/>
      <c r="JG24" s="285"/>
      <c r="JH24" s="283">
        <f>SUMIF($E$7:$E$20,"Results",JH7:JJ20)+SUMIF($E$7:$E$20,"Results",JI7:JI20)+SUMIF($E$7:$E$20,"Results",JJ7:JJ20)</f>
        <v>0</v>
      </c>
      <c r="JI24" s="284"/>
      <c r="JJ24" s="285"/>
      <c r="JK24" s="283">
        <f>SUMIF($E$7:$E$20,"Results",JK7:JM20)+SUMIF($E$7:$E$20,"Results",JL7:JL20)+SUMIF($E$7:$E$20,"Results",JM7:JM20)</f>
        <v>0</v>
      </c>
      <c r="JL24" s="284"/>
      <c r="JM24" s="285"/>
      <c r="JN24" s="283">
        <f>SUMIF($E$7:$E$20,"Results",JN7:JP20)+SUMIF($E$7:$E$20,"Results",JO7:JO20)+SUMIF($E$7:$E$20,"Results",JP7:JP20)</f>
        <v>0</v>
      </c>
      <c r="JO24" s="284"/>
      <c r="JP24" s="285"/>
      <c r="JU24" s="283">
        <f>SUMIF($E$7:$E$20,"Results",JU7:JW20)+SUMIF($E$7:$E$20,"Results",JV7:JV20)+SUMIF($E$7:$E$20,"Results",JW7:JW20)</f>
        <v>0</v>
      </c>
      <c r="JV24" s="284"/>
      <c r="JW24" s="285"/>
      <c r="JX24" s="283">
        <f>SUMIF($E$7:$E$20,"Results",JX7:JZ20)+SUMIF($E$7:$E$20,"Results",JY7:JY20)+SUMIF($E$7:$E$20,"Results",JZ7:JZ20)</f>
        <v>0</v>
      </c>
      <c r="JY24" s="284"/>
      <c r="JZ24" s="285"/>
      <c r="KA24" s="283">
        <f>SUMIF($E$7:$E$20,"Results",KA7:KC20)+SUMIF($E$7:$E$20,"Results",KB7:KB20)+SUMIF($E$7:$E$20,"Results",KC7:KC20)</f>
        <v>0</v>
      </c>
      <c r="KB24" s="284"/>
      <c r="KC24" s="285"/>
      <c r="KD24" s="283">
        <f>SUMIF($E$7:$E$20,"Results",KD7:KF20)+SUMIF($E$7:$E$20,"Results",KE7:KE20)+SUMIF($E$7:$E$20,"Results",KF7:KF20)</f>
        <v>0</v>
      </c>
      <c r="KE24" s="284"/>
      <c r="KF24" s="285"/>
      <c r="KG24" s="283">
        <f>SUMIF($E$7:$E$20,"Results",KG7:KI20)+SUMIF($E$7:$E$20,"Results",KH7:KH20)+SUMIF($E$7:$E$20,"Results",KI7:KI20)</f>
        <v>0</v>
      </c>
      <c r="KH24" s="284"/>
      <c r="KI24" s="285"/>
      <c r="KJ24" s="283">
        <f>SUMIF($E$7:$E$20,"Results",KJ7:KL20)+SUMIF($E$7:$E$20,"Results",KK7:KK20)+SUMIF($E$7:$E$20,"Results",KL7:KL20)</f>
        <v>0</v>
      </c>
      <c r="KK24" s="284"/>
      <c r="KL24" s="285"/>
      <c r="KM24" s="283">
        <f>SUMIF($E$7:$E$20,"Results",KM7:KO20)+SUMIF($E$7:$E$20,"Results",KN7:KN20)+SUMIF($E$7:$E$20,"Results",KO7:KO20)</f>
        <v>0</v>
      </c>
      <c r="KN24" s="284"/>
      <c r="KO24" s="285"/>
      <c r="KP24" s="67">
        <f t="shared" ref="KP24:KP27" si="51">SUM(JU24:KO24)</f>
        <v>0</v>
      </c>
      <c r="KT24" s="283">
        <f>SUMIF($E$7:$E$20,"Results",KT7:KV20)+SUMIF($E$7:$E$20,"Results",KU7:KU20)+SUMIF($E$7:$E$20,"Results",KV7:KV20)</f>
        <v>0</v>
      </c>
      <c r="KU24" s="284"/>
      <c r="KV24" s="285"/>
      <c r="KW24" s="283">
        <f>SUMIF($E$7:$E$20,"Results",KW7:KY20)+SUMIF($E$7:$E$20,"Results",KX7:KX20)+SUMIF($E$7:$E$20,"Results",KY7:KY20)</f>
        <v>0</v>
      </c>
      <c r="KX24" s="284"/>
      <c r="KY24" s="285"/>
      <c r="KZ24" s="283">
        <f>SUMIF($E$7:$E$20,"Results",KZ7:LB20)+SUMIF($E$7:$E$20,"Results",LA7:LA20)+SUMIF($E$7:$E$20,"Results",LB7:LB20)</f>
        <v>0</v>
      </c>
      <c r="LA24" s="284"/>
      <c r="LB24" s="285"/>
      <c r="LC24" s="283">
        <f>SUMIF($E$7:$E$20,"Results",LC7:LE20)+SUMIF($E$7:$E$20,"Results",LD7:LD20)+SUMIF($E$7:$E$20,"Results",LE7:LE20)</f>
        <v>0</v>
      </c>
      <c r="LD24" s="284"/>
      <c r="LE24" s="285"/>
      <c r="LF24" s="283">
        <f>SUMIF($E$7:$E$20,"Results",LF7:LH20)+SUMIF($E$7:$E$20,"Results",LG7:LG20)+SUMIF($E$7:$E$20,"Results",LH7:LH20)</f>
        <v>0</v>
      </c>
      <c r="LG24" s="284"/>
      <c r="LH24" s="285"/>
      <c r="LI24" s="283">
        <f>SUMIF($E$7:$E$20,"Results",LI7:LK20)+SUMIF($E$7:$E$20,"Results",LJ7:LJ20)+SUMIF($E$7:$E$20,"Results",LK7:LK20)</f>
        <v>0</v>
      </c>
      <c r="LJ24" s="284"/>
      <c r="LK24" s="285"/>
      <c r="LL24" s="283">
        <f>SUMIF($E$7:$E$20,"Results",LL7:LN20)+SUMIF($E$7:$E$20,"Results",LM7:LM20)+SUMIF($E$7:$E$20,"Results",LN7:LN20)</f>
        <v>0</v>
      </c>
      <c r="LM24" s="284"/>
      <c r="LN24" s="285"/>
    </row>
    <row r="25" spans="1:330" ht="14.5" customHeight="1" x14ac:dyDescent="0.35">
      <c r="E25" s="45" t="s">
        <v>6</v>
      </c>
      <c r="F25" s="279">
        <f>SUM(F21:H21)</f>
        <v>0</v>
      </c>
      <c r="G25" s="280"/>
      <c r="H25" s="281"/>
      <c r="I25" s="279">
        <f>SUM(I21:K21)</f>
        <v>0</v>
      </c>
      <c r="J25" s="280"/>
      <c r="K25" s="281"/>
      <c r="L25" s="279">
        <f>SUM(L21:N21)</f>
        <v>0</v>
      </c>
      <c r="M25" s="280"/>
      <c r="N25" s="281"/>
      <c r="O25" s="279">
        <f>SUM(O21:Q21)</f>
        <v>0</v>
      </c>
      <c r="P25" s="280"/>
      <c r="Q25" s="281"/>
      <c r="R25" s="279">
        <f>SUM(R21:T21)</f>
        <v>0</v>
      </c>
      <c r="S25" s="280"/>
      <c r="T25" s="281"/>
      <c r="U25" s="279">
        <f>SUM(U21:W21)</f>
        <v>0</v>
      </c>
      <c r="V25" s="280"/>
      <c r="W25" s="281"/>
      <c r="X25" s="279">
        <f>SUM(X21:Z21)</f>
        <v>0</v>
      </c>
      <c r="Y25" s="280"/>
      <c r="Z25" s="281"/>
      <c r="AA25" s="279">
        <f t="shared" ref="AA25:AA26" si="52">SUM(F25:Z25)</f>
        <v>0</v>
      </c>
      <c r="AB25" s="280"/>
      <c r="AE25" s="275">
        <f>SUM(AE21:AG21)</f>
        <v>99290.880000000005</v>
      </c>
      <c r="AF25" s="276"/>
      <c r="AG25" s="277"/>
      <c r="AH25" s="275">
        <f>SUM(AH21:AJ21)</f>
        <v>99290.880000000005</v>
      </c>
      <c r="AI25" s="276"/>
      <c r="AJ25" s="277"/>
      <c r="AK25" s="275">
        <f>SUM(AK21:AM21)</f>
        <v>99290.880000000005</v>
      </c>
      <c r="AL25" s="276"/>
      <c r="AM25" s="277"/>
      <c r="AN25" s="275">
        <f>SUM(AN21:AP21)</f>
        <v>99290.880000000005</v>
      </c>
      <c r="AO25" s="276"/>
      <c r="AP25" s="277"/>
      <c r="AQ25" s="275">
        <f>SUM(AQ21:AS21)</f>
        <v>0</v>
      </c>
      <c r="AR25" s="276"/>
      <c r="AS25" s="277"/>
      <c r="AT25" s="275">
        <f>SUM(AT21:AV21)</f>
        <v>0</v>
      </c>
      <c r="AU25" s="276"/>
      <c r="AV25" s="277"/>
      <c r="AW25" s="275">
        <f>SUM(AW21:AY21)</f>
        <v>0</v>
      </c>
      <c r="AX25" s="276"/>
      <c r="AY25" s="277"/>
      <c r="AZ25" s="265">
        <f t="shared" ref="AZ25" si="53">SUM(AE25:AY25)</f>
        <v>397163.52000000002</v>
      </c>
      <c r="BA25" s="267"/>
      <c r="BD25" s="265">
        <f>SUM(BD21:BF21)</f>
        <v>99290.880000000005</v>
      </c>
      <c r="BE25" s="266"/>
      <c r="BF25" s="267"/>
      <c r="BG25" s="265">
        <f>SUM(BG21:BI21)</f>
        <v>99290.880000000005</v>
      </c>
      <c r="BH25" s="266"/>
      <c r="BI25" s="267"/>
      <c r="BJ25" s="265">
        <f>SUM(BJ21:BL21)</f>
        <v>99290.880000000005</v>
      </c>
      <c r="BK25" s="266"/>
      <c r="BL25" s="267"/>
      <c r="BM25" s="265">
        <f>SUM(BM21:BO21)</f>
        <v>99290.880000000005</v>
      </c>
      <c r="BN25" s="266"/>
      <c r="BO25" s="267"/>
      <c r="BP25" s="265">
        <f>SUM(BP21:BR21)</f>
        <v>99290.880000000005</v>
      </c>
      <c r="BQ25" s="266"/>
      <c r="BR25" s="267"/>
      <c r="BS25" s="265">
        <f>SUM(BS21:BU21)</f>
        <v>0</v>
      </c>
      <c r="BT25" s="266"/>
      <c r="BU25" s="267"/>
      <c r="BV25" s="265">
        <f>SUM(BV21:BX21)</f>
        <v>0</v>
      </c>
      <c r="BW25" s="266"/>
      <c r="BX25" s="267"/>
      <c r="CC25" s="265">
        <f>SUM(CC21:CE21)</f>
        <v>99290.880000000005</v>
      </c>
      <c r="CD25" s="266"/>
      <c r="CE25" s="267"/>
      <c r="CF25" s="265">
        <f>SUM(CF21:CH21)</f>
        <v>99290.880000000005</v>
      </c>
      <c r="CG25" s="266"/>
      <c r="CH25" s="267"/>
      <c r="CI25" s="265">
        <f>SUM(CI21:CK21)</f>
        <v>99290.880000000005</v>
      </c>
      <c r="CJ25" s="266"/>
      <c r="CK25" s="267"/>
      <c r="CL25" s="265">
        <f>SUM(CL21:CN21)</f>
        <v>99290.880000000005</v>
      </c>
      <c r="CM25" s="266"/>
      <c r="CN25" s="267"/>
      <c r="CO25" s="265">
        <f>SUM(CO21:CQ21)</f>
        <v>99290.880000000005</v>
      </c>
      <c r="CP25" s="266"/>
      <c r="CQ25" s="267"/>
      <c r="CR25" s="265">
        <f>SUM(CR21:CT21)</f>
        <v>51206.04</v>
      </c>
      <c r="CS25" s="266"/>
      <c r="CT25" s="267"/>
      <c r="CU25" s="265">
        <f>SUM(CU21:CW21)</f>
        <v>51206.04</v>
      </c>
      <c r="CV25" s="266"/>
      <c r="CW25" s="267"/>
      <c r="DB25" s="265">
        <f>SUM(DB21:DD21)</f>
        <v>99290.880000000005</v>
      </c>
      <c r="DC25" s="266"/>
      <c r="DD25" s="267"/>
      <c r="DE25" s="265">
        <f>SUM(DE21:DG21)</f>
        <v>99290.880000000005</v>
      </c>
      <c r="DF25" s="266"/>
      <c r="DG25" s="267"/>
      <c r="DH25" s="265">
        <f>SUM(DH21:DJ21)</f>
        <v>99290.880000000005</v>
      </c>
      <c r="DI25" s="266"/>
      <c r="DJ25" s="267"/>
      <c r="DK25" s="265">
        <f>SUM(DK21:DM21)</f>
        <v>99290.880000000005</v>
      </c>
      <c r="DL25" s="266"/>
      <c r="DM25" s="267"/>
      <c r="DN25" s="265">
        <f>SUM(DN21:DP21)</f>
        <v>0</v>
      </c>
      <c r="DO25" s="266"/>
      <c r="DP25" s="267"/>
      <c r="DQ25" s="265">
        <f>SUM(DQ21:DS21)</f>
        <v>0</v>
      </c>
      <c r="DR25" s="266"/>
      <c r="DS25" s="267"/>
      <c r="DT25" s="265">
        <f>SUM(DT21:DV21)</f>
        <v>0</v>
      </c>
      <c r="DU25" s="266"/>
      <c r="DV25" s="267"/>
      <c r="EA25" s="265">
        <f>SUM(EA21:EC21)</f>
        <v>0</v>
      </c>
      <c r="EB25" s="266"/>
      <c r="EC25" s="267"/>
      <c r="ED25" s="265">
        <f>SUM(ED21:EF21)</f>
        <v>99290.880000000005</v>
      </c>
      <c r="EE25" s="266"/>
      <c r="EF25" s="267"/>
      <c r="EG25" s="265">
        <f>SUM(EG21:EI21)</f>
        <v>99290.880000000005</v>
      </c>
      <c r="EH25" s="266"/>
      <c r="EI25" s="267"/>
      <c r="EJ25" s="265">
        <f>SUM(EJ21:EL21)</f>
        <v>99290.880000000005</v>
      </c>
      <c r="EK25" s="266"/>
      <c r="EL25" s="267"/>
      <c r="EM25" s="265">
        <f>SUM(EM21:EO21)</f>
        <v>99290.880000000005</v>
      </c>
      <c r="EN25" s="266"/>
      <c r="EO25" s="267"/>
      <c r="EP25" s="265">
        <f>SUM(EP21:ER21)</f>
        <v>0</v>
      </c>
      <c r="EQ25" s="266"/>
      <c r="ER25" s="267"/>
      <c r="ES25" s="265">
        <f>SUM(ES21:EU21)</f>
        <v>0</v>
      </c>
      <c r="ET25" s="266"/>
      <c r="EU25" s="267"/>
      <c r="EZ25" s="265">
        <f>SUM(EZ21:FB21)</f>
        <v>99290.880000000005</v>
      </c>
      <c r="FA25" s="266"/>
      <c r="FB25" s="267"/>
      <c r="FC25" s="265">
        <f>SUM(FC21:FE21)</f>
        <v>99290.880000000005</v>
      </c>
      <c r="FD25" s="266"/>
      <c r="FE25" s="267"/>
      <c r="FF25" s="265">
        <f>SUM(FF21:FH21)</f>
        <v>99290.880000000005</v>
      </c>
      <c r="FG25" s="266"/>
      <c r="FH25" s="267"/>
      <c r="FI25" s="265">
        <f>SUM(FI21:FK21)</f>
        <v>99290.880000000005</v>
      </c>
      <c r="FJ25" s="266"/>
      <c r="FK25" s="267"/>
      <c r="FL25" s="265">
        <f>SUM(FL21:FN21)</f>
        <v>99290.880000000005</v>
      </c>
      <c r="FM25" s="266"/>
      <c r="FN25" s="267"/>
      <c r="FO25" s="265">
        <f>SUM(FO21:FQ21)</f>
        <v>0</v>
      </c>
      <c r="FP25" s="266"/>
      <c r="FQ25" s="267"/>
      <c r="FR25" s="265">
        <f>SUM(FR21:FT21)</f>
        <v>0</v>
      </c>
      <c r="FS25" s="266"/>
      <c r="FT25" s="267"/>
      <c r="FY25" s="265">
        <f>SUM(FY21:GA21)</f>
        <v>99290.880000000005</v>
      </c>
      <c r="FZ25" s="266"/>
      <c r="GA25" s="267"/>
      <c r="GB25" s="265">
        <f>SUM(GB21:GD21)</f>
        <v>99290.880000000005</v>
      </c>
      <c r="GC25" s="266"/>
      <c r="GD25" s="267"/>
      <c r="GE25" s="265">
        <f>SUM(GE21:GG21)</f>
        <v>99290.880000000005</v>
      </c>
      <c r="GF25" s="266"/>
      <c r="GG25" s="267"/>
      <c r="GH25" s="265">
        <f>SUM(GH21:GJ21)</f>
        <v>99290.880000000005</v>
      </c>
      <c r="GI25" s="266"/>
      <c r="GJ25" s="267"/>
      <c r="GK25" s="265">
        <f>SUM(GK21:GM21)</f>
        <v>99290.880000000005</v>
      </c>
      <c r="GL25" s="266"/>
      <c r="GM25" s="267"/>
      <c r="GN25" s="265">
        <f>SUM(GN21:GP21)</f>
        <v>0</v>
      </c>
      <c r="GO25" s="266"/>
      <c r="GP25" s="267"/>
      <c r="GQ25" s="265">
        <f>SUM(GQ21:GS21)</f>
        <v>0</v>
      </c>
      <c r="GR25" s="266"/>
      <c r="GS25" s="267"/>
      <c r="GX25" s="95">
        <f>SUM(GX21:GZ21)</f>
        <v>99290.880000000005</v>
      </c>
      <c r="GY25" s="95"/>
      <c r="GZ25" s="95"/>
      <c r="HA25" s="95">
        <f>SUM(HA21:HC21)</f>
        <v>99290.880000000005</v>
      </c>
      <c r="HB25" s="95"/>
      <c r="HC25" s="95"/>
      <c r="HD25" s="95">
        <f>SUM(HD21:HF21)</f>
        <v>99290.880000000005</v>
      </c>
      <c r="HE25" s="95"/>
      <c r="HF25" s="95"/>
      <c r="HG25" s="95">
        <f>SUM(HG21:HI21)</f>
        <v>99290.880000000005</v>
      </c>
      <c r="HH25" s="95"/>
      <c r="HI25" s="95"/>
      <c r="HJ25" s="95">
        <f>SUM(HJ21:HL21)</f>
        <v>99290.880000000005</v>
      </c>
      <c r="HK25" s="95"/>
      <c r="HL25" s="95"/>
      <c r="HM25" s="95">
        <f>SUM(HM21:HO21)</f>
        <v>0</v>
      </c>
      <c r="HN25" s="95"/>
      <c r="HO25" s="95"/>
      <c r="HP25" s="95">
        <f>SUM(HP21:HR21)</f>
        <v>0</v>
      </c>
      <c r="HQ25" s="95"/>
      <c r="HR25" s="95"/>
      <c r="HW25" s="265">
        <f>SUM(HW21:HY21)</f>
        <v>99290.880000000005</v>
      </c>
      <c r="HX25" s="266"/>
      <c r="HY25" s="267"/>
      <c r="HZ25" s="265">
        <f>SUM(HZ21:IB21)</f>
        <v>97546.084999999992</v>
      </c>
      <c r="IA25" s="266"/>
      <c r="IB25" s="267"/>
      <c r="IC25" s="265">
        <f>SUM(IC21:IE21)</f>
        <v>97722.559999999998</v>
      </c>
      <c r="ID25" s="266"/>
      <c r="IE25" s="267"/>
      <c r="IF25" s="265">
        <f>SUM(IF21:IH21)</f>
        <v>97722.559999999998</v>
      </c>
      <c r="IG25" s="266"/>
      <c r="IH25" s="267"/>
      <c r="II25" s="265">
        <f>SUM(II21:IK21)</f>
        <v>97722.559999999998</v>
      </c>
      <c r="IJ25" s="266"/>
      <c r="IK25" s="267"/>
      <c r="IL25" s="95">
        <f>SUM(IL21:IN21)</f>
        <v>0</v>
      </c>
      <c r="IM25" s="95"/>
      <c r="IN25" s="95"/>
      <c r="IO25" s="95">
        <f>SUM(IO21:IQ21)</f>
        <v>0</v>
      </c>
      <c r="IP25" s="95"/>
      <c r="IQ25" s="95"/>
      <c r="IV25" s="95">
        <f>SUM(IV21:IX21)</f>
        <v>97722.559999999998</v>
      </c>
      <c r="IW25" s="95"/>
      <c r="IX25" s="95"/>
      <c r="IY25" s="95">
        <f>SUM(IY21:JA21)</f>
        <v>97722.559999999998</v>
      </c>
      <c r="IZ25" s="95"/>
      <c r="JA25" s="95"/>
      <c r="JB25" s="95">
        <f>SUM(JB21:JD21)</f>
        <v>97722.559999999998</v>
      </c>
      <c r="JC25" s="95"/>
      <c r="JD25" s="95"/>
      <c r="JE25" s="95">
        <f>SUM(JE21:JG21)</f>
        <v>97722.559999999998</v>
      </c>
      <c r="JF25" s="95"/>
      <c r="JG25" s="95"/>
      <c r="JH25" s="95">
        <f>SUM(JH21:JJ21)</f>
        <v>95730.1</v>
      </c>
      <c r="JI25" s="95"/>
      <c r="JJ25" s="95"/>
      <c r="JK25" s="95">
        <f>SUM(JK21:JM21)</f>
        <v>0</v>
      </c>
      <c r="JL25" s="95"/>
      <c r="JM25" s="95"/>
      <c r="JN25" s="95">
        <f>SUM(JN21:JP21)</f>
        <v>0</v>
      </c>
      <c r="JO25" s="95"/>
      <c r="JP25" s="95"/>
      <c r="JU25" s="95">
        <f>SUM(JU21:JW21)</f>
        <v>0</v>
      </c>
      <c r="JV25" s="95"/>
      <c r="JW25" s="95"/>
      <c r="JX25" s="95">
        <f>SUM(JX21:JZ21)</f>
        <v>87339.199999999983</v>
      </c>
      <c r="JY25" s="95"/>
      <c r="JZ25" s="95"/>
      <c r="KA25" s="95">
        <f>SUM(KA21:KC21)</f>
        <v>88387</v>
      </c>
      <c r="KB25" s="95"/>
      <c r="KC25" s="95"/>
      <c r="KD25" s="95">
        <f>SUM(KD21:KF21)</f>
        <v>81498.785000000003</v>
      </c>
      <c r="KE25" s="95"/>
      <c r="KF25" s="95"/>
      <c r="KG25" s="95">
        <f>SUM(KG21:KI21)</f>
        <v>69763.200000000012</v>
      </c>
      <c r="KH25" s="95"/>
      <c r="KI25" s="95"/>
      <c r="KJ25" s="95">
        <f>SUM(KJ21:KL21)</f>
        <v>0</v>
      </c>
      <c r="KK25" s="95"/>
      <c r="KL25" s="95"/>
      <c r="KM25" s="95">
        <f>SUM(KM21:KO21)</f>
        <v>0</v>
      </c>
      <c r="KN25" s="95"/>
      <c r="KO25" s="95"/>
      <c r="KP25" s="67">
        <f t="shared" si="51"/>
        <v>326988.185</v>
      </c>
      <c r="KT25" s="95">
        <f>SUM(KT21:KV21)</f>
        <v>99290.880000000005</v>
      </c>
      <c r="KU25" s="95"/>
      <c r="KV25" s="95"/>
      <c r="KW25" s="95">
        <f>SUM(KW21:KY21)</f>
        <v>99290.880000000005</v>
      </c>
      <c r="KX25" s="95"/>
      <c r="KY25" s="95"/>
      <c r="KZ25" s="95">
        <f>SUM(KZ21:LB21)</f>
        <v>99290.880000000005</v>
      </c>
      <c r="LA25" s="95"/>
      <c r="LB25" s="95"/>
      <c r="LC25" s="95">
        <f>SUM(LC21:LE21)</f>
        <v>99290.880000000005</v>
      </c>
      <c r="LD25" s="95"/>
      <c r="LE25" s="95"/>
      <c r="LF25" s="95">
        <f>SUM(LF21:LH21)</f>
        <v>99290.880000000005</v>
      </c>
      <c r="LG25" s="95"/>
      <c r="LH25" s="95"/>
      <c r="LI25" s="95">
        <f>SUM(LI21:LK21)</f>
        <v>0</v>
      </c>
      <c r="LJ25" s="95"/>
      <c r="LK25" s="95"/>
      <c r="LL25" s="95">
        <f>SUM(LL21:LN21)</f>
        <v>0</v>
      </c>
      <c r="LM25" s="95"/>
      <c r="LN25" s="95"/>
    </row>
    <row r="26" spans="1:330" ht="14.5" customHeight="1" x14ac:dyDescent="0.35">
      <c r="E26" s="48" t="s">
        <v>7</v>
      </c>
      <c r="F26" s="279">
        <f>SUM(F22:H22)</f>
        <v>0</v>
      </c>
      <c r="G26" s="280"/>
      <c r="H26" s="281"/>
      <c r="I26" s="279">
        <f>SUM(I22:K22)</f>
        <v>0</v>
      </c>
      <c r="J26" s="280"/>
      <c r="K26" s="281"/>
      <c r="L26" s="279">
        <f>SUM(L22:N22)</f>
        <v>0</v>
      </c>
      <c r="M26" s="280"/>
      <c r="N26" s="281"/>
      <c r="O26" s="279">
        <f>SUM(O22:Q22)</f>
        <v>0</v>
      </c>
      <c r="P26" s="280"/>
      <c r="Q26" s="281"/>
      <c r="R26" s="279">
        <f>SUM(R22:T22)</f>
        <v>0</v>
      </c>
      <c r="S26" s="280"/>
      <c r="T26" s="281"/>
      <c r="U26" s="279">
        <f>SUM(U22:W22)</f>
        <v>0</v>
      </c>
      <c r="V26" s="280"/>
      <c r="W26" s="281"/>
      <c r="X26" s="279">
        <f>SUM(X22:Z22)</f>
        <v>0</v>
      </c>
      <c r="Y26" s="280"/>
      <c r="Z26" s="281"/>
      <c r="AA26" s="279">
        <f t="shared" si="52"/>
        <v>0</v>
      </c>
      <c r="AB26" s="280"/>
      <c r="AE26" s="275">
        <f>SUM(AE22:AG22)</f>
        <v>65403.42</v>
      </c>
      <c r="AF26" s="276"/>
      <c r="AG26" s="277"/>
      <c r="AH26" s="275">
        <f>SUM(AH22:AJ22)</f>
        <v>89211.239999999991</v>
      </c>
      <c r="AI26" s="276"/>
      <c r="AJ26" s="277"/>
      <c r="AK26" s="275">
        <f>SUM(AK22:AM22)</f>
        <v>91451.16</v>
      </c>
      <c r="AL26" s="276"/>
      <c r="AM26" s="277"/>
      <c r="AN26" s="275">
        <f>SUM(AN22:AP22)</f>
        <v>87539.5</v>
      </c>
      <c r="AO26" s="276"/>
      <c r="AP26" s="277"/>
      <c r="AQ26" s="275">
        <f>SUM(AQ22:AS22)</f>
        <v>0</v>
      </c>
      <c r="AR26" s="276"/>
      <c r="AS26" s="277"/>
      <c r="AT26" s="275">
        <f>SUM(AT22:AV22)</f>
        <v>0</v>
      </c>
      <c r="AU26" s="276"/>
      <c r="AV26" s="277"/>
      <c r="AW26" s="275">
        <f>SUM(AW22:AY22)</f>
        <v>0</v>
      </c>
      <c r="AX26" s="276"/>
      <c r="AY26" s="277"/>
      <c r="AZ26" s="265">
        <f t="shared" ref="AZ26" si="54">SUM(AE26:AY26)</f>
        <v>333605.31999999995</v>
      </c>
      <c r="BA26" s="267"/>
      <c r="BD26" s="265">
        <f>SUM(BD22:BF22)</f>
        <v>81114.48</v>
      </c>
      <c r="BE26" s="266"/>
      <c r="BF26" s="267"/>
      <c r="BG26" s="265">
        <f>SUM(BG22:BI22)</f>
        <v>95894.28</v>
      </c>
      <c r="BH26" s="266"/>
      <c r="BI26" s="267"/>
      <c r="BJ26" s="265">
        <f>SUM(BJ22:BL22)</f>
        <v>95655.6</v>
      </c>
      <c r="BK26" s="266"/>
      <c r="BL26" s="267"/>
      <c r="BM26" s="265">
        <f>SUM(BM22:BO22)</f>
        <v>91491.739999999991</v>
      </c>
      <c r="BN26" s="266"/>
      <c r="BO26" s="267"/>
      <c r="BP26" s="265">
        <f>SUM(BP22:BR22)</f>
        <v>95395.62</v>
      </c>
      <c r="BQ26" s="266"/>
      <c r="BR26" s="267"/>
      <c r="BS26" s="265">
        <f>SUM(BS22:BU22)</f>
        <v>0</v>
      </c>
      <c r="BT26" s="266"/>
      <c r="BU26" s="267"/>
      <c r="BV26" s="265">
        <f>SUM(BV22:BX22)</f>
        <v>0</v>
      </c>
      <c r="BW26" s="266"/>
      <c r="BX26" s="267"/>
      <c r="CC26" s="265">
        <f>SUM(CC22:CE22)</f>
        <v>94682.51999999999</v>
      </c>
      <c r="CD26" s="266"/>
      <c r="CE26" s="267"/>
      <c r="CF26" s="265">
        <f>SUM(CF22:CH22)</f>
        <v>99658.079999999987</v>
      </c>
      <c r="CG26" s="266"/>
      <c r="CH26" s="267"/>
      <c r="CI26" s="265">
        <f>SUM(CI22:CK22)</f>
        <v>100043.64</v>
      </c>
      <c r="CJ26" s="266"/>
      <c r="CK26" s="267"/>
      <c r="CL26" s="265">
        <f>SUM(CL22:CN22)</f>
        <v>99052.2</v>
      </c>
      <c r="CM26" s="266"/>
      <c r="CN26" s="267"/>
      <c r="CO26" s="265">
        <f>SUM(CO22:CQ22)</f>
        <v>93617.64</v>
      </c>
      <c r="CP26" s="266"/>
      <c r="CQ26" s="267"/>
      <c r="CR26" s="265">
        <f>SUM(CR22:CT22)</f>
        <v>48158.28</v>
      </c>
      <c r="CS26" s="266"/>
      <c r="CT26" s="267"/>
      <c r="CU26" s="265">
        <f>SUM(CU22:CW22)</f>
        <v>29376</v>
      </c>
      <c r="CV26" s="266"/>
      <c r="CW26" s="267"/>
      <c r="DB26" s="265">
        <f>SUM(DB22:DD22)</f>
        <v>51206.04</v>
      </c>
      <c r="DC26" s="266"/>
      <c r="DD26" s="267"/>
      <c r="DE26" s="265">
        <f>SUM(DE22:DG22)</f>
        <v>0</v>
      </c>
      <c r="DF26" s="266"/>
      <c r="DG26" s="267"/>
      <c r="DH26" s="265">
        <f>SUM(DH22:DJ22)</f>
        <v>0</v>
      </c>
      <c r="DI26" s="266"/>
      <c r="DJ26" s="267"/>
      <c r="DK26" s="265">
        <f>SUM(DK22:DM22)</f>
        <v>0</v>
      </c>
      <c r="DL26" s="266"/>
      <c r="DM26" s="267"/>
      <c r="DN26" s="265">
        <f>SUM(DN22:DP22)</f>
        <v>0</v>
      </c>
      <c r="DO26" s="266"/>
      <c r="DP26" s="267"/>
      <c r="DQ26" s="265">
        <f>SUM(DQ22:DS22)</f>
        <v>0</v>
      </c>
      <c r="DR26" s="266"/>
      <c r="DS26" s="267"/>
      <c r="DT26" s="265">
        <f>SUM(DT22:DV22)</f>
        <v>0</v>
      </c>
      <c r="DU26" s="266"/>
      <c r="DV26" s="267"/>
      <c r="EA26" s="265">
        <f>SUM(EA22:EC22)</f>
        <v>0</v>
      </c>
      <c r="EB26" s="266"/>
      <c r="EC26" s="267"/>
      <c r="ED26" s="265">
        <f>SUM(ED22:EF22)</f>
        <v>0</v>
      </c>
      <c r="EE26" s="266"/>
      <c r="EF26" s="267"/>
      <c r="EG26" s="265">
        <f>SUM(EG22:EI22)</f>
        <v>0</v>
      </c>
      <c r="EH26" s="266"/>
      <c r="EI26" s="267"/>
      <c r="EJ26" s="265">
        <f>SUM(EJ22:EL22)</f>
        <v>0</v>
      </c>
      <c r="EK26" s="266"/>
      <c r="EL26" s="267"/>
      <c r="EM26" s="265">
        <f>SUM(EM22:EO22)</f>
        <v>0</v>
      </c>
      <c r="EN26" s="266"/>
      <c r="EO26" s="267"/>
      <c r="EP26" s="265">
        <f>SUM(EP22:ER22)</f>
        <v>0</v>
      </c>
      <c r="EQ26" s="266"/>
      <c r="ER26" s="267"/>
      <c r="ES26" s="265">
        <f>SUM(ES22:EU22)</f>
        <v>0</v>
      </c>
      <c r="ET26" s="266"/>
      <c r="EU26" s="267"/>
      <c r="EZ26" s="265">
        <f>SUM(EZ22:FB22)</f>
        <v>0</v>
      </c>
      <c r="FA26" s="266"/>
      <c r="FB26" s="267"/>
      <c r="FC26" s="265">
        <f>SUM(FC22:FE22)</f>
        <v>0</v>
      </c>
      <c r="FD26" s="266"/>
      <c r="FE26" s="267"/>
      <c r="FF26" s="265">
        <f>SUM(FF22:FH22)</f>
        <v>0</v>
      </c>
      <c r="FG26" s="266"/>
      <c r="FH26" s="267"/>
      <c r="FI26" s="265">
        <f>SUM(FI22:FK22)</f>
        <v>0</v>
      </c>
      <c r="FJ26" s="266"/>
      <c r="FK26" s="267"/>
      <c r="FL26" s="265">
        <f>SUM(FL22:FN22)</f>
        <v>0</v>
      </c>
      <c r="FM26" s="266"/>
      <c r="FN26" s="267"/>
      <c r="FO26" s="265">
        <f>SUM(FO22:FQ22)</f>
        <v>0</v>
      </c>
      <c r="FP26" s="266"/>
      <c r="FQ26" s="267"/>
      <c r="FR26" s="265">
        <f>SUM(FR22:FT22)</f>
        <v>0</v>
      </c>
      <c r="FS26" s="266"/>
      <c r="FT26" s="267"/>
      <c r="FY26" s="265">
        <f>SUM(FY22:GA22)</f>
        <v>0</v>
      </c>
      <c r="FZ26" s="266"/>
      <c r="GA26" s="267"/>
      <c r="GB26" s="265">
        <f>SUM(GB22:GD22)</f>
        <v>0</v>
      </c>
      <c r="GC26" s="266"/>
      <c r="GD26" s="267"/>
      <c r="GE26" s="265">
        <f>SUM(GE22:GG22)</f>
        <v>0</v>
      </c>
      <c r="GF26" s="266"/>
      <c r="GG26" s="267"/>
      <c r="GH26" s="265">
        <f>SUM(GH22:GJ22)</f>
        <v>0</v>
      </c>
      <c r="GI26" s="266"/>
      <c r="GJ26" s="267"/>
      <c r="GK26" s="265">
        <f>SUM(GK22:GM22)</f>
        <v>0</v>
      </c>
      <c r="GL26" s="266"/>
      <c r="GM26" s="267"/>
      <c r="GN26" s="265">
        <f>SUM(GN22:GP22)</f>
        <v>0</v>
      </c>
      <c r="GO26" s="266"/>
      <c r="GP26" s="267"/>
      <c r="GQ26" s="265">
        <f>SUM(GQ22:GS22)</f>
        <v>0</v>
      </c>
      <c r="GR26" s="266"/>
      <c r="GS26" s="267"/>
      <c r="GX26" s="95">
        <f>SUM(GX22:GZ22)</f>
        <v>0</v>
      </c>
      <c r="GY26" s="95"/>
      <c r="GZ26" s="95"/>
      <c r="HA26" s="95">
        <f>SUM(HA22:HC22)</f>
        <v>0</v>
      </c>
      <c r="HB26" s="95"/>
      <c r="HC26" s="95"/>
      <c r="HD26" s="95">
        <f>SUM(HD22:HF22)</f>
        <v>0</v>
      </c>
      <c r="HE26" s="95"/>
      <c r="HF26" s="95"/>
      <c r="HG26" s="95">
        <f>SUM(HG22:HI22)</f>
        <v>0</v>
      </c>
      <c r="HH26" s="95"/>
      <c r="HI26" s="95"/>
      <c r="HJ26" s="95">
        <f>SUM(HJ22:HL22)</f>
        <v>0</v>
      </c>
      <c r="HK26" s="95"/>
      <c r="HL26" s="95"/>
      <c r="HM26" s="95">
        <f>SUM(HM22:HO22)</f>
        <v>0</v>
      </c>
      <c r="HN26" s="95"/>
      <c r="HO26" s="95"/>
      <c r="HP26" s="95">
        <f>SUM(HP22:HR22)</f>
        <v>0</v>
      </c>
      <c r="HQ26" s="95"/>
      <c r="HR26" s="95"/>
      <c r="HW26" s="265">
        <f>SUM(HW22:HY22)</f>
        <v>0</v>
      </c>
      <c r="HX26" s="266"/>
      <c r="HY26" s="267"/>
      <c r="HZ26" s="265">
        <f>SUM(HZ22:IB22)</f>
        <v>0</v>
      </c>
      <c r="IA26" s="266"/>
      <c r="IB26" s="267"/>
      <c r="IC26" s="265">
        <f>SUM(IC22:IE22)</f>
        <v>0</v>
      </c>
      <c r="ID26" s="266"/>
      <c r="IE26" s="267"/>
      <c r="IF26" s="265">
        <f>SUM(IF22:IH22)</f>
        <v>0</v>
      </c>
      <c r="IG26" s="266"/>
      <c r="IH26" s="267"/>
      <c r="II26" s="265">
        <f>SUM(II22:IK22)</f>
        <v>0</v>
      </c>
      <c r="IJ26" s="266"/>
      <c r="IK26" s="267"/>
      <c r="IL26" s="95">
        <f>SUM(IL22:IN22)</f>
        <v>0</v>
      </c>
      <c r="IM26" s="95"/>
      <c r="IN26" s="95"/>
      <c r="IO26" s="95">
        <f>SUM(IO22:IQ22)</f>
        <v>0</v>
      </c>
      <c r="IP26" s="95"/>
      <c r="IQ26" s="95"/>
      <c r="IV26" s="95">
        <f>SUM(IV22:IX22)</f>
        <v>0</v>
      </c>
      <c r="IW26" s="95"/>
      <c r="IX26" s="95"/>
      <c r="IY26" s="95">
        <f>SUM(IY22:JA22)</f>
        <v>0</v>
      </c>
      <c r="IZ26" s="95"/>
      <c r="JA26" s="95"/>
      <c r="JB26" s="95">
        <f>SUM(JB22:JD22)</f>
        <v>0</v>
      </c>
      <c r="JC26" s="95"/>
      <c r="JD26" s="95"/>
      <c r="JE26" s="95">
        <f>SUM(JE22:JG22)</f>
        <v>0</v>
      </c>
      <c r="JF26" s="95"/>
      <c r="JG26" s="95"/>
      <c r="JH26" s="95">
        <f>SUM(JH22:JJ22)</f>
        <v>0</v>
      </c>
      <c r="JI26" s="95"/>
      <c r="JJ26" s="95"/>
      <c r="JK26" s="95">
        <f>SUM(JK22:JM22)</f>
        <v>0</v>
      </c>
      <c r="JL26" s="95"/>
      <c r="JM26" s="95"/>
      <c r="JN26" s="95">
        <f>SUM(JN22:JP22)</f>
        <v>0</v>
      </c>
      <c r="JO26" s="95"/>
      <c r="JP26" s="95"/>
      <c r="JU26" s="95">
        <f>SUM(JU22:JW22)</f>
        <v>0</v>
      </c>
      <c r="JV26" s="95"/>
      <c r="JW26" s="95"/>
      <c r="JX26" s="95">
        <f>SUM(JX22:JZ22)</f>
        <v>0</v>
      </c>
      <c r="JY26" s="95"/>
      <c r="JZ26" s="95"/>
      <c r="KA26" s="95">
        <f>SUM(KA22:KC22)</f>
        <v>0</v>
      </c>
      <c r="KB26" s="95"/>
      <c r="KC26" s="95"/>
      <c r="KD26" s="95">
        <f>SUM(KD22:KF22)</f>
        <v>0</v>
      </c>
      <c r="KE26" s="95"/>
      <c r="KF26" s="95"/>
      <c r="KG26" s="95">
        <f>SUM(KG22:KI22)</f>
        <v>0</v>
      </c>
      <c r="KH26" s="95"/>
      <c r="KI26" s="95"/>
      <c r="KJ26" s="95">
        <f>SUM(KJ22:KL22)</f>
        <v>0</v>
      </c>
      <c r="KK26" s="95"/>
      <c r="KL26" s="95"/>
      <c r="KM26" s="95">
        <f>SUM(KM22:KO22)</f>
        <v>0</v>
      </c>
      <c r="KN26" s="95"/>
      <c r="KO26" s="95"/>
      <c r="KP26" s="67">
        <f t="shared" si="51"/>
        <v>0</v>
      </c>
      <c r="KT26" s="95">
        <f>SUM(KT22:KV22)</f>
        <v>0</v>
      </c>
      <c r="KU26" s="95"/>
      <c r="KV26" s="95"/>
      <c r="KW26" s="95">
        <f>SUM(KW22:KY22)</f>
        <v>0</v>
      </c>
      <c r="KX26" s="95"/>
      <c r="KY26" s="95"/>
      <c r="KZ26" s="95">
        <f>SUM(KZ22:LB22)</f>
        <v>0</v>
      </c>
      <c r="LA26" s="95"/>
      <c r="LB26" s="95"/>
      <c r="LC26" s="95">
        <f>SUM(LC22:LE22)</f>
        <v>0</v>
      </c>
      <c r="LD26" s="95"/>
      <c r="LE26" s="95"/>
      <c r="LF26" s="95">
        <f>SUM(LF22:LH22)</f>
        <v>0</v>
      </c>
      <c r="LG26" s="95"/>
      <c r="LH26" s="95"/>
      <c r="LI26" s="95">
        <f>SUM(LI22:LK22)</f>
        <v>0</v>
      </c>
      <c r="LJ26" s="95"/>
      <c r="LK26" s="95"/>
      <c r="LL26" s="95">
        <f>SUM(LL22:LN22)</f>
        <v>0</v>
      </c>
      <c r="LM26" s="95"/>
      <c r="LN26" s="95"/>
    </row>
    <row r="27" spans="1:330" x14ac:dyDescent="0.35">
      <c r="E27" s="110" t="s">
        <v>48</v>
      </c>
      <c r="F27" s="272">
        <f>F24-F23</f>
        <v>0</v>
      </c>
      <c r="G27" s="273"/>
      <c r="H27" s="274"/>
      <c r="I27" s="272">
        <f>I24-I23</f>
        <v>0</v>
      </c>
      <c r="J27" s="273"/>
      <c r="K27" s="274"/>
      <c r="L27" s="272">
        <f>L24-L23</f>
        <v>0</v>
      </c>
      <c r="M27" s="273"/>
      <c r="N27" s="274"/>
      <c r="O27" s="272">
        <f>O24-O23</f>
        <v>0</v>
      </c>
      <c r="P27" s="273"/>
      <c r="Q27" s="274"/>
      <c r="R27" s="272">
        <f>R24-R23</f>
        <v>0</v>
      </c>
      <c r="S27" s="273"/>
      <c r="T27" s="274"/>
      <c r="U27" s="272">
        <f>U24-U23</f>
        <v>0</v>
      </c>
      <c r="V27" s="273"/>
      <c r="W27" s="274"/>
      <c r="X27" s="272">
        <f>X24-X23</f>
        <v>0</v>
      </c>
      <c r="Y27" s="273"/>
      <c r="Z27" s="274"/>
      <c r="AA27" s="272">
        <f>SUM(F27:Z27)</f>
        <v>0</v>
      </c>
      <c r="AB27" s="273"/>
      <c r="AE27" s="272">
        <f>AE24-AE23</f>
        <v>-1843</v>
      </c>
      <c r="AF27" s="273"/>
      <c r="AG27" s="274"/>
      <c r="AH27" s="272">
        <f>AH24-AH23</f>
        <v>-549</v>
      </c>
      <c r="AI27" s="273"/>
      <c r="AJ27" s="274"/>
      <c r="AK27" s="272">
        <f>AK24-AK23</f>
        <v>-427</v>
      </c>
      <c r="AL27" s="273"/>
      <c r="AM27" s="274"/>
      <c r="AN27" s="272">
        <f>AN24-AN23</f>
        <v>-640</v>
      </c>
      <c r="AO27" s="273"/>
      <c r="AP27" s="274"/>
      <c r="AQ27" s="272">
        <f>AQ24-AQ23</f>
        <v>0</v>
      </c>
      <c r="AR27" s="273"/>
      <c r="AS27" s="274"/>
      <c r="AT27" s="272">
        <f>AT24-AT23</f>
        <v>0</v>
      </c>
      <c r="AU27" s="273"/>
      <c r="AV27" s="274"/>
      <c r="AW27" s="272">
        <f>AW24-AW23</f>
        <v>0</v>
      </c>
      <c r="AX27" s="273"/>
      <c r="AY27" s="274"/>
      <c r="AZ27" s="256">
        <f>SUM(AE27:AY27)</f>
        <v>-3459</v>
      </c>
      <c r="BA27" s="258"/>
      <c r="BD27" s="256">
        <f t="shared" ref="BD27:BG27" si="55">BD24-BD23</f>
        <v>-990</v>
      </c>
      <c r="BE27" s="257"/>
      <c r="BF27" s="258"/>
      <c r="BG27" s="256">
        <f t="shared" si="55"/>
        <v>-185</v>
      </c>
      <c r="BH27" s="257"/>
      <c r="BI27" s="258"/>
      <c r="BJ27" s="256">
        <f t="shared" ref="BJ27" si="56">BJ24-BJ23</f>
        <v>-198</v>
      </c>
      <c r="BK27" s="257"/>
      <c r="BL27" s="258"/>
      <c r="BM27" s="256">
        <f t="shared" ref="BM27" si="57">BM24-BM23</f>
        <v>-421</v>
      </c>
      <c r="BN27" s="257"/>
      <c r="BO27" s="258"/>
      <c r="BP27" s="256">
        <f t="shared" ref="BP27" si="58">BP24-BP23</f>
        <v>-212</v>
      </c>
      <c r="BQ27" s="257"/>
      <c r="BR27" s="258"/>
      <c r="BS27" s="256">
        <f t="shared" ref="BS27" si="59">BS24-BS23</f>
        <v>0</v>
      </c>
      <c r="BT27" s="257"/>
      <c r="BU27" s="258"/>
      <c r="BV27" s="256">
        <f t="shared" ref="BV27" si="60">BV24-BV23</f>
        <v>0</v>
      </c>
      <c r="BW27" s="257"/>
      <c r="BX27" s="258"/>
      <c r="BY27" s="91">
        <f>SUM(BD27:BX27)</f>
        <v>-2006</v>
      </c>
      <c r="BZ27" s="91"/>
      <c r="CC27" s="256">
        <f>CC24-CC23</f>
        <v>-251</v>
      </c>
      <c r="CD27" s="257"/>
      <c r="CE27" s="258"/>
      <c r="CF27" s="256">
        <f>CF24-CF23</f>
        <v>20</v>
      </c>
      <c r="CG27" s="257"/>
      <c r="CH27" s="258"/>
      <c r="CI27" s="256">
        <f>CI24-CI23</f>
        <v>41</v>
      </c>
      <c r="CJ27" s="257"/>
      <c r="CK27" s="258"/>
      <c r="CL27" s="256">
        <f>CL24-CL23</f>
        <v>-13</v>
      </c>
      <c r="CM27" s="257"/>
      <c r="CN27" s="258"/>
      <c r="CO27" s="256">
        <f>CO24-CO23</f>
        <v>-309</v>
      </c>
      <c r="CP27" s="257"/>
      <c r="CQ27" s="258"/>
      <c r="CR27" s="256">
        <f>CR24-CR23</f>
        <v>-166</v>
      </c>
      <c r="CS27" s="257"/>
      <c r="CT27" s="258"/>
      <c r="CU27" s="256">
        <f>CU24-CU23</f>
        <v>-1189</v>
      </c>
      <c r="CV27" s="257"/>
      <c r="CW27" s="258"/>
      <c r="CX27" s="91">
        <f>SUM(CC27:CW27)</f>
        <v>-1867</v>
      </c>
      <c r="CY27" s="91"/>
      <c r="DB27" s="256">
        <f>DB24-DB23</f>
        <v>-2619</v>
      </c>
      <c r="DC27" s="257"/>
      <c r="DD27" s="258"/>
      <c r="DE27" s="256">
        <f>DE24-DE23</f>
        <v>-5408</v>
      </c>
      <c r="DF27" s="257"/>
      <c r="DG27" s="258"/>
      <c r="DH27" s="256">
        <f>DH24-DH23</f>
        <v>-5408</v>
      </c>
      <c r="DI27" s="257"/>
      <c r="DJ27" s="258"/>
      <c r="DK27" s="256">
        <f>DK24-DK23</f>
        <v>-5408</v>
      </c>
      <c r="DL27" s="257"/>
      <c r="DM27" s="258"/>
      <c r="DN27" s="256">
        <f>DN24-DN23</f>
        <v>0</v>
      </c>
      <c r="DO27" s="257"/>
      <c r="DP27" s="258"/>
      <c r="DQ27" s="256">
        <f>DQ24-DQ23</f>
        <v>0</v>
      </c>
      <c r="DR27" s="257"/>
      <c r="DS27" s="258"/>
      <c r="DT27" s="256">
        <f>DT24-DT23</f>
        <v>0</v>
      </c>
      <c r="DU27" s="257"/>
      <c r="DV27" s="258"/>
      <c r="DW27" s="91">
        <f>SUM(DB27:DV27)</f>
        <v>-18843</v>
      </c>
      <c r="DY27">
        <f>6*180</f>
        <v>1080</v>
      </c>
      <c r="EA27" s="256">
        <f>EA24-EA23</f>
        <v>0</v>
      </c>
      <c r="EB27" s="257"/>
      <c r="EC27" s="258"/>
      <c r="ED27" s="256">
        <f>ED24-ED23</f>
        <v>-5408</v>
      </c>
      <c r="EE27" s="257"/>
      <c r="EF27" s="258"/>
      <c r="EG27" s="256">
        <f>EG24-EG23</f>
        <v>-5408</v>
      </c>
      <c r="EH27" s="257"/>
      <c r="EI27" s="258"/>
      <c r="EJ27" s="256">
        <f>EJ24-EJ23</f>
        <v>-5408</v>
      </c>
      <c r="EK27" s="257"/>
      <c r="EL27" s="258"/>
      <c r="EM27" s="256">
        <f>EM24-EM23</f>
        <v>-5408</v>
      </c>
      <c r="EN27" s="257"/>
      <c r="EO27" s="258"/>
      <c r="EP27" s="256">
        <f>EP24-EP23</f>
        <v>0</v>
      </c>
      <c r="EQ27" s="257"/>
      <c r="ER27" s="258"/>
      <c r="ES27" s="256">
        <f>ES24-ES23</f>
        <v>0</v>
      </c>
      <c r="ET27" s="257"/>
      <c r="EU27" s="258"/>
      <c r="EV27" s="91">
        <f>SUM(EA27:EU27)</f>
        <v>-21632</v>
      </c>
      <c r="EZ27" s="256">
        <f>EZ24-EZ23</f>
        <v>-5408</v>
      </c>
      <c r="FA27" s="257"/>
      <c r="FB27" s="258"/>
      <c r="FC27" s="256">
        <f>FC24-FC23</f>
        <v>-5408</v>
      </c>
      <c r="FD27" s="257"/>
      <c r="FE27" s="258"/>
      <c r="FF27" s="256">
        <f>FF24-FF23</f>
        <v>-5408</v>
      </c>
      <c r="FG27" s="257"/>
      <c r="FH27" s="258"/>
      <c r="FI27" s="256">
        <f>FI24-FI23</f>
        <v>-5408</v>
      </c>
      <c r="FJ27" s="257"/>
      <c r="FK27" s="258"/>
      <c r="FL27" s="256">
        <f>FL24-FL23</f>
        <v>-5408</v>
      </c>
      <c r="FM27" s="257"/>
      <c r="FN27" s="258"/>
      <c r="FO27" s="256">
        <f>FO24-FO23</f>
        <v>0</v>
      </c>
      <c r="FP27" s="257"/>
      <c r="FQ27" s="258"/>
      <c r="FR27" s="256">
        <f>FR24-FR23</f>
        <v>0</v>
      </c>
      <c r="FS27" s="257"/>
      <c r="FT27" s="258"/>
      <c r="FU27" s="91">
        <f>SUM(EZ27:FT27)</f>
        <v>-27040</v>
      </c>
      <c r="FY27" s="256">
        <f>FY24-FY23</f>
        <v>-5408</v>
      </c>
      <c r="FZ27" s="257"/>
      <c r="GA27" s="258"/>
      <c r="GB27" s="256">
        <f>GB24-GB23</f>
        <v>-5408</v>
      </c>
      <c r="GC27" s="257"/>
      <c r="GD27" s="258"/>
      <c r="GE27" s="256">
        <f>GE24-GE23</f>
        <v>-5408</v>
      </c>
      <c r="GF27" s="257"/>
      <c r="GG27" s="258"/>
      <c r="GH27" s="256">
        <f>GH24-GH23</f>
        <v>-5408</v>
      </c>
      <c r="GI27" s="257"/>
      <c r="GJ27" s="258"/>
      <c r="GK27" s="256">
        <f>GK24-GK23</f>
        <v>-5408</v>
      </c>
      <c r="GL27" s="257"/>
      <c r="GM27" s="258"/>
      <c r="GN27" s="256">
        <f>GN24-GN23</f>
        <v>0</v>
      </c>
      <c r="GO27" s="257"/>
      <c r="GP27" s="258"/>
      <c r="GQ27" s="256">
        <f>GQ24-GQ23</f>
        <v>0</v>
      </c>
      <c r="GR27" s="257"/>
      <c r="GS27" s="258"/>
      <c r="GT27" s="91">
        <f>SUM(FY27:GS27)</f>
        <v>-27040</v>
      </c>
      <c r="GX27" s="256">
        <f>GX24-GX23</f>
        <v>-5408</v>
      </c>
      <c r="GY27" s="257"/>
      <c r="GZ27" s="258"/>
      <c r="HA27" s="256">
        <f>HA24-HA23</f>
        <v>-5408</v>
      </c>
      <c r="HB27" s="257"/>
      <c r="HC27" s="258"/>
      <c r="HD27" s="256">
        <f>HD24-HD23</f>
        <v>-5408</v>
      </c>
      <c r="HE27" s="257"/>
      <c r="HF27" s="258"/>
      <c r="HG27" s="256">
        <f>HG24-HG23</f>
        <v>-5408</v>
      </c>
      <c r="HH27" s="257"/>
      <c r="HI27" s="258"/>
      <c r="HJ27" s="256">
        <f>HJ24-HJ23</f>
        <v>-5408</v>
      </c>
      <c r="HK27" s="257"/>
      <c r="HL27" s="258"/>
      <c r="HM27" s="256">
        <f>HM24-HM23</f>
        <v>0</v>
      </c>
      <c r="HN27" s="257"/>
      <c r="HO27" s="258"/>
      <c r="HP27" s="256">
        <f>HP24-HP23</f>
        <v>0</v>
      </c>
      <c r="HQ27" s="257"/>
      <c r="HR27" s="258"/>
      <c r="HS27" s="91">
        <f>SUM(GX27:HR27)</f>
        <v>-27040</v>
      </c>
      <c r="HW27" s="256">
        <f>HW24-HW23</f>
        <v>-5408</v>
      </c>
      <c r="HX27" s="257"/>
      <c r="HY27" s="258"/>
      <c r="HZ27" s="256">
        <f>HZ24-HZ23</f>
        <v>-5395</v>
      </c>
      <c r="IA27" s="257"/>
      <c r="IB27" s="258"/>
      <c r="IC27" s="256">
        <f>IC24-IC23</f>
        <v>-5408</v>
      </c>
      <c r="ID27" s="257"/>
      <c r="IE27" s="258"/>
      <c r="IF27" s="256">
        <f>IF24-IF23</f>
        <v>-5408</v>
      </c>
      <c r="IG27" s="257"/>
      <c r="IH27" s="258"/>
      <c r="II27" s="256">
        <f>II24-II23</f>
        <v>-5408</v>
      </c>
      <c r="IJ27" s="257"/>
      <c r="IK27" s="258"/>
      <c r="IL27" s="256">
        <f>IL24-IL23</f>
        <v>0</v>
      </c>
      <c r="IM27" s="257"/>
      <c r="IN27" s="258"/>
      <c r="IO27" s="256">
        <f>IO24-IO23</f>
        <v>0</v>
      </c>
      <c r="IP27" s="257"/>
      <c r="IQ27" s="258"/>
      <c r="IV27" s="256">
        <f>IV24-IV23</f>
        <v>-5408</v>
      </c>
      <c r="IW27" s="257"/>
      <c r="IX27" s="258"/>
      <c r="IY27" s="256">
        <f>IY24-IY23</f>
        <v>-5408</v>
      </c>
      <c r="IZ27" s="257"/>
      <c r="JA27" s="258"/>
      <c r="JB27" s="256">
        <f>JB24-JB23</f>
        <v>-5408</v>
      </c>
      <c r="JC27" s="257"/>
      <c r="JD27" s="258"/>
      <c r="JE27" s="256">
        <f>JE24-JE23</f>
        <v>-5408</v>
      </c>
      <c r="JF27" s="257"/>
      <c r="JG27" s="258"/>
      <c r="JH27" s="256">
        <f>JH24-JH23</f>
        <v>-5288</v>
      </c>
      <c r="JI27" s="257"/>
      <c r="JJ27" s="258"/>
      <c r="JK27" s="256">
        <f>JK24-JK23</f>
        <v>0</v>
      </c>
      <c r="JL27" s="257"/>
      <c r="JM27" s="258"/>
      <c r="JN27" s="256">
        <f>JN24-JN23</f>
        <v>0</v>
      </c>
      <c r="JO27" s="257"/>
      <c r="JP27" s="258"/>
      <c r="JS27">
        <f>SUM(JS24:JS26)</f>
        <v>0</v>
      </c>
      <c r="JU27" s="256">
        <f>JU24-JU23</f>
        <v>0</v>
      </c>
      <c r="JV27" s="257"/>
      <c r="JW27" s="258"/>
      <c r="JX27" s="256">
        <f>JX24-JX23</f>
        <v>-5408</v>
      </c>
      <c r="JY27" s="257"/>
      <c r="JZ27" s="258"/>
      <c r="KA27" s="256">
        <f>KA24-KA23</f>
        <v>-5408</v>
      </c>
      <c r="KB27" s="257"/>
      <c r="KC27" s="258"/>
      <c r="KD27" s="256">
        <f>KD24-KD23</f>
        <v>-5314</v>
      </c>
      <c r="KE27" s="257"/>
      <c r="KF27" s="258"/>
      <c r="KG27" s="256">
        <f>KG24-KG23</f>
        <v>-5408</v>
      </c>
      <c r="KH27" s="257"/>
      <c r="KI27" s="258"/>
      <c r="KJ27" s="256">
        <f>KJ24-KJ23</f>
        <v>0</v>
      </c>
      <c r="KK27" s="257"/>
      <c r="KL27" s="258"/>
      <c r="KM27" s="256">
        <f>KM24-KM23</f>
        <v>0</v>
      </c>
      <c r="KN27" s="257"/>
      <c r="KO27" s="258"/>
      <c r="KP27" s="67">
        <f t="shared" si="51"/>
        <v>-21538</v>
      </c>
      <c r="KT27" s="256">
        <f>KT24-KT23</f>
        <v>-5408</v>
      </c>
      <c r="KU27" s="257"/>
      <c r="KV27" s="258"/>
      <c r="KW27" s="256">
        <f>KW24-KW23</f>
        <v>-5408</v>
      </c>
      <c r="KX27" s="257"/>
      <c r="KY27" s="258"/>
      <c r="KZ27" s="256">
        <f>KZ24-KZ23</f>
        <v>-5408</v>
      </c>
      <c r="LA27" s="257"/>
      <c r="LB27" s="258"/>
      <c r="LC27" s="256">
        <f>LC24-LC23</f>
        <v>-5408</v>
      </c>
      <c r="LD27" s="257"/>
      <c r="LE27" s="258"/>
      <c r="LF27" s="256">
        <f>LF24-LF23</f>
        <v>-5408</v>
      </c>
      <c r="LG27" s="257"/>
      <c r="LH27" s="258"/>
      <c r="LI27" s="256">
        <f>LI24-LI23</f>
        <v>0</v>
      </c>
      <c r="LJ27" s="257"/>
      <c r="LK27" s="258"/>
      <c r="LL27" s="256">
        <f>LL24-LL23</f>
        <v>0</v>
      </c>
      <c r="LM27" s="257"/>
      <c r="LN27" s="258"/>
    </row>
    <row r="28" spans="1:330" x14ac:dyDescent="0.35">
      <c r="AF28" s="157">
        <f>AE24/AE23</f>
        <v>0.65920857988165682</v>
      </c>
      <c r="AI28" s="157">
        <f>AH24/AH23</f>
        <v>0.89848372781065089</v>
      </c>
      <c r="AK28" s="67"/>
      <c r="AL28" s="157">
        <f>AK24/AK23</f>
        <v>0.92104289940828399</v>
      </c>
      <c r="AO28" s="67"/>
      <c r="BE28" s="138">
        <f>+BD24/BD23</f>
        <v>0.81693786982248517</v>
      </c>
      <c r="BH28" s="138">
        <f>+BG24/BG23</f>
        <v>0.96579142011834318</v>
      </c>
      <c r="BK28" s="138">
        <f>+BJ24/BJ23</f>
        <v>0.96338757396449703</v>
      </c>
      <c r="BN28" s="138">
        <f>+BM24/BM23</f>
        <v>0.92215236686390534</v>
      </c>
      <c r="BQ28" s="138">
        <f>+BP24/BP23</f>
        <v>0.96079881656804733</v>
      </c>
      <c r="BT28" s="138" t="e">
        <f>+BS24/BS23</f>
        <v>#DIV/0!</v>
      </c>
      <c r="BW28" s="138" t="e">
        <f>+BV24/BV23</f>
        <v>#DIV/0!</v>
      </c>
      <c r="CD28" s="82">
        <f>CC24/CC23</f>
        <v>0.9535872781065089</v>
      </c>
      <c r="CG28" s="82">
        <f>CF24/CF23</f>
        <v>1.0036982248520709</v>
      </c>
      <c r="CJ28" s="82">
        <f>CI24/CI23</f>
        <v>1.0075813609467457</v>
      </c>
      <c r="CM28" s="82">
        <f>CL24/CL23</f>
        <v>0.99759615384615385</v>
      </c>
      <c r="CP28" s="82">
        <f>CO24/CO23</f>
        <v>0.94286242603550297</v>
      </c>
      <c r="CS28" s="82">
        <f>CR24/CR23</f>
        <v>0.94048045894585874</v>
      </c>
      <c r="CV28" s="82">
        <f>CU24/CU23</f>
        <v>0.57368232341340986</v>
      </c>
      <c r="CX28" s="82">
        <f>CX24/CX23</f>
        <v>0.94276166533815686</v>
      </c>
      <c r="DC28" s="82">
        <f>DB24/DB23</f>
        <v>0.51571745562130178</v>
      </c>
      <c r="DF28" s="82">
        <f>DE24/DE23</f>
        <v>0</v>
      </c>
      <c r="DI28" s="82">
        <f>DH24/DH23</f>
        <v>0</v>
      </c>
      <c r="DL28" s="82">
        <f>DK24/DK23</f>
        <v>0</v>
      </c>
      <c r="EB28" s="128" t="e">
        <f>+EA24/EA23</f>
        <v>#DIV/0!</v>
      </c>
      <c r="EC28" s="67"/>
      <c r="EE28" s="128">
        <f>+ED24/ED23</f>
        <v>0</v>
      </c>
      <c r="EF28" s="67"/>
      <c r="EH28" s="128">
        <f>+EG24/EG23</f>
        <v>0</v>
      </c>
      <c r="EI28" s="67"/>
      <c r="EK28" s="128">
        <f>+EJ24/EJ23</f>
        <v>0</v>
      </c>
      <c r="EN28" s="128">
        <v>0</v>
      </c>
      <c r="EQ28" s="128" t="e">
        <f>+EP24/EP23</f>
        <v>#DIV/0!</v>
      </c>
      <c r="ET28" s="128" t="e">
        <f>+ES24/ES23</f>
        <v>#DIV/0!</v>
      </c>
      <c r="FA28" s="138">
        <f>EZ24/EZ23</f>
        <v>0</v>
      </c>
      <c r="FB28" s="43"/>
      <c r="FC28" s="43"/>
      <c r="FD28" s="138">
        <f>FC24/FC23</f>
        <v>0</v>
      </c>
      <c r="FE28" s="43"/>
      <c r="FF28" s="43"/>
      <c r="FG28" s="138">
        <f>FF24/FF23</f>
        <v>0</v>
      </c>
      <c r="FH28" s="43"/>
      <c r="JS28">
        <f>11-JS27</f>
        <v>11</v>
      </c>
    </row>
    <row r="29" spans="1:330" x14ac:dyDescent="0.35">
      <c r="AF29" s="129"/>
      <c r="AK29" s="67"/>
      <c r="AO29" s="67"/>
      <c r="EB29" s="128"/>
      <c r="EC29" s="67"/>
      <c r="EE29" s="128"/>
      <c r="EF29" s="67"/>
      <c r="EH29" s="128"/>
      <c r="EI29" s="67"/>
      <c r="EK29" s="128"/>
      <c r="EN29" s="128"/>
      <c r="EQ29" s="128"/>
      <c r="ET29" s="128"/>
      <c r="FA29" s="138"/>
      <c r="FB29" s="43"/>
      <c r="FC29" s="43"/>
      <c r="FD29" s="138"/>
      <c r="FE29" s="43"/>
      <c r="FF29" s="43"/>
      <c r="FG29" s="138"/>
      <c r="FH29" s="43"/>
    </row>
    <row r="30" spans="1:330" x14ac:dyDescent="0.35">
      <c r="AE30" s="148">
        <f t="shared" ref="AE30:AY30" si="61">AE7+AE9+AE11+AE13+AE15</f>
        <v>2788.5</v>
      </c>
      <c r="AF30" s="149">
        <f t="shared" si="61"/>
        <v>2619.5</v>
      </c>
      <c r="AG30" s="150">
        <f t="shared" si="61"/>
        <v>0</v>
      </c>
      <c r="AH30" s="148">
        <f t="shared" si="61"/>
        <v>2788.5</v>
      </c>
      <c r="AI30" s="149">
        <f t="shared" si="61"/>
        <v>2619.5</v>
      </c>
      <c r="AJ30" s="150">
        <f t="shared" si="61"/>
        <v>0</v>
      </c>
      <c r="AK30" s="148">
        <f t="shared" si="61"/>
        <v>2788.5</v>
      </c>
      <c r="AL30" s="149">
        <f t="shared" si="61"/>
        <v>2619.5</v>
      </c>
      <c r="AM30" s="150">
        <f t="shared" si="61"/>
        <v>0</v>
      </c>
      <c r="AN30" s="148">
        <f t="shared" si="61"/>
        <v>2788.5</v>
      </c>
      <c r="AO30" s="149">
        <f t="shared" si="61"/>
        <v>2619.5</v>
      </c>
      <c r="AP30" s="150">
        <f t="shared" si="61"/>
        <v>0</v>
      </c>
      <c r="AQ30" s="148">
        <f t="shared" si="61"/>
        <v>0</v>
      </c>
      <c r="AR30" s="149">
        <f t="shared" si="61"/>
        <v>0</v>
      </c>
      <c r="AS30" s="150">
        <f t="shared" si="61"/>
        <v>0</v>
      </c>
      <c r="AT30" s="148">
        <f t="shared" si="61"/>
        <v>0</v>
      </c>
      <c r="AU30" s="149">
        <f t="shared" si="61"/>
        <v>0</v>
      </c>
      <c r="AV30" s="150">
        <f t="shared" si="61"/>
        <v>0</v>
      </c>
      <c r="AW30" s="148">
        <f t="shared" si="61"/>
        <v>0</v>
      </c>
      <c r="AX30" s="149">
        <f t="shared" si="61"/>
        <v>0</v>
      </c>
      <c r="AY30" s="150">
        <f t="shared" si="61"/>
        <v>0</v>
      </c>
      <c r="BA30" s="156"/>
      <c r="BD30" s="148">
        <f t="shared" ref="BD30:BX30" si="62">BD7+BD9+BD11+BD13+BD15</f>
        <v>2788.5</v>
      </c>
      <c r="BE30" s="149">
        <f t="shared" si="62"/>
        <v>2619.5</v>
      </c>
      <c r="BF30" s="150">
        <f t="shared" si="62"/>
        <v>0</v>
      </c>
      <c r="BG30" s="148">
        <f t="shared" si="62"/>
        <v>2788.5</v>
      </c>
      <c r="BH30" s="149">
        <f t="shared" si="62"/>
        <v>2619.5</v>
      </c>
      <c r="BI30" s="150">
        <f t="shared" si="62"/>
        <v>0</v>
      </c>
      <c r="BJ30" s="148">
        <f t="shared" si="62"/>
        <v>2788.5</v>
      </c>
      <c r="BK30" s="149">
        <f t="shared" si="62"/>
        <v>2619.5</v>
      </c>
      <c r="BL30" s="150">
        <f t="shared" si="62"/>
        <v>0</v>
      </c>
      <c r="BM30" s="148">
        <f t="shared" si="62"/>
        <v>2788.5</v>
      </c>
      <c r="BN30" s="149">
        <f t="shared" si="62"/>
        <v>2619.5</v>
      </c>
      <c r="BO30" s="150">
        <f t="shared" si="62"/>
        <v>0</v>
      </c>
      <c r="BP30" s="148">
        <f t="shared" si="62"/>
        <v>2788.5</v>
      </c>
      <c r="BQ30" s="149">
        <f t="shared" si="62"/>
        <v>2619.5</v>
      </c>
      <c r="BR30" s="150">
        <f t="shared" si="62"/>
        <v>0</v>
      </c>
      <c r="BS30" s="148">
        <f t="shared" si="62"/>
        <v>0</v>
      </c>
      <c r="BT30" s="149">
        <f t="shared" si="62"/>
        <v>0</v>
      </c>
      <c r="BU30" s="150">
        <f t="shared" si="62"/>
        <v>0</v>
      </c>
      <c r="BV30" s="148">
        <f t="shared" si="62"/>
        <v>0</v>
      </c>
      <c r="BW30" s="149">
        <f t="shared" si="62"/>
        <v>0</v>
      </c>
      <c r="BX30" s="150">
        <f t="shared" si="62"/>
        <v>0</v>
      </c>
      <c r="CC30" s="148">
        <f t="shared" ref="CC30:CW30" si="63">CC7+CC9+CC11+CC13+CC15</f>
        <v>2788.5</v>
      </c>
      <c r="CD30" s="149">
        <f t="shared" si="63"/>
        <v>2619.5</v>
      </c>
      <c r="CE30" s="150">
        <f t="shared" si="63"/>
        <v>0</v>
      </c>
      <c r="CF30" s="148">
        <f t="shared" si="63"/>
        <v>2788.5</v>
      </c>
      <c r="CG30" s="149">
        <f t="shared" si="63"/>
        <v>2619.5</v>
      </c>
      <c r="CH30" s="150">
        <f t="shared" si="63"/>
        <v>0</v>
      </c>
      <c r="CI30" s="148">
        <f t="shared" si="63"/>
        <v>2788.5</v>
      </c>
      <c r="CJ30" s="149">
        <f t="shared" si="63"/>
        <v>2619.5</v>
      </c>
      <c r="CK30" s="150">
        <f t="shared" si="63"/>
        <v>0</v>
      </c>
      <c r="CL30" s="148">
        <f t="shared" si="63"/>
        <v>2788.5</v>
      </c>
      <c r="CM30" s="149">
        <f t="shared" si="63"/>
        <v>2619.5</v>
      </c>
      <c r="CN30" s="150">
        <f t="shared" si="63"/>
        <v>0</v>
      </c>
      <c r="CO30" s="148">
        <f t="shared" si="63"/>
        <v>2788.5</v>
      </c>
      <c r="CP30" s="149">
        <f t="shared" si="63"/>
        <v>2619.5</v>
      </c>
      <c r="CQ30" s="150">
        <f t="shared" si="63"/>
        <v>0</v>
      </c>
      <c r="CR30" s="148">
        <f t="shared" si="63"/>
        <v>2789</v>
      </c>
      <c r="CS30" s="149">
        <f t="shared" si="63"/>
        <v>0</v>
      </c>
      <c r="CT30" s="150">
        <f t="shared" si="63"/>
        <v>0</v>
      </c>
      <c r="CU30" s="148">
        <f t="shared" si="63"/>
        <v>2789</v>
      </c>
      <c r="CV30" s="149">
        <f t="shared" si="63"/>
        <v>0</v>
      </c>
      <c r="CW30" s="150">
        <f t="shared" si="63"/>
        <v>0</v>
      </c>
      <c r="DB30" s="148">
        <f t="shared" ref="DB30:DV30" si="64">DB7+DB9+DB11+DB13+DB15</f>
        <v>2788.5</v>
      </c>
      <c r="DC30" s="149">
        <f t="shared" si="64"/>
        <v>2619.5</v>
      </c>
      <c r="DD30" s="150">
        <f t="shared" si="64"/>
        <v>0</v>
      </c>
      <c r="DE30" s="148">
        <f t="shared" si="64"/>
        <v>2788.5</v>
      </c>
      <c r="DF30" s="149">
        <f t="shared" si="64"/>
        <v>2619.5</v>
      </c>
      <c r="DG30" s="150">
        <f t="shared" si="64"/>
        <v>0</v>
      </c>
      <c r="DH30" s="148">
        <f t="shared" si="64"/>
        <v>2788.5</v>
      </c>
      <c r="DI30" s="149">
        <f t="shared" si="64"/>
        <v>2619.5</v>
      </c>
      <c r="DJ30" s="150">
        <f t="shared" si="64"/>
        <v>0</v>
      </c>
      <c r="DK30" s="148">
        <f t="shared" si="64"/>
        <v>2788.5</v>
      </c>
      <c r="DL30" s="149">
        <f t="shared" si="64"/>
        <v>2619.5</v>
      </c>
      <c r="DM30" s="150">
        <f t="shared" si="64"/>
        <v>0</v>
      </c>
      <c r="DN30" s="148">
        <f t="shared" si="64"/>
        <v>0</v>
      </c>
      <c r="DO30" s="149">
        <f t="shared" si="64"/>
        <v>0</v>
      </c>
      <c r="DP30" s="150">
        <f t="shared" si="64"/>
        <v>0</v>
      </c>
      <c r="DQ30" s="148">
        <f t="shared" si="64"/>
        <v>0</v>
      </c>
      <c r="DR30" s="149">
        <f t="shared" si="64"/>
        <v>0</v>
      </c>
      <c r="DS30" s="150">
        <f t="shared" si="64"/>
        <v>0</v>
      </c>
      <c r="DT30" s="148">
        <f t="shared" si="64"/>
        <v>0</v>
      </c>
      <c r="DU30" s="149">
        <f t="shared" si="64"/>
        <v>0</v>
      </c>
      <c r="DV30" s="150">
        <f t="shared" si="64"/>
        <v>0</v>
      </c>
      <c r="EA30" s="67"/>
      <c r="GB30" t="s">
        <v>51</v>
      </c>
      <c r="GC30" t="s">
        <v>51</v>
      </c>
    </row>
    <row r="31" spans="1:330" x14ac:dyDescent="0.35">
      <c r="AE31" s="151">
        <f t="shared" ref="AE31:AY31" si="65">AE8+AE10+AE12+AE14+AE16</f>
        <v>1529</v>
      </c>
      <c r="AF31" s="147">
        <f t="shared" si="65"/>
        <v>2036</v>
      </c>
      <c r="AG31" s="152">
        <f t="shared" si="65"/>
        <v>0</v>
      </c>
      <c r="AH31" s="151">
        <f t="shared" si="65"/>
        <v>2253</v>
      </c>
      <c r="AI31" s="147">
        <f t="shared" si="65"/>
        <v>2606</v>
      </c>
      <c r="AJ31" s="152">
        <f t="shared" si="65"/>
        <v>0</v>
      </c>
      <c r="AK31" s="151">
        <f t="shared" si="65"/>
        <v>2536</v>
      </c>
      <c r="AL31" s="147">
        <f t="shared" si="65"/>
        <v>2445</v>
      </c>
      <c r="AM31" s="152">
        <f t="shared" si="65"/>
        <v>0</v>
      </c>
      <c r="AN31" s="151">
        <f t="shared" si="65"/>
        <v>2426</v>
      </c>
      <c r="AO31" s="147">
        <f t="shared" si="65"/>
        <v>2342</v>
      </c>
      <c r="AP31" s="152">
        <f t="shared" si="65"/>
        <v>0</v>
      </c>
      <c r="AQ31" s="151">
        <f t="shared" si="65"/>
        <v>0</v>
      </c>
      <c r="AR31" s="147">
        <f t="shared" si="65"/>
        <v>0</v>
      </c>
      <c r="AS31" s="152">
        <f t="shared" si="65"/>
        <v>0</v>
      </c>
      <c r="AT31" s="151">
        <f t="shared" si="65"/>
        <v>0</v>
      </c>
      <c r="AU31" s="147">
        <f t="shared" si="65"/>
        <v>0</v>
      </c>
      <c r="AV31" s="152">
        <f t="shared" si="65"/>
        <v>0</v>
      </c>
      <c r="AW31" s="151">
        <f t="shared" si="65"/>
        <v>0</v>
      </c>
      <c r="AX31" s="147">
        <f t="shared" si="65"/>
        <v>0</v>
      </c>
      <c r="AY31" s="152">
        <f t="shared" si="65"/>
        <v>0</v>
      </c>
      <c r="BD31" s="151">
        <f t="shared" ref="BD31:BX31" si="66">BD8+BD10+BD12+BD14+BD16</f>
        <v>2171</v>
      </c>
      <c r="BE31" s="147">
        <f t="shared" si="66"/>
        <v>2247</v>
      </c>
      <c r="BF31" s="152">
        <f t="shared" si="66"/>
        <v>0</v>
      </c>
      <c r="BG31" s="151">
        <f t="shared" si="66"/>
        <v>2703</v>
      </c>
      <c r="BH31" s="147">
        <f t="shared" si="66"/>
        <v>2520</v>
      </c>
      <c r="BI31" s="152">
        <f t="shared" si="66"/>
        <v>0</v>
      </c>
      <c r="BJ31" s="151">
        <f t="shared" si="66"/>
        <v>2635</v>
      </c>
      <c r="BK31" s="147">
        <f t="shared" si="66"/>
        <v>2575</v>
      </c>
      <c r="BL31" s="152">
        <f t="shared" si="66"/>
        <v>0</v>
      </c>
      <c r="BM31" s="151">
        <f t="shared" si="66"/>
        <v>2529</v>
      </c>
      <c r="BN31" s="147">
        <f t="shared" si="66"/>
        <v>2458</v>
      </c>
      <c r="BO31" s="152">
        <f t="shared" si="66"/>
        <v>0</v>
      </c>
      <c r="BP31" s="151">
        <f t="shared" si="66"/>
        <v>2755</v>
      </c>
      <c r="BQ31" s="147">
        <f t="shared" si="66"/>
        <v>2441</v>
      </c>
      <c r="BR31" s="152">
        <f t="shared" si="66"/>
        <v>0</v>
      </c>
      <c r="BS31" s="151">
        <f t="shared" si="66"/>
        <v>0</v>
      </c>
      <c r="BT31" s="147">
        <f t="shared" si="66"/>
        <v>0</v>
      </c>
      <c r="BU31" s="152">
        <f t="shared" si="66"/>
        <v>0</v>
      </c>
      <c r="BV31" s="151">
        <f t="shared" si="66"/>
        <v>0</v>
      </c>
      <c r="BW31" s="147">
        <f t="shared" si="66"/>
        <v>0</v>
      </c>
      <c r="BX31" s="152">
        <f t="shared" si="66"/>
        <v>0</v>
      </c>
      <c r="CC31" s="151">
        <f t="shared" ref="CC31:CW31" si="67">CC8+CC10+CC12+CC14+CC16</f>
        <v>2710</v>
      </c>
      <c r="CD31" s="147">
        <f t="shared" si="67"/>
        <v>2447</v>
      </c>
      <c r="CE31" s="152">
        <f t="shared" si="67"/>
        <v>0</v>
      </c>
      <c r="CF31" s="151">
        <f t="shared" si="67"/>
        <v>2799</v>
      </c>
      <c r="CG31" s="147">
        <f t="shared" si="67"/>
        <v>2629</v>
      </c>
      <c r="CH31" s="152">
        <f t="shared" si="67"/>
        <v>0</v>
      </c>
      <c r="CI31" s="151">
        <f t="shared" si="67"/>
        <v>2824</v>
      </c>
      <c r="CJ31" s="147">
        <f t="shared" si="67"/>
        <v>2625</v>
      </c>
      <c r="CK31" s="152">
        <f t="shared" si="67"/>
        <v>0</v>
      </c>
      <c r="CL31" s="151">
        <f t="shared" si="67"/>
        <v>2807</v>
      </c>
      <c r="CM31" s="147">
        <f t="shared" si="67"/>
        <v>2588</v>
      </c>
      <c r="CN31" s="152">
        <f t="shared" si="67"/>
        <v>0</v>
      </c>
      <c r="CO31" s="151">
        <f t="shared" si="67"/>
        <v>2795</v>
      </c>
      <c r="CP31" s="147">
        <f t="shared" si="67"/>
        <v>2304</v>
      </c>
      <c r="CQ31" s="152">
        <f t="shared" si="67"/>
        <v>0</v>
      </c>
      <c r="CR31" s="151">
        <f t="shared" si="67"/>
        <v>2623</v>
      </c>
      <c r="CS31" s="147">
        <f t="shared" si="67"/>
        <v>0</v>
      </c>
      <c r="CT31" s="152">
        <f t="shared" si="67"/>
        <v>0</v>
      </c>
      <c r="CU31" s="151">
        <f t="shared" si="67"/>
        <v>1600</v>
      </c>
      <c r="CV31" s="147">
        <f t="shared" si="67"/>
        <v>0</v>
      </c>
      <c r="CW31" s="152">
        <f t="shared" si="67"/>
        <v>0</v>
      </c>
      <c r="DB31" s="151">
        <f t="shared" ref="DB31:DV31" si="68">DB8+DB10+DB12+DB14+DB16</f>
        <v>2789</v>
      </c>
      <c r="DC31" s="147">
        <f t="shared" si="68"/>
        <v>0</v>
      </c>
      <c r="DD31" s="152">
        <f t="shared" si="68"/>
        <v>0</v>
      </c>
      <c r="DE31" s="151">
        <f t="shared" si="68"/>
        <v>0</v>
      </c>
      <c r="DF31" s="147">
        <f t="shared" si="68"/>
        <v>0</v>
      </c>
      <c r="DG31" s="152">
        <f t="shared" si="68"/>
        <v>0</v>
      </c>
      <c r="DH31" s="151">
        <f t="shared" si="68"/>
        <v>0</v>
      </c>
      <c r="DI31" s="147">
        <f t="shared" si="68"/>
        <v>0</v>
      </c>
      <c r="DJ31" s="152">
        <f t="shared" si="68"/>
        <v>0</v>
      </c>
      <c r="DK31" s="151">
        <f t="shared" si="68"/>
        <v>0</v>
      </c>
      <c r="DL31" s="147">
        <f t="shared" si="68"/>
        <v>0</v>
      </c>
      <c r="DM31" s="152">
        <f t="shared" si="68"/>
        <v>0</v>
      </c>
      <c r="DN31" s="151">
        <f t="shared" si="68"/>
        <v>0</v>
      </c>
      <c r="DO31" s="147">
        <f t="shared" si="68"/>
        <v>0</v>
      </c>
      <c r="DP31" s="152">
        <f t="shared" si="68"/>
        <v>0</v>
      </c>
      <c r="DQ31" s="151">
        <f t="shared" si="68"/>
        <v>0</v>
      </c>
      <c r="DR31" s="147">
        <f t="shared" si="68"/>
        <v>0</v>
      </c>
      <c r="DS31" s="152">
        <f t="shared" si="68"/>
        <v>0</v>
      </c>
      <c r="DT31" s="151">
        <f t="shared" si="68"/>
        <v>0</v>
      </c>
      <c r="DU31" s="147">
        <f t="shared" si="68"/>
        <v>0</v>
      </c>
      <c r="DV31" s="152">
        <f t="shared" si="68"/>
        <v>0</v>
      </c>
      <c r="DZ31">
        <f>180-52</f>
        <v>128</v>
      </c>
      <c r="EA31" s="130">
        <f>+EA11+EA13+EA9</f>
        <v>0</v>
      </c>
      <c r="EB31" s="131">
        <f t="shared" ref="EB31:EO31" si="69">+EB11+EB13+EB9</f>
        <v>0</v>
      </c>
      <c r="EC31" s="132">
        <f t="shared" si="69"/>
        <v>0</v>
      </c>
      <c r="ED31" s="130">
        <f t="shared" si="69"/>
        <v>2788.5</v>
      </c>
      <c r="EE31" s="131">
        <f t="shared" si="69"/>
        <v>2619.5</v>
      </c>
      <c r="EF31" s="132">
        <f t="shared" si="69"/>
        <v>0</v>
      </c>
      <c r="EG31" s="130">
        <f t="shared" si="69"/>
        <v>2788.5</v>
      </c>
      <c r="EH31" s="131">
        <f t="shared" si="69"/>
        <v>2619.5</v>
      </c>
      <c r="EI31" s="132">
        <f t="shared" si="69"/>
        <v>0</v>
      </c>
      <c r="EJ31" s="130">
        <f t="shared" si="69"/>
        <v>2788.5</v>
      </c>
      <c r="EK31" s="131">
        <f t="shared" si="69"/>
        <v>2619.5</v>
      </c>
      <c r="EL31" s="132">
        <f t="shared" si="69"/>
        <v>0</v>
      </c>
      <c r="EM31" s="130">
        <f t="shared" si="69"/>
        <v>2788.5</v>
      </c>
      <c r="EN31" s="131">
        <f t="shared" si="69"/>
        <v>2619.5</v>
      </c>
      <c r="EO31" s="132">
        <f t="shared" si="69"/>
        <v>0</v>
      </c>
      <c r="EP31" s="126">
        <f t="shared" ref="EP31:EU31" si="70">+EP11+EP13</f>
        <v>0</v>
      </c>
      <c r="EQ31" s="126">
        <f t="shared" si="70"/>
        <v>0</v>
      </c>
      <c r="ER31" s="126">
        <f t="shared" si="70"/>
        <v>0</v>
      </c>
      <c r="ES31" s="126">
        <f t="shared" si="70"/>
        <v>0</v>
      </c>
      <c r="ET31" s="126">
        <f t="shared" si="70"/>
        <v>0</v>
      </c>
      <c r="EU31" s="126">
        <f t="shared" si="70"/>
        <v>0</v>
      </c>
      <c r="EV31" s="126">
        <f>SUM(EA31:EU31)</f>
        <v>21632</v>
      </c>
      <c r="EZ31" s="130">
        <f t="shared" ref="EZ31:FT31" si="71">+EZ11+EZ13</f>
        <v>0</v>
      </c>
      <c r="FA31" s="131">
        <f t="shared" si="71"/>
        <v>0</v>
      </c>
      <c r="FB31" s="132">
        <f t="shared" si="71"/>
        <v>0</v>
      </c>
      <c r="FC31" s="130">
        <f t="shared" si="71"/>
        <v>0</v>
      </c>
      <c r="FD31" s="131">
        <f t="shared" si="71"/>
        <v>0</v>
      </c>
      <c r="FE31" s="132">
        <f t="shared" si="71"/>
        <v>0</v>
      </c>
      <c r="FF31" s="130">
        <f t="shared" si="71"/>
        <v>0</v>
      </c>
      <c r="FG31" s="131">
        <f t="shared" si="71"/>
        <v>0</v>
      </c>
      <c r="FH31" s="132">
        <f t="shared" si="71"/>
        <v>0</v>
      </c>
      <c r="FI31" s="130">
        <f t="shared" si="71"/>
        <v>0</v>
      </c>
      <c r="FJ31" s="131">
        <f t="shared" si="71"/>
        <v>0</v>
      </c>
      <c r="FK31" s="132">
        <f t="shared" si="71"/>
        <v>0</v>
      </c>
      <c r="FL31" s="130">
        <f t="shared" si="71"/>
        <v>0</v>
      </c>
      <c r="FM31" s="131">
        <f t="shared" si="71"/>
        <v>0</v>
      </c>
      <c r="FN31" s="132">
        <f t="shared" si="71"/>
        <v>0</v>
      </c>
      <c r="FO31" s="130">
        <f t="shared" si="71"/>
        <v>0</v>
      </c>
      <c r="FP31" s="131">
        <f t="shared" si="71"/>
        <v>0</v>
      </c>
      <c r="FQ31" s="132">
        <f t="shared" si="71"/>
        <v>0</v>
      </c>
      <c r="FR31" s="130">
        <f t="shared" si="71"/>
        <v>0</v>
      </c>
      <c r="FS31" s="131">
        <f t="shared" si="71"/>
        <v>0</v>
      </c>
      <c r="FT31" s="132">
        <f t="shared" si="71"/>
        <v>0</v>
      </c>
    </row>
    <row r="32" spans="1:330" x14ac:dyDescent="0.35">
      <c r="AE32" s="153">
        <f>AE31-AE30</f>
        <v>-1259.5</v>
      </c>
      <c r="AF32" s="154">
        <f t="shared" ref="AF32:AG32" si="72">AF31-AF30</f>
        <v>-583.5</v>
      </c>
      <c r="AG32" s="155">
        <f t="shared" si="72"/>
        <v>0</v>
      </c>
      <c r="AH32" s="153">
        <f>AH31-AH30</f>
        <v>-535.5</v>
      </c>
      <c r="AI32" s="154">
        <f t="shared" ref="AI32:AJ32" si="73">AI31-AI30</f>
        <v>-13.5</v>
      </c>
      <c r="AJ32" s="155">
        <f t="shared" si="73"/>
        <v>0</v>
      </c>
      <c r="AK32" s="153">
        <f>AK31-AK30</f>
        <v>-252.5</v>
      </c>
      <c r="AL32" s="154">
        <f t="shared" ref="AL32:AM32" si="74">AL31-AL30</f>
        <v>-174.5</v>
      </c>
      <c r="AM32" s="155">
        <f t="shared" si="74"/>
        <v>0</v>
      </c>
      <c r="AN32" s="153">
        <f>AN31-AN30</f>
        <v>-362.5</v>
      </c>
      <c r="AO32" s="154">
        <f t="shared" ref="AO32:AP32" si="75">AO31-AO30</f>
        <v>-277.5</v>
      </c>
      <c r="AP32" s="155">
        <f t="shared" si="75"/>
        <v>0</v>
      </c>
      <c r="AQ32" s="153">
        <f>AQ31-AQ30</f>
        <v>0</v>
      </c>
      <c r="AR32" s="154">
        <f t="shared" ref="AR32:AS32" si="76">AR31-AR30</f>
        <v>0</v>
      </c>
      <c r="AS32" s="155">
        <f t="shared" si="76"/>
        <v>0</v>
      </c>
      <c r="AT32" s="153">
        <f>AT31-AT30</f>
        <v>0</v>
      </c>
      <c r="AU32" s="154">
        <f t="shared" ref="AU32:AV32" si="77">AU31-AU30</f>
        <v>0</v>
      </c>
      <c r="AV32" s="155">
        <f t="shared" si="77"/>
        <v>0</v>
      </c>
      <c r="AW32" s="153">
        <f>AW31-AW30</f>
        <v>0</v>
      </c>
      <c r="AX32" s="154">
        <f t="shared" ref="AX32:AY32" si="78">AX31-AX30</f>
        <v>0</v>
      </c>
      <c r="AY32" s="155">
        <f t="shared" si="78"/>
        <v>0</v>
      </c>
      <c r="BD32" s="153">
        <f>BD31-BD30</f>
        <v>-617.5</v>
      </c>
      <c r="BE32" s="154">
        <f t="shared" ref="BE32:BF32" si="79">BE31-BE30</f>
        <v>-372.5</v>
      </c>
      <c r="BF32" s="155">
        <f t="shared" si="79"/>
        <v>0</v>
      </c>
      <c r="BG32" s="153">
        <f>BG31-BG30</f>
        <v>-85.5</v>
      </c>
      <c r="BH32" s="154">
        <f t="shared" ref="BH32:BI32" si="80">BH31-BH30</f>
        <v>-99.5</v>
      </c>
      <c r="BI32" s="155">
        <f t="shared" si="80"/>
        <v>0</v>
      </c>
      <c r="BJ32" s="153">
        <f>BJ31-BJ30</f>
        <v>-153.5</v>
      </c>
      <c r="BK32" s="154">
        <f t="shared" ref="BK32:BL32" si="81">BK31-BK30</f>
        <v>-44.5</v>
      </c>
      <c r="BL32" s="155">
        <f t="shared" si="81"/>
        <v>0</v>
      </c>
      <c r="BM32" s="153">
        <f>BM31-BM30</f>
        <v>-259.5</v>
      </c>
      <c r="BN32" s="154">
        <f t="shared" ref="BN32:BO32" si="82">BN31-BN30</f>
        <v>-161.5</v>
      </c>
      <c r="BO32" s="155">
        <f t="shared" si="82"/>
        <v>0</v>
      </c>
      <c r="BP32" s="153">
        <f>BP31-BP30</f>
        <v>-33.5</v>
      </c>
      <c r="BQ32" s="154">
        <f t="shared" ref="BQ32:BR32" si="83">BQ31-BQ30</f>
        <v>-178.5</v>
      </c>
      <c r="BR32" s="155">
        <f t="shared" si="83"/>
        <v>0</v>
      </c>
      <c r="BS32" s="153">
        <f>BS31-BS30</f>
        <v>0</v>
      </c>
      <c r="BT32" s="154">
        <f t="shared" ref="BT32:BU32" si="84">BT31-BT30</f>
        <v>0</v>
      </c>
      <c r="BU32" s="155">
        <f t="shared" si="84"/>
        <v>0</v>
      </c>
      <c r="BV32" s="153">
        <f>BV31-BV30</f>
        <v>0</v>
      </c>
      <c r="BW32" s="154">
        <f t="shared" ref="BW32:BX32" si="85">BW31-BW30</f>
        <v>0</v>
      </c>
      <c r="BX32" s="155">
        <f t="shared" si="85"/>
        <v>0</v>
      </c>
      <c r="CB32" s="67"/>
      <c r="CC32" s="153">
        <f>CC31-CC30</f>
        <v>-78.5</v>
      </c>
      <c r="CD32" s="154">
        <f t="shared" ref="CD32:CE32" si="86">CD31-CD30</f>
        <v>-172.5</v>
      </c>
      <c r="CE32" s="155">
        <f t="shared" si="86"/>
        <v>0</v>
      </c>
      <c r="CF32" s="153">
        <f>CF31-CF30</f>
        <v>10.5</v>
      </c>
      <c r="CG32" s="154">
        <f t="shared" ref="CG32:CH32" si="87">CG31-CG30</f>
        <v>9.5</v>
      </c>
      <c r="CH32" s="155">
        <f t="shared" si="87"/>
        <v>0</v>
      </c>
      <c r="CI32" s="153">
        <f>CI31-CI30</f>
        <v>35.5</v>
      </c>
      <c r="CJ32" s="154">
        <f t="shared" ref="CJ32:CK32" si="88">CJ31-CJ30</f>
        <v>5.5</v>
      </c>
      <c r="CK32" s="155">
        <f t="shared" si="88"/>
        <v>0</v>
      </c>
      <c r="CL32" s="153">
        <f>CL31-CL30</f>
        <v>18.5</v>
      </c>
      <c r="CM32" s="154">
        <f t="shared" ref="CM32:CN32" si="89">CM31-CM30</f>
        <v>-31.5</v>
      </c>
      <c r="CN32" s="155">
        <f t="shared" si="89"/>
        <v>0</v>
      </c>
      <c r="CO32" s="153">
        <f>CO31-CO30</f>
        <v>6.5</v>
      </c>
      <c r="CP32" s="154">
        <f t="shared" ref="CP32:CQ32" si="90">CP31-CP30</f>
        <v>-315.5</v>
      </c>
      <c r="CQ32" s="155">
        <f t="shared" si="90"/>
        <v>0</v>
      </c>
      <c r="CR32" s="153">
        <f>CR31-CR30</f>
        <v>-166</v>
      </c>
      <c r="CS32" s="154">
        <f t="shared" ref="CS32:CT32" si="91">CS31-CS30</f>
        <v>0</v>
      </c>
      <c r="CT32" s="155">
        <f t="shared" si="91"/>
        <v>0</v>
      </c>
      <c r="CU32" s="153">
        <f>CU31-CU30</f>
        <v>-1189</v>
      </c>
      <c r="CV32" s="154">
        <f t="shared" ref="CV32:CW32" si="92">CV31-CV30</f>
        <v>0</v>
      </c>
      <c r="CW32" s="155">
        <f t="shared" si="92"/>
        <v>0</v>
      </c>
      <c r="DB32" s="153">
        <f>DB31-DB30</f>
        <v>0.5</v>
      </c>
      <c r="DC32" s="154">
        <f t="shared" ref="DC32:DD32" si="93">DC31-DC30</f>
        <v>-2619.5</v>
      </c>
      <c r="DD32" s="155">
        <f t="shared" si="93"/>
        <v>0</v>
      </c>
      <c r="DE32" s="153">
        <f>DE31-DE30</f>
        <v>-2788.5</v>
      </c>
      <c r="DF32" s="154">
        <f t="shared" ref="DF32:DG32" si="94">DF31-DF30</f>
        <v>-2619.5</v>
      </c>
      <c r="DG32" s="155">
        <f t="shared" si="94"/>
        <v>0</v>
      </c>
      <c r="DH32" s="153">
        <f>DH31-DH30</f>
        <v>-2788.5</v>
      </c>
      <c r="DI32" s="154">
        <f t="shared" ref="DI32:DJ32" si="95">DI31-DI30</f>
        <v>-2619.5</v>
      </c>
      <c r="DJ32" s="155">
        <f t="shared" si="95"/>
        <v>0</v>
      </c>
      <c r="DK32" s="153">
        <f>DK31-DK30</f>
        <v>-2788.5</v>
      </c>
      <c r="DL32" s="154">
        <f t="shared" ref="DL32:DM32" si="96">DL31-DL30</f>
        <v>-2619.5</v>
      </c>
      <c r="DM32" s="155">
        <f t="shared" si="96"/>
        <v>0</v>
      </c>
      <c r="DN32" s="153">
        <f>DN31-DN30</f>
        <v>0</v>
      </c>
      <c r="DO32" s="154">
        <f t="shared" ref="DO32:DP32" si="97">DO31-DO30</f>
        <v>0</v>
      </c>
      <c r="DP32" s="155">
        <f t="shared" si="97"/>
        <v>0</v>
      </c>
      <c r="DQ32" s="153">
        <f>DQ31-DQ30</f>
        <v>0</v>
      </c>
      <c r="DR32" s="154">
        <f t="shared" ref="DR32:DS32" si="98">DR31-DR30</f>
        <v>0</v>
      </c>
      <c r="DS32" s="155">
        <f t="shared" si="98"/>
        <v>0</v>
      </c>
      <c r="DT32" s="153">
        <f>DT31-DT30</f>
        <v>0</v>
      </c>
      <c r="DU32" s="154">
        <f t="shared" ref="DU32:DV32" si="99">DU31-DU30</f>
        <v>0</v>
      </c>
      <c r="DV32" s="155">
        <f t="shared" si="99"/>
        <v>0</v>
      </c>
      <c r="EA32" s="185">
        <f>+EA12+EA14+EA10</f>
        <v>0</v>
      </c>
      <c r="EB32" s="111">
        <f t="shared" ref="EB32:EO32" si="100">+EB12+EB14+EB10</f>
        <v>0</v>
      </c>
      <c r="EC32" s="134">
        <f t="shared" si="100"/>
        <v>0</v>
      </c>
      <c r="ED32" s="133">
        <f t="shared" si="100"/>
        <v>0</v>
      </c>
      <c r="EE32" s="111">
        <f t="shared" si="100"/>
        <v>0</v>
      </c>
      <c r="EF32" s="134">
        <f t="shared" si="100"/>
        <v>0</v>
      </c>
      <c r="EG32" s="133">
        <f t="shared" si="100"/>
        <v>0</v>
      </c>
      <c r="EH32" s="111">
        <f t="shared" si="100"/>
        <v>0</v>
      </c>
      <c r="EI32" s="134">
        <f t="shared" si="100"/>
        <v>0</v>
      </c>
      <c r="EJ32" s="133">
        <f t="shared" si="100"/>
        <v>0</v>
      </c>
      <c r="EK32" s="111">
        <f t="shared" si="100"/>
        <v>0</v>
      </c>
      <c r="EL32" s="134">
        <f t="shared" si="100"/>
        <v>0</v>
      </c>
      <c r="EM32" s="133">
        <f t="shared" si="100"/>
        <v>0</v>
      </c>
      <c r="EN32" s="111">
        <f t="shared" si="100"/>
        <v>0</v>
      </c>
      <c r="EO32" s="134">
        <f t="shared" si="100"/>
        <v>0</v>
      </c>
      <c r="EP32" s="111">
        <f t="shared" ref="EP32:EU32" si="101">+EP12+EP14</f>
        <v>0</v>
      </c>
      <c r="EQ32" s="111">
        <f t="shared" si="101"/>
        <v>0</v>
      </c>
      <c r="ER32" s="111">
        <f t="shared" si="101"/>
        <v>0</v>
      </c>
      <c r="ES32" s="111">
        <f t="shared" si="101"/>
        <v>0</v>
      </c>
      <c r="ET32" s="111">
        <f t="shared" si="101"/>
        <v>0</v>
      </c>
      <c r="EU32" s="111">
        <f t="shared" si="101"/>
        <v>0</v>
      </c>
      <c r="EV32" s="126">
        <f>SUM(EA32:EU32)</f>
        <v>0</v>
      </c>
      <c r="EZ32" s="133">
        <f t="shared" ref="EZ32:FT32" si="102">+EZ12+EZ14</f>
        <v>0</v>
      </c>
      <c r="FA32" s="111">
        <f t="shared" si="102"/>
        <v>0</v>
      </c>
      <c r="FB32" s="134">
        <f t="shared" si="102"/>
        <v>0</v>
      </c>
      <c r="FC32" s="133">
        <f t="shared" si="102"/>
        <v>0</v>
      </c>
      <c r="FD32" s="111">
        <f t="shared" si="102"/>
        <v>0</v>
      </c>
      <c r="FE32" s="134">
        <f t="shared" si="102"/>
        <v>0</v>
      </c>
      <c r="FF32" s="133">
        <f t="shared" si="102"/>
        <v>0</v>
      </c>
      <c r="FG32" s="111">
        <f t="shared" si="102"/>
        <v>0</v>
      </c>
      <c r="FH32" s="134">
        <f t="shared" si="102"/>
        <v>0</v>
      </c>
      <c r="FI32" s="133">
        <f t="shared" si="102"/>
        <v>0</v>
      </c>
      <c r="FJ32" s="111">
        <f t="shared" si="102"/>
        <v>0</v>
      </c>
      <c r="FK32" s="134">
        <f t="shared" si="102"/>
        <v>0</v>
      </c>
      <c r="FL32" s="133">
        <f t="shared" si="102"/>
        <v>0</v>
      </c>
      <c r="FM32" s="111">
        <f t="shared" si="102"/>
        <v>0</v>
      </c>
      <c r="FN32" s="134">
        <f t="shared" si="102"/>
        <v>0</v>
      </c>
      <c r="FO32" s="133">
        <f t="shared" si="102"/>
        <v>0</v>
      </c>
      <c r="FP32" s="111">
        <f t="shared" si="102"/>
        <v>0</v>
      </c>
      <c r="FQ32" s="134">
        <f t="shared" si="102"/>
        <v>0</v>
      </c>
      <c r="FR32" s="133">
        <f t="shared" si="102"/>
        <v>0</v>
      </c>
      <c r="FS32" s="111">
        <f t="shared" si="102"/>
        <v>0</v>
      </c>
      <c r="FT32" s="134">
        <f t="shared" si="102"/>
        <v>0</v>
      </c>
    </row>
    <row r="33" spans="64:325" x14ac:dyDescent="0.35">
      <c r="CB33" s="67"/>
      <c r="EA33" s="135">
        <f>+EA32-EA31</f>
        <v>0</v>
      </c>
      <c r="EB33" s="136">
        <f t="shared" ref="EB33:EC33" si="103">+EB32-EB31</f>
        <v>0</v>
      </c>
      <c r="EC33" s="137">
        <f t="shared" si="103"/>
        <v>0</v>
      </c>
      <c r="ED33" s="135">
        <f>+ED32-ED31</f>
        <v>-2788.5</v>
      </c>
      <c r="EE33" s="136">
        <f t="shared" ref="EE33:EF33" si="104">+EE32-EE31</f>
        <v>-2619.5</v>
      </c>
      <c r="EF33" s="137">
        <f t="shared" si="104"/>
        <v>0</v>
      </c>
      <c r="EG33" s="135">
        <f>+EG32-EG31</f>
        <v>-2788.5</v>
      </c>
      <c r="EH33" s="136">
        <f t="shared" ref="EH33:EI33" si="105">+EH32-EH31</f>
        <v>-2619.5</v>
      </c>
      <c r="EI33" s="137">
        <f t="shared" si="105"/>
        <v>0</v>
      </c>
      <c r="EJ33" s="135">
        <f>+EJ32-EJ31</f>
        <v>-2788.5</v>
      </c>
      <c r="EK33" s="136">
        <f t="shared" ref="EK33:EL33" si="106">+EK32-EK31</f>
        <v>-2619.5</v>
      </c>
      <c r="EL33" s="137">
        <f t="shared" si="106"/>
        <v>0</v>
      </c>
      <c r="EM33" s="135">
        <f>+EM32-EM31</f>
        <v>-2788.5</v>
      </c>
      <c r="EN33" s="136">
        <f t="shared" ref="EN33:EO33" si="107">+EN32-EN31</f>
        <v>-2619.5</v>
      </c>
      <c r="EO33" s="137">
        <f t="shared" si="107"/>
        <v>0</v>
      </c>
      <c r="EP33" s="127">
        <f>+EP32-EP31</f>
        <v>0</v>
      </c>
      <c r="EQ33" s="127">
        <f t="shared" ref="EQ33:ER33" si="108">+EQ32-EQ31</f>
        <v>0</v>
      </c>
      <c r="ER33" s="127">
        <f t="shared" si="108"/>
        <v>0</v>
      </c>
      <c r="ES33" s="127">
        <f>+ES32-ES31</f>
        <v>0</v>
      </c>
      <c r="ET33" s="127">
        <f t="shared" ref="ET33:EV33" si="109">+ET32-ET31</f>
        <v>0</v>
      </c>
      <c r="EU33" s="127">
        <f t="shared" si="109"/>
        <v>0</v>
      </c>
      <c r="EV33" s="127">
        <f t="shared" si="109"/>
        <v>-21632</v>
      </c>
      <c r="EZ33" s="135">
        <f>+EZ32-EZ31</f>
        <v>0</v>
      </c>
      <c r="FA33" s="136">
        <f t="shared" ref="FA33:FB33" si="110">+FA32-FA31</f>
        <v>0</v>
      </c>
      <c r="FB33" s="137">
        <f t="shared" si="110"/>
        <v>0</v>
      </c>
      <c r="FC33" s="135">
        <f>+FC32-FC31</f>
        <v>0</v>
      </c>
      <c r="FD33" s="136">
        <f t="shared" ref="FD33:FE33" si="111">+FD32-FD31</f>
        <v>0</v>
      </c>
      <c r="FE33" s="137">
        <f t="shared" si="111"/>
        <v>0</v>
      </c>
      <c r="FF33" s="135">
        <f>+FF32-FF31</f>
        <v>0</v>
      </c>
      <c r="FG33" s="136">
        <f t="shared" ref="FG33:FH33" si="112">+FG32-FG31</f>
        <v>0</v>
      </c>
      <c r="FH33" s="137">
        <f t="shared" si="112"/>
        <v>0</v>
      </c>
      <c r="FI33" s="135">
        <f>+FI32-FI31</f>
        <v>0</v>
      </c>
      <c r="FJ33" s="136">
        <f t="shared" ref="FJ33:FK33" si="113">+FJ32-FJ31</f>
        <v>0</v>
      </c>
      <c r="FK33" s="137">
        <f t="shared" si="113"/>
        <v>0</v>
      </c>
      <c r="FL33" s="135">
        <f>+FL32-FL31</f>
        <v>0</v>
      </c>
      <c r="FM33" s="136">
        <f t="shared" ref="FM33:FN33" si="114">+FM32-FM31</f>
        <v>0</v>
      </c>
      <c r="FN33" s="137">
        <f t="shared" si="114"/>
        <v>0</v>
      </c>
      <c r="FO33" s="135">
        <f>+FO32-FO31</f>
        <v>0</v>
      </c>
      <c r="FP33" s="136">
        <f t="shared" ref="FP33:FQ33" si="115">+FP32-FP31</f>
        <v>0</v>
      </c>
      <c r="FQ33" s="137">
        <f t="shared" si="115"/>
        <v>0</v>
      </c>
      <c r="FR33" s="135">
        <f>+FR32-FR31</f>
        <v>0</v>
      </c>
      <c r="FS33" s="136">
        <f t="shared" ref="FS33:FT33" si="116">+FS32-FS31</f>
        <v>0</v>
      </c>
      <c r="FT33" s="137">
        <f t="shared" si="116"/>
        <v>0</v>
      </c>
      <c r="FU33" s="139">
        <f>SUM(EZ33:FT33)</f>
        <v>0</v>
      </c>
      <c r="JX33" s="142">
        <f>(26*10)*8.25</f>
        <v>2145</v>
      </c>
      <c r="JY33" s="142">
        <f>(26*10)*7.75</f>
        <v>2015</v>
      </c>
      <c r="JZ33" s="142">
        <f>(26*10)*4.85</f>
        <v>1261</v>
      </c>
      <c r="KA33" s="142">
        <f>(26*10)*8.25</f>
        <v>2145</v>
      </c>
      <c r="KB33" s="142">
        <f>(26*10)*7.75</f>
        <v>2015</v>
      </c>
      <c r="KC33" s="142"/>
      <c r="KD33" s="142">
        <f>(26*10)*8.25</f>
        <v>2145</v>
      </c>
      <c r="KE33" s="142">
        <f>(26*10)*7.75</f>
        <v>2015</v>
      </c>
      <c r="KF33" s="142"/>
      <c r="KG33" s="142">
        <f>(26*13)*8.25</f>
        <v>2788.5</v>
      </c>
      <c r="KH33" s="142">
        <f>(26*13)*7.75</f>
        <v>2619.5</v>
      </c>
      <c r="KI33" s="142">
        <f>(26*10)*4.85</f>
        <v>1261</v>
      </c>
      <c r="KJ33" s="142">
        <f>(26*13)*10.58</f>
        <v>3576.04</v>
      </c>
      <c r="KK33" s="142">
        <f>(26*10)*10.58</f>
        <v>2750.8</v>
      </c>
      <c r="KL33" s="142"/>
      <c r="KM33" s="142">
        <f>(26*13)*10.58</f>
        <v>3576.04</v>
      </c>
      <c r="KN33" s="142">
        <f>(26*10)*10.58</f>
        <v>2750.8</v>
      </c>
      <c r="KO33" s="142"/>
      <c r="KP33" s="143">
        <f>SUM(JU33:KH33)</f>
        <v>19149</v>
      </c>
      <c r="KQ33" s="144">
        <f>KP33-KQ34</f>
        <v>19149</v>
      </c>
      <c r="KR33" s="145">
        <f>KP33*$D33</f>
        <v>0</v>
      </c>
      <c r="KS33" s="145"/>
      <c r="KT33" s="142">
        <f>(26*13)*8.25</f>
        <v>2788.5</v>
      </c>
      <c r="KU33" s="142">
        <f>(26*13)*7.75</f>
        <v>2619.5</v>
      </c>
      <c r="KV33" s="142">
        <f>(26*13)*4.85</f>
        <v>1639.3</v>
      </c>
      <c r="KW33" s="142">
        <f>(26*13)*8.25</f>
        <v>2788.5</v>
      </c>
      <c r="KX33" s="142">
        <f>(26*13)*7.75</f>
        <v>2619.5</v>
      </c>
      <c r="KY33" s="142">
        <f>(26*13)*4.85</f>
        <v>1639.3</v>
      </c>
      <c r="KZ33" s="142">
        <f>(26*13)*8.25</f>
        <v>2788.5</v>
      </c>
      <c r="LA33" s="142">
        <f>(26*13)*7.75</f>
        <v>2619.5</v>
      </c>
      <c r="LB33" s="142"/>
      <c r="LC33" s="142">
        <f>(26*13)*8.25</f>
        <v>2788.5</v>
      </c>
      <c r="LD33" s="142">
        <f>(26*13)*7.75</f>
        <v>2619.5</v>
      </c>
      <c r="LE33" s="142"/>
      <c r="LF33" s="142">
        <f>(26*13)*8.25</f>
        <v>2788.5</v>
      </c>
      <c r="LG33" s="142">
        <f>(26*13)*7.75</f>
        <v>2619.5</v>
      </c>
      <c r="LH33" s="142">
        <f>(26*10)*4.85</f>
        <v>1261</v>
      </c>
      <c r="LI33" s="142">
        <f>(26*13)*10.58</f>
        <v>3576.04</v>
      </c>
      <c r="LJ33" s="142">
        <f>(26*10)*10.58</f>
        <v>2750.8</v>
      </c>
      <c r="LK33" s="142"/>
      <c r="LL33" s="142">
        <f>(26*13)*10.58</f>
        <v>3576.04</v>
      </c>
      <c r="LM33" s="142">
        <f>(26*10)*10.58</f>
        <v>2750.8</v>
      </c>
    </row>
    <row r="34" spans="64:325" x14ac:dyDescent="0.35">
      <c r="EV34" s="129">
        <f>+EV32/EV31</f>
        <v>0</v>
      </c>
    </row>
    <row r="35" spans="64:325" x14ac:dyDescent="0.35">
      <c r="BL35" s="111"/>
    </row>
  </sheetData>
  <mergeCells count="487">
    <mergeCell ref="HW25:HY25"/>
    <mergeCell ref="HW26:HY26"/>
    <mergeCell ref="HZ25:IB25"/>
    <mergeCell ref="IC25:IE25"/>
    <mergeCell ref="IF25:IH25"/>
    <mergeCell ref="II25:IK25"/>
    <mergeCell ref="HZ26:IB26"/>
    <mergeCell ref="IC26:IE26"/>
    <mergeCell ref="IF26:IH26"/>
    <mergeCell ref="II26:IK26"/>
    <mergeCell ref="BJ25:BL25"/>
    <mergeCell ref="BM25:BO25"/>
    <mergeCell ref="BP25:BR25"/>
    <mergeCell ref="BS25:BU25"/>
    <mergeCell ref="BV25:BX25"/>
    <mergeCell ref="BG26:BI26"/>
    <mergeCell ref="BJ26:BL26"/>
    <mergeCell ref="BM26:BO26"/>
    <mergeCell ref="BP26:BR26"/>
    <mergeCell ref="BS26:BU26"/>
    <mergeCell ref="BV26:BX26"/>
    <mergeCell ref="O25:Q25"/>
    <mergeCell ref="R25:T25"/>
    <mergeCell ref="U25:W25"/>
    <mergeCell ref="X25:Z25"/>
    <mergeCell ref="AA25:AB25"/>
    <mergeCell ref="F26:H26"/>
    <mergeCell ref="I26:K26"/>
    <mergeCell ref="L26:N26"/>
    <mergeCell ref="O26:Q26"/>
    <mergeCell ref="R26:T26"/>
    <mergeCell ref="U26:W26"/>
    <mergeCell ref="X26:Z26"/>
    <mergeCell ref="AA26:AB26"/>
    <mergeCell ref="KT24:KV24"/>
    <mergeCell ref="KW24:KY24"/>
    <mergeCell ref="KZ24:LB24"/>
    <mergeCell ref="LC24:LE24"/>
    <mergeCell ref="LF24:LH24"/>
    <mergeCell ref="LI24:LK24"/>
    <mergeCell ref="LL24:LN24"/>
    <mergeCell ref="KT27:KV27"/>
    <mergeCell ref="KW27:KY27"/>
    <mergeCell ref="KZ27:LB27"/>
    <mergeCell ref="LC27:LE27"/>
    <mergeCell ref="LF27:LH27"/>
    <mergeCell ref="LI27:LK27"/>
    <mergeCell ref="LL27:LN27"/>
    <mergeCell ref="JX23:JZ23"/>
    <mergeCell ref="KA23:KC23"/>
    <mergeCell ref="KD23:KF23"/>
    <mergeCell ref="KG23:KI23"/>
    <mergeCell ref="KJ23:KL23"/>
    <mergeCell ref="KM23:KO23"/>
    <mergeCell ref="JU27:JW27"/>
    <mergeCell ref="JX27:JZ27"/>
    <mergeCell ref="KA27:KC27"/>
    <mergeCell ref="KD27:KF27"/>
    <mergeCell ref="KG27:KI27"/>
    <mergeCell ref="KJ27:KL27"/>
    <mergeCell ref="KM27:KO27"/>
    <mergeCell ref="JX24:JZ24"/>
    <mergeCell ref="KA24:KC24"/>
    <mergeCell ref="KD24:KF24"/>
    <mergeCell ref="KG24:KI24"/>
    <mergeCell ref="KJ24:KL24"/>
    <mergeCell ref="KM24:KO24"/>
    <mergeCell ref="GX27:GZ27"/>
    <mergeCell ref="HA27:HC27"/>
    <mergeCell ref="HD27:HF27"/>
    <mergeCell ref="HG27:HI27"/>
    <mergeCell ref="HJ27:HL27"/>
    <mergeCell ref="HM27:HO27"/>
    <mergeCell ref="HP27:HR27"/>
    <mergeCell ref="HW27:HY27"/>
    <mergeCell ref="HZ27:IB27"/>
    <mergeCell ref="JB24:JD24"/>
    <mergeCell ref="JE24:JG24"/>
    <mergeCell ref="JH24:JJ24"/>
    <mergeCell ref="JK24:JM24"/>
    <mergeCell ref="JN24:JP24"/>
    <mergeCell ref="JU23:JW23"/>
    <mergeCell ref="JU24:JW24"/>
    <mergeCell ref="IC27:IE27"/>
    <mergeCell ref="IF27:IH27"/>
    <mergeCell ref="II27:IK27"/>
    <mergeCell ref="IL27:IN27"/>
    <mergeCell ref="IO27:IQ27"/>
    <mergeCell ref="IV27:IX27"/>
    <mergeCell ref="IY27:JA27"/>
    <mergeCell ref="JB27:JD27"/>
    <mergeCell ref="JE27:JG27"/>
    <mergeCell ref="JH27:JJ27"/>
    <mergeCell ref="JK27:JM27"/>
    <mergeCell ref="JN27:JP27"/>
    <mergeCell ref="KZ5:LB5"/>
    <mergeCell ref="LC5:LE5"/>
    <mergeCell ref="LF5:LH5"/>
    <mergeCell ref="LI5:LK5"/>
    <mergeCell ref="LL5:LN5"/>
    <mergeCell ref="IV23:IX23"/>
    <mergeCell ref="IY23:JA23"/>
    <mergeCell ref="JB23:JD23"/>
    <mergeCell ref="JE23:JG23"/>
    <mergeCell ref="JH23:JJ23"/>
    <mergeCell ref="JK23:JM23"/>
    <mergeCell ref="JN23:JP23"/>
    <mergeCell ref="KT23:KV23"/>
    <mergeCell ref="KW23:KY23"/>
    <mergeCell ref="KZ23:LB23"/>
    <mergeCell ref="LC23:LE23"/>
    <mergeCell ref="LF23:LH23"/>
    <mergeCell ref="LI23:LK23"/>
    <mergeCell ref="LL23:LN23"/>
    <mergeCell ref="IV5:IX5"/>
    <mergeCell ref="IY5:JA5"/>
    <mergeCell ref="JB5:JD5"/>
    <mergeCell ref="JE5:JG5"/>
    <mergeCell ref="JH5:JJ5"/>
    <mergeCell ref="KT5:KV5"/>
    <mergeCell ref="KW5:KY5"/>
    <mergeCell ref="AZ26:BA26"/>
    <mergeCell ref="HM5:HO5"/>
    <mergeCell ref="EP5:ER5"/>
    <mergeCell ref="ES5:EU5"/>
    <mergeCell ref="EZ5:FB5"/>
    <mergeCell ref="FC5:FE5"/>
    <mergeCell ref="GX5:GZ5"/>
    <mergeCell ref="HA5:HC5"/>
    <mergeCell ref="HD5:HF5"/>
    <mergeCell ref="HG5:HI5"/>
    <mergeCell ref="HJ5:HL5"/>
    <mergeCell ref="HM23:HO23"/>
    <mergeCell ref="HM24:HO24"/>
    <mergeCell ref="GH23:GJ23"/>
    <mergeCell ref="GK23:GM23"/>
    <mergeCell ref="GN23:GP23"/>
    <mergeCell ref="GQ23:GS23"/>
    <mergeCell ref="FY23:GA23"/>
    <mergeCell ref="FL23:FN23"/>
    <mergeCell ref="FO23:FQ23"/>
    <mergeCell ref="IV24:IX24"/>
    <mergeCell ref="IY24:JA24"/>
    <mergeCell ref="FR23:FT23"/>
    <mergeCell ref="FL24:FN24"/>
    <mergeCell ref="FO24:FQ24"/>
    <mergeCell ref="FI26:FK26"/>
    <mergeCell ref="IC5:IE5"/>
    <mergeCell ref="IF5:IH5"/>
    <mergeCell ref="II5:IK5"/>
    <mergeCell ref="IL5:IN5"/>
    <mergeCell ref="IO5:IQ5"/>
    <mergeCell ref="HW24:HY24"/>
    <mergeCell ref="HZ24:IB24"/>
    <mergeCell ref="IC24:IE24"/>
    <mergeCell ref="IF24:IH24"/>
    <mergeCell ref="II24:IK24"/>
    <mergeCell ref="IL24:IN24"/>
    <mergeCell ref="IO24:IQ24"/>
    <mergeCell ref="HW23:HY23"/>
    <mergeCell ref="HZ23:IB23"/>
    <mergeCell ref="IC23:IE23"/>
    <mergeCell ref="IF23:IH23"/>
    <mergeCell ref="II23:IK23"/>
    <mergeCell ref="IL23:IN23"/>
    <mergeCell ref="IO23:IQ23"/>
    <mergeCell ref="HW5:HY5"/>
    <mergeCell ref="HP23:HR23"/>
    <mergeCell ref="HP24:HR24"/>
    <mergeCell ref="GX23:GZ23"/>
    <mergeCell ref="GX24:GZ24"/>
    <mergeCell ref="HA23:HC23"/>
    <mergeCell ref="HA24:HC24"/>
    <mergeCell ref="HD23:HF23"/>
    <mergeCell ref="HD24:HF24"/>
    <mergeCell ref="HG23:HI23"/>
    <mergeCell ref="HG24:HI24"/>
    <mergeCell ref="HJ23:HL23"/>
    <mergeCell ref="HJ24:HL24"/>
    <mergeCell ref="GB27:GD27"/>
    <mergeCell ref="GE27:GG27"/>
    <mergeCell ref="GN27:GP27"/>
    <mergeCell ref="GN26:GP26"/>
    <mergeCell ref="GQ26:GS26"/>
    <mergeCell ref="GK24:GM24"/>
    <mergeCell ref="GN24:GP24"/>
    <mergeCell ref="GQ24:GS24"/>
    <mergeCell ref="GH25:GJ25"/>
    <mergeCell ref="GK25:GM25"/>
    <mergeCell ref="GN25:GP25"/>
    <mergeCell ref="GQ27:GS27"/>
    <mergeCell ref="GQ25:GS25"/>
    <mergeCell ref="GH26:GJ26"/>
    <mergeCell ref="GK26:GM26"/>
    <mergeCell ref="GH27:GJ27"/>
    <mergeCell ref="GK27:GM27"/>
    <mergeCell ref="GH24:GJ24"/>
    <mergeCell ref="FC27:FE27"/>
    <mergeCell ref="FF27:FH27"/>
    <mergeCell ref="FI27:FK27"/>
    <mergeCell ref="FL27:FN27"/>
    <mergeCell ref="FO27:FQ27"/>
    <mergeCell ref="GB23:GD23"/>
    <mergeCell ref="GE23:GG23"/>
    <mergeCell ref="FF26:FH26"/>
    <mergeCell ref="FR26:FT26"/>
    <mergeCell ref="FY26:GA26"/>
    <mergeCell ref="GB26:GD26"/>
    <mergeCell ref="FL25:FN25"/>
    <mergeCell ref="FO25:FQ25"/>
    <mergeCell ref="FR25:FT25"/>
    <mergeCell ref="FY25:GA25"/>
    <mergeCell ref="GB25:GD25"/>
    <mergeCell ref="FR24:FT24"/>
    <mergeCell ref="FY24:GA24"/>
    <mergeCell ref="GE25:GG25"/>
    <mergeCell ref="GE26:GG26"/>
    <mergeCell ref="GB24:GD24"/>
    <mergeCell ref="GE24:GG24"/>
    <mergeCell ref="FR27:FT27"/>
    <mergeCell ref="FY27:GA27"/>
    <mergeCell ref="EM27:EO27"/>
    <mergeCell ref="EP27:ER27"/>
    <mergeCell ref="ES27:EU27"/>
    <mergeCell ref="EZ24:FB24"/>
    <mergeCell ref="EZ27:FB27"/>
    <mergeCell ref="EJ25:EL25"/>
    <mergeCell ref="EM25:EO25"/>
    <mergeCell ref="EP25:ER25"/>
    <mergeCell ref="ES25:EU25"/>
    <mergeCell ref="FL26:FN26"/>
    <mergeCell ref="FO26:FQ26"/>
    <mergeCell ref="EJ26:EL26"/>
    <mergeCell ref="EM26:EO26"/>
    <mergeCell ref="EP26:ER26"/>
    <mergeCell ref="ES26:EU26"/>
    <mergeCell ref="EM24:EO24"/>
    <mergeCell ref="FF24:FH24"/>
    <mergeCell ref="FI24:FK24"/>
    <mergeCell ref="EZ26:FB26"/>
    <mergeCell ref="FC26:FE26"/>
    <mergeCell ref="EM23:EO23"/>
    <mergeCell ref="EP23:ER23"/>
    <mergeCell ref="ES23:EU23"/>
    <mergeCell ref="EZ25:FB25"/>
    <mergeCell ref="FC25:FE25"/>
    <mergeCell ref="FF25:FH25"/>
    <mergeCell ref="FI25:FK25"/>
    <mergeCell ref="EZ23:FB23"/>
    <mergeCell ref="FC23:FE23"/>
    <mergeCell ref="FF23:FH23"/>
    <mergeCell ref="FI23:FK23"/>
    <mergeCell ref="EP24:ER24"/>
    <mergeCell ref="ES24:EU24"/>
    <mergeCell ref="FC24:FE24"/>
    <mergeCell ref="EJ23:EL23"/>
    <mergeCell ref="EA24:EC24"/>
    <mergeCell ref="ED24:EF24"/>
    <mergeCell ref="EG24:EI24"/>
    <mergeCell ref="EJ24:EL24"/>
    <mergeCell ref="DQ27:DS27"/>
    <mergeCell ref="DT27:DV27"/>
    <mergeCell ref="EA23:EC23"/>
    <mergeCell ref="ED23:EF23"/>
    <mergeCell ref="EG23:EI23"/>
    <mergeCell ref="EA25:EC25"/>
    <mergeCell ref="ED25:EF25"/>
    <mergeCell ref="EG25:EI25"/>
    <mergeCell ref="EA27:EC27"/>
    <mergeCell ref="ED27:EF27"/>
    <mergeCell ref="EG27:EI27"/>
    <mergeCell ref="DQ24:DS24"/>
    <mergeCell ref="DT24:DV24"/>
    <mergeCell ref="EA26:EC26"/>
    <mergeCell ref="ED26:EF26"/>
    <mergeCell ref="EG26:EI26"/>
    <mergeCell ref="EJ27:EL27"/>
    <mergeCell ref="DB27:DD27"/>
    <mergeCell ref="DE27:DG27"/>
    <mergeCell ref="DH27:DJ27"/>
    <mergeCell ref="DK27:DM27"/>
    <mergeCell ref="DN27:DP27"/>
    <mergeCell ref="DN25:DP25"/>
    <mergeCell ref="DQ25:DS25"/>
    <mergeCell ref="DT25:DV25"/>
    <mergeCell ref="DE26:DG26"/>
    <mergeCell ref="DH26:DJ26"/>
    <mergeCell ref="DK26:DM26"/>
    <mergeCell ref="DN26:DP26"/>
    <mergeCell ref="DQ26:DS26"/>
    <mergeCell ref="DT26:DV26"/>
    <mergeCell ref="DB25:DD25"/>
    <mergeCell ref="DB26:DD26"/>
    <mergeCell ref="DE25:DG25"/>
    <mergeCell ref="DH25:DJ25"/>
    <mergeCell ref="DK25:DM25"/>
    <mergeCell ref="DB23:DD23"/>
    <mergeCell ref="DE23:DG23"/>
    <mergeCell ref="DH23:DJ23"/>
    <mergeCell ref="DK23:DM23"/>
    <mergeCell ref="DN23:DP23"/>
    <mergeCell ref="DQ23:DS23"/>
    <mergeCell ref="DT23:DV23"/>
    <mergeCell ref="DB24:DD24"/>
    <mergeCell ref="DE24:DG24"/>
    <mergeCell ref="DH24:DJ24"/>
    <mergeCell ref="DK24:DM24"/>
    <mergeCell ref="DN24:DP24"/>
    <mergeCell ref="CU23:CW23"/>
    <mergeCell ref="CC23:CE23"/>
    <mergeCell ref="CF23:CH23"/>
    <mergeCell ref="CI23:CK23"/>
    <mergeCell ref="CL23:CN23"/>
    <mergeCell ref="CO23:CQ23"/>
    <mergeCell ref="CR23:CT23"/>
    <mergeCell ref="CU26:CW26"/>
    <mergeCell ref="CC27:CE27"/>
    <mergeCell ref="CF27:CH27"/>
    <mergeCell ref="CI27:CK27"/>
    <mergeCell ref="CL27:CN27"/>
    <mergeCell ref="CO27:CQ27"/>
    <mergeCell ref="CR27:CT27"/>
    <mergeCell ref="CU27:CW27"/>
    <mergeCell ref="CC26:CE26"/>
    <mergeCell ref="CF26:CH26"/>
    <mergeCell ref="CI26:CK26"/>
    <mergeCell ref="CL26:CN26"/>
    <mergeCell ref="CO26:CQ26"/>
    <mergeCell ref="CR26:CT26"/>
    <mergeCell ref="CU24:CW24"/>
    <mergeCell ref="CC25:CE25"/>
    <mergeCell ref="CF25:CH25"/>
    <mergeCell ref="CI25:CK25"/>
    <mergeCell ref="CL25:CN25"/>
    <mergeCell ref="CO25:CQ25"/>
    <mergeCell ref="CR25:CT25"/>
    <mergeCell ref="CU25:CW25"/>
    <mergeCell ref="CC24:CE24"/>
    <mergeCell ref="CF24:CH24"/>
    <mergeCell ref="CI24:CK24"/>
    <mergeCell ref="CL24:CN24"/>
    <mergeCell ref="CO24:CQ24"/>
    <mergeCell ref="CR24:CT24"/>
    <mergeCell ref="BG5:BI5"/>
    <mergeCell ref="BJ5:BL5"/>
    <mergeCell ref="BM5:BO5"/>
    <mergeCell ref="BP5:BR5"/>
    <mergeCell ref="BS5:BU5"/>
    <mergeCell ref="BV5:BX5"/>
    <mergeCell ref="EA5:EC5"/>
    <mergeCell ref="ED5:EF5"/>
    <mergeCell ref="EG5:EI5"/>
    <mergeCell ref="DH5:DJ5"/>
    <mergeCell ref="CC5:CE5"/>
    <mergeCell ref="CF5:CH5"/>
    <mergeCell ref="CI5:CK5"/>
    <mergeCell ref="CL5:CN5"/>
    <mergeCell ref="CO5:CQ5"/>
    <mergeCell ref="CR5:CT5"/>
    <mergeCell ref="CU5:CW5"/>
    <mergeCell ref="DB5:DD5"/>
    <mergeCell ref="DE5:DG5"/>
    <mergeCell ref="F5:H5"/>
    <mergeCell ref="I5:K5"/>
    <mergeCell ref="L5:N5"/>
    <mergeCell ref="O5:Q5"/>
    <mergeCell ref="R5:T5"/>
    <mergeCell ref="U5:W5"/>
    <mergeCell ref="X5:Z5"/>
    <mergeCell ref="AW5:AY5"/>
    <mergeCell ref="BD5:BF5"/>
    <mergeCell ref="F23:H23"/>
    <mergeCell ref="F24:H24"/>
    <mergeCell ref="F27:H27"/>
    <mergeCell ref="I23:K23"/>
    <mergeCell ref="L23:N23"/>
    <mergeCell ref="O23:Q23"/>
    <mergeCell ref="R23:T23"/>
    <mergeCell ref="U23:W23"/>
    <mergeCell ref="X23:Z23"/>
    <mergeCell ref="I24:K24"/>
    <mergeCell ref="L24:N24"/>
    <mergeCell ref="O24:Q24"/>
    <mergeCell ref="R24:T24"/>
    <mergeCell ref="U24:W24"/>
    <mergeCell ref="X24:Z24"/>
    <mergeCell ref="I27:K27"/>
    <mergeCell ref="L27:N27"/>
    <mergeCell ref="O27:Q27"/>
    <mergeCell ref="R27:T27"/>
    <mergeCell ref="U27:W27"/>
    <mergeCell ref="X27:Z27"/>
    <mergeCell ref="F25:H25"/>
    <mergeCell ref="I25:K25"/>
    <mergeCell ref="L25:N25"/>
    <mergeCell ref="AA23:AB23"/>
    <mergeCell ref="AA24:AB24"/>
    <mergeCell ref="AA27:AB27"/>
    <mergeCell ref="AE5:AG5"/>
    <mergeCell ref="AH5:AJ5"/>
    <mergeCell ref="AK5:AM5"/>
    <mergeCell ref="AN5:AP5"/>
    <mergeCell ref="AQ5:AS5"/>
    <mergeCell ref="AT5:AV5"/>
    <mergeCell ref="AE23:AG23"/>
    <mergeCell ref="AE24:AG24"/>
    <mergeCell ref="AE27:AG27"/>
    <mergeCell ref="AH23:AJ23"/>
    <mergeCell ref="AK23:AM23"/>
    <mergeCell ref="AN23:AP23"/>
    <mergeCell ref="AQ23:AS23"/>
    <mergeCell ref="AT23:AV23"/>
    <mergeCell ref="AE25:AG25"/>
    <mergeCell ref="AE26:AG26"/>
    <mergeCell ref="AH25:AJ25"/>
    <mergeCell ref="AK25:AM25"/>
    <mergeCell ref="AN25:AP25"/>
    <mergeCell ref="AQ25:AS25"/>
    <mergeCell ref="AT25:AV25"/>
    <mergeCell ref="AW23:AY23"/>
    <mergeCell ref="AZ23:BA23"/>
    <mergeCell ref="AZ24:BA24"/>
    <mergeCell ref="AZ27:BA27"/>
    <mergeCell ref="AH24:AJ24"/>
    <mergeCell ref="AK24:AM24"/>
    <mergeCell ref="AN24:AP24"/>
    <mergeCell ref="AQ24:AS24"/>
    <mergeCell ref="AT24:AV24"/>
    <mergeCell ref="AW24:AY24"/>
    <mergeCell ref="AH27:AJ27"/>
    <mergeCell ref="AK27:AM27"/>
    <mergeCell ref="AN27:AP27"/>
    <mergeCell ref="AQ27:AS27"/>
    <mergeCell ref="AT27:AV27"/>
    <mergeCell ref="AW27:AY27"/>
    <mergeCell ref="AW25:AY25"/>
    <mergeCell ref="AZ25:BA25"/>
    <mergeCell ref="AH26:AJ26"/>
    <mergeCell ref="AK26:AM26"/>
    <mergeCell ref="AN26:AP26"/>
    <mergeCell ref="AQ26:AS26"/>
    <mergeCell ref="AT26:AV26"/>
    <mergeCell ref="AW26:AY26"/>
    <mergeCell ref="BD27:BF27"/>
    <mergeCell ref="BG27:BI27"/>
    <mergeCell ref="BJ27:BL27"/>
    <mergeCell ref="BM27:BO27"/>
    <mergeCell ref="BP27:BR27"/>
    <mergeCell ref="BS27:BU27"/>
    <mergeCell ref="BV27:BX27"/>
    <mergeCell ref="BD23:BF23"/>
    <mergeCell ref="BG23:BI23"/>
    <mergeCell ref="BJ23:BL23"/>
    <mergeCell ref="BM23:BO23"/>
    <mergeCell ref="BP23:BR23"/>
    <mergeCell ref="BS23:BU23"/>
    <mergeCell ref="BV23:BX23"/>
    <mergeCell ref="BD24:BF24"/>
    <mergeCell ref="BG24:BI24"/>
    <mergeCell ref="BJ24:BL24"/>
    <mergeCell ref="BM24:BO24"/>
    <mergeCell ref="BP24:BR24"/>
    <mergeCell ref="BS24:BU24"/>
    <mergeCell ref="BV24:BX24"/>
    <mergeCell ref="BD25:BF25"/>
    <mergeCell ref="BD26:BF26"/>
    <mergeCell ref="BG25:BI25"/>
    <mergeCell ref="JU5:JW5"/>
    <mergeCell ref="JX5:JZ5"/>
    <mergeCell ref="KA5:KC5"/>
    <mergeCell ref="KD5:KF5"/>
    <mergeCell ref="KG5:KI5"/>
    <mergeCell ref="KJ5:KL5"/>
    <mergeCell ref="KM5:KO5"/>
    <mergeCell ref="DK5:DM5"/>
    <mergeCell ref="DN5:DP5"/>
    <mergeCell ref="DQ5:DS5"/>
    <mergeCell ref="DT5:DV5"/>
    <mergeCell ref="FF5:FH5"/>
    <mergeCell ref="FI5:FK5"/>
    <mergeCell ref="FL5:FN5"/>
    <mergeCell ref="EJ5:EL5"/>
    <mergeCell ref="EM5:EO5"/>
    <mergeCell ref="HZ5:IB5"/>
    <mergeCell ref="HP5:HR5"/>
    <mergeCell ref="JK5:JM5"/>
    <mergeCell ref="JN5:JP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C44"/>
  <sheetViews>
    <sheetView zoomScale="74" zoomScaleNormal="74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45" sqref="I45"/>
    </sheetView>
  </sheetViews>
  <sheetFormatPr defaultRowHeight="14.5" x14ac:dyDescent="0.35"/>
  <cols>
    <col min="2" max="2" width="10.1796875" bestFit="1" customWidth="1"/>
    <col min="3" max="3" width="13.6328125" bestFit="1" customWidth="1"/>
    <col min="4" max="4" width="5.1796875" bestFit="1" customWidth="1"/>
    <col min="5" max="5" width="5" bestFit="1" customWidth="1"/>
    <col min="6" max="6" width="11.36328125" customWidth="1"/>
    <col min="7" max="9" width="10.08984375" customWidth="1"/>
    <col min="10" max="11" width="9.453125" customWidth="1"/>
    <col min="12" max="18" width="9.453125" bestFit="1" customWidth="1"/>
    <col min="19" max="22" width="10.7265625" customWidth="1"/>
    <col min="23" max="23" width="11.453125" customWidth="1"/>
    <col min="24" max="24" width="9.90625" customWidth="1"/>
    <col min="25" max="25" width="8.7265625" hidden="1" customWidth="1"/>
    <col min="26" max="26" width="10.1796875" hidden="1" customWidth="1"/>
    <col min="27" max="27" width="8.7265625" hidden="1" customWidth="1"/>
    <col min="28" max="28" width="10.1796875" hidden="1" customWidth="1"/>
    <col min="29" max="29" width="12.7265625" hidden="1" customWidth="1"/>
  </cols>
  <sheetData>
    <row r="1" spans="2:29" x14ac:dyDescent="0.35">
      <c r="C1" s="76" t="s">
        <v>47</v>
      </c>
    </row>
    <row r="2" spans="2:29" x14ac:dyDescent="0.35">
      <c r="B2" s="76" t="s">
        <v>28</v>
      </c>
      <c r="C2" s="76" t="s">
        <v>28</v>
      </c>
      <c r="F2" s="117">
        <v>45656</v>
      </c>
      <c r="G2" s="117">
        <f>F2+7</f>
        <v>45663</v>
      </c>
      <c r="H2" s="117">
        <f t="shared" ref="H2:R2" si="0">G2+7</f>
        <v>45670</v>
      </c>
      <c r="I2" s="117">
        <f t="shared" si="0"/>
        <v>45677</v>
      </c>
      <c r="J2" s="117">
        <f t="shared" si="0"/>
        <v>45684</v>
      </c>
      <c r="K2" s="117">
        <f t="shared" si="0"/>
        <v>45691</v>
      </c>
      <c r="L2" s="117">
        <f t="shared" si="0"/>
        <v>45698</v>
      </c>
      <c r="M2" s="117">
        <f t="shared" si="0"/>
        <v>45705</v>
      </c>
      <c r="N2" s="117">
        <f t="shared" si="0"/>
        <v>45712</v>
      </c>
      <c r="O2" s="117">
        <f t="shared" si="0"/>
        <v>45719</v>
      </c>
      <c r="P2" s="117">
        <f t="shared" si="0"/>
        <v>45726</v>
      </c>
      <c r="Q2" s="117">
        <f t="shared" si="0"/>
        <v>45733</v>
      </c>
      <c r="R2" s="117">
        <f t="shared" si="0"/>
        <v>45740</v>
      </c>
      <c r="AC2" s="213">
        <v>699426</v>
      </c>
    </row>
    <row r="3" spans="2:29" x14ac:dyDescent="0.35">
      <c r="B3" s="71" t="s">
        <v>27</v>
      </c>
      <c r="C3" s="72" t="s">
        <v>16</v>
      </c>
      <c r="D3" s="72" t="s">
        <v>33</v>
      </c>
      <c r="E3" s="72" t="s">
        <v>32</v>
      </c>
      <c r="F3" s="71" t="s">
        <v>91</v>
      </c>
      <c r="G3" s="71" t="s">
        <v>92</v>
      </c>
      <c r="H3" s="71" t="s">
        <v>93</v>
      </c>
      <c r="I3" s="71" t="s">
        <v>94</v>
      </c>
      <c r="J3" s="71" t="s">
        <v>95</v>
      </c>
      <c r="K3" s="71" t="s">
        <v>96</v>
      </c>
      <c r="L3" s="71" t="s">
        <v>97</v>
      </c>
      <c r="M3" s="71" t="s">
        <v>98</v>
      </c>
      <c r="N3" s="71" t="s">
        <v>99</v>
      </c>
      <c r="O3" s="71" t="s">
        <v>100</v>
      </c>
      <c r="P3" s="71" t="s">
        <v>101</v>
      </c>
      <c r="Q3" s="71" t="s">
        <v>102</v>
      </c>
      <c r="R3" s="71" t="s">
        <v>103</v>
      </c>
      <c r="S3" s="71" t="s">
        <v>87</v>
      </c>
      <c r="T3" s="71" t="s">
        <v>88</v>
      </c>
      <c r="U3" s="71" t="s">
        <v>89</v>
      </c>
      <c r="V3" s="72" t="s">
        <v>26</v>
      </c>
      <c r="W3" s="72" t="s">
        <v>66</v>
      </c>
      <c r="X3" s="72" t="s">
        <v>33</v>
      </c>
      <c r="Y3" s="158" t="s">
        <v>80</v>
      </c>
      <c r="Z3" s="158" t="s">
        <v>83</v>
      </c>
      <c r="AA3" s="158" t="s">
        <v>84</v>
      </c>
      <c r="AB3" s="158" t="s">
        <v>85</v>
      </c>
      <c r="AC3" s="158" t="s">
        <v>86</v>
      </c>
    </row>
    <row r="4" spans="2:29" x14ac:dyDescent="0.35">
      <c r="B4" s="77">
        <v>30</v>
      </c>
      <c r="C4" s="88" t="s">
        <v>29</v>
      </c>
      <c r="D4" s="89">
        <v>17.38</v>
      </c>
      <c r="E4" s="89">
        <v>12.12</v>
      </c>
      <c r="F4" s="215">
        <f>VLOOKUP(C4,'PLAN - RESULTS'!B:LS,26,0)</f>
        <v>0</v>
      </c>
      <c r="G4" s="70">
        <f>VLOOKUP(C4,'PLAN - RESULTS'!B:LS,51,0)</f>
        <v>0</v>
      </c>
      <c r="H4" s="70">
        <f>VLOOKUP(C4,'PLAN - RESULTS'!B:LS,76,0)</f>
        <v>0</v>
      </c>
      <c r="I4" s="70">
        <f>VLOOKUP(C4,'PLAN - RESULTS'!B:LS,101,0)</f>
        <v>0</v>
      </c>
      <c r="J4" s="199">
        <f>VLOOKUP(C4,'PLAN - RESULTS'!B:LS,126,0)</f>
        <v>0</v>
      </c>
      <c r="K4" s="199">
        <f>VLOOKUP(C4,'PLAN - RESULTS'!B:LS,151,0)</f>
        <v>0</v>
      </c>
      <c r="L4" s="199">
        <f>VLOOKUP(C4,'PLAN - RESULTS'!B:LS,176,0)</f>
        <v>0</v>
      </c>
      <c r="M4" s="199">
        <f>VLOOKUP(C4,'PLAN - RESULTS'!B:LS,201,0)</f>
        <v>0</v>
      </c>
      <c r="N4" s="70">
        <f>VLOOKUP(C4,'PLAN - RESULTS'!B:LS,226,0)</f>
        <v>0</v>
      </c>
      <c r="O4" s="70">
        <f>VLOOKUP(C4,'PLAN - RESULTS'!B:LS,251,0)</f>
        <v>0</v>
      </c>
      <c r="P4" s="70">
        <f>VLOOKUP(C4,'PLAN - RESULTS'!B:LS,276,0)</f>
        <v>0</v>
      </c>
      <c r="Q4" s="70">
        <f>VLOOKUP(C4,'PLAN - RESULTS'!B:LS,301,0)</f>
        <v>0</v>
      </c>
      <c r="R4" s="70">
        <f>VLOOKUP(C4,'PLAN - RESULTS'!B:LS,326,0)</f>
        <v>0</v>
      </c>
      <c r="S4" s="80">
        <f>I4</f>
        <v>0</v>
      </c>
      <c r="T4" s="80">
        <f>SUM(J4:M4)</f>
        <v>0</v>
      </c>
      <c r="U4" s="80">
        <f>SUM(N4:R4)</f>
        <v>0</v>
      </c>
      <c r="V4" s="79">
        <f>SUM(S4:U4)</f>
        <v>0</v>
      </c>
      <c r="W4" s="140">
        <f>V4*E4</f>
        <v>0</v>
      </c>
      <c r="X4" s="140">
        <f>V4*D4</f>
        <v>0</v>
      </c>
      <c r="Y4" s="70">
        <v>34200</v>
      </c>
      <c r="Z4" s="70">
        <v>33228</v>
      </c>
      <c r="AA4" s="70">
        <f>Y4-Z4</f>
        <v>972</v>
      </c>
      <c r="AB4" s="70">
        <v>28980</v>
      </c>
      <c r="AC4" s="70">
        <f>V4+Z4-AB4</f>
        <v>4248</v>
      </c>
    </row>
    <row r="5" spans="2:29" x14ac:dyDescent="0.35">
      <c r="B5" s="77">
        <v>26</v>
      </c>
      <c r="C5" s="88" t="s">
        <v>23</v>
      </c>
      <c r="D5" s="89">
        <v>18.36</v>
      </c>
      <c r="E5" s="89">
        <v>12.93</v>
      </c>
      <c r="F5" s="215">
        <f>VLOOKUP(C5,'PLAN - RESULTS'!B:LS,26,0)</f>
        <v>0</v>
      </c>
      <c r="G5" s="70">
        <f>VLOOKUP(C5,'PLAN - RESULTS'!B:LS,51,0)</f>
        <v>21632</v>
      </c>
      <c r="H5" s="70">
        <f>VLOOKUP(C5,'PLAN - RESULTS'!B:LS,76,0)</f>
        <v>27040</v>
      </c>
      <c r="I5" s="70">
        <f>VLOOKUP(C5,'PLAN - RESULTS'!B:LS,101,0)</f>
        <v>32618</v>
      </c>
      <c r="J5" s="199">
        <f>VLOOKUP(C5,'PLAN - RESULTS'!B:LS,126,0)</f>
        <v>21632</v>
      </c>
      <c r="K5" s="199">
        <f>VLOOKUP(C5,'PLAN - RESULTS'!B:LS,151,0)</f>
        <v>21632</v>
      </c>
      <c r="L5" s="199">
        <f>VLOOKUP(C5,'PLAN - RESULTS'!B:LS,176,0)</f>
        <v>27040</v>
      </c>
      <c r="M5" s="199">
        <f>VLOOKUP(C5,'PLAN - RESULTS'!B:LS,201,0)</f>
        <v>27040</v>
      </c>
      <c r="N5" s="70">
        <f>VLOOKUP(C5,'PLAN - RESULTS'!B:LS,226,0)</f>
        <v>27040</v>
      </c>
      <c r="O5" s="70">
        <f>VLOOKUP(C5,'PLAN - RESULTS'!B:LS,251,0)</f>
        <v>5609.5</v>
      </c>
      <c r="P5" s="70">
        <f>VLOOKUP(C5,'PLAN - RESULTS'!B:LS,276,0)</f>
        <v>1954</v>
      </c>
      <c r="Q5" s="70">
        <f>VLOOKUP(C5,'PLAN - RESULTS'!B:LS,301,0)</f>
        <v>1716</v>
      </c>
      <c r="R5" s="70">
        <f>VLOOKUP(C5,'PLAN - RESULTS'!B:LS,326,0)</f>
        <v>27040</v>
      </c>
      <c r="S5" s="80">
        <f t="shared" ref="S5:S9" si="1">I5</f>
        <v>32618</v>
      </c>
      <c r="T5" s="80">
        <f t="shared" ref="T5:T9" si="2">SUM(J5:M5)</f>
        <v>97344</v>
      </c>
      <c r="U5" s="80">
        <f t="shared" ref="U5:U9" si="3">SUM(N5:R5)</f>
        <v>63359.5</v>
      </c>
      <c r="V5" s="79">
        <f t="shared" ref="V5:V9" si="4">SUM(S5:U5)</f>
        <v>193321.5</v>
      </c>
      <c r="W5" s="140">
        <f t="shared" ref="W5:W9" si="5">V5*E5</f>
        <v>2499646.9950000001</v>
      </c>
      <c r="X5" s="140">
        <f t="shared" ref="X5:X9" si="6">V5*D5</f>
        <v>3549382.7399999998</v>
      </c>
      <c r="Y5" s="70">
        <v>412602</v>
      </c>
      <c r="Z5" s="70">
        <f>235823-39851</f>
        <v>195972</v>
      </c>
      <c r="AA5" s="70">
        <f t="shared" ref="AA5:AA9" si="7">Y5-Z5</f>
        <v>216630</v>
      </c>
      <c r="AB5" s="70">
        <v>370940</v>
      </c>
      <c r="AC5" s="70">
        <f t="shared" ref="AC5:AC9" si="8">V5+Z5-AB5</f>
        <v>18353.5</v>
      </c>
    </row>
    <row r="6" spans="2:29" x14ac:dyDescent="0.35">
      <c r="B6" s="77">
        <v>26</v>
      </c>
      <c r="C6" s="88" t="s">
        <v>90</v>
      </c>
      <c r="D6" s="89">
        <v>18.07</v>
      </c>
      <c r="E6" s="89">
        <v>11.51</v>
      </c>
      <c r="F6" s="215">
        <f>VLOOKUP(C6,'PLAN - RESULTS'!B:LS,26,0)</f>
        <v>0</v>
      </c>
      <c r="G6" s="70">
        <f>VLOOKUP(C6,'PLAN - RESULTS'!B:LS,51,0)</f>
        <v>0</v>
      </c>
      <c r="H6" s="70">
        <f>VLOOKUP(C6,'PLAN - RESULTS'!B:LS,76,0)</f>
        <v>0</v>
      </c>
      <c r="I6" s="70">
        <f>VLOOKUP(C6,'PLAN - RESULTS'!B:LS,101,0)</f>
        <v>0</v>
      </c>
      <c r="J6" s="199">
        <f>VLOOKUP(C6,'PLAN - RESULTS'!B:LS,126,0)</f>
        <v>0</v>
      </c>
      <c r="K6" s="199">
        <f>VLOOKUP(C6,'PLAN - RESULTS'!B:LS,151,0)</f>
        <v>0</v>
      </c>
      <c r="L6" s="199">
        <f>VLOOKUP(C6,'PLAN - RESULTS'!B:LS,176,0)</f>
        <v>0</v>
      </c>
      <c r="M6" s="199">
        <f>VLOOKUP(C6,'PLAN - RESULTS'!B:LS,201,0)</f>
        <v>0</v>
      </c>
      <c r="N6" s="70">
        <f>VLOOKUP(C6,'PLAN - RESULTS'!B:LS,226,0)</f>
        <v>0</v>
      </c>
      <c r="O6" s="70">
        <f>VLOOKUP(C6,'PLAN - RESULTS'!B:LS,251,0)</f>
        <v>21417.5</v>
      </c>
      <c r="P6" s="70">
        <f>VLOOKUP(C6,'PLAN - RESULTS'!B:LS,276,0)</f>
        <v>24762.5</v>
      </c>
      <c r="Q6" s="70">
        <f>VLOOKUP(C6,'PLAN - RESULTS'!B:LS,301,0)</f>
        <v>0</v>
      </c>
      <c r="R6" s="70">
        <f>VLOOKUP(C6,'PLAN - RESULTS'!B:LS,326,0)</f>
        <v>0</v>
      </c>
      <c r="S6" s="80">
        <f t="shared" si="1"/>
        <v>0</v>
      </c>
      <c r="T6" s="80">
        <f t="shared" si="2"/>
        <v>0</v>
      </c>
      <c r="U6" s="80">
        <f t="shared" si="3"/>
        <v>46180</v>
      </c>
      <c r="V6" s="79">
        <f t="shared" si="4"/>
        <v>46180</v>
      </c>
      <c r="W6" s="140">
        <f t="shared" si="5"/>
        <v>531531.80000000005</v>
      </c>
      <c r="X6" s="140">
        <f t="shared" si="6"/>
        <v>834472.6</v>
      </c>
      <c r="Y6" s="70">
        <v>46180</v>
      </c>
      <c r="Z6" s="70"/>
      <c r="AA6" s="70">
        <f t="shared" si="7"/>
        <v>46180</v>
      </c>
      <c r="AB6" s="70">
        <v>19980</v>
      </c>
      <c r="AC6" s="70">
        <f t="shared" si="8"/>
        <v>26200</v>
      </c>
    </row>
    <row r="7" spans="2:29" x14ac:dyDescent="0.35">
      <c r="B7" s="77">
        <v>26</v>
      </c>
      <c r="C7" s="88" t="s">
        <v>81</v>
      </c>
      <c r="D7" s="89">
        <v>16.149999999999999</v>
      </c>
      <c r="E7" s="89">
        <v>10.0632</v>
      </c>
      <c r="F7" s="215">
        <f>VLOOKUP(C7,'PLAN - RESULTS'!B:LS,26,0)</f>
        <v>0</v>
      </c>
      <c r="G7" s="70">
        <f>VLOOKUP(C7,'PLAN - RESULTS'!B:LS,51,0)</f>
        <v>0</v>
      </c>
      <c r="H7" s="70">
        <f>VLOOKUP(C7,'PLAN - RESULTS'!B:LS,76,0)</f>
        <v>0</v>
      </c>
      <c r="I7" s="70">
        <f>VLOOKUP(C7,'PLAN - RESULTS'!B:LS,101,0)</f>
        <v>0</v>
      </c>
      <c r="J7" s="199">
        <f>VLOOKUP(C7,'PLAN - RESULTS'!B:LS,126,0)</f>
        <v>0</v>
      </c>
      <c r="K7" s="199">
        <f>VLOOKUP(C7,'PLAN - RESULTS'!B:LS,151,0)</f>
        <v>0</v>
      </c>
      <c r="L7" s="199">
        <f>VLOOKUP(C7,'PLAN - RESULTS'!B:LS,176,0)</f>
        <v>0</v>
      </c>
      <c r="M7" s="199">
        <f>VLOOKUP(C7,'PLAN - RESULTS'!B:LS,201,0)</f>
        <v>0</v>
      </c>
      <c r="N7" s="70">
        <f>VLOOKUP(C7,'PLAN - RESULTS'!B:LS,226,0)</f>
        <v>0</v>
      </c>
      <c r="O7" s="70">
        <f>VLOOKUP(C7,'PLAN - RESULTS'!B:LS,251,0)</f>
        <v>0</v>
      </c>
      <c r="P7" s="70">
        <f>VLOOKUP(C7,'PLAN - RESULTS'!B:LS,276,0)</f>
        <v>203.5</v>
      </c>
      <c r="Q7" s="70">
        <f>VLOOKUP(C7,'PLAN - RESULTS'!B:LS,301,0)</f>
        <v>8196.5</v>
      </c>
      <c r="R7" s="70">
        <f>VLOOKUP(C7,'PLAN - RESULTS'!B:LS,326,0)</f>
        <v>0</v>
      </c>
      <c r="S7" s="80">
        <f t="shared" si="1"/>
        <v>0</v>
      </c>
      <c r="T7" s="80">
        <f t="shared" si="2"/>
        <v>0</v>
      </c>
      <c r="U7" s="80">
        <f t="shared" si="3"/>
        <v>8400</v>
      </c>
      <c r="V7" s="79">
        <f t="shared" si="4"/>
        <v>8400</v>
      </c>
      <c r="W7" s="140">
        <f t="shared" si="5"/>
        <v>84530.880000000005</v>
      </c>
      <c r="X7" s="140">
        <f t="shared" si="6"/>
        <v>135660</v>
      </c>
      <c r="Y7" s="70">
        <v>8400</v>
      </c>
      <c r="Z7" s="70"/>
      <c r="AA7" s="70">
        <f t="shared" si="7"/>
        <v>8400</v>
      </c>
      <c r="AB7" s="70"/>
      <c r="AC7" s="70">
        <f t="shared" si="8"/>
        <v>8400</v>
      </c>
    </row>
    <row r="8" spans="2:29" x14ac:dyDescent="0.35">
      <c r="B8" s="77">
        <v>26</v>
      </c>
      <c r="C8" s="88" t="s">
        <v>82</v>
      </c>
      <c r="D8" s="89">
        <v>16.55</v>
      </c>
      <c r="E8" s="89">
        <v>10.433199999999999</v>
      </c>
      <c r="F8" s="215">
        <f>VLOOKUP(C8,'PLAN - RESULTS'!B:LS,26,0)</f>
        <v>0</v>
      </c>
      <c r="G8" s="70">
        <f>VLOOKUP(C8,'PLAN - RESULTS'!B:LS,51,0)</f>
        <v>0</v>
      </c>
      <c r="H8" s="70">
        <f>VLOOKUP(C8,'PLAN - RESULTS'!B:LS,76,0)</f>
        <v>0</v>
      </c>
      <c r="I8" s="70">
        <f>VLOOKUP(C8,'PLAN - RESULTS'!B:LS,101,0)</f>
        <v>0</v>
      </c>
      <c r="J8" s="199">
        <f>VLOOKUP(C8,'PLAN - RESULTS'!B:LS,126,0)</f>
        <v>0</v>
      </c>
      <c r="K8" s="199">
        <f>VLOOKUP(C8,'PLAN - RESULTS'!B:LS,151,0)</f>
        <v>0</v>
      </c>
      <c r="L8" s="199">
        <f>VLOOKUP(C8,'PLAN - RESULTS'!B:LS,176,0)</f>
        <v>0</v>
      </c>
      <c r="M8" s="199">
        <f>VLOOKUP(C8,'PLAN - RESULTS'!B:LS,201,0)</f>
        <v>0</v>
      </c>
      <c r="N8" s="70">
        <f>VLOOKUP(C8,'PLAN - RESULTS'!B:LS,226,0)</f>
        <v>0</v>
      </c>
      <c r="O8" s="70">
        <f>VLOOKUP(C8,'PLAN - RESULTS'!B:LS,251,0)</f>
        <v>0</v>
      </c>
      <c r="P8" s="70">
        <f>VLOOKUP(C8,'PLAN - RESULTS'!B:LS,276,0)</f>
        <v>0</v>
      </c>
      <c r="Q8" s="70">
        <f>VLOOKUP(C8,'PLAN - RESULTS'!B:LS,301,0)</f>
        <v>3600</v>
      </c>
      <c r="R8" s="70">
        <f>VLOOKUP(C8,'PLAN - RESULTS'!B:LS,326,0)</f>
        <v>0</v>
      </c>
      <c r="S8" s="80">
        <f t="shared" si="1"/>
        <v>0</v>
      </c>
      <c r="T8" s="80">
        <f t="shared" si="2"/>
        <v>0</v>
      </c>
      <c r="U8" s="80">
        <f t="shared" si="3"/>
        <v>3600</v>
      </c>
      <c r="V8" s="79">
        <f t="shared" si="4"/>
        <v>3600</v>
      </c>
      <c r="W8" s="140">
        <f t="shared" si="5"/>
        <v>37559.519999999997</v>
      </c>
      <c r="X8" s="140">
        <f>V8*D8</f>
        <v>59580</v>
      </c>
      <c r="Y8" s="70">
        <v>3600</v>
      </c>
      <c r="Z8" s="70"/>
      <c r="AA8" s="70">
        <f t="shared" si="7"/>
        <v>3600</v>
      </c>
      <c r="AB8" s="70"/>
      <c r="AC8" s="70">
        <f t="shared" si="8"/>
        <v>3600</v>
      </c>
    </row>
    <row r="9" spans="2:29" x14ac:dyDescent="0.35">
      <c r="B9" s="77">
        <v>26</v>
      </c>
      <c r="C9" s="88" t="s">
        <v>104</v>
      </c>
      <c r="D9" s="89">
        <v>12.9</v>
      </c>
      <c r="E9" s="89">
        <v>6.4147999999999996</v>
      </c>
      <c r="F9" s="215">
        <f>VLOOKUP(C9,'PLAN - RESULTS'!B:LS,26,0)</f>
        <v>0</v>
      </c>
      <c r="G9" s="70">
        <f>VLOOKUP(C9,'PLAN - RESULTS'!B:LS,51,0)</f>
        <v>0</v>
      </c>
      <c r="H9" s="70">
        <f>VLOOKUP(C9,'PLAN - RESULTS'!B:LS,76,0)</f>
        <v>0</v>
      </c>
      <c r="I9" s="70">
        <f>VLOOKUP(C9,'PLAN - RESULTS'!B:LS,101,0)</f>
        <v>0</v>
      </c>
      <c r="J9" s="199">
        <f>VLOOKUP(C9,'PLAN - RESULTS'!B:LS,126,0)</f>
        <v>0</v>
      </c>
      <c r="K9" s="199">
        <f>VLOOKUP(C9,'PLAN - RESULTS'!B:LS,151,0)</f>
        <v>0</v>
      </c>
      <c r="L9" s="199">
        <f>VLOOKUP(C9,'PLAN - RESULTS'!B:LS,176,0)</f>
        <v>0</v>
      </c>
      <c r="M9" s="199">
        <f>VLOOKUP(C9,'PLAN - RESULTS'!B:LS,201,0)</f>
        <v>0</v>
      </c>
      <c r="N9" s="70">
        <f>VLOOKUP(C9,'PLAN - RESULTS'!B:LS,226,0)</f>
        <v>0</v>
      </c>
      <c r="O9" s="70">
        <f>VLOOKUP(C9,'PLAN - RESULTS'!B:LS,251,0)</f>
        <v>0</v>
      </c>
      <c r="P9" s="70">
        <f>VLOOKUP(C9,'PLAN - RESULTS'!B:LS,276,0)</f>
        <v>0</v>
      </c>
      <c r="Q9" s="70">
        <f>VLOOKUP(C9,'PLAN - RESULTS'!B:LS,301,0)</f>
        <v>8025.5</v>
      </c>
      <c r="R9" s="70">
        <f>VLOOKUP(C9,'PLAN - RESULTS'!B:LS,326,0)</f>
        <v>0</v>
      </c>
      <c r="S9" s="80">
        <f t="shared" si="1"/>
        <v>0</v>
      </c>
      <c r="T9" s="80">
        <f t="shared" si="2"/>
        <v>0</v>
      </c>
      <c r="U9" s="80">
        <f t="shared" si="3"/>
        <v>8025.5</v>
      </c>
      <c r="V9" s="79">
        <f t="shared" si="4"/>
        <v>8025.5</v>
      </c>
      <c r="W9" s="140">
        <f t="shared" si="5"/>
        <v>51481.977399999996</v>
      </c>
      <c r="X9" s="140">
        <f t="shared" si="6"/>
        <v>103528.95</v>
      </c>
      <c r="Y9" s="70">
        <v>8026</v>
      </c>
      <c r="Z9" s="70"/>
      <c r="AA9" s="70">
        <f t="shared" si="7"/>
        <v>8026</v>
      </c>
      <c r="AB9" s="70">
        <v>3960</v>
      </c>
      <c r="AC9" s="70">
        <f t="shared" si="8"/>
        <v>4065.5</v>
      </c>
    </row>
    <row r="10" spans="2:29" x14ac:dyDescent="0.35">
      <c r="B10" s="78"/>
      <c r="C10" s="72" t="s">
        <v>26</v>
      </c>
      <c r="D10" s="72"/>
      <c r="E10" s="72"/>
      <c r="F10" s="73">
        <f t="shared" ref="F10" si="9">SUM(F4:F9)</f>
        <v>0</v>
      </c>
      <c r="G10" s="73">
        <f>SUM(G4:G9)</f>
        <v>21632</v>
      </c>
      <c r="H10" s="73">
        <f t="shared" ref="H10:U10" si="10">SUM(H4:H9)</f>
        <v>27040</v>
      </c>
      <c r="I10" s="73">
        <f t="shared" si="10"/>
        <v>32618</v>
      </c>
      <c r="J10" s="73">
        <f t="shared" si="10"/>
        <v>21632</v>
      </c>
      <c r="K10" s="73">
        <f t="shared" si="10"/>
        <v>21632</v>
      </c>
      <c r="L10" s="73">
        <f t="shared" si="10"/>
        <v>27040</v>
      </c>
      <c r="M10" s="73">
        <f t="shared" si="10"/>
        <v>27040</v>
      </c>
      <c r="N10" s="73">
        <f t="shared" si="10"/>
        <v>27040</v>
      </c>
      <c r="O10" s="73">
        <f t="shared" si="10"/>
        <v>27027</v>
      </c>
      <c r="P10" s="73">
        <f t="shared" si="10"/>
        <v>26920</v>
      </c>
      <c r="Q10" s="73">
        <f t="shared" si="10"/>
        <v>21538</v>
      </c>
      <c r="R10" s="73">
        <f t="shared" si="10"/>
        <v>27040</v>
      </c>
      <c r="S10" s="73">
        <f t="shared" si="10"/>
        <v>32618</v>
      </c>
      <c r="T10" s="73">
        <f t="shared" si="10"/>
        <v>97344</v>
      </c>
      <c r="U10" s="73">
        <f t="shared" si="10"/>
        <v>129565</v>
      </c>
      <c r="V10" s="73">
        <f t="shared" ref="V10:AB10" si="11">SUM(V4:V9)</f>
        <v>259527</v>
      </c>
      <c r="W10" s="141">
        <f t="shared" si="11"/>
        <v>3204751.1724</v>
      </c>
      <c r="X10" s="141">
        <f t="shared" si="11"/>
        <v>4682624.29</v>
      </c>
      <c r="Y10" s="73">
        <f>SUM(Y4:Y9)+4866</f>
        <v>517874</v>
      </c>
      <c r="Z10" s="73">
        <f t="shared" si="11"/>
        <v>229200</v>
      </c>
      <c r="AA10" s="73">
        <f t="shared" si="11"/>
        <v>283808</v>
      </c>
      <c r="AB10" s="73">
        <f t="shared" si="11"/>
        <v>423860</v>
      </c>
      <c r="AC10" s="73">
        <f t="shared" ref="AC10" si="12">SUM(AC4:AC9)</f>
        <v>64867</v>
      </c>
    </row>
    <row r="11" spans="2:29" x14ac:dyDescent="0.35">
      <c r="C11" s="146">
        <f>SUM(F11:R11)</f>
        <v>5576242.21</v>
      </c>
      <c r="D11" s="1"/>
      <c r="E11" s="1"/>
      <c r="F11" s="89">
        <f t="shared" ref="F11:R11" si="13">($D$4*F4)+($D$5*F5)+($D$6*F6)+($D$7*F7)+($D$8*F8)+($D$9*F9)</f>
        <v>0</v>
      </c>
      <c r="G11" s="89">
        <f t="shared" si="13"/>
        <v>397163.51999999996</v>
      </c>
      <c r="H11" s="89">
        <f t="shared" si="13"/>
        <v>496454.39999999997</v>
      </c>
      <c r="I11" s="89">
        <f t="shared" si="13"/>
        <v>598866.48</v>
      </c>
      <c r="J11" s="89">
        <f t="shared" si="13"/>
        <v>397163.51999999996</v>
      </c>
      <c r="K11" s="89">
        <f t="shared" si="13"/>
        <v>397163.51999999996</v>
      </c>
      <c r="L11" s="89">
        <f t="shared" si="13"/>
        <v>496454.39999999997</v>
      </c>
      <c r="M11" s="89">
        <f t="shared" si="13"/>
        <v>496454.39999999997</v>
      </c>
      <c r="N11" s="89">
        <f t="shared" si="13"/>
        <v>496454.39999999997</v>
      </c>
      <c r="O11" s="89">
        <f t="shared" si="13"/>
        <v>490004.64500000002</v>
      </c>
      <c r="P11" s="89">
        <f t="shared" si="13"/>
        <v>486620.34</v>
      </c>
      <c r="Q11" s="89">
        <f t="shared" si="13"/>
        <v>326988.185</v>
      </c>
      <c r="R11" s="89">
        <f t="shared" si="13"/>
        <v>496454.39999999997</v>
      </c>
      <c r="S11" s="89">
        <f>SUM(F11:I11)</f>
        <v>1492484.4</v>
      </c>
      <c r="T11" s="89">
        <f>SUM(J11:M11)</f>
        <v>1787235.8399999999</v>
      </c>
      <c r="U11" s="89">
        <f>SUM(N11:R11)</f>
        <v>2296521.9700000002</v>
      </c>
      <c r="V11" s="89"/>
      <c r="W11" s="89">
        <f>SUM(S11:U11)</f>
        <v>5576242.21</v>
      </c>
      <c r="X11" s="89"/>
      <c r="Z11" s="89">
        <f>($E$4*Z4)+($E$5*Z5)+($E$6*Z6)+($E$7*Z7)+($E$8*Z8)+($E$9*Z9)</f>
        <v>2936641.32</v>
      </c>
      <c r="AB11" s="89">
        <f>($E$4*AB4)+($E$5*AB5)+($E$6*AB6)+($E$7*AB7)+($E$8*AB8)+($E$9*AB9)</f>
        <v>5402864.2079999996</v>
      </c>
      <c r="AC11" s="182">
        <f>($E$4*AC4)+($E$5*AC5)+($E$6*AC6)+($E$7*AC7)+($E$8*AC8)+($E$9*AC9)</f>
        <v>738528.2844</v>
      </c>
    </row>
    <row r="12" spans="2:29" x14ac:dyDescent="0.35">
      <c r="C12" s="1"/>
      <c r="D12" s="1"/>
      <c r="E12" s="1"/>
      <c r="F12" s="85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1"/>
      <c r="S12" s="89"/>
      <c r="T12" s="89"/>
      <c r="U12" s="89"/>
      <c r="AB12" s="184">
        <f>($D$4*AB4)+($D$5*AB5)+($D$6*AB6)+($D$7*AB7)+($D$8*AB8)+($D$9*AB9)</f>
        <v>7726253.3999999994</v>
      </c>
      <c r="AC12" s="183">
        <f>AC11-AC2</f>
        <v>39102.284400000004</v>
      </c>
    </row>
    <row r="13" spans="2:29" x14ac:dyDescent="0.35">
      <c r="C13" s="1"/>
      <c r="D13" s="1"/>
      <c r="E13" s="1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1"/>
      <c r="S13" s="1"/>
      <c r="T13" s="1"/>
      <c r="U13" s="1"/>
    </row>
    <row r="14" spans="2:29" x14ac:dyDescent="0.35">
      <c r="C14" s="72" t="s">
        <v>49</v>
      </c>
      <c r="D14" s="83"/>
      <c r="E14" s="83"/>
      <c r="F14" s="80">
        <f>'PLAN - RESULTS'!AB4</f>
        <v>0</v>
      </c>
      <c r="G14" s="80">
        <f>'PLAN - RESULTS'!BA4</f>
        <v>18173</v>
      </c>
      <c r="H14" s="80">
        <f>'PLAN - RESULTS'!BZ4</f>
        <v>25034</v>
      </c>
      <c r="I14" s="80">
        <f>'PLAN - RESULTS'!CY4</f>
        <v>30751</v>
      </c>
      <c r="J14" s="113">
        <f>'PLAN - RESULTS'!DX4</f>
        <v>2789</v>
      </c>
      <c r="K14" s="113">
        <f>'PLAN - RESULTS'!EW4</f>
        <v>0</v>
      </c>
      <c r="L14" s="113">
        <f>'PLAN - RESULTS'!FV4</f>
        <v>0</v>
      </c>
      <c r="M14" s="113">
        <f>'PLAN - RESULTS'!GU4</f>
        <v>0</v>
      </c>
      <c r="N14" s="113">
        <f>'PLAN - RESULTS'!HT4</f>
        <v>0</v>
      </c>
      <c r="O14" s="113">
        <v>0</v>
      </c>
      <c r="P14" s="113">
        <v>0</v>
      </c>
      <c r="Q14" s="113">
        <v>0</v>
      </c>
      <c r="R14" s="113">
        <v>0</v>
      </c>
      <c r="S14" s="80">
        <f t="shared" ref="S14" si="14">SUM(F14:I14)</f>
        <v>73958</v>
      </c>
      <c r="T14" s="80">
        <f>SUM(J14:M14)</f>
        <v>2789</v>
      </c>
      <c r="U14" s="80">
        <f>SUM(N14:R14)</f>
        <v>0</v>
      </c>
      <c r="AC14" s="214">
        <f>+AC12/12.9</f>
        <v>3031.1848372093027</v>
      </c>
    </row>
    <row r="15" spans="2:29" x14ac:dyDescent="0.35">
      <c r="C15" s="72" t="s">
        <v>50</v>
      </c>
      <c r="D15" s="83"/>
      <c r="E15" s="83"/>
      <c r="F15" s="87">
        <f>IFERROR(F14/F10,0)</f>
        <v>0</v>
      </c>
      <c r="G15" s="87">
        <f t="shared" ref="G15:U15" si="15">IFERROR(G14/G10,0)</f>
        <v>0.84009800295857984</v>
      </c>
      <c r="H15" s="87">
        <f t="shared" si="15"/>
        <v>0.92581360946745561</v>
      </c>
      <c r="I15" s="87">
        <f t="shared" si="15"/>
        <v>0.94276166533815686</v>
      </c>
      <c r="J15" s="87">
        <f t="shared" si="15"/>
        <v>0.12892936390532544</v>
      </c>
      <c r="K15" s="87">
        <f t="shared" si="15"/>
        <v>0</v>
      </c>
      <c r="L15" s="87">
        <f t="shared" si="15"/>
        <v>0</v>
      </c>
      <c r="M15" s="87">
        <f t="shared" si="15"/>
        <v>0</v>
      </c>
      <c r="N15" s="87">
        <f t="shared" si="15"/>
        <v>0</v>
      </c>
      <c r="O15" s="87">
        <f t="shared" si="15"/>
        <v>0</v>
      </c>
      <c r="P15" s="87">
        <f t="shared" si="15"/>
        <v>0</v>
      </c>
      <c r="Q15" s="87">
        <f t="shared" si="15"/>
        <v>0</v>
      </c>
      <c r="R15" s="87">
        <f t="shared" si="15"/>
        <v>0</v>
      </c>
      <c r="S15" s="87">
        <f t="shared" si="15"/>
        <v>2.2673983689987125</v>
      </c>
      <c r="T15" s="87">
        <f t="shared" si="15"/>
        <v>2.8650969756738986E-2</v>
      </c>
      <c r="U15" s="87">
        <f t="shared" si="15"/>
        <v>0</v>
      </c>
      <c r="W15" s="181"/>
    </row>
    <row r="16" spans="2:29" x14ac:dyDescent="0.35">
      <c r="C16" s="72" t="s">
        <v>130</v>
      </c>
      <c r="F16" s="80"/>
      <c r="G16" s="80">
        <f>G10-G14</f>
        <v>3459</v>
      </c>
      <c r="H16" s="80">
        <f>G16</f>
        <v>3459</v>
      </c>
      <c r="I16" s="80"/>
      <c r="J16" s="113"/>
      <c r="K16" s="113"/>
      <c r="L16" s="113"/>
      <c r="M16" s="113"/>
      <c r="N16" s="113"/>
      <c r="O16" s="113"/>
      <c r="P16" s="113"/>
      <c r="Q16" s="113"/>
      <c r="R16" s="113"/>
      <c r="S16" s="80"/>
      <c r="T16" s="80"/>
      <c r="U16" s="80"/>
    </row>
    <row r="17" spans="2:21" x14ac:dyDescent="0.35">
      <c r="F17" s="82"/>
      <c r="I17" s="109"/>
      <c r="J17" s="115"/>
      <c r="K17" s="116"/>
      <c r="L17" s="116"/>
      <c r="M17" s="116"/>
      <c r="N17" s="116"/>
      <c r="O17" s="116"/>
      <c r="P17" s="116"/>
      <c r="Q17" s="116"/>
      <c r="R17" s="116"/>
    </row>
    <row r="18" spans="2:21" x14ac:dyDescent="0.35">
      <c r="E18" s="118"/>
    </row>
    <row r="19" spans="2:21" x14ac:dyDescent="0.35">
      <c r="E19" s="118"/>
      <c r="R19" s="114"/>
    </row>
    <row r="20" spans="2:21" x14ac:dyDescent="0.35">
      <c r="E20" s="118"/>
    </row>
    <row r="21" spans="2:21" x14ac:dyDescent="0.35">
      <c r="E21" s="118"/>
    </row>
    <row r="22" spans="2:21" x14ac:dyDescent="0.35">
      <c r="E22" s="118"/>
    </row>
    <row r="23" spans="2:21" hidden="1" x14ac:dyDescent="0.35">
      <c r="I23">
        <f>SUM(F23:H23)</f>
        <v>0</v>
      </c>
      <c r="J23">
        <f>+I23*6</f>
        <v>0</v>
      </c>
      <c r="K23">
        <f>+F23+G23</f>
        <v>0</v>
      </c>
      <c r="L23">
        <f>+K23+J23</f>
        <v>0</v>
      </c>
    </row>
    <row r="24" spans="2:21" hidden="1" x14ac:dyDescent="0.35"/>
    <row r="25" spans="2:21" hidden="1" x14ac:dyDescent="0.35">
      <c r="B25" s="76" t="s">
        <v>28</v>
      </c>
      <c r="C25" s="76" t="s">
        <v>52</v>
      </c>
    </row>
    <row r="26" spans="2:21" hidden="1" x14ac:dyDescent="0.35">
      <c r="B26" s="71" t="s">
        <v>27</v>
      </c>
      <c r="C26" s="72" t="s">
        <v>16</v>
      </c>
      <c r="D26" s="72"/>
      <c r="E26" s="72"/>
      <c r="F26" s="71"/>
      <c r="G26" s="71"/>
      <c r="H26" s="71"/>
      <c r="I26" s="71" t="s">
        <v>56</v>
      </c>
      <c r="J26" s="71" t="s">
        <v>57</v>
      </c>
      <c r="K26" s="71" t="s">
        <v>58</v>
      </c>
      <c r="L26" s="71" t="s">
        <v>59</v>
      </c>
      <c r="M26" s="71" t="s">
        <v>60</v>
      </c>
      <c r="N26" s="71" t="s">
        <v>61</v>
      </c>
      <c r="O26" s="71" t="s">
        <v>62</v>
      </c>
      <c r="P26" s="71" t="s">
        <v>63</v>
      </c>
      <c r="Q26" s="71" t="s">
        <v>64</v>
      </c>
      <c r="R26" s="71" t="s">
        <v>65</v>
      </c>
      <c r="S26" s="71" t="s">
        <v>53</v>
      </c>
      <c r="T26" s="71" t="s">
        <v>54</v>
      </c>
      <c r="U26" s="71" t="s">
        <v>55</v>
      </c>
    </row>
    <row r="27" spans="2:21" hidden="1" x14ac:dyDescent="0.35">
      <c r="B27" s="77"/>
      <c r="C27" s="88" t="s">
        <v>17</v>
      </c>
      <c r="D27" s="89"/>
      <c r="E27" s="89"/>
      <c r="F27" s="70"/>
      <c r="G27" s="70"/>
      <c r="H27" s="70"/>
      <c r="I27" s="70"/>
      <c r="J27" s="70">
        <v>3000</v>
      </c>
      <c r="K27" s="70"/>
      <c r="L27" s="70"/>
      <c r="M27" s="70"/>
      <c r="N27" s="70"/>
      <c r="O27" s="70"/>
      <c r="P27" s="70"/>
      <c r="Q27" s="70"/>
      <c r="R27" s="70"/>
      <c r="S27" s="80">
        <f t="shared" ref="S27:S32" si="16">SUM(F27:I27)</f>
        <v>0</v>
      </c>
      <c r="T27" s="80">
        <f t="shared" ref="T27:T32" si="17">SUM(J27:M27)</f>
        <v>3000</v>
      </c>
      <c r="U27" s="80">
        <f t="shared" ref="U27:U32" si="18">SUM(N27:R27)</f>
        <v>0</v>
      </c>
    </row>
    <row r="28" spans="2:21" hidden="1" x14ac:dyDescent="0.35">
      <c r="B28" s="77"/>
      <c r="C28" s="88" t="s">
        <v>29</v>
      </c>
      <c r="D28" s="89"/>
      <c r="E28" s="89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80">
        <f t="shared" si="16"/>
        <v>0</v>
      </c>
      <c r="T28" s="80">
        <f t="shared" si="17"/>
        <v>0</v>
      </c>
      <c r="U28" s="80">
        <f t="shared" si="18"/>
        <v>0</v>
      </c>
    </row>
    <row r="29" spans="2:21" hidden="1" x14ac:dyDescent="0.35">
      <c r="B29" s="77"/>
      <c r="C29" s="88" t="s">
        <v>18</v>
      </c>
      <c r="D29" s="89"/>
      <c r="E29" s="89"/>
      <c r="F29" s="70"/>
      <c r="G29" s="70"/>
      <c r="H29" s="70"/>
      <c r="I29" s="70">
        <f t="shared" ref="I29:R29" si="19">(13*26)*141</f>
        <v>47658</v>
      </c>
      <c r="J29" s="70">
        <f t="shared" si="19"/>
        <v>47658</v>
      </c>
      <c r="K29" s="70">
        <f t="shared" si="19"/>
        <v>47658</v>
      </c>
      <c r="L29" s="70">
        <f t="shared" si="19"/>
        <v>47658</v>
      </c>
      <c r="M29" s="70">
        <f t="shared" si="19"/>
        <v>47658</v>
      </c>
      <c r="N29" s="70">
        <f t="shared" si="19"/>
        <v>47658</v>
      </c>
      <c r="O29" s="70">
        <f t="shared" si="19"/>
        <v>47658</v>
      </c>
      <c r="P29" s="70">
        <f t="shared" si="19"/>
        <v>47658</v>
      </c>
      <c r="Q29" s="70">
        <f t="shared" si="19"/>
        <v>47658</v>
      </c>
      <c r="R29" s="70">
        <f t="shared" si="19"/>
        <v>47658</v>
      </c>
      <c r="S29" s="80">
        <f t="shared" si="16"/>
        <v>47658</v>
      </c>
      <c r="T29" s="80">
        <f t="shared" si="17"/>
        <v>190632</v>
      </c>
      <c r="U29" s="80">
        <f t="shared" si="18"/>
        <v>238290</v>
      </c>
    </row>
    <row r="30" spans="2:21" hidden="1" x14ac:dyDescent="0.35">
      <c r="B30" s="77"/>
      <c r="C30" s="88" t="s">
        <v>23</v>
      </c>
      <c r="D30" s="89"/>
      <c r="E30" s="89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80">
        <f t="shared" si="16"/>
        <v>0</v>
      </c>
      <c r="T30" s="80">
        <f t="shared" si="17"/>
        <v>0</v>
      </c>
      <c r="U30" s="80">
        <f t="shared" si="18"/>
        <v>0</v>
      </c>
    </row>
    <row r="31" spans="2:21" hidden="1" x14ac:dyDescent="0.35">
      <c r="B31" s="77"/>
      <c r="C31" s="88"/>
      <c r="D31" s="89"/>
      <c r="E31" s="89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80">
        <f t="shared" si="16"/>
        <v>0</v>
      </c>
      <c r="T31" s="80">
        <f t="shared" si="17"/>
        <v>0</v>
      </c>
      <c r="U31" s="80">
        <f t="shared" si="18"/>
        <v>0</v>
      </c>
    </row>
    <row r="32" spans="2:21" hidden="1" x14ac:dyDescent="0.35">
      <c r="B32" s="77"/>
      <c r="C32" s="88"/>
      <c r="D32" s="89"/>
      <c r="E32" s="89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80">
        <f t="shared" si="16"/>
        <v>0</v>
      </c>
      <c r="T32" s="80">
        <f t="shared" si="17"/>
        <v>0</v>
      </c>
      <c r="U32" s="80">
        <f t="shared" si="18"/>
        <v>0</v>
      </c>
    </row>
    <row r="33" spans="2:21" hidden="1" x14ac:dyDescent="0.35">
      <c r="B33" s="78"/>
      <c r="C33" s="72" t="s">
        <v>26</v>
      </c>
      <c r="D33" s="72"/>
      <c r="E33" s="72"/>
      <c r="F33" s="73"/>
      <c r="G33" s="73"/>
      <c r="H33" s="73"/>
      <c r="I33" s="73">
        <f>SUM(I28:I32)</f>
        <v>47658</v>
      </c>
      <c r="J33" s="73">
        <f t="shared" ref="J33:R33" si="20">SUM(J28:J32)</f>
        <v>47658</v>
      </c>
      <c r="K33" s="73">
        <f t="shared" si="20"/>
        <v>47658</v>
      </c>
      <c r="L33" s="73">
        <f t="shared" si="20"/>
        <v>47658</v>
      </c>
      <c r="M33" s="73">
        <f t="shared" si="20"/>
        <v>47658</v>
      </c>
      <c r="N33" s="73">
        <f t="shared" si="20"/>
        <v>47658</v>
      </c>
      <c r="O33" s="73">
        <f t="shared" si="20"/>
        <v>47658</v>
      </c>
      <c r="P33" s="73">
        <f t="shared" si="20"/>
        <v>47658</v>
      </c>
      <c r="Q33" s="73">
        <f t="shared" si="20"/>
        <v>47658</v>
      </c>
      <c r="R33" s="73">
        <f t="shared" si="20"/>
        <v>47658</v>
      </c>
      <c r="S33" s="73">
        <f t="shared" ref="S33:U33" si="21">SUM(S27:S32)</f>
        <v>47658</v>
      </c>
      <c r="T33" s="73">
        <f t="shared" si="21"/>
        <v>193632</v>
      </c>
      <c r="U33" s="73">
        <f t="shared" si="21"/>
        <v>238290</v>
      </c>
    </row>
    <row r="34" spans="2:21" hidden="1" x14ac:dyDescent="0.35">
      <c r="C34" s="90">
        <f>SUM(F34:R34)</f>
        <v>0</v>
      </c>
      <c r="D34" s="1"/>
      <c r="E34" s="1"/>
      <c r="F34" s="84"/>
      <c r="G34" s="84"/>
      <c r="H34" s="84"/>
      <c r="I34" s="84">
        <f t="shared" ref="I34:R34" si="22">($D$27*I27)+($D$28*I28)+($D$29*I29)+($D$30*I30)+($D$31*I31)+($D$32*I32)</f>
        <v>0</v>
      </c>
      <c r="J34" s="84">
        <f t="shared" si="22"/>
        <v>0</v>
      </c>
      <c r="K34" s="84">
        <f t="shared" si="22"/>
        <v>0</v>
      </c>
      <c r="L34" s="84">
        <f t="shared" si="22"/>
        <v>0</v>
      </c>
      <c r="M34" s="84">
        <f t="shared" si="22"/>
        <v>0</v>
      </c>
      <c r="N34" s="84">
        <f t="shared" si="22"/>
        <v>0</v>
      </c>
      <c r="O34" s="84">
        <f t="shared" si="22"/>
        <v>0</v>
      </c>
      <c r="P34" s="84">
        <f t="shared" si="22"/>
        <v>0</v>
      </c>
      <c r="Q34" s="84">
        <f t="shared" si="22"/>
        <v>0</v>
      </c>
      <c r="R34" s="84">
        <f t="shared" si="22"/>
        <v>0</v>
      </c>
      <c r="S34" s="1"/>
      <c r="T34" s="1"/>
      <c r="U34" s="1"/>
    </row>
    <row r="35" spans="2:21" hidden="1" x14ac:dyDescent="0.35">
      <c r="C35" s="1"/>
      <c r="D35" s="1"/>
      <c r="E35" s="1"/>
      <c r="F35" s="85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1"/>
      <c r="S35" s="89">
        <v>2947941</v>
      </c>
      <c r="T35" s="89">
        <v>3325839</v>
      </c>
      <c r="U35" s="89">
        <v>3166299</v>
      </c>
    </row>
    <row r="36" spans="2:21" hidden="1" x14ac:dyDescent="0.35">
      <c r="C36" s="1"/>
      <c r="D36" s="1"/>
      <c r="E36" s="1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1"/>
      <c r="S36" s="1"/>
      <c r="T36" s="1"/>
      <c r="U36" s="1"/>
    </row>
    <row r="37" spans="2:21" hidden="1" x14ac:dyDescent="0.35">
      <c r="C37" s="72" t="s">
        <v>49</v>
      </c>
      <c r="D37" s="83"/>
      <c r="E37" s="83"/>
      <c r="F37" s="80"/>
      <c r="G37" s="80"/>
      <c r="H37" s="80"/>
      <c r="I37" s="80">
        <f>'PLAN - RESULTS'!CY27</f>
        <v>0</v>
      </c>
      <c r="J37" s="113">
        <f>'PLAN - RESULTS'!DX27</f>
        <v>0</v>
      </c>
      <c r="K37" s="113">
        <f>'PLAN - RESULTS'!EW27</f>
        <v>0</v>
      </c>
      <c r="L37" s="113">
        <f>'PLAN - RESULTS'!FV27</f>
        <v>0</v>
      </c>
      <c r="M37" s="113">
        <f>'PLAN - RESULTS'!GU27</f>
        <v>0</v>
      </c>
      <c r="N37" s="113">
        <f>'PLAN - RESULTS'!HT27</f>
        <v>0</v>
      </c>
      <c r="O37" s="113">
        <v>0</v>
      </c>
      <c r="P37" s="113">
        <v>0</v>
      </c>
      <c r="Q37" s="113">
        <v>0</v>
      </c>
      <c r="R37" s="113">
        <v>0</v>
      </c>
      <c r="S37" s="80">
        <f t="shared" ref="S37" si="23">SUM(F37:I37)</f>
        <v>0</v>
      </c>
      <c r="T37" s="80">
        <f>SUM(J37:M37)</f>
        <v>0</v>
      </c>
      <c r="U37" s="80">
        <f>SUM(N37:R37)</f>
        <v>0</v>
      </c>
    </row>
    <row r="38" spans="2:21" hidden="1" x14ac:dyDescent="0.35">
      <c r="C38" s="72" t="s">
        <v>50</v>
      </c>
      <c r="D38" s="83"/>
      <c r="E38" s="83"/>
      <c r="F38" s="87"/>
      <c r="G38" s="87"/>
      <c r="H38" s="87"/>
      <c r="I38" s="87">
        <f t="shared" ref="I38:R38" si="24">I37/I33</f>
        <v>0</v>
      </c>
      <c r="J38" s="87">
        <f t="shared" si="24"/>
        <v>0</v>
      </c>
      <c r="K38" s="87">
        <f t="shared" si="24"/>
        <v>0</v>
      </c>
      <c r="L38" s="87">
        <f t="shared" si="24"/>
        <v>0</v>
      </c>
      <c r="M38" s="87">
        <f t="shared" si="24"/>
        <v>0</v>
      </c>
      <c r="N38" s="87">
        <f t="shared" si="24"/>
        <v>0</v>
      </c>
      <c r="O38" s="87">
        <f t="shared" si="24"/>
        <v>0</v>
      </c>
      <c r="P38" s="87">
        <f t="shared" si="24"/>
        <v>0</v>
      </c>
      <c r="Q38" s="87">
        <f t="shared" si="24"/>
        <v>0</v>
      </c>
      <c r="R38" s="87">
        <f t="shared" si="24"/>
        <v>0</v>
      </c>
      <c r="S38" s="87">
        <f>S37/S33</f>
        <v>0</v>
      </c>
      <c r="T38" s="87">
        <f t="shared" ref="T38:U38" si="25">T37/T33</f>
        <v>0</v>
      </c>
      <c r="U38" s="87">
        <f t="shared" si="25"/>
        <v>0</v>
      </c>
    </row>
    <row r="39" spans="2:21" hidden="1" x14ac:dyDescent="0.35"/>
    <row r="40" spans="2:21" hidden="1" x14ac:dyDescent="0.35"/>
    <row r="41" spans="2:21" hidden="1" x14ac:dyDescent="0.35"/>
    <row r="42" spans="2:21" hidden="1" x14ac:dyDescent="0.35"/>
    <row r="43" spans="2:21" hidden="1" x14ac:dyDescent="0.35"/>
    <row r="44" spans="2:21" hidden="1" x14ac:dyDescent="0.35"/>
  </sheetData>
  <phoneticPr fontId="1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E7B4-FD38-4250-AB7A-40603546C484}">
  <dimension ref="A1:I45"/>
  <sheetViews>
    <sheetView workbookViewId="0">
      <selection activeCell="C1" sqref="C1"/>
    </sheetView>
  </sheetViews>
  <sheetFormatPr defaultRowHeight="14.5" x14ac:dyDescent="0.35"/>
  <cols>
    <col min="1" max="1" width="6.08984375" bestFit="1" customWidth="1"/>
    <col min="2" max="2" width="6.453125" bestFit="1" customWidth="1"/>
    <col min="3" max="3" width="11.1796875" bestFit="1" customWidth="1"/>
    <col min="4" max="4" width="3.6328125" bestFit="1" customWidth="1"/>
    <col min="5" max="5" width="4.26953125" bestFit="1" customWidth="1"/>
  </cols>
  <sheetData>
    <row r="1" spans="1:9" x14ac:dyDescent="0.35">
      <c r="A1" s="216" t="s">
        <v>105</v>
      </c>
      <c r="B1" s="217" t="s">
        <v>106</v>
      </c>
      <c r="C1" s="216" t="s">
        <v>107</v>
      </c>
      <c r="D1" s="216" t="s">
        <v>108</v>
      </c>
      <c r="E1" s="216" t="s">
        <v>109</v>
      </c>
      <c r="F1" s="216" t="s">
        <v>126</v>
      </c>
      <c r="G1" s="216" t="s">
        <v>127</v>
      </c>
      <c r="H1" s="216" t="s">
        <v>128</v>
      </c>
      <c r="I1" s="216" t="s">
        <v>129</v>
      </c>
    </row>
    <row r="2" spans="1:9" x14ac:dyDescent="0.35">
      <c r="A2" s="218">
        <v>45663</v>
      </c>
      <c r="B2" s="219" t="s">
        <v>110</v>
      </c>
      <c r="C2" s="220" t="s">
        <v>23</v>
      </c>
      <c r="D2" s="233">
        <f ca="1">TODAY()-A2</f>
        <v>21</v>
      </c>
      <c r="E2" s="220">
        <v>4000</v>
      </c>
      <c r="F2" s="221">
        <v>3974</v>
      </c>
      <c r="G2" s="221">
        <v>21</v>
      </c>
      <c r="H2" s="221">
        <v>1</v>
      </c>
      <c r="I2" s="221">
        <f>E2-SUM(F2:H2)</f>
        <v>4</v>
      </c>
    </row>
    <row r="3" spans="1:9" x14ac:dyDescent="0.35">
      <c r="A3" s="218">
        <v>45663</v>
      </c>
      <c r="B3" s="219" t="s">
        <v>111</v>
      </c>
      <c r="C3" s="220" t="s">
        <v>23</v>
      </c>
      <c r="D3" s="233">
        <f t="shared" ref="D3:D45" ca="1" si="0">TODAY()-A3</f>
        <v>21</v>
      </c>
      <c r="E3" s="220">
        <v>4000</v>
      </c>
      <c r="F3" s="221">
        <v>3961</v>
      </c>
      <c r="G3" s="221">
        <v>29</v>
      </c>
      <c r="H3" s="221">
        <v>0</v>
      </c>
      <c r="I3" s="221">
        <f>E3-SUM(F3:H3)</f>
        <v>10</v>
      </c>
    </row>
    <row r="4" spans="1:9" x14ac:dyDescent="0.35">
      <c r="A4" s="218">
        <v>45663</v>
      </c>
      <c r="B4" s="219" t="s">
        <v>112</v>
      </c>
      <c r="C4" s="220" t="s">
        <v>23</v>
      </c>
      <c r="D4" s="233">
        <f t="shared" ca="1" si="0"/>
        <v>21</v>
      </c>
      <c r="E4" s="220">
        <v>4000</v>
      </c>
      <c r="F4" s="221">
        <v>3969</v>
      </c>
      <c r="G4" s="221">
        <v>13</v>
      </c>
      <c r="H4" s="221">
        <v>1</v>
      </c>
      <c r="I4" s="221">
        <f t="shared" ref="I4:I17" si="1">E4-SUM(F4:H4)</f>
        <v>17</v>
      </c>
    </row>
    <row r="5" spans="1:9" x14ac:dyDescent="0.35">
      <c r="A5" s="218">
        <v>45663</v>
      </c>
      <c r="B5" s="219" t="s">
        <v>113</v>
      </c>
      <c r="C5" s="220" t="s">
        <v>23</v>
      </c>
      <c r="D5" s="233">
        <f t="shared" ca="1" si="0"/>
        <v>21</v>
      </c>
      <c r="E5" s="220">
        <v>4000</v>
      </c>
      <c r="F5" s="221">
        <v>3953</v>
      </c>
      <c r="G5" s="221">
        <v>36</v>
      </c>
      <c r="H5" s="221">
        <v>1</v>
      </c>
      <c r="I5" s="221">
        <f t="shared" si="1"/>
        <v>10</v>
      </c>
    </row>
    <row r="6" spans="1:9" x14ac:dyDescent="0.35">
      <c r="A6" s="218">
        <v>45663</v>
      </c>
      <c r="B6" s="219" t="s">
        <v>114</v>
      </c>
      <c r="C6" s="220" t="s">
        <v>23</v>
      </c>
      <c r="D6" s="233">
        <f t="shared" ca="1" si="0"/>
        <v>21</v>
      </c>
      <c r="E6" s="220">
        <v>4000</v>
      </c>
      <c r="F6" s="221">
        <v>3960</v>
      </c>
      <c r="G6" s="221">
        <v>26</v>
      </c>
      <c r="H6" s="221">
        <v>1</v>
      </c>
      <c r="I6" s="221">
        <f t="shared" si="1"/>
        <v>13</v>
      </c>
    </row>
    <row r="7" spans="1:9" x14ac:dyDescent="0.35">
      <c r="A7" s="218">
        <v>45663</v>
      </c>
      <c r="B7" s="219" t="s">
        <v>115</v>
      </c>
      <c r="C7" s="220" t="s">
        <v>23</v>
      </c>
      <c r="D7" s="233">
        <f t="shared" ca="1" si="0"/>
        <v>21</v>
      </c>
      <c r="E7" s="220">
        <v>4000</v>
      </c>
      <c r="F7" s="221">
        <v>2483</v>
      </c>
      <c r="G7" s="221">
        <v>11</v>
      </c>
      <c r="H7" s="221">
        <v>0</v>
      </c>
      <c r="I7" s="221">
        <f t="shared" si="1"/>
        <v>1506</v>
      </c>
    </row>
    <row r="8" spans="1:9" x14ac:dyDescent="0.35">
      <c r="A8" s="218">
        <v>45663</v>
      </c>
      <c r="B8" s="219" t="s">
        <v>116</v>
      </c>
      <c r="C8" s="220" t="s">
        <v>23</v>
      </c>
      <c r="D8" s="233">
        <f t="shared" ca="1" si="0"/>
        <v>21</v>
      </c>
      <c r="E8" s="220">
        <v>4000</v>
      </c>
      <c r="F8" s="221">
        <v>2904</v>
      </c>
      <c r="G8" s="221">
        <v>14</v>
      </c>
      <c r="H8" s="221">
        <v>0</v>
      </c>
      <c r="I8" s="221">
        <f t="shared" si="1"/>
        <v>1082</v>
      </c>
    </row>
    <row r="9" spans="1:9" x14ac:dyDescent="0.35">
      <c r="A9" s="218">
        <v>45663</v>
      </c>
      <c r="B9" s="219" t="s">
        <v>117</v>
      </c>
      <c r="C9" s="220" t="s">
        <v>23</v>
      </c>
      <c r="D9" s="233">
        <f t="shared" ca="1" si="0"/>
        <v>21</v>
      </c>
      <c r="E9" s="220">
        <v>4000</v>
      </c>
      <c r="F9" s="221">
        <v>3395</v>
      </c>
      <c r="G9" s="221">
        <v>25</v>
      </c>
      <c r="H9" s="221">
        <v>0</v>
      </c>
      <c r="I9" s="221">
        <f t="shared" si="1"/>
        <v>580</v>
      </c>
    </row>
    <row r="10" spans="1:9" x14ac:dyDescent="0.35">
      <c r="A10" s="218">
        <v>45663</v>
      </c>
      <c r="B10" s="219" t="s">
        <v>118</v>
      </c>
      <c r="C10" s="220" t="s">
        <v>23</v>
      </c>
      <c r="D10" s="233">
        <f t="shared" ca="1" si="0"/>
        <v>21</v>
      </c>
      <c r="E10" s="220">
        <v>4000</v>
      </c>
      <c r="F10" s="221">
        <v>2008</v>
      </c>
      <c r="G10" s="221">
        <v>24</v>
      </c>
      <c r="H10" s="221">
        <v>3</v>
      </c>
      <c r="I10" s="221">
        <f t="shared" si="1"/>
        <v>1965</v>
      </c>
    </row>
    <row r="11" spans="1:9" x14ac:dyDescent="0.35">
      <c r="A11" s="218">
        <v>45663</v>
      </c>
      <c r="B11" s="219" t="s">
        <v>119</v>
      </c>
      <c r="C11" s="220" t="s">
        <v>23</v>
      </c>
      <c r="D11" s="233">
        <f t="shared" ca="1" si="0"/>
        <v>21</v>
      </c>
      <c r="E11" s="220">
        <v>4000</v>
      </c>
      <c r="F11" s="221">
        <v>170</v>
      </c>
      <c r="G11" s="221">
        <v>0</v>
      </c>
      <c r="H11" s="221">
        <v>1</v>
      </c>
      <c r="I11" s="221">
        <f t="shared" si="1"/>
        <v>3829</v>
      </c>
    </row>
    <row r="12" spans="1:9" x14ac:dyDescent="0.35">
      <c r="A12" s="218">
        <v>45664</v>
      </c>
      <c r="B12" s="219" t="s">
        <v>120</v>
      </c>
      <c r="C12" s="220" t="s">
        <v>23</v>
      </c>
      <c r="D12" s="233">
        <f t="shared" ca="1" si="0"/>
        <v>20</v>
      </c>
      <c r="E12" s="220">
        <v>4000</v>
      </c>
      <c r="F12" s="221">
        <v>1529</v>
      </c>
      <c r="G12" s="221">
        <v>7</v>
      </c>
      <c r="H12" s="221">
        <v>0</v>
      </c>
      <c r="I12" s="221">
        <f t="shared" si="1"/>
        <v>2464</v>
      </c>
    </row>
    <row r="13" spans="1:9" x14ac:dyDescent="0.35">
      <c r="A13" s="218">
        <v>45664</v>
      </c>
      <c r="B13" s="219" t="s">
        <v>121</v>
      </c>
      <c r="C13" s="220" t="s">
        <v>23</v>
      </c>
      <c r="D13" s="233">
        <f t="shared" ca="1" si="0"/>
        <v>20</v>
      </c>
      <c r="E13" s="220">
        <v>4000</v>
      </c>
      <c r="F13" s="221">
        <v>107</v>
      </c>
      <c r="G13" s="221">
        <v>3</v>
      </c>
      <c r="H13" s="221">
        <v>0</v>
      </c>
      <c r="I13" s="221">
        <f t="shared" si="1"/>
        <v>3890</v>
      </c>
    </row>
    <row r="14" spans="1:9" x14ac:dyDescent="0.35">
      <c r="A14" s="218">
        <v>45664</v>
      </c>
      <c r="B14" s="219" t="s">
        <v>122</v>
      </c>
      <c r="C14" s="220" t="s">
        <v>23</v>
      </c>
      <c r="D14" s="233">
        <f t="shared" ca="1" si="0"/>
        <v>20</v>
      </c>
      <c r="E14" s="220">
        <v>4000</v>
      </c>
      <c r="F14" s="221">
        <v>105</v>
      </c>
      <c r="G14" s="221">
        <v>0</v>
      </c>
      <c r="H14" s="221">
        <v>0</v>
      </c>
      <c r="I14" s="221">
        <f t="shared" si="1"/>
        <v>3895</v>
      </c>
    </row>
    <row r="15" spans="1:9" x14ac:dyDescent="0.35">
      <c r="A15" s="218">
        <v>45664</v>
      </c>
      <c r="B15" s="219" t="s">
        <v>123</v>
      </c>
      <c r="C15" s="220" t="s">
        <v>23</v>
      </c>
      <c r="D15" s="233">
        <f t="shared" ca="1" si="0"/>
        <v>20</v>
      </c>
      <c r="E15" s="220">
        <v>4000</v>
      </c>
      <c r="F15" s="221">
        <v>115</v>
      </c>
      <c r="G15" s="221">
        <v>5</v>
      </c>
      <c r="H15" s="221">
        <v>0</v>
      </c>
      <c r="I15" s="221">
        <f t="shared" si="1"/>
        <v>3880</v>
      </c>
    </row>
    <row r="16" spans="1:9" x14ac:dyDescent="0.35">
      <c r="A16" s="218">
        <v>45664</v>
      </c>
      <c r="B16" s="219" t="s">
        <v>124</v>
      </c>
      <c r="C16" s="220" t="s">
        <v>23</v>
      </c>
      <c r="D16" s="233">
        <f t="shared" ca="1" si="0"/>
        <v>20</v>
      </c>
      <c r="E16" s="220">
        <v>4000</v>
      </c>
      <c r="F16" s="221">
        <v>110</v>
      </c>
      <c r="G16" s="221">
        <v>0</v>
      </c>
      <c r="H16" s="221">
        <v>0</v>
      </c>
      <c r="I16" s="221">
        <f t="shared" si="1"/>
        <v>3890</v>
      </c>
    </row>
    <row r="17" spans="1:9" x14ac:dyDescent="0.35">
      <c r="A17" s="218">
        <v>45664</v>
      </c>
      <c r="B17" s="219" t="s">
        <v>125</v>
      </c>
      <c r="C17" s="220" t="s">
        <v>23</v>
      </c>
      <c r="D17" s="233">
        <f t="shared" ca="1" si="0"/>
        <v>20</v>
      </c>
      <c r="E17" s="220">
        <v>4000</v>
      </c>
      <c r="F17" s="221">
        <v>70</v>
      </c>
      <c r="G17" s="221">
        <v>0</v>
      </c>
      <c r="H17" s="221">
        <v>0</v>
      </c>
      <c r="I17" s="221">
        <f t="shared" si="1"/>
        <v>3930</v>
      </c>
    </row>
    <row r="18" spans="1:9" x14ac:dyDescent="0.35">
      <c r="A18" s="218">
        <v>45666</v>
      </c>
      <c r="B18" s="219" t="s">
        <v>131</v>
      </c>
      <c r="C18" s="220" t="s">
        <v>23</v>
      </c>
      <c r="D18" s="233">
        <f t="shared" ca="1" si="0"/>
        <v>18</v>
      </c>
      <c r="E18" s="220">
        <v>4000</v>
      </c>
      <c r="F18" s="221"/>
      <c r="G18" s="221"/>
      <c r="H18" s="221"/>
      <c r="I18" s="221"/>
    </row>
    <row r="19" spans="1:9" x14ac:dyDescent="0.35">
      <c r="A19" s="218">
        <v>45666</v>
      </c>
      <c r="B19" s="219" t="s">
        <v>132</v>
      </c>
      <c r="C19" s="220" t="s">
        <v>23</v>
      </c>
      <c r="D19" s="233">
        <f t="shared" ca="1" si="0"/>
        <v>18</v>
      </c>
      <c r="E19" s="220">
        <v>4000</v>
      </c>
      <c r="F19" s="221"/>
      <c r="G19" s="221"/>
      <c r="H19" s="221"/>
      <c r="I19" s="221"/>
    </row>
    <row r="20" spans="1:9" x14ac:dyDescent="0.35">
      <c r="A20" s="218">
        <v>45666</v>
      </c>
      <c r="B20" s="219" t="s">
        <v>133</v>
      </c>
      <c r="C20" s="220" t="s">
        <v>23</v>
      </c>
      <c r="D20" s="233">
        <f t="shared" ca="1" si="0"/>
        <v>18</v>
      </c>
      <c r="E20" s="220">
        <v>4000</v>
      </c>
      <c r="F20" s="221"/>
      <c r="G20" s="221"/>
      <c r="H20" s="221"/>
      <c r="I20" s="221"/>
    </row>
    <row r="21" spans="1:9" x14ac:dyDescent="0.35">
      <c r="A21" s="218">
        <v>45666</v>
      </c>
      <c r="B21" s="219" t="s">
        <v>134</v>
      </c>
      <c r="C21" s="220" t="s">
        <v>23</v>
      </c>
      <c r="D21" s="233">
        <f t="shared" ca="1" si="0"/>
        <v>18</v>
      </c>
      <c r="E21" s="220">
        <v>4000</v>
      </c>
      <c r="F21" s="237"/>
      <c r="G21" s="237"/>
      <c r="H21" s="237"/>
      <c r="I21" s="237"/>
    </row>
    <row r="22" spans="1:9" x14ac:dyDescent="0.35">
      <c r="A22" s="218">
        <v>45666</v>
      </c>
      <c r="B22" s="219" t="s">
        <v>135</v>
      </c>
      <c r="C22" s="220" t="s">
        <v>23</v>
      </c>
      <c r="D22" s="233">
        <f t="shared" ca="1" si="0"/>
        <v>18</v>
      </c>
      <c r="E22" s="220">
        <v>4000</v>
      </c>
      <c r="F22" s="237"/>
      <c r="G22" s="237"/>
      <c r="H22" s="237"/>
      <c r="I22" s="237"/>
    </row>
    <row r="23" spans="1:9" x14ac:dyDescent="0.35">
      <c r="A23" s="218">
        <v>45666</v>
      </c>
      <c r="B23" s="219" t="s">
        <v>136</v>
      </c>
      <c r="C23" s="220" t="s">
        <v>23</v>
      </c>
      <c r="D23" s="233">
        <f t="shared" ca="1" si="0"/>
        <v>18</v>
      </c>
      <c r="E23" s="220">
        <v>4000</v>
      </c>
      <c r="F23" s="237"/>
      <c r="G23" s="237"/>
      <c r="H23" s="237"/>
      <c r="I23" s="237"/>
    </row>
    <row r="24" spans="1:9" x14ac:dyDescent="0.35">
      <c r="A24" s="218">
        <v>45672</v>
      </c>
      <c r="B24" s="219" t="s">
        <v>137</v>
      </c>
      <c r="C24" s="220" t="s">
        <v>23</v>
      </c>
      <c r="D24" s="233">
        <f t="shared" ca="1" si="0"/>
        <v>12</v>
      </c>
      <c r="E24" s="220">
        <v>4000</v>
      </c>
      <c r="F24" s="237"/>
      <c r="G24" s="237"/>
      <c r="H24" s="237"/>
      <c r="I24" s="237"/>
    </row>
    <row r="25" spans="1:9" x14ac:dyDescent="0.35">
      <c r="A25" s="218">
        <v>45672</v>
      </c>
      <c r="B25" s="219" t="s">
        <v>138</v>
      </c>
      <c r="C25" s="220" t="s">
        <v>23</v>
      </c>
      <c r="D25" s="233">
        <f t="shared" ca="1" si="0"/>
        <v>12</v>
      </c>
      <c r="E25" s="220">
        <v>4000</v>
      </c>
      <c r="F25" s="237"/>
      <c r="G25" s="237"/>
      <c r="H25" s="237"/>
      <c r="I25" s="237"/>
    </row>
    <row r="26" spans="1:9" x14ac:dyDescent="0.35">
      <c r="A26" s="218">
        <v>45672</v>
      </c>
      <c r="B26" s="219" t="s">
        <v>139</v>
      </c>
      <c r="C26" s="220" t="s">
        <v>23</v>
      </c>
      <c r="D26" s="233">
        <f t="shared" ca="1" si="0"/>
        <v>12</v>
      </c>
      <c r="E26" s="220">
        <v>4000</v>
      </c>
      <c r="F26" s="237"/>
      <c r="G26" s="237"/>
      <c r="H26" s="237"/>
      <c r="I26" s="237"/>
    </row>
    <row r="27" spans="1:9" x14ac:dyDescent="0.35">
      <c r="A27" s="218">
        <v>45666</v>
      </c>
      <c r="B27" s="219" t="s">
        <v>140</v>
      </c>
      <c r="C27" s="220" t="s">
        <v>23</v>
      </c>
      <c r="D27" s="233">
        <f t="shared" ca="1" si="0"/>
        <v>18</v>
      </c>
      <c r="E27" s="220">
        <v>24000</v>
      </c>
      <c r="F27" s="237"/>
      <c r="G27" s="237"/>
      <c r="H27" s="237"/>
      <c r="I27" s="237"/>
    </row>
    <row r="28" spans="1:9" x14ac:dyDescent="0.35">
      <c r="A28" s="218">
        <v>45666</v>
      </c>
      <c r="B28" s="219" t="s">
        <v>141</v>
      </c>
      <c r="C28" s="220" t="s">
        <v>23</v>
      </c>
      <c r="D28" s="233">
        <f t="shared" ca="1" si="0"/>
        <v>18</v>
      </c>
      <c r="E28" s="220">
        <v>24000</v>
      </c>
      <c r="F28" s="237"/>
      <c r="G28" s="237"/>
      <c r="H28" s="237"/>
      <c r="I28" s="237"/>
    </row>
    <row r="29" spans="1:9" x14ac:dyDescent="0.35">
      <c r="A29" s="218">
        <v>45666</v>
      </c>
      <c r="B29" s="219" t="s">
        <v>142</v>
      </c>
      <c r="C29" s="220" t="s">
        <v>23</v>
      </c>
      <c r="D29" s="233">
        <f t="shared" ca="1" si="0"/>
        <v>18</v>
      </c>
      <c r="E29" s="220">
        <v>24000</v>
      </c>
      <c r="F29" s="237"/>
      <c r="G29" s="237"/>
      <c r="H29" s="237"/>
      <c r="I29" s="237"/>
    </row>
    <row r="30" spans="1:9" x14ac:dyDescent="0.35">
      <c r="A30" s="218">
        <v>45666</v>
      </c>
      <c r="B30" s="219" t="s">
        <v>143</v>
      </c>
      <c r="C30" s="220" t="s">
        <v>23</v>
      </c>
      <c r="D30" s="233">
        <f t="shared" ca="1" si="0"/>
        <v>18</v>
      </c>
      <c r="E30" s="220">
        <v>24000</v>
      </c>
      <c r="F30" s="237"/>
      <c r="G30" s="237"/>
      <c r="H30" s="237"/>
      <c r="I30" s="237"/>
    </row>
    <row r="31" spans="1:9" x14ac:dyDescent="0.35">
      <c r="A31" s="218">
        <v>45666</v>
      </c>
      <c r="B31" s="219" t="s">
        <v>144</v>
      </c>
      <c r="C31" s="220" t="s">
        <v>23</v>
      </c>
      <c r="D31" s="233">
        <f t="shared" ca="1" si="0"/>
        <v>18</v>
      </c>
      <c r="E31" s="220">
        <v>24000</v>
      </c>
      <c r="F31" s="237"/>
      <c r="G31" s="237"/>
      <c r="H31" s="237"/>
      <c r="I31" s="237"/>
    </row>
    <row r="32" spans="1:9" x14ac:dyDescent="0.35">
      <c r="A32" s="218">
        <v>45666</v>
      </c>
      <c r="B32" s="219" t="s">
        <v>145</v>
      </c>
      <c r="C32" s="220" t="s">
        <v>23</v>
      </c>
      <c r="D32" s="233">
        <f t="shared" ca="1" si="0"/>
        <v>18</v>
      </c>
      <c r="E32" s="220">
        <v>24000</v>
      </c>
      <c r="F32" s="237"/>
      <c r="G32" s="237"/>
      <c r="H32" s="237"/>
      <c r="I32" s="237"/>
    </row>
    <row r="33" spans="1:9" x14ac:dyDescent="0.35">
      <c r="A33" s="218">
        <v>45666</v>
      </c>
      <c r="B33" s="219" t="s">
        <v>146</v>
      </c>
      <c r="C33" s="220" t="s">
        <v>23</v>
      </c>
      <c r="D33" s="233">
        <f t="shared" ca="1" si="0"/>
        <v>18</v>
      </c>
      <c r="E33" s="220">
        <v>24000</v>
      </c>
      <c r="F33" s="237"/>
      <c r="G33" s="237"/>
      <c r="H33" s="237"/>
      <c r="I33" s="237"/>
    </row>
    <row r="34" spans="1:9" x14ac:dyDescent="0.35">
      <c r="A34" s="218">
        <v>45666</v>
      </c>
      <c r="B34" s="219" t="s">
        <v>147</v>
      </c>
      <c r="C34" s="220" t="s">
        <v>23</v>
      </c>
      <c r="D34" s="233">
        <f t="shared" ca="1" si="0"/>
        <v>18</v>
      </c>
      <c r="E34" s="220">
        <v>24000</v>
      </c>
      <c r="F34" s="237"/>
      <c r="G34" s="237"/>
      <c r="H34" s="237"/>
      <c r="I34" s="237"/>
    </row>
    <row r="35" spans="1:9" x14ac:dyDescent="0.35">
      <c r="A35" s="218">
        <v>45666</v>
      </c>
      <c r="B35" s="219" t="s">
        <v>148</v>
      </c>
      <c r="C35" s="220" t="s">
        <v>23</v>
      </c>
      <c r="D35" s="233">
        <f t="shared" ca="1" si="0"/>
        <v>18</v>
      </c>
      <c r="E35" s="220">
        <v>24000</v>
      </c>
      <c r="F35" s="237"/>
      <c r="G35" s="237"/>
      <c r="H35" s="237"/>
      <c r="I35" s="237"/>
    </row>
    <row r="36" spans="1:9" x14ac:dyDescent="0.35">
      <c r="A36" s="218">
        <v>45666</v>
      </c>
      <c r="B36" s="219" t="s">
        <v>149</v>
      </c>
      <c r="C36" s="220" t="s">
        <v>23</v>
      </c>
      <c r="D36" s="233">
        <f t="shared" ca="1" si="0"/>
        <v>18</v>
      </c>
      <c r="E36" s="220">
        <v>24000</v>
      </c>
      <c r="F36" s="237"/>
      <c r="G36" s="237"/>
      <c r="H36" s="237"/>
      <c r="I36" s="237"/>
    </row>
    <row r="37" spans="1:9" x14ac:dyDescent="0.35">
      <c r="A37" s="218">
        <v>45666</v>
      </c>
      <c r="B37" s="219" t="s">
        <v>150</v>
      </c>
      <c r="C37" s="220" t="s">
        <v>23</v>
      </c>
      <c r="D37" s="233">
        <f t="shared" ca="1" si="0"/>
        <v>18</v>
      </c>
      <c r="E37" s="220">
        <v>24000</v>
      </c>
      <c r="F37" s="237"/>
      <c r="G37" s="237"/>
      <c r="H37" s="237"/>
      <c r="I37" s="237"/>
    </row>
    <row r="38" spans="1:9" x14ac:dyDescent="0.35">
      <c r="A38" s="218">
        <v>45666</v>
      </c>
      <c r="B38" s="219" t="s">
        <v>151</v>
      </c>
      <c r="C38" s="220" t="s">
        <v>23</v>
      </c>
      <c r="D38" s="233">
        <f t="shared" ca="1" si="0"/>
        <v>18</v>
      </c>
      <c r="E38" s="220">
        <v>24000</v>
      </c>
      <c r="F38" s="237"/>
      <c r="G38" s="237"/>
      <c r="H38" s="237"/>
      <c r="I38" s="237"/>
    </row>
    <row r="39" spans="1:9" x14ac:dyDescent="0.35">
      <c r="A39" s="218">
        <v>45666</v>
      </c>
      <c r="B39" s="219" t="s">
        <v>152</v>
      </c>
      <c r="C39" s="220" t="s">
        <v>23</v>
      </c>
      <c r="D39" s="233">
        <f t="shared" ca="1" si="0"/>
        <v>18</v>
      </c>
      <c r="E39" s="220">
        <v>24000</v>
      </c>
      <c r="F39" s="237"/>
      <c r="G39" s="237"/>
      <c r="H39" s="237"/>
      <c r="I39" s="237"/>
    </row>
    <row r="40" spans="1:9" x14ac:dyDescent="0.35">
      <c r="A40" s="218">
        <v>45666</v>
      </c>
      <c r="B40" s="219" t="s">
        <v>153</v>
      </c>
      <c r="C40" s="220" t="s">
        <v>23</v>
      </c>
      <c r="D40" s="233">
        <f t="shared" ca="1" si="0"/>
        <v>18</v>
      </c>
      <c r="E40" s="220">
        <v>24000</v>
      </c>
      <c r="F40" s="237"/>
      <c r="G40" s="237"/>
      <c r="H40" s="237"/>
      <c r="I40" s="237"/>
    </row>
    <row r="41" spans="1:9" x14ac:dyDescent="0.35">
      <c r="A41" s="218">
        <v>45666</v>
      </c>
      <c r="B41" s="219" t="s">
        <v>154</v>
      </c>
      <c r="C41" s="220" t="s">
        <v>23</v>
      </c>
      <c r="D41" s="233">
        <f t="shared" ca="1" si="0"/>
        <v>18</v>
      </c>
      <c r="E41" s="220">
        <v>24000</v>
      </c>
      <c r="F41" s="237"/>
      <c r="G41" s="237"/>
      <c r="H41" s="237"/>
      <c r="I41" s="237"/>
    </row>
    <row r="42" spans="1:9" x14ac:dyDescent="0.35">
      <c r="A42" s="218">
        <v>45666</v>
      </c>
      <c r="B42" s="219" t="s">
        <v>155</v>
      </c>
      <c r="C42" s="220" t="s">
        <v>23</v>
      </c>
      <c r="D42" s="233">
        <f t="shared" ca="1" si="0"/>
        <v>18</v>
      </c>
      <c r="E42" s="220">
        <v>12000</v>
      </c>
      <c r="F42" s="237"/>
      <c r="G42" s="237"/>
      <c r="H42" s="237"/>
      <c r="I42" s="237"/>
    </row>
    <row r="43" spans="1:9" x14ac:dyDescent="0.35">
      <c r="A43" s="218">
        <v>45680</v>
      </c>
      <c r="B43" s="219" t="s">
        <v>156</v>
      </c>
      <c r="C43" s="220" t="s">
        <v>81</v>
      </c>
      <c r="D43" s="233">
        <f t="shared" ca="1" si="0"/>
        <v>4</v>
      </c>
      <c r="E43" s="220">
        <v>16</v>
      </c>
      <c r="F43" s="237"/>
      <c r="G43" s="237"/>
      <c r="H43" s="237"/>
      <c r="I43" s="237"/>
    </row>
    <row r="44" spans="1:9" x14ac:dyDescent="0.35">
      <c r="A44" s="218">
        <v>45680</v>
      </c>
      <c r="B44" s="219" t="s">
        <v>157</v>
      </c>
      <c r="C44" s="220" t="s">
        <v>81</v>
      </c>
      <c r="D44" s="233">
        <f t="shared" ca="1" si="0"/>
        <v>4</v>
      </c>
      <c r="E44" s="220">
        <v>1392</v>
      </c>
      <c r="F44" s="237"/>
      <c r="G44" s="237"/>
      <c r="H44" s="237"/>
      <c r="I44" s="237"/>
    </row>
    <row r="45" spans="1:9" x14ac:dyDescent="0.35">
      <c r="A45" s="218">
        <v>45680</v>
      </c>
      <c r="B45" s="219" t="s">
        <v>158</v>
      </c>
      <c r="C45" s="220" t="s">
        <v>82</v>
      </c>
      <c r="D45" s="233">
        <f t="shared" ca="1" si="0"/>
        <v>4</v>
      </c>
      <c r="E45" s="220">
        <v>600</v>
      </c>
      <c r="F45" s="237"/>
      <c r="G45" s="237"/>
      <c r="H45" s="237"/>
      <c r="I45" s="2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B555-4F82-4FDA-A31C-205B125562D9}">
  <dimension ref="A1:B7"/>
  <sheetViews>
    <sheetView workbookViewId="0">
      <selection activeCell="B7" sqref="B7"/>
    </sheetView>
  </sheetViews>
  <sheetFormatPr defaultRowHeight="14.5" x14ac:dyDescent="0.35"/>
  <cols>
    <col min="1" max="1" width="9.54296875" bestFit="1" customWidth="1"/>
    <col min="2" max="2" width="81.54296875" bestFit="1" customWidth="1"/>
  </cols>
  <sheetData>
    <row r="1" spans="1:2" ht="15" thickBot="1" x14ac:dyDescent="0.4">
      <c r="A1" s="287" t="s">
        <v>67</v>
      </c>
      <c r="B1" s="288"/>
    </row>
    <row r="2" spans="1:2" ht="15" thickBot="1" x14ac:dyDescent="0.4">
      <c r="A2" s="119" t="s">
        <v>68</v>
      </c>
      <c r="B2" s="120" t="s">
        <v>69</v>
      </c>
    </row>
    <row r="3" spans="1:2" ht="15" thickBot="1" x14ac:dyDescent="0.4">
      <c r="A3" s="121" t="s">
        <v>70</v>
      </c>
      <c r="B3" s="120" t="s">
        <v>71</v>
      </c>
    </row>
    <row r="4" spans="1:2" ht="15" thickBot="1" x14ac:dyDescent="0.4">
      <c r="A4" s="122" t="s">
        <v>72</v>
      </c>
      <c r="B4" s="120" t="s">
        <v>73</v>
      </c>
    </row>
    <row r="5" spans="1:2" ht="15" thickBot="1" x14ac:dyDescent="0.4">
      <c r="A5" s="123" t="s">
        <v>74</v>
      </c>
      <c r="B5" s="120" t="s">
        <v>75</v>
      </c>
    </row>
    <row r="6" spans="1:2" ht="15" thickBot="1" x14ac:dyDescent="0.4">
      <c r="A6" s="124" t="s">
        <v>76</v>
      </c>
      <c r="B6" s="120" t="s">
        <v>77</v>
      </c>
    </row>
    <row r="7" spans="1:2" ht="15" thickBot="1" x14ac:dyDescent="0.4">
      <c r="A7" s="125" t="s">
        <v>78</v>
      </c>
      <c r="B7" s="120" t="s">
        <v>79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 - RESULTS</vt:lpstr>
      <vt:lpstr>Plan x Modelo BE</vt:lpstr>
      <vt:lpstr>WO 2025</vt:lpstr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Imelda Regalado</dc:creator>
  <cp:lastModifiedBy>Angela Carrillo</cp:lastModifiedBy>
  <dcterms:created xsi:type="dcterms:W3CDTF">2023-03-24T19:10:06Z</dcterms:created>
  <dcterms:modified xsi:type="dcterms:W3CDTF">2025-01-27T23:00:00Z</dcterms:modified>
</cp:coreProperties>
</file>