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Clientes\KORRUS\Quotes\2025 Price Matrix\TROV 2 CONFIGURATORS\"/>
    </mc:Choice>
  </mc:AlternateContent>
  <xr:revisionPtr revIDLastSave="0" documentId="13_ncr:1_{EFE11A28-66EF-4C34-A3AB-BA7B4E6891D0}" xr6:coauthVersionLast="47" xr6:coauthVersionMax="47" xr10:uidLastSave="{00000000-0000-0000-0000-000000000000}"/>
  <bookViews>
    <workbookView xWindow="-110" yWindow="-110" windowWidth="19420" windowHeight="10300" tabRatio="925" xr2:uid="{FD0BCB09-9DC9-41B2-927D-D30BE90B471F}"/>
  </bookViews>
  <sheets>
    <sheet name="L45-L60 RGB4 RGB3" sheetId="26" r:id="rId1"/>
  </sheets>
  <externalReferences>
    <externalReference r:id="rId2"/>
  </externalReferences>
  <definedNames>
    <definedName name="_xlnm._FilterDatabase" localSheetId="0" hidden="1">'L45-L60 RGB4 RGB3'!$C$1:$AA$2401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6" l="1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0" i="26"/>
  <c r="C331" i="26"/>
  <c r="C332" i="26"/>
  <c r="C333" i="26"/>
  <c r="C334" i="26"/>
  <c r="C335" i="26"/>
  <c r="C336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5" i="26"/>
  <c r="C376" i="26"/>
  <c r="C377" i="26"/>
  <c r="C378" i="26"/>
  <c r="C379" i="26"/>
  <c r="C380" i="26"/>
  <c r="C381" i="26"/>
  <c r="C382" i="26"/>
  <c r="C383" i="26"/>
  <c r="C384" i="26"/>
  <c r="C385" i="26"/>
  <c r="C386" i="26"/>
  <c r="C387" i="26"/>
  <c r="C388" i="26"/>
  <c r="C389" i="26"/>
  <c r="C390" i="26"/>
  <c r="C391" i="26"/>
  <c r="C392" i="26"/>
  <c r="C393" i="26"/>
  <c r="C394" i="26"/>
  <c r="C395" i="26"/>
  <c r="C396" i="26"/>
  <c r="C397" i="26"/>
  <c r="C398" i="26"/>
  <c r="C399" i="26"/>
  <c r="C400" i="26"/>
  <c r="C401" i="26"/>
  <c r="C402" i="26"/>
  <c r="C403" i="26"/>
  <c r="C404" i="26"/>
  <c r="C405" i="26"/>
  <c r="C406" i="26"/>
  <c r="C407" i="26"/>
  <c r="C408" i="26"/>
  <c r="C409" i="26"/>
  <c r="C410" i="26"/>
  <c r="C411" i="26"/>
  <c r="C412" i="26"/>
  <c r="C413" i="26"/>
  <c r="C414" i="26"/>
  <c r="C415" i="26"/>
  <c r="C416" i="26"/>
  <c r="C417" i="26"/>
  <c r="C418" i="26"/>
  <c r="C419" i="26"/>
  <c r="C420" i="26"/>
  <c r="C421" i="26"/>
  <c r="C422" i="26"/>
  <c r="C423" i="26"/>
  <c r="C424" i="26"/>
  <c r="C425" i="26"/>
  <c r="C426" i="26"/>
  <c r="C427" i="26"/>
  <c r="C428" i="26"/>
  <c r="C429" i="26"/>
  <c r="C430" i="26"/>
  <c r="C431" i="26"/>
  <c r="C432" i="26"/>
  <c r="C433" i="26"/>
  <c r="C434" i="26"/>
  <c r="C435" i="26"/>
  <c r="C436" i="26"/>
  <c r="C437" i="26"/>
  <c r="C438" i="26"/>
  <c r="C439" i="26"/>
  <c r="C440" i="26"/>
  <c r="C441" i="26"/>
  <c r="C442" i="26"/>
  <c r="C443" i="26"/>
  <c r="C444" i="26"/>
  <c r="C445" i="26"/>
  <c r="C446" i="26"/>
  <c r="C447" i="26"/>
  <c r="C448" i="26"/>
  <c r="C449" i="26"/>
  <c r="C450" i="26"/>
  <c r="C451" i="26"/>
  <c r="C452" i="26"/>
  <c r="C453" i="26"/>
  <c r="C454" i="26"/>
  <c r="C455" i="26"/>
  <c r="C456" i="26"/>
  <c r="C457" i="26"/>
  <c r="C458" i="26"/>
  <c r="C459" i="26"/>
  <c r="C460" i="26"/>
  <c r="C461" i="26"/>
  <c r="C462" i="26"/>
  <c r="C463" i="26"/>
  <c r="C464" i="26"/>
  <c r="C465" i="26"/>
  <c r="C466" i="26"/>
  <c r="C467" i="26"/>
  <c r="C468" i="26"/>
  <c r="C469" i="26"/>
  <c r="C470" i="26"/>
  <c r="C471" i="26"/>
  <c r="C472" i="26"/>
  <c r="C473" i="26"/>
  <c r="C474" i="26"/>
  <c r="C475" i="26"/>
  <c r="C476" i="26"/>
  <c r="C477" i="26"/>
  <c r="C478" i="26"/>
  <c r="C479" i="26"/>
  <c r="C480" i="26"/>
  <c r="C481" i="26"/>
  <c r="C482" i="26"/>
  <c r="C483" i="26"/>
  <c r="C484" i="26"/>
  <c r="C485" i="26"/>
  <c r="C486" i="26"/>
  <c r="C487" i="26"/>
  <c r="C488" i="26"/>
  <c r="C489" i="26"/>
  <c r="C490" i="26"/>
  <c r="C491" i="26"/>
  <c r="C492" i="26"/>
  <c r="C493" i="26"/>
  <c r="C494" i="26"/>
  <c r="C495" i="26"/>
  <c r="C496" i="26"/>
  <c r="C497" i="26"/>
  <c r="C498" i="26"/>
  <c r="C499" i="26"/>
  <c r="C500" i="26"/>
  <c r="C501" i="26"/>
  <c r="C502" i="26"/>
  <c r="C503" i="26"/>
  <c r="C504" i="26"/>
  <c r="C505" i="26"/>
  <c r="C506" i="26"/>
  <c r="C507" i="26"/>
  <c r="C508" i="26"/>
  <c r="C509" i="26"/>
  <c r="C510" i="26"/>
  <c r="C511" i="26"/>
  <c r="C512" i="26"/>
  <c r="C513" i="26"/>
  <c r="C514" i="26"/>
  <c r="C515" i="26"/>
  <c r="C516" i="26"/>
  <c r="C517" i="26"/>
  <c r="C518" i="26"/>
  <c r="C519" i="26"/>
  <c r="C520" i="26"/>
  <c r="C521" i="26"/>
  <c r="C522" i="26"/>
  <c r="C523" i="26"/>
  <c r="C524" i="26"/>
  <c r="C525" i="26"/>
  <c r="C526" i="26"/>
  <c r="C527" i="26"/>
  <c r="C528" i="26"/>
  <c r="C529" i="26"/>
  <c r="C530" i="26"/>
  <c r="C531" i="26"/>
  <c r="C532" i="26"/>
  <c r="C533" i="26"/>
  <c r="C534" i="26"/>
  <c r="C535" i="26"/>
  <c r="C536" i="26"/>
  <c r="C537" i="26"/>
  <c r="C538" i="26"/>
  <c r="C539" i="26"/>
  <c r="C540" i="26"/>
  <c r="C541" i="26"/>
  <c r="C542" i="26"/>
  <c r="C543" i="26"/>
  <c r="C544" i="26"/>
  <c r="C545" i="26"/>
  <c r="C546" i="26"/>
  <c r="C547" i="26"/>
  <c r="C548" i="26"/>
  <c r="C549" i="26"/>
  <c r="C550" i="26"/>
  <c r="C551" i="26"/>
  <c r="C552" i="26"/>
  <c r="C553" i="26"/>
  <c r="C554" i="26"/>
  <c r="C555" i="26"/>
  <c r="C556" i="26"/>
  <c r="C557" i="26"/>
  <c r="C558" i="26"/>
  <c r="C559" i="26"/>
  <c r="C560" i="26"/>
  <c r="C561" i="26"/>
  <c r="C562" i="26"/>
  <c r="C563" i="26"/>
  <c r="C564" i="26"/>
  <c r="C565" i="26"/>
  <c r="C566" i="26"/>
  <c r="C567" i="26"/>
  <c r="C568" i="26"/>
  <c r="C569" i="26"/>
  <c r="C570" i="26"/>
  <c r="C571" i="26"/>
  <c r="C572" i="26"/>
  <c r="C573" i="26"/>
  <c r="C574" i="26"/>
  <c r="C575" i="26"/>
  <c r="C576" i="26"/>
  <c r="C577" i="26"/>
  <c r="C578" i="26"/>
  <c r="C579" i="26"/>
  <c r="C580" i="26"/>
  <c r="C581" i="26"/>
  <c r="C582" i="26"/>
  <c r="C583" i="26"/>
  <c r="C584" i="26"/>
  <c r="C585" i="26"/>
  <c r="C586" i="26"/>
  <c r="C587" i="26"/>
  <c r="C588" i="26"/>
  <c r="C589" i="26"/>
  <c r="C590" i="26"/>
  <c r="C591" i="26"/>
  <c r="C592" i="26"/>
  <c r="C593" i="26"/>
  <c r="C594" i="26"/>
  <c r="C595" i="26"/>
  <c r="C596" i="26"/>
  <c r="C597" i="26"/>
  <c r="C598" i="26"/>
  <c r="C599" i="26"/>
  <c r="C600" i="26"/>
  <c r="C601" i="26"/>
  <c r="C602" i="26"/>
  <c r="C603" i="26"/>
  <c r="C604" i="26"/>
  <c r="C605" i="26"/>
  <c r="C606" i="26"/>
  <c r="C607" i="26"/>
  <c r="C608" i="26"/>
  <c r="C609" i="26"/>
  <c r="C610" i="26"/>
  <c r="C611" i="26"/>
  <c r="C612" i="26"/>
  <c r="C613" i="26"/>
  <c r="C614" i="26"/>
  <c r="C615" i="26"/>
  <c r="C616" i="26"/>
  <c r="C617" i="26"/>
  <c r="C618" i="26"/>
  <c r="C619" i="26"/>
  <c r="C620" i="26"/>
  <c r="C621" i="26"/>
  <c r="C622" i="26"/>
  <c r="C623" i="26"/>
  <c r="C624" i="26"/>
  <c r="C625" i="26"/>
  <c r="C626" i="26"/>
  <c r="C627" i="26"/>
  <c r="C628" i="26"/>
  <c r="C629" i="26"/>
  <c r="C630" i="26"/>
  <c r="C631" i="26"/>
  <c r="C632" i="26"/>
  <c r="C633" i="26"/>
  <c r="C634" i="26"/>
  <c r="C635" i="26"/>
  <c r="C636" i="26"/>
  <c r="C637" i="26"/>
  <c r="C638" i="26"/>
  <c r="C639" i="26"/>
  <c r="C640" i="26"/>
  <c r="C641" i="26"/>
  <c r="C642" i="26"/>
  <c r="C643" i="26"/>
  <c r="C644" i="26"/>
  <c r="C645" i="26"/>
  <c r="C646" i="26"/>
  <c r="C647" i="26"/>
  <c r="C648" i="26"/>
  <c r="C649" i="26"/>
  <c r="C650" i="26"/>
  <c r="C651" i="26"/>
  <c r="C652" i="26"/>
  <c r="C653" i="26"/>
  <c r="C654" i="26"/>
  <c r="C655" i="26"/>
  <c r="C656" i="26"/>
  <c r="C657" i="26"/>
  <c r="C658" i="26"/>
  <c r="C659" i="26"/>
  <c r="C660" i="26"/>
  <c r="C661" i="26"/>
  <c r="C662" i="26"/>
  <c r="C663" i="26"/>
  <c r="C664" i="26"/>
  <c r="C665" i="26"/>
  <c r="C666" i="26"/>
  <c r="C667" i="26"/>
  <c r="C668" i="26"/>
  <c r="C669" i="26"/>
  <c r="C670" i="26"/>
  <c r="C671" i="26"/>
  <c r="C672" i="26"/>
  <c r="C673" i="26"/>
  <c r="C674" i="26"/>
  <c r="C675" i="26"/>
  <c r="C676" i="26"/>
  <c r="C677" i="26"/>
  <c r="C678" i="26"/>
  <c r="C679" i="26"/>
  <c r="C680" i="26"/>
  <c r="C681" i="26"/>
  <c r="C682" i="26"/>
  <c r="C683" i="26"/>
  <c r="C684" i="26"/>
  <c r="C685" i="26"/>
  <c r="C686" i="26"/>
  <c r="C687" i="26"/>
  <c r="C688" i="26"/>
  <c r="C689" i="26"/>
  <c r="C690" i="26"/>
  <c r="C691" i="26"/>
  <c r="C692" i="26"/>
  <c r="C693" i="26"/>
  <c r="C694" i="26"/>
  <c r="C695" i="26"/>
  <c r="C696" i="26"/>
  <c r="C697" i="26"/>
  <c r="C698" i="26"/>
  <c r="C699" i="26"/>
  <c r="C700" i="26"/>
  <c r="C701" i="26"/>
  <c r="C702" i="26"/>
  <c r="C703" i="26"/>
  <c r="C704" i="26"/>
  <c r="C705" i="26"/>
  <c r="C706" i="26"/>
  <c r="C707" i="26"/>
  <c r="C708" i="26"/>
  <c r="C709" i="26"/>
  <c r="C710" i="26"/>
  <c r="C711" i="26"/>
  <c r="C712" i="26"/>
  <c r="C713" i="26"/>
  <c r="C714" i="26"/>
  <c r="C715" i="26"/>
  <c r="C716" i="26"/>
  <c r="C717" i="26"/>
  <c r="C718" i="26"/>
  <c r="C719" i="26"/>
  <c r="C720" i="26"/>
  <c r="C721" i="26"/>
  <c r="C722" i="26"/>
  <c r="C723" i="26"/>
  <c r="C724" i="26"/>
  <c r="C725" i="26"/>
  <c r="C726" i="26"/>
  <c r="C727" i="26"/>
  <c r="C728" i="26"/>
  <c r="C729" i="26"/>
  <c r="C730" i="26"/>
  <c r="C731" i="26"/>
  <c r="C732" i="26"/>
  <c r="C733" i="26"/>
  <c r="C734" i="26"/>
  <c r="C735" i="26"/>
  <c r="C736" i="26"/>
  <c r="C737" i="26"/>
  <c r="C738" i="26"/>
  <c r="C739" i="26"/>
  <c r="C740" i="26"/>
  <c r="C741" i="26"/>
  <c r="C742" i="26"/>
  <c r="C743" i="26"/>
  <c r="C744" i="26"/>
  <c r="C745" i="26"/>
  <c r="C746" i="26"/>
  <c r="C747" i="26"/>
  <c r="C748" i="26"/>
  <c r="C749" i="26"/>
  <c r="C750" i="26"/>
  <c r="C751" i="26"/>
  <c r="C752" i="26"/>
  <c r="C753" i="26"/>
  <c r="C754" i="26"/>
  <c r="C755" i="26"/>
  <c r="C756" i="26"/>
  <c r="C757" i="26"/>
  <c r="C758" i="26"/>
  <c r="C759" i="26"/>
  <c r="C760" i="26"/>
  <c r="C761" i="26"/>
  <c r="C762" i="26"/>
  <c r="C763" i="26"/>
  <c r="C764" i="26"/>
  <c r="C765" i="26"/>
  <c r="C766" i="26"/>
  <c r="C767" i="26"/>
  <c r="C768" i="26"/>
  <c r="C769" i="26"/>
  <c r="C770" i="26"/>
  <c r="C771" i="26"/>
  <c r="C772" i="26"/>
  <c r="C773" i="26"/>
  <c r="C774" i="26"/>
  <c r="C775" i="26"/>
  <c r="C776" i="26"/>
  <c r="C777" i="26"/>
  <c r="C778" i="26"/>
  <c r="C779" i="26"/>
  <c r="C780" i="26"/>
  <c r="C781" i="26"/>
  <c r="C782" i="26"/>
  <c r="C783" i="26"/>
  <c r="C784" i="26"/>
  <c r="C785" i="26"/>
  <c r="C786" i="26"/>
  <c r="C787" i="26"/>
  <c r="C788" i="26"/>
  <c r="C789" i="26"/>
  <c r="C790" i="26"/>
  <c r="C791" i="26"/>
  <c r="C792" i="26"/>
  <c r="C793" i="26"/>
  <c r="C794" i="26"/>
  <c r="C795" i="26"/>
  <c r="C796" i="26"/>
  <c r="C797" i="26"/>
  <c r="C798" i="26"/>
  <c r="C799" i="26"/>
  <c r="C800" i="26"/>
  <c r="C801" i="26"/>
  <c r="C802" i="26"/>
  <c r="C803" i="26"/>
  <c r="C804" i="26"/>
  <c r="C805" i="26"/>
  <c r="C806" i="26"/>
  <c r="C807" i="26"/>
  <c r="C808" i="26"/>
  <c r="C809" i="26"/>
  <c r="C810" i="26"/>
  <c r="C811" i="26"/>
  <c r="C812" i="26"/>
  <c r="C813" i="26"/>
  <c r="C814" i="26"/>
  <c r="C815" i="26"/>
  <c r="C816" i="26"/>
  <c r="C817" i="26"/>
  <c r="C818" i="26"/>
  <c r="C819" i="26"/>
  <c r="C820" i="26"/>
  <c r="C821" i="26"/>
  <c r="C822" i="26"/>
  <c r="C823" i="26"/>
  <c r="C824" i="26"/>
  <c r="C825" i="26"/>
  <c r="C826" i="26"/>
  <c r="C827" i="26"/>
  <c r="C828" i="26"/>
  <c r="C829" i="26"/>
  <c r="C830" i="26"/>
  <c r="C831" i="26"/>
  <c r="C832" i="26"/>
  <c r="C833" i="26"/>
  <c r="C834" i="26"/>
  <c r="C835" i="26"/>
  <c r="C836" i="26"/>
  <c r="C837" i="26"/>
  <c r="C838" i="26"/>
  <c r="C839" i="26"/>
  <c r="C840" i="26"/>
  <c r="C841" i="26"/>
  <c r="C842" i="26"/>
  <c r="C843" i="26"/>
  <c r="C844" i="26"/>
  <c r="C845" i="26"/>
  <c r="C846" i="26"/>
  <c r="C847" i="26"/>
  <c r="C848" i="26"/>
  <c r="C849" i="26"/>
  <c r="C850" i="26"/>
  <c r="C851" i="26"/>
  <c r="C852" i="26"/>
  <c r="C853" i="26"/>
  <c r="C854" i="26"/>
  <c r="C855" i="26"/>
  <c r="C856" i="26"/>
  <c r="C857" i="26"/>
  <c r="C858" i="26"/>
  <c r="C859" i="26"/>
  <c r="C860" i="26"/>
  <c r="C861" i="26"/>
  <c r="C862" i="26"/>
  <c r="C863" i="26"/>
  <c r="C864" i="26"/>
  <c r="C865" i="26"/>
  <c r="C866" i="26"/>
  <c r="C867" i="26"/>
  <c r="C868" i="26"/>
  <c r="C869" i="26"/>
  <c r="C870" i="26"/>
  <c r="C871" i="26"/>
  <c r="C872" i="26"/>
  <c r="C873" i="26"/>
  <c r="C874" i="26"/>
  <c r="C875" i="26"/>
  <c r="C876" i="26"/>
  <c r="C877" i="26"/>
  <c r="C878" i="26"/>
  <c r="C879" i="26"/>
  <c r="C880" i="26"/>
  <c r="C881" i="26"/>
  <c r="C882" i="26"/>
  <c r="C883" i="26"/>
  <c r="C884" i="26"/>
  <c r="C885" i="26"/>
  <c r="C886" i="26"/>
  <c r="C887" i="26"/>
  <c r="C888" i="26"/>
  <c r="C889" i="26"/>
  <c r="C890" i="26"/>
  <c r="C891" i="26"/>
  <c r="C892" i="26"/>
  <c r="C893" i="26"/>
  <c r="C894" i="26"/>
  <c r="C895" i="26"/>
  <c r="C896" i="26"/>
  <c r="C897" i="26"/>
  <c r="C898" i="26"/>
  <c r="C899" i="26"/>
  <c r="C900" i="26"/>
  <c r="C901" i="26"/>
  <c r="C902" i="26"/>
  <c r="C903" i="26"/>
  <c r="C904" i="26"/>
  <c r="C905" i="26"/>
  <c r="C906" i="26"/>
  <c r="C907" i="26"/>
  <c r="C908" i="26"/>
  <c r="C909" i="26"/>
  <c r="C910" i="26"/>
  <c r="C911" i="26"/>
  <c r="C912" i="26"/>
  <c r="C913" i="26"/>
  <c r="C914" i="26"/>
  <c r="C915" i="26"/>
  <c r="C916" i="26"/>
  <c r="C917" i="26"/>
  <c r="C918" i="26"/>
  <c r="C919" i="26"/>
  <c r="C920" i="26"/>
  <c r="C921" i="26"/>
  <c r="C922" i="26"/>
  <c r="C923" i="26"/>
  <c r="C924" i="26"/>
  <c r="C925" i="26"/>
  <c r="C926" i="26"/>
  <c r="C927" i="26"/>
  <c r="C928" i="26"/>
  <c r="C929" i="26"/>
  <c r="C930" i="26"/>
  <c r="C931" i="26"/>
  <c r="C932" i="26"/>
  <c r="C933" i="26"/>
  <c r="C934" i="26"/>
  <c r="C935" i="26"/>
  <c r="C936" i="26"/>
  <c r="C937" i="26"/>
  <c r="C938" i="26"/>
  <c r="C939" i="26"/>
  <c r="C940" i="26"/>
  <c r="C941" i="26"/>
  <c r="C942" i="26"/>
  <c r="C943" i="26"/>
  <c r="C944" i="26"/>
  <c r="C945" i="26"/>
  <c r="C946" i="26"/>
  <c r="C947" i="26"/>
  <c r="C948" i="26"/>
  <c r="C949" i="26"/>
  <c r="C950" i="26"/>
  <c r="C951" i="26"/>
  <c r="C952" i="26"/>
  <c r="C953" i="26"/>
  <c r="C954" i="26"/>
  <c r="C955" i="26"/>
  <c r="C956" i="26"/>
  <c r="C957" i="26"/>
  <c r="C958" i="26"/>
  <c r="C959" i="26"/>
  <c r="C960" i="26"/>
  <c r="C961" i="26"/>
  <c r="C962" i="26"/>
  <c r="C963" i="26"/>
  <c r="C964" i="26"/>
  <c r="C965" i="26"/>
  <c r="C966" i="26"/>
  <c r="C967" i="26"/>
  <c r="C968" i="26"/>
  <c r="C969" i="26"/>
  <c r="C970" i="26"/>
  <c r="C971" i="26"/>
  <c r="C972" i="26"/>
  <c r="C973" i="26"/>
  <c r="C974" i="26"/>
  <c r="C975" i="26"/>
  <c r="C976" i="26"/>
  <c r="C977" i="26"/>
  <c r="C978" i="26"/>
  <c r="C979" i="26"/>
  <c r="C980" i="26"/>
  <c r="C981" i="26"/>
  <c r="C982" i="26"/>
  <c r="C983" i="26"/>
  <c r="C984" i="26"/>
  <c r="C985" i="26"/>
  <c r="C986" i="26"/>
  <c r="C987" i="26"/>
  <c r="C988" i="26"/>
  <c r="C989" i="26"/>
  <c r="C990" i="26"/>
  <c r="C991" i="26"/>
  <c r="C992" i="26"/>
  <c r="C993" i="26"/>
  <c r="C994" i="26"/>
  <c r="C995" i="26"/>
  <c r="C996" i="26"/>
  <c r="C997" i="26"/>
  <c r="C998" i="26"/>
  <c r="C999" i="26"/>
  <c r="C1000" i="26"/>
  <c r="C1001" i="26"/>
  <c r="C1002" i="26"/>
  <c r="C1003" i="26"/>
  <c r="C1004" i="26"/>
  <c r="C1005" i="26"/>
  <c r="C1006" i="26"/>
  <c r="C1007" i="26"/>
  <c r="C1008" i="26"/>
  <c r="C1009" i="26"/>
  <c r="C1010" i="26"/>
  <c r="C1011" i="26"/>
  <c r="C1012" i="26"/>
  <c r="C1013" i="26"/>
  <c r="C1014" i="26"/>
  <c r="C1015" i="26"/>
  <c r="C1016" i="26"/>
  <c r="C1017" i="26"/>
  <c r="C1018" i="26"/>
  <c r="C1019" i="26"/>
  <c r="C1020" i="26"/>
  <c r="C1021" i="26"/>
  <c r="C1022" i="26"/>
  <c r="C1023" i="26"/>
  <c r="C1024" i="26"/>
  <c r="C1025" i="26"/>
  <c r="C1026" i="26"/>
  <c r="C1027" i="26"/>
  <c r="C1028" i="26"/>
  <c r="C1029" i="26"/>
  <c r="C1030" i="26"/>
  <c r="C1031" i="26"/>
  <c r="C1032" i="26"/>
  <c r="C1033" i="26"/>
  <c r="C1034" i="26"/>
  <c r="C1035" i="26"/>
  <c r="C1036" i="26"/>
  <c r="C1037" i="26"/>
  <c r="C1038" i="26"/>
  <c r="C1039" i="26"/>
  <c r="C1040" i="26"/>
  <c r="C1041" i="26"/>
  <c r="C1042" i="26"/>
  <c r="C1043" i="26"/>
  <c r="C1044" i="26"/>
  <c r="C1045" i="26"/>
  <c r="C1046" i="26"/>
  <c r="C1047" i="26"/>
  <c r="C1048" i="26"/>
  <c r="C1049" i="26"/>
  <c r="C1050" i="26"/>
  <c r="C1051" i="26"/>
  <c r="C1052" i="26"/>
  <c r="C1053" i="26"/>
  <c r="C1054" i="26"/>
  <c r="C1055" i="26"/>
  <c r="C1056" i="26"/>
  <c r="C1057" i="26"/>
  <c r="C1058" i="26"/>
  <c r="C1059" i="26"/>
  <c r="C1060" i="26"/>
  <c r="C1061" i="26"/>
  <c r="C1062" i="26"/>
  <c r="C1063" i="26"/>
  <c r="C1064" i="26"/>
  <c r="C1065" i="26"/>
  <c r="C1066" i="26"/>
  <c r="C1067" i="26"/>
  <c r="C1068" i="26"/>
  <c r="C1069" i="26"/>
  <c r="C1070" i="26"/>
  <c r="C1071" i="26"/>
  <c r="C1072" i="26"/>
  <c r="C1073" i="26"/>
  <c r="C1074" i="26"/>
  <c r="C1075" i="26"/>
  <c r="C1076" i="26"/>
  <c r="C1077" i="26"/>
  <c r="C1078" i="26"/>
  <c r="C1079" i="26"/>
  <c r="C1080" i="26"/>
  <c r="C1081" i="26"/>
  <c r="C1082" i="26"/>
  <c r="C1083" i="26"/>
  <c r="C1084" i="26"/>
  <c r="C1085" i="26"/>
  <c r="C1086" i="26"/>
  <c r="C1087" i="26"/>
  <c r="C1088" i="26"/>
  <c r="C1089" i="26"/>
  <c r="C1090" i="26"/>
  <c r="C1091" i="26"/>
  <c r="C1092" i="26"/>
  <c r="C1093" i="26"/>
  <c r="C1094" i="26"/>
  <c r="C1095" i="26"/>
  <c r="C1096" i="26"/>
  <c r="C1097" i="26"/>
  <c r="C1098" i="26"/>
  <c r="C1099" i="26"/>
  <c r="C1100" i="26"/>
  <c r="C1101" i="26"/>
  <c r="C1102" i="26"/>
  <c r="C1103" i="26"/>
  <c r="C1104" i="26"/>
  <c r="C1105" i="26"/>
  <c r="C1106" i="26"/>
  <c r="C1107" i="26"/>
  <c r="C1108" i="26"/>
  <c r="C1109" i="26"/>
  <c r="C1110" i="26"/>
  <c r="C1111" i="26"/>
  <c r="C1112" i="26"/>
  <c r="C1113" i="26"/>
  <c r="C1114" i="26"/>
  <c r="C1115" i="26"/>
  <c r="C1116" i="26"/>
  <c r="C1117" i="26"/>
  <c r="C1118" i="26"/>
  <c r="C1119" i="26"/>
  <c r="C1120" i="26"/>
  <c r="C1121" i="26"/>
  <c r="C1122" i="26"/>
  <c r="C1123" i="26"/>
  <c r="C1124" i="26"/>
  <c r="C1125" i="26"/>
  <c r="C1126" i="26"/>
  <c r="C1127" i="26"/>
  <c r="C1128" i="26"/>
  <c r="C1129" i="26"/>
  <c r="C1130" i="26"/>
  <c r="C1131" i="26"/>
  <c r="C1132" i="26"/>
  <c r="C1133" i="26"/>
  <c r="C1134" i="26"/>
  <c r="C1135" i="26"/>
  <c r="C1136" i="26"/>
  <c r="C1137" i="26"/>
  <c r="C1138" i="26"/>
  <c r="C1139" i="26"/>
  <c r="C1140" i="26"/>
  <c r="C1141" i="26"/>
  <c r="C1142" i="26"/>
  <c r="C1143" i="26"/>
  <c r="C1144" i="26"/>
  <c r="C1145" i="26"/>
  <c r="C1146" i="26"/>
  <c r="C1147" i="26"/>
  <c r="C1148" i="26"/>
  <c r="C1149" i="26"/>
  <c r="C1150" i="26"/>
  <c r="C1151" i="26"/>
  <c r="C1152" i="26"/>
  <c r="C1153" i="26"/>
  <c r="C1154" i="26"/>
  <c r="C1155" i="26"/>
  <c r="C1156" i="26"/>
  <c r="C1157" i="26"/>
  <c r="C1158" i="26"/>
  <c r="C1159" i="26"/>
  <c r="C1160" i="26"/>
  <c r="C1161" i="26"/>
  <c r="C1162" i="26"/>
  <c r="C1163" i="26"/>
  <c r="C1164" i="26"/>
  <c r="C1165" i="26"/>
  <c r="C1166" i="26"/>
  <c r="C1167" i="26"/>
  <c r="C1168" i="26"/>
  <c r="C1169" i="26"/>
  <c r="C1170" i="26"/>
  <c r="C1171" i="26"/>
  <c r="C1172" i="26"/>
  <c r="C1173" i="26"/>
  <c r="C1174" i="26"/>
  <c r="C1175" i="26"/>
  <c r="C1176" i="26"/>
  <c r="C1177" i="26"/>
  <c r="C1178" i="26"/>
  <c r="C1179" i="26"/>
  <c r="C1180" i="26"/>
  <c r="C1181" i="26"/>
  <c r="C1182" i="26"/>
  <c r="C1183" i="26"/>
  <c r="C1184" i="26"/>
  <c r="C1185" i="26"/>
  <c r="C1186" i="26"/>
  <c r="C1187" i="26"/>
  <c r="C1188" i="26"/>
  <c r="C1189" i="26"/>
  <c r="C1190" i="26"/>
  <c r="C1191" i="26"/>
  <c r="C1192" i="26"/>
  <c r="C1193" i="26"/>
  <c r="C1194" i="26"/>
  <c r="C1195" i="26"/>
  <c r="C1196" i="26"/>
  <c r="C1197" i="26"/>
  <c r="C1198" i="26"/>
  <c r="C1199" i="26"/>
  <c r="C1200" i="26"/>
  <c r="C1201" i="26"/>
  <c r="C1202" i="26"/>
  <c r="C1203" i="26"/>
  <c r="C1204" i="26"/>
  <c r="C1205" i="26"/>
  <c r="C1206" i="26"/>
  <c r="C1207" i="26"/>
  <c r="C1208" i="26"/>
  <c r="C1209" i="26"/>
  <c r="C1210" i="26"/>
  <c r="C1211" i="26"/>
  <c r="C1212" i="26"/>
  <c r="C1213" i="26"/>
  <c r="C1214" i="26"/>
  <c r="C1215" i="26"/>
  <c r="C1216" i="26"/>
  <c r="C1217" i="26"/>
  <c r="C1218" i="26"/>
  <c r="C1219" i="26"/>
  <c r="C1220" i="26"/>
  <c r="C1221" i="26"/>
  <c r="C1222" i="26"/>
  <c r="C1223" i="26"/>
  <c r="C1224" i="26"/>
  <c r="C1225" i="26"/>
  <c r="C1226" i="26"/>
  <c r="C1227" i="26"/>
  <c r="C1228" i="26"/>
  <c r="C1229" i="26"/>
  <c r="C1230" i="26"/>
  <c r="C1231" i="26"/>
  <c r="C1232" i="26"/>
  <c r="C1233" i="26"/>
  <c r="C1234" i="26"/>
  <c r="C1235" i="26"/>
  <c r="C1236" i="26"/>
  <c r="C1237" i="26"/>
  <c r="C1238" i="26"/>
  <c r="C1239" i="26"/>
  <c r="C1240" i="26"/>
  <c r="C1241" i="26"/>
  <c r="C1242" i="26"/>
  <c r="C1243" i="26"/>
  <c r="C1244" i="26"/>
  <c r="C1245" i="26"/>
  <c r="C1246" i="26"/>
  <c r="C1247" i="26"/>
  <c r="C1248" i="26"/>
  <c r="C1249" i="26"/>
  <c r="C1250" i="26"/>
  <c r="C1251" i="26"/>
  <c r="C1252" i="26"/>
  <c r="C1253" i="26"/>
  <c r="C1254" i="26"/>
  <c r="C1255" i="26"/>
  <c r="C1256" i="26"/>
  <c r="C1257" i="26"/>
  <c r="C1258" i="26"/>
  <c r="C1259" i="26"/>
  <c r="C1260" i="26"/>
  <c r="C1261" i="26"/>
  <c r="C1262" i="26"/>
  <c r="C1263" i="26"/>
  <c r="C1264" i="26"/>
  <c r="C1265" i="26"/>
  <c r="C1266" i="26"/>
  <c r="C1267" i="26"/>
  <c r="C1268" i="26"/>
  <c r="C1269" i="26"/>
  <c r="C1270" i="26"/>
  <c r="C1271" i="26"/>
  <c r="C1272" i="26"/>
  <c r="C1273" i="26"/>
  <c r="C1274" i="26"/>
  <c r="C1275" i="26"/>
  <c r="C1276" i="26"/>
  <c r="C1277" i="26"/>
  <c r="C1278" i="26"/>
  <c r="C1279" i="26"/>
  <c r="C1280" i="26"/>
  <c r="C1281" i="26"/>
  <c r="C1282" i="26"/>
  <c r="C1283" i="26"/>
  <c r="C1284" i="26"/>
  <c r="C1285" i="26"/>
  <c r="C1286" i="26"/>
  <c r="C1287" i="26"/>
  <c r="C1288" i="26"/>
  <c r="C1289" i="26"/>
  <c r="C1290" i="26"/>
  <c r="C1291" i="26"/>
  <c r="C1292" i="26"/>
  <c r="C1293" i="26"/>
  <c r="C1294" i="26"/>
  <c r="C1295" i="26"/>
  <c r="C1296" i="26"/>
  <c r="C1297" i="26"/>
  <c r="C1298" i="26"/>
  <c r="C1299" i="26"/>
  <c r="C1300" i="26"/>
  <c r="C1301" i="26"/>
  <c r="C1302" i="26"/>
  <c r="C1303" i="26"/>
  <c r="C1304" i="26"/>
  <c r="C1305" i="26"/>
  <c r="C1306" i="26"/>
  <c r="C1307" i="26"/>
  <c r="C1308" i="26"/>
  <c r="C1309" i="26"/>
  <c r="C1310" i="26"/>
  <c r="C1311" i="26"/>
  <c r="C1312" i="26"/>
  <c r="C1313" i="26"/>
  <c r="C1314" i="26"/>
  <c r="C1315" i="26"/>
  <c r="C1316" i="26"/>
  <c r="C1317" i="26"/>
  <c r="C1318" i="26"/>
  <c r="C1319" i="26"/>
  <c r="C1320" i="26"/>
  <c r="C1321" i="26"/>
  <c r="C1322" i="26"/>
  <c r="C1323" i="26"/>
  <c r="C1324" i="26"/>
  <c r="C1325" i="26"/>
  <c r="C1326" i="26"/>
  <c r="C1327" i="26"/>
  <c r="C1328" i="26"/>
  <c r="C1329" i="26"/>
  <c r="C1330" i="26"/>
  <c r="C1331" i="26"/>
  <c r="C1332" i="26"/>
  <c r="C1333" i="26"/>
  <c r="C1334" i="26"/>
  <c r="C1335" i="26"/>
  <c r="C1336" i="26"/>
  <c r="C1337" i="26"/>
  <c r="C1338" i="26"/>
  <c r="C1339" i="26"/>
  <c r="C1340" i="26"/>
  <c r="C1341" i="26"/>
  <c r="C1342" i="26"/>
  <c r="C1343" i="26"/>
  <c r="C1344" i="26"/>
  <c r="C1345" i="26"/>
  <c r="C1346" i="26"/>
  <c r="C1347" i="26"/>
  <c r="C1348" i="26"/>
  <c r="C1349" i="26"/>
  <c r="C1350" i="26"/>
  <c r="C1351" i="26"/>
  <c r="C1352" i="26"/>
  <c r="C1353" i="26"/>
  <c r="C1354" i="26"/>
  <c r="C1355" i="26"/>
  <c r="C1356" i="26"/>
  <c r="C1357" i="26"/>
  <c r="C1358" i="26"/>
  <c r="C1359" i="26"/>
  <c r="C1360" i="26"/>
  <c r="C1361" i="26"/>
  <c r="C1362" i="26"/>
  <c r="C1363" i="26"/>
  <c r="C1364" i="26"/>
  <c r="C1365" i="26"/>
  <c r="C1366" i="26"/>
  <c r="C1367" i="26"/>
  <c r="C1368" i="26"/>
  <c r="C1369" i="26"/>
  <c r="C1370" i="26"/>
  <c r="C1371" i="26"/>
  <c r="C1372" i="26"/>
  <c r="C1373" i="26"/>
  <c r="C1374" i="26"/>
  <c r="C1375" i="26"/>
  <c r="C1376" i="26"/>
  <c r="C1377" i="26"/>
  <c r="C1378" i="26"/>
  <c r="C1379" i="26"/>
  <c r="C1380" i="26"/>
  <c r="C1381" i="26"/>
  <c r="C1382" i="26"/>
  <c r="C1383" i="26"/>
  <c r="C1384" i="26"/>
  <c r="C1385" i="26"/>
  <c r="C1386" i="26"/>
  <c r="C1387" i="26"/>
  <c r="C1388" i="26"/>
  <c r="C1389" i="26"/>
  <c r="C1390" i="26"/>
  <c r="C1391" i="26"/>
  <c r="C1392" i="26"/>
  <c r="C1393" i="26"/>
  <c r="C1394" i="26"/>
  <c r="C1395" i="26"/>
  <c r="C1396" i="26"/>
  <c r="C1397" i="26"/>
  <c r="C1398" i="26"/>
  <c r="C1399" i="26"/>
  <c r="C1400" i="26"/>
  <c r="C1401" i="26"/>
  <c r="C1402" i="26"/>
  <c r="C1403" i="26"/>
  <c r="C1404" i="26"/>
  <c r="C1405" i="26"/>
  <c r="C1406" i="26"/>
  <c r="C1407" i="26"/>
  <c r="C1408" i="26"/>
  <c r="C1409" i="26"/>
  <c r="C1410" i="26"/>
  <c r="C1411" i="26"/>
  <c r="C1412" i="26"/>
  <c r="C1413" i="26"/>
  <c r="C1414" i="26"/>
  <c r="C1415" i="26"/>
  <c r="C1416" i="26"/>
  <c r="C1417" i="26"/>
  <c r="C1418" i="26"/>
  <c r="C1419" i="26"/>
  <c r="C1420" i="26"/>
  <c r="C1421" i="26"/>
  <c r="C1422" i="26"/>
  <c r="C1423" i="26"/>
  <c r="C1424" i="26"/>
  <c r="C1425" i="26"/>
  <c r="C1426" i="26"/>
  <c r="C1427" i="26"/>
  <c r="C1428" i="26"/>
  <c r="C1429" i="26"/>
  <c r="C1430" i="26"/>
  <c r="C1431" i="26"/>
  <c r="C1432" i="26"/>
  <c r="C1433" i="26"/>
  <c r="C1434" i="26"/>
  <c r="C1435" i="26"/>
  <c r="C1436" i="26"/>
  <c r="C1437" i="26"/>
  <c r="C1438" i="26"/>
  <c r="C1439" i="26"/>
  <c r="C1440" i="26"/>
  <c r="C1441" i="26"/>
  <c r="C1442" i="26"/>
  <c r="C1443" i="26"/>
  <c r="C1444" i="26"/>
  <c r="C1445" i="26"/>
  <c r="C1446" i="26"/>
  <c r="C1447" i="26"/>
  <c r="C1448" i="26"/>
  <c r="C1449" i="26"/>
  <c r="C1450" i="26"/>
  <c r="C1451" i="26"/>
  <c r="C1452" i="26"/>
  <c r="C1453" i="26"/>
  <c r="C1454" i="26"/>
  <c r="C1455" i="26"/>
  <c r="C1456" i="26"/>
  <c r="C1457" i="26"/>
  <c r="C1458" i="26"/>
  <c r="C1459" i="26"/>
  <c r="C1460" i="26"/>
  <c r="C1461" i="26"/>
  <c r="C1462" i="26"/>
  <c r="C1463" i="26"/>
  <c r="C1464" i="26"/>
  <c r="C1465" i="26"/>
  <c r="C1466" i="26"/>
  <c r="C1467" i="26"/>
  <c r="C1468" i="26"/>
  <c r="C1469" i="26"/>
  <c r="C1470" i="26"/>
  <c r="C1471" i="26"/>
  <c r="C1472" i="26"/>
  <c r="C1473" i="26"/>
  <c r="C1474" i="26"/>
  <c r="C1475" i="26"/>
  <c r="C1476" i="26"/>
  <c r="C1477" i="26"/>
  <c r="C1478" i="26"/>
  <c r="C1479" i="26"/>
  <c r="C1480" i="26"/>
  <c r="C1481" i="26"/>
  <c r="C1482" i="26"/>
  <c r="C1483" i="26"/>
  <c r="C1484" i="26"/>
  <c r="C1485" i="26"/>
  <c r="C1486" i="26"/>
  <c r="C1487" i="26"/>
  <c r="C1488" i="26"/>
  <c r="C1489" i="26"/>
  <c r="C1490" i="26"/>
  <c r="C1491" i="26"/>
  <c r="C1492" i="26"/>
  <c r="C1493" i="26"/>
  <c r="C1494" i="26"/>
  <c r="C1495" i="26"/>
  <c r="C1496" i="26"/>
  <c r="C1497" i="26"/>
  <c r="C1498" i="26"/>
  <c r="C1499" i="26"/>
  <c r="C1500" i="26"/>
  <c r="C1501" i="26"/>
  <c r="C1502" i="26"/>
  <c r="C1503" i="26"/>
  <c r="C1504" i="26"/>
  <c r="C1505" i="26"/>
  <c r="C1506" i="26"/>
  <c r="C1507" i="26"/>
  <c r="C1508" i="26"/>
  <c r="C1509" i="26"/>
  <c r="C1510" i="26"/>
  <c r="C1511" i="26"/>
  <c r="C1512" i="26"/>
  <c r="C1513" i="26"/>
  <c r="C1514" i="26"/>
  <c r="C1515" i="26"/>
  <c r="C1516" i="26"/>
  <c r="C1517" i="26"/>
  <c r="C1518" i="26"/>
  <c r="C1519" i="26"/>
  <c r="C1520" i="26"/>
  <c r="C1521" i="26"/>
  <c r="C1522" i="26"/>
  <c r="C1523" i="26"/>
  <c r="C1524" i="26"/>
  <c r="C1525" i="26"/>
  <c r="C1526" i="26"/>
  <c r="C1527" i="26"/>
  <c r="C1528" i="26"/>
  <c r="C1529" i="26"/>
  <c r="C1530" i="26"/>
  <c r="C1531" i="26"/>
  <c r="C1532" i="26"/>
  <c r="C1533" i="26"/>
  <c r="C1534" i="26"/>
  <c r="C1535" i="26"/>
  <c r="C1536" i="26"/>
  <c r="C1537" i="26"/>
  <c r="C1538" i="26"/>
  <c r="C1539" i="26"/>
  <c r="C1540" i="26"/>
  <c r="C1541" i="26"/>
  <c r="C1542" i="26"/>
  <c r="C1543" i="26"/>
  <c r="C1544" i="26"/>
  <c r="C1545" i="26"/>
  <c r="C1546" i="26"/>
  <c r="C1547" i="26"/>
  <c r="C1548" i="26"/>
  <c r="C1549" i="26"/>
  <c r="C1550" i="26"/>
  <c r="C1551" i="26"/>
  <c r="C1552" i="26"/>
  <c r="C1553" i="26"/>
  <c r="C1554" i="26"/>
  <c r="C1555" i="26"/>
  <c r="C1556" i="26"/>
  <c r="C1557" i="26"/>
  <c r="C1558" i="26"/>
  <c r="C1559" i="26"/>
  <c r="C1560" i="26"/>
  <c r="C1561" i="26"/>
  <c r="C1562" i="26"/>
  <c r="C1563" i="26"/>
  <c r="C1564" i="26"/>
  <c r="C1565" i="26"/>
  <c r="C1566" i="26"/>
  <c r="C1567" i="26"/>
  <c r="C1568" i="26"/>
  <c r="C1569" i="26"/>
  <c r="C1570" i="26"/>
  <c r="C1571" i="26"/>
  <c r="C1572" i="26"/>
  <c r="C1573" i="26"/>
  <c r="C1574" i="26"/>
  <c r="C1575" i="26"/>
  <c r="C1576" i="26"/>
  <c r="C1577" i="26"/>
  <c r="C1578" i="26"/>
  <c r="C1579" i="26"/>
  <c r="C1580" i="26"/>
  <c r="C1581" i="26"/>
  <c r="C1582" i="26"/>
  <c r="C1583" i="26"/>
  <c r="C1584" i="26"/>
  <c r="C1585" i="26"/>
  <c r="C1586" i="26"/>
  <c r="C1587" i="26"/>
  <c r="C1588" i="26"/>
  <c r="C1589" i="26"/>
  <c r="C1590" i="26"/>
  <c r="C1591" i="26"/>
  <c r="C1592" i="26"/>
  <c r="C1593" i="26"/>
  <c r="C1594" i="26"/>
  <c r="C1595" i="26"/>
  <c r="C1596" i="26"/>
  <c r="C1597" i="26"/>
  <c r="C1598" i="26"/>
  <c r="C1599" i="26"/>
  <c r="C1600" i="26"/>
  <c r="C1601" i="26"/>
  <c r="C1602" i="26"/>
  <c r="C1603" i="26"/>
  <c r="C1604" i="26"/>
  <c r="C1605" i="26"/>
  <c r="C1606" i="26"/>
  <c r="C1607" i="26"/>
  <c r="C1608" i="26"/>
  <c r="C1609" i="26"/>
  <c r="C1610" i="26"/>
  <c r="C1611" i="26"/>
  <c r="C1612" i="26"/>
  <c r="C1613" i="26"/>
  <c r="C1614" i="26"/>
  <c r="C1615" i="26"/>
  <c r="C1616" i="26"/>
  <c r="C1617" i="26"/>
  <c r="C1618" i="26"/>
  <c r="C1619" i="26"/>
  <c r="C1620" i="26"/>
  <c r="C1621" i="26"/>
  <c r="C1622" i="26"/>
  <c r="C1623" i="26"/>
  <c r="C1624" i="26"/>
  <c r="C1625" i="26"/>
  <c r="C1626" i="26"/>
  <c r="C1627" i="26"/>
  <c r="C1628" i="26"/>
  <c r="C1629" i="26"/>
  <c r="C1630" i="26"/>
  <c r="C1631" i="26"/>
  <c r="C1632" i="26"/>
  <c r="C1633" i="26"/>
  <c r="C1634" i="26"/>
  <c r="C1635" i="26"/>
  <c r="C1636" i="26"/>
  <c r="C1637" i="26"/>
  <c r="C1638" i="26"/>
  <c r="C1639" i="26"/>
  <c r="C1640" i="26"/>
  <c r="C1641" i="26"/>
  <c r="C1642" i="26"/>
  <c r="C1643" i="26"/>
  <c r="C1644" i="26"/>
  <c r="C1645" i="26"/>
  <c r="C1646" i="26"/>
  <c r="C1647" i="26"/>
  <c r="C1648" i="26"/>
  <c r="C1649" i="26"/>
  <c r="C1650" i="26"/>
  <c r="C1651" i="26"/>
  <c r="C1652" i="26"/>
  <c r="C1653" i="26"/>
  <c r="C1654" i="26"/>
  <c r="C1655" i="26"/>
  <c r="C1656" i="26"/>
  <c r="C1657" i="26"/>
  <c r="C1658" i="26"/>
  <c r="C1659" i="26"/>
  <c r="C1660" i="26"/>
  <c r="C1661" i="26"/>
  <c r="C1662" i="26"/>
  <c r="C1663" i="26"/>
  <c r="C1664" i="26"/>
  <c r="C1665" i="26"/>
  <c r="C1666" i="26"/>
  <c r="C1667" i="26"/>
  <c r="C1668" i="26"/>
  <c r="C1669" i="26"/>
  <c r="C1670" i="26"/>
  <c r="C1671" i="26"/>
  <c r="C1672" i="26"/>
  <c r="C1673" i="26"/>
  <c r="C1674" i="26"/>
  <c r="C1675" i="26"/>
  <c r="C1676" i="26"/>
  <c r="C1677" i="26"/>
  <c r="C1678" i="26"/>
  <c r="C1679" i="26"/>
  <c r="C1680" i="26"/>
  <c r="C1681" i="26"/>
  <c r="C1682" i="26"/>
  <c r="C1683" i="26"/>
  <c r="C1684" i="26"/>
  <c r="C1685" i="26"/>
  <c r="C1686" i="26"/>
  <c r="C1687" i="26"/>
  <c r="C1688" i="26"/>
  <c r="C1689" i="26"/>
  <c r="C1690" i="26"/>
  <c r="C1691" i="26"/>
  <c r="C1692" i="26"/>
  <c r="C1693" i="26"/>
  <c r="C1694" i="26"/>
  <c r="C1695" i="26"/>
  <c r="C1696" i="26"/>
  <c r="C1697" i="26"/>
  <c r="C1698" i="26"/>
  <c r="C1699" i="26"/>
  <c r="C1700" i="26"/>
  <c r="C1701" i="26"/>
  <c r="C1702" i="26"/>
  <c r="C1703" i="26"/>
  <c r="C1704" i="26"/>
  <c r="C1705" i="26"/>
  <c r="C1706" i="26"/>
  <c r="C1707" i="26"/>
  <c r="C1708" i="26"/>
  <c r="C1709" i="26"/>
  <c r="C1710" i="26"/>
  <c r="C1711" i="26"/>
  <c r="C1712" i="26"/>
  <c r="C1713" i="26"/>
  <c r="C1714" i="26"/>
  <c r="C1715" i="26"/>
  <c r="C1716" i="26"/>
  <c r="C1717" i="26"/>
  <c r="C1718" i="26"/>
  <c r="C1719" i="26"/>
  <c r="C1720" i="26"/>
  <c r="C1721" i="26"/>
  <c r="C1722" i="26"/>
  <c r="C1723" i="26"/>
  <c r="C1724" i="26"/>
  <c r="C1725" i="26"/>
  <c r="C1726" i="26"/>
  <c r="C1727" i="26"/>
  <c r="C1728" i="26"/>
  <c r="C1729" i="26"/>
  <c r="C1730" i="26"/>
  <c r="C1731" i="26"/>
  <c r="C1732" i="26"/>
  <c r="C1733" i="26"/>
  <c r="C1734" i="26"/>
  <c r="C1735" i="26"/>
  <c r="C1736" i="26"/>
  <c r="C1737" i="26"/>
  <c r="C1738" i="26"/>
  <c r="C1739" i="26"/>
  <c r="C1740" i="26"/>
  <c r="C1741" i="26"/>
  <c r="C1742" i="26"/>
  <c r="C1743" i="26"/>
  <c r="C1744" i="26"/>
  <c r="C1745" i="26"/>
  <c r="C1746" i="26"/>
  <c r="C1747" i="26"/>
  <c r="C1748" i="26"/>
  <c r="C1749" i="26"/>
  <c r="C1750" i="26"/>
  <c r="C1751" i="26"/>
  <c r="C1752" i="26"/>
  <c r="C1753" i="26"/>
  <c r="C1754" i="26"/>
  <c r="C1755" i="26"/>
  <c r="C1756" i="26"/>
  <c r="C1757" i="26"/>
  <c r="C1758" i="26"/>
  <c r="C1759" i="26"/>
  <c r="C1760" i="26"/>
  <c r="C1761" i="26"/>
  <c r="C1762" i="26"/>
  <c r="C1763" i="26"/>
  <c r="C1764" i="26"/>
  <c r="C1765" i="26"/>
  <c r="C1766" i="26"/>
  <c r="C1767" i="26"/>
  <c r="C1768" i="26"/>
  <c r="C1769" i="26"/>
  <c r="C1770" i="26"/>
  <c r="C1771" i="26"/>
  <c r="C1772" i="26"/>
  <c r="C1773" i="26"/>
  <c r="C1774" i="26"/>
  <c r="C1775" i="26"/>
  <c r="C1776" i="26"/>
  <c r="C1777" i="26"/>
  <c r="C1778" i="26"/>
  <c r="C1779" i="26"/>
  <c r="C1780" i="26"/>
  <c r="C1781" i="26"/>
  <c r="C1782" i="26"/>
  <c r="C1783" i="26"/>
  <c r="C1784" i="26"/>
  <c r="C1785" i="26"/>
  <c r="C1786" i="26"/>
  <c r="C1787" i="26"/>
  <c r="C1788" i="26"/>
  <c r="C1789" i="26"/>
  <c r="C1790" i="26"/>
  <c r="C1791" i="26"/>
  <c r="C1792" i="26"/>
  <c r="C1793" i="26"/>
  <c r="C1794" i="26"/>
  <c r="C1795" i="26"/>
  <c r="C1796" i="26"/>
  <c r="C1797" i="26"/>
  <c r="C1798" i="26"/>
  <c r="C1799" i="26"/>
  <c r="C1800" i="26"/>
  <c r="C1801" i="26"/>
  <c r="C1802" i="26"/>
  <c r="C1803" i="26"/>
  <c r="C1804" i="26"/>
  <c r="C1805" i="26"/>
  <c r="C1806" i="26"/>
  <c r="C1807" i="26"/>
  <c r="C1808" i="26"/>
  <c r="C1809" i="26"/>
  <c r="C1810" i="26"/>
  <c r="C1811" i="26"/>
  <c r="C1812" i="26"/>
  <c r="C1813" i="26"/>
  <c r="C1814" i="26"/>
  <c r="C1815" i="26"/>
  <c r="C1816" i="26"/>
  <c r="C1817" i="26"/>
  <c r="C1818" i="26"/>
  <c r="C1819" i="26"/>
  <c r="C1820" i="26"/>
  <c r="C1821" i="26"/>
  <c r="C1822" i="26"/>
  <c r="C1823" i="26"/>
  <c r="C1824" i="26"/>
  <c r="C1825" i="26"/>
  <c r="C1826" i="26"/>
  <c r="C1827" i="26"/>
  <c r="C1828" i="26"/>
  <c r="C1829" i="26"/>
  <c r="C1830" i="26"/>
  <c r="C1831" i="26"/>
  <c r="C1832" i="26"/>
  <c r="C1833" i="26"/>
  <c r="C1834" i="26"/>
  <c r="C1835" i="26"/>
  <c r="C1836" i="26"/>
  <c r="C1837" i="26"/>
  <c r="C1838" i="26"/>
  <c r="C1839" i="26"/>
  <c r="C1840" i="26"/>
  <c r="C1841" i="26"/>
  <c r="C1842" i="26"/>
  <c r="C1843" i="26"/>
  <c r="C1844" i="26"/>
  <c r="C1845" i="26"/>
  <c r="C1846" i="26"/>
  <c r="C1847" i="26"/>
  <c r="C1848" i="26"/>
  <c r="C1849" i="26"/>
  <c r="C1850" i="26"/>
  <c r="C1851" i="26"/>
  <c r="C1852" i="26"/>
  <c r="C1853" i="26"/>
  <c r="C1854" i="26"/>
  <c r="C1855" i="26"/>
  <c r="C1856" i="26"/>
  <c r="C1857" i="26"/>
  <c r="C1858" i="26"/>
  <c r="C1859" i="26"/>
  <c r="C1860" i="26"/>
  <c r="C1861" i="26"/>
  <c r="C1862" i="26"/>
  <c r="C1863" i="26"/>
  <c r="C1864" i="26"/>
  <c r="C1865" i="26"/>
  <c r="C1866" i="26"/>
  <c r="C1867" i="26"/>
  <c r="C1868" i="26"/>
  <c r="C1869" i="26"/>
  <c r="C1870" i="26"/>
  <c r="C1871" i="26"/>
  <c r="C1872" i="26"/>
  <c r="C1873" i="26"/>
  <c r="C1874" i="26"/>
  <c r="C1875" i="26"/>
  <c r="C1876" i="26"/>
  <c r="C1877" i="26"/>
  <c r="C1878" i="26"/>
  <c r="C1879" i="26"/>
  <c r="C1880" i="26"/>
  <c r="C1881" i="26"/>
  <c r="C1882" i="26"/>
  <c r="C1883" i="26"/>
  <c r="C1884" i="26"/>
  <c r="C1885" i="26"/>
  <c r="C1886" i="26"/>
  <c r="C1887" i="26"/>
  <c r="C1888" i="26"/>
  <c r="C1889" i="26"/>
  <c r="C1890" i="26"/>
  <c r="C1891" i="26"/>
  <c r="C1892" i="26"/>
  <c r="C1893" i="26"/>
  <c r="C1894" i="26"/>
  <c r="C1895" i="26"/>
  <c r="C1896" i="26"/>
  <c r="C1897" i="26"/>
  <c r="C1898" i="26"/>
  <c r="C1899" i="26"/>
  <c r="C1900" i="26"/>
  <c r="C1901" i="26"/>
  <c r="C1902" i="26"/>
  <c r="C1903" i="26"/>
  <c r="C1904" i="26"/>
  <c r="C1905" i="26"/>
  <c r="C1906" i="26"/>
  <c r="C1907" i="26"/>
  <c r="C1908" i="26"/>
  <c r="C1909" i="26"/>
  <c r="C1910" i="26"/>
  <c r="C1911" i="26"/>
  <c r="C1912" i="26"/>
  <c r="C1913" i="26"/>
  <c r="C1914" i="26"/>
  <c r="C1915" i="26"/>
  <c r="C1916" i="26"/>
  <c r="C1917" i="26"/>
  <c r="C1918" i="26"/>
  <c r="C1919" i="26"/>
  <c r="C1920" i="26"/>
  <c r="C1921" i="26"/>
  <c r="C1922" i="26"/>
  <c r="C1923" i="26"/>
  <c r="C1924" i="26"/>
  <c r="C1925" i="26"/>
  <c r="C1926" i="26"/>
  <c r="C1927" i="26"/>
  <c r="C1928" i="26"/>
  <c r="C1929" i="26"/>
  <c r="C1930" i="26"/>
  <c r="C1931" i="26"/>
  <c r="C1932" i="26"/>
  <c r="C1933" i="26"/>
  <c r="C1934" i="26"/>
  <c r="C1935" i="26"/>
  <c r="C1936" i="26"/>
  <c r="C1937" i="26"/>
  <c r="C1938" i="26"/>
  <c r="C1939" i="26"/>
  <c r="C1940" i="26"/>
  <c r="C1941" i="26"/>
  <c r="C1942" i="26"/>
  <c r="C1943" i="26"/>
  <c r="C1944" i="26"/>
  <c r="C1945" i="26"/>
  <c r="C1946" i="26"/>
  <c r="C1947" i="26"/>
  <c r="C1948" i="26"/>
  <c r="C1949" i="26"/>
  <c r="C1950" i="26"/>
  <c r="C1951" i="26"/>
  <c r="C1952" i="26"/>
  <c r="C1953" i="26"/>
  <c r="C1954" i="26"/>
  <c r="C1955" i="26"/>
  <c r="C1956" i="26"/>
  <c r="C1957" i="26"/>
  <c r="C1958" i="26"/>
  <c r="C1959" i="26"/>
  <c r="C1960" i="26"/>
  <c r="C1961" i="26"/>
  <c r="C1962" i="26"/>
  <c r="C1963" i="26"/>
  <c r="C1964" i="26"/>
  <c r="C1965" i="26"/>
  <c r="C1966" i="26"/>
  <c r="C1967" i="26"/>
  <c r="C1968" i="26"/>
  <c r="C1969" i="26"/>
  <c r="C1970" i="26"/>
  <c r="C1971" i="26"/>
  <c r="C1972" i="26"/>
  <c r="C1973" i="26"/>
  <c r="C1974" i="26"/>
  <c r="C1975" i="26"/>
  <c r="C1976" i="26"/>
  <c r="C1977" i="26"/>
  <c r="C1978" i="26"/>
  <c r="C1979" i="26"/>
  <c r="C1980" i="26"/>
  <c r="C1981" i="26"/>
  <c r="C1982" i="26"/>
  <c r="C1983" i="26"/>
  <c r="C1984" i="26"/>
  <c r="C1985" i="26"/>
  <c r="C1986" i="26"/>
  <c r="C1987" i="26"/>
  <c r="C1988" i="26"/>
  <c r="C1989" i="26"/>
  <c r="C1990" i="26"/>
  <c r="C1991" i="26"/>
  <c r="C1992" i="26"/>
  <c r="C1993" i="26"/>
  <c r="C1994" i="26"/>
  <c r="C1995" i="26"/>
  <c r="C1996" i="26"/>
  <c r="C1997" i="26"/>
  <c r="C1998" i="26"/>
  <c r="C1999" i="26"/>
  <c r="C2000" i="26"/>
  <c r="C2001" i="26"/>
  <c r="C2002" i="26"/>
  <c r="C2003" i="26"/>
  <c r="C2004" i="26"/>
  <c r="C2005" i="26"/>
  <c r="C2006" i="26"/>
  <c r="C2007" i="26"/>
  <c r="C2008" i="26"/>
  <c r="C2009" i="26"/>
  <c r="C2010" i="26"/>
  <c r="C2011" i="26"/>
  <c r="C2012" i="26"/>
  <c r="C2013" i="26"/>
  <c r="C2014" i="26"/>
  <c r="C2015" i="26"/>
  <c r="C2016" i="26"/>
  <c r="C2017" i="26"/>
  <c r="C2018" i="26"/>
  <c r="C2019" i="26"/>
  <c r="C2020" i="26"/>
  <c r="C2021" i="26"/>
  <c r="C2022" i="26"/>
  <c r="C2023" i="26"/>
  <c r="C2024" i="26"/>
  <c r="C2025" i="26"/>
  <c r="C2026" i="26"/>
  <c r="C2027" i="26"/>
  <c r="C2028" i="26"/>
  <c r="C2029" i="26"/>
  <c r="C2030" i="26"/>
  <c r="C2031" i="26"/>
  <c r="C2032" i="26"/>
  <c r="C2033" i="26"/>
  <c r="C2034" i="26"/>
  <c r="C2035" i="26"/>
  <c r="C2036" i="26"/>
  <c r="C2037" i="26"/>
  <c r="C2038" i="26"/>
  <c r="C2039" i="26"/>
  <c r="C2040" i="26"/>
  <c r="C2041" i="26"/>
  <c r="C2042" i="26"/>
  <c r="C2043" i="26"/>
  <c r="C2044" i="26"/>
  <c r="C2045" i="26"/>
  <c r="C2046" i="26"/>
  <c r="C2047" i="26"/>
  <c r="C2048" i="26"/>
  <c r="C2049" i="26"/>
  <c r="C2050" i="26"/>
  <c r="C2051" i="26"/>
  <c r="C2052" i="26"/>
  <c r="C2053" i="26"/>
  <c r="C2054" i="26"/>
  <c r="C2055" i="26"/>
  <c r="C2056" i="26"/>
  <c r="C2057" i="26"/>
  <c r="C2058" i="26"/>
  <c r="C2059" i="26"/>
  <c r="C2060" i="26"/>
  <c r="C2061" i="26"/>
  <c r="C2062" i="26"/>
  <c r="C2063" i="26"/>
  <c r="C2064" i="26"/>
  <c r="C2065" i="26"/>
  <c r="C2066" i="26"/>
  <c r="C2067" i="26"/>
  <c r="C2068" i="26"/>
  <c r="C2069" i="26"/>
  <c r="C2070" i="26"/>
  <c r="C2071" i="26"/>
  <c r="C2072" i="26"/>
  <c r="C2073" i="26"/>
  <c r="C2074" i="26"/>
  <c r="C2075" i="26"/>
  <c r="C2076" i="26"/>
  <c r="C2077" i="26"/>
  <c r="C2078" i="26"/>
  <c r="C2079" i="26"/>
  <c r="C2080" i="26"/>
  <c r="C2081" i="26"/>
  <c r="C2082" i="26"/>
  <c r="C2083" i="26"/>
  <c r="C2084" i="26"/>
  <c r="C2085" i="26"/>
  <c r="C2086" i="26"/>
  <c r="C2087" i="26"/>
  <c r="C2088" i="26"/>
  <c r="C2089" i="26"/>
  <c r="C2090" i="26"/>
  <c r="C2091" i="26"/>
  <c r="C2092" i="26"/>
  <c r="C2093" i="26"/>
  <c r="C2094" i="26"/>
  <c r="C2095" i="26"/>
  <c r="C2096" i="26"/>
  <c r="C2097" i="26"/>
  <c r="C2098" i="26"/>
  <c r="C2099" i="26"/>
  <c r="C2100" i="26"/>
  <c r="C2101" i="26"/>
  <c r="C2102" i="26"/>
  <c r="C2103" i="26"/>
  <c r="C2104" i="26"/>
  <c r="C2105" i="26"/>
  <c r="C2106" i="26"/>
  <c r="C2107" i="26"/>
  <c r="C2108" i="26"/>
  <c r="C2109" i="26"/>
  <c r="C2110" i="26"/>
  <c r="C2111" i="26"/>
  <c r="C2112" i="26"/>
  <c r="C2113" i="26"/>
  <c r="C2114" i="26"/>
  <c r="C2115" i="26"/>
  <c r="C2116" i="26"/>
  <c r="C2117" i="26"/>
  <c r="C2118" i="26"/>
  <c r="C2119" i="26"/>
  <c r="C2120" i="26"/>
  <c r="C2121" i="26"/>
  <c r="C2122" i="26"/>
  <c r="C2123" i="26"/>
  <c r="C2124" i="26"/>
  <c r="C2125" i="26"/>
  <c r="C2126" i="26"/>
  <c r="C2127" i="26"/>
  <c r="C2128" i="26"/>
  <c r="C2129" i="26"/>
  <c r="C2130" i="26"/>
  <c r="C2131" i="26"/>
  <c r="C2132" i="26"/>
  <c r="C2133" i="26"/>
  <c r="C2134" i="26"/>
  <c r="C2135" i="26"/>
  <c r="C2136" i="26"/>
  <c r="C2137" i="26"/>
  <c r="C2138" i="26"/>
  <c r="C2139" i="26"/>
  <c r="C2140" i="26"/>
  <c r="C2141" i="26"/>
  <c r="C2142" i="26"/>
  <c r="C2143" i="26"/>
  <c r="C2144" i="26"/>
  <c r="C2145" i="26"/>
  <c r="C2146" i="26"/>
  <c r="C2147" i="26"/>
  <c r="C2148" i="26"/>
  <c r="C2149" i="26"/>
  <c r="C2150" i="26"/>
  <c r="C2151" i="26"/>
  <c r="C2152" i="26"/>
  <c r="C2153" i="26"/>
  <c r="C2154" i="26"/>
  <c r="C2155" i="26"/>
  <c r="C2156" i="26"/>
  <c r="C2157" i="26"/>
  <c r="C2158" i="26"/>
  <c r="C2159" i="26"/>
  <c r="C2160" i="26"/>
  <c r="C2161" i="26"/>
  <c r="C2162" i="26"/>
  <c r="C2163" i="26"/>
  <c r="C2164" i="26"/>
  <c r="C2165" i="26"/>
  <c r="C2166" i="26"/>
  <c r="C2167" i="26"/>
  <c r="C2168" i="26"/>
  <c r="C2169" i="26"/>
  <c r="C2170" i="26"/>
  <c r="C2171" i="26"/>
  <c r="C2172" i="26"/>
  <c r="C2173" i="26"/>
  <c r="C2174" i="26"/>
  <c r="C2175" i="26"/>
  <c r="C2176" i="26"/>
  <c r="C2177" i="26"/>
  <c r="C2178" i="26"/>
  <c r="C2179" i="26"/>
  <c r="C2180" i="26"/>
  <c r="C2181" i="26"/>
  <c r="C2182" i="26"/>
  <c r="C2183" i="26"/>
  <c r="C2184" i="26"/>
  <c r="C2185" i="26"/>
  <c r="C2186" i="26"/>
  <c r="C2187" i="26"/>
  <c r="C2188" i="26"/>
  <c r="C2189" i="26"/>
  <c r="C2190" i="26"/>
  <c r="C2191" i="26"/>
  <c r="C2192" i="26"/>
  <c r="C2193" i="26"/>
  <c r="C2194" i="26"/>
  <c r="C2195" i="26"/>
  <c r="C2196" i="26"/>
  <c r="C2197" i="26"/>
  <c r="C2198" i="26"/>
  <c r="C2199" i="26"/>
  <c r="C2200" i="26"/>
  <c r="C2201" i="26"/>
  <c r="C2202" i="26"/>
  <c r="C2203" i="26"/>
  <c r="C2204" i="26"/>
  <c r="C2205" i="26"/>
  <c r="C2206" i="26"/>
  <c r="C2207" i="26"/>
  <c r="C2208" i="26"/>
  <c r="C2209" i="26"/>
  <c r="C2210" i="26"/>
  <c r="C2211" i="26"/>
  <c r="C2212" i="26"/>
  <c r="C2213" i="26"/>
  <c r="C2214" i="26"/>
  <c r="C2215" i="26"/>
  <c r="C2216" i="26"/>
  <c r="C2217" i="26"/>
  <c r="C2218" i="26"/>
  <c r="C2219" i="26"/>
  <c r="C2220" i="26"/>
  <c r="C2221" i="26"/>
  <c r="C2222" i="26"/>
  <c r="C2223" i="26"/>
  <c r="C2224" i="26"/>
  <c r="C2225" i="26"/>
  <c r="C2226" i="26"/>
  <c r="C2227" i="26"/>
  <c r="C2228" i="26"/>
  <c r="C2229" i="26"/>
  <c r="C2230" i="26"/>
  <c r="C2231" i="26"/>
  <c r="C2232" i="26"/>
  <c r="C2233" i="26"/>
  <c r="C2234" i="26"/>
  <c r="C2235" i="26"/>
  <c r="C2236" i="26"/>
  <c r="C2237" i="26"/>
  <c r="C2238" i="26"/>
  <c r="C2239" i="26"/>
  <c r="C2240" i="26"/>
  <c r="C2241" i="26"/>
  <c r="C2242" i="26"/>
  <c r="C2243" i="26"/>
  <c r="C2244" i="26"/>
  <c r="C2245" i="26"/>
  <c r="C2246" i="26"/>
  <c r="C2247" i="26"/>
  <c r="C2248" i="26"/>
  <c r="C2249" i="26"/>
  <c r="C2250" i="26"/>
  <c r="C2251" i="26"/>
  <c r="C2252" i="26"/>
  <c r="C2253" i="26"/>
  <c r="C2254" i="26"/>
  <c r="C2255" i="26"/>
  <c r="C2256" i="26"/>
  <c r="C2257" i="26"/>
  <c r="C2258" i="26"/>
  <c r="C2259" i="26"/>
  <c r="C2260" i="26"/>
  <c r="C2261" i="26"/>
  <c r="C2262" i="26"/>
  <c r="C2263" i="26"/>
  <c r="C2264" i="26"/>
  <c r="C2265" i="26"/>
  <c r="C2266" i="26"/>
  <c r="C2267" i="26"/>
  <c r="C2268" i="26"/>
  <c r="C2269" i="26"/>
  <c r="C2270" i="26"/>
  <c r="C2271" i="26"/>
  <c r="C2272" i="26"/>
  <c r="C2273" i="26"/>
  <c r="C2274" i="26"/>
  <c r="C2275" i="26"/>
  <c r="C2276" i="26"/>
  <c r="C2277" i="26"/>
  <c r="C2278" i="26"/>
  <c r="C2279" i="26"/>
  <c r="C2280" i="26"/>
  <c r="C2281" i="26"/>
  <c r="C2282" i="26"/>
  <c r="C2283" i="26"/>
  <c r="C2284" i="26"/>
  <c r="C2285" i="26"/>
  <c r="C2286" i="26"/>
  <c r="C2287" i="26"/>
  <c r="C2288" i="26"/>
  <c r="C2289" i="26"/>
  <c r="C2290" i="26"/>
  <c r="C2291" i="26"/>
  <c r="C2292" i="26"/>
  <c r="C2293" i="26"/>
  <c r="C2294" i="26"/>
  <c r="C2295" i="26"/>
  <c r="C2296" i="26"/>
  <c r="C2297" i="26"/>
  <c r="C2298" i="26"/>
  <c r="C2299" i="26"/>
  <c r="C2300" i="26"/>
  <c r="C2301" i="26"/>
  <c r="C2302" i="26"/>
  <c r="C2303" i="26"/>
  <c r="C2304" i="26"/>
  <c r="C2305" i="26"/>
  <c r="C2306" i="26"/>
  <c r="C2307" i="26"/>
  <c r="C2308" i="26"/>
  <c r="C2309" i="26"/>
  <c r="C2310" i="26"/>
  <c r="C2311" i="26"/>
  <c r="C2312" i="26"/>
  <c r="C2313" i="26"/>
  <c r="C2314" i="26"/>
  <c r="C2315" i="26"/>
  <c r="C2316" i="26"/>
  <c r="C2317" i="26"/>
  <c r="C2318" i="26"/>
  <c r="C2319" i="26"/>
  <c r="C2320" i="26"/>
  <c r="C2321" i="26"/>
  <c r="C2322" i="26"/>
  <c r="C2323" i="26"/>
  <c r="C2324" i="26"/>
  <c r="C2325" i="26"/>
  <c r="C2326" i="26"/>
  <c r="C2327" i="26"/>
  <c r="C2328" i="26"/>
  <c r="C2329" i="26"/>
  <c r="C2330" i="26"/>
  <c r="C2331" i="26"/>
  <c r="C2332" i="26"/>
  <c r="C2333" i="26"/>
  <c r="C2334" i="26"/>
  <c r="C2335" i="26"/>
  <c r="C2336" i="26"/>
  <c r="C2337" i="26"/>
  <c r="C2338" i="26"/>
  <c r="C2339" i="26"/>
  <c r="C2340" i="26"/>
  <c r="C2341" i="26"/>
  <c r="C2342" i="26"/>
  <c r="C2343" i="26"/>
  <c r="C2344" i="26"/>
  <c r="C2345" i="26"/>
  <c r="C2346" i="26"/>
  <c r="C2347" i="26"/>
  <c r="C2348" i="26"/>
  <c r="C2349" i="26"/>
  <c r="C2350" i="26"/>
  <c r="C2351" i="26"/>
  <c r="C2352" i="26"/>
  <c r="C2353" i="26"/>
  <c r="C2354" i="26"/>
  <c r="C2355" i="26"/>
  <c r="C2356" i="26"/>
  <c r="C2357" i="26"/>
  <c r="C2358" i="26"/>
  <c r="C2359" i="26"/>
  <c r="C2360" i="26"/>
  <c r="C2361" i="26"/>
  <c r="C2362" i="26"/>
  <c r="C2363" i="26"/>
  <c r="C2364" i="26"/>
  <c r="C2365" i="26"/>
  <c r="C2366" i="26"/>
  <c r="C2367" i="26"/>
  <c r="C2368" i="26"/>
  <c r="C2369" i="26"/>
  <c r="C2370" i="26"/>
  <c r="C2371" i="26"/>
  <c r="C2372" i="26"/>
  <c r="C2373" i="26"/>
  <c r="C2374" i="26"/>
  <c r="C2375" i="26"/>
  <c r="C2376" i="26"/>
  <c r="C2377" i="26"/>
  <c r="C2378" i="26"/>
  <c r="C2379" i="26"/>
  <c r="C2380" i="26"/>
  <c r="C2381" i="26"/>
  <c r="C2382" i="26"/>
  <c r="C2383" i="26"/>
  <c r="C2384" i="26"/>
  <c r="C2385" i="26"/>
  <c r="C2386" i="26"/>
  <c r="C2387" i="26"/>
  <c r="C2388" i="26"/>
  <c r="C2389" i="26"/>
  <c r="C2390" i="26"/>
  <c r="C2391" i="26"/>
  <c r="C2392" i="26"/>
  <c r="C2393" i="26"/>
  <c r="C2394" i="26"/>
  <c r="C2395" i="26"/>
  <c r="C2396" i="26"/>
  <c r="C2397" i="26"/>
  <c r="C2398" i="26"/>
  <c r="C2399" i="26"/>
  <c r="C2400" i="26"/>
  <c r="C2401" i="26"/>
  <c r="C2" i="26"/>
  <c r="AA3" i="26"/>
  <c r="AA4" i="26"/>
  <c r="AA5" i="26"/>
  <c r="AA6" i="26"/>
  <c r="AA7" i="26"/>
  <c r="AA8" i="26"/>
  <c r="AA9" i="26"/>
  <c r="AA10" i="26"/>
  <c r="AA11" i="26"/>
  <c r="AA12" i="26"/>
  <c r="AA13" i="26"/>
  <c r="AA14" i="26"/>
  <c r="AA15" i="26"/>
  <c r="AA16" i="26"/>
  <c r="AA17" i="26"/>
  <c r="AA18" i="26"/>
  <c r="AA19" i="26"/>
  <c r="AA20" i="26"/>
  <c r="AA21" i="26"/>
  <c r="AA22" i="26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A41" i="26"/>
  <c r="AA42" i="26"/>
  <c r="AA43" i="26"/>
  <c r="AA44" i="26"/>
  <c r="AA45" i="26"/>
  <c r="AA46" i="26"/>
  <c r="AA47" i="26"/>
  <c r="AA48" i="26"/>
  <c r="AA49" i="26"/>
  <c r="AA50" i="26"/>
  <c r="AA51" i="26"/>
  <c r="AA52" i="26"/>
  <c r="AA53" i="26"/>
  <c r="AA54" i="26"/>
  <c r="AA55" i="26"/>
  <c r="AA56" i="26"/>
  <c r="AA57" i="26"/>
  <c r="AA58" i="26"/>
  <c r="AA59" i="26"/>
  <c r="AA60" i="26"/>
  <c r="AA61" i="26"/>
  <c r="AA62" i="26"/>
  <c r="AA63" i="26"/>
  <c r="AA64" i="26"/>
  <c r="AA65" i="26"/>
  <c r="AA66" i="26"/>
  <c r="AA67" i="26"/>
  <c r="AA68" i="26"/>
  <c r="AA69" i="26"/>
  <c r="AA70" i="26"/>
  <c r="AA71" i="26"/>
  <c r="AA72" i="26"/>
  <c r="AA73" i="26"/>
  <c r="AA74" i="26"/>
  <c r="AA75" i="26"/>
  <c r="AA76" i="26"/>
  <c r="AA77" i="26"/>
  <c r="AA78" i="26"/>
  <c r="AA79" i="26"/>
  <c r="AA80" i="26"/>
  <c r="AA81" i="26"/>
  <c r="AA82" i="26"/>
  <c r="AA83" i="26"/>
  <c r="AA84" i="26"/>
  <c r="AA85" i="26"/>
  <c r="AA86" i="26"/>
  <c r="AA87" i="26"/>
  <c r="AA88" i="26"/>
  <c r="AA89" i="26"/>
  <c r="AA90" i="26"/>
  <c r="AA91" i="26"/>
  <c r="AA92" i="26"/>
  <c r="AA93" i="26"/>
  <c r="AA94" i="26"/>
  <c r="AA95" i="26"/>
  <c r="AA96" i="26"/>
  <c r="AA97" i="26"/>
  <c r="AA98" i="26"/>
  <c r="AA99" i="26"/>
  <c r="AA100" i="26"/>
  <c r="AA101" i="26"/>
  <c r="AA102" i="26"/>
  <c r="AA103" i="26"/>
  <c r="AA104" i="26"/>
  <c r="AA105" i="26"/>
  <c r="AA106" i="26"/>
  <c r="AA107" i="26"/>
  <c r="AA108" i="26"/>
  <c r="AA109" i="26"/>
  <c r="AA110" i="26"/>
  <c r="AA111" i="26"/>
  <c r="AA112" i="26"/>
  <c r="AA113" i="26"/>
  <c r="AA114" i="26"/>
  <c r="AA115" i="26"/>
  <c r="AA116" i="26"/>
  <c r="AA117" i="26"/>
  <c r="AA118" i="26"/>
  <c r="AA119" i="26"/>
  <c r="AA120" i="26"/>
  <c r="AA121" i="26"/>
  <c r="AA122" i="26"/>
  <c r="AA123" i="26"/>
  <c r="AA124" i="26"/>
  <c r="AA125" i="26"/>
  <c r="AA126" i="26"/>
  <c r="AA127" i="26"/>
  <c r="AA128" i="26"/>
  <c r="AA129" i="26"/>
  <c r="AA130" i="26"/>
  <c r="AA131" i="26"/>
  <c r="AA132" i="26"/>
  <c r="AA133" i="26"/>
  <c r="AA134" i="26"/>
  <c r="AA135" i="26"/>
  <c r="AA136" i="26"/>
  <c r="AA137" i="26"/>
  <c r="AA138" i="26"/>
  <c r="AA139" i="26"/>
  <c r="AA140" i="26"/>
  <c r="AA141" i="26"/>
  <c r="AA142" i="26"/>
  <c r="AA143" i="26"/>
  <c r="AA144" i="26"/>
  <c r="AA145" i="26"/>
  <c r="AA146" i="26"/>
  <c r="AA147" i="26"/>
  <c r="AA148" i="26"/>
  <c r="AA149" i="26"/>
  <c r="AA150" i="26"/>
  <c r="AA151" i="26"/>
  <c r="AA152" i="26"/>
  <c r="AA153" i="26"/>
  <c r="AA154" i="26"/>
  <c r="AA155" i="26"/>
  <c r="AA156" i="26"/>
  <c r="AA157" i="26"/>
  <c r="AA158" i="26"/>
  <c r="AA159" i="26"/>
  <c r="AA160" i="26"/>
  <c r="AA161" i="26"/>
  <c r="AA162" i="26"/>
  <c r="AA163" i="26"/>
  <c r="AA164" i="26"/>
  <c r="AA165" i="26"/>
  <c r="AA166" i="26"/>
  <c r="AA167" i="26"/>
  <c r="AA168" i="26"/>
  <c r="AA169" i="26"/>
  <c r="AA170" i="26"/>
  <c r="AA171" i="26"/>
  <c r="AA172" i="26"/>
  <c r="AA173" i="26"/>
  <c r="AA174" i="26"/>
  <c r="AA175" i="26"/>
  <c r="AA176" i="26"/>
  <c r="AA177" i="26"/>
  <c r="AA178" i="26"/>
  <c r="AA179" i="26"/>
  <c r="AA180" i="26"/>
  <c r="AA181" i="26"/>
  <c r="AA182" i="26"/>
  <c r="AA183" i="26"/>
  <c r="AA184" i="26"/>
  <c r="AA185" i="26"/>
  <c r="AA186" i="26"/>
  <c r="AA187" i="26"/>
  <c r="AA188" i="26"/>
  <c r="AA189" i="26"/>
  <c r="AA190" i="26"/>
  <c r="AA191" i="26"/>
  <c r="AA192" i="26"/>
  <c r="AA193" i="26"/>
  <c r="AA194" i="26"/>
  <c r="AA195" i="26"/>
  <c r="AA196" i="26"/>
  <c r="AA197" i="26"/>
  <c r="AA198" i="26"/>
  <c r="AA199" i="26"/>
  <c r="AA200" i="26"/>
  <c r="AA201" i="26"/>
  <c r="AA202" i="26"/>
  <c r="AA203" i="26"/>
  <c r="AA204" i="26"/>
  <c r="AA205" i="26"/>
  <c r="AA206" i="26"/>
  <c r="AA207" i="26"/>
  <c r="AA208" i="26"/>
  <c r="AA209" i="26"/>
  <c r="AA210" i="26"/>
  <c r="AA211" i="26"/>
  <c r="AA212" i="26"/>
  <c r="AA213" i="26"/>
  <c r="AA214" i="26"/>
  <c r="AA215" i="26"/>
  <c r="AA216" i="26"/>
  <c r="AA217" i="26"/>
  <c r="AA218" i="26"/>
  <c r="AA219" i="26"/>
  <c r="AA220" i="26"/>
  <c r="AA221" i="26"/>
  <c r="AA222" i="26"/>
  <c r="AA223" i="26"/>
  <c r="AA224" i="26"/>
  <c r="AA225" i="26"/>
  <c r="AA226" i="26"/>
  <c r="AA227" i="26"/>
  <c r="AA228" i="26"/>
  <c r="AA229" i="26"/>
  <c r="AA230" i="26"/>
  <c r="AA231" i="26"/>
  <c r="AA232" i="26"/>
  <c r="AA233" i="26"/>
  <c r="AA234" i="26"/>
  <c r="AA235" i="26"/>
  <c r="AA236" i="26"/>
  <c r="AA237" i="26"/>
  <c r="AA238" i="26"/>
  <c r="AA239" i="26"/>
  <c r="AA240" i="26"/>
  <c r="AA241" i="26"/>
  <c r="AA242" i="26"/>
  <c r="AA243" i="26"/>
  <c r="AA244" i="26"/>
  <c r="AA245" i="26"/>
  <c r="AA246" i="26"/>
  <c r="AA247" i="26"/>
  <c r="AA248" i="26"/>
  <c r="AA249" i="26"/>
  <c r="AA250" i="26"/>
  <c r="AA251" i="26"/>
  <c r="AA252" i="26"/>
  <c r="AA253" i="26"/>
  <c r="AA254" i="26"/>
  <c r="AA255" i="26"/>
  <c r="AA256" i="26"/>
  <c r="AA257" i="26"/>
  <c r="AA258" i="26"/>
  <c r="AA259" i="26"/>
  <c r="AA260" i="26"/>
  <c r="AA261" i="26"/>
  <c r="AA262" i="26"/>
  <c r="AA263" i="26"/>
  <c r="AA264" i="26"/>
  <c r="AA265" i="26"/>
  <c r="AA266" i="26"/>
  <c r="AA267" i="26"/>
  <c r="AA268" i="26"/>
  <c r="AA269" i="26"/>
  <c r="AA270" i="26"/>
  <c r="AA271" i="26"/>
  <c r="AA272" i="26"/>
  <c r="AA273" i="26"/>
  <c r="AA274" i="26"/>
  <c r="AA275" i="26"/>
  <c r="AA276" i="26"/>
  <c r="AA277" i="26"/>
  <c r="AA278" i="26"/>
  <c r="AA279" i="26"/>
  <c r="AA280" i="26"/>
  <c r="AA281" i="26"/>
  <c r="AA282" i="26"/>
  <c r="AA283" i="26"/>
  <c r="AA284" i="26"/>
  <c r="AA285" i="26"/>
  <c r="AA286" i="26"/>
  <c r="AA287" i="26"/>
  <c r="AA288" i="26"/>
  <c r="AA289" i="26"/>
  <c r="AA290" i="26"/>
  <c r="AA291" i="26"/>
  <c r="AA292" i="26"/>
  <c r="AA293" i="26"/>
  <c r="AA294" i="26"/>
  <c r="AA295" i="26"/>
  <c r="AA296" i="26"/>
  <c r="AA297" i="26"/>
  <c r="AA298" i="26"/>
  <c r="AA299" i="26"/>
  <c r="AA300" i="26"/>
  <c r="AA301" i="26"/>
  <c r="AA302" i="26"/>
  <c r="AA303" i="26"/>
  <c r="AA304" i="26"/>
  <c r="AA305" i="26"/>
  <c r="AA306" i="26"/>
  <c r="AA307" i="26"/>
  <c r="AA308" i="26"/>
  <c r="AA309" i="26"/>
  <c r="AA310" i="26"/>
  <c r="AA311" i="26"/>
  <c r="AA312" i="26"/>
  <c r="AA313" i="26"/>
  <c r="AA314" i="26"/>
  <c r="AA315" i="26"/>
  <c r="AA316" i="26"/>
  <c r="AA317" i="26"/>
  <c r="AA318" i="26"/>
  <c r="AA319" i="26"/>
  <c r="AA320" i="26"/>
  <c r="AA321" i="26"/>
  <c r="AA322" i="26"/>
  <c r="AA323" i="26"/>
  <c r="AA324" i="26"/>
  <c r="AA325" i="26"/>
  <c r="AA326" i="26"/>
  <c r="AA327" i="26"/>
  <c r="AA328" i="26"/>
  <c r="AA329" i="26"/>
  <c r="AA330" i="26"/>
  <c r="AA331" i="26"/>
  <c r="AA332" i="26"/>
  <c r="AA333" i="26"/>
  <c r="AA334" i="26"/>
  <c r="AA335" i="26"/>
  <c r="AA336" i="26"/>
  <c r="AA337" i="26"/>
  <c r="AA338" i="26"/>
  <c r="AA339" i="26"/>
  <c r="AA340" i="26"/>
  <c r="AA341" i="26"/>
  <c r="AA342" i="26"/>
  <c r="AA343" i="26"/>
  <c r="AA344" i="26"/>
  <c r="AA345" i="26"/>
  <c r="AA346" i="26"/>
  <c r="AA347" i="26"/>
  <c r="AA348" i="26"/>
  <c r="AA349" i="26"/>
  <c r="AA350" i="26"/>
  <c r="AA351" i="26"/>
  <c r="AA352" i="26"/>
  <c r="AA353" i="26"/>
  <c r="AA354" i="26"/>
  <c r="AA355" i="26"/>
  <c r="AA356" i="26"/>
  <c r="AA357" i="26"/>
  <c r="AA358" i="26"/>
  <c r="AA359" i="26"/>
  <c r="AA360" i="26"/>
  <c r="AA361" i="26"/>
  <c r="AA362" i="26"/>
  <c r="AA363" i="26"/>
  <c r="AA364" i="26"/>
  <c r="AA365" i="26"/>
  <c r="AA366" i="26"/>
  <c r="AA367" i="26"/>
  <c r="AA368" i="26"/>
  <c r="AA369" i="26"/>
  <c r="AA370" i="26"/>
  <c r="AA371" i="26"/>
  <c r="AA372" i="26"/>
  <c r="AA373" i="26"/>
  <c r="AA374" i="26"/>
  <c r="AA375" i="26"/>
  <c r="AA376" i="26"/>
  <c r="AA377" i="26"/>
  <c r="AA378" i="26"/>
  <c r="AA379" i="26"/>
  <c r="AA380" i="26"/>
  <c r="AA381" i="26"/>
  <c r="AA382" i="26"/>
  <c r="AA383" i="26"/>
  <c r="AA384" i="26"/>
  <c r="AA385" i="26"/>
  <c r="AA386" i="26"/>
  <c r="AA387" i="26"/>
  <c r="AA388" i="26"/>
  <c r="AA389" i="26"/>
  <c r="AA390" i="26"/>
  <c r="AA391" i="26"/>
  <c r="AA392" i="26"/>
  <c r="AA393" i="26"/>
  <c r="AA394" i="26"/>
  <c r="AA395" i="26"/>
  <c r="AA396" i="26"/>
  <c r="AA397" i="26"/>
  <c r="AA398" i="26"/>
  <c r="AA399" i="26"/>
  <c r="AA400" i="26"/>
  <c r="AA401" i="26"/>
  <c r="AA402" i="26"/>
  <c r="AA403" i="26"/>
  <c r="AA404" i="26"/>
  <c r="AA405" i="26"/>
  <c r="AA406" i="26"/>
  <c r="AA407" i="26"/>
  <c r="AA408" i="26"/>
  <c r="AA409" i="26"/>
  <c r="AA410" i="26"/>
  <c r="AA411" i="26"/>
  <c r="AA412" i="26"/>
  <c r="AA413" i="26"/>
  <c r="AA414" i="26"/>
  <c r="AA415" i="26"/>
  <c r="AA416" i="26"/>
  <c r="AA417" i="26"/>
  <c r="AA418" i="26"/>
  <c r="AA419" i="26"/>
  <c r="AA420" i="26"/>
  <c r="AA421" i="26"/>
  <c r="AA422" i="26"/>
  <c r="AA423" i="26"/>
  <c r="AA424" i="26"/>
  <c r="AA425" i="26"/>
  <c r="AA426" i="26"/>
  <c r="AA427" i="26"/>
  <c r="AA428" i="26"/>
  <c r="AA429" i="26"/>
  <c r="AA430" i="26"/>
  <c r="AA431" i="26"/>
  <c r="AA432" i="26"/>
  <c r="AA433" i="26"/>
  <c r="AA434" i="26"/>
  <c r="AA435" i="26"/>
  <c r="AA436" i="26"/>
  <c r="AA437" i="26"/>
  <c r="AA438" i="26"/>
  <c r="AA439" i="26"/>
  <c r="AA440" i="26"/>
  <c r="AA441" i="26"/>
  <c r="AA442" i="26"/>
  <c r="AA443" i="26"/>
  <c r="AA444" i="26"/>
  <c r="AA445" i="26"/>
  <c r="AA446" i="26"/>
  <c r="AA447" i="26"/>
  <c r="AA448" i="26"/>
  <c r="AA449" i="26"/>
  <c r="AA450" i="26"/>
  <c r="AA451" i="26"/>
  <c r="AA452" i="26"/>
  <c r="AA453" i="26"/>
  <c r="AA454" i="26"/>
  <c r="AA455" i="26"/>
  <c r="AA456" i="26"/>
  <c r="AA457" i="26"/>
  <c r="AA458" i="26"/>
  <c r="AA459" i="26"/>
  <c r="AA460" i="26"/>
  <c r="AA461" i="26"/>
  <c r="AA462" i="26"/>
  <c r="AA463" i="26"/>
  <c r="AA464" i="26"/>
  <c r="AA465" i="26"/>
  <c r="AA466" i="26"/>
  <c r="AA467" i="26"/>
  <c r="AA468" i="26"/>
  <c r="AA469" i="26"/>
  <c r="AA470" i="26"/>
  <c r="AA471" i="26"/>
  <c r="AA472" i="26"/>
  <c r="AA473" i="26"/>
  <c r="AA474" i="26"/>
  <c r="AA475" i="26"/>
  <c r="AA476" i="26"/>
  <c r="AA477" i="26"/>
  <c r="AA478" i="26"/>
  <c r="AA479" i="26"/>
  <c r="AA480" i="26"/>
  <c r="AA481" i="26"/>
  <c r="AA482" i="26"/>
  <c r="AA483" i="26"/>
  <c r="AA484" i="26"/>
  <c r="AA485" i="26"/>
  <c r="AA486" i="26"/>
  <c r="AA487" i="26"/>
  <c r="AA488" i="26"/>
  <c r="AA489" i="26"/>
  <c r="AA490" i="26"/>
  <c r="AA491" i="26"/>
  <c r="AA492" i="26"/>
  <c r="AA493" i="26"/>
  <c r="AA494" i="26"/>
  <c r="AA495" i="26"/>
  <c r="AA496" i="26"/>
  <c r="AA497" i="26"/>
  <c r="AA498" i="26"/>
  <c r="AA499" i="26"/>
  <c r="AA500" i="26"/>
  <c r="AA501" i="26"/>
  <c r="AA502" i="26"/>
  <c r="AA503" i="26"/>
  <c r="AA504" i="26"/>
  <c r="AA505" i="26"/>
  <c r="AA506" i="26"/>
  <c r="AA507" i="26"/>
  <c r="AA508" i="26"/>
  <c r="AA509" i="26"/>
  <c r="AA510" i="26"/>
  <c r="AA511" i="26"/>
  <c r="AA512" i="26"/>
  <c r="AA513" i="26"/>
  <c r="AA514" i="26"/>
  <c r="AA515" i="26"/>
  <c r="AA516" i="26"/>
  <c r="AA517" i="26"/>
  <c r="AA518" i="26"/>
  <c r="AA519" i="26"/>
  <c r="AA520" i="26"/>
  <c r="AA521" i="26"/>
  <c r="AA522" i="26"/>
  <c r="AA523" i="26"/>
  <c r="AA524" i="26"/>
  <c r="AA525" i="26"/>
  <c r="AA526" i="26"/>
  <c r="AA527" i="26"/>
  <c r="AA528" i="26"/>
  <c r="AA529" i="26"/>
  <c r="AA530" i="26"/>
  <c r="AA531" i="26"/>
  <c r="AA532" i="26"/>
  <c r="AA533" i="26"/>
  <c r="AA534" i="26"/>
  <c r="AA535" i="26"/>
  <c r="AA536" i="26"/>
  <c r="AA537" i="26"/>
  <c r="AA538" i="26"/>
  <c r="AA539" i="26"/>
  <c r="AA540" i="26"/>
  <c r="AA541" i="26"/>
  <c r="AA542" i="26"/>
  <c r="AA543" i="26"/>
  <c r="AA544" i="26"/>
  <c r="AA545" i="26"/>
  <c r="AA546" i="26"/>
  <c r="AA547" i="26"/>
  <c r="AA548" i="26"/>
  <c r="AA549" i="26"/>
  <c r="AA550" i="26"/>
  <c r="AA551" i="26"/>
  <c r="AA552" i="26"/>
  <c r="AA553" i="26"/>
  <c r="AA554" i="26"/>
  <c r="AA555" i="26"/>
  <c r="AA556" i="26"/>
  <c r="AA557" i="26"/>
  <c r="AA558" i="26"/>
  <c r="AA559" i="26"/>
  <c r="AA560" i="26"/>
  <c r="AA561" i="26"/>
  <c r="AA562" i="26"/>
  <c r="AA563" i="26"/>
  <c r="AA564" i="26"/>
  <c r="AA565" i="26"/>
  <c r="AA566" i="26"/>
  <c r="AA567" i="26"/>
  <c r="AA568" i="26"/>
  <c r="AA569" i="26"/>
  <c r="AA570" i="26"/>
  <c r="AA571" i="26"/>
  <c r="AA572" i="26"/>
  <c r="AA573" i="26"/>
  <c r="AA574" i="26"/>
  <c r="AA575" i="26"/>
  <c r="AA576" i="26"/>
  <c r="AA577" i="26"/>
  <c r="AA578" i="26"/>
  <c r="AA579" i="26"/>
  <c r="AA580" i="26"/>
  <c r="AA581" i="26"/>
  <c r="AA582" i="26"/>
  <c r="AA583" i="26"/>
  <c r="AA584" i="26"/>
  <c r="AA585" i="26"/>
  <c r="AA586" i="26"/>
  <c r="AA587" i="26"/>
  <c r="AA588" i="26"/>
  <c r="AA589" i="26"/>
  <c r="AA590" i="26"/>
  <c r="AA591" i="26"/>
  <c r="AA592" i="26"/>
  <c r="AA593" i="26"/>
  <c r="AA594" i="26"/>
  <c r="AA595" i="26"/>
  <c r="AA596" i="26"/>
  <c r="AA597" i="26"/>
  <c r="AA598" i="26"/>
  <c r="AA599" i="26"/>
  <c r="AA600" i="26"/>
  <c r="AA601" i="26"/>
  <c r="AA602" i="26"/>
  <c r="AA603" i="26"/>
  <c r="AA604" i="26"/>
  <c r="AA605" i="26"/>
  <c r="AA606" i="26"/>
  <c r="AA607" i="26"/>
  <c r="AA608" i="26"/>
  <c r="AA609" i="26"/>
  <c r="AA610" i="26"/>
  <c r="AA611" i="26"/>
  <c r="AA612" i="26"/>
  <c r="AA613" i="26"/>
  <c r="AA614" i="26"/>
  <c r="AA615" i="26"/>
  <c r="AA616" i="26"/>
  <c r="AA617" i="26"/>
  <c r="AA618" i="26"/>
  <c r="AA619" i="26"/>
  <c r="AA620" i="26"/>
  <c r="AA621" i="26"/>
  <c r="AA622" i="26"/>
  <c r="AA623" i="26"/>
  <c r="AA624" i="26"/>
  <c r="AA625" i="26"/>
  <c r="AA626" i="26"/>
  <c r="AA627" i="26"/>
  <c r="AA628" i="26"/>
  <c r="AA629" i="26"/>
  <c r="AA630" i="26"/>
  <c r="AA631" i="26"/>
  <c r="AA632" i="26"/>
  <c r="AA633" i="26"/>
  <c r="AA634" i="26"/>
  <c r="AA635" i="26"/>
  <c r="AA636" i="26"/>
  <c r="AA637" i="26"/>
  <c r="AA638" i="26"/>
  <c r="AA639" i="26"/>
  <c r="AA640" i="26"/>
  <c r="AA641" i="26"/>
  <c r="AA642" i="26"/>
  <c r="AA643" i="26"/>
  <c r="AA644" i="26"/>
  <c r="AA645" i="26"/>
  <c r="AA646" i="26"/>
  <c r="AA647" i="26"/>
  <c r="AA648" i="26"/>
  <c r="AA649" i="26"/>
  <c r="AA650" i="26"/>
  <c r="AA651" i="26"/>
  <c r="AA652" i="26"/>
  <c r="AA653" i="26"/>
  <c r="AA654" i="26"/>
  <c r="AA655" i="26"/>
  <c r="AA656" i="26"/>
  <c r="AA657" i="26"/>
  <c r="AA658" i="26"/>
  <c r="AA659" i="26"/>
  <c r="AA660" i="26"/>
  <c r="AA661" i="26"/>
  <c r="AA662" i="26"/>
  <c r="AA663" i="26"/>
  <c r="AA664" i="26"/>
  <c r="AA665" i="26"/>
  <c r="AA666" i="26"/>
  <c r="AA667" i="26"/>
  <c r="AA668" i="26"/>
  <c r="AA669" i="26"/>
  <c r="AA670" i="26"/>
  <c r="AA671" i="26"/>
  <c r="AA672" i="26"/>
  <c r="AA673" i="26"/>
  <c r="AA674" i="26"/>
  <c r="AA675" i="26"/>
  <c r="AA676" i="26"/>
  <c r="AA677" i="26"/>
  <c r="AA678" i="26"/>
  <c r="AA679" i="26"/>
  <c r="AA680" i="26"/>
  <c r="AA681" i="26"/>
  <c r="AA682" i="26"/>
  <c r="AA683" i="26"/>
  <c r="AA684" i="26"/>
  <c r="AA685" i="26"/>
  <c r="AA686" i="26"/>
  <c r="AA687" i="26"/>
  <c r="AA688" i="26"/>
  <c r="AA689" i="26"/>
  <c r="AA690" i="26"/>
  <c r="AA691" i="26"/>
  <c r="AA692" i="26"/>
  <c r="AA693" i="26"/>
  <c r="AA694" i="26"/>
  <c r="AA695" i="26"/>
  <c r="AA696" i="26"/>
  <c r="AA697" i="26"/>
  <c r="AA698" i="26"/>
  <c r="AA699" i="26"/>
  <c r="AA700" i="26"/>
  <c r="AA701" i="26"/>
  <c r="AA702" i="26"/>
  <c r="AA703" i="26"/>
  <c r="AA704" i="26"/>
  <c r="AA705" i="26"/>
  <c r="AA706" i="26"/>
  <c r="AA707" i="26"/>
  <c r="AA708" i="26"/>
  <c r="AA709" i="26"/>
  <c r="AA710" i="26"/>
  <c r="AA711" i="26"/>
  <c r="AA712" i="26"/>
  <c r="AA713" i="26"/>
  <c r="AA714" i="26"/>
  <c r="AA715" i="26"/>
  <c r="AA716" i="26"/>
  <c r="AA717" i="26"/>
  <c r="AA718" i="26"/>
  <c r="AA719" i="26"/>
  <c r="AA720" i="26"/>
  <c r="AA721" i="26"/>
  <c r="AA722" i="26"/>
  <c r="AA723" i="26"/>
  <c r="AA724" i="26"/>
  <c r="AA725" i="26"/>
  <c r="AA726" i="26"/>
  <c r="AA727" i="26"/>
  <c r="AA728" i="26"/>
  <c r="AA729" i="26"/>
  <c r="AA730" i="26"/>
  <c r="AA731" i="26"/>
  <c r="AA732" i="26"/>
  <c r="AA733" i="26"/>
  <c r="AA734" i="26"/>
  <c r="AA735" i="26"/>
  <c r="AA736" i="26"/>
  <c r="AA737" i="26"/>
  <c r="AA738" i="26"/>
  <c r="AA739" i="26"/>
  <c r="AA740" i="26"/>
  <c r="AA741" i="26"/>
  <c r="AA742" i="26"/>
  <c r="AA743" i="26"/>
  <c r="AA744" i="26"/>
  <c r="AA745" i="26"/>
  <c r="AA746" i="26"/>
  <c r="AA747" i="26"/>
  <c r="AA748" i="26"/>
  <c r="AA749" i="26"/>
  <c r="AA750" i="26"/>
  <c r="AA751" i="26"/>
  <c r="AA752" i="26"/>
  <c r="AA753" i="26"/>
  <c r="AA754" i="26"/>
  <c r="AA755" i="26"/>
  <c r="AA756" i="26"/>
  <c r="AA757" i="26"/>
  <c r="AA758" i="26"/>
  <c r="AA759" i="26"/>
  <c r="AA760" i="26"/>
  <c r="AA761" i="26"/>
  <c r="AA762" i="26"/>
  <c r="AA763" i="26"/>
  <c r="AA764" i="26"/>
  <c r="AA765" i="26"/>
  <c r="AA766" i="26"/>
  <c r="AA767" i="26"/>
  <c r="AA768" i="26"/>
  <c r="AA769" i="26"/>
  <c r="AA770" i="26"/>
  <c r="AA771" i="26"/>
  <c r="AA772" i="26"/>
  <c r="AA773" i="26"/>
  <c r="AA774" i="26"/>
  <c r="AA775" i="26"/>
  <c r="AA776" i="26"/>
  <c r="AA777" i="26"/>
  <c r="AA778" i="26"/>
  <c r="AA779" i="26"/>
  <c r="AA780" i="26"/>
  <c r="AA781" i="26"/>
  <c r="AA782" i="26"/>
  <c r="AA783" i="26"/>
  <c r="AA784" i="26"/>
  <c r="AA785" i="26"/>
  <c r="AA786" i="26"/>
  <c r="AA787" i="26"/>
  <c r="AA788" i="26"/>
  <c r="AA789" i="26"/>
  <c r="AA790" i="26"/>
  <c r="AA791" i="26"/>
  <c r="AA792" i="26"/>
  <c r="AA793" i="26"/>
  <c r="AA794" i="26"/>
  <c r="AA795" i="26"/>
  <c r="AA796" i="26"/>
  <c r="AA797" i="26"/>
  <c r="AA798" i="26"/>
  <c r="AA799" i="26"/>
  <c r="AA800" i="26"/>
  <c r="AA801" i="26"/>
  <c r="AA802" i="26"/>
  <c r="AA803" i="26"/>
  <c r="AA804" i="26"/>
  <c r="AA805" i="26"/>
  <c r="AA806" i="26"/>
  <c r="AA807" i="26"/>
  <c r="AA808" i="26"/>
  <c r="AA809" i="26"/>
  <c r="AA810" i="26"/>
  <c r="AA811" i="26"/>
  <c r="AA812" i="26"/>
  <c r="AA813" i="26"/>
  <c r="AA814" i="26"/>
  <c r="AA815" i="26"/>
  <c r="AA816" i="26"/>
  <c r="AA817" i="26"/>
  <c r="AA818" i="26"/>
  <c r="AA819" i="26"/>
  <c r="AA820" i="26"/>
  <c r="AA821" i="26"/>
  <c r="AA822" i="26"/>
  <c r="AA823" i="26"/>
  <c r="AA824" i="26"/>
  <c r="AA825" i="26"/>
  <c r="AA826" i="26"/>
  <c r="AA827" i="26"/>
  <c r="AA828" i="26"/>
  <c r="AA829" i="26"/>
  <c r="AA830" i="26"/>
  <c r="AA831" i="26"/>
  <c r="AA832" i="26"/>
  <c r="AA833" i="26"/>
  <c r="AA834" i="26"/>
  <c r="AA835" i="26"/>
  <c r="AA836" i="26"/>
  <c r="AA837" i="26"/>
  <c r="AA838" i="26"/>
  <c r="AA839" i="26"/>
  <c r="AA840" i="26"/>
  <c r="AA841" i="26"/>
  <c r="AA842" i="26"/>
  <c r="AA843" i="26"/>
  <c r="AA844" i="26"/>
  <c r="AA845" i="26"/>
  <c r="AA846" i="26"/>
  <c r="AA847" i="26"/>
  <c r="AA848" i="26"/>
  <c r="AA849" i="26"/>
  <c r="AA850" i="26"/>
  <c r="AA851" i="26"/>
  <c r="AA852" i="26"/>
  <c r="AA853" i="26"/>
  <c r="AA854" i="26"/>
  <c r="AA855" i="26"/>
  <c r="AA856" i="26"/>
  <c r="AA857" i="26"/>
  <c r="AA858" i="26"/>
  <c r="AA859" i="26"/>
  <c r="AA860" i="26"/>
  <c r="AA861" i="26"/>
  <c r="AA862" i="26"/>
  <c r="AA863" i="26"/>
  <c r="AA864" i="26"/>
  <c r="AA865" i="26"/>
  <c r="AA866" i="26"/>
  <c r="AA867" i="26"/>
  <c r="AA868" i="26"/>
  <c r="AA869" i="26"/>
  <c r="AA870" i="26"/>
  <c r="AA871" i="26"/>
  <c r="AA872" i="26"/>
  <c r="AA873" i="26"/>
  <c r="AA874" i="26"/>
  <c r="AA875" i="26"/>
  <c r="AA876" i="26"/>
  <c r="AA877" i="26"/>
  <c r="AA878" i="26"/>
  <c r="AA879" i="26"/>
  <c r="AA880" i="26"/>
  <c r="AA881" i="26"/>
  <c r="AA882" i="26"/>
  <c r="AA883" i="26"/>
  <c r="AA884" i="26"/>
  <c r="AA885" i="26"/>
  <c r="AA886" i="26"/>
  <c r="AA887" i="26"/>
  <c r="AA888" i="26"/>
  <c r="AA889" i="26"/>
  <c r="AA890" i="26"/>
  <c r="AA891" i="26"/>
  <c r="AA892" i="26"/>
  <c r="AA893" i="26"/>
  <c r="AA894" i="26"/>
  <c r="AA895" i="26"/>
  <c r="AA896" i="26"/>
  <c r="AA897" i="26"/>
  <c r="AA898" i="26"/>
  <c r="AA899" i="26"/>
  <c r="AA900" i="26"/>
  <c r="AA901" i="26"/>
  <c r="AA902" i="26"/>
  <c r="AA903" i="26"/>
  <c r="AA904" i="26"/>
  <c r="AA905" i="26"/>
  <c r="AA906" i="26"/>
  <c r="AA907" i="26"/>
  <c r="AA908" i="26"/>
  <c r="AA909" i="26"/>
  <c r="AA910" i="26"/>
  <c r="AA911" i="26"/>
  <c r="AA912" i="26"/>
  <c r="AA913" i="26"/>
  <c r="AA914" i="26"/>
  <c r="AA915" i="26"/>
  <c r="AA916" i="26"/>
  <c r="AA917" i="26"/>
  <c r="AA918" i="26"/>
  <c r="AA919" i="26"/>
  <c r="AA920" i="26"/>
  <c r="AA921" i="26"/>
  <c r="AA922" i="26"/>
  <c r="AA923" i="26"/>
  <c r="AA924" i="26"/>
  <c r="AA925" i="26"/>
  <c r="AA926" i="26"/>
  <c r="AA927" i="26"/>
  <c r="AA928" i="26"/>
  <c r="AA929" i="26"/>
  <c r="AA930" i="26"/>
  <c r="AA931" i="26"/>
  <c r="AA932" i="26"/>
  <c r="AA933" i="26"/>
  <c r="AA934" i="26"/>
  <c r="AA935" i="26"/>
  <c r="AA936" i="26"/>
  <c r="AA937" i="26"/>
  <c r="AA938" i="26"/>
  <c r="AA939" i="26"/>
  <c r="AA940" i="26"/>
  <c r="AA941" i="26"/>
  <c r="AA942" i="26"/>
  <c r="AA943" i="26"/>
  <c r="AA944" i="26"/>
  <c r="AA945" i="26"/>
  <c r="AA946" i="26"/>
  <c r="AA947" i="26"/>
  <c r="AA948" i="26"/>
  <c r="AA949" i="26"/>
  <c r="AA950" i="26"/>
  <c r="AA951" i="26"/>
  <c r="AA952" i="26"/>
  <c r="AA953" i="26"/>
  <c r="AA954" i="26"/>
  <c r="AA955" i="26"/>
  <c r="AA956" i="26"/>
  <c r="AA957" i="26"/>
  <c r="AA958" i="26"/>
  <c r="AA959" i="26"/>
  <c r="AA960" i="26"/>
  <c r="AA961" i="26"/>
  <c r="AA962" i="26"/>
  <c r="AA963" i="26"/>
  <c r="AA964" i="26"/>
  <c r="AA965" i="26"/>
  <c r="AA966" i="26"/>
  <c r="AA967" i="26"/>
  <c r="AA968" i="26"/>
  <c r="AA969" i="26"/>
  <c r="AA970" i="26"/>
  <c r="AA971" i="26"/>
  <c r="AA972" i="26"/>
  <c r="AA973" i="26"/>
  <c r="AA974" i="26"/>
  <c r="AA975" i="26"/>
  <c r="AA976" i="26"/>
  <c r="AA977" i="26"/>
  <c r="AA978" i="26"/>
  <c r="AA979" i="26"/>
  <c r="AA980" i="26"/>
  <c r="AA981" i="26"/>
  <c r="AA982" i="26"/>
  <c r="AA983" i="26"/>
  <c r="AA984" i="26"/>
  <c r="AA985" i="26"/>
  <c r="AA986" i="26"/>
  <c r="AA987" i="26"/>
  <c r="AA988" i="26"/>
  <c r="AA989" i="26"/>
  <c r="AA990" i="26"/>
  <c r="AA991" i="26"/>
  <c r="AA992" i="26"/>
  <c r="AA993" i="26"/>
  <c r="AA994" i="26"/>
  <c r="AA995" i="26"/>
  <c r="AA996" i="26"/>
  <c r="AA997" i="26"/>
  <c r="AA998" i="26"/>
  <c r="AA999" i="26"/>
  <c r="AA1000" i="26"/>
  <c r="AA1001" i="26"/>
  <c r="AA1002" i="26"/>
  <c r="AA1003" i="26"/>
  <c r="AA1004" i="26"/>
  <c r="AA1005" i="26"/>
  <c r="AA1006" i="26"/>
  <c r="AA1007" i="26"/>
  <c r="AA1008" i="26"/>
  <c r="AA1009" i="26"/>
  <c r="AA1010" i="26"/>
  <c r="AA1011" i="26"/>
  <c r="AA1012" i="26"/>
  <c r="AA1013" i="26"/>
  <c r="AA1014" i="26"/>
  <c r="AA1015" i="26"/>
  <c r="AA1016" i="26"/>
  <c r="AA1017" i="26"/>
  <c r="AA1018" i="26"/>
  <c r="AA1019" i="26"/>
  <c r="AA1020" i="26"/>
  <c r="AA1021" i="26"/>
  <c r="AA1022" i="26"/>
  <c r="AA1023" i="26"/>
  <c r="AA1024" i="26"/>
  <c r="AA1025" i="26"/>
  <c r="AA1026" i="26"/>
  <c r="AA1027" i="26"/>
  <c r="AA1028" i="26"/>
  <c r="AA1029" i="26"/>
  <c r="AA1030" i="26"/>
  <c r="AA1031" i="26"/>
  <c r="AA1032" i="26"/>
  <c r="AA1033" i="26"/>
  <c r="AA1034" i="26"/>
  <c r="AA1035" i="26"/>
  <c r="AA1036" i="26"/>
  <c r="AA1037" i="26"/>
  <c r="AA1038" i="26"/>
  <c r="AA1039" i="26"/>
  <c r="AA1040" i="26"/>
  <c r="AA1041" i="26"/>
  <c r="AA1042" i="26"/>
  <c r="AA1043" i="26"/>
  <c r="AA1044" i="26"/>
  <c r="AA1045" i="26"/>
  <c r="AA1046" i="26"/>
  <c r="AA1047" i="26"/>
  <c r="AA1048" i="26"/>
  <c r="AA1049" i="26"/>
  <c r="AA1050" i="26"/>
  <c r="AA1051" i="26"/>
  <c r="AA1052" i="26"/>
  <c r="AA1053" i="26"/>
  <c r="AA1054" i="26"/>
  <c r="AA1055" i="26"/>
  <c r="AA1056" i="26"/>
  <c r="AA1057" i="26"/>
  <c r="AA1058" i="26"/>
  <c r="AA1059" i="26"/>
  <c r="AA1060" i="26"/>
  <c r="AA1061" i="26"/>
  <c r="AA1062" i="26"/>
  <c r="AA1063" i="26"/>
  <c r="AA1064" i="26"/>
  <c r="AA1065" i="26"/>
  <c r="AA1066" i="26"/>
  <c r="AA1067" i="26"/>
  <c r="AA1068" i="26"/>
  <c r="AA1069" i="26"/>
  <c r="AA1070" i="26"/>
  <c r="AA1071" i="26"/>
  <c r="AA1072" i="26"/>
  <c r="AA1073" i="26"/>
  <c r="AA1074" i="26"/>
  <c r="AA1075" i="26"/>
  <c r="AA1076" i="26"/>
  <c r="AA1077" i="26"/>
  <c r="AA1078" i="26"/>
  <c r="AA1079" i="26"/>
  <c r="AA1080" i="26"/>
  <c r="AA1081" i="26"/>
  <c r="AA1082" i="26"/>
  <c r="AA1083" i="26"/>
  <c r="AA1084" i="26"/>
  <c r="AA1085" i="26"/>
  <c r="AA1086" i="26"/>
  <c r="AA1087" i="26"/>
  <c r="AA1088" i="26"/>
  <c r="AA1089" i="26"/>
  <c r="AA1090" i="26"/>
  <c r="AA1091" i="26"/>
  <c r="AA1092" i="26"/>
  <c r="AA1093" i="26"/>
  <c r="AA1094" i="26"/>
  <c r="AA1095" i="26"/>
  <c r="AA1096" i="26"/>
  <c r="AA1097" i="26"/>
  <c r="AA1098" i="26"/>
  <c r="AA1099" i="26"/>
  <c r="AA1100" i="26"/>
  <c r="AA1101" i="26"/>
  <c r="AA1102" i="26"/>
  <c r="AA1103" i="26"/>
  <c r="AA1104" i="26"/>
  <c r="AA1105" i="26"/>
  <c r="AA1106" i="26"/>
  <c r="AA1107" i="26"/>
  <c r="AA1108" i="26"/>
  <c r="AA1109" i="26"/>
  <c r="AA1110" i="26"/>
  <c r="AA1111" i="26"/>
  <c r="AA1112" i="26"/>
  <c r="AA1113" i="26"/>
  <c r="AA1114" i="26"/>
  <c r="AA1115" i="26"/>
  <c r="AA1116" i="26"/>
  <c r="AA1117" i="26"/>
  <c r="AA1118" i="26"/>
  <c r="AA1119" i="26"/>
  <c r="AA1120" i="26"/>
  <c r="AA1121" i="26"/>
  <c r="AA1122" i="26"/>
  <c r="AA1123" i="26"/>
  <c r="AA1124" i="26"/>
  <c r="AA1125" i="26"/>
  <c r="AA1126" i="26"/>
  <c r="AA1127" i="26"/>
  <c r="AA1128" i="26"/>
  <c r="AA1129" i="26"/>
  <c r="AA1130" i="26"/>
  <c r="AA1131" i="26"/>
  <c r="AA1132" i="26"/>
  <c r="AA1133" i="26"/>
  <c r="AA1134" i="26"/>
  <c r="AA1135" i="26"/>
  <c r="AA1136" i="26"/>
  <c r="AA1137" i="26"/>
  <c r="AA1138" i="26"/>
  <c r="AA1139" i="26"/>
  <c r="AA1140" i="26"/>
  <c r="AA1141" i="26"/>
  <c r="AA1142" i="26"/>
  <c r="AA1143" i="26"/>
  <c r="AA1144" i="26"/>
  <c r="AA1145" i="26"/>
  <c r="AA1146" i="26"/>
  <c r="AA1147" i="26"/>
  <c r="AA1148" i="26"/>
  <c r="AA1149" i="26"/>
  <c r="AA1150" i="26"/>
  <c r="AA1151" i="26"/>
  <c r="AA1152" i="26"/>
  <c r="AA1153" i="26"/>
  <c r="AA1154" i="26"/>
  <c r="AA1155" i="26"/>
  <c r="AA1156" i="26"/>
  <c r="AA1157" i="26"/>
  <c r="AA1158" i="26"/>
  <c r="AA1159" i="26"/>
  <c r="AA1160" i="26"/>
  <c r="AA1161" i="26"/>
  <c r="AA1162" i="26"/>
  <c r="AA1163" i="26"/>
  <c r="AA1164" i="26"/>
  <c r="AA1165" i="26"/>
  <c r="AA1166" i="26"/>
  <c r="AA1167" i="26"/>
  <c r="AA1168" i="26"/>
  <c r="AA1169" i="26"/>
  <c r="AA1170" i="26"/>
  <c r="AA1171" i="26"/>
  <c r="AA1172" i="26"/>
  <c r="AA1173" i="26"/>
  <c r="AA1174" i="26"/>
  <c r="AA1175" i="26"/>
  <c r="AA1176" i="26"/>
  <c r="AA1177" i="26"/>
  <c r="AA1178" i="26"/>
  <c r="AA1179" i="26"/>
  <c r="AA1180" i="26"/>
  <c r="AA1181" i="26"/>
  <c r="AA1182" i="26"/>
  <c r="AA1183" i="26"/>
  <c r="AA1184" i="26"/>
  <c r="AA1185" i="26"/>
  <c r="AA1186" i="26"/>
  <c r="AA1187" i="26"/>
  <c r="AA1188" i="26"/>
  <c r="AA1189" i="26"/>
  <c r="AA1190" i="26"/>
  <c r="AA1191" i="26"/>
  <c r="AA1192" i="26"/>
  <c r="AA1193" i="26"/>
  <c r="AA1194" i="26"/>
  <c r="AA1195" i="26"/>
  <c r="AA1196" i="26"/>
  <c r="AA1197" i="26"/>
  <c r="AA1198" i="26"/>
  <c r="AA1199" i="26"/>
  <c r="AA1200" i="26"/>
  <c r="AA1201" i="26"/>
  <c r="AA1202" i="26"/>
  <c r="AA1203" i="26"/>
  <c r="AA1204" i="26"/>
  <c r="AA1205" i="26"/>
  <c r="AA1206" i="26"/>
  <c r="AA1207" i="26"/>
  <c r="AA1208" i="26"/>
  <c r="AA1209" i="26"/>
  <c r="AA1210" i="26"/>
  <c r="AA1211" i="26"/>
  <c r="AA1212" i="26"/>
  <c r="AA1213" i="26"/>
  <c r="AA1214" i="26"/>
  <c r="AA1215" i="26"/>
  <c r="AA1216" i="26"/>
  <c r="AA1217" i="26"/>
  <c r="AA1218" i="26"/>
  <c r="AA1219" i="26"/>
  <c r="AA1220" i="26"/>
  <c r="AA1221" i="26"/>
  <c r="AA1222" i="26"/>
  <c r="AA1223" i="26"/>
  <c r="AA1224" i="26"/>
  <c r="AA1225" i="26"/>
  <c r="AA1226" i="26"/>
  <c r="AA1227" i="26"/>
  <c r="AA1228" i="26"/>
  <c r="AA1229" i="26"/>
  <c r="AA1230" i="26"/>
  <c r="AA1231" i="26"/>
  <c r="AA1232" i="26"/>
  <c r="AA1233" i="26"/>
  <c r="AA1234" i="26"/>
  <c r="AA1235" i="26"/>
  <c r="AA1236" i="26"/>
  <c r="AA1237" i="26"/>
  <c r="AA1238" i="26"/>
  <c r="AA1239" i="26"/>
  <c r="AA1240" i="26"/>
  <c r="AA1241" i="26"/>
  <c r="AA1242" i="26"/>
  <c r="AA1243" i="26"/>
  <c r="AA1244" i="26"/>
  <c r="AA1245" i="26"/>
  <c r="AA1246" i="26"/>
  <c r="AA1247" i="26"/>
  <c r="AA1248" i="26"/>
  <c r="AA1249" i="26"/>
  <c r="AA1250" i="26"/>
  <c r="AA1251" i="26"/>
  <c r="AA1252" i="26"/>
  <c r="AA1253" i="26"/>
  <c r="AA1254" i="26"/>
  <c r="AA1255" i="26"/>
  <c r="AA1256" i="26"/>
  <c r="AA1257" i="26"/>
  <c r="AA1258" i="26"/>
  <c r="AA1259" i="26"/>
  <c r="AA1260" i="26"/>
  <c r="AA1261" i="26"/>
  <c r="AA1262" i="26"/>
  <c r="AA1263" i="26"/>
  <c r="AA1264" i="26"/>
  <c r="AA1265" i="26"/>
  <c r="AA1266" i="26"/>
  <c r="AA1267" i="26"/>
  <c r="AA1268" i="26"/>
  <c r="AA1269" i="26"/>
  <c r="AA1270" i="26"/>
  <c r="AA1271" i="26"/>
  <c r="AA1272" i="26"/>
  <c r="AA1273" i="26"/>
  <c r="AA1274" i="26"/>
  <c r="AA1275" i="26"/>
  <c r="AA1276" i="26"/>
  <c r="AA1277" i="26"/>
  <c r="AA1278" i="26"/>
  <c r="AA1279" i="26"/>
  <c r="AA1280" i="26"/>
  <c r="AA1281" i="26"/>
  <c r="AA1282" i="26"/>
  <c r="AA1283" i="26"/>
  <c r="AA1284" i="26"/>
  <c r="AA1285" i="26"/>
  <c r="AA1286" i="26"/>
  <c r="AA1287" i="26"/>
  <c r="AA1288" i="26"/>
  <c r="AA1289" i="26"/>
  <c r="AA1290" i="26"/>
  <c r="AA1291" i="26"/>
  <c r="AA1292" i="26"/>
  <c r="AA1293" i="26"/>
  <c r="AA1294" i="26"/>
  <c r="AA1295" i="26"/>
  <c r="AA1296" i="26"/>
  <c r="AA1297" i="26"/>
  <c r="AA1298" i="26"/>
  <c r="AA1299" i="26"/>
  <c r="AA1300" i="26"/>
  <c r="AA1301" i="26"/>
  <c r="AA1302" i="26"/>
  <c r="AA1303" i="26"/>
  <c r="AA1304" i="26"/>
  <c r="AA1305" i="26"/>
  <c r="AA1306" i="26"/>
  <c r="AA1307" i="26"/>
  <c r="AA1308" i="26"/>
  <c r="AA1309" i="26"/>
  <c r="AA1310" i="26"/>
  <c r="AA1311" i="26"/>
  <c r="AA1312" i="26"/>
  <c r="AA1313" i="26"/>
  <c r="AA1314" i="26"/>
  <c r="AA1315" i="26"/>
  <c r="AA1316" i="26"/>
  <c r="AA1317" i="26"/>
  <c r="AA1318" i="26"/>
  <c r="AA1319" i="26"/>
  <c r="AA1320" i="26"/>
  <c r="AA1321" i="26"/>
  <c r="AA1322" i="26"/>
  <c r="AA1323" i="26"/>
  <c r="AA1324" i="26"/>
  <c r="AA1325" i="26"/>
  <c r="AA1326" i="26"/>
  <c r="AA1327" i="26"/>
  <c r="AA1328" i="26"/>
  <c r="AA1329" i="26"/>
  <c r="AA1330" i="26"/>
  <c r="AA1331" i="26"/>
  <c r="AA1332" i="26"/>
  <c r="AA1333" i="26"/>
  <c r="AA1334" i="26"/>
  <c r="AA1335" i="26"/>
  <c r="AA1336" i="26"/>
  <c r="AA1337" i="26"/>
  <c r="AA1338" i="26"/>
  <c r="AA1339" i="26"/>
  <c r="AA1340" i="26"/>
  <c r="AA1341" i="26"/>
  <c r="AA1342" i="26"/>
  <c r="AA1343" i="26"/>
  <c r="AA1344" i="26"/>
  <c r="AA1345" i="26"/>
  <c r="AA1346" i="26"/>
  <c r="AA1347" i="26"/>
  <c r="AA1348" i="26"/>
  <c r="AA1349" i="26"/>
  <c r="AA1350" i="26"/>
  <c r="AA1351" i="26"/>
  <c r="AA1352" i="26"/>
  <c r="AA1353" i="26"/>
  <c r="AA1354" i="26"/>
  <c r="AA1355" i="26"/>
  <c r="AA1356" i="26"/>
  <c r="AA1357" i="26"/>
  <c r="AA1358" i="26"/>
  <c r="AA1359" i="26"/>
  <c r="AA1360" i="26"/>
  <c r="AA1361" i="26"/>
  <c r="AA1362" i="26"/>
  <c r="AA1363" i="26"/>
  <c r="AA1364" i="26"/>
  <c r="AA1365" i="26"/>
  <c r="AA1366" i="26"/>
  <c r="AA1367" i="26"/>
  <c r="AA1368" i="26"/>
  <c r="AA1369" i="26"/>
  <c r="AA1370" i="26"/>
  <c r="AA1371" i="26"/>
  <c r="AA1372" i="26"/>
  <c r="AA1373" i="26"/>
  <c r="AA1374" i="26"/>
  <c r="AA1375" i="26"/>
  <c r="AA1376" i="26"/>
  <c r="AA1377" i="26"/>
  <c r="AA1378" i="26"/>
  <c r="AA1379" i="26"/>
  <c r="AA1380" i="26"/>
  <c r="AA1381" i="26"/>
  <c r="AA1382" i="26"/>
  <c r="AA1383" i="26"/>
  <c r="AA1384" i="26"/>
  <c r="AA1385" i="26"/>
  <c r="AA1386" i="26"/>
  <c r="AA1387" i="26"/>
  <c r="AA1388" i="26"/>
  <c r="AA1389" i="26"/>
  <c r="AA1390" i="26"/>
  <c r="AA1391" i="26"/>
  <c r="AA1392" i="26"/>
  <c r="AA1393" i="26"/>
  <c r="AA1394" i="26"/>
  <c r="AA1395" i="26"/>
  <c r="AA1396" i="26"/>
  <c r="AA1397" i="26"/>
  <c r="AA1398" i="26"/>
  <c r="AA1399" i="26"/>
  <c r="AA1400" i="26"/>
  <c r="AA1401" i="26"/>
  <c r="AA1402" i="26"/>
  <c r="AA1403" i="26"/>
  <c r="AA1404" i="26"/>
  <c r="AA1405" i="26"/>
  <c r="AA1406" i="26"/>
  <c r="AA1407" i="26"/>
  <c r="AA1408" i="26"/>
  <c r="AA1409" i="26"/>
  <c r="AA1410" i="26"/>
  <c r="AA1411" i="26"/>
  <c r="AA1412" i="26"/>
  <c r="AA1413" i="26"/>
  <c r="AA1414" i="26"/>
  <c r="AA1415" i="26"/>
  <c r="AA1416" i="26"/>
  <c r="AA1417" i="26"/>
  <c r="AA1418" i="26"/>
  <c r="AA1419" i="26"/>
  <c r="AA1420" i="26"/>
  <c r="AA1421" i="26"/>
  <c r="AA1422" i="26"/>
  <c r="AA1423" i="26"/>
  <c r="AA1424" i="26"/>
  <c r="AA1425" i="26"/>
  <c r="AA1426" i="26"/>
  <c r="AA1427" i="26"/>
  <c r="AA1428" i="26"/>
  <c r="AA1429" i="26"/>
  <c r="AA1430" i="26"/>
  <c r="AA1431" i="26"/>
  <c r="AA1432" i="26"/>
  <c r="AA1433" i="26"/>
  <c r="AA1434" i="26"/>
  <c r="AA1435" i="26"/>
  <c r="AA1436" i="26"/>
  <c r="AA1437" i="26"/>
  <c r="AA1438" i="26"/>
  <c r="AA1439" i="26"/>
  <c r="AA1440" i="26"/>
  <c r="AA1441" i="26"/>
  <c r="AA1442" i="26"/>
  <c r="AA1443" i="26"/>
  <c r="AA1444" i="26"/>
  <c r="AA1445" i="26"/>
  <c r="AA1446" i="26"/>
  <c r="AA1447" i="26"/>
  <c r="AA1448" i="26"/>
  <c r="AA1449" i="26"/>
  <c r="AA1450" i="26"/>
  <c r="AA1451" i="26"/>
  <c r="AA1452" i="26"/>
  <c r="AA1453" i="26"/>
  <c r="AA1454" i="26"/>
  <c r="AA1455" i="26"/>
  <c r="AA1456" i="26"/>
  <c r="AA1457" i="26"/>
  <c r="AA1458" i="26"/>
  <c r="AA1459" i="26"/>
  <c r="AA1460" i="26"/>
  <c r="AA1461" i="26"/>
  <c r="AA1462" i="26"/>
  <c r="AA1463" i="26"/>
  <c r="AA1464" i="26"/>
  <c r="AA1465" i="26"/>
  <c r="AA1466" i="26"/>
  <c r="AA1467" i="26"/>
  <c r="AA1468" i="26"/>
  <c r="AA1469" i="26"/>
  <c r="AA1470" i="26"/>
  <c r="AA1471" i="26"/>
  <c r="AA1472" i="26"/>
  <c r="AA1473" i="26"/>
  <c r="AA1474" i="26"/>
  <c r="AA1475" i="26"/>
  <c r="AA1476" i="26"/>
  <c r="AA1477" i="26"/>
  <c r="AA1478" i="26"/>
  <c r="AA1479" i="26"/>
  <c r="AA1480" i="26"/>
  <c r="AA1481" i="26"/>
  <c r="AA1482" i="26"/>
  <c r="AA1483" i="26"/>
  <c r="AA1484" i="26"/>
  <c r="AA1485" i="26"/>
  <c r="AA1486" i="26"/>
  <c r="AA1487" i="26"/>
  <c r="AA1488" i="26"/>
  <c r="AA1489" i="26"/>
  <c r="AA1490" i="26"/>
  <c r="AA1491" i="26"/>
  <c r="AA1492" i="26"/>
  <c r="AA1493" i="26"/>
  <c r="AA1494" i="26"/>
  <c r="AA1495" i="26"/>
  <c r="AA1496" i="26"/>
  <c r="AA1497" i="26"/>
  <c r="AA1498" i="26"/>
  <c r="AA1499" i="26"/>
  <c r="AA1500" i="26"/>
  <c r="AA1501" i="26"/>
  <c r="AA1502" i="26"/>
  <c r="AA1503" i="26"/>
  <c r="AA1504" i="26"/>
  <c r="AA1505" i="26"/>
  <c r="AA1506" i="26"/>
  <c r="AA1507" i="26"/>
  <c r="AA1508" i="26"/>
  <c r="AA1509" i="26"/>
  <c r="AA1510" i="26"/>
  <c r="AA1511" i="26"/>
  <c r="AA1512" i="26"/>
  <c r="AA1513" i="26"/>
  <c r="AA1514" i="26"/>
  <c r="AA1515" i="26"/>
  <c r="AA1516" i="26"/>
  <c r="AA1517" i="26"/>
  <c r="AA1518" i="26"/>
  <c r="AA1519" i="26"/>
  <c r="AA1520" i="26"/>
  <c r="AA1521" i="26"/>
  <c r="AA1522" i="26"/>
  <c r="AA1523" i="26"/>
  <c r="AA1524" i="26"/>
  <c r="AA1525" i="26"/>
  <c r="AA1526" i="26"/>
  <c r="AA1527" i="26"/>
  <c r="AA1528" i="26"/>
  <c r="AA1529" i="26"/>
  <c r="AA1530" i="26"/>
  <c r="AA1531" i="26"/>
  <c r="AA1532" i="26"/>
  <c r="AA1533" i="26"/>
  <c r="AA1534" i="26"/>
  <c r="AA1535" i="26"/>
  <c r="AA1536" i="26"/>
  <c r="AA1537" i="26"/>
  <c r="AA1538" i="26"/>
  <c r="AA1539" i="26"/>
  <c r="AA1540" i="26"/>
  <c r="AA1541" i="26"/>
  <c r="AA1542" i="26"/>
  <c r="AA1543" i="26"/>
  <c r="AA1544" i="26"/>
  <c r="AA1545" i="26"/>
  <c r="AA1546" i="26"/>
  <c r="AA1547" i="26"/>
  <c r="AA1548" i="26"/>
  <c r="AA1549" i="26"/>
  <c r="AA1550" i="26"/>
  <c r="AA1551" i="26"/>
  <c r="AA1552" i="26"/>
  <c r="AA1553" i="26"/>
  <c r="AA1554" i="26"/>
  <c r="AA1555" i="26"/>
  <c r="AA1556" i="26"/>
  <c r="AA1557" i="26"/>
  <c r="AA1558" i="26"/>
  <c r="AA1559" i="26"/>
  <c r="AA1560" i="26"/>
  <c r="AA1561" i="26"/>
  <c r="AA1562" i="26"/>
  <c r="AA1563" i="26"/>
  <c r="AA1564" i="26"/>
  <c r="AA1565" i="26"/>
  <c r="AA1566" i="26"/>
  <c r="AA1567" i="26"/>
  <c r="AA1568" i="26"/>
  <c r="AA1569" i="26"/>
  <c r="AA1570" i="26"/>
  <c r="AA1571" i="26"/>
  <c r="AA1572" i="26"/>
  <c r="AA1573" i="26"/>
  <c r="AA1574" i="26"/>
  <c r="AA1575" i="26"/>
  <c r="AA1576" i="26"/>
  <c r="AA1577" i="26"/>
  <c r="AA1578" i="26"/>
  <c r="AA1579" i="26"/>
  <c r="AA1580" i="26"/>
  <c r="AA1581" i="26"/>
  <c r="AA1582" i="26"/>
  <c r="AA1583" i="26"/>
  <c r="AA1584" i="26"/>
  <c r="AA1585" i="26"/>
  <c r="AA1586" i="26"/>
  <c r="AA1587" i="26"/>
  <c r="AA1588" i="26"/>
  <c r="AA1589" i="26"/>
  <c r="AA1590" i="26"/>
  <c r="AA1591" i="26"/>
  <c r="AA1592" i="26"/>
  <c r="AA1593" i="26"/>
  <c r="AA1594" i="26"/>
  <c r="AA1595" i="26"/>
  <c r="AA1596" i="26"/>
  <c r="AA1597" i="26"/>
  <c r="AA1598" i="26"/>
  <c r="AA1599" i="26"/>
  <c r="AA1600" i="26"/>
  <c r="AA1601" i="26"/>
  <c r="AA1602" i="26"/>
  <c r="AA1603" i="26"/>
  <c r="AA1604" i="26"/>
  <c r="AA1605" i="26"/>
  <c r="AA1606" i="26"/>
  <c r="AA1607" i="26"/>
  <c r="AA1608" i="26"/>
  <c r="AA1609" i="26"/>
  <c r="AA1610" i="26"/>
  <c r="AA1611" i="26"/>
  <c r="AA1612" i="26"/>
  <c r="AA1613" i="26"/>
  <c r="AA1614" i="26"/>
  <c r="AA1615" i="26"/>
  <c r="AA1616" i="26"/>
  <c r="AA1617" i="26"/>
  <c r="AA1618" i="26"/>
  <c r="AA1619" i="26"/>
  <c r="AA1620" i="26"/>
  <c r="AA1621" i="26"/>
  <c r="AA1622" i="26"/>
  <c r="AA1623" i="26"/>
  <c r="AA1624" i="26"/>
  <c r="AA1625" i="26"/>
  <c r="AA1626" i="26"/>
  <c r="AA1627" i="26"/>
  <c r="AA1628" i="26"/>
  <c r="AA1629" i="26"/>
  <c r="AA1630" i="26"/>
  <c r="AA1631" i="26"/>
  <c r="AA1632" i="26"/>
  <c r="AA1633" i="26"/>
  <c r="AA1634" i="26"/>
  <c r="AA1635" i="26"/>
  <c r="AA1636" i="26"/>
  <c r="AA1637" i="26"/>
  <c r="AA1638" i="26"/>
  <c r="AA1639" i="26"/>
  <c r="AA1640" i="26"/>
  <c r="AA1641" i="26"/>
  <c r="AA1642" i="26"/>
  <c r="AA1643" i="26"/>
  <c r="AA1644" i="26"/>
  <c r="AA1645" i="26"/>
  <c r="AA1646" i="26"/>
  <c r="AA1647" i="26"/>
  <c r="AA1648" i="26"/>
  <c r="AA1649" i="26"/>
  <c r="AA1650" i="26"/>
  <c r="AA1651" i="26"/>
  <c r="AA1652" i="26"/>
  <c r="AA1653" i="26"/>
  <c r="AA1654" i="26"/>
  <c r="AA1655" i="26"/>
  <c r="AA1656" i="26"/>
  <c r="AA1657" i="26"/>
  <c r="AA1658" i="26"/>
  <c r="AA1659" i="26"/>
  <c r="AA1660" i="26"/>
  <c r="AA1661" i="26"/>
  <c r="AA1662" i="26"/>
  <c r="AA1663" i="26"/>
  <c r="AA1664" i="26"/>
  <c r="AA1665" i="26"/>
  <c r="AA1666" i="26"/>
  <c r="AA1667" i="26"/>
  <c r="AA1668" i="26"/>
  <c r="AA1669" i="26"/>
  <c r="AA1670" i="26"/>
  <c r="AA1671" i="26"/>
  <c r="AA1672" i="26"/>
  <c r="AA1673" i="26"/>
  <c r="AA1674" i="26"/>
  <c r="AA1675" i="26"/>
  <c r="AA1676" i="26"/>
  <c r="AA1677" i="26"/>
  <c r="AA1678" i="26"/>
  <c r="AA1679" i="26"/>
  <c r="AA1680" i="26"/>
  <c r="AA1681" i="26"/>
  <c r="AA1682" i="26"/>
  <c r="AA1683" i="26"/>
  <c r="AA1684" i="26"/>
  <c r="AA1685" i="26"/>
  <c r="AA1686" i="26"/>
  <c r="AA1687" i="26"/>
  <c r="AA1688" i="26"/>
  <c r="AA1689" i="26"/>
  <c r="AA1690" i="26"/>
  <c r="AA1691" i="26"/>
  <c r="AA1692" i="26"/>
  <c r="AA1693" i="26"/>
  <c r="AA1694" i="26"/>
  <c r="AA1695" i="26"/>
  <c r="AA1696" i="26"/>
  <c r="AA1697" i="26"/>
  <c r="AA1698" i="26"/>
  <c r="AA1699" i="26"/>
  <c r="AA1700" i="26"/>
  <c r="AA1701" i="26"/>
  <c r="AA1702" i="26"/>
  <c r="AA1703" i="26"/>
  <c r="AA1704" i="26"/>
  <c r="AA1705" i="26"/>
  <c r="AA1706" i="26"/>
  <c r="AA1707" i="26"/>
  <c r="AA1708" i="26"/>
  <c r="AA1709" i="26"/>
  <c r="AA1710" i="26"/>
  <c r="AA1711" i="26"/>
  <c r="AA1712" i="26"/>
  <c r="AA1713" i="26"/>
  <c r="AA1714" i="26"/>
  <c r="AA1715" i="26"/>
  <c r="AA1716" i="26"/>
  <c r="AA1717" i="26"/>
  <c r="AA1718" i="26"/>
  <c r="AA1719" i="26"/>
  <c r="AA1720" i="26"/>
  <c r="AA1721" i="26"/>
  <c r="AA1722" i="26"/>
  <c r="AA1723" i="26"/>
  <c r="AA1724" i="26"/>
  <c r="AA1725" i="26"/>
  <c r="AA1726" i="26"/>
  <c r="AA1727" i="26"/>
  <c r="AA1728" i="26"/>
  <c r="AA1729" i="26"/>
  <c r="AA1730" i="26"/>
  <c r="AA1731" i="26"/>
  <c r="AA1732" i="26"/>
  <c r="AA1733" i="26"/>
  <c r="AA1734" i="26"/>
  <c r="AA1735" i="26"/>
  <c r="AA1736" i="26"/>
  <c r="AA1737" i="26"/>
  <c r="AA1738" i="26"/>
  <c r="AA1739" i="26"/>
  <c r="AA1740" i="26"/>
  <c r="AA1741" i="26"/>
  <c r="AA1742" i="26"/>
  <c r="AA1743" i="26"/>
  <c r="AA1744" i="26"/>
  <c r="AA1745" i="26"/>
  <c r="AA1746" i="26"/>
  <c r="AA1747" i="26"/>
  <c r="AA1748" i="26"/>
  <c r="AA1749" i="26"/>
  <c r="AA1750" i="26"/>
  <c r="AA1751" i="26"/>
  <c r="AA1752" i="26"/>
  <c r="AA1753" i="26"/>
  <c r="AA1754" i="26"/>
  <c r="AA1755" i="26"/>
  <c r="AA1756" i="26"/>
  <c r="AA1757" i="26"/>
  <c r="AA1758" i="26"/>
  <c r="AA1759" i="26"/>
  <c r="AA1760" i="26"/>
  <c r="AA1761" i="26"/>
  <c r="AA1762" i="26"/>
  <c r="AA1763" i="26"/>
  <c r="AA1764" i="26"/>
  <c r="AA1765" i="26"/>
  <c r="AA1766" i="26"/>
  <c r="AA1767" i="26"/>
  <c r="AA1768" i="26"/>
  <c r="AA1769" i="26"/>
  <c r="AA1770" i="26"/>
  <c r="AA1771" i="26"/>
  <c r="AA1772" i="26"/>
  <c r="AA1773" i="26"/>
  <c r="AA1774" i="26"/>
  <c r="AA1775" i="26"/>
  <c r="AA1776" i="26"/>
  <c r="AA1777" i="26"/>
  <c r="AA1778" i="26"/>
  <c r="AA1779" i="26"/>
  <c r="AA1780" i="26"/>
  <c r="AA1781" i="26"/>
  <c r="AA1782" i="26"/>
  <c r="AA1783" i="26"/>
  <c r="AA1784" i="26"/>
  <c r="AA1785" i="26"/>
  <c r="AA1786" i="26"/>
  <c r="AA1787" i="26"/>
  <c r="AA1788" i="26"/>
  <c r="AA1789" i="26"/>
  <c r="AA1790" i="26"/>
  <c r="AA1791" i="26"/>
  <c r="AA1792" i="26"/>
  <c r="AA1793" i="26"/>
  <c r="AA1794" i="26"/>
  <c r="AA1795" i="26"/>
  <c r="AA1796" i="26"/>
  <c r="AA1797" i="26"/>
  <c r="AA1798" i="26"/>
  <c r="AA1799" i="26"/>
  <c r="AA1800" i="26"/>
  <c r="AA1801" i="26"/>
  <c r="AA1802" i="26"/>
  <c r="AA1803" i="26"/>
  <c r="AA1804" i="26"/>
  <c r="AA1805" i="26"/>
  <c r="AA1806" i="26"/>
  <c r="AA1807" i="26"/>
  <c r="AA1808" i="26"/>
  <c r="AA1809" i="26"/>
  <c r="AA1810" i="26"/>
  <c r="AA1811" i="26"/>
  <c r="AA1812" i="26"/>
  <c r="AA1813" i="26"/>
  <c r="AA1814" i="26"/>
  <c r="AA1815" i="26"/>
  <c r="AA1816" i="26"/>
  <c r="AA1817" i="26"/>
  <c r="AA1818" i="26"/>
  <c r="AA1819" i="26"/>
  <c r="AA1820" i="26"/>
  <c r="AA1821" i="26"/>
  <c r="AA1822" i="26"/>
  <c r="AA1823" i="26"/>
  <c r="AA1824" i="26"/>
  <c r="AA1825" i="26"/>
  <c r="AA1826" i="26"/>
  <c r="AA1827" i="26"/>
  <c r="AA1828" i="26"/>
  <c r="AA1829" i="26"/>
  <c r="AA1830" i="26"/>
  <c r="AA1831" i="26"/>
  <c r="AA1832" i="26"/>
  <c r="AA1833" i="26"/>
  <c r="AA1834" i="26"/>
  <c r="AA1835" i="26"/>
  <c r="AA1836" i="26"/>
  <c r="AA1837" i="26"/>
  <c r="AA1838" i="26"/>
  <c r="AA1839" i="26"/>
  <c r="AA1840" i="26"/>
  <c r="AA1841" i="26"/>
  <c r="AA1842" i="26"/>
  <c r="AA1843" i="26"/>
  <c r="AA1844" i="26"/>
  <c r="AA1845" i="26"/>
  <c r="AA1846" i="26"/>
  <c r="AA1847" i="26"/>
  <c r="AA1848" i="26"/>
  <c r="AA1849" i="26"/>
  <c r="AA1850" i="26"/>
  <c r="AA1851" i="26"/>
  <c r="AA1852" i="26"/>
  <c r="AA1853" i="26"/>
  <c r="AA1854" i="26"/>
  <c r="AA1855" i="26"/>
  <c r="AA1856" i="26"/>
  <c r="AA1857" i="26"/>
  <c r="AA1858" i="26"/>
  <c r="AA1859" i="26"/>
  <c r="AA1860" i="26"/>
  <c r="AA1861" i="26"/>
  <c r="AA1862" i="26"/>
  <c r="AA1863" i="26"/>
  <c r="AA1864" i="26"/>
  <c r="AA1865" i="26"/>
  <c r="AA1866" i="26"/>
  <c r="AA1867" i="26"/>
  <c r="AA1868" i="26"/>
  <c r="AA1869" i="26"/>
  <c r="AA1870" i="26"/>
  <c r="AA1871" i="26"/>
  <c r="AA1872" i="26"/>
  <c r="AA1873" i="26"/>
  <c r="AA1874" i="26"/>
  <c r="AA1875" i="26"/>
  <c r="AA1876" i="26"/>
  <c r="AA1877" i="26"/>
  <c r="AA1878" i="26"/>
  <c r="AA1879" i="26"/>
  <c r="AA1880" i="26"/>
  <c r="AA1881" i="26"/>
  <c r="AA1882" i="26"/>
  <c r="AA1883" i="26"/>
  <c r="AA1884" i="26"/>
  <c r="AA1885" i="26"/>
  <c r="AA1886" i="26"/>
  <c r="AA1887" i="26"/>
  <c r="AA1888" i="26"/>
  <c r="AA1889" i="26"/>
  <c r="AA1890" i="26"/>
  <c r="AA1891" i="26"/>
  <c r="AA1892" i="26"/>
  <c r="AA1893" i="26"/>
  <c r="AA1894" i="26"/>
  <c r="AA1895" i="26"/>
  <c r="AA1896" i="26"/>
  <c r="AA1897" i="26"/>
  <c r="AA1898" i="26"/>
  <c r="AA1899" i="26"/>
  <c r="AA1900" i="26"/>
  <c r="AA1901" i="26"/>
  <c r="AA1902" i="26"/>
  <c r="AA1903" i="26"/>
  <c r="AA1904" i="26"/>
  <c r="AA1905" i="26"/>
  <c r="AA1906" i="26"/>
  <c r="AA1907" i="26"/>
  <c r="AA1908" i="26"/>
  <c r="AA1909" i="26"/>
  <c r="AA1910" i="26"/>
  <c r="AA1911" i="26"/>
  <c r="AA1912" i="26"/>
  <c r="AA1913" i="26"/>
  <c r="AA1914" i="26"/>
  <c r="AA1915" i="26"/>
  <c r="AA1916" i="26"/>
  <c r="AA1917" i="26"/>
  <c r="AA1918" i="26"/>
  <c r="AA1919" i="26"/>
  <c r="AA1920" i="26"/>
  <c r="AA1921" i="26"/>
  <c r="AA1922" i="26"/>
  <c r="AA1923" i="26"/>
  <c r="AA1924" i="26"/>
  <c r="AA1925" i="26"/>
  <c r="AA1926" i="26"/>
  <c r="AA1927" i="26"/>
  <c r="AA1928" i="26"/>
  <c r="AA1929" i="26"/>
  <c r="AA1930" i="26"/>
  <c r="AA1931" i="26"/>
  <c r="AA1932" i="26"/>
  <c r="AA1933" i="26"/>
  <c r="AA1934" i="26"/>
  <c r="AA1935" i="26"/>
  <c r="AA1936" i="26"/>
  <c r="AA1937" i="26"/>
  <c r="AA1938" i="26"/>
  <c r="AA1939" i="26"/>
  <c r="AA1940" i="26"/>
  <c r="AA1941" i="26"/>
  <c r="AA1942" i="26"/>
  <c r="AA1943" i="26"/>
  <c r="AA1944" i="26"/>
  <c r="AA1945" i="26"/>
  <c r="AA1946" i="26"/>
  <c r="AA1947" i="26"/>
  <c r="AA1948" i="26"/>
  <c r="AA1949" i="26"/>
  <c r="AA1950" i="26"/>
  <c r="AA1951" i="26"/>
  <c r="AA1952" i="26"/>
  <c r="AA1953" i="26"/>
  <c r="AA1954" i="26"/>
  <c r="AA1955" i="26"/>
  <c r="AA1956" i="26"/>
  <c r="AA1957" i="26"/>
  <c r="AA1958" i="26"/>
  <c r="AA1959" i="26"/>
  <c r="AA1960" i="26"/>
  <c r="AA1961" i="26"/>
  <c r="AA1962" i="26"/>
  <c r="AA1963" i="26"/>
  <c r="AA1964" i="26"/>
  <c r="AA1965" i="26"/>
  <c r="AA1966" i="26"/>
  <c r="AA1967" i="26"/>
  <c r="AA1968" i="26"/>
  <c r="AA1969" i="26"/>
  <c r="AA1970" i="26"/>
  <c r="AA1971" i="26"/>
  <c r="AA1972" i="26"/>
  <c r="AA1973" i="26"/>
  <c r="AA1974" i="26"/>
  <c r="AA1975" i="26"/>
  <c r="AA1976" i="26"/>
  <c r="AA1977" i="26"/>
  <c r="AA1978" i="26"/>
  <c r="AA1979" i="26"/>
  <c r="AA1980" i="26"/>
  <c r="AA1981" i="26"/>
  <c r="AA1982" i="26"/>
  <c r="AA1983" i="26"/>
  <c r="AA1984" i="26"/>
  <c r="AA1985" i="26"/>
  <c r="AA1986" i="26"/>
  <c r="AA1987" i="26"/>
  <c r="AA1988" i="26"/>
  <c r="AA1989" i="26"/>
  <c r="AA1990" i="26"/>
  <c r="AA1991" i="26"/>
  <c r="AA1992" i="26"/>
  <c r="AA1993" i="26"/>
  <c r="AA1994" i="26"/>
  <c r="AA1995" i="26"/>
  <c r="AA1996" i="26"/>
  <c r="AA1997" i="26"/>
  <c r="AA1998" i="26"/>
  <c r="AA1999" i="26"/>
  <c r="AA2000" i="26"/>
  <c r="AA2001" i="26"/>
  <c r="AA2002" i="26"/>
  <c r="AA2003" i="26"/>
  <c r="AA2004" i="26"/>
  <c r="AA2005" i="26"/>
  <c r="AA2006" i="26"/>
  <c r="AA2007" i="26"/>
  <c r="AA2008" i="26"/>
  <c r="AA2009" i="26"/>
  <c r="AA2010" i="26"/>
  <c r="AA2011" i="26"/>
  <c r="AA2012" i="26"/>
  <c r="AA2013" i="26"/>
  <c r="AA2014" i="26"/>
  <c r="AA2015" i="26"/>
  <c r="AA2016" i="26"/>
  <c r="AA2017" i="26"/>
  <c r="AA2018" i="26"/>
  <c r="AA2019" i="26"/>
  <c r="AA2020" i="26"/>
  <c r="AA2021" i="26"/>
  <c r="AA2022" i="26"/>
  <c r="AA2023" i="26"/>
  <c r="AA2024" i="26"/>
  <c r="AA2025" i="26"/>
  <c r="AA2026" i="26"/>
  <c r="AA2027" i="26"/>
  <c r="AA2028" i="26"/>
  <c r="AA2029" i="26"/>
  <c r="AA2030" i="26"/>
  <c r="AA2031" i="26"/>
  <c r="AA2032" i="26"/>
  <c r="AA2033" i="26"/>
  <c r="AA2034" i="26"/>
  <c r="AA2035" i="26"/>
  <c r="AA2036" i="26"/>
  <c r="AA2037" i="26"/>
  <c r="AA2038" i="26"/>
  <c r="AA2039" i="26"/>
  <c r="AA2040" i="26"/>
  <c r="AA2041" i="26"/>
  <c r="AA2042" i="26"/>
  <c r="AA2043" i="26"/>
  <c r="AA2044" i="26"/>
  <c r="AA2045" i="26"/>
  <c r="AA2046" i="26"/>
  <c r="AA2047" i="26"/>
  <c r="AA2048" i="26"/>
  <c r="AA2049" i="26"/>
  <c r="AA2050" i="26"/>
  <c r="AA2051" i="26"/>
  <c r="AA2052" i="26"/>
  <c r="AA2053" i="26"/>
  <c r="AA2054" i="26"/>
  <c r="AA2055" i="26"/>
  <c r="AA2056" i="26"/>
  <c r="AA2057" i="26"/>
  <c r="AA2058" i="26"/>
  <c r="AA2059" i="26"/>
  <c r="AA2060" i="26"/>
  <c r="AA2061" i="26"/>
  <c r="AA2062" i="26"/>
  <c r="AA2063" i="26"/>
  <c r="AA2064" i="26"/>
  <c r="AA2065" i="26"/>
  <c r="AA2066" i="26"/>
  <c r="AA2067" i="26"/>
  <c r="AA2068" i="26"/>
  <c r="AA2069" i="26"/>
  <c r="AA2070" i="26"/>
  <c r="AA2071" i="26"/>
  <c r="AA2072" i="26"/>
  <c r="AA2073" i="26"/>
  <c r="AA2074" i="26"/>
  <c r="AA2075" i="26"/>
  <c r="AA2076" i="26"/>
  <c r="AA2077" i="26"/>
  <c r="AA2078" i="26"/>
  <c r="AA2079" i="26"/>
  <c r="AA2080" i="26"/>
  <c r="AA2081" i="26"/>
  <c r="AA2082" i="26"/>
  <c r="AA2083" i="26"/>
  <c r="AA2084" i="26"/>
  <c r="AA2085" i="26"/>
  <c r="AA2086" i="26"/>
  <c r="AA2087" i="26"/>
  <c r="AA2088" i="26"/>
  <c r="AA2089" i="26"/>
  <c r="AA2090" i="26"/>
  <c r="AA2091" i="26"/>
  <c r="AA2092" i="26"/>
  <c r="AA2093" i="26"/>
  <c r="AA2094" i="26"/>
  <c r="AA2095" i="26"/>
  <c r="AA2096" i="26"/>
  <c r="AA2097" i="26"/>
  <c r="AA2098" i="26"/>
  <c r="AA2099" i="26"/>
  <c r="AA2100" i="26"/>
  <c r="AA2101" i="26"/>
  <c r="AA2102" i="26"/>
  <c r="AA2103" i="26"/>
  <c r="AA2104" i="26"/>
  <c r="AA2105" i="26"/>
  <c r="AA2106" i="26"/>
  <c r="AA2107" i="26"/>
  <c r="AA2108" i="26"/>
  <c r="AA2109" i="26"/>
  <c r="AA2110" i="26"/>
  <c r="AA2111" i="26"/>
  <c r="AA2112" i="26"/>
  <c r="AA2113" i="26"/>
  <c r="AA2114" i="26"/>
  <c r="AA2115" i="26"/>
  <c r="AA2116" i="26"/>
  <c r="AA2117" i="26"/>
  <c r="AA2118" i="26"/>
  <c r="AA2119" i="26"/>
  <c r="AA2120" i="26"/>
  <c r="AA2121" i="26"/>
  <c r="AA2122" i="26"/>
  <c r="AA2123" i="26"/>
  <c r="AA2124" i="26"/>
  <c r="AA2125" i="26"/>
  <c r="AA2126" i="26"/>
  <c r="AA2127" i="26"/>
  <c r="AA2128" i="26"/>
  <c r="AA2129" i="26"/>
  <c r="AA2130" i="26"/>
  <c r="AA2131" i="26"/>
  <c r="AA2132" i="26"/>
  <c r="AA2133" i="26"/>
  <c r="AA2134" i="26"/>
  <c r="AA2135" i="26"/>
  <c r="AA2136" i="26"/>
  <c r="AA2137" i="26"/>
  <c r="AA2138" i="26"/>
  <c r="AA2139" i="26"/>
  <c r="AA2140" i="26"/>
  <c r="AA2141" i="26"/>
  <c r="AA2142" i="26"/>
  <c r="AA2143" i="26"/>
  <c r="AA2144" i="26"/>
  <c r="AA2145" i="26"/>
  <c r="AA2146" i="26"/>
  <c r="AA2147" i="26"/>
  <c r="AA2148" i="26"/>
  <c r="AA2149" i="26"/>
  <c r="AA2150" i="26"/>
  <c r="AA2151" i="26"/>
  <c r="AA2152" i="26"/>
  <c r="AA2153" i="26"/>
  <c r="AA2154" i="26"/>
  <c r="AA2155" i="26"/>
  <c r="AA2156" i="26"/>
  <c r="AA2157" i="26"/>
  <c r="AA2158" i="26"/>
  <c r="AA2159" i="26"/>
  <c r="AA2160" i="26"/>
  <c r="AA2161" i="26"/>
  <c r="AA2162" i="26"/>
  <c r="AA2163" i="26"/>
  <c r="AA2164" i="26"/>
  <c r="AA2165" i="26"/>
  <c r="AA2166" i="26"/>
  <c r="AA2167" i="26"/>
  <c r="AA2168" i="26"/>
  <c r="AA2169" i="26"/>
  <c r="AA2170" i="26"/>
  <c r="AA2171" i="26"/>
  <c r="AA2172" i="26"/>
  <c r="AA2173" i="26"/>
  <c r="AA2174" i="26"/>
  <c r="AA2175" i="26"/>
  <c r="AA2176" i="26"/>
  <c r="AA2177" i="26"/>
  <c r="AA2178" i="26"/>
  <c r="AA2179" i="26"/>
  <c r="AA2180" i="26"/>
  <c r="AA2181" i="26"/>
  <c r="AA2182" i="26"/>
  <c r="AA2183" i="26"/>
  <c r="AA2184" i="26"/>
  <c r="AA2185" i="26"/>
  <c r="AA2186" i="26"/>
  <c r="AA2187" i="26"/>
  <c r="AA2188" i="26"/>
  <c r="AA2189" i="26"/>
  <c r="AA2190" i="26"/>
  <c r="AA2191" i="26"/>
  <c r="AA2192" i="26"/>
  <c r="AA2193" i="26"/>
  <c r="AA2194" i="26"/>
  <c r="AA2195" i="26"/>
  <c r="AA2196" i="26"/>
  <c r="AA2197" i="26"/>
  <c r="AA2198" i="26"/>
  <c r="AA2199" i="26"/>
  <c r="AA2200" i="26"/>
  <c r="AA2201" i="26"/>
  <c r="AA2202" i="26"/>
  <c r="AA2203" i="26"/>
  <c r="AA2204" i="26"/>
  <c r="AA2205" i="26"/>
  <c r="AA2206" i="26"/>
  <c r="AA2207" i="26"/>
  <c r="AA2208" i="26"/>
  <c r="AA2209" i="26"/>
  <c r="AA2210" i="26"/>
  <c r="AA2211" i="26"/>
  <c r="AA2212" i="26"/>
  <c r="AA2213" i="26"/>
  <c r="AA2214" i="26"/>
  <c r="AA2215" i="26"/>
  <c r="AA2216" i="26"/>
  <c r="AA2217" i="26"/>
  <c r="AA2218" i="26"/>
  <c r="AA2219" i="26"/>
  <c r="AA2220" i="26"/>
  <c r="AA2221" i="26"/>
  <c r="AA2222" i="26"/>
  <c r="AA2223" i="26"/>
  <c r="AA2224" i="26"/>
  <c r="AA2225" i="26"/>
  <c r="AA2226" i="26"/>
  <c r="AA2227" i="26"/>
  <c r="AA2228" i="26"/>
  <c r="AA2229" i="26"/>
  <c r="AA2230" i="26"/>
  <c r="AA2231" i="26"/>
  <c r="AA2232" i="26"/>
  <c r="AA2233" i="26"/>
  <c r="AA2234" i="26"/>
  <c r="AA2235" i="26"/>
  <c r="AA2236" i="26"/>
  <c r="AA2237" i="26"/>
  <c r="AA2238" i="26"/>
  <c r="AA2239" i="26"/>
  <c r="AA2240" i="26"/>
  <c r="AA2241" i="26"/>
  <c r="AA2242" i="26"/>
  <c r="AA2243" i="26"/>
  <c r="AA2244" i="26"/>
  <c r="AA2245" i="26"/>
  <c r="AA2246" i="26"/>
  <c r="AA2247" i="26"/>
  <c r="AA2248" i="26"/>
  <c r="AA2249" i="26"/>
  <c r="AA2250" i="26"/>
  <c r="AA2251" i="26"/>
  <c r="AA2252" i="26"/>
  <c r="AA2253" i="26"/>
  <c r="AA2254" i="26"/>
  <c r="AA2255" i="26"/>
  <c r="AA2256" i="26"/>
  <c r="AA2257" i="26"/>
  <c r="AA2258" i="26"/>
  <c r="AA2259" i="26"/>
  <c r="AA2260" i="26"/>
  <c r="AA2261" i="26"/>
  <c r="AA2262" i="26"/>
  <c r="AA2263" i="26"/>
  <c r="AA2264" i="26"/>
  <c r="AA2265" i="26"/>
  <c r="AA2266" i="26"/>
  <c r="AA2267" i="26"/>
  <c r="AA2268" i="26"/>
  <c r="AA2269" i="26"/>
  <c r="AA2270" i="26"/>
  <c r="AA2271" i="26"/>
  <c r="AA2272" i="26"/>
  <c r="AA2273" i="26"/>
  <c r="AA2274" i="26"/>
  <c r="AA2275" i="26"/>
  <c r="AA2276" i="26"/>
  <c r="AA2277" i="26"/>
  <c r="AA2278" i="26"/>
  <c r="AA2279" i="26"/>
  <c r="AA2280" i="26"/>
  <c r="AA2281" i="26"/>
  <c r="AA2282" i="26"/>
  <c r="AA2283" i="26"/>
  <c r="AA2284" i="26"/>
  <c r="AA2285" i="26"/>
  <c r="AA2286" i="26"/>
  <c r="AA2287" i="26"/>
  <c r="AA2288" i="26"/>
  <c r="AA2289" i="26"/>
  <c r="AA2290" i="26"/>
  <c r="AA2291" i="26"/>
  <c r="AA2292" i="26"/>
  <c r="AA2293" i="26"/>
  <c r="AA2294" i="26"/>
  <c r="AA2295" i="26"/>
  <c r="AA2296" i="26"/>
  <c r="AA2297" i="26"/>
  <c r="AA2298" i="26"/>
  <c r="AA2299" i="26"/>
  <c r="AA2300" i="26"/>
  <c r="AA2301" i="26"/>
  <c r="AA2302" i="26"/>
  <c r="AA2303" i="26"/>
  <c r="AA2304" i="26"/>
  <c r="AA2305" i="26"/>
  <c r="AA2306" i="26"/>
  <c r="AA2307" i="26"/>
  <c r="AA2308" i="26"/>
  <c r="AA2309" i="26"/>
  <c r="AA2310" i="26"/>
  <c r="AA2311" i="26"/>
  <c r="AA2312" i="26"/>
  <c r="AA2313" i="26"/>
  <c r="AA2314" i="26"/>
  <c r="AA2315" i="26"/>
  <c r="AA2316" i="26"/>
  <c r="AA2317" i="26"/>
  <c r="AA2318" i="26"/>
  <c r="AA2319" i="26"/>
  <c r="AA2320" i="26"/>
  <c r="AA2321" i="26"/>
  <c r="AA2322" i="26"/>
  <c r="AA2323" i="26"/>
  <c r="AA2324" i="26"/>
  <c r="AA2325" i="26"/>
  <c r="AA2326" i="26"/>
  <c r="AA2327" i="26"/>
  <c r="AA2328" i="26"/>
  <c r="AA2329" i="26"/>
  <c r="AA2330" i="26"/>
  <c r="AA2331" i="26"/>
  <c r="AA2332" i="26"/>
  <c r="AA2333" i="26"/>
  <c r="AA2334" i="26"/>
  <c r="AA2335" i="26"/>
  <c r="AA2336" i="26"/>
  <c r="AA2337" i="26"/>
  <c r="AA2338" i="26"/>
  <c r="AA2339" i="26"/>
  <c r="AA2340" i="26"/>
  <c r="AA2341" i="26"/>
  <c r="AA2342" i="26"/>
  <c r="AA2343" i="26"/>
  <c r="AA2344" i="26"/>
  <c r="AA2345" i="26"/>
  <c r="AA2346" i="26"/>
  <c r="AA2347" i="26"/>
  <c r="AA2348" i="26"/>
  <c r="AA2349" i="26"/>
  <c r="AA2350" i="26"/>
  <c r="AA2351" i="26"/>
  <c r="AA2352" i="26"/>
  <c r="AA2353" i="26"/>
  <c r="AA2354" i="26"/>
  <c r="AA2355" i="26"/>
  <c r="AA2356" i="26"/>
  <c r="AA2357" i="26"/>
  <c r="AA2358" i="26"/>
  <c r="AA2359" i="26"/>
  <c r="AA2360" i="26"/>
  <c r="AA2361" i="26"/>
  <c r="AA2362" i="26"/>
  <c r="AA2363" i="26"/>
  <c r="AA2364" i="26"/>
  <c r="AA2365" i="26"/>
  <c r="AA2366" i="26"/>
  <c r="AA2367" i="26"/>
  <c r="AA2368" i="26"/>
  <c r="AA2369" i="26"/>
  <c r="AA2370" i="26"/>
  <c r="AA2371" i="26"/>
  <c r="AA2372" i="26"/>
  <c r="AA2373" i="26"/>
  <c r="AA2374" i="26"/>
  <c r="AA2375" i="26"/>
  <c r="AA2376" i="26"/>
  <c r="AA2377" i="26"/>
  <c r="AA2378" i="26"/>
  <c r="AA2379" i="26"/>
  <c r="AA2380" i="26"/>
  <c r="AA2381" i="26"/>
  <c r="AA2382" i="26"/>
  <c r="AA2383" i="26"/>
  <c r="AA2384" i="26"/>
  <c r="AA2385" i="26"/>
  <c r="AA2386" i="26"/>
  <c r="AA2387" i="26"/>
  <c r="AA2388" i="26"/>
  <c r="AA2389" i="26"/>
  <c r="AA2390" i="26"/>
  <c r="AA2391" i="26"/>
  <c r="AA2392" i="26"/>
  <c r="AA2393" i="26"/>
  <c r="AA2394" i="26"/>
  <c r="AA2395" i="26"/>
  <c r="AA2396" i="26"/>
  <c r="AA2397" i="26"/>
  <c r="AA2398" i="26"/>
  <c r="AA2399" i="26"/>
  <c r="AA2400" i="26"/>
  <c r="AA2401" i="26"/>
  <c r="AA2" i="26"/>
  <c r="W3" i="26"/>
  <c r="W4" i="26"/>
  <c r="W5" i="26"/>
  <c r="W6" i="26"/>
  <c r="W7" i="26"/>
  <c r="W8" i="26"/>
  <c r="W9" i="26"/>
  <c r="W10" i="26"/>
  <c r="W11" i="26"/>
  <c r="W12" i="26"/>
  <c r="W13" i="26"/>
  <c r="W14" i="26"/>
  <c r="W15" i="26"/>
  <c r="W16" i="26"/>
  <c r="W17" i="26"/>
  <c r="W18" i="26"/>
  <c r="W19" i="26"/>
  <c r="W20" i="26"/>
  <c r="W21" i="26"/>
  <c r="W22" i="26"/>
  <c r="W23" i="26"/>
  <c r="W24" i="26"/>
  <c r="W25" i="26"/>
  <c r="W26" i="26"/>
  <c r="W27" i="26"/>
  <c r="W28" i="26"/>
  <c r="W29" i="26"/>
  <c r="W30" i="26"/>
  <c r="W31" i="26"/>
  <c r="W32" i="26"/>
  <c r="W33" i="26"/>
  <c r="W34" i="26"/>
  <c r="W35" i="26"/>
  <c r="W36" i="26"/>
  <c r="W37" i="26"/>
  <c r="W38" i="26"/>
  <c r="W39" i="26"/>
  <c r="W40" i="26"/>
  <c r="W41" i="26"/>
  <c r="W42" i="26"/>
  <c r="W43" i="26"/>
  <c r="W44" i="26"/>
  <c r="W45" i="26"/>
  <c r="W46" i="26"/>
  <c r="W47" i="26"/>
  <c r="W48" i="26"/>
  <c r="W49" i="26"/>
  <c r="W50" i="26"/>
  <c r="W51" i="26"/>
  <c r="W52" i="26"/>
  <c r="W53" i="26"/>
  <c r="W54" i="26"/>
  <c r="W55" i="26"/>
  <c r="W56" i="26"/>
  <c r="W57" i="26"/>
  <c r="W58" i="26"/>
  <c r="W59" i="26"/>
  <c r="W60" i="26"/>
  <c r="W61" i="26"/>
  <c r="W62" i="26"/>
  <c r="W63" i="26"/>
  <c r="W64" i="26"/>
  <c r="W65" i="26"/>
  <c r="W66" i="26"/>
  <c r="W67" i="26"/>
  <c r="W68" i="26"/>
  <c r="W69" i="26"/>
  <c r="W70" i="26"/>
  <c r="W71" i="26"/>
  <c r="W72" i="26"/>
  <c r="W73" i="26"/>
  <c r="W74" i="26"/>
  <c r="W75" i="26"/>
  <c r="W76" i="26"/>
  <c r="W77" i="26"/>
  <c r="W78" i="26"/>
  <c r="W79" i="26"/>
  <c r="W80" i="26"/>
  <c r="W81" i="26"/>
  <c r="W82" i="26"/>
  <c r="W83" i="26"/>
  <c r="W84" i="26"/>
  <c r="W85" i="26"/>
  <c r="W86" i="26"/>
  <c r="W87" i="26"/>
  <c r="W88" i="26"/>
  <c r="W89" i="26"/>
  <c r="W90" i="26"/>
  <c r="W91" i="26"/>
  <c r="W92" i="26"/>
  <c r="W93" i="26"/>
  <c r="W94" i="26"/>
  <c r="W95" i="26"/>
  <c r="W96" i="26"/>
  <c r="W97" i="26"/>
  <c r="W98" i="26"/>
  <c r="W99" i="26"/>
  <c r="W100" i="26"/>
  <c r="W101" i="26"/>
  <c r="W102" i="26"/>
  <c r="W103" i="26"/>
  <c r="W104" i="26"/>
  <c r="W105" i="26"/>
  <c r="W106" i="26"/>
  <c r="W107" i="26"/>
  <c r="W108" i="26"/>
  <c r="W109" i="26"/>
  <c r="W110" i="26"/>
  <c r="W111" i="26"/>
  <c r="W112" i="26"/>
  <c r="W113" i="26"/>
  <c r="W114" i="26"/>
  <c r="W115" i="26"/>
  <c r="W116" i="26"/>
  <c r="W117" i="26"/>
  <c r="W118" i="26"/>
  <c r="W119" i="26"/>
  <c r="W120" i="26"/>
  <c r="W121" i="26"/>
  <c r="W122" i="26"/>
  <c r="W123" i="26"/>
  <c r="W124" i="26"/>
  <c r="W125" i="26"/>
  <c r="W126" i="26"/>
  <c r="W127" i="26"/>
  <c r="W128" i="26"/>
  <c r="W129" i="26"/>
  <c r="W130" i="26"/>
  <c r="W131" i="26"/>
  <c r="W132" i="26"/>
  <c r="W133" i="26"/>
  <c r="W134" i="26"/>
  <c r="W135" i="26"/>
  <c r="W136" i="26"/>
  <c r="W137" i="26"/>
  <c r="W138" i="26"/>
  <c r="W139" i="26"/>
  <c r="W140" i="26"/>
  <c r="W141" i="26"/>
  <c r="W142" i="26"/>
  <c r="W143" i="26"/>
  <c r="W144" i="26"/>
  <c r="W145" i="26"/>
  <c r="W146" i="26"/>
  <c r="W147" i="26"/>
  <c r="W148" i="26"/>
  <c r="W149" i="26"/>
  <c r="W150" i="26"/>
  <c r="W151" i="26"/>
  <c r="W152" i="26"/>
  <c r="W153" i="26"/>
  <c r="W154" i="26"/>
  <c r="W155" i="26"/>
  <c r="W156" i="26"/>
  <c r="W157" i="26"/>
  <c r="W158" i="26"/>
  <c r="W159" i="26"/>
  <c r="W160" i="26"/>
  <c r="W161" i="26"/>
  <c r="W162" i="26"/>
  <c r="W163" i="26"/>
  <c r="W164" i="26"/>
  <c r="W165" i="26"/>
  <c r="W166" i="26"/>
  <c r="W167" i="26"/>
  <c r="W168" i="26"/>
  <c r="W169" i="26"/>
  <c r="W170" i="26"/>
  <c r="W171" i="26"/>
  <c r="W172" i="26"/>
  <c r="W173" i="26"/>
  <c r="W174" i="26"/>
  <c r="W175" i="26"/>
  <c r="W176" i="26"/>
  <c r="W177" i="26"/>
  <c r="W178" i="26"/>
  <c r="W179" i="26"/>
  <c r="W180" i="26"/>
  <c r="W181" i="26"/>
  <c r="W182" i="26"/>
  <c r="W183" i="26"/>
  <c r="W184" i="26"/>
  <c r="W185" i="26"/>
  <c r="W186" i="26"/>
  <c r="W187" i="26"/>
  <c r="W188" i="26"/>
  <c r="W189" i="26"/>
  <c r="W190" i="26"/>
  <c r="W191" i="26"/>
  <c r="W192" i="26"/>
  <c r="W193" i="26"/>
  <c r="W194" i="26"/>
  <c r="W195" i="26"/>
  <c r="W196" i="26"/>
  <c r="W197" i="26"/>
  <c r="W198" i="26"/>
  <c r="W199" i="26"/>
  <c r="W200" i="26"/>
  <c r="W201" i="26"/>
  <c r="W202" i="26"/>
  <c r="W203" i="26"/>
  <c r="W204" i="26"/>
  <c r="W205" i="26"/>
  <c r="W206" i="26"/>
  <c r="W207" i="26"/>
  <c r="W208" i="26"/>
  <c r="W209" i="26"/>
  <c r="W210" i="26"/>
  <c r="W211" i="26"/>
  <c r="W212" i="26"/>
  <c r="W213" i="26"/>
  <c r="W214" i="26"/>
  <c r="W215" i="26"/>
  <c r="W216" i="26"/>
  <c r="W217" i="26"/>
  <c r="W218" i="26"/>
  <c r="W219" i="26"/>
  <c r="W220" i="26"/>
  <c r="W221" i="26"/>
  <c r="W222" i="26"/>
  <c r="W223" i="26"/>
  <c r="W224" i="26"/>
  <c r="W225" i="26"/>
  <c r="W226" i="26"/>
  <c r="W227" i="26"/>
  <c r="W228" i="26"/>
  <c r="W229" i="26"/>
  <c r="W230" i="26"/>
  <c r="W231" i="26"/>
  <c r="W232" i="26"/>
  <c r="W233" i="26"/>
  <c r="W234" i="26"/>
  <c r="W235" i="26"/>
  <c r="W236" i="26"/>
  <c r="W237" i="26"/>
  <c r="W238" i="26"/>
  <c r="W239" i="26"/>
  <c r="W240" i="26"/>
  <c r="W241" i="26"/>
  <c r="W242" i="26"/>
  <c r="W243" i="26"/>
  <c r="W244" i="26"/>
  <c r="W245" i="26"/>
  <c r="W246" i="26"/>
  <c r="W247" i="26"/>
  <c r="W248" i="26"/>
  <c r="W249" i="26"/>
  <c r="W250" i="26"/>
  <c r="W251" i="26"/>
  <c r="W252" i="26"/>
  <c r="W253" i="26"/>
  <c r="W254" i="26"/>
  <c r="W255" i="26"/>
  <c r="W256" i="26"/>
  <c r="W257" i="26"/>
  <c r="W258" i="26"/>
  <c r="W259" i="26"/>
  <c r="W260" i="26"/>
  <c r="W261" i="26"/>
  <c r="W262" i="26"/>
  <c r="W263" i="26"/>
  <c r="W264" i="26"/>
  <c r="W265" i="26"/>
  <c r="W266" i="26"/>
  <c r="W267" i="26"/>
  <c r="W268" i="26"/>
  <c r="W269" i="26"/>
  <c r="W270" i="26"/>
  <c r="W271" i="26"/>
  <c r="W272" i="26"/>
  <c r="W273" i="26"/>
  <c r="W274" i="26"/>
  <c r="W275" i="26"/>
  <c r="W276" i="26"/>
  <c r="W277" i="26"/>
  <c r="W278" i="26"/>
  <c r="W279" i="26"/>
  <c r="W280" i="26"/>
  <c r="W281" i="26"/>
  <c r="W282" i="26"/>
  <c r="W283" i="26"/>
  <c r="W284" i="26"/>
  <c r="W285" i="26"/>
  <c r="W286" i="26"/>
  <c r="W287" i="26"/>
  <c r="W288" i="26"/>
  <c r="W289" i="26"/>
  <c r="W290" i="26"/>
  <c r="W291" i="26"/>
  <c r="W292" i="26"/>
  <c r="W293" i="26"/>
  <c r="W294" i="26"/>
  <c r="W295" i="26"/>
  <c r="W296" i="26"/>
  <c r="W297" i="26"/>
  <c r="W298" i="26"/>
  <c r="W299" i="26"/>
  <c r="W300" i="26"/>
  <c r="W301" i="26"/>
  <c r="W302" i="26"/>
  <c r="W303" i="26"/>
  <c r="W304" i="26"/>
  <c r="W305" i="26"/>
  <c r="W306" i="26"/>
  <c r="W307" i="26"/>
  <c r="W308" i="26"/>
  <c r="W309" i="26"/>
  <c r="W310" i="26"/>
  <c r="W311" i="26"/>
  <c r="W312" i="26"/>
  <c r="W313" i="26"/>
  <c r="W314" i="26"/>
  <c r="W315" i="26"/>
  <c r="W316" i="26"/>
  <c r="W317" i="26"/>
  <c r="W318" i="26"/>
  <c r="W319" i="26"/>
  <c r="W320" i="26"/>
  <c r="W321" i="26"/>
  <c r="W322" i="26"/>
  <c r="W323" i="26"/>
  <c r="W324" i="26"/>
  <c r="W325" i="26"/>
  <c r="W326" i="26"/>
  <c r="W327" i="26"/>
  <c r="W328" i="26"/>
  <c r="W329" i="26"/>
  <c r="W330" i="26"/>
  <c r="W331" i="26"/>
  <c r="W332" i="26"/>
  <c r="W333" i="26"/>
  <c r="W334" i="26"/>
  <c r="W335" i="26"/>
  <c r="W336" i="26"/>
  <c r="W337" i="26"/>
  <c r="W338" i="26"/>
  <c r="W339" i="26"/>
  <c r="W340" i="26"/>
  <c r="W341" i="26"/>
  <c r="W342" i="26"/>
  <c r="W343" i="26"/>
  <c r="W344" i="26"/>
  <c r="W345" i="26"/>
  <c r="W346" i="26"/>
  <c r="W347" i="26"/>
  <c r="W348" i="26"/>
  <c r="W349" i="26"/>
  <c r="W350" i="26"/>
  <c r="W351" i="26"/>
  <c r="W352" i="26"/>
  <c r="W353" i="26"/>
  <c r="W354" i="26"/>
  <c r="W355" i="26"/>
  <c r="W356" i="26"/>
  <c r="W357" i="26"/>
  <c r="W358" i="26"/>
  <c r="W359" i="26"/>
  <c r="W360" i="26"/>
  <c r="W361" i="26"/>
  <c r="W362" i="26"/>
  <c r="W363" i="26"/>
  <c r="W364" i="26"/>
  <c r="W365" i="26"/>
  <c r="W366" i="26"/>
  <c r="W367" i="26"/>
  <c r="W368" i="26"/>
  <c r="W369" i="26"/>
  <c r="W370" i="26"/>
  <c r="W371" i="26"/>
  <c r="W372" i="26"/>
  <c r="W373" i="26"/>
  <c r="W374" i="26"/>
  <c r="W375" i="26"/>
  <c r="W376" i="26"/>
  <c r="W377" i="26"/>
  <c r="W378" i="26"/>
  <c r="W379" i="26"/>
  <c r="W380" i="26"/>
  <c r="W381" i="26"/>
  <c r="W382" i="26"/>
  <c r="W383" i="26"/>
  <c r="W384" i="26"/>
  <c r="W385" i="26"/>
  <c r="W386" i="26"/>
  <c r="W387" i="26"/>
  <c r="W388" i="26"/>
  <c r="W389" i="26"/>
  <c r="W390" i="26"/>
  <c r="W391" i="26"/>
  <c r="W392" i="26"/>
  <c r="W393" i="26"/>
  <c r="W394" i="26"/>
  <c r="W395" i="26"/>
  <c r="W396" i="26"/>
  <c r="W397" i="26"/>
  <c r="W398" i="26"/>
  <c r="W399" i="26"/>
  <c r="W400" i="26"/>
  <c r="W401" i="26"/>
  <c r="W402" i="26"/>
  <c r="W403" i="26"/>
  <c r="W404" i="26"/>
  <c r="W405" i="26"/>
  <c r="W406" i="26"/>
  <c r="W407" i="26"/>
  <c r="W408" i="26"/>
  <c r="W409" i="26"/>
  <c r="W410" i="26"/>
  <c r="W411" i="26"/>
  <c r="W412" i="26"/>
  <c r="W413" i="26"/>
  <c r="W414" i="26"/>
  <c r="W415" i="26"/>
  <c r="W416" i="26"/>
  <c r="W417" i="26"/>
  <c r="W418" i="26"/>
  <c r="W419" i="26"/>
  <c r="W420" i="26"/>
  <c r="W421" i="26"/>
  <c r="W422" i="26"/>
  <c r="W423" i="26"/>
  <c r="W424" i="26"/>
  <c r="W425" i="26"/>
  <c r="W426" i="26"/>
  <c r="W427" i="26"/>
  <c r="W428" i="26"/>
  <c r="W429" i="26"/>
  <c r="W430" i="26"/>
  <c r="W431" i="26"/>
  <c r="W432" i="26"/>
  <c r="W433" i="26"/>
  <c r="W434" i="26"/>
  <c r="W435" i="26"/>
  <c r="W436" i="26"/>
  <c r="W437" i="26"/>
  <c r="W438" i="26"/>
  <c r="W439" i="26"/>
  <c r="W440" i="26"/>
  <c r="W441" i="26"/>
  <c r="W442" i="26"/>
  <c r="W443" i="26"/>
  <c r="W444" i="26"/>
  <c r="W445" i="26"/>
  <c r="W446" i="26"/>
  <c r="W447" i="26"/>
  <c r="W448" i="26"/>
  <c r="W449" i="26"/>
  <c r="W450" i="26"/>
  <c r="W451" i="26"/>
  <c r="W452" i="26"/>
  <c r="W453" i="26"/>
  <c r="W454" i="26"/>
  <c r="W455" i="26"/>
  <c r="W456" i="26"/>
  <c r="W457" i="26"/>
  <c r="W458" i="26"/>
  <c r="W459" i="26"/>
  <c r="W460" i="26"/>
  <c r="W461" i="26"/>
  <c r="W462" i="26"/>
  <c r="W463" i="26"/>
  <c r="W464" i="26"/>
  <c r="W465" i="26"/>
  <c r="W466" i="26"/>
  <c r="W467" i="26"/>
  <c r="W468" i="26"/>
  <c r="W469" i="26"/>
  <c r="W470" i="26"/>
  <c r="W471" i="26"/>
  <c r="W472" i="26"/>
  <c r="W473" i="26"/>
  <c r="W474" i="26"/>
  <c r="W475" i="26"/>
  <c r="W476" i="26"/>
  <c r="W477" i="26"/>
  <c r="W478" i="26"/>
  <c r="W479" i="26"/>
  <c r="W480" i="26"/>
  <c r="W481" i="26"/>
  <c r="W482" i="26"/>
  <c r="W483" i="26"/>
  <c r="W484" i="26"/>
  <c r="W485" i="26"/>
  <c r="W486" i="26"/>
  <c r="W487" i="26"/>
  <c r="W488" i="26"/>
  <c r="W489" i="26"/>
  <c r="W490" i="26"/>
  <c r="W491" i="26"/>
  <c r="W492" i="26"/>
  <c r="W493" i="26"/>
  <c r="W494" i="26"/>
  <c r="W495" i="26"/>
  <c r="W496" i="26"/>
  <c r="W497" i="26"/>
  <c r="W498" i="26"/>
  <c r="W499" i="26"/>
  <c r="W500" i="26"/>
  <c r="W501" i="26"/>
  <c r="W502" i="26"/>
  <c r="W503" i="26"/>
  <c r="W504" i="26"/>
  <c r="W505" i="26"/>
  <c r="W506" i="26"/>
  <c r="W507" i="26"/>
  <c r="W508" i="26"/>
  <c r="W509" i="26"/>
  <c r="W510" i="26"/>
  <c r="W511" i="26"/>
  <c r="W512" i="26"/>
  <c r="W513" i="26"/>
  <c r="W514" i="26"/>
  <c r="W515" i="26"/>
  <c r="W516" i="26"/>
  <c r="W517" i="26"/>
  <c r="W518" i="26"/>
  <c r="W519" i="26"/>
  <c r="W520" i="26"/>
  <c r="W521" i="26"/>
  <c r="W522" i="26"/>
  <c r="W523" i="26"/>
  <c r="W524" i="26"/>
  <c r="W525" i="26"/>
  <c r="W526" i="26"/>
  <c r="W527" i="26"/>
  <c r="W528" i="26"/>
  <c r="W529" i="26"/>
  <c r="W530" i="26"/>
  <c r="W531" i="26"/>
  <c r="W532" i="26"/>
  <c r="W533" i="26"/>
  <c r="W534" i="26"/>
  <c r="W535" i="26"/>
  <c r="W536" i="26"/>
  <c r="W537" i="26"/>
  <c r="W538" i="26"/>
  <c r="W539" i="26"/>
  <c r="W540" i="26"/>
  <c r="W541" i="26"/>
  <c r="W542" i="26"/>
  <c r="W543" i="26"/>
  <c r="W544" i="26"/>
  <c r="W545" i="26"/>
  <c r="W546" i="26"/>
  <c r="W547" i="26"/>
  <c r="W548" i="26"/>
  <c r="W549" i="26"/>
  <c r="W550" i="26"/>
  <c r="W551" i="26"/>
  <c r="W552" i="26"/>
  <c r="W553" i="26"/>
  <c r="W554" i="26"/>
  <c r="W555" i="26"/>
  <c r="W556" i="26"/>
  <c r="W557" i="26"/>
  <c r="W558" i="26"/>
  <c r="W559" i="26"/>
  <c r="W560" i="26"/>
  <c r="W561" i="26"/>
  <c r="W562" i="26"/>
  <c r="W563" i="26"/>
  <c r="W564" i="26"/>
  <c r="W565" i="26"/>
  <c r="W566" i="26"/>
  <c r="W567" i="26"/>
  <c r="W568" i="26"/>
  <c r="W569" i="26"/>
  <c r="W570" i="26"/>
  <c r="W571" i="26"/>
  <c r="W572" i="26"/>
  <c r="W573" i="26"/>
  <c r="W574" i="26"/>
  <c r="W575" i="26"/>
  <c r="W576" i="26"/>
  <c r="W577" i="26"/>
  <c r="W578" i="26"/>
  <c r="W579" i="26"/>
  <c r="W580" i="26"/>
  <c r="W581" i="26"/>
  <c r="W582" i="26"/>
  <c r="W583" i="26"/>
  <c r="W584" i="26"/>
  <c r="W585" i="26"/>
  <c r="W586" i="26"/>
  <c r="W587" i="26"/>
  <c r="W588" i="26"/>
  <c r="W589" i="26"/>
  <c r="W590" i="26"/>
  <c r="W591" i="26"/>
  <c r="W592" i="26"/>
  <c r="W593" i="26"/>
  <c r="W594" i="26"/>
  <c r="W595" i="26"/>
  <c r="W596" i="26"/>
  <c r="W597" i="26"/>
  <c r="W598" i="26"/>
  <c r="W599" i="26"/>
  <c r="W600" i="26"/>
  <c r="W601" i="26"/>
  <c r="W602" i="26"/>
  <c r="W603" i="26"/>
  <c r="W604" i="26"/>
  <c r="W605" i="26"/>
  <c r="W606" i="26"/>
  <c r="W607" i="26"/>
  <c r="W608" i="26"/>
  <c r="W609" i="26"/>
  <c r="W610" i="26"/>
  <c r="W611" i="26"/>
  <c r="W612" i="26"/>
  <c r="W613" i="26"/>
  <c r="W614" i="26"/>
  <c r="W615" i="26"/>
  <c r="W616" i="26"/>
  <c r="W617" i="26"/>
  <c r="W618" i="26"/>
  <c r="W619" i="26"/>
  <c r="W620" i="26"/>
  <c r="W621" i="26"/>
  <c r="W622" i="26"/>
  <c r="W623" i="26"/>
  <c r="W624" i="26"/>
  <c r="W625" i="26"/>
  <c r="W626" i="26"/>
  <c r="W627" i="26"/>
  <c r="W628" i="26"/>
  <c r="W629" i="26"/>
  <c r="W630" i="26"/>
  <c r="W631" i="26"/>
  <c r="W632" i="26"/>
  <c r="W633" i="26"/>
  <c r="W634" i="26"/>
  <c r="W635" i="26"/>
  <c r="W636" i="26"/>
  <c r="W637" i="26"/>
  <c r="W638" i="26"/>
  <c r="W639" i="26"/>
  <c r="W640" i="26"/>
  <c r="W641" i="26"/>
  <c r="W642" i="26"/>
  <c r="W643" i="26"/>
  <c r="W644" i="26"/>
  <c r="W645" i="26"/>
  <c r="W646" i="26"/>
  <c r="W647" i="26"/>
  <c r="W648" i="26"/>
  <c r="W649" i="26"/>
  <c r="W650" i="26"/>
  <c r="W651" i="26"/>
  <c r="W652" i="26"/>
  <c r="W653" i="26"/>
  <c r="W654" i="26"/>
  <c r="W655" i="26"/>
  <c r="W656" i="26"/>
  <c r="W657" i="26"/>
  <c r="W658" i="26"/>
  <c r="W659" i="26"/>
  <c r="W660" i="26"/>
  <c r="W661" i="26"/>
  <c r="W662" i="26"/>
  <c r="W663" i="26"/>
  <c r="W664" i="26"/>
  <c r="W665" i="26"/>
  <c r="W666" i="26"/>
  <c r="W667" i="26"/>
  <c r="W668" i="26"/>
  <c r="W669" i="26"/>
  <c r="W670" i="26"/>
  <c r="W671" i="26"/>
  <c r="W672" i="26"/>
  <c r="W673" i="26"/>
  <c r="W674" i="26"/>
  <c r="W675" i="26"/>
  <c r="W676" i="26"/>
  <c r="W677" i="26"/>
  <c r="W678" i="26"/>
  <c r="W679" i="26"/>
  <c r="W680" i="26"/>
  <c r="W681" i="26"/>
  <c r="W682" i="26"/>
  <c r="W683" i="26"/>
  <c r="W684" i="26"/>
  <c r="W685" i="26"/>
  <c r="W686" i="26"/>
  <c r="W687" i="26"/>
  <c r="W688" i="26"/>
  <c r="W689" i="26"/>
  <c r="W690" i="26"/>
  <c r="W691" i="26"/>
  <c r="W692" i="26"/>
  <c r="W693" i="26"/>
  <c r="W694" i="26"/>
  <c r="W695" i="26"/>
  <c r="W696" i="26"/>
  <c r="W697" i="26"/>
  <c r="W698" i="26"/>
  <c r="W699" i="26"/>
  <c r="W700" i="26"/>
  <c r="W701" i="26"/>
  <c r="W702" i="26"/>
  <c r="W703" i="26"/>
  <c r="W704" i="26"/>
  <c r="W705" i="26"/>
  <c r="W706" i="26"/>
  <c r="W707" i="26"/>
  <c r="W708" i="26"/>
  <c r="W709" i="26"/>
  <c r="W710" i="26"/>
  <c r="W711" i="26"/>
  <c r="W712" i="26"/>
  <c r="W713" i="26"/>
  <c r="W714" i="26"/>
  <c r="W715" i="26"/>
  <c r="W716" i="26"/>
  <c r="W717" i="26"/>
  <c r="W718" i="26"/>
  <c r="W719" i="26"/>
  <c r="W720" i="26"/>
  <c r="W721" i="26"/>
  <c r="W722" i="26"/>
  <c r="W723" i="26"/>
  <c r="W724" i="26"/>
  <c r="W725" i="26"/>
  <c r="W726" i="26"/>
  <c r="W727" i="26"/>
  <c r="W728" i="26"/>
  <c r="W729" i="26"/>
  <c r="W730" i="26"/>
  <c r="W731" i="26"/>
  <c r="W732" i="26"/>
  <c r="W733" i="26"/>
  <c r="W734" i="26"/>
  <c r="W735" i="26"/>
  <c r="W736" i="26"/>
  <c r="W737" i="26"/>
  <c r="W738" i="26"/>
  <c r="W739" i="26"/>
  <c r="W740" i="26"/>
  <c r="W741" i="26"/>
  <c r="W742" i="26"/>
  <c r="W743" i="26"/>
  <c r="W744" i="26"/>
  <c r="W745" i="26"/>
  <c r="W746" i="26"/>
  <c r="W747" i="26"/>
  <c r="W748" i="26"/>
  <c r="W749" i="26"/>
  <c r="W750" i="26"/>
  <c r="W751" i="26"/>
  <c r="W752" i="26"/>
  <c r="W753" i="26"/>
  <c r="W754" i="26"/>
  <c r="W755" i="26"/>
  <c r="W756" i="26"/>
  <c r="W757" i="26"/>
  <c r="W758" i="26"/>
  <c r="W759" i="26"/>
  <c r="W760" i="26"/>
  <c r="W761" i="26"/>
  <c r="W762" i="26"/>
  <c r="W763" i="26"/>
  <c r="W764" i="26"/>
  <c r="W765" i="26"/>
  <c r="W766" i="26"/>
  <c r="W767" i="26"/>
  <c r="W768" i="26"/>
  <c r="W769" i="26"/>
  <c r="W770" i="26"/>
  <c r="W771" i="26"/>
  <c r="W772" i="26"/>
  <c r="W773" i="26"/>
  <c r="W774" i="26"/>
  <c r="W775" i="26"/>
  <c r="W776" i="26"/>
  <c r="W777" i="26"/>
  <c r="W778" i="26"/>
  <c r="W779" i="26"/>
  <c r="W780" i="26"/>
  <c r="W781" i="26"/>
  <c r="W782" i="26"/>
  <c r="W783" i="26"/>
  <c r="W784" i="26"/>
  <c r="W785" i="26"/>
  <c r="W786" i="26"/>
  <c r="W787" i="26"/>
  <c r="W788" i="26"/>
  <c r="W789" i="26"/>
  <c r="W790" i="26"/>
  <c r="W791" i="26"/>
  <c r="W792" i="26"/>
  <c r="W793" i="26"/>
  <c r="W794" i="26"/>
  <c r="W795" i="26"/>
  <c r="W796" i="26"/>
  <c r="W797" i="26"/>
  <c r="W798" i="26"/>
  <c r="W799" i="26"/>
  <c r="W800" i="26"/>
  <c r="W801" i="26"/>
  <c r="W802" i="26"/>
  <c r="W803" i="26"/>
  <c r="W804" i="26"/>
  <c r="W805" i="26"/>
  <c r="W806" i="26"/>
  <c r="W807" i="26"/>
  <c r="W808" i="26"/>
  <c r="W809" i="26"/>
  <c r="W810" i="26"/>
  <c r="W811" i="26"/>
  <c r="W812" i="26"/>
  <c r="W813" i="26"/>
  <c r="W814" i="26"/>
  <c r="W815" i="26"/>
  <c r="W816" i="26"/>
  <c r="W817" i="26"/>
  <c r="W818" i="26"/>
  <c r="W819" i="26"/>
  <c r="W820" i="26"/>
  <c r="W821" i="26"/>
  <c r="W822" i="26"/>
  <c r="W823" i="26"/>
  <c r="W824" i="26"/>
  <c r="W825" i="26"/>
  <c r="W826" i="26"/>
  <c r="W827" i="26"/>
  <c r="W828" i="26"/>
  <c r="W829" i="26"/>
  <c r="W830" i="26"/>
  <c r="W831" i="26"/>
  <c r="W832" i="26"/>
  <c r="W833" i="26"/>
  <c r="W834" i="26"/>
  <c r="W835" i="26"/>
  <c r="W836" i="26"/>
  <c r="W837" i="26"/>
  <c r="W838" i="26"/>
  <c r="W839" i="26"/>
  <c r="W840" i="26"/>
  <c r="W841" i="26"/>
  <c r="W842" i="26"/>
  <c r="W843" i="26"/>
  <c r="W844" i="26"/>
  <c r="W845" i="26"/>
  <c r="W846" i="26"/>
  <c r="W847" i="26"/>
  <c r="W848" i="26"/>
  <c r="W849" i="26"/>
  <c r="W850" i="26"/>
  <c r="W851" i="26"/>
  <c r="W852" i="26"/>
  <c r="W853" i="26"/>
  <c r="W854" i="26"/>
  <c r="W855" i="26"/>
  <c r="W856" i="26"/>
  <c r="W857" i="26"/>
  <c r="W858" i="26"/>
  <c r="W859" i="26"/>
  <c r="W860" i="26"/>
  <c r="W861" i="26"/>
  <c r="W862" i="26"/>
  <c r="W863" i="26"/>
  <c r="W864" i="26"/>
  <c r="W865" i="26"/>
  <c r="W866" i="26"/>
  <c r="W867" i="26"/>
  <c r="W868" i="26"/>
  <c r="W869" i="26"/>
  <c r="W870" i="26"/>
  <c r="W871" i="26"/>
  <c r="W872" i="26"/>
  <c r="W873" i="26"/>
  <c r="W874" i="26"/>
  <c r="W875" i="26"/>
  <c r="W876" i="26"/>
  <c r="W877" i="26"/>
  <c r="W878" i="26"/>
  <c r="W879" i="26"/>
  <c r="W880" i="26"/>
  <c r="W881" i="26"/>
  <c r="W882" i="26"/>
  <c r="W883" i="26"/>
  <c r="W884" i="26"/>
  <c r="W885" i="26"/>
  <c r="W886" i="26"/>
  <c r="W887" i="26"/>
  <c r="W888" i="26"/>
  <c r="W889" i="26"/>
  <c r="W890" i="26"/>
  <c r="W891" i="26"/>
  <c r="W892" i="26"/>
  <c r="W893" i="26"/>
  <c r="W894" i="26"/>
  <c r="W895" i="26"/>
  <c r="W896" i="26"/>
  <c r="W897" i="26"/>
  <c r="W898" i="26"/>
  <c r="W899" i="26"/>
  <c r="W900" i="26"/>
  <c r="W901" i="26"/>
  <c r="W902" i="26"/>
  <c r="W903" i="26"/>
  <c r="W904" i="26"/>
  <c r="W905" i="26"/>
  <c r="W906" i="26"/>
  <c r="W907" i="26"/>
  <c r="W908" i="26"/>
  <c r="W909" i="26"/>
  <c r="W910" i="26"/>
  <c r="W911" i="26"/>
  <c r="W912" i="26"/>
  <c r="W913" i="26"/>
  <c r="W914" i="26"/>
  <c r="W915" i="26"/>
  <c r="W916" i="26"/>
  <c r="W917" i="26"/>
  <c r="W918" i="26"/>
  <c r="W919" i="26"/>
  <c r="W920" i="26"/>
  <c r="W921" i="26"/>
  <c r="W922" i="26"/>
  <c r="W923" i="26"/>
  <c r="W924" i="26"/>
  <c r="W925" i="26"/>
  <c r="W926" i="26"/>
  <c r="W927" i="26"/>
  <c r="W928" i="26"/>
  <c r="W929" i="26"/>
  <c r="W930" i="26"/>
  <c r="W931" i="26"/>
  <c r="W932" i="26"/>
  <c r="W933" i="26"/>
  <c r="W934" i="26"/>
  <c r="W935" i="26"/>
  <c r="W936" i="26"/>
  <c r="W937" i="26"/>
  <c r="W938" i="26"/>
  <c r="W939" i="26"/>
  <c r="W940" i="26"/>
  <c r="W941" i="26"/>
  <c r="W942" i="26"/>
  <c r="W943" i="26"/>
  <c r="W944" i="26"/>
  <c r="W945" i="26"/>
  <c r="W946" i="26"/>
  <c r="W947" i="26"/>
  <c r="W948" i="26"/>
  <c r="W949" i="26"/>
  <c r="W950" i="26"/>
  <c r="W951" i="26"/>
  <c r="W952" i="26"/>
  <c r="W953" i="26"/>
  <c r="W954" i="26"/>
  <c r="W955" i="26"/>
  <c r="W956" i="26"/>
  <c r="W957" i="26"/>
  <c r="W958" i="26"/>
  <c r="W959" i="26"/>
  <c r="W960" i="26"/>
  <c r="W961" i="26"/>
  <c r="W962" i="26"/>
  <c r="W963" i="26"/>
  <c r="W964" i="26"/>
  <c r="W965" i="26"/>
  <c r="W966" i="26"/>
  <c r="W967" i="26"/>
  <c r="W968" i="26"/>
  <c r="W969" i="26"/>
  <c r="W970" i="26"/>
  <c r="W971" i="26"/>
  <c r="W972" i="26"/>
  <c r="W973" i="26"/>
  <c r="W974" i="26"/>
  <c r="W975" i="26"/>
  <c r="W976" i="26"/>
  <c r="W977" i="26"/>
  <c r="W978" i="26"/>
  <c r="W979" i="26"/>
  <c r="W980" i="26"/>
  <c r="W981" i="26"/>
  <c r="W982" i="26"/>
  <c r="W983" i="26"/>
  <c r="W984" i="26"/>
  <c r="W985" i="26"/>
  <c r="W986" i="26"/>
  <c r="W987" i="26"/>
  <c r="W988" i="26"/>
  <c r="W989" i="26"/>
  <c r="W990" i="26"/>
  <c r="W991" i="26"/>
  <c r="W992" i="26"/>
  <c r="W993" i="26"/>
  <c r="W994" i="26"/>
  <c r="W995" i="26"/>
  <c r="W996" i="26"/>
  <c r="W997" i="26"/>
  <c r="W998" i="26"/>
  <c r="W999" i="26"/>
  <c r="W1000" i="26"/>
  <c r="W1001" i="26"/>
  <c r="W1002" i="26"/>
  <c r="W1003" i="26"/>
  <c r="W1004" i="26"/>
  <c r="W1005" i="26"/>
  <c r="W1006" i="26"/>
  <c r="W1007" i="26"/>
  <c r="W1008" i="26"/>
  <c r="W1009" i="26"/>
  <c r="W1010" i="26"/>
  <c r="W1011" i="26"/>
  <c r="W1012" i="26"/>
  <c r="W1013" i="26"/>
  <c r="W1014" i="26"/>
  <c r="W1015" i="26"/>
  <c r="W1016" i="26"/>
  <c r="W1017" i="26"/>
  <c r="W1018" i="26"/>
  <c r="W1019" i="26"/>
  <c r="W1020" i="26"/>
  <c r="W1021" i="26"/>
  <c r="W1022" i="26"/>
  <c r="W1023" i="26"/>
  <c r="W1024" i="26"/>
  <c r="W1025" i="26"/>
  <c r="W1026" i="26"/>
  <c r="W1027" i="26"/>
  <c r="W1028" i="26"/>
  <c r="W1029" i="26"/>
  <c r="W1030" i="26"/>
  <c r="W1031" i="26"/>
  <c r="W1032" i="26"/>
  <c r="W1033" i="26"/>
  <c r="W1034" i="26"/>
  <c r="W1035" i="26"/>
  <c r="W1036" i="26"/>
  <c r="W1037" i="26"/>
  <c r="W1038" i="26"/>
  <c r="W1039" i="26"/>
  <c r="W1040" i="26"/>
  <c r="W1041" i="26"/>
  <c r="W1042" i="26"/>
  <c r="W1043" i="26"/>
  <c r="W1044" i="26"/>
  <c r="W1045" i="26"/>
  <c r="W1046" i="26"/>
  <c r="W1047" i="26"/>
  <c r="W1048" i="26"/>
  <c r="W1049" i="26"/>
  <c r="W1050" i="26"/>
  <c r="W1051" i="26"/>
  <c r="W1052" i="26"/>
  <c r="W1053" i="26"/>
  <c r="W1054" i="26"/>
  <c r="W1055" i="26"/>
  <c r="W1056" i="26"/>
  <c r="W1057" i="26"/>
  <c r="W1058" i="26"/>
  <c r="W1059" i="26"/>
  <c r="W1060" i="26"/>
  <c r="W1061" i="26"/>
  <c r="W1062" i="26"/>
  <c r="W1063" i="26"/>
  <c r="W1064" i="26"/>
  <c r="W1065" i="26"/>
  <c r="W1066" i="26"/>
  <c r="W1067" i="26"/>
  <c r="W1068" i="26"/>
  <c r="W1069" i="26"/>
  <c r="W1070" i="26"/>
  <c r="W1071" i="26"/>
  <c r="W1072" i="26"/>
  <c r="W1073" i="26"/>
  <c r="W1074" i="26"/>
  <c r="W1075" i="26"/>
  <c r="W1076" i="26"/>
  <c r="W1077" i="26"/>
  <c r="W1078" i="26"/>
  <c r="W1079" i="26"/>
  <c r="W1080" i="26"/>
  <c r="W1081" i="26"/>
  <c r="W1082" i="26"/>
  <c r="W1083" i="26"/>
  <c r="W1084" i="26"/>
  <c r="W1085" i="26"/>
  <c r="W1086" i="26"/>
  <c r="W1087" i="26"/>
  <c r="W1088" i="26"/>
  <c r="W1089" i="26"/>
  <c r="W1090" i="26"/>
  <c r="W1091" i="26"/>
  <c r="W1092" i="26"/>
  <c r="W1093" i="26"/>
  <c r="W1094" i="26"/>
  <c r="W1095" i="26"/>
  <c r="W1096" i="26"/>
  <c r="W1097" i="26"/>
  <c r="W1098" i="26"/>
  <c r="W1099" i="26"/>
  <c r="W1100" i="26"/>
  <c r="W1101" i="26"/>
  <c r="W1102" i="26"/>
  <c r="W1103" i="26"/>
  <c r="W1104" i="26"/>
  <c r="W1105" i="26"/>
  <c r="W1106" i="26"/>
  <c r="W1107" i="26"/>
  <c r="W1108" i="26"/>
  <c r="W1109" i="26"/>
  <c r="W1110" i="26"/>
  <c r="W1111" i="26"/>
  <c r="W1112" i="26"/>
  <c r="W1113" i="26"/>
  <c r="W1114" i="26"/>
  <c r="W1115" i="26"/>
  <c r="W1116" i="26"/>
  <c r="W1117" i="26"/>
  <c r="W1118" i="26"/>
  <c r="W1119" i="26"/>
  <c r="W1120" i="26"/>
  <c r="W1121" i="26"/>
  <c r="W1122" i="26"/>
  <c r="W1123" i="26"/>
  <c r="W1124" i="26"/>
  <c r="W1125" i="26"/>
  <c r="W1126" i="26"/>
  <c r="W1127" i="26"/>
  <c r="W1128" i="26"/>
  <c r="W1129" i="26"/>
  <c r="W1130" i="26"/>
  <c r="W1131" i="26"/>
  <c r="W1132" i="26"/>
  <c r="W1133" i="26"/>
  <c r="W1134" i="26"/>
  <c r="W1135" i="26"/>
  <c r="W1136" i="26"/>
  <c r="W1137" i="26"/>
  <c r="W1138" i="26"/>
  <c r="W1139" i="26"/>
  <c r="W1140" i="26"/>
  <c r="W1141" i="26"/>
  <c r="W1142" i="26"/>
  <c r="W1143" i="26"/>
  <c r="W1144" i="26"/>
  <c r="W1145" i="26"/>
  <c r="W1146" i="26"/>
  <c r="W1147" i="26"/>
  <c r="W1148" i="26"/>
  <c r="W1149" i="26"/>
  <c r="W1150" i="26"/>
  <c r="W1151" i="26"/>
  <c r="W1152" i="26"/>
  <c r="W1153" i="26"/>
  <c r="W1154" i="26"/>
  <c r="W1155" i="26"/>
  <c r="W1156" i="26"/>
  <c r="W1157" i="26"/>
  <c r="W1158" i="26"/>
  <c r="W1159" i="26"/>
  <c r="W1160" i="26"/>
  <c r="W1161" i="26"/>
  <c r="W1162" i="26"/>
  <c r="W1163" i="26"/>
  <c r="W1164" i="26"/>
  <c r="W1165" i="26"/>
  <c r="W1166" i="26"/>
  <c r="W1167" i="26"/>
  <c r="W1168" i="26"/>
  <c r="W1169" i="26"/>
  <c r="W1170" i="26"/>
  <c r="W1171" i="26"/>
  <c r="W1172" i="26"/>
  <c r="W1173" i="26"/>
  <c r="W1174" i="26"/>
  <c r="W1175" i="26"/>
  <c r="W1176" i="26"/>
  <c r="W1177" i="26"/>
  <c r="W1178" i="26"/>
  <c r="W1179" i="26"/>
  <c r="W1180" i="26"/>
  <c r="W1181" i="26"/>
  <c r="W1182" i="26"/>
  <c r="W1183" i="26"/>
  <c r="W1184" i="26"/>
  <c r="W1185" i="26"/>
  <c r="W1186" i="26"/>
  <c r="W1187" i="26"/>
  <c r="W1188" i="26"/>
  <c r="W1189" i="26"/>
  <c r="W1190" i="26"/>
  <c r="W1191" i="26"/>
  <c r="W1192" i="26"/>
  <c r="W1193" i="26"/>
  <c r="W1194" i="26"/>
  <c r="W1195" i="26"/>
  <c r="W1196" i="26"/>
  <c r="W1197" i="26"/>
  <c r="W1198" i="26"/>
  <c r="W1199" i="26"/>
  <c r="W1200" i="26"/>
  <c r="W1201" i="26"/>
  <c r="W1202" i="26"/>
  <c r="W1203" i="26"/>
  <c r="W1204" i="26"/>
  <c r="W1205" i="26"/>
  <c r="W1206" i="26"/>
  <c r="W1207" i="26"/>
  <c r="W1208" i="26"/>
  <c r="W1209" i="26"/>
  <c r="W1210" i="26"/>
  <c r="W1211" i="26"/>
  <c r="W1212" i="26"/>
  <c r="W1213" i="26"/>
  <c r="W1214" i="26"/>
  <c r="W1215" i="26"/>
  <c r="W1216" i="26"/>
  <c r="W1217" i="26"/>
  <c r="W1218" i="26"/>
  <c r="W1219" i="26"/>
  <c r="W1220" i="26"/>
  <c r="W1221" i="26"/>
  <c r="W1222" i="26"/>
  <c r="W1223" i="26"/>
  <c r="W1224" i="26"/>
  <c r="W1225" i="26"/>
  <c r="W1226" i="26"/>
  <c r="W1227" i="26"/>
  <c r="W1228" i="26"/>
  <c r="W1229" i="26"/>
  <c r="W1230" i="26"/>
  <c r="W1231" i="26"/>
  <c r="W1232" i="26"/>
  <c r="W1233" i="26"/>
  <c r="W1234" i="26"/>
  <c r="W1235" i="26"/>
  <c r="W1236" i="26"/>
  <c r="W1237" i="26"/>
  <c r="W1238" i="26"/>
  <c r="W1239" i="26"/>
  <c r="W1240" i="26"/>
  <c r="W1241" i="26"/>
  <c r="W1242" i="26"/>
  <c r="W1243" i="26"/>
  <c r="W1244" i="26"/>
  <c r="W1245" i="26"/>
  <c r="W1246" i="26"/>
  <c r="W1247" i="26"/>
  <c r="W1248" i="26"/>
  <c r="W1249" i="26"/>
  <c r="W1250" i="26"/>
  <c r="W1251" i="26"/>
  <c r="W1252" i="26"/>
  <c r="W1253" i="26"/>
  <c r="W1254" i="26"/>
  <c r="W1255" i="26"/>
  <c r="W1256" i="26"/>
  <c r="W1257" i="26"/>
  <c r="W1258" i="26"/>
  <c r="W1259" i="26"/>
  <c r="W1260" i="26"/>
  <c r="W1261" i="26"/>
  <c r="W1262" i="26"/>
  <c r="W1263" i="26"/>
  <c r="W1264" i="26"/>
  <c r="W1265" i="26"/>
  <c r="W1266" i="26"/>
  <c r="W1267" i="26"/>
  <c r="W1268" i="26"/>
  <c r="W1269" i="26"/>
  <c r="W1270" i="26"/>
  <c r="W1271" i="26"/>
  <c r="W1272" i="26"/>
  <c r="W1273" i="26"/>
  <c r="W1274" i="26"/>
  <c r="W1275" i="26"/>
  <c r="W1276" i="26"/>
  <c r="W1277" i="26"/>
  <c r="W1278" i="26"/>
  <c r="W1279" i="26"/>
  <c r="W1280" i="26"/>
  <c r="W1281" i="26"/>
  <c r="W1282" i="26"/>
  <c r="W1283" i="26"/>
  <c r="W1284" i="26"/>
  <c r="W1285" i="26"/>
  <c r="W1286" i="26"/>
  <c r="W1287" i="26"/>
  <c r="W1288" i="26"/>
  <c r="W1289" i="26"/>
  <c r="W1290" i="26"/>
  <c r="W1291" i="26"/>
  <c r="W1292" i="26"/>
  <c r="W1293" i="26"/>
  <c r="W1294" i="26"/>
  <c r="W1295" i="26"/>
  <c r="W1296" i="26"/>
  <c r="W1297" i="26"/>
  <c r="W1298" i="26"/>
  <c r="W1299" i="26"/>
  <c r="W1300" i="26"/>
  <c r="W1301" i="26"/>
  <c r="W1302" i="26"/>
  <c r="W1303" i="26"/>
  <c r="W1304" i="26"/>
  <c r="W1305" i="26"/>
  <c r="W1306" i="26"/>
  <c r="W1307" i="26"/>
  <c r="W1308" i="26"/>
  <c r="W1309" i="26"/>
  <c r="W1310" i="26"/>
  <c r="W1311" i="26"/>
  <c r="W1312" i="26"/>
  <c r="W1313" i="26"/>
  <c r="W1314" i="26"/>
  <c r="W1315" i="26"/>
  <c r="W1316" i="26"/>
  <c r="W1317" i="26"/>
  <c r="W1318" i="26"/>
  <c r="W1319" i="26"/>
  <c r="W1320" i="26"/>
  <c r="W1321" i="26"/>
  <c r="W1322" i="26"/>
  <c r="W1323" i="26"/>
  <c r="W1324" i="26"/>
  <c r="W1325" i="26"/>
  <c r="W1326" i="26"/>
  <c r="W1327" i="26"/>
  <c r="W1328" i="26"/>
  <c r="W1329" i="26"/>
  <c r="W1330" i="26"/>
  <c r="W1331" i="26"/>
  <c r="W1332" i="26"/>
  <c r="W1333" i="26"/>
  <c r="W1334" i="26"/>
  <c r="W1335" i="26"/>
  <c r="W1336" i="26"/>
  <c r="W1337" i="26"/>
  <c r="W1338" i="26"/>
  <c r="W1339" i="26"/>
  <c r="W1340" i="26"/>
  <c r="W1341" i="26"/>
  <c r="W1342" i="26"/>
  <c r="W1343" i="26"/>
  <c r="W1344" i="26"/>
  <c r="W1345" i="26"/>
  <c r="W1346" i="26"/>
  <c r="W1347" i="26"/>
  <c r="W1348" i="26"/>
  <c r="W1349" i="26"/>
  <c r="W1350" i="26"/>
  <c r="W1351" i="26"/>
  <c r="W1352" i="26"/>
  <c r="W1353" i="26"/>
  <c r="W1354" i="26"/>
  <c r="W1355" i="26"/>
  <c r="W1356" i="26"/>
  <c r="W1357" i="26"/>
  <c r="W1358" i="26"/>
  <c r="W1359" i="26"/>
  <c r="W1360" i="26"/>
  <c r="W1361" i="26"/>
  <c r="W1362" i="26"/>
  <c r="W1363" i="26"/>
  <c r="W1364" i="26"/>
  <c r="W1365" i="26"/>
  <c r="W1366" i="26"/>
  <c r="W1367" i="26"/>
  <c r="W1368" i="26"/>
  <c r="W1369" i="26"/>
  <c r="W1370" i="26"/>
  <c r="W1371" i="26"/>
  <c r="W1372" i="26"/>
  <c r="W1373" i="26"/>
  <c r="W1374" i="26"/>
  <c r="W1375" i="26"/>
  <c r="W1376" i="26"/>
  <c r="W1377" i="26"/>
  <c r="W1378" i="26"/>
  <c r="W1379" i="26"/>
  <c r="W1380" i="26"/>
  <c r="W1381" i="26"/>
  <c r="W1382" i="26"/>
  <c r="W1383" i="26"/>
  <c r="W1384" i="26"/>
  <c r="W1385" i="26"/>
  <c r="W1386" i="26"/>
  <c r="W1387" i="26"/>
  <c r="W1388" i="26"/>
  <c r="W1389" i="26"/>
  <c r="W1390" i="26"/>
  <c r="W1391" i="26"/>
  <c r="W1392" i="26"/>
  <c r="W1393" i="26"/>
  <c r="W1394" i="26"/>
  <c r="W1395" i="26"/>
  <c r="W1396" i="26"/>
  <c r="W1397" i="26"/>
  <c r="W1398" i="26"/>
  <c r="W1399" i="26"/>
  <c r="W1400" i="26"/>
  <c r="W1401" i="26"/>
  <c r="W1402" i="26"/>
  <c r="W1403" i="26"/>
  <c r="W1404" i="26"/>
  <c r="W1405" i="26"/>
  <c r="W1406" i="26"/>
  <c r="W1407" i="26"/>
  <c r="W1408" i="26"/>
  <c r="W1409" i="26"/>
  <c r="W1410" i="26"/>
  <c r="W1411" i="26"/>
  <c r="W1412" i="26"/>
  <c r="W1413" i="26"/>
  <c r="W1414" i="26"/>
  <c r="W1415" i="26"/>
  <c r="W1416" i="26"/>
  <c r="W1417" i="26"/>
  <c r="W1418" i="26"/>
  <c r="W1419" i="26"/>
  <c r="W1420" i="26"/>
  <c r="W1421" i="26"/>
  <c r="W1422" i="26"/>
  <c r="W1423" i="26"/>
  <c r="W1424" i="26"/>
  <c r="W1425" i="26"/>
  <c r="W1426" i="26"/>
  <c r="W1427" i="26"/>
  <c r="W1428" i="26"/>
  <c r="W1429" i="26"/>
  <c r="W1430" i="26"/>
  <c r="W1431" i="26"/>
  <c r="W1432" i="26"/>
  <c r="W1433" i="26"/>
  <c r="W1434" i="26"/>
  <c r="W1435" i="26"/>
  <c r="W1436" i="26"/>
  <c r="W1437" i="26"/>
  <c r="W1438" i="26"/>
  <c r="W1439" i="26"/>
  <c r="W1440" i="26"/>
  <c r="W1441" i="26"/>
  <c r="W1442" i="26"/>
  <c r="W1443" i="26"/>
  <c r="W1444" i="26"/>
  <c r="W1445" i="26"/>
  <c r="W1446" i="26"/>
  <c r="W1447" i="26"/>
  <c r="W1448" i="26"/>
  <c r="W1449" i="26"/>
  <c r="W1450" i="26"/>
  <c r="W1451" i="26"/>
  <c r="W1452" i="26"/>
  <c r="W1453" i="26"/>
  <c r="W1454" i="26"/>
  <c r="W1455" i="26"/>
  <c r="W1456" i="26"/>
  <c r="W1457" i="26"/>
  <c r="W1458" i="26"/>
  <c r="W1459" i="26"/>
  <c r="W1460" i="26"/>
  <c r="W1461" i="26"/>
  <c r="W1462" i="26"/>
  <c r="W1463" i="26"/>
  <c r="W1464" i="26"/>
  <c r="W1465" i="26"/>
  <c r="W1466" i="26"/>
  <c r="W1467" i="26"/>
  <c r="W1468" i="26"/>
  <c r="W1469" i="26"/>
  <c r="W1470" i="26"/>
  <c r="W1471" i="26"/>
  <c r="W1472" i="26"/>
  <c r="W1473" i="26"/>
  <c r="W1474" i="26"/>
  <c r="W1475" i="26"/>
  <c r="W1476" i="26"/>
  <c r="W1477" i="26"/>
  <c r="W1478" i="26"/>
  <c r="W1479" i="26"/>
  <c r="W1480" i="26"/>
  <c r="W1481" i="26"/>
  <c r="W1482" i="26"/>
  <c r="W1483" i="26"/>
  <c r="W1484" i="26"/>
  <c r="W1485" i="26"/>
  <c r="W1486" i="26"/>
  <c r="W1487" i="26"/>
  <c r="W1488" i="26"/>
  <c r="W1489" i="26"/>
  <c r="W1490" i="26"/>
  <c r="W1491" i="26"/>
  <c r="W1492" i="26"/>
  <c r="W1493" i="26"/>
  <c r="W1494" i="26"/>
  <c r="W1495" i="26"/>
  <c r="W1496" i="26"/>
  <c r="W1497" i="26"/>
  <c r="W1498" i="26"/>
  <c r="W1499" i="26"/>
  <c r="W1500" i="26"/>
  <c r="W1501" i="26"/>
  <c r="W1502" i="26"/>
  <c r="W1503" i="26"/>
  <c r="W1504" i="26"/>
  <c r="W1505" i="26"/>
  <c r="W1506" i="26"/>
  <c r="W1507" i="26"/>
  <c r="W1508" i="26"/>
  <c r="W1509" i="26"/>
  <c r="W1510" i="26"/>
  <c r="W1511" i="26"/>
  <c r="W1512" i="26"/>
  <c r="W1513" i="26"/>
  <c r="W1514" i="26"/>
  <c r="W1515" i="26"/>
  <c r="W1516" i="26"/>
  <c r="W1517" i="26"/>
  <c r="W1518" i="26"/>
  <c r="W1519" i="26"/>
  <c r="W1520" i="26"/>
  <c r="W1521" i="26"/>
  <c r="W1522" i="26"/>
  <c r="W1523" i="26"/>
  <c r="W1524" i="26"/>
  <c r="W1525" i="26"/>
  <c r="W1526" i="26"/>
  <c r="W1527" i="26"/>
  <c r="W1528" i="26"/>
  <c r="W1529" i="26"/>
  <c r="W1530" i="26"/>
  <c r="W1531" i="26"/>
  <c r="W1532" i="26"/>
  <c r="W1533" i="26"/>
  <c r="W1534" i="26"/>
  <c r="W1535" i="26"/>
  <c r="W1536" i="26"/>
  <c r="W1537" i="26"/>
  <c r="W1538" i="26"/>
  <c r="W1539" i="26"/>
  <c r="W1540" i="26"/>
  <c r="W1541" i="26"/>
  <c r="W1542" i="26"/>
  <c r="W1543" i="26"/>
  <c r="W1544" i="26"/>
  <c r="W1545" i="26"/>
  <c r="W1546" i="26"/>
  <c r="W1547" i="26"/>
  <c r="W1548" i="26"/>
  <c r="W1549" i="26"/>
  <c r="W1550" i="26"/>
  <c r="W1551" i="26"/>
  <c r="W1552" i="26"/>
  <c r="W1553" i="26"/>
  <c r="W1554" i="26"/>
  <c r="W1555" i="26"/>
  <c r="W1556" i="26"/>
  <c r="W1557" i="26"/>
  <c r="W1558" i="26"/>
  <c r="W1559" i="26"/>
  <c r="W1560" i="26"/>
  <c r="W1561" i="26"/>
  <c r="W1562" i="26"/>
  <c r="W1563" i="26"/>
  <c r="W1564" i="26"/>
  <c r="W1565" i="26"/>
  <c r="W1566" i="26"/>
  <c r="W1567" i="26"/>
  <c r="W1568" i="26"/>
  <c r="W1569" i="26"/>
  <c r="W1570" i="26"/>
  <c r="W1571" i="26"/>
  <c r="W1572" i="26"/>
  <c r="W1573" i="26"/>
  <c r="W1574" i="26"/>
  <c r="W1575" i="26"/>
  <c r="W1576" i="26"/>
  <c r="W1577" i="26"/>
  <c r="W1578" i="26"/>
  <c r="W1579" i="26"/>
  <c r="W1580" i="26"/>
  <c r="W1581" i="26"/>
  <c r="W1582" i="26"/>
  <c r="W1583" i="26"/>
  <c r="W1584" i="26"/>
  <c r="W1585" i="26"/>
  <c r="W1586" i="26"/>
  <c r="W1587" i="26"/>
  <c r="W1588" i="26"/>
  <c r="W1589" i="26"/>
  <c r="W1590" i="26"/>
  <c r="W1591" i="26"/>
  <c r="W1592" i="26"/>
  <c r="W1593" i="26"/>
  <c r="W1594" i="26"/>
  <c r="W1595" i="26"/>
  <c r="W1596" i="26"/>
  <c r="W1597" i="26"/>
  <c r="W1598" i="26"/>
  <c r="W1599" i="26"/>
  <c r="W1600" i="26"/>
  <c r="W1601" i="26"/>
  <c r="W1602" i="26"/>
  <c r="W1603" i="26"/>
  <c r="W1604" i="26"/>
  <c r="W1605" i="26"/>
  <c r="W1606" i="26"/>
  <c r="W1607" i="26"/>
  <c r="W1608" i="26"/>
  <c r="W1609" i="26"/>
  <c r="W1610" i="26"/>
  <c r="W1611" i="26"/>
  <c r="W1612" i="26"/>
  <c r="W1613" i="26"/>
  <c r="W1614" i="26"/>
  <c r="W1615" i="26"/>
  <c r="W1616" i="26"/>
  <c r="W1617" i="26"/>
  <c r="W1618" i="26"/>
  <c r="W1619" i="26"/>
  <c r="W1620" i="26"/>
  <c r="W1621" i="26"/>
  <c r="W1622" i="26"/>
  <c r="W1623" i="26"/>
  <c r="W1624" i="26"/>
  <c r="W1625" i="26"/>
  <c r="W1626" i="26"/>
  <c r="W1627" i="26"/>
  <c r="W1628" i="26"/>
  <c r="W1629" i="26"/>
  <c r="W1630" i="26"/>
  <c r="W1631" i="26"/>
  <c r="W1632" i="26"/>
  <c r="W1633" i="26"/>
  <c r="W1634" i="26"/>
  <c r="W1635" i="26"/>
  <c r="W1636" i="26"/>
  <c r="W1637" i="26"/>
  <c r="W1638" i="26"/>
  <c r="W1639" i="26"/>
  <c r="W1640" i="26"/>
  <c r="W1641" i="26"/>
  <c r="W1642" i="26"/>
  <c r="W1643" i="26"/>
  <c r="W1644" i="26"/>
  <c r="W1645" i="26"/>
  <c r="W1646" i="26"/>
  <c r="W1647" i="26"/>
  <c r="W1648" i="26"/>
  <c r="W1649" i="26"/>
  <c r="W1650" i="26"/>
  <c r="W1651" i="26"/>
  <c r="W1652" i="26"/>
  <c r="W1653" i="26"/>
  <c r="W1654" i="26"/>
  <c r="W1655" i="26"/>
  <c r="W1656" i="26"/>
  <c r="W1657" i="26"/>
  <c r="W1658" i="26"/>
  <c r="W1659" i="26"/>
  <c r="W1660" i="26"/>
  <c r="W1661" i="26"/>
  <c r="W1662" i="26"/>
  <c r="W1663" i="26"/>
  <c r="W1664" i="26"/>
  <c r="W1665" i="26"/>
  <c r="W1666" i="26"/>
  <c r="W1667" i="26"/>
  <c r="W1668" i="26"/>
  <c r="W1669" i="26"/>
  <c r="W1670" i="26"/>
  <c r="W1671" i="26"/>
  <c r="W1672" i="26"/>
  <c r="W1673" i="26"/>
  <c r="W1674" i="26"/>
  <c r="W1675" i="26"/>
  <c r="W1676" i="26"/>
  <c r="W1677" i="26"/>
  <c r="W1678" i="26"/>
  <c r="W1679" i="26"/>
  <c r="W1680" i="26"/>
  <c r="W1681" i="26"/>
  <c r="W1682" i="26"/>
  <c r="W1683" i="26"/>
  <c r="W1684" i="26"/>
  <c r="W1685" i="26"/>
  <c r="W1686" i="26"/>
  <c r="W1687" i="26"/>
  <c r="W1688" i="26"/>
  <c r="W1689" i="26"/>
  <c r="W1690" i="26"/>
  <c r="W1691" i="26"/>
  <c r="W1692" i="26"/>
  <c r="W1693" i="26"/>
  <c r="W1694" i="26"/>
  <c r="W1695" i="26"/>
  <c r="W1696" i="26"/>
  <c r="W1697" i="26"/>
  <c r="W1698" i="26"/>
  <c r="W1699" i="26"/>
  <c r="W1700" i="26"/>
  <c r="W1701" i="26"/>
  <c r="W1702" i="26"/>
  <c r="W1703" i="26"/>
  <c r="W1704" i="26"/>
  <c r="W1705" i="26"/>
  <c r="W1706" i="26"/>
  <c r="W1707" i="26"/>
  <c r="W1708" i="26"/>
  <c r="W1709" i="26"/>
  <c r="W1710" i="26"/>
  <c r="W1711" i="26"/>
  <c r="W1712" i="26"/>
  <c r="W1713" i="26"/>
  <c r="W1714" i="26"/>
  <c r="W1715" i="26"/>
  <c r="W1716" i="26"/>
  <c r="W1717" i="26"/>
  <c r="W1718" i="26"/>
  <c r="W1719" i="26"/>
  <c r="W1720" i="26"/>
  <c r="W1721" i="26"/>
  <c r="W1722" i="26"/>
  <c r="W1723" i="26"/>
  <c r="W1724" i="26"/>
  <c r="W1725" i="26"/>
  <c r="W1726" i="26"/>
  <c r="W1727" i="26"/>
  <c r="W1728" i="26"/>
  <c r="W1729" i="26"/>
  <c r="W1730" i="26"/>
  <c r="W1731" i="26"/>
  <c r="W1732" i="26"/>
  <c r="W1733" i="26"/>
  <c r="W1734" i="26"/>
  <c r="W1735" i="26"/>
  <c r="W1736" i="26"/>
  <c r="W1737" i="26"/>
  <c r="W1738" i="26"/>
  <c r="W1739" i="26"/>
  <c r="W1740" i="26"/>
  <c r="W1741" i="26"/>
  <c r="W1742" i="26"/>
  <c r="W1743" i="26"/>
  <c r="W1744" i="26"/>
  <c r="W1745" i="26"/>
  <c r="W1746" i="26"/>
  <c r="W1747" i="26"/>
  <c r="W1748" i="26"/>
  <c r="W1749" i="26"/>
  <c r="W1750" i="26"/>
  <c r="W1751" i="26"/>
  <c r="W1752" i="26"/>
  <c r="W1753" i="26"/>
  <c r="W1754" i="26"/>
  <c r="W1755" i="26"/>
  <c r="W1756" i="26"/>
  <c r="W1757" i="26"/>
  <c r="W1758" i="26"/>
  <c r="W1759" i="26"/>
  <c r="W1760" i="26"/>
  <c r="W1761" i="26"/>
  <c r="W1762" i="26"/>
  <c r="W1763" i="26"/>
  <c r="W1764" i="26"/>
  <c r="W1765" i="26"/>
  <c r="W1766" i="26"/>
  <c r="W1767" i="26"/>
  <c r="W1768" i="26"/>
  <c r="W1769" i="26"/>
  <c r="W1770" i="26"/>
  <c r="W1771" i="26"/>
  <c r="W1772" i="26"/>
  <c r="W1773" i="26"/>
  <c r="W1774" i="26"/>
  <c r="W1775" i="26"/>
  <c r="W1776" i="26"/>
  <c r="W1777" i="26"/>
  <c r="W1778" i="26"/>
  <c r="W1779" i="26"/>
  <c r="W1780" i="26"/>
  <c r="W1781" i="26"/>
  <c r="W1782" i="26"/>
  <c r="W1783" i="26"/>
  <c r="W1784" i="26"/>
  <c r="W1785" i="26"/>
  <c r="W1786" i="26"/>
  <c r="W1787" i="26"/>
  <c r="W1788" i="26"/>
  <c r="W1789" i="26"/>
  <c r="W1790" i="26"/>
  <c r="W1791" i="26"/>
  <c r="W1792" i="26"/>
  <c r="W1793" i="26"/>
  <c r="W1794" i="26"/>
  <c r="W1795" i="26"/>
  <c r="W1796" i="26"/>
  <c r="W1797" i="26"/>
  <c r="W1798" i="26"/>
  <c r="W1799" i="26"/>
  <c r="W1800" i="26"/>
  <c r="W1801" i="26"/>
  <c r="W1802" i="26"/>
  <c r="W1803" i="26"/>
  <c r="W1804" i="26"/>
  <c r="W1805" i="26"/>
  <c r="W1806" i="26"/>
  <c r="W1807" i="26"/>
  <c r="W1808" i="26"/>
  <c r="W1809" i="26"/>
  <c r="W1810" i="26"/>
  <c r="W1811" i="26"/>
  <c r="W1812" i="26"/>
  <c r="W1813" i="26"/>
  <c r="W1814" i="26"/>
  <c r="W1815" i="26"/>
  <c r="W1816" i="26"/>
  <c r="W1817" i="26"/>
  <c r="W1818" i="26"/>
  <c r="W1819" i="26"/>
  <c r="W1820" i="26"/>
  <c r="W1821" i="26"/>
  <c r="W1822" i="26"/>
  <c r="W1823" i="26"/>
  <c r="W1824" i="26"/>
  <c r="W1825" i="26"/>
  <c r="W1826" i="26"/>
  <c r="W1827" i="26"/>
  <c r="W1828" i="26"/>
  <c r="W1829" i="26"/>
  <c r="W1830" i="26"/>
  <c r="W1831" i="26"/>
  <c r="W1832" i="26"/>
  <c r="W1833" i="26"/>
  <c r="W1834" i="26"/>
  <c r="W1835" i="26"/>
  <c r="W1836" i="26"/>
  <c r="W1837" i="26"/>
  <c r="W1838" i="26"/>
  <c r="W1839" i="26"/>
  <c r="W1840" i="26"/>
  <c r="W1841" i="26"/>
  <c r="W1842" i="26"/>
  <c r="W1843" i="26"/>
  <c r="W1844" i="26"/>
  <c r="W1845" i="26"/>
  <c r="W1846" i="26"/>
  <c r="W1847" i="26"/>
  <c r="W1848" i="26"/>
  <c r="W1849" i="26"/>
  <c r="W1850" i="26"/>
  <c r="W1851" i="26"/>
  <c r="W1852" i="26"/>
  <c r="W1853" i="26"/>
  <c r="W1854" i="26"/>
  <c r="W1855" i="26"/>
  <c r="W1856" i="26"/>
  <c r="W1857" i="26"/>
  <c r="W1858" i="26"/>
  <c r="W1859" i="26"/>
  <c r="W1860" i="26"/>
  <c r="W1861" i="26"/>
  <c r="W1862" i="26"/>
  <c r="W1863" i="26"/>
  <c r="W1864" i="26"/>
  <c r="W1865" i="26"/>
  <c r="W1866" i="26"/>
  <c r="W1867" i="26"/>
  <c r="W1868" i="26"/>
  <c r="W1869" i="26"/>
  <c r="W1870" i="26"/>
  <c r="W1871" i="26"/>
  <c r="W1872" i="26"/>
  <c r="W1873" i="26"/>
  <c r="W1874" i="26"/>
  <c r="W1875" i="26"/>
  <c r="W1876" i="26"/>
  <c r="W1877" i="26"/>
  <c r="W1878" i="26"/>
  <c r="W1879" i="26"/>
  <c r="W1880" i="26"/>
  <c r="W1881" i="26"/>
  <c r="W1882" i="26"/>
  <c r="W1883" i="26"/>
  <c r="W1884" i="26"/>
  <c r="W1885" i="26"/>
  <c r="W1886" i="26"/>
  <c r="W1887" i="26"/>
  <c r="W1888" i="26"/>
  <c r="W1889" i="26"/>
  <c r="W1890" i="26"/>
  <c r="W1891" i="26"/>
  <c r="W1892" i="26"/>
  <c r="W1893" i="26"/>
  <c r="W1894" i="26"/>
  <c r="W1895" i="26"/>
  <c r="W1896" i="26"/>
  <c r="W1897" i="26"/>
  <c r="W1898" i="26"/>
  <c r="W1899" i="26"/>
  <c r="W1900" i="26"/>
  <c r="W1901" i="26"/>
  <c r="W1902" i="26"/>
  <c r="W1903" i="26"/>
  <c r="W1904" i="26"/>
  <c r="W1905" i="26"/>
  <c r="W1906" i="26"/>
  <c r="W1907" i="26"/>
  <c r="W1908" i="26"/>
  <c r="W1909" i="26"/>
  <c r="W1910" i="26"/>
  <c r="W1911" i="26"/>
  <c r="W1912" i="26"/>
  <c r="W1913" i="26"/>
  <c r="W1914" i="26"/>
  <c r="W1915" i="26"/>
  <c r="W1916" i="26"/>
  <c r="W1917" i="26"/>
  <c r="W1918" i="26"/>
  <c r="W1919" i="26"/>
  <c r="W1920" i="26"/>
  <c r="W1921" i="26"/>
  <c r="W1922" i="26"/>
  <c r="W1923" i="26"/>
  <c r="W1924" i="26"/>
  <c r="W1925" i="26"/>
  <c r="W1926" i="26"/>
  <c r="W1927" i="26"/>
  <c r="W1928" i="26"/>
  <c r="W1929" i="26"/>
  <c r="W1930" i="26"/>
  <c r="W1931" i="26"/>
  <c r="W1932" i="26"/>
  <c r="W1933" i="26"/>
  <c r="W1934" i="26"/>
  <c r="W1935" i="26"/>
  <c r="W1936" i="26"/>
  <c r="W1937" i="26"/>
  <c r="W1938" i="26"/>
  <c r="W1939" i="26"/>
  <c r="W1940" i="26"/>
  <c r="W1941" i="26"/>
  <c r="W1942" i="26"/>
  <c r="W1943" i="26"/>
  <c r="W1944" i="26"/>
  <c r="W1945" i="26"/>
  <c r="W1946" i="26"/>
  <c r="W1947" i="26"/>
  <c r="W1948" i="26"/>
  <c r="W1949" i="26"/>
  <c r="W1950" i="26"/>
  <c r="W1951" i="26"/>
  <c r="W1952" i="26"/>
  <c r="W1953" i="26"/>
  <c r="W1954" i="26"/>
  <c r="W1955" i="26"/>
  <c r="W1956" i="26"/>
  <c r="W1957" i="26"/>
  <c r="W1958" i="26"/>
  <c r="W1959" i="26"/>
  <c r="W1960" i="26"/>
  <c r="W1961" i="26"/>
  <c r="W1962" i="26"/>
  <c r="W1963" i="26"/>
  <c r="W1964" i="26"/>
  <c r="W1965" i="26"/>
  <c r="W1966" i="26"/>
  <c r="W1967" i="26"/>
  <c r="W1968" i="26"/>
  <c r="W1969" i="26"/>
  <c r="W1970" i="26"/>
  <c r="W1971" i="26"/>
  <c r="W1972" i="26"/>
  <c r="W1973" i="26"/>
  <c r="W1974" i="26"/>
  <c r="W1975" i="26"/>
  <c r="W1976" i="26"/>
  <c r="W1977" i="26"/>
  <c r="W1978" i="26"/>
  <c r="W1979" i="26"/>
  <c r="W1980" i="26"/>
  <c r="W1981" i="26"/>
  <c r="W1982" i="26"/>
  <c r="W1983" i="26"/>
  <c r="W1984" i="26"/>
  <c r="W1985" i="26"/>
  <c r="W1986" i="26"/>
  <c r="W1987" i="26"/>
  <c r="W1988" i="26"/>
  <c r="W1989" i="26"/>
  <c r="W1990" i="26"/>
  <c r="W1991" i="26"/>
  <c r="W1992" i="26"/>
  <c r="W1993" i="26"/>
  <c r="W1994" i="26"/>
  <c r="W1995" i="26"/>
  <c r="W1996" i="26"/>
  <c r="W1997" i="26"/>
  <c r="W1998" i="26"/>
  <c r="W1999" i="26"/>
  <c r="W2000" i="26"/>
  <c r="W2001" i="26"/>
  <c r="W2002" i="26"/>
  <c r="W2003" i="26"/>
  <c r="W2004" i="26"/>
  <c r="W2005" i="26"/>
  <c r="W2006" i="26"/>
  <c r="W2007" i="26"/>
  <c r="W2008" i="26"/>
  <c r="W2009" i="26"/>
  <c r="W2010" i="26"/>
  <c r="W2011" i="26"/>
  <c r="W2012" i="26"/>
  <c r="W2013" i="26"/>
  <c r="W2014" i="26"/>
  <c r="W2015" i="26"/>
  <c r="W2016" i="26"/>
  <c r="W2017" i="26"/>
  <c r="W2018" i="26"/>
  <c r="W2019" i="26"/>
  <c r="W2020" i="26"/>
  <c r="W2021" i="26"/>
  <c r="W2022" i="26"/>
  <c r="W2023" i="26"/>
  <c r="W2024" i="26"/>
  <c r="W2025" i="26"/>
  <c r="W2026" i="26"/>
  <c r="W2027" i="26"/>
  <c r="W2028" i="26"/>
  <c r="W2029" i="26"/>
  <c r="W2030" i="26"/>
  <c r="W2031" i="26"/>
  <c r="W2032" i="26"/>
  <c r="W2033" i="26"/>
  <c r="W2034" i="26"/>
  <c r="W2035" i="26"/>
  <c r="W2036" i="26"/>
  <c r="W2037" i="26"/>
  <c r="W2038" i="26"/>
  <c r="W2039" i="26"/>
  <c r="W2040" i="26"/>
  <c r="W2041" i="26"/>
  <c r="W2042" i="26"/>
  <c r="W2043" i="26"/>
  <c r="W2044" i="26"/>
  <c r="W2045" i="26"/>
  <c r="W2046" i="26"/>
  <c r="W2047" i="26"/>
  <c r="W2048" i="26"/>
  <c r="W2049" i="26"/>
  <c r="W2050" i="26"/>
  <c r="W2051" i="26"/>
  <c r="W2052" i="26"/>
  <c r="W2053" i="26"/>
  <c r="W2054" i="26"/>
  <c r="W2055" i="26"/>
  <c r="W2056" i="26"/>
  <c r="W2057" i="26"/>
  <c r="W2058" i="26"/>
  <c r="W2059" i="26"/>
  <c r="W2060" i="26"/>
  <c r="W2061" i="26"/>
  <c r="W2062" i="26"/>
  <c r="W2063" i="26"/>
  <c r="W2064" i="26"/>
  <c r="W2065" i="26"/>
  <c r="W2066" i="26"/>
  <c r="W2067" i="26"/>
  <c r="W2068" i="26"/>
  <c r="W2069" i="26"/>
  <c r="W2070" i="26"/>
  <c r="W2071" i="26"/>
  <c r="W2072" i="26"/>
  <c r="W2073" i="26"/>
  <c r="W2074" i="26"/>
  <c r="W2075" i="26"/>
  <c r="W2076" i="26"/>
  <c r="W2077" i="26"/>
  <c r="W2078" i="26"/>
  <c r="W2079" i="26"/>
  <c r="W2080" i="26"/>
  <c r="W2081" i="26"/>
  <c r="W2082" i="26"/>
  <c r="W2083" i="26"/>
  <c r="W2084" i="26"/>
  <c r="W2085" i="26"/>
  <c r="W2086" i="26"/>
  <c r="W2087" i="26"/>
  <c r="W2088" i="26"/>
  <c r="W2089" i="26"/>
  <c r="W2090" i="26"/>
  <c r="W2091" i="26"/>
  <c r="W2092" i="26"/>
  <c r="W2093" i="26"/>
  <c r="W2094" i="26"/>
  <c r="W2095" i="26"/>
  <c r="W2096" i="26"/>
  <c r="W2097" i="26"/>
  <c r="W2098" i="26"/>
  <c r="W2099" i="26"/>
  <c r="W2100" i="26"/>
  <c r="W2101" i="26"/>
  <c r="W2102" i="26"/>
  <c r="W2103" i="26"/>
  <c r="W2104" i="26"/>
  <c r="W2105" i="26"/>
  <c r="W2106" i="26"/>
  <c r="W2107" i="26"/>
  <c r="W2108" i="26"/>
  <c r="W2109" i="26"/>
  <c r="W2110" i="26"/>
  <c r="W2111" i="26"/>
  <c r="W2112" i="26"/>
  <c r="W2113" i="26"/>
  <c r="W2114" i="26"/>
  <c r="W2115" i="26"/>
  <c r="W2116" i="26"/>
  <c r="W2117" i="26"/>
  <c r="W2118" i="26"/>
  <c r="W2119" i="26"/>
  <c r="W2120" i="26"/>
  <c r="W2121" i="26"/>
  <c r="W2122" i="26"/>
  <c r="W2123" i="26"/>
  <c r="W2124" i="26"/>
  <c r="W2125" i="26"/>
  <c r="W2126" i="26"/>
  <c r="W2127" i="26"/>
  <c r="W2128" i="26"/>
  <c r="W2129" i="26"/>
  <c r="W2130" i="26"/>
  <c r="W2131" i="26"/>
  <c r="W2132" i="26"/>
  <c r="W2133" i="26"/>
  <c r="W2134" i="26"/>
  <c r="W2135" i="26"/>
  <c r="W2136" i="26"/>
  <c r="W2137" i="26"/>
  <c r="W2138" i="26"/>
  <c r="W2139" i="26"/>
  <c r="W2140" i="26"/>
  <c r="W2141" i="26"/>
  <c r="W2142" i="26"/>
  <c r="W2143" i="26"/>
  <c r="W2144" i="26"/>
  <c r="W2145" i="26"/>
  <c r="W2146" i="26"/>
  <c r="W2147" i="26"/>
  <c r="W2148" i="26"/>
  <c r="W2149" i="26"/>
  <c r="W2150" i="26"/>
  <c r="W2151" i="26"/>
  <c r="W2152" i="26"/>
  <c r="W2153" i="26"/>
  <c r="W2154" i="26"/>
  <c r="W2155" i="26"/>
  <c r="W2156" i="26"/>
  <c r="W2157" i="26"/>
  <c r="W2158" i="26"/>
  <c r="W2159" i="26"/>
  <c r="W2160" i="26"/>
  <c r="W2161" i="26"/>
  <c r="W2162" i="26"/>
  <c r="W2163" i="26"/>
  <c r="W2164" i="26"/>
  <c r="W2165" i="26"/>
  <c r="W2166" i="26"/>
  <c r="W2167" i="26"/>
  <c r="W2168" i="26"/>
  <c r="W2169" i="26"/>
  <c r="W2170" i="26"/>
  <c r="W2171" i="26"/>
  <c r="W2172" i="26"/>
  <c r="W2173" i="26"/>
  <c r="W2174" i="26"/>
  <c r="W2175" i="26"/>
  <c r="W2176" i="26"/>
  <c r="W2177" i="26"/>
  <c r="W2178" i="26"/>
  <c r="W2179" i="26"/>
  <c r="W2180" i="26"/>
  <c r="W2181" i="26"/>
  <c r="W2182" i="26"/>
  <c r="W2183" i="26"/>
  <c r="W2184" i="26"/>
  <c r="W2185" i="26"/>
  <c r="W2186" i="26"/>
  <c r="W2187" i="26"/>
  <c r="W2188" i="26"/>
  <c r="W2189" i="26"/>
  <c r="W2190" i="26"/>
  <c r="W2191" i="26"/>
  <c r="W2192" i="26"/>
  <c r="W2193" i="26"/>
  <c r="W2194" i="26"/>
  <c r="W2195" i="26"/>
  <c r="W2196" i="26"/>
  <c r="W2197" i="26"/>
  <c r="W2198" i="26"/>
  <c r="W2199" i="26"/>
  <c r="W2200" i="26"/>
  <c r="W2201" i="26"/>
  <c r="W2202" i="26"/>
  <c r="W2203" i="26"/>
  <c r="W2204" i="26"/>
  <c r="W2205" i="26"/>
  <c r="W2206" i="26"/>
  <c r="W2207" i="26"/>
  <c r="W2208" i="26"/>
  <c r="W2209" i="26"/>
  <c r="W2210" i="26"/>
  <c r="W2211" i="26"/>
  <c r="W2212" i="26"/>
  <c r="W2213" i="26"/>
  <c r="W2214" i="26"/>
  <c r="W2215" i="26"/>
  <c r="W2216" i="26"/>
  <c r="W2217" i="26"/>
  <c r="W2218" i="26"/>
  <c r="W2219" i="26"/>
  <c r="W2220" i="26"/>
  <c r="W2221" i="26"/>
  <c r="W2222" i="26"/>
  <c r="W2223" i="26"/>
  <c r="W2224" i="26"/>
  <c r="W2225" i="26"/>
  <c r="W2226" i="26"/>
  <c r="W2227" i="26"/>
  <c r="W2228" i="26"/>
  <c r="W2229" i="26"/>
  <c r="W2230" i="26"/>
  <c r="W2231" i="26"/>
  <c r="W2232" i="26"/>
  <c r="W2233" i="26"/>
  <c r="W2234" i="26"/>
  <c r="W2235" i="26"/>
  <c r="W2236" i="26"/>
  <c r="W2237" i="26"/>
  <c r="W2238" i="26"/>
  <c r="W2239" i="26"/>
  <c r="W2240" i="26"/>
  <c r="W2241" i="26"/>
  <c r="W2242" i="26"/>
  <c r="W2243" i="26"/>
  <c r="W2244" i="26"/>
  <c r="W2245" i="26"/>
  <c r="W2246" i="26"/>
  <c r="W2247" i="26"/>
  <c r="W2248" i="26"/>
  <c r="W2249" i="26"/>
  <c r="W2250" i="26"/>
  <c r="W2251" i="26"/>
  <c r="W2252" i="26"/>
  <c r="W2253" i="26"/>
  <c r="W2254" i="26"/>
  <c r="W2255" i="26"/>
  <c r="W2256" i="26"/>
  <c r="W2257" i="26"/>
  <c r="W2258" i="26"/>
  <c r="W2259" i="26"/>
  <c r="W2260" i="26"/>
  <c r="W2261" i="26"/>
  <c r="W2262" i="26"/>
  <c r="W2263" i="26"/>
  <c r="W2264" i="26"/>
  <c r="W2265" i="26"/>
  <c r="W2266" i="26"/>
  <c r="W2267" i="26"/>
  <c r="W2268" i="26"/>
  <c r="W2269" i="26"/>
  <c r="W2270" i="26"/>
  <c r="W2271" i="26"/>
  <c r="W2272" i="26"/>
  <c r="W2273" i="26"/>
  <c r="W2274" i="26"/>
  <c r="W2275" i="26"/>
  <c r="W2276" i="26"/>
  <c r="W2277" i="26"/>
  <c r="W2278" i="26"/>
  <c r="W2279" i="26"/>
  <c r="W2280" i="26"/>
  <c r="W2281" i="26"/>
  <c r="W2282" i="26"/>
  <c r="W2283" i="26"/>
  <c r="W2284" i="26"/>
  <c r="W2285" i="26"/>
  <c r="W2286" i="26"/>
  <c r="W2287" i="26"/>
  <c r="W2288" i="26"/>
  <c r="W2289" i="26"/>
  <c r="W2290" i="26"/>
  <c r="W2291" i="26"/>
  <c r="W2292" i="26"/>
  <c r="W2293" i="26"/>
  <c r="W2294" i="26"/>
  <c r="W2295" i="26"/>
  <c r="W2296" i="26"/>
  <c r="W2297" i="26"/>
  <c r="W2298" i="26"/>
  <c r="W2299" i="26"/>
  <c r="W2300" i="26"/>
  <c r="W2301" i="26"/>
  <c r="W2302" i="26"/>
  <c r="W2303" i="26"/>
  <c r="W2304" i="26"/>
  <c r="W2305" i="26"/>
  <c r="W2306" i="26"/>
  <c r="W2307" i="26"/>
  <c r="W2308" i="26"/>
  <c r="W2309" i="26"/>
  <c r="W2310" i="26"/>
  <c r="W2311" i="26"/>
  <c r="W2312" i="26"/>
  <c r="W2313" i="26"/>
  <c r="W2314" i="26"/>
  <c r="W2315" i="26"/>
  <c r="W2316" i="26"/>
  <c r="W2317" i="26"/>
  <c r="W2318" i="26"/>
  <c r="W2319" i="26"/>
  <c r="W2320" i="26"/>
  <c r="W2321" i="26"/>
  <c r="W2322" i="26"/>
  <c r="W2323" i="26"/>
  <c r="W2324" i="26"/>
  <c r="W2325" i="26"/>
  <c r="W2326" i="26"/>
  <c r="W2327" i="26"/>
  <c r="W2328" i="26"/>
  <c r="W2329" i="26"/>
  <c r="W2330" i="26"/>
  <c r="W2331" i="26"/>
  <c r="W2332" i="26"/>
  <c r="W2333" i="26"/>
  <c r="W2334" i="26"/>
  <c r="W2335" i="26"/>
  <c r="W2336" i="26"/>
  <c r="W2337" i="26"/>
  <c r="W2338" i="26"/>
  <c r="W2339" i="26"/>
  <c r="W2340" i="26"/>
  <c r="W2341" i="26"/>
  <c r="W2342" i="26"/>
  <c r="W2343" i="26"/>
  <c r="W2344" i="26"/>
  <c r="W2345" i="26"/>
  <c r="W2346" i="26"/>
  <c r="W2347" i="26"/>
  <c r="W2348" i="26"/>
  <c r="W2349" i="26"/>
  <c r="W2350" i="26"/>
  <c r="W2351" i="26"/>
  <c r="W2352" i="26"/>
  <c r="W2353" i="26"/>
  <c r="W2354" i="26"/>
  <c r="W2355" i="26"/>
  <c r="W2356" i="26"/>
  <c r="W2357" i="26"/>
  <c r="W2358" i="26"/>
  <c r="W2359" i="26"/>
  <c r="W2360" i="26"/>
  <c r="W2361" i="26"/>
  <c r="W2362" i="26"/>
  <c r="W2363" i="26"/>
  <c r="W2364" i="26"/>
  <c r="W2365" i="26"/>
  <c r="W2366" i="26"/>
  <c r="W2367" i="26"/>
  <c r="W2368" i="26"/>
  <c r="W2369" i="26"/>
  <c r="W2370" i="26"/>
  <c r="W2371" i="26"/>
  <c r="W2372" i="26"/>
  <c r="W2373" i="26"/>
  <c r="W2374" i="26"/>
  <c r="W2375" i="26"/>
  <c r="W2376" i="26"/>
  <c r="W2377" i="26"/>
  <c r="W2378" i="26"/>
  <c r="W2379" i="26"/>
  <c r="W2380" i="26"/>
  <c r="W2381" i="26"/>
  <c r="W2382" i="26"/>
  <c r="W2383" i="26"/>
  <c r="W2384" i="26"/>
  <c r="W2385" i="26"/>
  <c r="W2386" i="26"/>
  <c r="W2387" i="26"/>
  <c r="W2388" i="26"/>
  <c r="W2389" i="26"/>
  <c r="W2390" i="26"/>
  <c r="W2391" i="26"/>
  <c r="W2392" i="26"/>
  <c r="W2393" i="26"/>
  <c r="W2394" i="26"/>
  <c r="W2395" i="26"/>
  <c r="W2396" i="26"/>
  <c r="W2397" i="26"/>
  <c r="W2398" i="26"/>
  <c r="W2399" i="26"/>
  <c r="W2400" i="26"/>
  <c r="W2401" i="26"/>
  <c r="W2" i="26"/>
  <c r="S102" i="26"/>
  <c r="S103" i="26"/>
  <c r="S104" i="26"/>
  <c r="S105" i="26"/>
  <c r="S106" i="26"/>
  <c r="S107" i="26"/>
  <c r="S108" i="26"/>
  <c r="S109" i="26"/>
  <c r="S110" i="26"/>
  <c r="S111" i="26"/>
  <c r="S112" i="26"/>
  <c r="S113" i="26"/>
  <c r="S114" i="26"/>
  <c r="S115" i="26"/>
  <c r="S116" i="26"/>
  <c r="S117" i="26"/>
  <c r="S118" i="26"/>
  <c r="S119" i="26"/>
  <c r="S120" i="26"/>
  <c r="S121" i="26"/>
  <c r="S122" i="26"/>
  <c r="S123" i="26"/>
  <c r="S124" i="26"/>
  <c r="S125" i="26"/>
  <c r="S126" i="26"/>
  <c r="S127" i="26"/>
  <c r="S128" i="26"/>
  <c r="S129" i="26"/>
  <c r="S130" i="26"/>
  <c r="S131" i="26"/>
  <c r="S132" i="26"/>
  <c r="S133" i="26"/>
  <c r="S134" i="26"/>
  <c r="S135" i="26"/>
  <c r="S136" i="26"/>
  <c r="S137" i="26"/>
  <c r="S138" i="26"/>
  <c r="S139" i="26"/>
  <c r="S140" i="26"/>
  <c r="S141" i="26"/>
  <c r="S142" i="26"/>
  <c r="S143" i="26"/>
  <c r="S144" i="26"/>
  <c r="S145" i="26"/>
  <c r="S146" i="26"/>
  <c r="S147" i="26"/>
  <c r="S148" i="26"/>
  <c r="S149" i="26"/>
  <c r="S150" i="26"/>
  <c r="S151" i="26"/>
  <c r="S152" i="26"/>
  <c r="S153" i="26"/>
  <c r="S154" i="26"/>
  <c r="S155" i="26"/>
  <c r="S156" i="26"/>
  <c r="S157" i="26"/>
  <c r="S158" i="26"/>
  <c r="S159" i="26"/>
  <c r="S160" i="26"/>
  <c r="S161" i="26"/>
  <c r="S162" i="26"/>
  <c r="S163" i="26"/>
  <c r="S164" i="26"/>
  <c r="S165" i="26"/>
  <c r="S166" i="26"/>
  <c r="S167" i="26"/>
  <c r="S168" i="26"/>
  <c r="S169" i="26"/>
  <c r="S170" i="26"/>
  <c r="S171" i="26"/>
  <c r="S172" i="26"/>
  <c r="S173" i="26"/>
  <c r="S174" i="26"/>
  <c r="S175" i="26"/>
  <c r="S176" i="26"/>
  <c r="S177" i="26"/>
  <c r="S178" i="26"/>
  <c r="S179" i="26"/>
  <c r="S180" i="26"/>
  <c r="S181" i="26"/>
  <c r="S182" i="26"/>
  <c r="S183" i="26"/>
  <c r="S184" i="26"/>
  <c r="S185" i="26"/>
  <c r="S186" i="26"/>
  <c r="S187" i="26"/>
  <c r="S188" i="26"/>
  <c r="S189" i="26"/>
  <c r="S190" i="26"/>
  <c r="S191" i="26"/>
  <c r="S192" i="26"/>
  <c r="S193" i="26"/>
  <c r="S194" i="26"/>
  <c r="S195" i="26"/>
  <c r="S196" i="26"/>
  <c r="S197" i="26"/>
  <c r="S198" i="26"/>
  <c r="S199" i="26"/>
  <c r="S200" i="26"/>
  <c r="S201" i="26"/>
  <c r="S202" i="26"/>
  <c r="S203" i="26"/>
  <c r="S204" i="26"/>
  <c r="S205" i="26"/>
  <c r="S206" i="26"/>
  <c r="S207" i="26"/>
  <c r="S208" i="26"/>
  <c r="S209" i="26"/>
  <c r="S210" i="26"/>
  <c r="S211" i="26"/>
  <c r="S212" i="26"/>
  <c r="S213" i="26"/>
  <c r="S214" i="26"/>
  <c r="S215" i="26"/>
  <c r="S216" i="26"/>
  <c r="S217" i="26"/>
  <c r="S218" i="26"/>
  <c r="S219" i="26"/>
  <c r="S220" i="26"/>
  <c r="S221" i="26"/>
  <c r="S222" i="26"/>
  <c r="S223" i="26"/>
  <c r="S224" i="26"/>
  <c r="S225" i="26"/>
  <c r="S226" i="26"/>
  <c r="S227" i="26"/>
  <c r="S228" i="26"/>
  <c r="S229" i="26"/>
  <c r="S230" i="26"/>
  <c r="S231" i="26"/>
  <c r="S232" i="26"/>
  <c r="S233" i="26"/>
  <c r="S234" i="26"/>
  <c r="S235" i="26"/>
  <c r="S236" i="26"/>
  <c r="S237" i="26"/>
  <c r="S238" i="26"/>
  <c r="S239" i="26"/>
  <c r="S240" i="26"/>
  <c r="S241" i="26"/>
  <c r="S242" i="26"/>
  <c r="S243" i="26"/>
  <c r="S244" i="26"/>
  <c r="S245" i="26"/>
  <c r="S246" i="26"/>
  <c r="S247" i="26"/>
  <c r="S248" i="26"/>
  <c r="S249" i="26"/>
  <c r="S250" i="26"/>
  <c r="S251" i="26"/>
  <c r="S252" i="26"/>
  <c r="S253" i="26"/>
  <c r="S254" i="26"/>
  <c r="S255" i="26"/>
  <c r="S256" i="26"/>
  <c r="S257" i="26"/>
  <c r="S258" i="26"/>
  <c r="S259" i="26"/>
  <c r="S260" i="26"/>
  <c r="S261" i="26"/>
  <c r="S262" i="26"/>
  <c r="S263" i="26"/>
  <c r="S264" i="26"/>
  <c r="S265" i="26"/>
  <c r="S266" i="26"/>
  <c r="S267" i="26"/>
  <c r="S268" i="26"/>
  <c r="S269" i="26"/>
  <c r="S270" i="26"/>
  <c r="S271" i="26"/>
  <c r="S272" i="26"/>
  <c r="S273" i="26"/>
  <c r="S274" i="26"/>
  <c r="S275" i="26"/>
  <c r="S276" i="26"/>
  <c r="S277" i="26"/>
  <c r="S278" i="26"/>
  <c r="S279" i="26"/>
  <c r="S280" i="26"/>
  <c r="S281" i="26"/>
  <c r="S282" i="26"/>
  <c r="S283" i="26"/>
  <c r="S284" i="26"/>
  <c r="S285" i="26"/>
  <c r="S286" i="26"/>
  <c r="S287" i="26"/>
  <c r="S288" i="26"/>
  <c r="S289" i="26"/>
  <c r="S290" i="26"/>
  <c r="S291" i="26"/>
  <c r="S292" i="26"/>
  <c r="S293" i="26"/>
  <c r="S294" i="26"/>
  <c r="S295" i="26"/>
  <c r="S296" i="26"/>
  <c r="S297" i="26"/>
  <c r="S298" i="26"/>
  <c r="S299" i="26"/>
  <c r="S300" i="26"/>
  <c r="S301" i="26"/>
  <c r="S302" i="26"/>
  <c r="S303" i="26"/>
  <c r="S304" i="26"/>
  <c r="S305" i="26"/>
  <c r="S306" i="26"/>
  <c r="S307" i="26"/>
  <c r="S308" i="26"/>
  <c r="S309" i="26"/>
  <c r="S310" i="26"/>
  <c r="S311" i="26"/>
  <c r="S312" i="26"/>
  <c r="S313" i="26"/>
  <c r="S314" i="26"/>
  <c r="S315" i="26"/>
  <c r="S316" i="26"/>
  <c r="S317" i="26"/>
  <c r="S318" i="26"/>
  <c r="S319" i="26"/>
  <c r="S320" i="26"/>
  <c r="S321" i="26"/>
  <c r="S322" i="26"/>
  <c r="S323" i="26"/>
  <c r="S324" i="26"/>
  <c r="S325" i="26"/>
  <c r="S326" i="26"/>
  <c r="S327" i="26"/>
  <c r="S328" i="26"/>
  <c r="S329" i="26"/>
  <c r="S330" i="26"/>
  <c r="S331" i="26"/>
  <c r="S332" i="26"/>
  <c r="S333" i="26"/>
  <c r="S334" i="26"/>
  <c r="S335" i="26"/>
  <c r="S336" i="26"/>
  <c r="S337" i="26"/>
  <c r="S338" i="26"/>
  <c r="S339" i="26"/>
  <c r="S340" i="26"/>
  <c r="S341" i="26"/>
  <c r="S342" i="26"/>
  <c r="S343" i="26"/>
  <c r="S344" i="26"/>
  <c r="S345" i="26"/>
  <c r="S346" i="26"/>
  <c r="S347" i="26"/>
  <c r="S348" i="26"/>
  <c r="S349" i="26"/>
  <c r="S350" i="26"/>
  <c r="S351" i="26"/>
  <c r="S352" i="26"/>
  <c r="S353" i="26"/>
  <c r="S354" i="26"/>
  <c r="S355" i="26"/>
  <c r="S356" i="26"/>
  <c r="S357" i="26"/>
  <c r="S358" i="26"/>
  <c r="S359" i="26"/>
  <c r="S360" i="26"/>
  <c r="S361" i="26"/>
  <c r="S362" i="26"/>
  <c r="S363" i="26"/>
  <c r="S364" i="26"/>
  <c r="S365" i="26"/>
  <c r="S366" i="26"/>
  <c r="S367" i="26"/>
  <c r="S368" i="26"/>
  <c r="S369" i="26"/>
  <c r="S370" i="26"/>
  <c r="S371" i="26"/>
  <c r="S372" i="26"/>
  <c r="S373" i="26"/>
  <c r="S374" i="26"/>
  <c r="S375" i="26"/>
  <c r="S376" i="26"/>
  <c r="S377" i="26"/>
  <c r="S378" i="26"/>
  <c r="S379" i="26"/>
  <c r="S380" i="26"/>
  <c r="S381" i="26"/>
  <c r="S382" i="26"/>
  <c r="S383" i="26"/>
  <c r="S384" i="26"/>
  <c r="S385" i="26"/>
  <c r="S386" i="26"/>
  <c r="S387" i="26"/>
  <c r="S388" i="26"/>
  <c r="S389" i="26"/>
  <c r="S390" i="26"/>
  <c r="S391" i="26"/>
  <c r="S392" i="26"/>
  <c r="S393" i="26"/>
  <c r="S394" i="26"/>
  <c r="S395" i="26"/>
  <c r="S396" i="26"/>
  <c r="S397" i="26"/>
  <c r="S398" i="26"/>
  <c r="S399" i="26"/>
  <c r="S400" i="26"/>
  <c r="S401" i="26"/>
  <c r="S402" i="26"/>
  <c r="S403" i="26"/>
  <c r="S404" i="26"/>
  <c r="S405" i="26"/>
  <c r="S406" i="26"/>
  <c r="S407" i="26"/>
  <c r="S408" i="26"/>
  <c r="S409" i="26"/>
  <c r="S410" i="26"/>
  <c r="S411" i="26"/>
  <c r="S412" i="26"/>
  <c r="S413" i="26"/>
  <c r="S414" i="26"/>
  <c r="S415" i="26"/>
  <c r="S416" i="26"/>
  <c r="S417" i="26"/>
  <c r="S418" i="26"/>
  <c r="S419" i="26"/>
  <c r="S420" i="26"/>
  <c r="S421" i="26"/>
  <c r="S422" i="26"/>
  <c r="S423" i="26"/>
  <c r="S424" i="26"/>
  <c r="S425" i="26"/>
  <c r="S426" i="26"/>
  <c r="S427" i="26"/>
  <c r="S428" i="26"/>
  <c r="S429" i="26"/>
  <c r="S430" i="26"/>
  <c r="S431" i="26"/>
  <c r="S432" i="26"/>
  <c r="S433" i="26"/>
  <c r="S434" i="26"/>
  <c r="S435" i="26"/>
  <c r="S436" i="26"/>
  <c r="S437" i="26"/>
  <c r="S438" i="26"/>
  <c r="S439" i="26"/>
  <c r="S440" i="26"/>
  <c r="S441" i="26"/>
  <c r="S442" i="26"/>
  <c r="S443" i="26"/>
  <c r="S444" i="26"/>
  <c r="S445" i="26"/>
  <c r="S446" i="26"/>
  <c r="S447" i="26"/>
  <c r="S448" i="26"/>
  <c r="S449" i="26"/>
  <c r="S450" i="26"/>
  <c r="S451" i="26"/>
  <c r="S452" i="26"/>
  <c r="S453" i="26"/>
  <c r="S454" i="26"/>
  <c r="S455" i="26"/>
  <c r="S456" i="26"/>
  <c r="S457" i="26"/>
  <c r="S458" i="26"/>
  <c r="S459" i="26"/>
  <c r="S460" i="26"/>
  <c r="S461" i="26"/>
  <c r="S462" i="26"/>
  <c r="S463" i="26"/>
  <c r="S464" i="26"/>
  <c r="S465" i="26"/>
  <c r="S466" i="26"/>
  <c r="S467" i="26"/>
  <c r="S468" i="26"/>
  <c r="S469" i="26"/>
  <c r="S470" i="26"/>
  <c r="S471" i="26"/>
  <c r="S472" i="26"/>
  <c r="S473" i="26"/>
  <c r="S474" i="26"/>
  <c r="S475" i="26"/>
  <c r="S476" i="26"/>
  <c r="S477" i="26"/>
  <c r="S478" i="26"/>
  <c r="S479" i="26"/>
  <c r="S480" i="26"/>
  <c r="S481" i="26"/>
  <c r="S482" i="26"/>
  <c r="S483" i="26"/>
  <c r="S484" i="26"/>
  <c r="S485" i="26"/>
  <c r="S486" i="26"/>
  <c r="S487" i="26"/>
  <c r="S488" i="26"/>
  <c r="S489" i="26"/>
  <c r="S490" i="26"/>
  <c r="S491" i="26"/>
  <c r="S492" i="26"/>
  <c r="S493" i="26"/>
  <c r="S494" i="26"/>
  <c r="S495" i="26"/>
  <c r="S496" i="26"/>
  <c r="S497" i="26"/>
  <c r="S498" i="26"/>
  <c r="S499" i="26"/>
  <c r="S500" i="26"/>
  <c r="S501" i="26"/>
  <c r="S502" i="26"/>
  <c r="S503" i="26"/>
  <c r="S504" i="26"/>
  <c r="S505" i="26"/>
  <c r="S506" i="26"/>
  <c r="S507" i="26"/>
  <c r="S508" i="26"/>
  <c r="S509" i="26"/>
  <c r="S510" i="26"/>
  <c r="S511" i="26"/>
  <c r="S512" i="26"/>
  <c r="S513" i="26"/>
  <c r="S514" i="26"/>
  <c r="S515" i="26"/>
  <c r="S516" i="26"/>
  <c r="S517" i="26"/>
  <c r="S518" i="26"/>
  <c r="S519" i="26"/>
  <c r="S520" i="26"/>
  <c r="S521" i="26"/>
  <c r="S522" i="26"/>
  <c r="S523" i="26"/>
  <c r="S524" i="26"/>
  <c r="S525" i="26"/>
  <c r="S526" i="26"/>
  <c r="S527" i="26"/>
  <c r="S528" i="26"/>
  <c r="S529" i="26"/>
  <c r="S530" i="26"/>
  <c r="S531" i="26"/>
  <c r="S532" i="26"/>
  <c r="S533" i="26"/>
  <c r="S534" i="26"/>
  <c r="S535" i="26"/>
  <c r="S536" i="26"/>
  <c r="S537" i="26"/>
  <c r="S538" i="26"/>
  <c r="S539" i="26"/>
  <c r="S540" i="26"/>
  <c r="S541" i="26"/>
  <c r="S542" i="26"/>
  <c r="S543" i="26"/>
  <c r="S544" i="26"/>
  <c r="S545" i="26"/>
  <c r="S546" i="26"/>
  <c r="S547" i="26"/>
  <c r="S548" i="26"/>
  <c r="S549" i="26"/>
  <c r="S550" i="26"/>
  <c r="S551" i="26"/>
  <c r="S552" i="26"/>
  <c r="S553" i="26"/>
  <c r="S554" i="26"/>
  <c r="S555" i="26"/>
  <c r="S556" i="26"/>
  <c r="S557" i="26"/>
  <c r="S558" i="26"/>
  <c r="S559" i="26"/>
  <c r="S560" i="26"/>
  <c r="S561" i="26"/>
  <c r="S562" i="26"/>
  <c r="S563" i="26"/>
  <c r="S564" i="26"/>
  <c r="S565" i="26"/>
  <c r="S566" i="26"/>
  <c r="S567" i="26"/>
  <c r="S568" i="26"/>
  <c r="S569" i="26"/>
  <c r="S570" i="26"/>
  <c r="S571" i="26"/>
  <c r="S572" i="26"/>
  <c r="S573" i="26"/>
  <c r="S574" i="26"/>
  <c r="S575" i="26"/>
  <c r="S576" i="26"/>
  <c r="S577" i="26"/>
  <c r="S578" i="26"/>
  <c r="S579" i="26"/>
  <c r="S580" i="26"/>
  <c r="S581" i="26"/>
  <c r="S582" i="26"/>
  <c r="S583" i="26"/>
  <c r="S584" i="26"/>
  <c r="S585" i="26"/>
  <c r="S586" i="26"/>
  <c r="S587" i="26"/>
  <c r="S588" i="26"/>
  <c r="S589" i="26"/>
  <c r="S590" i="26"/>
  <c r="S591" i="26"/>
  <c r="S592" i="26"/>
  <c r="S593" i="26"/>
  <c r="S594" i="26"/>
  <c r="S595" i="26"/>
  <c r="S596" i="26"/>
  <c r="S597" i="26"/>
  <c r="S598" i="26"/>
  <c r="S599" i="26"/>
  <c r="S600" i="26"/>
  <c r="S601" i="26"/>
  <c r="S602" i="26"/>
  <c r="S603" i="26"/>
  <c r="S604" i="26"/>
  <c r="S605" i="26"/>
  <c r="S606" i="26"/>
  <c r="S607" i="26"/>
  <c r="S608" i="26"/>
  <c r="S609" i="26"/>
  <c r="S610" i="26"/>
  <c r="S611" i="26"/>
  <c r="S612" i="26"/>
  <c r="S613" i="26"/>
  <c r="S614" i="26"/>
  <c r="S615" i="26"/>
  <c r="S616" i="26"/>
  <c r="S617" i="26"/>
  <c r="S618" i="26"/>
  <c r="S619" i="26"/>
  <c r="S620" i="26"/>
  <c r="S621" i="26"/>
  <c r="S622" i="26"/>
  <c r="S623" i="26"/>
  <c r="S624" i="26"/>
  <c r="S625" i="26"/>
  <c r="S626" i="26"/>
  <c r="S627" i="26"/>
  <c r="S628" i="26"/>
  <c r="S629" i="26"/>
  <c r="S630" i="26"/>
  <c r="S631" i="26"/>
  <c r="S632" i="26"/>
  <c r="S633" i="26"/>
  <c r="S634" i="26"/>
  <c r="S635" i="26"/>
  <c r="S636" i="26"/>
  <c r="S637" i="26"/>
  <c r="S638" i="26"/>
  <c r="S639" i="26"/>
  <c r="S640" i="26"/>
  <c r="S641" i="26"/>
  <c r="S642" i="26"/>
  <c r="S643" i="26"/>
  <c r="S644" i="26"/>
  <c r="S645" i="26"/>
  <c r="S646" i="26"/>
  <c r="S647" i="26"/>
  <c r="S648" i="26"/>
  <c r="S649" i="26"/>
  <c r="S650" i="26"/>
  <c r="S651" i="26"/>
  <c r="S652" i="26"/>
  <c r="S653" i="26"/>
  <c r="S654" i="26"/>
  <c r="S655" i="26"/>
  <c r="S656" i="26"/>
  <c r="S657" i="26"/>
  <c r="S658" i="26"/>
  <c r="S659" i="26"/>
  <c r="S660" i="26"/>
  <c r="S661" i="26"/>
  <c r="S662" i="26"/>
  <c r="S663" i="26"/>
  <c r="S664" i="26"/>
  <c r="S665" i="26"/>
  <c r="S666" i="26"/>
  <c r="S667" i="26"/>
  <c r="S668" i="26"/>
  <c r="S669" i="26"/>
  <c r="S670" i="26"/>
  <c r="S671" i="26"/>
  <c r="S672" i="26"/>
  <c r="S673" i="26"/>
  <c r="S674" i="26"/>
  <c r="S675" i="26"/>
  <c r="S676" i="26"/>
  <c r="S677" i="26"/>
  <c r="S678" i="26"/>
  <c r="S679" i="26"/>
  <c r="S680" i="26"/>
  <c r="S681" i="26"/>
  <c r="S682" i="26"/>
  <c r="S683" i="26"/>
  <c r="S684" i="26"/>
  <c r="S685" i="26"/>
  <c r="S686" i="26"/>
  <c r="S687" i="26"/>
  <c r="S688" i="26"/>
  <c r="S689" i="26"/>
  <c r="S690" i="26"/>
  <c r="S691" i="26"/>
  <c r="S692" i="26"/>
  <c r="S693" i="26"/>
  <c r="S694" i="26"/>
  <c r="S695" i="26"/>
  <c r="S696" i="26"/>
  <c r="S697" i="26"/>
  <c r="S698" i="26"/>
  <c r="S699" i="26"/>
  <c r="S700" i="26"/>
  <c r="S701" i="26"/>
  <c r="S702" i="26"/>
  <c r="S703" i="26"/>
  <c r="S704" i="26"/>
  <c r="S705" i="26"/>
  <c r="S706" i="26"/>
  <c r="S707" i="26"/>
  <c r="S708" i="26"/>
  <c r="S709" i="26"/>
  <c r="S710" i="26"/>
  <c r="S711" i="26"/>
  <c r="S712" i="26"/>
  <c r="S713" i="26"/>
  <c r="S714" i="26"/>
  <c r="S715" i="26"/>
  <c r="S716" i="26"/>
  <c r="S717" i="26"/>
  <c r="S718" i="26"/>
  <c r="S719" i="26"/>
  <c r="S720" i="26"/>
  <c r="S721" i="26"/>
  <c r="S722" i="26"/>
  <c r="S723" i="26"/>
  <c r="S724" i="26"/>
  <c r="S725" i="26"/>
  <c r="S726" i="26"/>
  <c r="S727" i="26"/>
  <c r="S728" i="26"/>
  <c r="S729" i="26"/>
  <c r="S730" i="26"/>
  <c r="S731" i="26"/>
  <c r="S732" i="26"/>
  <c r="S733" i="26"/>
  <c r="S734" i="26"/>
  <c r="S735" i="26"/>
  <c r="S736" i="26"/>
  <c r="S737" i="26"/>
  <c r="S738" i="26"/>
  <c r="S739" i="26"/>
  <c r="S740" i="26"/>
  <c r="S741" i="26"/>
  <c r="S742" i="26"/>
  <c r="S743" i="26"/>
  <c r="S744" i="26"/>
  <c r="S745" i="26"/>
  <c r="S746" i="26"/>
  <c r="S747" i="26"/>
  <c r="S748" i="26"/>
  <c r="S749" i="26"/>
  <c r="S750" i="26"/>
  <c r="S751" i="26"/>
  <c r="S752" i="26"/>
  <c r="S753" i="26"/>
  <c r="S754" i="26"/>
  <c r="S755" i="26"/>
  <c r="S756" i="26"/>
  <c r="S757" i="26"/>
  <c r="S758" i="26"/>
  <c r="S759" i="26"/>
  <c r="S760" i="26"/>
  <c r="S761" i="26"/>
  <c r="S762" i="26"/>
  <c r="S763" i="26"/>
  <c r="S764" i="26"/>
  <c r="S765" i="26"/>
  <c r="S766" i="26"/>
  <c r="S767" i="26"/>
  <c r="S768" i="26"/>
  <c r="S769" i="26"/>
  <c r="S770" i="26"/>
  <c r="S771" i="26"/>
  <c r="S772" i="26"/>
  <c r="S773" i="26"/>
  <c r="S774" i="26"/>
  <c r="S775" i="26"/>
  <c r="S776" i="26"/>
  <c r="S777" i="26"/>
  <c r="S778" i="26"/>
  <c r="S779" i="26"/>
  <c r="S780" i="26"/>
  <c r="S781" i="26"/>
  <c r="S782" i="26"/>
  <c r="S783" i="26"/>
  <c r="S784" i="26"/>
  <c r="S785" i="26"/>
  <c r="S786" i="26"/>
  <c r="S787" i="26"/>
  <c r="S788" i="26"/>
  <c r="S789" i="26"/>
  <c r="S790" i="26"/>
  <c r="S791" i="26"/>
  <c r="S792" i="26"/>
  <c r="S793" i="26"/>
  <c r="S794" i="26"/>
  <c r="S795" i="26"/>
  <c r="S796" i="26"/>
  <c r="S797" i="26"/>
  <c r="S798" i="26"/>
  <c r="S799" i="26"/>
  <c r="S800" i="26"/>
  <c r="S801" i="26"/>
  <c r="S802" i="26"/>
  <c r="S803" i="26"/>
  <c r="S804" i="26"/>
  <c r="S805" i="26"/>
  <c r="S806" i="26"/>
  <c r="S807" i="26"/>
  <c r="S808" i="26"/>
  <c r="S809" i="26"/>
  <c r="S810" i="26"/>
  <c r="S811" i="26"/>
  <c r="S812" i="26"/>
  <c r="S813" i="26"/>
  <c r="S814" i="26"/>
  <c r="S815" i="26"/>
  <c r="S816" i="26"/>
  <c r="S817" i="26"/>
  <c r="S818" i="26"/>
  <c r="S819" i="26"/>
  <c r="S820" i="26"/>
  <c r="S821" i="26"/>
  <c r="S822" i="26"/>
  <c r="S823" i="26"/>
  <c r="S824" i="26"/>
  <c r="S825" i="26"/>
  <c r="S826" i="26"/>
  <c r="S827" i="26"/>
  <c r="S828" i="26"/>
  <c r="S829" i="26"/>
  <c r="S830" i="26"/>
  <c r="S831" i="26"/>
  <c r="S832" i="26"/>
  <c r="S833" i="26"/>
  <c r="S834" i="26"/>
  <c r="S835" i="26"/>
  <c r="S836" i="26"/>
  <c r="S837" i="26"/>
  <c r="S838" i="26"/>
  <c r="S839" i="26"/>
  <c r="S840" i="26"/>
  <c r="S841" i="26"/>
  <c r="S842" i="26"/>
  <c r="S843" i="26"/>
  <c r="S844" i="26"/>
  <c r="S845" i="26"/>
  <c r="S846" i="26"/>
  <c r="S847" i="26"/>
  <c r="S848" i="26"/>
  <c r="S849" i="26"/>
  <c r="S850" i="26"/>
  <c r="S851" i="26"/>
  <c r="S852" i="26"/>
  <c r="S853" i="26"/>
  <c r="S854" i="26"/>
  <c r="S855" i="26"/>
  <c r="S856" i="26"/>
  <c r="S857" i="26"/>
  <c r="S858" i="26"/>
  <c r="S859" i="26"/>
  <c r="S860" i="26"/>
  <c r="S861" i="26"/>
  <c r="S862" i="26"/>
  <c r="S863" i="26"/>
  <c r="S864" i="26"/>
  <c r="S865" i="26"/>
  <c r="S866" i="26"/>
  <c r="S867" i="26"/>
  <c r="S868" i="26"/>
  <c r="S869" i="26"/>
  <c r="S870" i="26"/>
  <c r="S871" i="26"/>
  <c r="S872" i="26"/>
  <c r="S873" i="26"/>
  <c r="S874" i="26"/>
  <c r="S875" i="26"/>
  <c r="S876" i="26"/>
  <c r="S877" i="26"/>
  <c r="S878" i="26"/>
  <c r="S879" i="26"/>
  <c r="S880" i="26"/>
  <c r="S881" i="26"/>
  <c r="S882" i="26"/>
  <c r="S883" i="26"/>
  <c r="S884" i="26"/>
  <c r="S885" i="26"/>
  <c r="S886" i="26"/>
  <c r="S887" i="26"/>
  <c r="S888" i="26"/>
  <c r="S889" i="26"/>
  <c r="S890" i="26"/>
  <c r="S891" i="26"/>
  <c r="S892" i="26"/>
  <c r="S893" i="26"/>
  <c r="S894" i="26"/>
  <c r="S895" i="26"/>
  <c r="S896" i="26"/>
  <c r="S897" i="26"/>
  <c r="S898" i="26"/>
  <c r="S899" i="26"/>
  <c r="S900" i="26"/>
  <c r="S901" i="26"/>
  <c r="S902" i="26"/>
  <c r="S903" i="26"/>
  <c r="S904" i="26"/>
  <c r="S905" i="26"/>
  <c r="S906" i="26"/>
  <c r="S907" i="26"/>
  <c r="S908" i="26"/>
  <c r="S909" i="26"/>
  <c r="S910" i="26"/>
  <c r="S911" i="26"/>
  <c r="S912" i="26"/>
  <c r="S913" i="26"/>
  <c r="S914" i="26"/>
  <c r="S915" i="26"/>
  <c r="S916" i="26"/>
  <c r="S917" i="26"/>
  <c r="S918" i="26"/>
  <c r="S919" i="26"/>
  <c r="S920" i="26"/>
  <c r="S921" i="26"/>
  <c r="S922" i="26"/>
  <c r="S923" i="26"/>
  <c r="S924" i="26"/>
  <c r="S925" i="26"/>
  <c r="S926" i="26"/>
  <c r="S927" i="26"/>
  <c r="S928" i="26"/>
  <c r="S929" i="26"/>
  <c r="S930" i="26"/>
  <c r="S931" i="26"/>
  <c r="S932" i="26"/>
  <c r="S933" i="26"/>
  <c r="S934" i="26"/>
  <c r="S935" i="26"/>
  <c r="S936" i="26"/>
  <c r="S937" i="26"/>
  <c r="S938" i="26"/>
  <c r="S939" i="26"/>
  <c r="S940" i="26"/>
  <c r="S941" i="26"/>
  <c r="S942" i="26"/>
  <c r="S943" i="26"/>
  <c r="S944" i="26"/>
  <c r="S945" i="26"/>
  <c r="S946" i="26"/>
  <c r="S947" i="26"/>
  <c r="S948" i="26"/>
  <c r="S949" i="26"/>
  <c r="S950" i="26"/>
  <c r="S951" i="26"/>
  <c r="S952" i="26"/>
  <c r="S953" i="26"/>
  <c r="S954" i="26"/>
  <c r="S955" i="26"/>
  <c r="S956" i="26"/>
  <c r="S957" i="26"/>
  <c r="S958" i="26"/>
  <c r="S959" i="26"/>
  <c r="S960" i="26"/>
  <c r="S961" i="26"/>
  <c r="S962" i="26"/>
  <c r="S963" i="26"/>
  <c r="S964" i="26"/>
  <c r="S965" i="26"/>
  <c r="S966" i="26"/>
  <c r="S967" i="26"/>
  <c r="S968" i="26"/>
  <c r="S969" i="26"/>
  <c r="S970" i="26"/>
  <c r="S971" i="26"/>
  <c r="S972" i="26"/>
  <c r="S973" i="26"/>
  <c r="S974" i="26"/>
  <c r="S975" i="26"/>
  <c r="S976" i="26"/>
  <c r="S977" i="26"/>
  <c r="S978" i="26"/>
  <c r="S979" i="26"/>
  <c r="S980" i="26"/>
  <c r="S981" i="26"/>
  <c r="S982" i="26"/>
  <c r="S983" i="26"/>
  <c r="S984" i="26"/>
  <c r="S985" i="26"/>
  <c r="S986" i="26"/>
  <c r="S987" i="26"/>
  <c r="S988" i="26"/>
  <c r="S989" i="26"/>
  <c r="S990" i="26"/>
  <c r="S991" i="26"/>
  <c r="S992" i="26"/>
  <c r="S993" i="26"/>
  <c r="S994" i="26"/>
  <c r="S995" i="26"/>
  <c r="S996" i="26"/>
  <c r="S997" i="26"/>
  <c r="S998" i="26"/>
  <c r="S999" i="26"/>
  <c r="S1000" i="26"/>
  <c r="S1001" i="26"/>
  <c r="S1002" i="26"/>
  <c r="S1003" i="26"/>
  <c r="S1004" i="26"/>
  <c r="S1005" i="26"/>
  <c r="S1006" i="26"/>
  <c r="S1007" i="26"/>
  <c r="S1008" i="26"/>
  <c r="S1009" i="26"/>
  <c r="S1010" i="26"/>
  <c r="S1011" i="26"/>
  <c r="S1012" i="26"/>
  <c r="S1013" i="26"/>
  <c r="S1014" i="26"/>
  <c r="S1015" i="26"/>
  <c r="S1016" i="26"/>
  <c r="S1017" i="26"/>
  <c r="S1018" i="26"/>
  <c r="S1019" i="26"/>
  <c r="S1020" i="26"/>
  <c r="S1021" i="26"/>
  <c r="S1022" i="26"/>
  <c r="S1023" i="26"/>
  <c r="S1024" i="26"/>
  <c r="S1025" i="26"/>
  <c r="S1026" i="26"/>
  <c r="S1027" i="26"/>
  <c r="S1028" i="26"/>
  <c r="S1029" i="26"/>
  <c r="S1030" i="26"/>
  <c r="S1031" i="26"/>
  <c r="S1032" i="26"/>
  <c r="S1033" i="26"/>
  <c r="S1034" i="26"/>
  <c r="S1035" i="26"/>
  <c r="S1036" i="26"/>
  <c r="S1037" i="26"/>
  <c r="S1038" i="26"/>
  <c r="S1039" i="26"/>
  <c r="S1040" i="26"/>
  <c r="S1041" i="26"/>
  <c r="S1042" i="26"/>
  <c r="S1043" i="26"/>
  <c r="S1044" i="26"/>
  <c r="S1045" i="26"/>
  <c r="S1046" i="26"/>
  <c r="S1047" i="26"/>
  <c r="S1048" i="26"/>
  <c r="S1049" i="26"/>
  <c r="S1050" i="26"/>
  <c r="S1051" i="26"/>
  <c r="S1052" i="26"/>
  <c r="S1053" i="26"/>
  <c r="S1054" i="26"/>
  <c r="S1055" i="26"/>
  <c r="S1056" i="26"/>
  <c r="S1057" i="26"/>
  <c r="S1058" i="26"/>
  <c r="S1059" i="26"/>
  <c r="S1060" i="26"/>
  <c r="S1061" i="26"/>
  <c r="S1062" i="26"/>
  <c r="S1063" i="26"/>
  <c r="S1064" i="26"/>
  <c r="S1065" i="26"/>
  <c r="S1066" i="26"/>
  <c r="S1067" i="26"/>
  <c r="S1068" i="26"/>
  <c r="S1069" i="26"/>
  <c r="S1070" i="26"/>
  <c r="S1071" i="26"/>
  <c r="S1072" i="26"/>
  <c r="S1073" i="26"/>
  <c r="S1074" i="26"/>
  <c r="S1075" i="26"/>
  <c r="S1076" i="26"/>
  <c r="S1077" i="26"/>
  <c r="S1078" i="26"/>
  <c r="S1079" i="26"/>
  <c r="S1080" i="26"/>
  <c r="S1081" i="26"/>
  <c r="S1082" i="26"/>
  <c r="S1083" i="26"/>
  <c r="S1084" i="26"/>
  <c r="S1085" i="26"/>
  <c r="S1086" i="26"/>
  <c r="S1087" i="26"/>
  <c r="S1088" i="26"/>
  <c r="S1089" i="26"/>
  <c r="S1090" i="26"/>
  <c r="S1091" i="26"/>
  <c r="S1092" i="26"/>
  <c r="S1093" i="26"/>
  <c r="S1094" i="26"/>
  <c r="S1095" i="26"/>
  <c r="S1096" i="26"/>
  <c r="S1097" i="26"/>
  <c r="S1098" i="26"/>
  <c r="S1099" i="26"/>
  <c r="S1100" i="26"/>
  <c r="S1101" i="26"/>
  <c r="S1102" i="26"/>
  <c r="S1103" i="26"/>
  <c r="S1104" i="26"/>
  <c r="S1105" i="26"/>
  <c r="S1106" i="26"/>
  <c r="S1107" i="26"/>
  <c r="S1108" i="26"/>
  <c r="S1109" i="26"/>
  <c r="S1110" i="26"/>
  <c r="S1111" i="26"/>
  <c r="S1112" i="26"/>
  <c r="S1113" i="26"/>
  <c r="S1114" i="26"/>
  <c r="S1115" i="26"/>
  <c r="S1116" i="26"/>
  <c r="S1117" i="26"/>
  <c r="S1118" i="26"/>
  <c r="S1119" i="26"/>
  <c r="S1120" i="26"/>
  <c r="S1121" i="26"/>
  <c r="S1122" i="26"/>
  <c r="S1123" i="26"/>
  <c r="S1124" i="26"/>
  <c r="S1125" i="26"/>
  <c r="S1126" i="26"/>
  <c r="S1127" i="26"/>
  <c r="S1128" i="26"/>
  <c r="S1129" i="26"/>
  <c r="S1130" i="26"/>
  <c r="S1131" i="26"/>
  <c r="S1132" i="26"/>
  <c r="S1133" i="26"/>
  <c r="S1134" i="26"/>
  <c r="S1135" i="26"/>
  <c r="S1136" i="26"/>
  <c r="S1137" i="26"/>
  <c r="S1138" i="26"/>
  <c r="S1139" i="26"/>
  <c r="S1140" i="26"/>
  <c r="S1141" i="26"/>
  <c r="S1142" i="26"/>
  <c r="S1143" i="26"/>
  <c r="S1144" i="26"/>
  <c r="S1145" i="26"/>
  <c r="S1146" i="26"/>
  <c r="S1147" i="26"/>
  <c r="S1148" i="26"/>
  <c r="S1149" i="26"/>
  <c r="S1150" i="26"/>
  <c r="S1151" i="26"/>
  <c r="S1152" i="26"/>
  <c r="S1153" i="26"/>
  <c r="S1154" i="26"/>
  <c r="S1155" i="26"/>
  <c r="S1156" i="26"/>
  <c r="S1157" i="26"/>
  <c r="S1158" i="26"/>
  <c r="S1159" i="26"/>
  <c r="S1160" i="26"/>
  <c r="S1161" i="26"/>
  <c r="S1162" i="26"/>
  <c r="S1163" i="26"/>
  <c r="S1164" i="26"/>
  <c r="S1165" i="26"/>
  <c r="S1166" i="26"/>
  <c r="S1167" i="26"/>
  <c r="S1168" i="26"/>
  <c r="S1169" i="26"/>
  <c r="S1170" i="26"/>
  <c r="S1171" i="26"/>
  <c r="S1172" i="26"/>
  <c r="S1173" i="26"/>
  <c r="S1174" i="26"/>
  <c r="S1175" i="26"/>
  <c r="S1176" i="26"/>
  <c r="S1177" i="26"/>
  <c r="S1178" i="26"/>
  <c r="S1179" i="26"/>
  <c r="S1180" i="26"/>
  <c r="S1181" i="26"/>
  <c r="S1182" i="26"/>
  <c r="S1183" i="26"/>
  <c r="S1184" i="26"/>
  <c r="S1185" i="26"/>
  <c r="S1186" i="26"/>
  <c r="S1187" i="26"/>
  <c r="S1188" i="26"/>
  <c r="S1189" i="26"/>
  <c r="S1190" i="26"/>
  <c r="S1191" i="26"/>
  <c r="S1192" i="26"/>
  <c r="S1193" i="26"/>
  <c r="S1194" i="26"/>
  <c r="S1195" i="26"/>
  <c r="S1196" i="26"/>
  <c r="S1197" i="26"/>
  <c r="S1198" i="26"/>
  <c r="S1199" i="26"/>
  <c r="S1200" i="26"/>
  <c r="S1201" i="26"/>
  <c r="S1302" i="26"/>
  <c r="S1303" i="26"/>
  <c r="S1304" i="26"/>
  <c r="S1305" i="26"/>
  <c r="S1306" i="26"/>
  <c r="S1307" i="26"/>
  <c r="S1308" i="26"/>
  <c r="S1309" i="26"/>
  <c r="S1310" i="26"/>
  <c r="S1311" i="26"/>
  <c r="S1312" i="26"/>
  <c r="S1313" i="26"/>
  <c r="S1314" i="26"/>
  <c r="S1315" i="26"/>
  <c r="S1316" i="26"/>
  <c r="S1317" i="26"/>
  <c r="S1318" i="26"/>
  <c r="S1319" i="26"/>
  <c r="S1320" i="26"/>
  <c r="S1321" i="26"/>
  <c r="S1322" i="26"/>
  <c r="S1323" i="26"/>
  <c r="S1324" i="26"/>
  <c r="S1325" i="26"/>
  <c r="S1326" i="26"/>
  <c r="S1327" i="26"/>
  <c r="S1328" i="26"/>
  <c r="S1329" i="26"/>
  <c r="S1330" i="26"/>
  <c r="S1331" i="26"/>
  <c r="S1332" i="26"/>
  <c r="S1333" i="26"/>
  <c r="S1334" i="26"/>
  <c r="S1335" i="26"/>
  <c r="S1336" i="26"/>
  <c r="S1337" i="26"/>
  <c r="S1338" i="26"/>
  <c r="S1339" i="26"/>
  <c r="S1340" i="26"/>
  <c r="S1341" i="26"/>
  <c r="S1342" i="26"/>
  <c r="S1343" i="26"/>
  <c r="S1344" i="26"/>
  <c r="S1345" i="26"/>
  <c r="S1346" i="26"/>
  <c r="S1347" i="26"/>
  <c r="S1348" i="26"/>
  <c r="S1349" i="26"/>
  <c r="S1350" i="26"/>
  <c r="S1351" i="26"/>
  <c r="S1352" i="26"/>
  <c r="S1353" i="26"/>
  <c r="S1354" i="26"/>
  <c r="S1355" i="26"/>
  <c r="S1356" i="26"/>
  <c r="S1357" i="26"/>
  <c r="S1358" i="26"/>
  <c r="S1359" i="26"/>
  <c r="S1360" i="26"/>
  <c r="S1361" i="26"/>
  <c r="S1362" i="26"/>
  <c r="S1363" i="26"/>
  <c r="S1364" i="26"/>
  <c r="S1365" i="26"/>
  <c r="S1366" i="26"/>
  <c r="S1367" i="26"/>
  <c r="S1368" i="26"/>
  <c r="S1369" i="26"/>
  <c r="S1370" i="26"/>
  <c r="S1371" i="26"/>
  <c r="S1372" i="26"/>
  <c r="S1373" i="26"/>
  <c r="S1374" i="26"/>
  <c r="S1375" i="26"/>
  <c r="S1376" i="26"/>
  <c r="S1377" i="26"/>
  <c r="S1378" i="26"/>
  <c r="S1379" i="26"/>
  <c r="S1380" i="26"/>
  <c r="S1381" i="26"/>
  <c r="S1382" i="26"/>
  <c r="S1383" i="26"/>
  <c r="S1384" i="26"/>
  <c r="S1385" i="26"/>
  <c r="S1386" i="26"/>
  <c r="S1387" i="26"/>
  <c r="S1388" i="26"/>
  <c r="S1389" i="26"/>
  <c r="S1390" i="26"/>
  <c r="S1391" i="26"/>
  <c r="S1392" i="26"/>
  <c r="S1393" i="26"/>
  <c r="S1394" i="26"/>
  <c r="S1395" i="26"/>
  <c r="S1396" i="26"/>
  <c r="S1397" i="26"/>
  <c r="S1398" i="26"/>
  <c r="S1399" i="26"/>
  <c r="S1400" i="26"/>
  <c r="S1401" i="26"/>
  <c r="S1402" i="26"/>
  <c r="S1403" i="26"/>
  <c r="S1404" i="26"/>
  <c r="S1405" i="26"/>
  <c r="S1406" i="26"/>
  <c r="S1407" i="26"/>
  <c r="S1408" i="26"/>
  <c r="S1409" i="26"/>
  <c r="S1410" i="26"/>
  <c r="S1411" i="26"/>
  <c r="S1412" i="26"/>
  <c r="S1413" i="26"/>
  <c r="S1414" i="26"/>
  <c r="S1415" i="26"/>
  <c r="S1416" i="26"/>
  <c r="S1417" i="26"/>
  <c r="S1418" i="26"/>
  <c r="S1419" i="26"/>
  <c r="S1420" i="26"/>
  <c r="S1421" i="26"/>
  <c r="S1422" i="26"/>
  <c r="S1423" i="26"/>
  <c r="S1424" i="26"/>
  <c r="S1425" i="26"/>
  <c r="S1426" i="26"/>
  <c r="S1427" i="26"/>
  <c r="S1428" i="26"/>
  <c r="S1429" i="26"/>
  <c r="S1430" i="26"/>
  <c r="S1431" i="26"/>
  <c r="S1432" i="26"/>
  <c r="S1433" i="26"/>
  <c r="S1434" i="26"/>
  <c r="S1435" i="26"/>
  <c r="S1436" i="26"/>
  <c r="S1437" i="26"/>
  <c r="S1438" i="26"/>
  <c r="S1439" i="26"/>
  <c r="S1440" i="26"/>
  <c r="S1441" i="26"/>
  <c r="S1442" i="26"/>
  <c r="S1443" i="26"/>
  <c r="S1444" i="26"/>
  <c r="S1445" i="26"/>
  <c r="S1446" i="26"/>
  <c r="S1447" i="26"/>
  <c r="S1448" i="26"/>
  <c r="S1449" i="26"/>
  <c r="S1450" i="26"/>
  <c r="S1451" i="26"/>
  <c r="S1452" i="26"/>
  <c r="S1453" i="26"/>
  <c r="S1454" i="26"/>
  <c r="S1455" i="26"/>
  <c r="S1456" i="26"/>
  <c r="S1457" i="26"/>
  <c r="S1458" i="26"/>
  <c r="S1459" i="26"/>
  <c r="S1460" i="26"/>
  <c r="S1461" i="26"/>
  <c r="S1462" i="26"/>
  <c r="S1463" i="26"/>
  <c r="S1464" i="26"/>
  <c r="S1465" i="26"/>
  <c r="S1466" i="26"/>
  <c r="S1467" i="26"/>
  <c r="S1468" i="26"/>
  <c r="S1469" i="26"/>
  <c r="S1470" i="26"/>
  <c r="S1471" i="26"/>
  <c r="S1472" i="26"/>
  <c r="S1473" i="26"/>
  <c r="S1474" i="26"/>
  <c r="S1475" i="26"/>
  <c r="S1476" i="26"/>
  <c r="S1477" i="26"/>
  <c r="S1478" i="26"/>
  <c r="S1479" i="26"/>
  <c r="S1480" i="26"/>
  <c r="S1481" i="26"/>
  <c r="S1482" i="26"/>
  <c r="S1483" i="26"/>
  <c r="S1484" i="26"/>
  <c r="S1485" i="26"/>
  <c r="S1486" i="26"/>
  <c r="S1487" i="26"/>
  <c r="S1488" i="26"/>
  <c r="S1489" i="26"/>
  <c r="S1490" i="26"/>
  <c r="S1491" i="26"/>
  <c r="S1492" i="26"/>
  <c r="S1493" i="26"/>
  <c r="S1494" i="26"/>
  <c r="S1495" i="26"/>
  <c r="S1496" i="26"/>
  <c r="S1497" i="26"/>
  <c r="S1498" i="26"/>
  <c r="S1499" i="26"/>
  <c r="S1500" i="26"/>
  <c r="S1501" i="26"/>
  <c r="S1502" i="26"/>
  <c r="S1503" i="26"/>
  <c r="S1504" i="26"/>
  <c r="S1505" i="26"/>
  <c r="S1506" i="26"/>
  <c r="S1507" i="26"/>
  <c r="S1508" i="26"/>
  <c r="S1509" i="26"/>
  <c r="S1510" i="26"/>
  <c r="S1511" i="26"/>
  <c r="S1512" i="26"/>
  <c r="S1513" i="26"/>
  <c r="S1514" i="26"/>
  <c r="S1515" i="26"/>
  <c r="S1516" i="26"/>
  <c r="S1517" i="26"/>
  <c r="S1518" i="26"/>
  <c r="S1519" i="26"/>
  <c r="S1520" i="26"/>
  <c r="S1521" i="26"/>
  <c r="S1522" i="26"/>
  <c r="S1523" i="26"/>
  <c r="S1524" i="26"/>
  <c r="S1525" i="26"/>
  <c r="S1526" i="26"/>
  <c r="S1527" i="26"/>
  <c r="S1528" i="26"/>
  <c r="S1529" i="26"/>
  <c r="S1530" i="26"/>
  <c r="S1531" i="26"/>
  <c r="S1532" i="26"/>
  <c r="S1533" i="26"/>
  <c r="S1534" i="26"/>
  <c r="S1535" i="26"/>
  <c r="S1536" i="26"/>
  <c r="S1537" i="26"/>
  <c r="S1538" i="26"/>
  <c r="S1539" i="26"/>
  <c r="S1540" i="26"/>
  <c r="S1541" i="26"/>
  <c r="S1542" i="26"/>
  <c r="S1543" i="26"/>
  <c r="S1544" i="26"/>
  <c r="S1545" i="26"/>
  <c r="S1546" i="26"/>
  <c r="S1547" i="26"/>
  <c r="S1548" i="26"/>
  <c r="S1549" i="26"/>
  <c r="S1550" i="26"/>
  <c r="S1551" i="26"/>
  <c r="S1552" i="26"/>
  <c r="S1553" i="26"/>
  <c r="S1554" i="26"/>
  <c r="S1555" i="26"/>
  <c r="S1556" i="26"/>
  <c r="S1557" i="26"/>
  <c r="S1558" i="26"/>
  <c r="S1559" i="26"/>
  <c r="S1560" i="26"/>
  <c r="S1561" i="26"/>
  <c r="S1562" i="26"/>
  <c r="S1563" i="26"/>
  <c r="S1564" i="26"/>
  <c r="S1565" i="26"/>
  <c r="S1566" i="26"/>
  <c r="S1567" i="26"/>
  <c r="S1568" i="26"/>
  <c r="S1569" i="26"/>
  <c r="S1570" i="26"/>
  <c r="S1571" i="26"/>
  <c r="S1572" i="26"/>
  <c r="S1573" i="26"/>
  <c r="S1574" i="26"/>
  <c r="S1575" i="26"/>
  <c r="S1576" i="26"/>
  <c r="S1577" i="26"/>
  <c r="S1578" i="26"/>
  <c r="S1579" i="26"/>
  <c r="S1580" i="26"/>
  <c r="S1581" i="26"/>
  <c r="S1582" i="26"/>
  <c r="S1583" i="26"/>
  <c r="S1584" i="26"/>
  <c r="S1585" i="26"/>
  <c r="S1586" i="26"/>
  <c r="S1587" i="26"/>
  <c r="S1588" i="26"/>
  <c r="S1589" i="26"/>
  <c r="S1590" i="26"/>
  <c r="S1591" i="26"/>
  <c r="S1592" i="26"/>
  <c r="S1593" i="26"/>
  <c r="S1594" i="26"/>
  <c r="S1595" i="26"/>
  <c r="S1596" i="26"/>
  <c r="S1597" i="26"/>
  <c r="S1598" i="26"/>
  <c r="S1599" i="26"/>
  <c r="S1600" i="26"/>
  <c r="S1601" i="26"/>
  <c r="S1602" i="26"/>
  <c r="S1603" i="26"/>
  <c r="S1604" i="26"/>
  <c r="S1605" i="26"/>
  <c r="S1606" i="26"/>
  <c r="S1607" i="26"/>
  <c r="S1608" i="26"/>
  <c r="S1609" i="26"/>
  <c r="S1610" i="26"/>
  <c r="S1611" i="26"/>
  <c r="S1612" i="26"/>
  <c r="S1613" i="26"/>
  <c r="S1614" i="26"/>
  <c r="S1615" i="26"/>
  <c r="S1616" i="26"/>
  <c r="S1617" i="26"/>
  <c r="S1618" i="26"/>
  <c r="S1619" i="26"/>
  <c r="S1620" i="26"/>
  <c r="S1621" i="26"/>
  <c r="S1622" i="26"/>
  <c r="S1623" i="26"/>
  <c r="S1624" i="26"/>
  <c r="S1625" i="26"/>
  <c r="S1626" i="26"/>
  <c r="S1627" i="26"/>
  <c r="S1628" i="26"/>
  <c r="S1629" i="26"/>
  <c r="S1630" i="26"/>
  <c r="S1631" i="26"/>
  <c r="S1632" i="26"/>
  <c r="S1633" i="26"/>
  <c r="S1634" i="26"/>
  <c r="S1635" i="26"/>
  <c r="S1636" i="26"/>
  <c r="S1637" i="26"/>
  <c r="S1638" i="26"/>
  <c r="S1639" i="26"/>
  <c r="S1640" i="26"/>
  <c r="S1641" i="26"/>
  <c r="S1642" i="26"/>
  <c r="S1643" i="26"/>
  <c r="S1644" i="26"/>
  <c r="S1645" i="26"/>
  <c r="S1646" i="26"/>
  <c r="S1647" i="26"/>
  <c r="S1648" i="26"/>
  <c r="S1649" i="26"/>
  <c r="S1650" i="26"/>
  <c r="S1651" i="26"/>
  <c r="S1652" i="26"/>
  <c r="S1653" i="26"/>
  <c r="S1654" i="26"/>
  <c r="S1655" i="26"/>
  <c r="S1656" i="26"/>
  <c r="S1657" i="26"/>
  <c r="S1658" i="26"/>
  <c r="S1659" i="26"/>
  <c r="S1660" i="26"/>
  <c r="S1661" i="26"/>
  <c r="S1662" i="26"/>
  <c r="S1663" i="26"/>
  <c r="S1664" i="26"/>
  <c r="S1665" i="26"/>
  <c r="S1666" i="26"/>
  <c r="S1667" i="26"/>
  <c r="S1668" i="26"/>
  <c r="S1669" i="26"/>
  <c r="S1670" i="26"/>
  <c r="S1671" i="26"/>
  <c r="S1672" i="26"/>
  <c r="S1673" i="26"/>
  <c r="S1674" i="26"/>
  <c r="S1675" i="26"/>
  <c r="S1676" i="26"/>
  <c r="S1677" i="26"/>
  <c r="S1678" i="26"/>
  <c r="S1679" i="26"/>
  <c r="S1680" i="26"/>
  <c r="S1681" i="26"/>
  <c r="S1682" i="26"/>
  <c r="S1683" i="26"/>
  <c r="S1684" i="26"/>
  <c r="S1685" i="26"/>
  <c r="S1686" i="26"/>
  <c r="S1687" i="26"/>
  <c r="S1688" i="26"/>
  <c r="S1689" i="26"/>
  <c r="S1690" i="26"/>
  <c r="S1691" i="26"/>
  <c r="S1692" i="26"/>
  <c r="S1693" i="26"/>
  <c r="S1694" i="26"/>
  <c r="S1695" i="26"/>
  <c r="S1696" i="26"/>
  <c r="S1697" i="26"/>
  <c r="S1698" i="26"/>
  <c r="S1699" i="26"/>
  <c r="S1700" i="26"/>
  <c r="S1701" i="26"/>
  <c r="S1702" i="26"/>
  <c r="S1703" i="26"/>
  <c r="S1704" i="26"/>
  <c r="S1705" i="26"/>
  <c r="S1706" i="26"/>
  <c r="S1707" i="26"/>
  <c r="S1708" i="26"/>
  <c r="S1709" i="26"/>
  <c r="S1710" i="26"/>
  <c r="S1711" i="26"/>
  <c r="S1712" i="26"/>
  <c r="S1713" i="26"/>
  <c r="S1714" i="26"/>
  <c r="S1715" i="26"/>
  <c r="S1716" i="26"/>
  <c r="S1717" i="26"/>
  <c r="S1718" i="26"/>
  <c r="S1719" i="26"/>
  <c r="S1720" i="26"/>
  <c r="S1721" i="26"/>
  <c r="S1722" i="26"/>
  <c r="S1723" i="26"/>
  <c r="S1724" i="26"/>
  <c r="S1725" i="26"/>
  <c r="S1726" i="26"/>
  <c r="S1727" i="26"/>
  <c r="S1728" i="26"/>
  <c r="S1729" i="26"/>
  <c r="S1730" i="26"/>
  <c r="S1731" i="26"/>
  <c r="S1732" i="26"/>
  <c r="S1733" i="26"/>
  <c r="S1734" i="26"/>
  <c r="S1735" i="26"/>
  <c r="S1736" i="26"/>
  <c r="S1737" i="26"/>
  <c r="S1738" i="26"/>
  <c r="S1739" i="26"/>
  <c r="S1740" i="26"/>
  <c r="S1741" i="26"/>
  <c r="S1742" i="26"/>
  <c r="S1743" i="26"/>
  <c r="S1744" i="26"/>
  <c r="S1745" i="26"/>
  <c r="S1746" i="26"/>
  <c r="S1747" i="26"/>
  <c r="S1748" i="26"/>
  <c r="S1749" i="26"/>
  <c r="S1750" i="26"/>
  <c r="S1751" i="26"/>
  <c r="S1752" i="26"/>
  <c r="S1753" i="26"/>
  <c r="S1754" i="26"/>
  <c r="S1755" i="26"/>
  <c r="S1756" i="26"/>
  <c r="S1757" i="26"/>
  <c r="S1758" i="26"/>
  <c r="S1759" i="26"/>
  <c r="S1760" i="26"/>
  <c r="S1761" i="26"/>
  <c r="S1762" i="26"/>
  <c r="S1763" i="26"/>
  <c r="S1764" i="26"/>
  <c r="S1765" i="26"/>
  <c r="S1766" i="26"/>
  <c r="S1767" i="26"/>
  <c r="S1768" i="26"/>
  <c r="S1769" i="26"/>
  <c r="S1770" i="26"/>
  <c r="S1771" i="26"/>
  <c r="S1772" i="26"/>
  <c r="S1773" i="26"/>
  <c r="S1774" i="26"/>
  <c r="S1775" i="26"/>
  <c r="S1776" i="26"/>
  <c r="S1777" i="26"/>
  <c r="S1778" i="26"/>
  <c r="S1779" i="26"/>
  <c r="S1780" i="26"/>
  <c r="S1781" i="26"/>
  <c r="S1782" i="26"/>
  <c r="S1783" i="26"/>
  <c r="S1784" i="26"/>
  <c r="S1785" i="26"/>
  <c r="S1786" i="26"/>
  <c r="S1787" i="26"/>
  <c r="S1788" i="26"/>
  <c r="S1789" i="26"/>
  <c r="S1790" i="26"/>
  <c r="S1791" i="26"/>
  <c r="S1792" i="26"/>
  <c r="S1793" i="26"/>
  <c r="S1794" i="26"/>
  <c r="S1795" i="26"/>
  <c r="S1796" i="26"/>
  <c r="S1797" i="26"/>
  <c r="S1798" i="26"/>
  <c r="S1799" i="26"/>
  <c r="S1800" i="26"/>
  <c r="S1801" i="26"/>
  <c r="S1802" i="26"/>
  <c r="S1803" i="26"/>
  <c r="S1804" i="26"/>
  <c r="S1805" i="26"/>
  <c r="S1806" i="26"/>
  <c r="S1807" i="26"/>
  <c r="S1808" i="26"/>
  <c r="S1809" i="26"/>
  <c r="S1810" i="26"/>
  <c r="S1811" i="26"/>
  <c r="S1812" i="26"/>
  <c r="S1813" i="26"/>
  <c r="S1814" i="26"/>
  <c r="S1815" i="26"/>
  <c r="S1816" i="26"/>
  <c r="S1817" i="26"/>
  <c r="S1818" i="26"/>
  <c r="S1819" i="26"/>
  <c r="S1820" i="26"/>
  <c r="S1821" i="26"/>
  <c r="S1822" i="26"/>
  <c r="S1823" i="26"/>
  <c r="S1824" i="26"/>
  <c r="S1825" i="26"/>
  <c r="S1826" i="26"/>
  <c r="S1827" i="26"/>
  <c r="S1828" i="26"/>
  <c r="S1829" i="26"/>
  <c r="S1830" i="26"/>
  <c r="S1831" i="26"/>
  <c r="S1832" i="26"/>
  <c r="S1833" i="26"/>
  <c r="S1834" i="26"/>
  <c r="S1835" i="26"/>
  <c r="S1836" i="26"/>
  <c r="S1837" i="26"/>
  <c r="S1838" i="26"/>
  <c r="S1839" i="26"/>
  <c r="S1840" i="26"/>
  <c r="S1841" i="26"/>
  <c r="S1842" i="26"/>
  <c r="S1843" i="26"/>
  <c r="S1844" i="26"/>
  <c r="S1845" i="26"/>
  <c r="S1846" i="26"/>
  <c r="S1847" i="26"/>
  <c r="S1848" i="26"/>
  <c r="S1849" i="26"/>
  <c r="S1850" i="26"/>
  <c r="S1851" i="26"/>
  <c r="S1852" i="26"/>
  <c r="S1853" i="26"/>
  <c r="S1854" i="26"/>
  <c r="S1855" i="26"/>
  <c r="S1856" i="26"/>
  <c r="S1857" i="26"/>
  <c r="S1858" i="26"/>
  <c r="S1859" i="26"/>
  <c r="S1860" i="26"/>
  <c r="S1861" i="26"/>
  <c r="S1862" i="26"/>
  <c r="S1863" i="26"/>
  <c r="S1864" i="26"/>
  <c r="S1865" i="26"/>
  <c r="S1866" i="26"/>
  <c r="S1867" i="26"/>
  <c r="S1868" i="26"/>
  <c r="S1869" i="26"/>
  <c r="S1870" i="26"/>
  <c r="S1871" i="26"/>
  <c r="S1872" i="26"/>
  <c r="S1873" i="26"/>
  <c r="S1874" i="26"/>
  <c r="S1875" i="26"/>
  <c r="S1876" i="26"/>
  <c r="S1877" i="26"/>
  <c r="S1878" i="26"/>
  <c r="S1879" i="26"/>
  <c r="S1880" i="26"/>
  <c r="S1881" i="26"/>
  <c r="S1882" i="26"/>
  <c r="S1883" i="26"/>
  <c r="S1884" i="26"/>
  <c r="S1885" i="26"/>
  <c r="S1886" i="26"/>
  <c r="S1887" i="26"/>
  <c r="S1888" i="26"/>
  <c r="S1889" i="26"/>
  <c r="S1890" i="26"/>
  <c r="S1891" i="26"/>
  <c r="S1892" i="26"/>
  <c r="S1893" i="26"/>
  <c r="S1894" i="26"/>
  <c r="S1895" i="26"/>
  <c r="S1896" i="26"/>
  <c r="S1897" i="26"/>
  <c r="S1898" i="26"/>
  <c r="S1899" i="26"/>
  <c r="S1900" i="26"/>
  <c r="S1901" i="26"/>
  <c r="S1902" i="26"/>
  <c r="S1903" i="26"/>
  <c r="S1904" i="26"/>
  <c r="S1905" i="26"/>
  <c r="S1906" i="26"/>
  <c r="S1907" i="26"/>
  <c r="S1908" i="26"/>
  <c r="S1909" i="26"/>
  <c r="S1910" i="26"/>
  <c r="S1911" i="26"/>
  <c r="S1912" i="26"/>
  <c r="S1913" i="26"/>
  <c r="S1914" i="26"/>
  <c r="S1915" i="26"/>
  <c r="S1916" i="26"/>
  <c r="S1917" i="26"/>
  <c r="S1918" i="26"/>
  <c r="S1919" i="26"/>
  <c r="S1920" i="26"/>
  <c r="S1921" i="26"/>
  <c r="S1922" i="26"/>
  <c r="S1923" i="26"/>
  <c r="S1924" i="26"/>
  <c r="S1925" i="26"/>
  <c r="S1926" i="26"/>
  <c r="S1927" i="26"/>
  <c r="S1928" i="26"/>
  <c r="S1929" i="26"/>
  <c r="S1930" i="26"/>
  <c r="S1931" i="26"/>
  <c r="S1932" i="26"/>
  <c r="S1933" i="26"/>
  <c r="S1934" i="26"/>
  <c r="S1935" i="26"/>
  <c r="S1936" i="26"/>
  <c r="S1937" i="26"/>
  <c r="S1938" i="26"/>
  <c r="S1939" i="26"/>
  <c r="S1940" i="26"/>
  <c r="S1941" i="26"/>
  <c r="S1942" i="26"/>
  <c r="S1943" i="26"/>
  <c r="S1944" i="26"/>
  <c r="S1945" i="26"/>
  <c r="S1946" i="26"/>
  <c r="S1947" i="26"/>
  <c r="S1948" i="26"/>
  <c r="S1949" i="26"/>
  <c r="S1950" i="26"/>
  <c r="S1951" i="26"/>
  <c r="S1952" i="26"/>
  <c r="S1953" i="26"/>
  <c r="S1954" i="26"/>
  <c r="S1955" i="26"/>
  <c r="S1956" i="26"/>
  <c r="S1957" i="26"/>
  <c r="S1958" i="26"/>
  <c r="S1959" i="26"/>
  <c r="S1960" i="26"/>
  <c r="S1961" i="26"/>
  <c r="S1962" i="26"/>
  <c r="S1963" i="26"/>
  <c r="S1964" i="26"/>
  <c r="S1965" i="26"/>
  <c r="S1966" i="26"/>
  <c r="S1967" i="26"/>
  <c r="S1968" i="26"/>
  <c r="S1969" i="26"/>
  <c r="S1970" i="26"/>
  <c r="S1971" i="26"/>
  <c r="S1972" i="26"/>
  <c r="S1973" i="26"/>
  <c r="S1974" i="26"/>
  <c r="S1975" i="26"/>
  <c r="S1976" i="26"/>
  <c r="S1977" i="26"/>
  <c r="S1978" i="26"/>
  <c r="S1979" i="26"/>
  <c r="S1980" i="26"/>
  <c r="S1981" i="26"/>
  <c r="S1982" i="26"/>
  <c r="S1983" i="26"/>
  <c r="S1984" i="26"/>
  <c r="S1985" i="26"/>
  <c r="S1986" i="26"/>
  <c r="S1987" i="26"/>
  <c r="S1988" i="26"/>
  <c r="S1989" i="26"/>
  <c r="S1990" i="26"/>
  <c r="S1991" i="26"/>
  <c r="S1992" i="26"/>
  <c r="S1993" i="26"/>
  <c r="S1994" i="26"/>
  <c r="S1995" i="26"/>
  <c r="S1996" i="26"/>
  <c r="S1997" i="26"/>
  <c r="S1998" i="26"/>
  <c r="S1999" i="26"/>
  <c r="S2000" i="26"/>
  <c r="S2001" i="26"/>
  <c r="S2002" i="26"/>
  <c r="S2003" i="26"/>
  <c r="S2004" i="26"/>
  <c r="S2005" i="26"/>
  <c r="S2006" i="26"/>
  <c r="S2007" i="26"/>
  <c r="S2008" i="26"/>
  <c r="S2009" i="26"/>
  <c r="S2010" i="26"/>
  <c r="S2011" i="26"/>
  <c r="S2012" i="26"/>
  <c r="S2013" i="26"/>
  <c r="S2014" i="26"/>
  <c r="S2015" i="26"/>
  <c r="S2016" i="26"/>
  <c r="S2017" i="26"/>
  <c r="S2018" i="26"/>
  <c r="S2019" i="26"/>
  <c r="S2020" i="26"/>
  <c r="S2021" i="26"/>
  <c r="S2022" i="26"/>
  <c r="S2023" i="26"/>
  <c r="S2024" i="26"/>
  <c r="S2025" i="26"/>
  <c r="S2026" i="26"/>
  <c r="S2027" i="26"/>
  <c r="S2028" i="26"/>
  <c r="S2029" i="26"/>
  <c r="S2030" i="26"/>
  <c r="S2031" i="26"/>
  <c r="S2032" i="26"/>
  <c r="S2033" i="26"/>
  <c r="S2034" i="26"/>
  <c r="S2035" i="26"/>
  <c r="S2036" i="26"/>
  <c r="S2037" i="26"/>
  <c r="S2038" i="26"/>
  <c r="S2039" i="26"/>
  <c r="S2040" i="26"/>
  <c r="S2041" i="26"/>
  <c r="S2042" i="26"/>
  <c r="S2043" i="26"/>
  <c r="S2044" i="26"/>
  <c r="S2045" i="26"/>
  <c r="S2046" i="26"/>
  <c r="S2047" i="26"/>
  <c r="S2048" i="26"/>
  <c r="S2049" i="26"/>
  <c r="S2050" i="26"/>
  <c r="S2051" i="26"/>
  <c r="S2052" i="26"/>
  <c r="S2053" i="26"/>
  <c r="S2054" i="26"/>
  <c r="S2055" i="26"/>
  <c r="S2056" i="26"/>
  <c r="S2057" i="26"/>
  <c r="S2058" i="26"/>
  <c r="S2059" i="26"/>
  <c r="S2060" i="26"/>
  <c r="S2061" i="26"/>
  <c r="S2062" i="26"/>
  <c r="S2063" i="26"/>
  <c r="S2064" i="26"/>
  <c r="S2065" i="26"/>
  <c r="S2066" i="26"/>
  <c r="S2067" i="26"/>
  <c r="S2068" i="26"/>
  <c r="S2069" i="26"/>
  <c r="S2070" i="26"/>
  <c r="S2071" i="26"/>
  <c r="S2072" i="26"/>
  <c r="S2073" i="26"/>
  <c r="S2074" i="26"/>
  <c r="S2075" i="26"/>
  <c r="S2076" i="26"/>
  <c r="S2077" i="26"/>
  <c r="S2078" i="26"/>
  <c r="S2079" i="26"/>
  <c r="S2080" i="26"/>
  <c r="S2081" i="26"/>
  <c r="S2082" i="26"/>
  <c r="S2083" i="26"/>
  <c r="S2084" i="26"/>
  <c r="S2085" i="26"/>
  <c r="S2086" i="26"/>
  <c r="S2087" i="26"/>
  <c r="S2088" i="26"/>
  <c r="S2089" i="26"/>
  <c r="S2090" i="26"/>
  <c r="S2091" i="26"/>
  <c r="S2092" i="26"/>
  <c r="S2093" i="26"/>
  <c r="S2094" i="26"/>
  <c r="S2095" i="26"/>
  <c r="S2096" i="26"/>
  <c r="S2097" i="26"/>
  <c r="S2098" i="26"/>
  <c r="S2099" i="26"/>
  <c r="S2100" i="26"/>
  <c r="S2101" i="26"/>
  <c r="S2102" i="26"/>
  <c r="S2103" i="26"/>
  <c r="S2104" i="26"/>
  <c r="S2105" i="26"/>
  <c r="S2106" i="26"/>
  <c r="S2107" i="26"/>
  <c r="S2108" i="26"/>
  <c r="S2109" i="26"/>
  <c r="S2110" i="26"/>
  <c r="S2111" i="26"/>
  <c r="S2112" i="26"/>
  <c r="S2113" i="26"/>
  <c r="S2114" i="26"/>
  <c r="S2115" i="26"/>
  <c r="S2116" i="26"/>
  <c r="S2117" i="26"/>
  <c r="S2118" i="26"/>
  <c r="S2119" i="26"/>
  <c r="S2120" i="26"/>
  <c r="S2121" i="26"/>
  <c r="S2122" i="26"/>
  <c r="S2123" i="26"/>
  <c r="S2124" i="26"/>
  <c r="S2125" i="26"/>
  <c r="S2126" i="26"/>
  <c r="S2127" i="26"/>
  <c r="S2128" i="26"/>
  <c r="S2129" i="26"/>
  <c r="S2130" i="26"/>
  <c r="S2131" i="26"/>
  <c r="S2132" i="26"/>
  <c r="S2133" i="26"/>
  <c r="S2134" i="26"/>
  <c r="S2135" i="26"/>
  <c r="S2136" i="26"/>
  <c r="S2137" i="26"/>
  <c r="S2138" i="26"/>
  <c r="S2139" i="26"/>
  <c r="S2140" i="26"/>
  <c r="S2141" i="26"/>
  <c r="S2142" i="26"/>
  <c r="S2143" i="26"/>
  <c r="S2144" i="26"/>
  <c r="S2145" i="26"/>
  <c r="S2146" i="26"/>
  <c r="S2147" i="26"/>
  <c r="S2148" i="26"/>
  <c r="S2149" i="26"/>
  <c r="S2150" i="26"/>
  <c r="S2151" i="26"/>
  <c r="S2152" i="26"/>
  <c r="S2153" i="26"/>
  <c r="S2154" i="26"/>
  <c r="S2155" i="26"/>
  <c r="S2156" i="26"/>
  <c r="S2157" i="26"/>
  <c r="S2158" i="26"/>
  <c r="S2159" i="26"/>
  <c r="S2160" i="26"/>
  <c r="S2161" i="26"/>
  <c r="S2162" i="26"/>
  <c r="S2163" i="26"/>
  <c r="S2164" i="26"/>
  <c r="S2165" i="26"/>
  <c r="S2166" i="26"/>
  <c r="S2167" i="26"/>
  <c r="S2168" i="26"/>
  <c r="S2169" i="26"/>
  <c r="S2170" i="26"/>
  <c r="S2171" i="26"/>
  <c r="S2172" i="26"/>
  <c r="S2173" i="26"/>
  <c r="S2174" i="26"/>
  <c r="S2175" i="26"/>
  <c r="S2176" i="26"/>
  <c r="S2177" i="26"/>
  <c r="S2178" i="26"/>
  <c r="S2179" i="26"/>
  <c r="S2180" i="26"/>
  <c r="S2181" i="26"/>
  <c r="S2182" i="26"/>
  <c r="S2183" i="26"/>
  <c r="S2184" i="26"/>
  <c r="S2185" i="26"/>
  <c r="S2186" i="26"/>
  <c r="S2187" i="26"/>
  <c r="S2188" i="26"/>
  <c r="S2189" i="26"/>
  <c r="S2190" i="26"/>
  <c r="S2191" i="26"/>
  <c r="S2192" i="26"/>
  <c r="S2193" i="26"/>
  <c r="S2194" i="26"/>
  <c r="S2195" i="26"/>
  <c r="S2196" i="26"/>
  <c r="S2197" i="26"/>
  <c r="S2198" i="26"/>
  <c r="S2199" i="26"/>
  <c r="S2200" i="26"/>
  <c r="S2201" i="26"/>
  <c r="S2202" i="26"/>
  <c r="S2203" i="26"/>
  <c r="S2204" i="26"/>
  <c r="S2205" i="26"/>
  <c r="S2206" i="26"/>
  <c r="S2207" i="26"/>
  <c r="S2208" i="26"/>
  <c r="S2209" i="26"/>
  <c r="S2210" i="26"/>
  <c r="S2211" i="26"/>
  <c r="S2212" i="26"/>
  <c r="S2213" i="26"/>
  <c r="S2214" i="26"/>
  <c r="S2215" i="26"/>
  <c r="S2216" i="26"/>
  <c r="S2217" i="26"/>
  <c r="S2218" i="26"/>
  <c r="S2219" i="26"/>
  <c r="S2220" i="26"/>
  <c r="S2221" i="26"/>
  <c r="S2222" i="26"/>
  <c r="S2223" i="26"/>
  <c r="S2224" i="26"/>
  <c r="S2225" i="26"/>
  <c r="S2226" i="26"/>
  <c r="S2227" i="26"/>
  <c r="S2228" i="26"/>
  <c r="S2229" i="26"/>
  <c r="S2230" i="26"/>
  <c r="S2231" i="26"/>
  <c r="S2232" i="26"/>
  <c r="S2233" i="26"/>
  <c r="S2234" i="26"/>
  <c r="S2235" i="26"/>
  <c r="S2236" i="26"/>
  <c r="S2237" i="26"/>
  <c r="S2238" i="26"/>
  <c r="S2239" i="26"/>
  <c r="S2240" i="26"/>
  <c r="S2241" i="26"/>
  <c r="S2242" i="26"/>
  <c r="S2243" i="26"/>
  <c r="S2244" i="26"/>
  <c r="S2245" i="26"/>
  <c r="S2246" i="26"/>
  <c r="S2247" i="26"/>
  <c r="S2248" i="26"/>
  <c r="S2249" i="26"/>
  <c r="S2250" i="26"/>
  <c r="S2251" i="26"/>
  <c r="S2252" i="26"/>
  <c r="S2253" i="26"/>
  <c r="S2254" i="26"/>
  <c r="S2255" i="26"/>
  <c r="S2256" i="26"/>
  <c r="S2257" i="26"/>
  <c r="S2258" i="26"/>
  <c r="S2259" i="26"/>
  <c r="S2260" i="26"/>
  <c r="S2261" i="26"/>
  <c r="S2262" i="26"/>
  <c r="S2263" i="26"/>
  <c r="S2264" i="26"/>
  <c r="S2265" i="26"/>
  <c r="S2266" i="26"/>
  <c r="S2267" i="26"/>
  <c r="S2268" i="26"/>
  <c r="S2269" i="26"/>
  <c r="S2270" i="26"/>
  <c r="S2271" i="26"/>
  <c r="S2272" i="26"/>
  <c r="S2273" i="26"/>
  <c r="S2274" i="26"/>
  <c r="S2275" i="26"/>
  <c r="S2276" i="26"/>
  <c r="S2277" i="26"/>
  <c r="S2278" i="26"/>
  <c r="S2279" i="26"/>
  <c r="S2280" i="26"/>
  <c r="S2281" i="26"/>
  <c r="S2282" i="26"/>
  <c r="S2283" i="26"/>
  <c r="S2284" i="26"/>
  <c r="S2285" i="26"/>
  <c r="S2286" i="26"/>
  <c r="S2287" i="26"/>
  <c r="S2288" i="26"/>
  <c r="S2289" i="26"/>
  <c r="S2290" i="26"/>
  <c r="S2291" i="26"/>
  <c r="S2292" i="26"/>
  <c r="S2293" i="26"/>
  <c r="S2294" i="26"/>
  <c r="S2295" i="26"/>
  <c r="S2296" i="26"/>
  <c r="S2297" i="26"/>
  <c r="S2298" i="26"/>
  <c r="S2299" i="26"/>
  <c r="S2300" i="26"/>
  <c r="S2301" i="26"/>
  <c r="S2302" i="26"/>
  <c r="S2303" i="26"/>
  <c r="S2304" i="26"/>
  <c r="S2305" i="26"/>
  <c r="S2306" i="26"/>
  <c r="S2307" i="26"/>
  <c r="S2308" i="26"/>
  <c r="S2309" i="26"/>
  <c r="S2310" i="26"/>
  <c r="S2311" i="26"/>
  <c r="S2312" i="26"/>
  <c r="S2313" i="26"/>
  <c r="S2314" i="26"/>
  <c r="S2315" i="26"/>
  <c r="S2316" i="26"/>
  <c r="S2317" i="26"/>
  <c r="S2318" i="26"/>
  <c r="S2319" i="26"/>
  <c r="S2320" i="26"/>
  <c r="S2321" i="26"/>
  <c r="S2322" i="26"/>
  <c r="S2323" i="26"/>
  <c r="S2324" i="26"/>
  <c r="S2325" i="26"/>
  <c r="S2326" i="26"/>
  <c r="S2327" i="26"/>
  <c r="S2328" i="26"/>
  <c r="S2329" i="26"/>
  <c r="S2330" i="26"/>
  <c r="S2331" i="26"/>
  <c r="S2332" i="26"/>
  <c r="S2333" i="26"/>
  <c r="S2334" i="26"/>
  <c r="S2335" i="26"/>
  <c r="S2336" i="26"/>
  <c r="S2337" i="26"/>
  <c r="S2338" i="26"/>
  <c r="S2339" i="26"/>
  <c r="S2340" i="26"/>
  <c r="S2341" i="26"/>
  <c r="S2342" i="26"/>
  <c r="S2343" i="26"/>
  <c r="S2344" i="26"/>
  <c r="S2345" i="26"/>
  <c r="S2346" i="26"/>
  <c r="S2347" i="26"/>
  <c r="S2348" i="26"/>
  <c r="S2349" i="26"/>
  <c r="S2350" i="26"/>
  <c r="S2351" i="26"/>
  <c r="S2352" i="26"/>
  <c r="S2353" i="26"/>
  <c r="S2354" i="26"/>
  <c r="S2355" i="26"/>
  <c r="S2356" i="26"/>
  <c r="S2357" i="26"/>
  <c r="S2358" i="26"/>
  <c r="S2359" i="26"/>
  <c r="S2360" i="26"/>
  <c r="S2361" i="26"/>
  <c r="S2362" i="26"/>
  <c r="S2363" i="26"/>
  <c r="S2364" i="26"/>
  <c r="S2365" i="26"/>
  <c r="S2366" i="26"/>
  <c r="S2367" i="26"/>
  <c r="S2368" i="26"/>
  <c r="S2369" i="26"/>
  <c r="S2370" i="26"/>
  <c r="S2371" i="26"/>
  <c r="S2372" i="26"/>
  <c r="S2373" i="26"/>
  <c r="S2374" i="26"/>
  <c r="S2375" i="26"/>
  <c r="S2376" i="26"/>
  <c r="S2377" i="26"/>
  <c r="S2378" i="26"/>
  <c r="S2379" i="26"/>
  <c r="S2380" i="26"/>
  <c r="S2381" i="26"/>
  <c r="S2382" i="26"/>
  <c r="S2383" i="26"/>
  <c r="S2384" i="26"/>
  <c r="S2385" i="26"/>
  <c r="S2386" i="26"/>
  <c r="S2387" i="26"/>
  <c r="S2388" i="26"/>
  <c r="S2389" i="26"/>
  <c r="S2390" i="26"/>
  <c r="S2391" i="26"/>
  <c r="S2392" i="26"/>
  <c r="S2393" i="26"/>
  <c r="S2394" i="26"/>
  <c r="S2395" i="26"/>
  <c r="S2396" i="26"/>
  <c r="S2397" i="26"/>
  <c r="S2398" i="26"/>
  <c r="S2399" i="26"/>
  <c r="S2400" i="26"/>
  <c r="S2401" i="26"/>
  <c r="O3" i="26"/>
  <c r="O4" i="26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O174" i="26"/>
  <c r="O175" i="26"/>
  <c r="O176" i="26"/>
  <c r="O177" i="26"/>
  <c r="O178" i="26"/>
  <c r="O179" i="26"/>
  <c r="O180" i="26"/>
  <c r="O181" i="26"/>
  <c r="O182" i="26"/>
  <c r="O183" i="26"/>
  <c r="O184" i="26"/>
  <c r="O185" i="26"/>
  <c r="O186" i="26"/>
  <c r="O187" i="26"/>
  <c r="O188" i="26"/>
  <c r="O189" i="26"/>
  <c r="O190" i="26"/>
  <c r="O191" i="26"/>
  <c r="O192" i="26"/>
  <c r="O193" i="26"/>
  <c r="O194" i="26"/>
  <c r="O195" i="26"/>
  <c r="O196" i="26"/>
  <c r="O197" i="26"/>
  <c r="O198" i="26"/>
  <c r="O199" i="26"/>
  <c r="O200" i="26"/>
  <c r="O201" i="26"/>
  <c r="O202" i="26"/>
  <c r="O203" i="26"/>
  <c r="O204" i="26"/>
  <c r="O205" i="26"/>
  <c r="O206" i="26"/>
  <c r="O207" i="26"/>
  <c r="O208" i="26"/>
  <c r="O209" i="26"/>
  <c r="O210" i="26"/>
  <c r="O211" i="26"/>
  <c r="O212" i="26"/>
  <c r="O213" i="26"/>
  <c r="O214" i="26"/>
  <c r="O215" i="26"/>
  <c r="O216" i="26"/>
  <c r="O217" i="26"/>
  <c r="O218" i="26"/>
  <c r="O219" i="26"/>
  <c r="O220" i="26"/>
  <c r="O221" i="26"/>
  <c r="O222" i="26"/>
  <c r="O223" i="26"/>
  <c r="O224" i="26"/>
  <c r="O225" i="26"/>
  <c r="O226" i="26"/>
  <c r="O227" i="26"/>
  <c r="O228" i="26"/>
  <c r="O229" i="26"/>
  <c r="O230" i="26"/>
  <c r="O231" i="26"/>
  <c r="O232" i="26"/>
  <c r="O233" i="26"/>
  <c r="O234" i="26"/>
  <c r="O235" i="26"/>
  <c r="O236" i="26"/>
  <c r="O237" i="26"/>
  <c r="O238" i="26"/>
  <c r="O239" i="26"/>
  <c r="O240" i="26"/>
  <c r="O241" i="26"/>
  <c r="O242" i="26"/>
  <c r="O243" i="26"/>
  <c r="O244" i="26"/>
  <c r="O245" i="26"/>
  <c r="O246" i="26"/>
  <c r="O247" i="26"/>
  <c r="O248" i="26"/>
  <c r="O249" i="26"/>
  <c r="O250" i="26"/>
  <c r="O251" i="26"/>
  <c r="O252" i="26"/>
  <c r="O253" i="26"/>
  <c r="O254" i="26"/>
  <c r="O255" i="26"/>
  <c r="O256" i="26"/>
  <c r="O257" i="26"/>
  <c r="O258" i="26"/>
  <c r="O259" i="26"/>
  <c r="O260" i="26"/>
  <c r="O261" i="26"/>
  <c r="O262" i="26"/>
  <c r="O263" i="26"/>
  <c r="O264" i="26"/>
  <c r="O265" i="26"/>
  <c r="O266" i="26"/>
  <c r="O267" i="26"/>
  <c r="O268" i="26"/>
  <c r="O269" i="26"/>
  <c r="O270" i="26"/>
  <c r="O271" i="26"/>
  <c r="O272" i="26"/>
  <c r="O273" i="26"/>
  <c r="O274" i="26"/>
  <c r="O275" i="26"/>
  <c r="O276" i="26"/>
  <c r="O277" i="26"/>
  <c r="O278" i="26"/>
  <c r="O279" i="26"/>
  <c r="O280" i="26"/>
  <c r="O281" i="26"/>
  <c r="O282" i="26"/>
  <c r="O283" i="26"/>
  <c r="O284" i="26"/>
  <c r="O285" i="26"/>
  <c r="O286" i="26"/>
  <c r="O287" i="26"/>
  <c r="O288" i="26"/>
  <c r="O289" i="26"/>
  <c r="O290" i="26"/>
  <c r="O291" i="26"/>
  <c r="O292" i="26"/>
  <c r="O293" i="26"/>
  <c r="O294" i="26"/>
  <c r="O295" i="26"/>
  <c r="O296" i="26"/>
  <c r="O297" i="26"/>
  <c r="O298" i="26"/>
  <c r="O299" i="26"/>
  <c r="O300" i="26"/>
  <c r="O301" i="26"/>
  <c r="O302" i="26"/>
  <c r="O303" i="26"/>
  <c r="O304" i="26"/>
  <c r="O305" i="26"/>
  <c r="O306" i="26"/>
  <c r="O307" i="26"/>
  <c r="O308" i="26"/>
  <c r="O309" i="26"/>
  <c r="O310" i="26"/>
  <c r="O311" i="26"/>
  <c r="O312" i="26"/>
  <c r="O313" i="26"/>
  <c r="O314" i="26"/>
  <c r="O315" i="26"/>
  <c r="O316" i="26"/>
  <c r="O317" i="26"/>
  <c r="O318" i="26"/>
  <c r="O319" i="26"/>
  <c r="O320" i="26"/>
  <c r="O321" i="26"/>
  <c r="O322" i="26"/>
  <c r="O323" i="26"/>
  <c r="O324" i="26"/>
  <c r="O325" i="26"/>
  <c r="O326" i="26"/>
  <c r="O327" i="26"/>
  <c r="O328" i="26"/>
  <c r="O329" i="26"/>
  <c r="O330" i="26"/>
  <c r="O331" i="26"/>
  <c r="O332" i="26"/>
  <c r="O333" i="26"/>
  <c r="O334" i="26"/>
  <c r="O335" i="26"/>
  <c r="O336" i="26"/>
  <c r="O337" i="26"/>
  <c r="O338" i="26"/>
  <c r="O339" i="26"/>
  <c r="O340" i="26"/>
  <c r="O341" i="26"/>
  <c r="O342" i="26"/>
  <c r="O343" i="26"/>
  <c r="O344" i="26"/>
  <c r="O345" i="26"/>
  <c r="O346" i="26"/>
  <c r="O347" i="26"/>
  <c r="O348" i="26"/>
  <c r="O349" i="26"/>
  <c r="O350" i="26"/>
  <c r="O351" i="26"/>
  <c r="O352" i="26"/>
  <c r="O353" i="26"/>
  <c r="O354" i="26"/>
  <c r="O355" i="26"/>
  <c r="O356" i="26"/>
  <c r="O357" i="26"/>
  <c r="O358" i="26"/>
  <c r="O359" i="26"/>
  <c r="O360" i="26"/>
  <c r="O361" i="26"/>
  <c r="O362" i="26"/>
  <c r="O363" i="26"/>
  <c r="O364" i="26"/>
  <c r="O365" i="26"/>
  <c r="O366" i="26"/>
  <c r="O367" i="26"/>
  <c r="O368" i="26"/>
  <c r="O369" i="26"/>
  <c r="O370" i="26"/>
  <c r="O371" i="26"/>
  <c r="O372" i="26"/>
  <c r="O373" i="26"/>
  <c r="O374" i="26"/>
  <c r="O375" i="26"/>
  <c r="O376" i="26"/>
  <c r="O377" i="26"/>
  <c r="O378" i="26"/>
  <c r="O379" i="26"/>
  <c r="O380" i="26"/>
  <c r="O381" i="26"/>
  <c r="O382" i="26"/>
  <c r="O383" i="26"/>
  <c r="O384" i="26"/>
  <c r="O385" i="26"/>
  <c r="O386" i="26"/>
  <c r="O387" i="26"/>
  <c r="O388" i="26"/>
  <c r="O389" i="26"/>
  <c r="O390" i="26"/>
  <c r="O391" i="26"/>
  <c r="O392" i="26"/>
  <c r="O393" i="26"/>
  <c r="O394" i="26"/>
  <c r="O395" i="26"/>
  <c r="O396" i="26"/>
  <c r="O397" i="26"/>
  <c r="O398" i="26"/>
  <c r="O399" i="26"/>
  <c r="O400" i="26"/>
  <c r="O401" i="26"/>
  <c r="O402" i="26"/>
  <c r="O403" i="26"/>
  <c r="O404" i="26"/>
  <c r="O405" i="26"/>
  <c r="O406" i="26"/>
  <c r="O407" i="26"/>
  <c r="O408" i="26"/>
  <c r="O409" i="26"/>
  <c r="O410" i="26"/>
  <c r="O411" i="26"/>
  <c r="O412" i="26"/>
  <c r="O413" i="26"/>
  <c r="O414" i="26"/>
  <c r="O415" i="26"/>
  <c r="O416" i="26"/>
  <c r="O417" i="26"/>
  <c r="O418" i="26"/>
  <c r="O419" i="26"/>
  <c r="O420" i="26"/>
  <c r="O421" i="26"/>
  <c r="O422" i="26"/>
  <c r="O423" i="26"/>
  <c r="O424" i="26"/>
  <c r="O425" i="26"/>
  <c r="O426" i="26"/>
  <c r="O427" i="26"/>
  <c r="O428" i="26"/>
  <c r="O429" i="26"/>
  <c r="O430" i="26"/>
  <c r="O431" i="26"/>
  <c r="O432" i="26"/>
  <c r="O433" i="26"/>
  <c r="O434" i="26"/>
  <c r="O435" i="26"/>
  <c r="O436" i="26"/>
  <c r="O437" i="26"/>
  <c r="O438" i="26"/>
  <c r="O439" i="26"/>
  <c r="O440" i="26"/>
  <c r="O441" i="26"/>
  <c r="O442" i="26"/>
  <c r="O443" i="26"/>
  <c r="O444" i="26"/>
  <c r="O445" i="26"/>
  <c r="O446" i="26"/>
  <c r="O447" i="26"/>
  <c r="O448" i="26"/>
  <c r="O449" i="26"/>
  <c r="O450" i="26"/>
  <c r="O451" i="26"/>
  <c r="O452" i="26"/>
  <c r="O453" i="26"/>
  <c r="O454" i="26"/>
  <c r="O455" i="26"/>
  <c r="O456" i="26"/>
  <c r="O457" i="26"/>
  <c r="O458" i="26"/>
  <c r="O459" i="26"/>
  <c r="O460" i="26"/>
  <c r="O461" i="26"/>
  <c r="O462" i="26"/>
  <c r="O463" i="26"/>
  <c r="O464" i="26"/>
  <c r="O465" i="26"/>
  <c r="O466" i="26"/>
  <c r="O467" i="26"/>
  <c r="O468" i="26"/>
  <c r="O469" i="26"/>
  <c r="O470" i="26"/>
  <c r="O471" i="26"/>
  <c r="O472" i="26"/>
  <c r="O473" i="26"/>
  <c r="O474" i="26"/>
  <c r="O475" i="26"/>
  <c r="O476" i="26"/>
  <c r="O477" i="26"/>
  <c r="O478" i="26"/>
  <c r="O479" i="26"/>
  <c r="O480" i="26"/>
  <c r="O481" i="26"/>
  <c r="O482" i="26"/>
  <c r="O483" i="26"/>
  <c r="O484" i="26"/>
  <c r="O485" i="26"/>
  <c r="O486" i="26"/>
  <c r="O487" i="26"/>
  <c r="O488" i="26"/>
  <c r="O489" i="26"/>
  <c r="O490" i="26"/>
  <c r="O491" i="26"/>
  <c r="O492" i="26"/>
  <c r="O493" i="26"/>
  <c r="O494" i="26"/>
  <c r="O495" i="26"/>
  <c r="O496" i="26"/>
  <c r="O497" i="26"/>
  <c r="O498" i="26"/>
  <c r="O499" i="26"/>
  <c r="O500" i="26"/>
  <c r="O501" i="26"/>
  <c r="O502" i="26"/>
  <c r="O503" i="26"/>
  <c r="O504" i="26"/>
  <c r="O505" i="26"/>
  <c r="O506" i="26"/>
  <c r="O507" i="26"/>
  <c r="O508" i="26"/>
  <c r="O509" i="26"/>
  <c r="O510" i="26"/>
  <c r="O511" i="26"/>
  <c r="O512" i="26"/>
  <c r="O513" i="26"/>
  <c r="O514" i="26"/>
  <c r="O515" i="26"/>
  <c r="O516" i="26"/>
  <c r="O517" i="26"/>
  <c r="O518" i="26"/>
  <c r="O519" i="26"/>
  <c r="O520" i="26"/>
  <c r="O521" i="26"/>
  <c r="O522" i="26"/>
  <c r="O523" i="26"/>
  <c r="O524" i="26"/>
  <c r="O525" i="26"/>
  <c r="O526" i="26"/>
  <c r="O527" i="26"/>
  <c r="O528" i="26"/>
  <c r="O529" i="26"/>
  <c r="O530" i="26"/>
  <c r="O531" i="26"/>
  <c r="O532" i="26"/>
  <c r="O533" i="26"/>
  <c r="O534" i="26"/>
  <c r="O535" i="26"/>
  <c r="O536" i="26"/>
  <c r="O537" i="26"/>
  <c r="O538" i="26"/>
  <c r="O539" i="26"/>
  <c r="O540" i="26"/>
  <c r="O541" i="26"/>
  <c r="O542" i="26"/>
  <c r="O543" i="26"/>
  <c r="O544" i="26"/>
  <c r="O545" i="26"/>
  <c r="O546" i="26"/>
  <c r="O547" i="26"/>
  <c r="O548" i="26"/>
  <c r="O549" i="26"/>
  <c r="O550" i="26"/>
  <c r="O551" i="26"/>
  <c r="O552" i="26"/>
  <c r="O553" i="26"/>
  <c r="O554" i="26"/>
  <c r="O555" i="26"/>
  <c r="O556" i="26"/>
  <c r="O557" i="26"/>
  <c r="O558" i="26"/>
  <c r="O559" i="26"/>
  <c r="O560" i="26"/>
  <c r="O561" i="26"/>
  <c r="O562" i="26"/>
  <c r="O563" i="26"/>
  <c r="O564" i="26"/>
  <c r="O565" i="26"/>
  <c r="O566" i="26"/>
  <c r="O567" i="26"/>
  <c r="O568" i="26"/>
  <c r="O569" i="26"/>
  <c r="O570" i="26"/>
  <c r="O571" i="26"/>
  <c r="O572" i="26"/>
  <c r="O573" i="26"/>
  <c r="O574" i="26"/>
  <c r="O575" i="26"/>
  <c r="O576" i="26"/>
  <c r="O577" i="26"/>
  <c r="O578" i="26"/>
  <c r="O579" i="26"/>
  <c r="O580" i="26"/>
  <c r="O581" i="26"/>
  <c r="O582" i="26"/>
  <c r="O583" i="26"/>
  <c r="O584" i="26"/>
  <c r="O585" i="26"/>
  <c r="O586" i="26"/>
  <c r="O587" i="26"/>
  <c r="O588" i="26"/>
  <c r="O589" i="26"/>
  <c r="O590" i="26"/>
  <c r="O591" i="26"/>
  <c r="O592" i="26"/>
  <c r="O593" i="26"/>
  <c r="O594" i="26"/>
  <c r="O595" i="26"/>
  <c r="O596" i="26"/>
  <c r="O597" i="26"/>
  <c r="O598" i="26"/>
  <c r="O599" i="26"/>
  <c r="O600" i="26"/>
  <c r="O601" i="26"/>
  <c r="O602" i="26"/>
  <c r="O603" i="26"/>
  <c r="O604" i="26"/>
  <c r="O605" i="26"/>
  <c r="O606" i="26"/>
  <c r="O607" i="26"/>
  <c r="O608" i="26"/>
  <c r="O609" i="26"/>
  <c r="O610" i="26"/>
  <c r="O611" i="26"/>
  <c r="O612" i="26"/>
  <c r="O613" i="26"/>
  <c r="O614" i="26"/>
  <c r="O615" i="26"/>
  <c r="O616" i="26"/>
  <c r="O617" i="26"/>
  <c r="O618" i="26"/>
  <c r="O619" i="26"/>
  <c r="O620" i="26"/>
  <c r="O621" i="26"/>
  <c r="O622" i="26"/>
  <c r="O623" i="26"/>
  <c r="O624" i="26"/>
  <c r="O625" i="26"/>
  <c r="O626" i="26"/>
  <c r="O627" i="26"/>
  <c r="O628" i="26"/>
  <c r="O629" i="26"/>
  <c r="O630" i="26"/>
  <c r="O631" i="26"/>
  <c r="O632" i="26"/>
  <c r="O633" i="26"/>
  <c r="O634" i="26"/>
  <c r="O635" i="26"/>
  <c r="O636" i="26"/>
  <c r="O637" i="26"/>
  <c r="O638" i="26"/>
  <c r="O639" i="26"/>
  <c r="O640" i="26"/>
  <c r="O641" i="26"/>
  <c r="O642" i="26"/>
  <c r="O643" i="26"/>
  <c r="O644" i="26"/>
  <c r="O645" i="26"/>
  <c r="O646" i="26"/>
  <c r="O647" i="26"/>
  <c r="O648" i="26"/>
  <c r="O649" i="26"/>
  <c r="O650" i="26"/>
  <c r="O651" i="26"/>
  <c r="O652" i="26"/>
  <c r="O653" i="26"/>
  <c r="O654" i="26"/>
  <c r="O655" i="26"/>
  <c r="O656" i="26"/>
  <c r="O657" i="26"/>
  <c r="O658" i="26"/>
  <c r="O659" i="26"/>
  <c r="O660" i="26"/>
  <c r="O661" i="26"/>
  <c r="O662" i="26"/>
  <c r="O663" i="26"/>
  <c r="O664" i="26"/>
  <c r="O665" i="26"/>
  <c r="O666" i="26"/>
  <c r="O667" i="26"/>
  <c r="O668" i="26"/>
  <c r="O669" i="26"/>
  <c r="O670" i="26"/>
  <c r="O671" i="26"/>
  <c r="O672" i="26"/>
  <c r="O673" i="26"/>
  <c r="O674" i="26"/>
  <c r="O675" i="26"/>
  <c r="O676" i="26"/>
  <c r="O677" i="26"/>
  <c r="O678" i="26"/>
  <c r="O679" i="26"/>
  <c r="O680" i="26"/>
  <c r="O681" i="26"/>
  <c r="O682" i="26"/>
  <c r="O683" i="26"/>
  <c r="O684" i="26"/>
  <c r="O685" i="26"/>
  <c r="O686" i="26"/>
  <c r="O687" i="26"/>
  <c r="O688" i="26"/>
  <c r="O689" i="26"/>
  <c r="O690" i="26"/>
  <c r="O691" i="26"/>
  <c r="O692" i="26"/>
  <c r="O693" i="26"/>
  <c r="O694" i="26"/>
  <c r="O695" i="26"/>
  <c r="O696" i="26"/>
  <c r="O697" i="26"/>
  <c r="O698" i="26"/>
  <c r="O699" i="26"/>
  <c r="O700" i="26"/>
  <c r="O701" i="26"/>
  <c r="O702" i="26"/>
  <c r="O703" i="26"/>
  <c r="O704" i="26"/>
  <c r="O705" i="26"/>
  <c r="O706" i="26"/>
  <c r="O707" i="26"/>
  <c r="O708" i="26"/>
  <c r="O709" i="26"/>
  <c r="O710" i="26"/>
  <c r="O711" i="26"/>
  <c r="O712" i="26"/>
  <c r="O713" i="26"/>
  <c r="O714" i="26"/>
  <c r="O715" i="26"/>
  <c r="O716" i="26"/>
  <c r="O717" i="26"/>
  <c r="O718" i="26"/>
  <c r="O719" i="26"/>
  <c r="O720" i="26"/>
  <c r="O721" i="26"/>
  <c r="O722" i="26"/>
  <c r="O723" i="26"/>
  <c r="O724" i="26"/>
  <c r="O725" i="26"/>
  <c r="O726" i="26"/>
  <c r="O727" i="26"/>
  <c r="O728" i="26"/>
  <c r="O729" i="26"/>
  <c r="O730" i="26"/>
  <c r="O731" i="26"/>
  <c r="O732" i="26"/>
  <c r="O733" i="26"/>
  <c r="O734" i="26"/>
  <c r="O735" i="26"/>
  <c r="O736" i="26"/>
  <c r="O737" i="26"/>
  <c r="O738" i="26"/>
  <c r="O739" i="26"/>
  <c r="O740" i="26"/>
  <c r="O741" i="26"/>
  <c r="O742" i="26"/>
  <c r="O743" i="26"/>
  <c r="O744" i="26"/>
  <c r="O745" i="26"/>
  <c r="O746" i="26"/>
  <c r="O747" i="26"/>
  <c r="O748" i="26"/>
  <c r="O749" i="26"/>
  <c r="O750" i="26"/>
  <c r="O751" i="26"/>
  <c r="O752" i="26"/>
  <c r="O753" i="26"/>
  <c r="O754" i="26"/>
  <c r="O755" i="26"/>
  <c r="O756" i="26"/>
  <c r="O757" i="26"/>
  <c r="O758" i="26"/>
  <c r="O759" i="26"/>
  <c r="O760" i="26"/>
  <c r="O761" i="26"/>
  <c r="O762" i="26"/>
  <c r="O763" i="26"/>
  <c r="O764" i="26"/>
  <c r="O765" i="26"/>
  <c r="O766" i="26"/>
  <c r="O767" i="26"/>
  <c r="O768" i="26"/>
  <c r="O769" i="26"/>
  <c r="O770" i="26"/>
  <c r="O771" i="26"/>
  <c r="O772" i="26"/>
  <c r="O773" i="26"/>
  <c r="O774" i="26"/>
  <c r="O775" i="26"/>
  <c r="O776" i="26"/>
  <c r="O777" i="26"/>
  <c r="O778" i="26"/>
  <c r="O779" i="26"/>
  <c r="O780" i="26"/>
  <c r="O781" i="26"/>
  <c r="O782" i="26"/>
  <c r="O783" i="26"/>
  <c r="O784" i="26"/>
  <c r="O785" i="26"/>
  <c r="O786" i="26"/>
  <c r="O787" i="26"/>
  <c r="O788" i="26"/>
  <c r="O789" i="26"/>
  <c r="O790" i="26"/>
  <c r="O791" i="26"/>
  <c r="O792" i="26"/>
  <c r="O793" i="26"/>
  <c r="O794" i="26"/>
  <c r="O795" i="26"/>
  <c r="O796" i="26"/>
  <c r="O797" i="26"/>
  <c r="O798" i="26"/>
  <c r="O799" i="26"/>
  <c r="O800" i="26"/>
  <c r="O801" i="26"/>
  <c r="O802" i="26"/>
  <c r="O803" i="26"/>
  <c r="O804" i="26"/>
  <c r="O805" i="26"/>
  <c r="O806" i="26"/>
  <c r="O807" i="26"/>
  <c r="O808" i="26"/>
  <c r="O809" i="26"/>
  <c r="O810" i="26"/>
  <c r="O811" i="26"/>
  <c r="O812" i="26"/>
  <c r="O813" i="26"/>
  <c r="O814" i="26"/>
  <c r="O815" i="26"/>
  <c r="O816" i="26"/>
  <c r="O817" i="26"/>
  <c r="O818" i="26"/>
  <c r="O819" i="26"/>
  <c r="O820" i="26"/>
  <c r="O821" i="26"/>
  <c r="O822" i="26"/>
  <c r="O823" i="26"/>
  <c r="O824" i="26"/>
  <c r="O825" i="26"/>
  <c r="O826" i="26"/>
  <c r="O827" i="26"/>
  <c r="O828" i="26"/>
  <c r="O829" i="26"/>
  <c r="O830" i="26"/>
  <c r="O831" i="26"/>
  <c r="O832" i="26"/>
  <c r="O833" i="26"/>
  <c r="O834" i="26"/>
  <c r="O835" i="26"/>
  <c r="O836" i="26"/>
  <c r="O837" i="26"/>
  <c r="O838" i="26"/>
  <c r="O839" i="26"/>
  <c r="O840" i="26"/>
  <c r="O841" i="26"/>
  <c r="O842" i="26"/>
  <c r="O843" i="26"/>
  <c r="O844" i="26"/>
  <c r="O845" i="26"/>
  <c r="O846" i="26"/>
  <c r="O847" i="26"/>
  <c r="O848" i="26"/>
  <c r="O849" i="26"/>
  <c r="O850" i="26"/>
  <c r="O851" i="26"/>
  <c r="O852" i="26"/>
  <c r="O853" i="26"/>
  <c r="O854" i="26"/>
  <c r="O855" i="26"/>
  <c r="O856" i="26"/>
  <c r="O857" i="26"/>
  <c r="O858" i="26"/>
  <c r="O859" i="26"/>
  <c r="O860" i="26"/>
  <c r="O861" i="26"/>
  <c r="O862" i="26"/>
  <c r="O863" i="26"/>
  <c r="O864" i="26"/>
  <c r="O865" i="26"/>
  <c r="O866" i="26"/>
  <c r="O867" i="26"/>
  <c r="O868" i="26"/>
  <c r="O869" i="26"/>
  <c r="O870" i="26"/>
  <c r="O871" i="26"/>
  <c r="O872" i="26"/>
  <c r="O873" i="26"/>
  <c r="O874" i="26"/>
  <c r="O875" i="26"/>
  <c r="O876" i="26"/>
  <c r="O877" i="26"/>
  <c r="O878" i="26"/>
  <c r="O879" i="26"/>
  <c r="O880" i="26"/>
  <c r="O881" i="26"/>
  <c r="O882" i="26"/>
  <c r="O883" i="26"/>
  <c r="O884" i="26"/>
  <c r="O885" i="26"/>
  <c r="O886" i="26"/>
  <c r="O887" i="26"/>
  <c r="O888" i="26"/>
  <c r="O889" i="26"/>
  <c r="O890" i="26"/>
  <c r="O891" i="26"/>
  <c r="O892" i="26"/>
  <c r="O893" i="26"/>
  <c r="O894" i="26"/>
  <c r="O895" i="26"/>
  <c r="O896" i="26"/>
  <c r="O897" i="26"/>
  <c r="O898" i="26"/>
  <c r="O899" i="26"/>
  <c r="O900" i="26"/>
  <c r="O901" i="26"/>
  <c r="O902" i="26"/>
  <c r="O903" i="26"/>
  <c r="O904" i="26"/>
  <c r="O905" i="26"/>
  <c r="O906" i="26"/>
  <c r="O907" i="26"/>
  <c r="O908" i="26"/>
  <c r="O909" i="26"/>
  <c r="O910" i="26"/>
  <c r="O911" i="26"/>
  <c r="O912" i="26"/>
  <c r="O913" i="26"/>
  <c r="O914" i="26"/>
  <c r="O915" i="26"/>
  <c r="O916" i="26"/>
  <c r="O917" i="26"/>
  <c r="O918" i="26"/>
  <c r="O919" i="26"/>
  <c r="O920" i="26"/>
  <c r="O921" i="26"/>
  <c r="O922" i="26"/>
  <c r="O923" i="26"/>
  <c r="O924" i="26"/>
  <c r="O925" i="26"/>
  <c r="O926" i="26"/>
  <c r="O927" i="26"/>
  <c r="O928" i="26"/>
  <c r="O929" i="26"/>
  <c r="O930" i="26"/>
  <c r="O931" i="26"/>
  <c r="O932" i="26"/>
  <c r="O933" i="26"/>
  <c r="O934" i="26"/>
  <c r="O935" i="26"/>
  <c r="O936" i="26"/>
  <c r="O937" i="26"/>
  <c r="O938" i="26"/>
  <c r="O939" i="26"/>
  <c r="O940" i="26"/>
  <c r="O941" i="26"/>
  <c r="O942" i="26"/>
  <c r="O943" i="26"/>
  <c r="O944" i="26"/>
  <c r="O945" i="26"/>
  <c r="O946" i="26"/>
  <c r="O947" i="26"/>
  <c r="O948" i="26"/>
  <c r="O949" i="26"/>
  <c r="O950" i="26"/>
  <c r="O951" i="26"/>
  <c r="O952" i="26"/>
  <c r="O953" i="26"/>
  <c r="O954" i="26"/>
  <c r="O955" i="26"/>
  <c r="O956" i="26"/>
  <c r="O957" i="26"/>
  <c r="O958" i="26"/>
  <c r="O959" i="26"/>
  <c r="O960" i="26"/>
  <c r="O961" i="26"/>
  <c r="O962" i="26"/>
  <c r="O963" i="26"/>
  <c r="O964" i="26"/>
  <c r="O965" i="26"/>
  <c r="O966" i="26"/>
  <c r="O967" i="26"/>
  <c r="O968" i="26"/>
  <c r="O969" i="26"/>
  <c r="O970" i="26"/>
  <c r="O971" i="26"/>
  <c r="O972" i="26"/>
  <c r="O973" i="26"/>
  <c r="O974" i="26"/>
  <c r="O975" i="26"/>
  <c r="O976" i="26"/>
  <c r="O977" i="26"/>
  <c r="O978" i="26"/>
  <c r="O979" i="26"/>
  <c r="O980" i="26"/>
  <c r="O981" i="26"/>
  <c r="O982" i="26"/>
  <c r="O983" i="26"/>
  <c r="O984" i="26"/>
  <c r="O985" i="26"/>
  <c r="O986" i="26"/>
  <c r="O987" i="26"/>
  <c r="O988" i="26"/>
  <c r="O989" i="26"/>
  <c r="O990" i="26"/>
  <c r="O991" i="26"/>
  <c r="O992" i="26"/>
  <c r="O993" i="26"/>
  <c r="O994" i="26"/>
  <c r="O995" i="26"/>
  <c r="O996" i="26"/>
  <c r="O997" i="26"/>
  <c r="O998" i="26"/>
  <c r="O999" i="26"/>
  <c r="O1000" i="26"/>
  <c r="O1001" i="26"/>
  <c r="O1002" i="26"/>
  <c r="O1003" i="26"/>
  <c r="O1004" i="26"/>
  <c r="O1005" i="26"/>
  <c r="O1006" i="26"/>
  <c r="O1007" i="26"/>
  <c r="O1008" i="26"/>
  <c r="O1009" i="26"/>
  <c r="O1010" i="26"/>
  <c r="O1011" i="26"/>
  <c r="O1012" i="26"/>
  <c r="O1013" i="26"/>
  <c r="O1014" i="26"/>
  <c r="O1015" i="26"/>
  <c r="O1016" i="26"/>
  <c r="O1017" i="26"/>
  <c r="O1018" i="26"/>
  <c r="O1019" i="26"/>
  <c r="O1020" i="26"/>
  <c r="O1021" i="26"/>
  <c r="O1022" i="26"/>
  <c r="O1023" i="26"/>
  <c r="O1024" i="26"/>
  <c r="O1025" i="26"/>
  <c r="O1026" i="26"/>
  <c r="O1027" i="26"/>
  <c r="O1028" i="26"/>
  <c r="O1029" i="26"/>
  <c r="O1030" i="26"/>
  <c r="O1031" i="26"/>
  <c r="O1032" i="26"/>
  <c r="O1033" i="26"/>
  <c r="O1034" i="26"/>
  <c r="O1035" i="26"/>
  <c r="O1036" i="26"/>
  <c r="O1037" i="26"/>
  <c r="O1038" i="26"/>
  <c r="O1039" i="26"/>
  <c r="O1040" i="26"/>
  <c r="O1041" i="26"/>
  <c r="O1042" i="26"/>
  <c r="O1043" i="26"/>
  <c r="O1044" i="26"/>
  <c r="O1045" i="26"/>
  <c r="O1046" i="26"/>
  <c r="O1047" i="26"/>
  <c r="O1048" i="26"/>
  <c r="O1049" i="26"/>
  <c r="O1050" i="26"/>
  <c r="O1051" i="26"/>
  <c r="O1052" i="26"/>
  <c r="O1053" i="26"/>
  <c r="O1054" i="26"/>
  <c r="O1055" i="26"/>
  <c r="O1056" i="26"/>
  <c r="O1057" i="26"/>
  <c r="O1058" i="26"/>
  <c r="O1059" i="26"/>
  <c r="O1060" i="26"/>
  <c r="O1061" i="26"/>
  <c r="O1062" i="26"/>
  <c r="O1063" i="26"/>
  <c r="O1064" i="26"/>
  <c r="O1065" i="26"/>
  <c r="O1066" i="26"/>
  <c r="O1067" i="26"/>
  <c r="O1068" i="26"/>
  <c r="O1069" i="26"/>
  <c r="O1070" i="26"/>
  <c r="O1071" i="26"/>
  <c r="O1072" i="26"/>
  <c r="O1073" i="26"/>
  <c r="O1074" i="26"/>
  <c r="O1075" i="26"/>
  <c r="O1076" i="26"/>
  <c r="O1077" i="26"/>
  <c r="O1078" i="26"/>
  <c r="O1079" i="26"/>
  <c r="O1080" i="26"/>
  <c r="O1081" i="26"/>
  <c r="O1082" i="26"/>
  <c r="O1083" i="26"/>
  <c r="O1084" i="26"/>
  <c r="O1085" i="26"/>
  <c r="O1086" i="26"/>
  <c r="O1087" i="26"/>
  <c r="O1088" i="26"/>
  <c r="O1089" i="26"/>
  <c r="O1090" i="26"/>
  <c r="O1091" i="26"/>
  <c r="O1092" i="26"/>
  <c r="O1093" i="26"/>
  <c r="O1094" i="26"/>
  <c r="O1095" i="26"/>
  <c r="O1096" i="26"/>
  <c r="O1097" i="26"/>
  <c r="O1098" i="26"/>
  <c r="O1099" i="26"/>
  <c r="O1100" i="26"/>
  <c r="O1101" i="26"/>
  <c r="O1102" i="26"/>
  <c r="O1103" i="26"/>
  <c r="O1104" i="26"/>
  <c r="O1105" i="26"/>
  <c r="O1106" i="26"/>
  <c r="O1107" i="26"/>
  <c r="O1108" i="26"/>
  <c r="O1109" i="26"/>
  <c r="O1110" i="26"/>
  <c r="O1111" i="26"/>
  <c r="O1112" i="26"/>
  <c r="O1113" i="26"/>
  <c r="O1114" i="26"/>
  <c r="O1115" i="26"/>
  <c r="O1116" i="26"/>
  <c r="O1117" i="26"/>
  <c r="O1118" i="26"/>
  <c r="O1119" i="26"/>
  <c r="O1120" i="26"/>
  <c r="O1121" i="26"/>
  <c r="O1122" i="26"/>
  <c r="O1123" i="26"/>
  <c r="O1124" i="26"/>
  <c r="O1125" i="26"/>
  <c r="O1126" i="26"/>
  <c r="O1127" i="26"/>
  <c r="O1128" i="26"/>
  <c r="O1129" i="26"/>
  <c r="O1130" i="26"/>
  <c r="O1131" i="26"/>
  <c r="O1132" i="26"/>
  <c r="O1133" i="26"/>
  <c r="O1134" i="26"/>
  <c r="O1135" i="26"/>
  <c r="O1136" i="26"/>
  <c r="O1137" i="26"/>
  <c r="O1138" i="26"/>
  <c r="O1139" i="26"/>
  <c r="O1140" i="26"/>
  <c r="O1141" i="26"/>
  <c r="O1142" i="26"/>
  <c r="O1143" i="26"/>
  <c r="O1144" i="26"/>
  <c r="O1145" i="26"/>
  <c r="O1146" i="26"/>
  <c r="O1147" i="26"/>
  <c r="O1148" i="26"/>
  <c r="O1149" i="26"/>
  <c r="O1150" i="26"/>
  <c r="O1151" i="26"/>
  <c r="O1152" i="26"/>
  <c r="O1153" i="26"/>
  <c r="O1154" i="26"/>
  <c r="O1155" i="26"/>
  <c r="O1156" i="26"/>
  <c r="O1157" i="26"/>
  <c r="O1158" i="26"/>
  <c r="O1159" i="26"/>
  <c r="O1160" i="26"/>
  <c r="O1161" i="26"/>
  <c r="O1162" i="26"/>
  <c r="O1163" i="26"/>
  <c r="O1164" i="26"/>
  <c r="O1165" i="26"/>
  <c r="O1166" i="26"/>
  <c r="O1167" i="26"/>
  <c r="O1168" i="26"/>
  <c r="O1169" i="26"/>
  <c r="O1170" i="26"/>
  <c r="O1171" i="26"/>
  <c r="O1172" i="26"/>
  <c r="O1173" i="26"/>
  <c r="O1174" i="26"/>
  <c r="O1175" i="26"/>
  <c r="O1176" i="26"/>
  <c r="O1177" i="26"/>
  <c r="O1178" i="26"/>
  <c r="O1179" i="26"/>
  <c r="O1180" i="26"/>
  <c r="O1181" i="26"/>
  <c r="O1182" i="26"/>
  <c r="O1183" i="26"/>
  <c r="O1184" i="26"/>
  <c r="O1185" i="26"/>
  <c r="O1186" i="26"/>
  <c r="O1187" i="26"/>
  <c r="O1188" i="26"/>
  <c r="O1189" i="26"/>
  <c r="O1190" i="26"/>
  <c r="O1191" i="26"/>
  <c r="O1192" i="26"/>
  <c r="O1193" i="26"/>
  <c r="O1194" i="26"/>
  <c r="O1195" i="26"/>
  <c r="O1196" i="26"/>
  <c r="O1197" i="26"/>
  <c r="O1198" i="26"/>
  <c r="O1199" i="26"/>
  <c r="O1200" i="26"/>
  <c r="O1201" i="26"/>
  <c r="O1202" i="26"/>
  <c r="O1203" i="26"/>
  <c r="O1204" i="26"/>
  <c r="O1205" i="26"/>
  <c r="O1206" i="26"/>
  <c r="O1207" i="26"/>
  <c r="O1208" i="26"/>
  <c r="O1209" i="26"/>
  <c r="O1210" i="26"/>
  <c r="O1211" i="26"/>
  <c r="O1212" i="26"/>
  <c r="O1213" i="26"/>
  <c r="O1214" i="26"/>
  <c r="O1215" i="26"/>
  <c r="O1216" i="26"/>
  <c r="O1217" i="26"/>
  <c r="O1218" i="26"/>
  <c r="O1219" i="26"/>
  <c r="O1220" i="26"/>
  <c r="O1221" i="26"/>
  <c r="O1222" i="26"/>
  <c r="O1223" i="26"/>
  <c r="O1224" i="26"/>
  <c r="O1225" i="26"/>
  <c r="O1226" i="26"/>
  <c r="O1227" i="26"/>
  <c r="O1228" i="26"/>
  <c r="O1229" i="26"/>
  <c r="O1230" i="26"/>
  <c r="O1231" i="26"/>
  <c r="O1232" i="26"/>
  <c r="O1233" i="26"/>
  <c r="O1234" i="26"/>
  <c r="O1235" i="26"/>
  <c r="O1236" i="26"/>
  <c r="O1237" i="26"/>
  <c r="O1238" i="26"/>
  <c r="O1239" i="26"/>
  <c r="O1240" i="26"/>
  <c r="O1241" i="26"/>
  <c r="O1242" i="26"/>
  <c r="O1243" i="26"/>
  <c r="O1244" i="26"/>
  <c r="O1245" i="26"/>
  <c r="O1246" i="26"/>
  <c r="O1247" i="26"/>
  <c r="O1248" i="26"/>
  <c r="O1249" i="26"/>
  <c r="O1250" i="26"/>
  <c r="O1251" i="26"/>
  <c r="O1252" i="26"/>
  <c r="O1253" i="26"/>
  <c r="O1254" i="26"/>
  <c r="O1255" i="26"/>
  <c r="O1256" i="26"/>
  <c r="O1257" i="26"/>
  <c r="O1258" i="26"/>
  <c r="O1259" i="26"/>
  <c r="O1260" i="26"/>
  <c r="O1261" i="26"/>
  <c r="O1262" i="26"/>
  <c r="O1263" i="26"/>
  <c r="O1264" i="26"/>
  <c r="O1265" i="26"/>
  <c r="O1266" i="26"/>
  <c r="O1267" i="26"/>
  <c r="O1268" i="26"/>
  <c r="O1269" i="26"/>
  <c r="O1270" i="26"/>
  <c r="O1271" i="26"/>
  <c r="O1272" i="26"/>
  <c r="O1273" i="26"/>
  <c r="O1274" i="26"/>
  <c r="O1275" i="26"/>
  <c r="O1276" i="26"/>
  <c r="O1277" i="26"/>
  <c r="O1278" i="26"/>
  <c r="O1279" i="26"/>
  <c r="O1280" i="26"/>
  <c r="O1281" i="26"/>
  <c r="O1282" i="26"/>
  <c r="O1283" i="26"/>
  <c r="O1284" i="26"/>
  <c r="O1285" i="26"/>
  <c r="O1286" i="26"/>
  <c r="O1287" i="26"/>
  <c r="O1288" i="26"/>
  <c r="O1289" i="26"/>
  <c r="O1290" i="26"/>
  <c r="O1291" i="26"/>
  <c r="O1292" i="26"/>
  <c r="O1293" i="26"/>
  <c r="O1294" i="26"/>
  <c r="O1295" i="26"/>
  <c r="O1296" i="26"/>
  <c r="O1297" i="26"/>
  <c r="O1298" i="26"/>
  <c r="O1299" i="26"/>
  <c r="O1300" i="26"/>
  <c r="O1301" i="26"/>
  <c r="O1302" i="26"/>
  <c r="O1303" i="26"/>
  <c r="O1304" i="26"/>
  <c r="O1305" i="26"/>
  <c r="O1306" i="26"/>
  <c r="O1307" i="26"/>
  <c r="O1308" i="26"/>
  <c r="O1309" i="26"/>
  <c r="O1310" i="26"/>
  <c r="O1311" i="26"/>
  <c r="O1312" i="26"/>
  <c r="O1313" i="26"/>
  <c r="O1314" i="26"/>
  <c r="O1315" i="26"/>
  <c r="O1316" i="26"/>
  <c r="O1317" i="26"/>
  <c r="O1318" i="26"/>
  <c r="O1319" i="26"/>
  <c r="O1320" i="26"/>
  <c r="O1321" i="26"/>
  <c r="O1322" i="26"/>
  <c r="O1323" i="26"/>
  <c r="O1324" i="26"/>
  <c r="O1325" i="26"/>
  <c r="O1326" i="26"/>
  <c r="O1327" i="26"/>
  <c r="O1328" i="26"/>
  <c r="O1329" i="26"/>
  <c r="O1330" i="26"/>
  <c r="O1331" i="26"/>
  <c r="O1332" i="26"/>
  <c r="O1333" i="26"/>
  <c r="O1334" i="26"/>
  <c r="O1335" i="26"/>
  <c r="O1336" i="26"/>
  <c r="O1337" i="26"/>
  <c r="O1338" i="26"/>
  <c r="O1339" i="26"/>
  <c r="O1340" i="26"/>
  <c r="O1341" i="26"/>
  <c r="O1342" i="26"/>
  <c r="O1343" i="26"/>
  <c r="O1344" i="26"/>
  <c r="O1345" i="26"/>
  <c r="O1346" i="26"/>
  <c r="O1347" i="26"/>
  <c r="O1348" i="26"/>
  <c r="O1349" i="26"/>
  <c r="O1350" i="26"/>
  <c r="O1351" i="26"/>
  <c r="O1352" i="26"/>
  <c r="O1353" i="26"/>
  <c r="O1354" i="26"/>
  <c r="O1355" i="26"/>
  <c r="O1356" i="26"/>
  <c r="O1357" i="26"/>
  <c r="O1358" i="26"/>
  <c r="O1359" i="26"/>
  <c r="O1360" i="26"/>
  <c r="O1361" i="26"/>
  <c r="O1362" i="26"/>
  <c r="O1363" i="26"/>
  <c r="O1364" i="26"/>
  <c r="O1365" i="26"/>
  <c r="O1366" i="26"/>
  <c r="O1367" i="26"/>
  <c r="O1368" i="26"/>
  <c r="O1369" i="26"/>
  <c r="O1370" i="26"/>
  <c r="O1371" i="26"/>
  <c r="O1372" i="26"/>
  <c r="O1373" i="26"/>
  <c r="O1374" i="26"/>
  <c r="O1375" i="26"/>
  <c r="O1376" i="26"/>
  <c r="O1377" i="26"/>
  <c r="O1378" i="26"/>
  <c r="O1379" i="26"/>
  <c r="O1380" i="26"/>
  <c r="O1381" i="26"/>
  <c r="O1382" i="26"/>
  <c r="O1383" i="26"/>
  <c r="O1384" i="26"/>
  <c r="O1385" i="26"/>
  <c r="O1386" i="26"/>
  <c r="O1387" i="26"/>
  <c r="O1388" i="26"/>
  <c r="O1389" i="26"/>
  <c r="O1390" i="26"/>
  <c r="O1391" i="26"/>
  <c r="O1392" i="26"/>
  <c r="O1393" i="26"/>
  <c r="O1394" i="26"/>
  <c r="O1395" i="26"/>
  <c r="O1396" i="26"/>
  <c r="O1397" i="26"/>
  <c r="O1398" i="26"/>
  <c r="O1399" i="26"/>
  <c r="O1400" i="26"/>
  <c r="O1401" i="26"/>
  <c r="O1402" i="26"/>
  <c r="O1403" i="26"/>
  <c r="O1404" i="26"/>
  <c r="O1405" i="26"/>
  <c r="O1406" i="26"/>
  <c r="O1407" i="26"/>
  <c r="O1408" i="26"/>
  <c r="O1409" i="26"/>
  <c r="O1410" i="26"/>
  <c r="O1411" i="26"/>
  <c r="O1412" i="26"/>
  <c r="O1413" i="26"/>
  <c r="O1414" i="26"/>
  <c r="O1415" i="26"/>
  <c r="O1416" i="26"/>
  <c r="O1417" i="26"/>
  <c r="O1418" i="26"/>
  <c r="O1419" i="26"/>
  <c r="O1420" i="26"/>
  <c r="O1421" i="26"/>
  <c r="O1422" i="26"/>
  <c r="O1423" i="26"/>
  <c r="O1424" i="26"/>
  <c r="O1425" i="26"/>
  <c r="O1426" i="26"/>
  <c r="O1427" i="26"/>
  <c r="O1428" i="26"/>
  <c r="O1429" i="26"/>
  <c r="O1430" i="26"/>
  <c r="O1431" i="26"/>
  <c r="O1432" i="26"/>
  <c r="O1433" i="26"/>
  <c r="O1434" i="26"/>
  <c r="O1435" i="26"/>
  <c r="O1436" i="26"/>
  <c r="O1437" i="26"/>
  <c r="O1438" i="26"/>
  <c r="O1439" i="26"/>
  <c r="O1440" i="26"/>
  <c r="O1441" i="26"/>
  <c r="O1442" i="26"/>
  <c r="O1443" i="26"/>
  <c r="O1444" i="26"/>
  <c r="O1445" i="26"/>
  <c r="O1446" i="26"/>
  <c r="O1447" i="26"/>
  <c r="O1448" i="26"/>
  <c r="O1449" i="26"/>
  <c r="O1450" i="26"/>
  <c r="O1451" i="26"/>
  <c r="O1452" i="26"/>
  <c r="O1453" i="26"/>
  <c r="O1454" i="26"/>
  <c r="O1455" i="26"/>
  <c r="O1456" i="26"/>
  <c r="O1457" i="26"/>
  <c r="O1458" i="26"/>
  <c r="O1459" i="26"/>
  <c r="O1460" i="26"/>
  <c r="O1461" i="26"/>
  <c r="O1462" i="26"/>
  <c r="O1463" i="26"/>
  <c r="O1464" i="26"/>
  <c r="O1465" i="26"/>
  <c r="O1466" i="26"/>
  <c r="O1467" i="26"/>
  <c r="O1468" i="26"/>
  <c r="O1469" i="26"/>
  <c r="O1470" i="26"/>
  <c r="O1471" i="26"/>
  <c r="O1472" i="26"/>
  <c r="O1473" i="26"/>
  <c r="O1474" i="26"/>
  <c r="O1475" i="26"/>
  <c r="O1476" i="26"/>
  <c r="O1477" i="26"/>
  <c r="O1478" i="26"/>
  <c r="O1479" i="26"/>
  <c r="O1480" i="26"/>
  <c r="O1481" i="26"/>
  <c r="O1482" i="26"/>
  <c r="O1483" i="26"/>
  <c r="O1484" i="26"/>
  <c r="O1485" i="26"/>
  <c r="O1486" i="26"/>
  <c r="O1487" i="26"/>
  <c r="O1488" i="26"/>
  <c r="O1489" i="26"/>
  <c r="O1490" i="26"/>
  <c r="O1491" i="26"/>
  <c r="O1492" i="26"/>
  <c r="O1493" i="26"/>
  <c r="O1494" i="26"/>
  <c r="O1495" i="26"/>
  <c r="O1496" i="26"/>
  <c r="O1497" i="26"/>
  <c r="O1498" i="26"/>
  <c r="O1499" i="26"/>
  <c r="O1500" i="26"/>
  <c r="O1501" i="26"/>
  <c r="O1502" i="26"/>
  <c r="O1503" i="26"/>
  <c r="O1504" i="26"/>
  <c r="O1505" i="26"/>
  <c r="O1506" i="26"/>
  <c r="O1507" i="26"/>
  <c r="O1508" i="26"/>
  <c r="O1509" i="26"/>
  <c r="O1510" i="26"/>
  <c r="O1511" i="26"/>
  <c r="O1512" i="26"/>
  <c r="O1513" i="26"/>
  <c r="O1514" i="26"/>
  <c r="O1515" i="26"/>
  <c r="O1516" i="26"/>
  <c r="O1517" i="26"/>
  <c r="O1518" i="26"/>
  <c r="O1519" i="26"/>
  <c r="O1520" i="26"/>
  <c r="O1521" i="26"/>
  <c r="O1522" i="26"/>
  <c r="O1523" i="26"/>
  <c r="O1524" i="26"/>
  <c r="O1525" i="26"/>
  <c r="O1526" i="26"/>
  <c r="O1527" i="26"/>
  <c r="O1528" i="26"/>
  <c r="O1529" i="26"/>
  <c r="O1530" i="26"/>
  <c r="O1531" i="26"/>
  <c r="O1532" i="26"/>
  <c r="O1533" i="26"/>
  <c r="O1534" i="26"/>
  <c r="O1535" i="26"/>
  <c r="O1536" i="26"/>
  <c r="O1537" i="26"/>
  <c r="O1538" i="26"/>
  <c r="O1539" i="26"/>
  <c r="O1540" i="26"/>
  <c r="O1541" i="26"/>
  <c r="O1542" i="26"/>
  <c r="O1543" i="26"/>
  <c r="O1544" i="26"/>
  <c r="O1545" i="26"/>
  <c r="O1546" i="26"/>
  <c r="O1547" i="26"/>
  <c r="O1548" i="26"/>
  <c r="O1549" i="26"/>
  <c r="O1550" i="26"/>
  <c r="O1551" i="26"/>
  <c r="O1552" i="26"/>
  <c r="O1553" i="26"/>
  <c r="O1554" i="26"/>
  <c r="O1555" i="26"/>
  <c r="O1556" i="26"/>
  <c r="O1557" i="26"/>
  <c r="O1558" i="26"/>
  <c r="O1559" i="26"/>
  <c r="O1560" i="26"/>
  <c r="O1561" i="26"/>
  <c r="O1562" i="26"/>
  <c r="O1563" i="26"/>
  <c r="O1564" i="26"/>
  <c r="O1565" i="26"/>
  <c r="O1566" i="26"/>
  <c r="O1567" i="26"/>
  <c r="O1568" i="26"/>
  <c r="O1569" i="26"/>
  <c r="O1570" i="26"/>
  <c r="O1571" i="26"/>
  <c r="O1572" i="26"/>
  <c r="O1573" i="26"/>
  <c r="O1574" i="26"/>
  <c r="O1575" i="26"/>
  <c r="O1576" i="26"/>
  <c r="O1577" i="26"/>
  <c r="O1578" i="26"/>
  <c r="O1579" i="26"/>
  <c r="O1580" i="26"/>
  <c r="O1581" i="26"/>
  <c r="O1582" i="26"/>
  <c r="O1583" i="26"/>
  <c r="O1584" i="26"/>
  <c r="O1585" i="26"/>
  <c r="O1586" i="26"/>
  <c r="O1587" i="26"/>
  <c r="O1588" i="26"/>
  <c r="O1589" i="26"/>
  <c r="O1590" i="26"/>
  <c r="O1591" i="26"/>
  <c r="O1592" i="26"/>
  <c r="O1593" i="26"/>
  <c r="O1594" i="26"/>
  <c r="O1595" i="26"/>
  <c r="O1596" i="26"/>
  <c r="O1597" i="26"/>
  <c r="O1598" i="26"/>
  <c r="O1599" i="26"/>
  <c r="O1600" i="26"/>
  <c r="O1601" i="26"/>
  <c r="O1602" i="26"/>
  <c r="O1603" i="26"/>
  <c r="O1604" i="26"/>
  <c r="O1605" i="26"/>
  <c r="O1606" i="26"/>
  <c r="O1607" i="26"/>
  <c r="O1608" i="26"/>
  <c r="O1609" i="26"/>
  <c r="O1610" i="26"/>
  <c r="O1611" i="26"/>
  <c r="O1612" i="26"/>
  <c r="O1613" i="26"/>
  <c r="O1614" i="26"/>
  <c r="O1615" i="26"/>
  <c r="O1616" i="26"/>
  <c r="O1617" i="26"/>
  <c r="O1618" i="26"/>
  <c r="O1619" i="26"/>
  <c r="O1620" i="26"/>
  <c r="O1621" i="26"/>
  <c r="O1622" i="26"/>
  <c r="O1623" i="26"/>
  <c r="O1624" i="26"/>
  <c r="O1625" i="26"/>
  <c r="O1626" i="26"/>
  <c r="O1627" i="26"/>
  <c r="O1628" i="26"/>
  <c r="O1629" i="26"/>
  <c r="O1630" i="26"/>
  <c r="O1631" i="26"/>
  <c r="O1632" i="26"/>
  <c r="O1633" i="26"/>
  <c r="O1634" i="26"/>
  <c r="O1635" i="26"/>
  <c r="O1636" i="26"/>
  <c r="O1637" i="26"/>
  <c r="O1638" i="26"/>
  <c r="O1639" i="26"/>
  <c r="O1640" i="26"/>
  <c r="O1641" i="26"/>
  <c r="O1642" i="26"/>
  <c r="O1643" i="26"/>
  <c r="O1644" i="26"/>
  <c r="O1645" i="26"/>
  <c r="O1646" i="26"/>
  <c r="O1647" i="26"/>
  <c r="O1648" i="26"/>
  <c r="O1649" i="26"/>
  <c r="O1650" i="26"/>
  <c r="O1651" i="26"/>
  <c r="O1652" i="26"/>
  <c r="O1653" i="26"/>
  <c r="O1654" i="26"/>
  <c r="O1655" i="26"/>
  <c r="O1656" i="26"/>
  <c r="O1657" i="26"/>
  <c r="O1658" i="26"/>
  <c r="O1659" i="26"/>
  <c r="O1660" i="26"/>
  <c r="O1661" i="26"/>
  <c r="O1662" i="26"/>
  <c r="O1663" i="26"/>
  <c r="O1664" i="26"/>
  <c r="O1665" i="26"/>
  <c r="O1666" i="26"/>
  <c r="O1667" i="26"/>
  <c r="O1668" i="26"/>
  <c r="O1669" i="26"/>
  <c r="O1670" i="26"/>
  <c r="O1671" i="26"/>
  <c r="O1672" i="26"/>
  <c r="O1673" i="26"/>
  <c r="O1674" i="26"/>
  <c r="O1675" i="26"/>
  <c r="O1676" i="26"/>
  <c r="O1677" i="26"/>
  <c r="O1678" i="26"/>
  <c r="O1679" i="26"/>
  <c r="O1680" i="26"/>
  <c r="O1681" i="26"/>
  <c r="O1682" i="26"/>
  <c r="O1683" i="26"/>
  <c r="O1684" i="26"/>
  <c r="O1685" i="26"/>
  <c r="O1686" i="26"/>
  <c r="O1687" i="26"/>
  <c r="O1688" i="26"/>
  <c r="O1689" i="26"/>
  <c r="O1690" i="26"/>
  <c r="O1691" i="26"/>
  <c r="O1692" i="26"/>
  <c r="O1693" i="26"/>
  <c r="O1694" i="26"/>
  <c r="O1695" i="26"/>
  <c r="O1696" i="26"/>
  <c r="O1697" i="26"/>
  <c r="O1698" i="26"/>
  <c r="O1699" i="26"/>
  <c r="O1700" i="26"/>
  <c r="O1701" i="26"/>
  <c r="O1702" i="26"/>
  <c r="O1703" i="26"/>
  <c r="O1704" i="26"/>
  <c r="O1705" i="26"/>
  <c r="O1706" i="26"/>
  <c r="O1707" i="26"/>
  <c r="O1708" i="26"/>
  <c r="O1709" i="26"/>
  <c r="O1710" i="26"/>
  <c r="O1711" i="26"/>
  <c r="O1712" i="26"/>
  <c r="O1713" i="26"/>
  <c r="O1714" i="26"/>
  <c r="O1715" i="26"/>
  <c r="O1716" i="26"/>
  <c r="O1717" i="26"/>
  <c r="O1718" i="26"/>
  <c r="O1719" i="26"/>
  <c r="O1720" i="26"/>
  <c r="O1721" i="26"/>
  <c r="O1722" i="26"/>
  <c r="O1723" i="26"/>
  <c r="O1724" i="26"/>
  <c r="O1725" i="26"/>
  <c r="O1726" i="26"/>
  <c r="O1727" i="26"/>
  <c r="O1728" i="26"/>
  <c r="O1729" i="26"/>
  <c r="O1730" i="26"/>
  <c r="O1731" i="26"/>
  <c r="O1732" i="26"/>
  <c r="O1733" i="26"/>
  <c r="O1734" i="26"/>
  <c r="O1735" i="26"/>
  <c r="O1736" i="26"/>
  <c r="O1737" i="26"/>
  <c r="O1738" i="26"/>
  <c r="O1739" i="26"/>
  <c r="O1740" i="26"/>
  <c r="O1741" i="26"/>
  <c r="O1742" i="26"/>
  <c r="O1743" i="26"/>
  <c r="O1744" i="26"/>
  <c r="O1745" i="26"/>
  <c r="O1746" i="26"/>
  <c r="O1747" i="26"/>
  <c r="O1748" i="26"/>
  <c r="O1749" i="26"/>
  <c r="O1750" i="26"/>
  <c r="O1751" i="26"/>
  <c r="O1752" i="26"/>
  <c r="O1753" i="26"/>
  <c r="O1754" i="26"/>
  <c r="O1755" i="26"/>
  <c r="O1756" i="26"/>
  <c r="O1757" i="26"/>
  <c r="O1758" i="26"/>
  <c r="O1759" i="26"/>
  <c r="O1760" i="26"/>
  <c r="O1761" i="26"/>
  <c r="O1762" i="26"/>
  <c r="O1763" i="26"/>
  <c r="O1764" i="26"/>
  <c r="O1765" i="26"/>
  <c r="O1766" i="26"/>
  <c r="O1767" i="26"/>
  <c r="O1768" i="26"/>
  <c r="O1769" i="26"/>
  <c r="O1770" i="26"/>
  <c r="O1771" i="26"/>
  <c r="O1772" i="26"/>
  <c r="O1773" i="26"/>
  <c r="O1774" i="26"/>
  <c r="O1775" i="26"/>
  <c r="O1776" i="26"/>
  <c r="O1777" i="26"/>
  <c r="O1778" i="26"/>
  <c r="O1779" i="26"/>
  <c r="O1780" i="26"/>
  <c r="O1781" i="26"/>
  <c r="O1782" i="26"/>
  <c r="O1783" i="26"/>
  <c r="O1784" i="26"/>
  <c r="O1785" i="26"/>
  <c r="O1786" i="26"/>
  <c r="O1787" i="26"/>
  <c r="O1788" i="26"/>
  <c r="O1789" i="26"/>
  <c r="O1790" i="26"/>
  <c r="O1791" i="26"/>
  <c r="O1792" i="26"/>
  <c r="O1793" i="26"/>
  <c r="O1794" i="26"/>
  <c r="O1795" i="26"/>
  <c r="O1796" i="26"/>
  <c r="O1797" i="26"/>
  <c r="O1798" i="26"/>
  <c r="O1799" i="26"/>
  <c r="O1800" i="26"/>
  <c r="O1801" i="26"/>
  <c r="O1802" i="26"/>
  <c r="O1803" i="26"/>
  <c r="O1804" i="26"/>
  <c r="O1805" i="26"/>
  <c r="O1806" i="26"/>
  <c r="O1807" i="26"/>
  <c r="O1808" i="26"/>
  <c r="O1809" i="26"/>
  <c r="O1810" i="26"/>
  <c r="O1811" i="26"/>
  <c r="O1812" i="26"/>
  <c r="O1813" i="26"/>
  <c r="O1814" i="26"/>
  <c r="O1815" i="26"/>
  <c r="O1816" i="26"/>
  <c r="O1817" i="26"/>
  <c r="O1818" i="26"/>
  <c r="O1819" i="26"/>
  <c r="O1820" i="26"/>
  <c r="O1821" i="26"/>
  <c r="O1822" i="26"/>
  <c r="O1823" i="26"/>
  <c r="O1824" i="26"/>
  <c r="O1825" i="26"/>
  <c r="O1826" i="26"/>
  <c r="O1827" i="26"/>
  <c r="O1828" i="26"/>
  <c r="O1829" i="26"/>
  <c r="O1830" i="26"/>
  <c r="O1831" i="26"/>
  <c r="O1832" i="26"/>
  <c r="O1833" i="26"/>
  <c r="O1834" i="26"/>
  <c r="O1835" i="26"/>
  <c r="O1836" i="26"/>
  <c r="O1837" i="26"/>
  <c r="O1838" i="26"/>
  <c r="O1839" i="26"/>
  <c r="O1840" i="26"/>
  <c r="O1841" i="26"/>
  <c r="O1842" i="26"/>
  <c r="O1843" i="26"/>
  <c r="O1844" i="26"/>
  <c r="O1845" i="26"/>
  <c r="O1846" i="26"/>
  <c r="O1847" i="26"/>
  <c r="O1848" i="26"/>
  <c r="O1849" i="26"/>
  <c r="O1850" i="26"/>
  <c r="O1851" i="26"/>
  <c r="O1852" i="26"/>
  <c r="O1853" i="26"/>
  <c r="O1854" i="26"/>
  <c r="O1855" i="26"/>
  <c r="O1856" i="26"/>
  <c r="O1857" i="26"/>
  <c r="O1858" i="26"/>
  <c r="O1859" i="26"/>
  <c r="O1860" i="26"/>
  <c r="O1861" i="26"/>
  <c r="O1862" i="26"/>
  <c r="O1863" i="26"/>
  <c r="O1864" i="26"/>
  <c r="O1865" i="26"/>
  <c r="O1866" i="26"/>
  <c r="O1867" i="26"/>
  <c r="O1868" i="26"/>
  <c r="O1869" i="26"/>
  <c r="O1870" i="26"/>
  <c r="O1871" i="26"/>
  <c r="O1872" i="26"/>
  <c r="O1873" i="26"/>
  <c r="O1874" i="26"/>
  <c r="O1875" i="26"/>
  <c r="O1876" i="26"/>
  <c r="O1877" i="26"/>
  <c r="O1878" i="26"/>
  <c r="O1879" i="26"/>
  <c r="O1880" i="26"/>
  <c r="O1881" i="26"/>
  <c r="O1882" i="26"/>
  <c r="O1883" i="26"/>
  <c r="O1884" i="26"/>
  <c r="O1885" i="26"/>
  <c r="O1886" i="26"/>
  <c r="O1887" i="26"/>
  <c r="O1888" i="26"/>
  <c r="O1889" i="26"/>
  <c r="O1890" i="26"/>
  <c r="O1891" i="26"/>
  <c r="O1892" i="26"/>
  <c r="O1893" i="26"/>
  <c r="O1894" i="26"/>
  <c r="O1895" i="26"/>
  <c r="O1896" i="26"/>
  <c r="O1897" i="26"/>
  <c r="O1898" i="26"/>
  <c r="O1899" i="26"/>
  <c r="O1900" i="26"/>
  <c r="O1901" i="26"/>
  <c r="O1902" i="26"/>
  <c r="O1903" i="26"/>
  <c r="O1904" i="26"/>
  <c r="O1905" i="26"/>
  <c r="O1906" i="26"/>
  <c r="O1907" i="26"/>
  <c r="O1908" i="26"/>
  <c r="O1909" i="26"/>
  <c r="O1910" i="26"/>
  <c r="O1911" i="26"/>
  <c r="O1912" i="26"/>
  <c r="O1913" i="26"/>
  <c r="O1914" i="26"/>
  <c r="O1915" i="26"/>
  <c r="O1916" i="26"/>
  <c r="O1917" i="26"/>
  <c r="O1918" i="26"/>
  <c r="O1919" i="26"/>
  <c r="O1920" i="26"/>
  <c r="O1921" i="26"/>
  <c r="O1922" i="26"/>
  <c r="O1923" i="26"/>
  <c r="O1924" i="26"/>
  <c r="O1925" i="26"/>
  <c r="O1926" i="26"/>
  <c r="O1927" i="26"/>
  <c r="O1928" i="26"/>
  <c r="O1929" i="26"/>
  <c r="O1930" i="26"/>
  <c r="O1931" i="26"/>
  <c r="O1932" i="26"/>
  <c r="O1933" i="26"/>
  <c r="O1934" i="26"/>
  <c r="O1935" i="26"/>
  <c r="O1936" i="26"/>
  <c r="O1937" i="26"/>
  <c r="O1938" i="26"/>
  <c r="O1939" i="26"/>
  <c r="O1940" i="26"/>
  <c r="O1941" i="26"/>
  <c r="O1942" i="26"/>
  <c r="O1943" i="26"/>
  <c r="O1944" i="26"/>
  <c r="O1945" i="26"/>
  <c r="O1946" i="26"/>
  <c r="O1947" i="26"/>
  <c r="O1948" i="26"/>
  <c r="O1949" i="26"/>
  <c r="O1950" i="26"/>
  <c r="O1951" i="26"/>
  <c r="O1952" i="26"/>
  <c r="O1953" i="26"/>
  <c r="O1954" i="26"/>
  <c r="O1955" i="26"/>
  <c r="O1956" i="26"/>
  <c r="O1957" i="26"/>
  <c r="O1958" i="26"/>
  <c r="O1959" i="26"/>
  <c r="O1960" i="26"/>
  <c r="O1961" i="26"/>
  <c r="O1962" i="26"/>
  <c r="O1963" i="26"/>
  <c r="O1964" i="26"/>
  <c r="O1965" i="26"/>
  <c r="O1966" i="26"/>
  <c r="O1967" i="26"/>
  <c r="O1968" i="26"/>
  <c r="O1969" i="26"/>
  <c r="O1970" i="26"/>
  <c r="O1971" i="26"/>
  <c r="O1972" i="26"/>
  <c r="O1973" i="26"/>
  <c r="O1974" i="26"/>
  <c r="O1975" i="26"/>
  <c r="O1976" i="26"/>
  <c r="O1977" i="26"/>
  <c r="O1978" i="26"/>
  <c r="O1979" i="26"/>
  <c r="O1980" i="26"/>
  <c r="O1981" i="26"/>
  <c r="O1982" i="26"/>
  <c r="O1983" i="26"/>
  <c r="O1984" i="26"/>
  <c r="O1985" i="26"/>
  <c r="O1986" i="26"/>
  <c r="O1987" i="26"/>
  <c r="O1988" i="26"/>
  <c r="O1989" i="26"/>
  <c r="O1990" i="26"/>
  <c r="O1991" i="26"/>
  <c r="O1992" i="26"/>
  <c r="O1993" i="26"/>
  <c r="O1994" i="26"/>
  <c r="O1995" i="26"/>
  <c r="O1996" i="26"/>
  <c r="O1997" i="26"/>
  <c r="O1998" i="26"/>
  <c r="O1999" i="26"/>
  <c r="O2000" i="26"/>
  <c r="O2001" i="26"/>
  <c r="O2002" i="26"/>
  <c r="O2003" i="26"/>
  <c r="O2004" i="26"/>
  <c r="O2005" i="26"/>
  <c r="O2006" i="26"/>
  <c r="O2007" i="26"/>
  <c r="O2008" i="26"/>
  <c r="O2009" i="26"/>
  <c r="O2010" i="26"/>
  <c r="O2011" i="26"/>
  <c r="O2012" i="26"/>
  <c r="O2013" i="26"/>
  <c r="O2014" i="26"/>
  <c r="O2015" i="26"/>
  <c r="O2016" i="26"/>
  <c r="O2017" i="26"/>
  <c r="O2018" i="26"/>
  <c r="O2019" i="26"/>
  <c r="O2020" i="26"/>
  <c r="O2021" i="26"/>
  <c r="O2022" i="26"/>
  <c r="O2023" i="26"/>
  <c r="O2024" i="26"/>
  <c r="O2025" i="26"/>
  <c r="O2026" i="26"/>
  <c r="O2027" i="26"/>
  <c r="O2028" i="26"/>
  <c r="O2029" i="26"/>
  <c r="O2030" i="26"/>
  <c r="O2031" i="26"/>
  <c r="O2032" i="26"/>
  <c r="O2033" i="26"/>
  <c r="O2034" i="26"/>
  <c r="O2035" i="26"/>
  <c r="O2036" i="26"/>
  <c r="O2037" i="26"/>
  <c r="O2038" i="26"/>
  <c r="O2039" i="26"/>
  <c r="O2040" i="26"/>
  <c r="O2041" i="26"/>
  <c r="O2042" i="26"/>
  <c r="O2043" i="26"/>
  <c r="O2044" i="26"/>
  <c r="O2045" i="26"/>
  <c r="O2046" i="26"/>
  <c r="O2047" i="26"/>
  <c r="O2048" i="26"/>
  <c r="O2049" i="26"/>
  <c r="O2050" i="26"/>
  <c r="O2051" i="26"/>
  <c r="O2052" i="26"/>
  <c r="O2053" i="26"/>
  <c r="O2054" i="26"/>
  <c r="O2055" i="26"/>
  <c r="O2056" i="26"/>
  <c r="O2057" i="26"/>
  <c r="O2058" i="26"/>
  <c r="O2059" i="26"/>
  <c r="O2060" i="26"/>
  <c r="O2061" i="26"/>
  <c r="O2062" i="26"/>
  <c r="O2063" i="26"/>
  <c r="O2064" i="26"/>
  <c r="O2065" i="26"/>
  <c r="O2066" i="26"/>
  <c r="O2067" i="26"/>
  <c r="O2068" i="26"/>
  <c r="O2069" i="26"/>
  <c r="O2070" i="26"/>
  <c r="O2071" i="26"/>
  <c r="O2072" i="26"/>
  <c r="O2073" i="26"/>
  <c r="O2074" i="26"/>
  <c r="O2075" i="26"/>
  <c r="O2076" i="26"/>
  <c r="O2077" i="26"/>
  <c r="O2078" i="26"/>
  <c r="O2079" i="26"/>
  <c r="O2080" i="26"/>
  <c r="O2081" i="26"/>
  <c r="O2082" i="26"/>
  <c r="O2083" i="26"/>
  <c r="O2084" i="26"/>
  <c r="O2085" i="26"/>
  <c r="O2086" i="26"/>
  <c r="O2087" i="26"/>
  <c r="O2088" i="26"/>
  <c r="O2089" i="26"/>
  <c r="O2090" i="26"/>
  <c r="O2091" i="26"/>
  <c r="O2092" i="26"/>
  <c r="O2093" i="26"/>
  <c r="O2094" i="26"/>
  <c r="O2095" i="26"/>
  <c r="O2096" i="26"/>
  <c r="O2097" i="26"/>
  <c r="O2098" i="26"/>
  <c r="O2099" i="26"/>
  <c r="O2100" i="26"/>
  <c r="O2101" i="26"/>
  <c r="O2102" i="26"/>
  <c r="O2103" i="26"/>
  <c r="O2104" i="26"/>
  <c r="O2105" i="26"/>
  <c r="O2106" i="26"/>
  <c r="O2107" i="26"/>
  <c r="O2108" i="26"/>
  <c r="O2109" i="26"/>
  <c r="O2110" i="26"/>
  <c r="O2111" i="26"/>
  <c r="O2112" i="26"/>
  <c r="O2113" i="26"/>
  <c r="O2114" i="26"/>
  <c r="O2115" i="26"/>
  <c r="O2116" i="26"/>
  <c r="O2117" i="26"/>
  <c r="O2118" i="26"/>
  <c r="O2119" i="26"/>
  <c r="O2120" i="26"/>
  <c r="O2121" i="26"/>
  <c r="O2122" i="26"/>
  <c r="O2123" i="26"/>
  <c r="O2124" i="26"/>
  <c r="O2125" i="26"/>
  <c r="O2126" i="26"/>
  <c r="O2127" i="26"/>
  <c r="O2128" i="26"/>
  <c r="O2129" i="26"/>
  <c r="O2130" i="26"/>
  <c r="O2131" i="26"/>
  <c r="O2132" i="26"/>
  <c r="O2133" i="26"/>
  <c r="O2134" i="26"/>
  <c r="O2135" i="26"/>
  <c r="O2136" i="26"/>
  <c r="O2137" i="26"/>
  <c r="O2138" i="26"/>
  <c r="O2139" i="26"/>
  <c r="O2140" i="26"/>
  <c r="O2141" i="26"/>
  <c r="O2142" i="26"/>
  <c r="O2143" i="26"/>
  <c r="O2144" i="26"/>
  <c r="O2145" i="26"/>
  <c r="O2146" i="26"/>
  <c r="O2147" i="26"/>
  <c r="O2148" i="26"/>
  <c r="O2149" i="26"/>
  <c r="O2150" i="26"/>
  <c r="O2151" i="26"/>
  <c r="O2152" i="26"/>
  <c r="O2153" i="26"/>
  <c r="O2154" i="26"/>
  <c r="O2155" i="26"/>
  <c r="O2156" i="26"/>
  <c r="O2157" i="26"/>
  <c r="O2158" i="26"/>
  <c r="O2159" i="26"/>
  <c r="O2160" i="26"/>
  <c r="O2161" i="26"/>
  <c r="O2162" i="26"/>
  <c r="O2163" i="26"/>
  <c r="O2164" i="26"/>
  <c r="O2165" i="26"/>
  <c r="O2166" i="26"/>
  <c r="O2167" i="26"/>
  <c r="O2168" i="26"/>
  <c r="O2169" i="26"/>
  <c r="O2170" i="26"/>
  <c r="O2171" i="26"/>
  <c r="O2172" i="26"/>
  <c r="O2173" i="26"/>
  <c r="O2174" i="26"/>
  <c r="O2175" i="26"/>
  <c r="O2176" i="26"/>
  <c r="O2177" i="26"/>
  <c r="O2178" i="26"/>
  <c r="O2179" i="26"/>
  <c r="O2180" i="26"/>
  <c r="O2181" i="26"/>
  <c r="O2182" i="26"/>
  <c r="O2183" i="26"/>
  <c r="O2184" i="26"/>
  <c r="O2185" i="26"/>
  <c r="O2186" i="26"/>
  <c r="O2187" i="26"/>
  <c r="O2188" i="26"/>
  <c r="O2189" i="26"/>
  <c r="O2190" i="26"/>
  <c r="O2191" i="26"/>
  <c r="O2192" i="26"/>
  <c r="O2193" i="26"/>
  <c r="O2194" i="26"/>
  <c r="O2195" i="26"/>
  <c r="O2196" i="26"/>
  <c r="O2197" i="26"/>
  <c r="O2198" i="26"/>
  <c r="O2199" i="26"/>
  <c r="O2200" i="26"/>
  <c r="O2201" i="26"/>
  <c r="O2202" i="26"/>
  <c r="O2203" i="26"/>
  <c r="O2204" i="26"/>
  <c r="O2205" i="26"/>
  <c r="O2206" i="26"/>
  <c r="O2207" i="26"/>
  <c r="O2208" i="26"/>
  <c r="O2209" i="26"/>
  <c r="O2210" i="26"/>
  <c r="O2211" i="26"/>
  <c r="O2212" i="26"/>
  <c r="O2213" i="26"/>
  <c r="O2214" i="26"/>
  <c r="O2215" i="26"/>
  <c r="O2216" i="26"/>
  <c r="O2217" i="26"/>
  <c r="O2218" i="26"/>
  <c r="O2219" i="26"/>
  <c r="O2220" i="26"/>
  <c r="O2221" i="26"/>
  <c r="O2222" i="26"/>
  <c r="O2223" i="26"/>
  <c r="O2224" i="26"/>
  <c r="O2225" i="26"/>
  <c r="O2226" i="26"/>
  <c r="O2227" i="26"/>
  <c r="O2228" i="26"/>
  <c r="O2229" i="26"/>
  <c r="O2230" i="26"/>
  <c r="O2231" i="26"/>
  <c r="O2232" i="26"/>
  <c r="O2233" i="26"/>
  <c r="O2234" i="26"/>
  <c r="O2235" i="26"/>
  <c r="O2236" i="26"/>
  <c r="O2237" i="26"/>
  <c r="O2238" i="26"/>
  <c r="O2239" i="26"/>
  <c r="O2240" i="26"/>
  <c r="O2241" i="26"/>
  <c r="O2242" i="26"/>
  <c r="O2243" i="26"/>
  <c r="O2244" i="26"/>
  <c r="O2245" i="26"/>
  <c r="O2246" i="26"/>
  <c r="O2247" i="26"/>
  <c r="O2248" i="26"/>
  <c r="O2249" i="26"/>
  <c r="O2250" i="26"/>
  <c r="O2251" i="26"/>
  <c r="O2252" i="26"/>
  <c r="O2253" i="26"/>
  <c r="O2254" i="26"/>
  <c r="O2255" i="26"/>
  <c r="O2256" i="26"/>
  <c r="O2257" i="26"/>
  <c r="O2258" i="26"/>
  <c r="O2259" i="26"/>
  <c r="O2260" i="26"/>
  <c r="O2261" i="26"/>
  <c r="O2262" i="26"/>
  <c r="O2263" i="26"/>
  <c r="O2264" i="26"/>
  <c r="O2265" i="26"/>
  <c r="O2266" i="26"/>
  <c r="O2267" i="26"/>
  <c r="O2268" i="26"/>
  <c r="O2269" i="26"/>
  <c r="O2270" i="26"/>
  <c r="O2271" i="26"/>
  <c r="O2272" i="26"/>
  <c r="O2273" i="26"/>
  <c r="O2274" i="26"/>
  <c r="O2275" i="26"/>
  <c r="O2276" i="26"/>
  <c r="O2277" i="26"/>
  <c r="O2278" i="26"/>
  <c r="O2279" i="26"/>
  <c r="O2280" i="26"/>
  <c r="O2281" i="26"/>
  <c r="O2282" i="26"/>
  <c r="O2283" i="26"/>
  <c r="O2284" i="26"/>
  <c r="O2285" i="26"/>
  <c r="O2286" i="26"/>
  <c r="O2287" i="26"/>
  <c r="O2288" i="26"/>
  <c r="O2289" i="26"/>
  <c r="O2290" i="26"/>
  <c r="O2291" i="26"/>
  <c r="O2292" i="26"/>
  <c r="O2293" i="26"/>
  <c r="O2294" i="26"/>
  <c r="O2295" i="26"/>
  <c r="O2296" i="26"/>
  <c r="O2297" i="26"/>
  <c r="O2298" i="26"/>
  <c r="O2299" i="26"/>
  <c r="O2300" i="26"/>
  <c r="O2301" i="26"/>
  <c r="O2302" i="26"/>
  <c r="O2303" i="26"/>
  <c r="O2304" i="26"/>
  <c r="O2305" i="26"/>
  <c r="O2306" i="26"/>
  <c r="O2307" i="26"/>
  <c r="O2308" i="26"/>
  <c r="O2309" i="26"/>
  <c r="O2310" i="26"/>
  <c r="O2311" i="26"/>
  <c r="O2312" i="26"/>
  <c r="O2313" i="26"/>
  <c r="O2314" i="26"/>
  <c r="O2315" i="26"/>
  <c r="O2316" i="26"/>
  <c r="O2317" i="26"/>
  <c r="O2318" i="26"/>
  <c r="O2319" i="26"/>
  <c r="O2320" i="26"/>
  <c r="O2321" i="26"/>
  <c r="O2322" i="26"/>
  <c r="O2323" i="26"/>
  <c r="O2324" i="26"/>
  <c r="O2325" i="26"/>
  <c r="O2326" i="26"/>
  <c r="O2327" i="26"/>
  <c r="O2328" i="26"/>
  <c r="O2329" i="26"/>
  <c r="O2330" i="26"/>
  <c r="O2331" i="26"/>
  <c r="O2332" i="26"/>
  <c r="O2333" i="26"/>
  <c r="O2334" i="26"/>
  <c r="O2335" i="26"/>
  <c r="O2336" i="26"/>
  <c r="O2337" i="26"/>
  <c r="O2338" i="26"/>
  <c r="O2339" i="26"/>
  <c r="O2340" i="26"/>
  <c r="O2341" i="26"/>
  <c r="O2342" i="26"/>
  <c r="O2343" i="26"/>
  <c r="O2344" i="26"/>
  <c r="O2345" i="26"/>
  <c r="O2346" i="26"/>
  <c r="O2347" i="26"/>
  <c r="O2348" i="26"/>
  <c r="O2349" i="26"/>
  <c r="O2350" i="26"/>
  <c r="O2351" i="26"/>
  <c r="O2352" i="26"/>
  <c r="O2353" i="26"/>
  <c r="O2354" i="26"/>
  <c r="O2355" i="26"/>
  <c r="O2356" i="26"/>
  <c r="O2357" i="26"/>
  <c r="O2358" i="26"/>
  <c r="O2359" i="26"/>
  <c r="O2360" i="26"/>
  <c r="O2361" i="26"/>
  <c r="O2362" i="26"/>
  <c r="O2363" i="26"/>
  <c r="O2364" i="26"/>
  <c r="O2365" i="26"/>
  <c r="O2366" i="26"/>
  <c r="O2367" i="26"/>
  <c r="O2368" i="26"/>
  <c r="O2369" i="26"/>
  <c r="O2370" i="26"/>
  <c r="O2371" i="26"/>
  <c r="O2372" i="26"/>
  <c r="O2373" i="26"/>
  <c r="O2374" i="26"/>
  <c r="O2375" i="26"/>
  <c r="O2376" i="26"/>
  <c r="O2377" i="26"/>
  <c r="O2378" i="26"/>
  <c r="O2379" i="26"/>
  <c r="O2380" i="26"/>
  <c r="O2381" i="26"/>
  <c r="O2382" i="26"/>
  <c r="O2383" i="26"/>
  <c r="O2384" i="26"/>
  <c r="O2385" i="26"/>
  <c r="O2386" i="26"/>
  <c r="O2387" i="26"/>
  <c r="O2388" i="26"/>
  <c r="O2389" i="26"/>
  <c r="O2390" i="26"/>
  <c r="O2391" i="26"/>
  <c r="O2392" i="26"/>
  <c r="O2393" i="26"/>
  <c r="O2394" i="26"/>
  <c r="O2395" i="26"/>
  <c r="O2396" i="26"/>
  <c r="O2397" i="26"/>
  <c r="O2398" i="26"/>
  <c r="O2399" i="26"/>
  <c r="O2400" i="26"/>
  <c r="O2401" i="26"/>
  <c r="O2" i="26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K17" i="26"/>
  <c r="K18" i="26"/>
  <c r="K19" i="26"/>
  <c r="K20" i="26"/>
  <c r="K21" i="26"/>
  <c r="K22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K52" i="26"/>
  <c r="K53" i="26"/>
  <c r="K54" i="26"/>
  <c r="K55" i="26"/>
  <c r="K56" i="26"/>
  <c r="K57" i="26"/>
  <c r="K58" i="26"/>
  <c r="K59" i="26"/>
  <c r="K60" i="26"/>
  <c r="K61" i="26"/>
  <c r="K62" i="26"/>
  <c r="K63" i="26"/>
  <c r="K64" i="26"/>
  <c r="K65" i="26"/>
  <c r="K66" i="26"/>
  <c r="K67" i="26"/>
  <c r="K68" i="26"/>
  <c r="K69" i="26"/>
  <c r="K70" i="26"/>
  <c r="K71" i="26"/>
  <c r="K72" i="26"/>
  <c r="K73" i="26"/>
  <c r="K74" i="26"/>
  <c r="K75" i="26"/>
  <c r="K76" i="26"/>
  <c r="K77" i="26"/>
  <c r="K78" i="26"/>
  <c r="K79" i="26"/>
  <c r="K80" i="26"/>
  <c r="K81" i="26"/>
  <c r="K82" i="26"/>
  <c r="K83" i="26"/>
  <c r="K84" i="26"/>
  <c r="K85" i="26"/>
  <c r="K86" i="26"/>
  <c r="K87" i="26"/>
  <c r="K88" i="26"/>
  <c r="K89" i="26"/>
  <c r="K90" i="26"/>
  <c r="K91" i="26"/>
  <c r="K92" i="26"/>
  <c r="K93" i="26"/>
  <c r="K94" i="26"/>
  <c r="K95" i="26"/>
  <c r="K96" i="26"/>
  <c r="K97" i="26"/>
  <c r="K98" i="26"/>
  <c r="K99" i="26"/>
  <c r="K100" i="26"/>
  <c r="K101" i="26"/>
  <c r="K102" i="26"/>
  <c r="K103" i="26"/>
  <c r="K104" i="26"/>
  <c r="K105" i="26"/>
  <c r="K106" i="26"/>
  <c r="K107" i="26"/>
  <c r="K108" i="26"/>
  <c r="K109" i="26"/>
  <c r="K110" i="26"/>
  <c r="K111" i="26"/>
  <c r="K112" i="26"/>
  <c r="K113" i="26"/>
  <c r="K114" i="26"/>
  <c r="K115" i="26"/>
  <c r="K116" i="26"/>
  <c r="K117" i="26"/>
  <c r="K118" i="26"/>
  <c r="K119" i="26"/>
  <c r="K120" i="26"/>
  <c r="K121" i="26"/>
  <c r="K122" i="26"/>
  <c r="K123" i="26"/>
  <c r="K124" i="26"/>
  <c r="K125" i="26"/>
  <c r="K126" i="26"/>
  <c r="K127" i="26"/>
  <c r="K128" i="26"/>
  <c r="K129" i="26"/>
  <c r="K130" i="26"/>
  <c r="K131" i="26"/>
  <c r="K132" i="26"/>
  <c r="K133" i="26"/>
  <c r="K134" i="26"/>
  <c r="K135" i="26"/>
  <c r="K136" i="26"/>
  <c r="K137" i="26"/>
  <c r="K138" i="26"/>
  <c r="K139" i="26"/>
  <c r="K140" i="26"/>
  <c r="K141" i="26"/>
  <c r="K142" i="26"/>
  <c r="K143" i="26"/>
  <c r="K144" i="26"/>
  <c r="K145" i="26"/>
  <c r="K146" i="26"/>
  <c r="K147" i="26"/>
  <c r="K148" i="26"/>
  <c r="K149" i="26"/>
  <c r="K150" i="26"/>
  <c r="K151" i="26"/>
  <c r="K152" i="26"/>
  <c r="K153" i="26"/>
  <c r="K154" i="26"/>
  <c r="K155" i="26"/>
  <c r="K156" i="26"/>
  <c r="K157" i="26"/>
  <c r="K158" i="26"/>
  <c r="K159" i="26"/>
  <c r="K160" i="26"/>
  <c r="K161" i="26"/>
  <c r="K162" i="26"/>
  <c r="K163" i="26"/>
  <c r="K164" i="26"/>
  <c r="K165" i="26"/>
  <c r="K166" i="26"/>
  <c r="K167" i="26"/>
  <c r="K168" i="26"/>
  <c r="K169" i="26"/>
  <c r="K170" i="26"/>
  <c r="K171" i="26"/>
  <c r="K172" i="26"/>
  <c r="K173" i="26"/>
  <c r="K174" i="26"/>
  <c r="K175" i="26"/>
  <c r="K176" i="26"/>
  <c r="K177" i="26"/>
  <c r="K178" i="26"/>
  <c r="K179" i="26"/>
  <c r="K180" i="26"/>
  <c r="K181" i="26"/>
  <c r="K182" i="26"/>
  <c r="K183" i="26"/>
  <c r="K184" i="26"/>
  <c r="K185" i="26"/>
  <c r="K186" i="26"/>
  <c r="K187" i="26"/>
  <c r="K188" i="26"/>
  <c r="K189" i="26"/>
  <c r="K190" i="26"/>
  <c r="K191" i="26"/>
  <c r="K192" i="26"/>
  <c r="K193" i="26"/>
  <c r="K194" i="26"/>
  <c r="K195" i="26"/>
  <c r="K196" i="26"/>
  <c r="K197" i="26"/>
  <c r="K198" i="26"/>
  <c r="K199" i="26"/>
  <c r="K200" i="26"/>
  <c r="K201" i="26"/>
  <c r="K202" i="26"/>
  <c r="K203" i="26"/>
  <c r="K204" i="26"/>
  <c r="K205" i="26"/>
  <c r="K206" i="26"/>
  <c r="K207" i="26"/>
  <c r="K208" i="26"/>
  <c r="K209" i="26"/>
  <c r="K210" i="26"/>
  <c r="K211" i="26"/>
  <c r="K212" i="26"/>
  <c r="K213" i="26"/>
  <c r="K214" i="26"/>
  <c r="K215" i="26"/>
  <c r="K216" i="26"/>
  <c r="K217" i="26"/>
  <c r="K218" i="26"/>
  <c r="K219" i="26"/>
  <c r="K220" i="26"/>
  <c r="K221" i="26"/>
  <c r="K222" i="26"/>
  <c r="K223" i="26"/>
  <c r="K224" i="26"/>
  <c r="K225" i="26"/>
  <c r="K226" i="26"/>
  <c r="K227" i="26"/>
  <c r="K228" i="26"/>
  <c r="K229" i="26"/>
  <c r="K230" i="26"/>
  <c r="K231" i="26"/>
  <c r="K232" i="26"/>
  <c r="K233" i="26"/>
  <c r="K234" i="26"/>
  <c r="K235" i="26"/>
  <c r="K236" i="26"/>
  <c r="K237" i="26"/>
  <c r="K238" i="26"/>
  <c r="K239" i="26"/>
  <c r="K240" i="26"/>
  <c r="K241" i="26"/>
  <c r="K242" i="26"/>
  <c r="K243" i="26"/>
  <c r="K244" i="26"/>
  <c r="K245" i="26"/>
  <c r="K246" i="26"/>
  <c r="K247" i="26"/>
  <c r="K248" i="26"/>
  <c r="K249" i="26"/>
  <c r="K250" i="26"/>
  <c r="K251" i="26"/>
  <c r="K252" i="26"/>
  <c r="K253" i="26"/>
  <c r="K254" i="26"/>
  <c r="K255" i="26"/>
  <c r="K256" i="26"/>
  <c r="K257" i="26"/>
  <c r="K258" i="26"/>
  <c r="K259" i="26"/>
  <c r="K260" i="26"/>
  <c r="K261" i="26"/>
  <c r="K262" i="26"/>
  <c r="K263" i="26"/>
  <c r="K264" i="26"/>
  <c r="K265" i="26"/>
  <c r="K266" i="26"/>
  <c r="K267" i="26"/>
  <c r="K268" i="26"/>
  <c r="K269" i="26"/>
  <c r="K270" i="26"/>
  <c r="K271" i="26"/>
  <c r="K272" i="26"/>
  <c r="K273" i="26"/>
  <c r="K274" i="26"/>
  <c r="K275" i="26"/>
  <c r="K276" i="26"/>
  <c r="K277" i="26"/>
  <c r="K278" i="26"/>
  <c r="K279" i="26"/>
  <c r="K280" i="26"/>
  <c r="K281" i="26"/>
  <c r="K282" i="26"/>
  <c r="K283" i="26"/>
  <c r="K284" i="26"/>
  <c r="K285" i="26"/>
  <c r="K286" i="26"/>
  <c r="K287" i="26"/>
  <c r="K288" i="26"/>
  <c r="K289" i="26"/>
  <c r="K290" i="26"/>
  <c r="K291" i="26"/>
  <c r="K292" i="26"/>
  <c r="K293" i="26"/>
  <c r="K294" i="26"/>
  <c r="K295" i="26"/>
  <c r="K296" i="26"/>
  <c r="K297" i="26"/>
  <c r="K298" i="26"/>
  <c r="K299" i="26"/>
  <c r="K300" i="26"/>
  <c r="K301" i="26"/>
  <c r="K302" i="26"/>
  <c r="K303" i="26"/>
  <c r="K304" i="26"/>
  <c r="K305" i="26"/>
  <c r="K306" i="26"/>
  <c r="K307" i="26"/>
  <c r="K308" i="26"/>
  <c r="K309" i="26"/>
  <c r="K310" i="26"/>
  <c r="K311" i="26"/>
  <c r="K312" i="26"/>
  <c r="K313" i="26"/>
  <c r="K314" i="26"/>
  <c r="K315" i="26"/>
  <c r="K316" i="26"/>
  <c r="K317" i="26"/>
  <c r="K318" i="26"/>
  <c r="K319" i="26"/>
  <c r="K320" i="26"/>
  <c r="K321" i="26"/>
  <c r="K322" i="26"/>
  <c r="K323" i="26"/>
  <c r="K324" i="26"/>
  <c r="K325" i="26"/>
  <c r="K326" i="26"/>
  <c r="K327" i="26"/>
  <c r="K328" i="26"/>
  <c r="K329" i="26"/>
  <c r="K330" i="26"/>
  <c r="K331" i="26"/>
  <c r="K332" i="26"/>
  <c r="K333" i="26"/>
  <c r="K334" i="26"/>
  <c r="K335" i="26"/>
  <c r="K336" i="26"/>
  <c r="K337" i="26"/>
  <c r="K338" i="26"/>
  <c r="K339" i="26"/>
  <c r="K340" i="26"/>
  <c r="K341" i="26"/>
  <c r="K342" i="26"/>
  <c r="K343" i="26"/>
  <c r="K344" i="26"/>
  <c r="K345" i="26"/>
  <c r="K346" i="26"/>
  <c r="K347" i="26"/>
  <c r="K348" i="26"/>
  <c r="K349" i="26"/>
  <c r="K350" i="26"/>
  <c r="K351" i="26"/>
  <c r="K352" i="26"/>
  <c r="K353" i="26"/>
  <c r="K354" i="26"/>
  <c r="K355" i="26"/>
  <c r="K356" i="26"/>
  <c r="K357" i="26"/>
  <c r="K358" i="26"/>
  <c r="K359" i="26"/>
  <c r="K360" i="26"/>
  <c r="K361" i="26"/>
  <c r="K362" i="26"/>
  <c r="K363" i="26"/>
  <c r="K364" i="26"/>
  <c r="K365" i="26"/>
  <c r="K366" i="26"/>
  <c r="K367" i="26"/>
  <c r="K368" i="26"/>
  <c r="K369" i="26"/>
  <c r="K370" i="26"/>
  <c r="K371" i="26"/>
  <c r="K372" i="26"/>
  <c r="K373" i="26"/>
  <c r="K374" i="26"/>
  <c r="K375" i="26"/>
  <c r="K376" i="26"/>
  <c r="K377" i="26"/>
  <c r="K378" i="26"/>
  <c r="K379" i="26"/>
  <c r="K380" i="26"/>
  <c r="K381" i="26"/>
  <c r="K382" i="26"/>
  <c r="K383" i="26"/>
  <c r="K384" i="26"/>
  <c r="K385" i="26"/>
  <c r="K386" i="26"/>
  <c r="K387" i="26"/>
  <c r="K388" i="26"/>
  <c r="K389" i="26"/>
  <c r="K390" i="26"/>
  <c r="K391" i="26"/>
  <c r="K392" i="26"/>
  <c r="K393" i="26"/>
  <c r="K394" i="26"/>
  <c r="K395" i="26"/>
  <c r="K396" i="26"/>
  <c r="K397" i="26"/>
  <c r="K398" i="26"/>
  <c r="K399" i="26"/>
  <c r="K400" i="26"/>
  <c r="K401" i="26"/>
  <c r="K402" i="26"/>
  <c r="K403" i="26"/>
  <c r="K404" i="26"/>
  <c r="K405" i="26"/>
  <c r="K406" i="26"/>
  <c r="K407" i="26"/>
  <c r="K408" i="26"/>
  <c r="K409" i="26"/>
  <c r="K410" i="26"/>
  <c r="K411" i="26"/>
  <c r="K412" i="26"/>
  <c r="K413" i="26"/>
  <c r="K414" i="26"/>
  <c r="K415" i="26"/>
  <c r="K416" i="26"/>
  <c r="K417" i="26"/>
  <c r="K418" i="26"/>
  <c r="K419" i="26"/>
  <c r="K420" i="26"/>
  <c r="K421" i="26"/>
  <c r="K422" i="26"/>
  <c r="K423" i="26"/>
  <c r="K424" i="26"/>
  <c r="K425" i="26"/>
  <c r="K426" i="26"/>
  <c r="K427" i="26"/>
  <c r="K428" i="26"/>
  <c r="K429" i="26"/>
  <c r="K430" i="26"/>
  <c r="K431" i="26"/>
  <c r="K432" i="26"/>
  <c r="K433" i="26"/>
  <c r="K434" i="26"/>
  <c r="K435" i="26"/>
  <c r="K436" i="26"/>
  <c r="K437" i="26"/>
  <c r="K438" i="26"/>
  <c r="K439" i="26"/>
  <c r="K440" i="26"/>
  <c r="K441" i="26"/>
  <c r="K442" i="26"/>
  <c r="K443" i="26"/>
  <c r="K444" i="26"/>
  <c r="K445" i="26"/>
  <c r="K446" i="26"/>
  <c r="K447" i="26"/>
  <c r="K448" i="26"/>
  <c r="K449" i="26"/>
  <c r="K450" i="26"/>
  <c r="K451" i="26"/>
  <c r="K452" i="26"/>
  <c r="K453" i="26"/>
  <c r="K454" i="26"/>
  <c r="K455" i="26"/>
  <c r="K456" i="26"/>
  <c r="K457" i="26"/>
  <c r="K458" i="26"/>
  <c r="K459" i="26"/>
  <c r="K460" i="26"/>
  <c r="K461" i="26"/>
  <c r="K462" i="26"/>
  <c r="K463" i="26"/>
  <c r="K464" i="26"/>
  <c r="K465" i="26"/>
  <c r="K466" i="26"/>
  <c r="K467" i="26"/>
  <c r="K468" i="26"/>
  <c r="K469" i="26"/>
  <c r="K470" i="26"/>
  <c r="K471" i="26"/>
  <c r="K472" i="26"/>
  <c r="K473" i="26"/>
  <c r="K474" i="26"/>
  <c r="K475" i="26"/>
  <c r="K476" i="26"/>
  <c r="K477" i="26"/>
  <c r="K478" i="26"/>
  <c r="K479" i="26"/>
  <c r="K480" i="26"/>
  <c r="K481" i="26"/>
  <c r="K482" i="26"/>
  <c r="K483" i="26"/>
  <c r="K484" i="26"/>
  <c r="K485" i="26"/>
  <c r="K486" i="26"/>
  <c r="K487" i="26"/>
  <c r="K488" i="26"/>
  <c r="K489" i="26"/>
  <c r="K490" i="26"/>
  <c r="K491" i="26"/>
  <c r="K492" i="26"/>
  <c r="K493" i="26"/>
  <c r="K494" i="26"/>
  <c r="K495" i="26"/>
  <c r="K496" i="26"/>
  <c r="K497" i="26"/>
  <c r="K498" i="26"/>
  <c r="K499" i="26"/>
  <c r="K500" i="26"/>
  <c r="K501" i="26"/>
  <c r="K502" i="26"/>
  <c r="K503" i="26"/>
  <c r="K504" i="26"/>
  <c r="K505" i="26"/>
  <c r="K506" i="26"/>
  <c r="K507" i="26"/>
  <c r="K508" i="26"/>
  <c r="K509" i="26"/>
  <c r="K510" i="26"/>
  <c r="K511" i="26"/>
  <c r="K512" i="26"/>
  <c r="K513" i="26"/>
  <c r="K514" i="26"/>
  <c r="K515" i="26"/>
  <c r="K516" i="26"/>
  <c r="K517" i="26"/>
  <c r="K518" i="26"/>
  <c r="K519" i="26"/>
  <c r="K520" i="26"/>
  <c r="K521" i="26"/>
  <c r="K522" i="26"/>
  <c r="K523" i="26"/>
  <c r="K524" i="26"/>
  <c r="K525" i="26"/>
  <c r="K526" i="26"/>
  <c r="K527" i="26"/>
  <c r="K528" i="26"/>
  <c r="K529" i="26"/>
  <c r="K530" i="26"/>
  <c r="K531" i="26"/>
  <c r="K532" i="26"/>
  <c r="K533" i="26"/>
  <c r="K534" i="26"/>
  <c r="K535" i="26"/>
  <c r="K536" i="26"/>
  <c r="K537" i="26"/>
  <c r="K538" i="26"/>
  <c r="K539" i="26"/>
  <c r="K540" i="26"/>
  <c r="K541" i="26"/>
  <c r="K542" i="26"/>
  <c r="K543" i="26"/>
  <c r="K544" i="26"/>
  <c r="K545" i="26"/>
  <c r="K546" i="26"/>
  <c r="K547" i="26"/>
  <c r="K548" i="26"/>
  <c r="K549" i="26"/>
  <c r="K550" i="26"/>
  <c r="K551" i="26"/>
  <c r="K552" i="26"/>
  <c r="K553" i="26"/>
  <c r="K554" i="26"/>
  <c r="K555" i="26"/>
  <c r="K556" i="26"/>
  <c r="K557" i="26"/>
  <c r="K558" i="26"/>
  <c r="K559" i="26"/>
  <c r="K560" i="26"/>
  <c r="K561" i="26"/>
  <c r="K562" i="26"/>
  <c r="K563" i="26"/>
  <c r="K564" i="26"/>
  <c r="K565" i="26"/>
  <c r="K566" i="26"/>
  <c r="K567" i="26"/>
  <c r="K568" i="26"/>
  <c r="K569" i="26"/>
  <c r="K570" i="26"/>
  <c r="K571" i="26"/>
  <c r="K572" i="26"/>
  <c r="K573" i="26"/>
  <c r="K574" i="26"/>
  <c r="K575" i="26"/>
  <c r="K576" i="26"/>
  <c r="K577" i="26"/>
  <c r="K578" i="26"/>
  <c r="K579" i="26"/>
  <c r="K580" i="26"/>
  <c r="K581" i="26"/>
  <c r="K582" i="26"/>
  <c r="K583" i="26"/>
  <c r="K584" i="26"/>
  <c r="K585" i="26"/>
  <c r="K586" i="26"/>
  <c r="K587" i="26"/>
  <c r="K588" i="26"/>
  <c r="K589" i="26"/>
  <c r="K590" i="26"/>
  <c r="K591" i="26"/>
  <c r="K592" i="26"/>
  <c r="K593" i="26"/>
  <c r="K594" i="26"/>
  <c r="K595" i="26"/>
  <c r="K596" i="26"/>
  <c r="K597" i="26"/>
  <c r="K598" i="26"/>
  <c r="K599" i="26"/>
  <c r="K600" i="26"/>
  <c r="K601" i="26"/>
  <c r="K602" i="26"/>
  <c r="K603" i="26"/>
  <c r="K604" i="26"/>
  <c r="K605" i="26"/>
  <c r="K606" i="26"/>
  <c r="K607" i="26"/>
  <c r="K608" i="26"/>
  <c r="K609" i="26"/>
  <c r="K610" i="26"/>
  <c r="K611" i="26"/>
  <c r="K612" i="26"/>
  <c r="K613" i="26"/>
  <c r="K614" i="26"/>
  <c r="K615" i="26"/>
  <c r="K616" i="26"/>
  <c r="K617" i="26"/>
  <c r="K618" i="26"/>
  <c r="K619" i="26"/>
  <c r="K620" i="26"/>
  <c r="K621" i="26"/>
  <c r="K622" i="26"/>
  <c r="K623" i="26"/>
  <c r="K624" i="26"/>
  <c r="K625" i="26"/>
  <c r="K626" i="26"/>
  <c r="K627" i="26"/>
  <c r="K628" i="26"/>
  <c r="K629" i="26"/>
  <c r="K630" i="26"/>
  <c r="K631" i="26"/>
  <c r="K632" i="26"/>
  <c r="K633" i="26"/>
  <c r="K634" i="26"/>
  <c r="K635" i="26"/>
  <c r="K636" i="26"/>
  <c r="K637" i="26"/>
  <c r="K638" i="26"/>
  <c r="K639" i="26"/>
  <c r="K640" i="26"/>
  <c r="K641" i="26"/>
  <c r="K642" i="26"/>
  <c r="K643" i="26"/>
  <c r="K644" i="26"/>
  <c r="K645" i="26"/>
  <c r="K646" i="26"/>
  <c r="K647" i="26"/>
  <c r="K648" i="26"/>
  <c r="K649" i="26"/>
  <c r="K650" i="26"/>
  <c r="K651" i="26"/>
  <c r="K652" i="26"/>
  <c r="K653" i="26"/>
  <c r="K654" i="26"/>
  <c r="K655" i="26"/>
  <c r="K656" i="26"/>
  <c r="K657" i="26"/>
  <c r="K658" i="26"/>
  <c r="K659" i="26"/>
  <c r="K660" i="26"/>
  <c r="K661" i="26"/>
  <c r="K662" i="26"/>
  <c r="K663" i="26"/>
  <c r="K664" i="26"/>
  <c r="K665" i="26"/>
  <c r="K666" i="26"/>
  <c r="K667" i="26"/>
  <c r="K668" i="26"/>
  <c r="K669" i="26"/>
  <c r="K670" i="26"/>
  <c r="K671" i="26"/>
  <c r="K672" i="26"/>
  <c r="K673" i="26"/>
  <c r="K674" i="26"/>
  <c r="K675" i="26"/>
  <c r="K676" i="26"/>
  <c r="K677" i="26"/>
  <c r="K678" i="26"/>
  <c r="K679" i="26"/>
  <c r="K680" i="26"/>
  <c r="K681" i="26"/>
  <c r="K682" i="26"/>
  <c r="K683" i="26"/>
  <c r="K684" i="26"/>
  <c r="K685" i="26"/>
  <c r="K686" i="26"/>
  <c r="K687" i="26"/>
  <c r="K688" i="26"/>
  <c r="K689" i="26"/>
  <c r="K690" i="26"/>
  <c r="K691" i="26"/>
  <c r="K692" i="26"/>
  <c r="K693" i="26"/>
  <c r="K694" i="26"/>
  <c r="K695" i="26"/>
  <c r="K696" i="26"/>
  <c r="K697" i="26"/>
  <c r="K698" i="26"/>
  <c r="K699" i="26"/>
  <c r="K700" i="26"/>
  <c r="K701" i="26"/>
  <c r="K702" i="26"/>
  <c r="K703" i="26"/>
  <c r="K704" i="26"/>
  <c r="K705" i="26"/>
  <c r="K706" i="26"/>
  <c r="K707" i="26"/>
  <c r="K708" i="26"/>
  <c r="K709" i="26"/>
  <c r="K710" i="26"/>
  <c r="K711" i="26"/>
  <c r="K712" i="26"/>
  <c r="K713" i="26"/>
  <c r="K714" i="26"/>
  <c r="K715" i="26"/>
  <c r="K716" i="26"/>
  <c r="K717" i="26"/>
  <c r="K718" i="26"/>
  <c r="K719" i="26"/>
  <c r="K720" i="26"/>
  <c r="K721" i="26"/>
  <c r="K722" i="26"/>
  <c r="K723" i="26"/>
  <c r="K724" i="26"/>
  <c r="K725" i="26"/>
  <c r="K726" i="26"/>
  <c r="K727" i="26"/>
  <c r="K728" i="26"/>
  <c r="K729" i="26"/>
  <c r="K730" i="26"/>
  <c r="K731" i="26"/>
  <c r="K732" i="26"/>
  <c r="K733" i="26"/>
  <c r="K734" i="26"/>
  <c r="K735" i="26"/>
  <c r="K736" i="26"/>
  <c r="K737" i="26"/>
  <c r="K738" i="26"/>
  <c r="K739" i="26"/>
  <c r="K740" i="26"/>
  <c r="K741" i="26"/>
  <c r="K742" i="26"/>
  <c r="K743" i="26"/>
  <c r="K744" i="26"/>
  <c r="K745" i="26"/>
  <c r="K746" i="26"/>
  <c r="K747" i="26"/>
  <c r="K748" i="26"/>
  <c r="K749" i="26"/>
  <c r="K750" i="26"/>
  <c r="K751" i="26"/>
  <c r="K752" i="26"/>
  <c r="K753" i="26"/>
  <c r="K754" i="26"/>
  <c r="K755" i="26"/>
  <c r="K756" i="26"/>
  <c r="K757" i="26"/>
  <c r="K758" i="26"/>
  <c r="K759" i="26"/>
  <c r="K760" i="26"/>
  <c r="K761" i="26"/>
  <c r="K762" i="26"/>
  <c r="K763" i="26"/>
  <c r="K764" i="26"/>
  <c r="K765" i="26"/>
  <c r="K766" i="26"/>
  <c r="K767" i="26"/>
  <c r="K768" i="26"/>
  <c r="K769" i="26"/>
  <c r="K770" i="26"/>
  <c r="K771" i="26"/>
  <c r="K772" i="26"/>
  <c r="K773" i="26"/>
  <c r="K774" i="26"/>
  <c r="K775" i="26"/>
  <c r="K776" i="26"/>
  <c r="K777" i="26"/>
  <c r="K778" i="26"/>
  <c r="K779" i="26"/>
  <c r="K780" i="26"/>
  <c r="K781" i="26"/>
  <c r="K782" i="26"/>
  <c r="K783" i="26"/>
  <c r="K784" i="26"/>
  <c r="K785" i="26"/>
  <c r="K786" i="26"/>
  <c r="K787" i="26"/>
  <c r="K788" i="26"/>
  <c r="K789" i="26"/>
  <c r="K790" i="26"/>
  <c r="K791" i="26"/>
  <c r="K792" i="26"/>
  <c r="K793" i="26"/>
  <c r="K794" i="26"/>
  <c r="K795" i="26"/>
  <c r="K796" i="26"/>
  <c r="K797" i="26"/>
  <c r="K798" i="26"/>
  <c r="K799" i="26"/>
  <c r="K800" i="26"/>
  <c r="K801" i="26"/>
  <c r="K802" i="26"/>
  <c r="K803" i="26"/>
  <c r="K804" i="26"/>
  <c r="K805" i="26"/>
  <c r="K806" i="26"/>
  <c r="K807" i="26"/>
  <c r="K808" i="26"/>
  <c r="K809" i="26"/>
  <c r="K810" i="26"/>
  <c r="K811" i="26"/>
  <c r="K812" i="26"/>
  <c r="K813" i="26"/>
  <c r="K814" i="26"/>
  <c r="K815" i="26"/>
  <c r="K816" i="26"/>
  <c r="K817" i="26"/>
  <c r="K818" i="26"/>
  <c r="K819" i="26"/>
  <c r="K820" i="26"/>
  <c r="K821" i="26"/>
  <c r="K822" i="26"/>
  <c r="K823" i="26"/>
  <c r="K824" i="26"/>
  <c r="K825" i="26"/>
  <c r="K826" i="26"/>
  <c r="K827" i="26"/>
  <c r="K828" i="26"/>
  <c r="K829" i="26"/>
  <c r="K830" i="26"/>
  <c r="K831" i="26"/>
  <c r="K832" i="26"/>
  <c r="K833" i="26"/>
  <c r="K834" i="26"/>
  <c r="K835" i="26"/>
  <c r="K836" i="26"/>
  <c r="K837" i="26"/>
  <c r="K838" i="26"/>
  <c r="K839" i="26"/>
  <c r="K840" i="26"/>
  <c r="K841" i="26"/>
  <c r="K842" i="26"/>
  <c r="K843" i="26"/>
  <c r="K844" i="26"/>
  <c r="K845" i="26"/>
  <c r="K846" i="26"/>
  <c r="K847" i="26"/>
  <c r="K848" i="26"/>
  <c r="K849" i="26"/>
  <c r="K850" i="26"/>
  <c r="K851" i="26"/>
  <c r="K852" i="26"/>
  <c r="K853" i="26"/>
  <c r="K854" i="26"/>
  <c r="K855" i="26"/>
  <c r="K856" i="26"/>
  <c r="K857" i="26"/>
  <c r="K858" i="26"/>
  <c r="K859" i="26"/>
  <c r="K860" i="26"/>
  <c r="K861" i="26"/>
  <c r="K862" i="26"/>
  <c r="K863" i="26"/>
  <c r="K864" i="26"/>
  <c r="K865" i="26"/>
  <c r="K866" i="26"/>
  <c r="K867" i="26"/>
  <c r="K868" i="26"/>
  <c r="K869" i="26"/>
  <c r="K870" i="26"/>
  <c r="K871" i="26"/>
  <c r="K872" i="26"/>
  <c r="K873" i="26"/>
  <c r="K874" i="26"/>
  <c r="K875" i="26"/>
  <c r="K876" i="26"/>
  <c r="K877" i="26"/>
  <c r="K878" i="26"/>
  <c r="K879" i="26"/>
  <c r="K880" i="26"/>
  <c r="K881" i="26"/>
  <c r="K882" i="26"/>
  <c r="K883" i="26"/>
  <c r="K884" i="26"/>
  <c r="K885" i="26"/>
  <c r="K886" i="26"/>
  <c r="K887" i="26"/>
  <c r="K888" i="26"/>
  <c r="K889" i="26"/>
  <c r="K890" i="26"/>
  <c r="K891" i="26"/>
  <c r="K892" i="26"/>
  <c r="K893" i="26"/>
  <c r="K894" i="26"/>
  <c r="K895" i="26"/>
  <c r="K896" i="26"/>
  <c r="K897" i="26"/>
  <c r="K898" i="26"/>
  <c r="K899" i="26"/>
  <c r="K900" i="26"/>
  <c r="K901" i="26"/>
  <c r="K902" i="26"/>
  <c r="K903" i="26"/>
  <c r="K904" i="26"/>
  <c r="K905" i="26"/>
  <c r="K906" i="26"/>
  <c r="K907" i="26"/>
  <c r="K908" i="26"/>
  <c r="K909" i="26"/>
  <c r="K910" i="26"/>
  <c r="K911" i="26"/>
  <c r="K912" i="26"/>
  <c r="K913" i="26"/>
  <c r="K914" i="26"/>
  <c r="K915" i="26"/>
  <c r="K916" i="26"/>
  <c r="K917" i="26"/>
  <c r="K918" i="26"/>
  <c r="K919" i="26"/>
  <c r="K920" i="26"/>
  <c r="K921" i="26"/>
  <c r="K922" i="26"/>
  <c r="K923" i="26"/>
  <c r="K924" i="26"/>
  <c r="K925" i="26"/>
  <c r="K926" i="26"/>
  <c r="K927" i="26"/>
  <c r="K928" i="26"/>
  <c r="K929" i="26"/>
  <c r="K930" i="26"/>
  <c r="K931" i="26"/>
  <c r="K932" i="26"/>
  <c r="K933" i="26"/>
  <c r="K934" i="26"/>
  <c r="K935" i="26"/>
  <c r="K936" i="26"/>
  <c r="K937" i="26"/>
  <c r="K938" i="26"/>
  <c r="K939" i="26"/>
  <c r="K940" i="26"/>
  <c r="K941" i="26"/>
  <c r="K942" i="26"/>
  <c r="K943" i="26"/>
  <c r="K944" i="26"/>
  <c r="K945" i="26"/>
  <c r="K946" i="26"/>
  <c r="K947" i="26"/>
  <c r="K948" i="26"/>
  <c r="K949" i="26"/>
  <c r="K950" i="26"/>
  <c r="K951" i="26"/>
  <c r="K952" i="26"/>
  <c r="K953" i="26"/>
  <c r="K954" i="26"/>
  <c r="K955" i="26"/>
  <c r="K956" i="26"/>
  <c r="K957" i="26"/>
  <c r="K958" i="26"/>
  <c r="K959" i="26"/>
  <c r="K960" i="26"/>
  <c r="K961" i="26"/>
  <c r="K962" i="26"/>
  <c r="K963" i="26"/>
  <c r="K964" i="26"/>
  <c r="K965" i="26"/>
  <c r="K966" i="26"/>
  <c r="K967" i="26"/>
  <c r="K968" i="26"/>
  <c r="K969" i="26"/>
  <c r="K970" i="26"/>
  <c r="K971" i="26"/>
  <c r="K972" i="26"/>
  <c r="K973" i="26"/>
  <c r="K974" i="26"/>
  <c r="K975" i="26"/>
  <c r="K976" i="26"/>
  <c r="K977" i="26"/>
  <c r="K978" i="26"/>
  <c r="K979" i="26"/>
  <c r="K980" i="26"/>
  <c r="K981" i="26"/>
  <c r="K982" i="26"/>
  <c r="K983" i="26"/>
  <c r="K984" i="26"/>
  <c r="K985" i="26"/>
  <c r="K986" i="26"/>
  <c r="K987" i="26"/>
  <c r="K988" i="26"/>
  <c r="K989" i="26"/>
  <c r="K990" i="26"/>
  <c r="K991" i="26"/>
  <c r="K992" i="26"/>
  <c r="K993" i="26"/>
  <c r="K994" i="26"/>
  <c r="K995" i="26"/>
  <c r="K996" i="26"/>
  <c r="K997" i="26"/>
  <c r="K998" i="26"/>
  <c r="K999" i="26"/>
  <c r="K1000" i="26"/>
  <c r="K1001" i="26"/>
  <c r="K1002" i="26"/>
  <c r="K1003" i="26"/>
  <c r="K1004" i="26"/>
  <c r="K1005" i="26"/>
  <c r="K1006" i="26"/>
  <c r="K1007" i="26"/>
  <c r="K1008" i="26"/>
  <c r="K1009" i="26"/>
  <c r="K1010" i="26"/>
  <c r="K1011" i="26"/>
  <c r="K1012" i="26"/>
  <c r="K1013" i="26"/>
  <c r="K1014" i="26"/>
  <c r="K1015" i="26"/>
  <c r="K1016" i="26"/>
  <c r="K1017" i="26"/>
  <c r="K1018" i="26"/>
  <c r="K1019" i="26"/>
  <c r="K1020" i="26"/>
  <c r="K1021" i="26"/>
  <c r="K1022" i="26"/>
  <c r="K1023" i="26"/>
  <c r="K1024" i="26"/>
  <c r="K1025" i="26"/>
  <c r="K1026" i="26"/>
  <c r="K1027" i="26"/>
  <c r="K1028" i="26"/>
  <c r="K1029" i="26"/>
  <c r="K1030" i="26"/>
  <c r="K1031" i="26"/>
  <c r="K1032" i="26"/>
  <c r="K1033" i="26"/>
  <c r="K1034" i="26"/>
  <c r="K1035" i="26"/>
  <c r="K1036" i="26"/>
  <c r="K1037" i="26"/>
  <c r="K1038" i="26"/>
  <c r="K1039" i="26"/>
  <c r="K1040" i="26"/>
  <c r="K1041" i="26"/>
  <c r="K1042" i="26"/>
  <c r="K1043" i="26"/>
  <c r="K1044" i="26"/>
  <c r="K1045" i="26"/>
  <c r="K1046" i="26"/>
  <c r="K1047" i="26"/>
  <c r="K1048" i="26"/>
  <c r="K1049" i="26"/>
  <c r="K1050" i="26"/>
  <c r="K1051" i="26"/>
  <c r="K1052" i="26"/>
  <c r="K1053" i="26"/>
  <c r="K1054" i="26"/>
  <c r="K1055" i="26"/>
  <c r="K1056" i="26"/>
  <c r="K1057" i="26"/>
  <c r="K1058" i="26"/>
  <c r="K1059" i="26"/>
  <c r="K1060" i="26"/>
  <c r="K1061" i="26"/>
  <c r="K1062" i="26"/>
  <c r="K1063" i="26"/>
  <c r="K1064" i="26"/>
  <c r="K1065" i="26"/>
  <c r="K1066" i="26"/>
  <c r="K1067" i="26"/>
  <c r="K1068" i="26"/>
  <c r="K1069" i="26"/>
  <c r="K1070" i="26"/>
  <c r="K1071" i="26"/>
  <c r="K1072" i="26"/>
  <c r="K1073" i="26"/>
  <c r="K1074" i="26"/>
  <c r="K1075" i="26"/>
  <c r="K1076" i="26"/>
  <c r="K1077" i="26"/>
  <c r="K1078" i="26"/>
  <c r="K1079" i="26"/>
  <c r="K1080" i="26"/>
  <c r="K1081" i="26"/>
  <c r="K1082" i="26"/>
  <c r="K1083" i="26"/>
  <c r="K1084" i="26"/>
  <c r="K1085" i="26"/>
  <c r="K1086" i="26"/>
  <c r="K1087" i="26"/>
  <c r="K1088" i="26"/>
  <c r="K1089" i="26"/>
  <c r="K1090" i="26"/>
  <c r="K1091" i="26"/>
  <c r="K1092" i="26"/>
  <c r="K1093" i="26"/>
  <c r="K1094" i="26"/>
  <c r="K1095" i="26"/>
  <c r="K1096" i="26"/>
  <c r="K1097" i="26"/>
  <c r="K1098" i="26"/>
  <c r="K1099" i="26"/>
  <c r="K1100" i="26"/>
  <c r="K1101" i="26"/>
  <c r="K1102" i="26"/>
  <c r="K1103" i="26"/>
  <c r="K1104" i="26"/>
  <c r="K1105" i="26"/>
  <c r="K1106" i="26"/>
  <c r="K1107" i="26"/>
  <c r="K1108" i="26"/>
  <c r="K1109" i="26"/>
  <c r="K1110" i="26"/>
  <c r="K1111" i="26"/>
  <c r="K1112" i="26"/>
  <c r="K1113" i="26"/>
  <c r="K1114" i="26"/>
  <c r="K1115" i="26"/>
  <c r="K1116" i="26"/>
  <c r="K1117" i="26"/>
  <c r="K1118" i="26"/>
  <c r="K1119" i="26"/>
  <c r="K1120" i="26"/>
  <c r="K1121" i="26"/>
  <c r="K1122" i="26"/>
  <c r="K1123" i="26"/>
  <c r="K1124" i="26"/>
  <c r="K1125" i="26"/>
  <c r="K1126" i="26"/>
  <c r="K1127" i="26"/>
  <c r="K1128" i="26"/>
  <c r="K1129" i="26"/>
  <c r="K1130" i="26"/>
  <c r="K1131" i="26"/>
  <c r="K1132" i="26"/>
  <c r="K1133" i="26"/>
  <c r="K1134" i="26"/>
  <c r="K1135" i="26"/>
  <c r="K1136" i="26"/>
  <c r="K1137" i="26"/>
  <c r="K1138" i="26"/>
  <c r="K1139" i="26"/>
  <c r="K1140" i="26"/>
  <c r="K1141" i="26"/>
  <c r="K1142" i="26"/>
  <c r="K1143" i="26"/>
  <c r="K1144" i="26"/>
  <c r="K1145" i="26"/>
  <c r="K1146" i="26"/>
  <c r="K1147" i="26"/>
  <c r="K1148" i="26"/>
  <c r="K1149" i="26"/>
  <c r="K1150" i="26"/>
  <c r="K1151" i="26"/>
  <c r="K1152" i="26"/>
  <c r="K1153" i="26"/>
  <c r="K1154" i="26"/>
  <c r="K1155" i="26"/>
  <c r="K1156" i="26"/>
  <c r="K1157" i="26"/>
  <c r="K1158" i="26"/>
  <c r="K1159" i="26"/>
  <c r="K1160" i="26"/>
  <c r="K1161" i="26"/>
  <c r="K1162" i="26"/>
  <c r="K1163" i="26"/>
  <c r="K1164" i="26"/>
  <c r="K1165" i="26"/>
  <c r="K1166" i="26"/>
  <c r="K1167" i="26"/>
  <c r="K1168" i="26"/>
  <c r="K1169" i="26"/>
  <c r="K1170" i="26"/>
  <c r="K1171" i="26"/>
  <c r="K1172" i="26"/>
  <c r="K1173" i="26"/>
  <c r="K1174" i="26"/>
  <c r="K1175" i="26"/>
  <c r="K1176" i="26"/>
  <c r="K1177" i="26"/>
  <c r="K1178" i="26"/>
  <c r="K1179" i="26"/>
  <c r="K1180" i="26"/>
  <c r="K1181" i="26"/>
  <c r="K1182" i="26"/>
  <c r="K1183" i="26"/>
  <c r="K1184" i="26"/>
  <c r="K1185" i="26"/>
  <c r="K1186" i="26"/>
  <c r="K1187" i="26"/>
  <c r="K1188" i="26"/>
  <c r="K1189" i="26"/>
  <c r="K1190" i="26"/>
  <c r="K1191" i="26"/>
  <c r="K1192" i="26"/>
  <c r="K1193" i="26"/>
  <c r="K1194" i="26"/>
  <c r="K1195" i="26"/>
  <c r="K1196" i="26"/>
  <c r="K1197" i="26"/>
  <c r="K1198" i="26"/>
  <c r="K1199" i="26"/>
  <c r="K1200" i="26"/>
  <c r="K1201" i="26"/>
  <c r="K1202" i="26"/>
  <c r="K1203" i="26"/>
  <c r="K1204" i="26"/>
  <c r="K1205" i="26"/>
  <c r="K1206" i="26"/>
  <c r="K1207" i="26"/>
  <c r="K1208" i="26"/>
  <c r="K1209" i="26"/>
  <c r="K1210" i="26"/>
  <c r="K1211" i="26"/>
  <c r="K1212" i="26"/>
  <c r="K1213" i="26"/>
  <c r="K1214" i="26"/>
  <c r="K1215" i="26"/>
  <c r="K1216" i="26"/>
  <c r="K1217" i="26"/>
  <c r="K1218" i="26"/>
  <c r="K1219" i="26"/>
  <c r="K1220" i="26"/>
  <c r="K1221" i="26"/>
  <c r="K1222" i="26"/>
  <c r="K1223" i="26"/>
  <c r="K1224" i="26"/>
  <c r="K1225" i="26"/>
  <c r="K1226" i="26"/>
  <c r="K1227" i="26"/>
  <c r="K1228" i="26"/>
  <c r="K1229" i="26"/>
  <c r="K1230" i="26"/>
  <c r="K1231" i="26"/>
  <c r="K1232" i="26"/>
  <c r="K1233" i="26"/>
  <c r="K1234" i="26"/>
  <c r="K1235" i="26"/>
  <c r="K1236" i="26"/>
  <c r="K1237" i="26"/>
  <c r="K1238" i="26"/>
  <c r="K1239" i="26"/>
  <c r="K1240" i="26"/>
  <c r="K1241" i="26"/>
  <c r="K1242" i="26"/>
  <c r="K1243" i="26"/>
  <c r="K1244" i="26"/>
  <c r="K1245" i="26"/>
  <c r="K1246" i="26"/>
  <c r="K1247" i="26"/>
  <c r="K1248" i="26"/>
  <c r="K1249" i="26"/>
  <c r="K1250" i="26"/>
  <c r="K1251" i="26"/>
  <c r="K1252" i="26"/>
  <c r="K1253" i="26"/>
  <c r="K1254" i="26"/>
  <c r="K1255" i="26"/>
  <c r="K1256" i="26"/>
  <c r="K1257" i="26"/>
  <c r="K1258" i="26"/>
  <c r="K1259" i="26"/>
  <c r="K1260" i="26"/>
  <c r="K1261" i="26"/>
  <c r="K1262" i="26"/>
  <c r="K1263" i="26"/>
  <c r="K1264" i="26"/>
  <c r="K1265" i="26"/>
  <c r="K1266" i="26"/>
  <c r="K1267" i="26"/>
  <c r="K1268" i="26"/>
  <c r="K1269" i="26"/>
  <c r="K1270" i="26"/>
  <c r="K1271" i="26"/>
  <c r="K1272" i="26"/>
  <c r="K1273" i="26"/>
  <c r="K1274" i="26"/>
  <c r="K1275" i="26"/>
  <c r="K1276" i="26"/>
  <c r="K1277" i="26"/>
  <c r="K1278" i="26"/>
  <c r="K1279" i="26"/>
  <c r="K1280" i="26"/>
  <c r="K1281" i="26"/>
  <c r="K1282" i="26"/>
  <c r="K1283" i="26"/>
  <c r="K1284" i="26"/>
  <c r="K1285" i="26"/>
  <c r="K1286" i="26"/>
  <c r="K1287" i="26"/>
  <c r="K1288" i="26"/>
  <c r="K1289" i="26"/>
  <c r="K1290" i="26"/>
  <c r="K1291" i="26"/>
  <c r="K1292" i="26"/>
  <c r="K1293" i="26"/>
  <c r="K1294" i="26"/>
  <c r="K1295" i="26"/>
  <c r="K1296" i="26"/>
  <c r="K1297" i="26"/>
  <c r="K1298" i="26"/>
  <c r="K1299" i="26"/>
  <c r="K1300" i="26"/>
  <c r="K1301" i="26"/>
  <c r="K1302" i="26"/>
  <c r="K1303" i="26"/>
  <c r="K1304" i="26"/>
  <c r="K1305" i="26"/>
  <c r="K1306" i="26"/>
  <c r="K1307" i="26"/>
  <c r="K1308" i="26"/>
  <c r="K1309" i="26"/>
  <c r="K1310" i="26"/>
  <c r="K1311" i="26"/>
  <c r="K1312" i="26"/>
  <c r="K1313" i="26"/>
  <c r="K1314" i="26"/>
  <c r="K1315" i="26"/>
  <c r="K1316" i="26"/>
  <c r="K1317" i="26"/>
  <c r="K1318" i="26"/>
  <c r="K1319" i="26"/>
  <c r="K1320" i="26"/>
  <c r="K1321" i="26"/>
  <c r="K1322" i="26"/>
  <c r="K1323" i="26"/>
  <c r="K1324" i="26"/>
  <c r="K1325" i="26"/>
  <c r="K1326" i="26"/>
  <c r="K1327" i="26"/>
  <c r="K1328" i="26"/>
  <c r="K1329" i="26"/>
  <c r="K1330" i="26"/>
  <c r="K1331" i="26"/>
  <c r="K1332" i="26"/>
  <c r="K1333" i="26"/>
  <c r="K1334" i="26"/>
  <c r="K1335" i="26"/>
  <c r="K1336" i="26"/>
  <c r="K1337" i="26"/>
  <c r="K1338" i="26"/>
  <c r="K1339" i="26"/>
  <c r="K1340" i="26"/>
  <c r="K1341" i="26"/>
  <c r="K1342" i="26"/>
  <c r="K1343" i="26"/>
  <c r="K1344" i="26"/>
  <c r="K1345" i="26"/>
  <c r="K1346" i="26"/>
  <c r="K1347" i="26"/>
  <c r="K1348" i="26"/>
  <c r="K1349" i="26"/>
  <c r="K1350" i="26"/>
  <c r="K1351" i="26"/>
  <c r="K1352" i="26"/>
  <c r="K1353" i="26"/>
  <c r="K1354" i="26"/>
  <c r="K1355" i="26"/>
  <c r="K1356" i="26"/>
  <c r="K1357" i="26"/>
  <c r="K1358" i="26"/>
  <c r="K1359" i="26"/>
  <c r="K1360" i="26"/>
  <c r="K1361" i="26"/>
  <c r="K1362" i="26"/>
  <c r="K1363" i="26"/>
  <c r="K1364" i="26"/>
  <c r="K1365" i="26"/>
  <c r="K1366" i="26"/>
  <c r="K1367" i="26"/>
  <c r="K1368" i="26"/>
  <c r="K1369" i="26"/>
  <c r="K1370" i="26"/>
  <c r="K1371" i="26"/>
  <c r="K1372" i="26"/>
  <c r="K1373" i="26"/>
  <c r="K1374" i="26"/>
  <c r="K1375" i="26"/>
  <c r="K1376" i="26"/>
  <c r="K1377" i="26"/>
  <c r="K1378" i="26"/>
  <c r="K1379" i="26"/>
  <c r="K1380" i="26"/>
  <c r="K1381" i="26"/>
  <c r="K1382" i="26"/>
  <c r="K1383" i="26"/>
  <c r="K1384" i="26"/>
  <c r="K1385" i="26"/>
  <c r="K1386" i="26"/>
  <c r="K1387" i="26"/>
  <c r="K1388" i="26"/>
  <c r="K1389" i="26"/>
  <c r="K1390" i="26"/>
  <c r="K1391" i="26"/>
  <c r="K1392" i="26"/>
  <c r="K1393" i="26"/>
  <c r="K1394" i="26"/>
  <c r="K1395" i="26"/>
  <c r="K1396" i="26"/>
  <c r="K1397" i="26"/>
  <c r="K1398" i="26"/>
  <c r="K1399" i="26"/>
  <c r="K1400" i="26"/>
  <c r="K1401" i="26"/>
  <c r="K1402" i="26"/>
  <c r="K1403" i="26"/>
  <c r="K1404" i="26"/>
  <c r="K1405" i="26"/>
  <c r="K1406" i="26"/>
  <c r="K1407" i="26"/>
  <c r="K1408" i="26"/>
  <c r="K1409" i="26"/>
  <c r="K1410" i="26"/>
  <c r="K1411" i="26"/>
  <c r="K1412" i="26"/>
  <c r="K1413" i="26"/>
  <c r="K1414" i="26"/>
  <c r="K1415" i="26"/>
  <c r="K1416" i="26"/>
  <c r="K1417" i="26"/>
  <c r="K1418" i="26"/>
  <c r="K1419" i="26"/>
  <c r="K1420" i="26"/>
  <c r="K1421" i="26"/>
  <c r="K1422" i="26"/>
  <c r="K1423" i="26"/>
  <c r="K1424" i="26"/>
  <c r="K1425" i="26"/>
  <c r="K1426" i="26"/>
  <c r="K1427" i="26"/>
  <c r="K1428" i="26"/>
  <c r="K1429" i="26"/>
  <c r="K1430" i="26"/>
  <c r="K1431" i="26"/>
  <c r="K1432" i="26"/>
  <c r="K1433" i="26"/>
  <c r="K1434" i="26"/>
  <c r="K1435" i="26"/>
  <c r="K1436" i="26"/>
  <c r="K1437" i="26"/>
  <c r="K1438" i="26"/>
  <c r="K1439" i="26"/>
  <c r="K1440" i="26"/>
  <c r="K1441" i="26"/>
  <c r="K1442" i="26"/>
  <c r="K1443" i="26"/>
  <c r="K1444" i="26"/>
  <c r="K1445" i="26"/>
  <c r="K1446" i="26"/>
  <c r="K1447" i="26"/>
  <c r="K1448" i="26"/>
  <c r="K1449" i="26"/>
  <c r="K1450" i="26"/>
  <c r="K1451" i="26"/>
  <c r="K1452" i="26"/>
  <c r="K1453" i="26"/>
  <c r="K1454" i="26"/>
  <c r="K1455" i="26"/>
  <c r="K1456" i="26"/>
  <c r="K1457" i="26"/>
  <c r="K1458" i="26"/>
  <c r="K1459" i="26"/>
  <c r="K1460" i="26"/>
  <c r="K1461" i="26"/>
  <c r="K1462" i="26"/>
  <c r="K1463" i="26"/>
  <c r="K1464" i="26"/>
  <c r="K1465" i="26"/>
  <c r="K1466" i="26"/>
  <c r="K1467" i="26"/>
  <c r="K1468" i="26"/>
  <c r="K1469" i="26"/>
  <c r="K1470" i="26"/>
  <c r="K1471" i="26"/>
  <c r="K1472" i="26"/>
  <c r="K1473" i="26"/>
  <c r="K1474" i="26"/>
  <c r="K1475" i="26"/>
  <c r="K1476" i="26"/>
  <c r="K1477" i="26"/>
  <c r="K1478" i="26"/>
  <c r="K1479" i="26"/>
  <c r="K1480" i="26"/>
  <c r="K1481" i="26"/>
  <c r="K1482" i="26"/>
  <c r="K1483" i="26"/>
  <c r="K1484" i="26"/>
  <c r="K1485" i="26"/>
  <c r="K1486" i="26"/>
  <c r="K1487" i="26"/>
  <c r="K1488" i="26"/>
  <c r="K1489" i="26"/>
  <c r="K1490" i="26"/>
  <c r="K1491" i="26"/>
  <c r="K1492" i="26"/>
  <c r="K1493" i="26"/>
  <c r="K1494" i="26"/>
  <c r="K1495" i="26"/>
  <c r="K1496" i="26"/>
  <c r="K1497" i="26"/>
  <c r="K1498" i="26"/>
  <c r="K1499" i="26"/>
  <c r="K1500" i="26"/>
  <c r="K1501" i="26"/>
  <c r="K1502" i="26"/>
  <c r="K1503" i="26"/>
  <c r="K1504" i="26"/>
  <c r="K1505" i="26"/>
  <c r="K1506" i="26"/>
  <c r="K1507" i="26"/>
  <c r="K1508" i="26"/>
  <c r="K1509" i="26"/>
  <c r="K1510" i="26"/>
  <c r="K1511" i="26"/>
  <c r="K1512" i="26"/>
  <c r="K1513" i="26"/>
  <c r="K1514" i="26"/>
  <c r="K1515" i="26"/>
  <c r="K1516" i="26"/>
  <c r="K1517" i="26"/>
  <c r="K1518" i="26"/>
  <c r="K1519" i="26"/>
  <c r="K1520" i="26"/>
  <c r="K1521" i="26"/>
  <c r="K1522" i="26"/>
  <c r="K1523" i="26"/>
  <c r="K1524" i="26"/>
  <c r="K1525" i="26"/>
  <c r="K1526" i="26"/>
  <c r="K1527" i="26"/>
  <c r="K1528" i="26"/>
  <c r="K1529" i="26"/>
  <c r="K1530" i="26"/>
  <c r="K1531" i="26"/>
  <c r="K1532" i="26"/>
  <c r="K1533" i="26"/>
  <c r="K1534" i="26"/>
  <c r="K1535" i="26"/>
  <c r="K1536" i="26"/>
  <c r="K1537" i="26"/>
  <c r="K1538" i="26"/>
  <c r="K1539" i="26"/>
  <c r="K1540" i="26"/>
  <c r="K1541" i="26"/>
  <c r="K1542" i="26"/>
  <c r="K1543" i="26"/>
  <c r="K1544" i="26"/>
  <c r="K1545" i="26"/>
  <c r="K1546" i="26"/>
  <c r="K1547" i="26"/>
  <c r="K1548" i="26"/>
  <c r="K1549" i="26"/>
  <c r="K1550" i="26"/>
  <c r="K1551" i="26"/>
  <c r="K1552" i="26"/>
  <c r="K1553" i="26"/>
  <c r="K1554" i="26"/>
  <c r="K1555" i="26"/>
  <c r="K1556" i="26"/>
  <c r="K1557" i="26"/>
  <c r="K1558" i="26"/>
  <c r="K1559" i="26"/>
  <c r="K1560" i="26"/>
  <c r="K1561" i="26"/>
  <c r="K1562" i="26"/>
  <c r="K1563" i="26"/>
  <c r="K1564" i="26"/>
  <c r="K1565" i="26"/>
  <c r="K1566" i="26"/>
  <c r="K1567" i="26"/>
  <c r="K1568" i="26"/>
  <c r="K1569" i="26"/>
  <c r="K1570" i="26"/>
  <c r="K1571" i="26"/>
  <c r="K1572" i="26"/>
  <c r="K1573" i="26"/>
  <c r="K1574" i="26"/>
  <c r="K1575" i="26"/>
  <c r="K1576" i="26"/>
  <c r="K1577" i="26"/>
  <c r="K1578" i="26"/>
  <c r="K1579" i="26"/>
  <c r="K1580" i="26"/>
  <c r="K1581" i="26"/>
  <c r="K1582" i="26"/>
  <c r="K1583" i="26"/>
  <c r="K1584" i="26"/>
  <c r="K1585" i="26"/>
  <c r="K1586" i="26"/>
  <c r="K1587" i="26"/>
  <c r="K1588" i="26"/>
  <c r="K1589" i="26"/>
  <c r="K1590" i="26"/>
  <c r="K1591" i="26"/>
  <c r="K1592" i="26"/>
  <c r="K1593" i="26"/>
  <c r="K1594" i="26"/>
  <c r="K1595" i="26"/>
  <c r="K1596" i="26"/>
  <c r="K1597" i="26"/>
  <c r="K1598" i="26"/>
  <c r="K1599" i="26"/>
  <c r="K1600" i="26"/>
  <c r="K1601" i="26"/>
  <c r="K1602" i="26"/>
  <c r="K1603" i="26"/>
  <c r="K1604" i="26"/>
  <c r="K1605" i="26"/>
  <c r="K1606" i="26"/>
  <c r="K1607" i="26"/>
  <c r="K1608" i="26"/>
  <c r="K1609" i="26"/>
  <c r="K1610" i="26"/>
  <c r="K1611" i="26"/>
  <c r="K1612" i="26"/>
  <c r="K1613" i="26"/>
  <c r="K1614" i="26"/>
  <c r="K1615" i="26"/>
  <c r="K1616" i="26"/>
  <c r="K1617" i="26"/>
  <c r="K1618" i="26"/>
  <c r="K1619" i="26"/>
  <c r="K1620" i="26"/>
  <c r="K1621" i="26"/>
  <c r="K1622" i="26"/>
  <c r="K1623" i="26"/>
  <c r="K1624" i="26"/>
  <c r="K1625" i="26"/>
  <c r="K1626" i="26"/>
  <c r="K1627" i="26"/>
  <c r="K1628" i="26"/>
  <c r="K1629" i="26"/>
  <c r="K1630" i="26"/>
  <c r="K1631" i="26"/>
  <c r="K1632" i="26"/>
  <c r="K1633" i="26"/>
  <c r="K1634" i="26"/>
  <c r="K1635" i="26"/>
  <c r="K1636" i="26"/>
  <c r="K1637" i="26"/>
  <c r="K1638" i="26"/>
  <c r="K1639" i="26"/>
  <c r="K1640" i="26"/>
  <c r="K1641" i="26"/>
  <c r="K1642" i="26"/>
  <c r="K1643" i="26"/>
  <c r="K1644" i="26"/>
  <c r="K1645" i="26"/>
  <c r="K1646" i="26"/>
  <c r="K1647" i="26"/>
  <c r="K1648" i="26"/>
  <c r="K1649" i="26"/>
  <c r="K1650" i="26"/>
  <c r="K1651" i="26"/>
  <c r="K1652" i="26"/>
  <c r="K1653" i="26"/>
  <c r="K1654" i="26"/>
  <c r="K1655" i="26"/>
  <c r="K1656" i="26"/>
  <c r="K1657" i="26"/>
  <c r="K1658" i="26"/>
  <c r="K1659" i="26"/>
  <c r="K1660" i="26"/>
  <c r="K1661" i="26"/>
  <c r="K1662" i="26"/>
  <c r="K1663" i="26"/>
  <c r="K1664" i="26"/>
  <c r="K1665" i="26"/>
  <c r="K1666" i="26"/>
  <c r="K1667" i="26"/>
  <c r="K1668" i="26"/>
  <c r="K1669" i="26"/>
  <c r="K1670" i="26"/>
  <c r="K1671" i="26"/>
  <c r="K1672" i="26"/>
  <c r="K1673" i="26"/>
  <c r="K1674" i="26"/>
  <c r="K1675" i="26"/>
  <c r="K1676" i="26"/>
  <c r="K1677" i="26"/>
  <c r="K1678" i="26"/>
  <c r="K1679" i="26"/>
  <c r="K1680" i="26"/>
  <c r="K1681" i="26"/>
  <c r="K1682" i="26"/>
  <c r="K1683" i="26"/>
  <c r="K1684" i="26"/>
  <c r="K1685" i="26"/>
  <c r="K1686" i="26"/>
  <c r="K1687" i="26"/>
  <c r="K1688" i="26"/>
  <c r="K1689" i="26"/>
  <c r="K1690" i="26"/>
  <c r="K1691" i="26"/>
  <c r="K1692" i="26"/>
  <c r="K1693" i="26"/>
  <c r="K1694" i="26"/>
  <c r="K1695" i="26"/>
  <c r="K1696" i="26"/>
  <c r="K1697" i="26"/>
  <c r="K1698" i="26"/>
  <c r="K1699" i="26"/>
  <c r="K1700" i="26"/>
  <c r="K1701" i="26"/>
  <c r="K1702" i="26"/>
  <c r="K1703" i="26"/>
  <c r="K1704" i="26"/>
  <c r="K1705" i="26"/>
  <c r="K1706" i="26"/>
  <c r="K1707" i="26"/>
  <c r="K1708" i="26"/>
  <c r="K1709" i="26"/>
  <c r="K1710" i="26"/>
  <c r="K1711" i="26"/>
  <c r="K1712" i="26"/>
  <c r="K1713" i="26"/>
  <c r="K1714" i="26"/>
  <c r="K1715" i="26"/>
  <c r="K1716" i="26"/>
  <c r="K1717" i="26"/>
  <c r="K1718" i="26"/>
  <c r="K1719" i="26"/>
  <c r="K1720" i="26"/>
  <c r="K1721" i="26"/>
  <c r="K1722" i="26"/>
  <c r="K1723" i="26"/>
  <c r="K1724" i="26"/>
  <c r="K1725" i="26"/>
  <c r="K1726" i="26"/>
  <c r="K1727" i="26"/>
  <c r="K1728" i="26"/>
  <c r="K1729" i="26"/>
  <c r="K1730" i="26"/>
  <c r="K1731" i="26"/>
  <c r="K1732" i="26"/>
  <c r="K1733" i="26"/>
  <c r="K1734" i="26"/>
  <c r="K1735" i="26"/>
  <c r="K1736" i="26"/>
  <c r="K1737" i="26"/>
  <c r="K1738" i="26"/>
  <c r="K1739" i="26"/>
  <c r="K1740" i="26"/>
  <c r="K1741" i="26"/>
  <c r="K1742" i="26"/>
  <c r="K1743" i="26"/>
  <c r="K1744" i="26"/>
  <c r="K1745" i="26"/>
  <c r="K1746" i="26"/>
  <c r="K1747" i="26"/>
  <c r="K1748" i="26"/>
  <c r="K1749" i="26"/>
  <c r="K1750" i="26"/>
  <c r="K1751" i="26"/>
  <c r="K1752" i="26"/>
  <c r="K1753" i="26"/>
  <c r="K1754" i="26"/>
  <c r="K1755" i="26"/>
  <c r="K1756" i="26"/>
  <c r="K1757" i="26"/>
  <c r="K1758" i="26"/>
  <c r="K1759" i="26"/>
  <c r="K1760" i="26"/>
  <c r="K1761" i="26"/>
  <c r="K1762" i="26"/>
  <c r="K1763" i="26"/>
  <c r="K1764" i="26"/>
  <c r="K1765" i="26"/>
  <c r="K1766" i="26"/>
  <c r="K1767" i="26"/>
  <c r="K1768" i="26"/>
  <c r="K1769" i="26"/>
  <c r="K1770" i="26"/>
  <c r="K1771" i="26"/>
  <c r="K1772" i="26"/>
  <c r="K1773" i="26"/>
  <c r="K1774" i="26"/>
  <c r="K1775" i="26"/>
  <c r="K1776" i="26"/>
  <c r="K1777" i="26"/>
  <c r="K1778" i="26"/>
  <c r="K1779" i="26"/>
  <c r="K1780" i="26"/>
  <c r="K1781" i="26"/>
  <c r="K1782" i="26"/>
  <c r="K1783" i="26"/>
  <c r="K1784" i="26"/>
  <c r="K1785" i="26"/>
  <c r="K1786" i="26"/>
  <c r="K1787" i="26"/>
  <c r="K1788" i="26"/>
  <c r="K1789" i="26"/>
  <c r="K1790" i="26"/>
  <c r="K1791" i="26"/>
  <c r="K1792" i="26"/>
  <c r="K1793" i="26"/>
  <c r="K1794" i="26"/>
  <c r="K1795" i="26"/>
  <c r="K1796" i="26"/>
  <c r="K1797" i="26"/>
  <c r="K1798" i="26"/>
  <c r="K1799" i="26"/>
  <c r="K1800" i="26"/>
  <c r="K1801" i="26"/>
  <c r="K1802" i="26"/>
  <c r="K1803" i="26"/>
  <c r="K1804" i="26"/>
  <c r="K1805" i="26"/>
  <c r="K1806" i="26"/>
  <c r="K1807" i="26"/>
  <c r="K1808" i="26"/>
  <c r="K1809" i="26"/>
  <c r="K1810" i="26"/>
  <c r="K1811" i="26"/>
  <c r="K1812" i="26"/>
  <c r="K1813" i="26"/>
  <c r="K1814" i="26"/>
  <c r="K1815" i="26"/>
  <c r="K1816" i="26"/>
  <c r="K1817" i="26"/>
  <c r="K1818" i="26"/>
  <c r="K1819" i="26"/>
  <c r="K1820" i="26"/>
  <c r="K1821" i="26"/>
  <c r="K1822" i="26"/>
  <c r="K1823" i="26"/>
  <c r="K1824" i="26"/>
  <c r="K1825" i="26"/>
  <c r="K1826" i="26"/>
  <c r="K1827" i="26"/>
  <c r="K1828" i="26"/>
  <c r="K1829" i="26"/>
  <c r="K1830" i="26"/>
  <c r="K1831" i="26"/>
  <c r="K1832" i="26"/>
  <c r="K1833" i="26"/>
  <c r="K1834" i="26"/>
  <c r="K1835" i="26"/>
  <c r="K1836" i="26"/>
  <c r="K1837" i="26"/>
  <c r="K1838" i="26"/>
  <c r="K1839" i="26"/>
  <c r="K1840" i="26"/>
  <c r="K1841" i="26"/>
  <c r="K1842" i="26"/>
  <c r="K1843" i="26"/>
  <c r="K1844" i="26"/>
  <c r="K1845" i="26"/>
  <c r="K1846" i="26"/>
  <c r="K1847" i="26"/>
  <c r="K1848" i="26"/>
  <c r="K1849" i="26"/>
  <c r="K1850" i="26"/>
  <c r="K1851" i="26"/>
  <c r="K1852" i="26"/>
  <c r="K1853" i="26"/>
  <c r="K1854" i="26"/>
  <c r="K1855" i="26"/>
  <c r="K1856" i="26"/>
  <c r="K1857" i="26"/>
  <c r="K1858" i="26"/>
  <c r="K1859" i="26"/>
  <c r="K1860" i="26"/>
  <c r="K1861" i="26"/>
  <c r="K1862" i="26"/>
  <c r="K1863" i="26"/>
  <c r="K1864" i="26"/>
  <c r="K1865" i="26"/>
  <c r="K1866" i="26"/>
  <c r="K1867" i="26"/>
  <c r="K1868" i="26"/>
  <c r="K1869" i="26"/>
  <c r="K1870" i="26"/>
  <c r="K1871" i="26"/>
  <c r="K1872" i="26"/>
  <c r="K1873" i="26"/>
  <c r="K1874" i="26"/>
  <c r="K1875" i="26"/>
  <c r="K1876" i="26"/>
  <c r="K1877" i="26"/>
  <c r="K1878" i="26"/>
  <c r="K1879" i="26"/>
  <c r="K1880" i="26"/>
  <c r="K1881" i="26"/>
  <c r="K1882" i="26"/>
  <c r="K1883" i="26"/>
  <c r="K1884" i="26"/>
  <c r="K1885" i="26"/>
  <c r="K1886" i="26"/>
  <c r="K1887" i="26"/>
  <c r="K1888" i="26"/>
  <c r="K1889" i="26"/>
  <c r="K1890" i="26"/>
  <c r="K1891" i="26"/>
  <c r="K1892" i="26"/>
  <c r="K1893" i="26"/>
  <c r="K1894" i="26"/>
  <c r="K1895" i="26"/>
  <c r="K1896" i="26"/>
  <c r="K1897" i="26"/>
  <c r="K1898" i="26"/>
  <c r="K1899" i="26"/>
  <c r="K1900" i="26"/>
  <c r="K1901" i="26"/>
  <c r="K1902" i="26"/>
  <c r="K1903" i="26"/>
  <c r="K1904" i="26"/>
  <c r="K1905" i="26"/>
  <c r="K1906" i="26"/>
  <c r="K1907" i="26"/>
  <c r="K1908" i="26"/>
  <c r="K1909" i="26"/>
  <c r="K1910" i="26"/>
  <c r="K1911" i="26"/>
  <c r="K1912" i="26"/>
  <c r="K1913" i="26"/>
  <c r="K1914" i="26"/>
  <c r="K1915" i="26"/>
  <c r="K1916" i="26"/>
  <c r="K1917" i="26"/>
  <c r="K1918" i="26"/>
  <c r="K1919" i="26"/>
  <c r="K1920" i="26"/>
  <c r="K1921" i="26"/>
  <c r="K1922" i="26"/>
  <c r="K1923" i="26"/>
  <c r="K1924" i="26"/>
  <c r="K1925" i="26"/>
  <c r="K1926" i="26"/>
  <c r="K1927" i="26"/>
  <c r="K1928" i="26"/>
  <c r="K1929" i="26"/>
  <c r="K1930" i="26"/>
  <c r="K1931" i="26"/>
  <c r="K1932" i="26"/>
  <c r="K1933" i="26"/>
  <c r="K1934" i="26"/>
  <c r="K1935" i="26"/>
  <c r="K1936" i="26"/>
  <c r="K1937" i="26"/>
  <c r="K1938" i="26"/>
  <c r="K1939" i="26"/>
  <c r="K1940" i="26"/>
  <c r="K1941" i="26"/>
  <c r="K1942" i="26"/>
  <c r="K1943" i="26"/>
  <c r="K1944" i="26"/>
  <c r="K1945" i="26"/>
  <c r="K1946" i="26"/>
  <c r="K1947" i="26"/>
  <c r="K1948" i="26"/>
  <c r="K1949" i="26"/>
  <c r="K1950" i="26"/>
  <c r="K1951" i="26"/>
  <c r="K1952" i="26"/>
  <c r="K1953" i="26"/>
  <c r="K1954" i="26"/>
  <c r="K1955" i="26"/>
  <c r="K1956" i="26"/>
  <c r="K1957" i="26"/>
  <c r="K1958" i="26"/>
  <c r="K1959" i="26"/>
  <c r="K1960" i="26"/>
  <c r="K1961" i="26"/>
  <c r="K1962" i="26"/>
  <c r="K1963" i="26"/>
  <c r="K1964" i="26"/>
  <c r="K1965" i="26"/>
  <c r="K1966" i="26"/>
  <c r="K1967" i="26"/>
  <c r="K1968" i="26"/>
  <c r="K1969" i="26"/>
  <c r="K1970" i="26"/>
  <c r="K1971" i="26"/>
  <c r="K1972" i="26"/>
  <c r="K1973" i="26"/>
  <c r="K1974" i="26"/>
  <c r="K1975" i="26"/>
  <c r="K1976" i="26"/>
  <c r="K1977" i="26"/>
  <c r="K1978" i="26"/>
  <c r="K1979" i="26"/>
  <c r="K1980" i="26"/>
  <c r="K1981" i="26"/>
  <c r="K1982" i="26"/>
  <c r="K1983" i="26"/>
  <c r="K1984" i="26"/>
  <c r="K1985" i="26"/>
  <c r="K1986" i="26"/>
  <c r="K1987" i="26"/>
  <c r="K1988" i="26"/>
  <c r="K1989" i="26"/>
  <c r="K1990" i="26"/>
  <c r="K1991" i="26"/>
  <c r="K1992" i="26"/>
  <c r="K1993" i="26"/>
  <c r="K1994" i="26"/>
  <c r="K1995" i="26"/>
  <c r="K1996" i="26"/>
  <c r="K1997" i="26"/>
  <c r="K1998" i="26"/>
  <c r="K1999" i="26"/>
  <c r="K2000" i="26"/>
  <c r="K2001" i="26"/>
  <c r="K2002" i="26"/>
  <c r="K2003" i="26"/>
  <c r="K2004" i="26"/>
  <c r="K2005" i="26"/>
  <c r="K2006" i="26"/>
  <c r="K2007" i="26"/>
  <c r="K2008" i="26"/>
  <c r="K2009" i="26"/>
  <c r="K2010" i="26"/>
  <c r="K2011" i="26"/>
  <c r="K2012" i="26"/>
  <c r="K2013" i="26"/>
  <c r="K2014" i="26"/>
  <c r="K2015" i="26"/>
  <c r="K2016" i="26"/>
  <c r="K2017" i="26"/>
  <c r="K2018" i="26"/>
  <c r="K2019" i="26"/>
  <c r="K2020" i="26"/>
  <c r="K2021" i="26"/>
  <c r="K2022" i="26"/>
  <c r="K2023" i="26"/>
  <c r="K2024" i="26"/>
  <c r="K2025" i="26"/>
  <c r="K2026" i="26"/>
  <c r="K2027" i="26"/>
  <c r="K2028" i="26"/>
  <c r="K2029" i="26"/>
  <c r="K2030" i="26"/>
  <c r="K2031" i="26"/>
  <c r="K2032" i="26"/>
  <c r="K2033" i="26"/>
  <c r="K2034" i="26"/>
  <c r="K2035" i="26"/>
  <c r="K2036" i="26"/>
  <c r="K2037" i="26"/>
  <c r="K2038" i="26"/>
  <c r="K2039" i="26"/>
  <c r="K2040" i="26"/>
  <c r="K2041" i="26"/>
  <c r="K2042" i="26"/>
  <c r="K2043" i="26"/>
  <c r="K2044" i="26"/>
  <c r="K2045" i="26"/>
  <c r="K2046" i="26"/>
  <c r="K2047" i="26"/>
  <c r="K2048" i="26"/>
  <c r="K2049" i="26"/>
  <c r="K2050" i="26"/>
  <c r="K2051" i="26"/>
  <c r="K2052" i="26"/>
  <c r="K2053" i="26"/>
  <c r="K2054" i="26"/>
  <c r="K2055" i="26"/>
  <c r="K2056" i="26"/>
  <c r="K2057" i="26"/>
  <c r="K2058" i="26"/>
  <c r="K2059" i="26"/>
  <c r="K2060" i="26"/>
  <c r="K2061" i="26"/>
  <c r="K2062" i="26"/>
  <c r="K2063" i="26"/>
  <c r="K2064" i="26"/>
  <c r="K2065" i="26"/>
  <c r="K2066" i="26"/>
  <c r="K2067" i="26"/>
  <c r="K2068" i="26"/>
  <c r="K2069" i="26"/>
  <c r="K2070" i="26"/>
  <c r="K2071" i="26"/>
  <c r="K2072" i="26"/>
  <c r="K2073" i="26"/>
  <c r="K2074" i="26"/>
  <c r="K2075" i="26"/>
  <c r="K2076" i="26"/>
  <c r="K2077" i="26"/>
  <c r="K2078" i="26"/>
  <c r="K2079" i="26"/>
  <c r="K2080" i="26"/>
  <c r="K2081" i="26"/>
  <c r="K2082" i="26"/>
  <c r="K2083" i="26"/>
  <c r="K2084" i="26"/>
  <c r="K2085" i="26"/>
  <c r="K2086" i="26"/>
  <c r="K2087" i="26"/>
  <c r="K2088" i="26"/>
  <c r="K2089" i="26"/>
  <c r="K2090" i="26"/>
  <c r="K2091" i="26"/>
  <c r="K2092" i="26"/>
  <c r="K2093" i="26"/>
  <c r="K2094" i="26"/>
  <c r="K2095" i="26"/>
  <c r="K2096" i="26"/>
  <c r="K2097" i="26"/>
  <c r="K2098" i="26"/>
  <c r="K2099" i="26"/>
  <c r="K2100" i="26"/>
  <c r="K2101" i="26"/>
  <c r="K2102" i="26"/>
  <c r="K2103" i="26"/>
  <c r="K2104" i="26"/>
  <c r="K2105" i="26"/>
  <c r="K2106" i="26"/>
  <c r="K2107" i="26"/>
  <c r="K2108" i="26"/>
  <c r="K2109" i="26"/>
  <c r="K2110" i="26"/>
  <c r="K2111" i="26"/>
  <c r="K2112" i="26"/>
  <c r="K2113" i="26"/>
  <c r="K2114" i="26"/>
  <c r="K2115" i="26"/>
  <c r="K2116" i="26"/>
  <c r="K2117" i="26"/>
  <c r="K2118" i="26"/>
  <c r="K2119" i="26"/>
  <c r="K2120" i="26"/>
  <c r="K2121" i="26"/>
  <c r="K2122" i="26"/>
  <c r="K2123" i="26"/>
  <c r="K2124" i="26"/>
  <c r="K2125" i="26"/>
  <c r="K2126" i="26"/>
  <c r="K2127" i="26"/>
  <c r="K2128" i="26"/>
  <c r="K2129" i="26"/>
  <c r="K2130" i="26"/>
  <c r="K2131" i="26"/>
  <c r="K2132" i="26"/>
  <c r="K2133" i="26"/>
  <c r="K2134" i="26"/>
  <c r="K2135" i="26"/>
  <c r="K2136" i="26"/>
  <c r="K2137" i="26"/>
  <c r="K2138" i="26"/>
  <c r="K2139" i="26"/>
  <c r="K2140" i="26"/>
  <c r="K2141" i="26"/>
  <c r="K2142" i="26"/>
  <c r="K2143" i="26"/>
  <c r="K2144" i="26"/>
  <c r="K2145" i="26"/>
  <c r="K2146" i="26"/>
  <c r="K2147" i="26"/>
  <c r="K2148" i="26"/>
  <c r="K2149" i="26"/>
  <c r="K2150" i="26"/>
  <c r="K2151" i="26"/>
  <c r="K2152" i="26"/>
  <c r="K2153" i="26"/>
  <c r="K2154" i="26"/>
  <c r="K2155" i="26"/>
  <c r="K2156" i="26"/>
  <c r="K2157" i="26"/>
  <c r="K2158" i="26"/>
  <c r="K2159" i="26"/>
  <c r="K2160" i="26"/>
  <c r="K2161" i="26"/>
  <c r="K2162" i="26"/>
  <c r="K2163" i="26"/>
  <c r="K2164" i="26"/>
  <c r="K2165" i="26"/>
  <c r="K2166" i="26"/>
  <c r="K2167" i="26"/>
  <c r="K2168" i="26"/>
  <c r="K2169" i="26"/>
  <c r="K2170" i="26"/>
  <c r="K2171" i="26"/>
  <c r="K2172" i="26"/>
  <c r="K2173" i="26"/>
  <c r="K2174" i="26"/>
  <c r="K2175" i="26"/>
  <c r="K2176" i="26"/>
  <c r="K2177" i="26"/>
  <c r="K2178" i="26"/>
  <c r="K2179" i="26"/>
  <c r="K2180" i="26"/>
  <c r="K2181" i="26"/>
  <c r="K2182" i="26"/>
  <c r="K2183" i="26"/>
  <c r="K2184" i="26"/>
  <c r="K2185" i="26"/>
  <c r="K2186" i="26"/>
  <c r="K2187" i="26"/>
  <c r="K2188" i="26"/>
  <c r="K2189" i="26"/>
  <c r="K2190" i="26"/>
  <c r="K2191" i="26"/>
  <c r="K2192" i="26"/>
  <c r="K2193" i="26"/>
  <c r="K2194" i="26"/>
  <c r="K2195" i="26"/>
  <c r="K2196" i="26"/>
  <c r="K2197" i="26"/>
  <c r="K2198" i="26"/>
  <c r="K2199" i="26"/>
  <c r="K2200" i="26"/>
  <c r="K2201" i="26"/>
  <c r="K2202" i="26"/>
  <c r="K2203" i="26"/>
  <c r="K2204" i="26"/>
  <c r="K2205" i="26"/>
  <c r="K2206" i="26"/>
  <c r="K2207" i="26"/>
  <c r="K2208" i="26"/>
  <c r="K2209" i="26"/>
  <c r="K2210" i="26"/>
  <c r="K2211" i="26"/>
  <c r="K2212" i="26"/>
  <c r="K2213" i="26"/>
  <c r="K2214" i="26"/>
  <c r="K2215" i="26"/>
  <c r="K2216" i="26"/>
  <c r="K2217" i="26"/>
  <c r="K2218" i="26"/>
  <c r="K2219" i="26"/>
  <c r="K2220" i="26"/>
  <c r="K2221" i="26"/>
  <c r="K2222" i="26"/>
  <c r="K2223" i="26"/>
  <c r="K2224" i="26"/>
  <c r="K2225" i="26"/>
  <c r="K2226" i="26"/>
  <c r="K2227" i="26"/>
  <c r="K2228" i="26"/>
  <c r="K2229" i="26"/>
  <c r="K2230" i="26"/>
  <c r="K2231" i="26"/>
  <c r="K2232" i="26"/>
  <c r="K2233" i="26"/>
  <c r="K2234" i="26"/>
  <c r="K2235" i="26"/>
  <c r="K2236" i="26"/>
  <c r="K2237" i="26"/>
  <c r="K2238" i="26"/>
  <c r="K2239" i="26"/>
  <c r="K2240" i="26"/>
  <c r="K2241" i="26"/>
  <c r="K2242" i="26"/>
  <c r="K2243" i="26"/>
  <c r="K2244" i="26"/>
  <c r="K2245" i="26"/>
  <c r="K2246" i="26"/>
  <c r="K2247" i="26"/>
  <c r="K2248" i="26"/>
  <c r="K2249" i="26"/>
  <c r="K2250" i="26"/>
  <c r="K2251" i="26"/>
  <c r="K2252" i="26"/>
  <c r="K2253" i="26"/>
  <c r="K2254" i="26"/>
  <c r="K2255" i="26"/>
  <c r="K2256" i="26"/>
  <c r="K2257" i="26"/>
  <c r="K2258" i="26"/>
  <c r="K2259" i="26"/>
  <c r="K2260" i="26"/>
  <c r="K2261" i="26"/>
  <c r="K2262" i="26"/>
  <c r="K2263" i="26"/>
  <c r="K2264" i="26"/>
  <c r="K2265" i="26"/>
  <c r="K2266" i="26"/>
  <c r="K2267" i="26"/>
  <c r="K2268" i="26"/>
  <c r="K2269" i="26"/>
  <c r="K2270" i="26"/>
  <c r="K2271" i="26"/>
  <c r="K2272" i="26"/>
  <c r="K2273" i="26"/>
  <c r="K2274" i="26"/>
  <c r="K2275" i="26"/>
  <c r="K2276" i="26"/>
  <c r="K2277" i="26"/>
  <c r="K2278" i="26"/>
  <c r="K2279" i="26"/>
  <c r="K2280" i="26"/>
  <c r="K2281" i="26"/>
  <c r="K2282" i="26"/>
  <c r="K2283" i="26"/>
  <c r="K2284" i="26"/>
  <c r="K2285" i="26"/>
  <c r="K2286" i="26"/>
  <c r="K2287" i="26"/>
  <c r="K2288" i="26"/>
  <c r="K2289" i="26"/>
  <c r="K2290" i="26"/>
  <c r="K2291" i="26"/>
  <c r="K2292" i="26"/>
  <c r="K2293" i="26"/>
  <c r="K2294" i="26"/>
  <c r="K2295" i="26"/>
  <c r="K2296" i="26"/>
  <c r="K2297" i="26"/>
  <c r="K2298" i="26"/>
  <c r="K2299" i="26"/>
  <c r="K2300" i="26"/>
  <c r="K2301" i="26"/>
  <c r="K2302" i="26"/>
  <c r="K2303" i="26"/>
  <c r="K2304" i="26"/>
  <c r="K2305" i="26"/>
  <c r="K2306" i="26"/>
  <c r="K2307" i="26"/>
  <c r="K2308" i="26"/>
  <c r="K2309" i="26"/>
  <c r="K2310" i="26"/>
  <c r="K2311" i="26"/>
  <c r="K2312" i="26"/>
  <c r="K2313" i="26"/>
  <c r="K2314" i="26"/>
  <c r="K2315" i="26"/>
  <c r="K2316" i="26"/>
  <c r="K2317" i="26"/>
  <c r="K2318" i="26"/>
  <c r="K2319" i="26"/>
  <c r="K2320" i="26"/>
  <c r="K2321" i="26"/>
  <c r="K2322" i="26"/>
  <c r="K2323" i="26"/>
  <c r="K2324" i="26"/>
  <c r="K2325" i="26"/>
  <c r="K2326" i="26"/>
  <c r="K2327" i="26"/>
  <c r="K2328" i="26"/>
  <c r="K2329" i="26"/>
  <c r="K2330" i="26"/>
  <c r="K2331" i="26"/>
  <c r="K2332" i="26"/>
  <c r="K2333" i="26"/>
  <c r="K2334" i="26"/>
  <c r="K2335" i="26"/>
  <c r="K2336" i="26"/>
  <c r="K2337" i="26"/>
  <c r="K2338" i="26"/>
  <c r="K2339" i="26"/>
  <c r="K2340" i="26"/>
  <c r="K2341" i="26"/>
  <c r="K2342" i="26"/>
  <c r="K2343" i="26"/>
  <c r="K2344" i="26"/>
  <c r="K2345" i="26"/>
  <c r="K2346" i="26"/>
  <c r="K2347" i="26"/>
  <c r="K2348" i="26"/>
  <c r="K2349" i="26"/>
  <c r="K2350" i="26"/>
  <c r="K2351" i="26"/>
  <c r="K2352" i="26"/>
  <c r="K2353" i="26"/>
  <c r="K2354" i="26"/>
  <c r="K2355" i="26"/>
  <c r="K2356" i="26"/>
  <c r="K2357" i="26"/>
  <c r="K2358" i="26"/>
  <c r="K2359" i="26"/>
  <c r="K2360" i="26"/>
  <c r="K2361" i="26"/>
  <c r="K2362" i="26"/>
  <c r="K2363" i="26"/>
  <c r="K2364" i="26"/>
  <c r="K2365" i="26"/>
  <c r="K2366" i="26"/>
  <c r="K2367" i="26"/>
  <c r="K2368" i="26"/>
  <c r="K2369" i="26"/>
  <c r="K2370" i="26"/>
  <c r="K2371" i="26"/>
  <c r="K2372" i="26"/>
  <c r="K2373" i="26"/>
  <c r="K2374" i="26"/>
  <c r="K2375" i="26"/>
  <c r="K2376" i="26"/>
  <c r="K2377" i="26"/>
  <c r="K2378" i="26"/>
  <c r="K2379" i="26"/>
  <c r="K2380" i="26"/>
  <c r="K2381" i="26"/>
  <c r="K2382" i="26"/>
  <c r="K2383" i="26"/>
  <c r="K2384" i="26"/>
  <c r="K2385" i="26"/>
  <c r="K2386" i="26"/>
  <c r="K2387" i="26"/>
  <c r="K2388" i="26"/>
  <c r="K2389" i="26"/>
  <c r="K2390" i="26"/>
  <c r="K2391" i="26"/>
  <c r="K2392" i="26"/>
  <c r="K2393" i="26"/>
  <c r="K2394" i="26"/>
  <c r="K2395" i="26"/>
  <c r="K2396" i="26"/>
  <c r="K2397" i="26"/>
  <c r="K2398" i="26"/>
  <c r="K2399" i="26"/>
  <c r="K2400" i="26"/>
  <c r="K2401" i="26"/>
  <c r="K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G145" i="26"/>
  <c r="G146" i="26"/>
  <c r="G147" i="26"/>
  <c r="G148" i="26"/>
  <c r="G149" i="26"/>
  <c r="G150" i="26"/>
  <c r="G151" i="26"/>
  <c r="G152" i="26"/>
  <c r="G153" i="26"/>
  <c r="G154" i="26"/>
  <c r="G155" i="26"/>
  <c r="G156" i="26"/>
  <c r="G157" i="26"/>
  <c r="G158" i="26"/>
  <c r="G159" i="26"/>
  <c r="G160" i="26"/>
  <c r="G161" i="26"/>
  <c r="G162" i="26"/>
  <c r="G163" i="26"/>
  <c r="G164" i="26"/>
  <c r="G165" i="26"/>
  <c r="G166" i="26"/>
  <c r="G167" i="26"/>
  <c r="G168" i="26"/>
  <c r="G169" i="26"/>
  <c r="G170" i="26"/>
  <c r="G171" i="26"/>
  <c r="G172" i="26"/>
  <c r="G173" i="26"/>
  <c r="G174" i="26"/>
  <c r="G175" i="26"/>
  <c r="G176" i="26"/>
  <c r="G177" i="26"/>
  <c r="G178" i="26"/>
  <c r="G179" i="26"/>
  <c r="G180" i="26"/>
  <c r="G181" i="26"/>
  <c r="G182" i="26"/>
  <c r="G183" i="26"/>
  <c r="G184" i="26"/>
  <c r="G185" i="26"/>
  <c r="G186" i="26"/>
  <c r="G187" i="26"/>
  <c r="G188" i="26"/>
  <c r="G189" i="26"/>
  <c r="G190" i="26"/>
  <c r="G191" i="26"/>
  <c r="G192" i="26"/>
  <c r="G193" i="26"/>
  <c r="G194" i="26"/>
  <c r="G195" i="26"/>
  <c r="G196" i="26"/>
  <c r="G197" i="26"/>
  <c r="G198" i="26"/>
  <c r="G199" i="26"/>
  <c r="G200" i="26"/>
  <c r="G201" i="26"/>
  <c r="G202" i="26"/>
  <c r="G203" i="26"/>
  <c r="G204" i="26"/>
  <c r="G205" i="26"/>
  <c r="G206" i="26"/>
  <c r="G207" i="26"/>
  <c r="G208" i="26"/>
  <c r="G209" i="26"/>
  <c r="G210" i="26"/>
  <c r="G211" i="26"/>
  <c r="G212" i="26"/>
  <c r="G213" i="26"/>
  <c r="G214" i="26"/>
  <c r="G215" i="26"/>
  <c r="G216" i="26"/>
  <c r="G217" i="26"/>
  <c r="G218" i="26"/>
  <c r="G219" i="26"/>
  <c r="G220" i="26"/>
  <c r="G221" i="26"/>
  <c r="G222" i="26"/>
  <c r="G223" i="26"/>
  <c r="G224" i="26"/>
  <c r="G225" i="26"/>
  <c r="G226" i="26"/>
  <c r="G227" i="26"/>
  <c r="G228" i="26"/>
  <c r="G229" i="26"/>
  <c r="G230" i="26"/>
  <c r="G231" i="26"/>
  <c r="G232" i="26"/>
  <c r="G233" i="26"/>
  <c r="G234" i="26"/>
  <c r="G235" i="26"/>
  <c r="G236" i="26"/>
  <c r="G237" i="26"/>
  <c r="G238" i="26"/>
  <c r="G239" i="26"/>
  <c r="G240" i="26"/>
  <c r="G241" i="26"/>
  <c r="G242" i="26"/>
  <c r="G243" i="26"/>
  <c r="G244" i="26"/>
  <c r="G245" i="26"/>
  <c r="G246" i="26"/>
  <c r="G247" i="26"/>
  <c r="G248" i="26"/>
  <c r="G249" i="26"/>
  <c r="G250" i="26"/>
  <c r="G251" i="26"/>
  <c r="G252" i="26"/>
  <c r="G253" i="26"/>
  <c r="G254" i="26"/>
  <c r="G255" i="26"/>
  <c r="G256" i="26"/>
  <c r="G257" i="26"/>
  <c r="G258" i="26"/>
  <c r="G259" i="26"/>
  <c r="G260" i="26"/>
  <c r="G261" i="26"/>
  <c r="G262" i="26"/>
  <c r="G263" i="26"/>
  <c r="G264" i="26"/>
  <c r="G265" i="26"/>
  <c r="G266" i="26"/>
  <c r="G267" i="26"/>
  <c r="G268" i="26"/>
  <c r="G269" i="26"/>
  <c r="G270" i="26"/>
  <c r="G271" i="26"/>
  <c r="G272" i="26"/>
  <c r="G273" i="26"/>
  <c r="G274" i="26"/>
  <c r="G275" i="26"/>
  <c r="G276" i="26"/>
  <c r="G277" i="26"/>
  <c r="G278" i="26"/>
  <c r="G279" i="26"/>
  <c r="G280" i="26"/>
  <c r="G281" i="26"/>
  <c r="G282" i="26"/>
  <c r="G283" i="26"/>
  <c r="G284" i="26"/>
  <c r="G285" i="26"/>
  <c r="G286" i="26"/>
  <c r="G287" i="26"/>
  <c r="G288" i="26"/>
  <c r="G289" i="26"/>
  <c r="G290" i="26"/>
  <c r="G291" i="26"/>
  <c r="G292" i="26"/>
  <c r="G293" i="26"/>
  <c r="G294" i="26"/>
  <c r="G295" i="26"/>
  <c r="G296" i="26"/>
  <c r="G297" i="26"/>
  <c r="G298" i="26"/>
  <c r="G299" i="26"/>
  <c r="G300" i="26"/>
  <c r="G301" i="26"/>
  <c r="G302" i="26"/>
  <c r="G303" i="26"/>
  <c r="G304" i="26"/>
  <c r="G305" i="26"/>
  <c r="G306" i="26"/>
  <c r="G307" i="26"/>
  <c r="G308" i="26"/>
  <c r="G309" i="26"/>
  <c r="G310" i="26"/>
  <c r="G311" i="26"/>
  <c r="G312" i="26"/>
  <c r="G313" i="26"/>
  <c r="G314" i="26"/>
  <c r="G315" i="26"/>
  <c r="G316" i="26"/>
  <c r="G317" i="26"/>
  <c r="G318" i="26"/>
  <c r="G319" i="26"/>
  <c r="G320" i="26"/>
  <c r="G321" i="26"/>
  <c r="G322" i="26"/>
  <c r="G323" i="26"/>
  <c r="G324" i="26"/>
  <c r="G325" i="26"/>
  <c r="G326" i="26"/>
  <c r="G327" i="26"/>
  <c r="G328" i="26"/>
  <c r="G329" i="26"/>
  <c r="G330" i="26"/>
  <c r="G331" i="26"/>
  <c r="G332" i="26"/>
  <c r="G333" i="26"/>
  <c r="G334" i="26"/>
  <c r="G335" i="26"/>
  <c r="G336" i="26"/>
  <c r="G337" i="26"/>
  <c r="G338" i="26"/>
  <c r="G339" i="26"/>
  <c r="G340" i="26"/>
  <c r="G341" i="26"/>
  <c r="G342" i="26"/>
  <c r="G343" i="26"/>
  <c r="G344" i="26"/>
  <c r="G345" i="26"/>
  <c r="G346" i="26"/>
  <c r="G347" i="26"/>
  <c r="G348" i="26"/>
  <c r="G349" i="26"/>
  <c r="G350" i="26"/>
  <c r="G351" i="26"/>
  <c r="G352" i="26"/>
  <c r="G353" i="26"/>
  <c r="G354" i="26"/>
  <c r="G355" i="26"/>
  <c r="G356" i="26"/>
  <c r="G357" i="26"/>
  <c r="G358" i="26"/>
  <c r="G359" i="26"/>
  <c r="G360" i="26"/>
  <c r="G361" i="26"/>
  <c r="G362" i="26"/>
  <c r="G363" i="26"/>
  <c r="G364" i="26"/>
  <c r="G365" i="26"/>
  <c r="G366" i="26"/>
  <c r="G367" i="26"/>
  <c r="G368" i="26"/>
  <c r="G369" i="26"/>
  <c r="G370" i="26"/>
  <c r="G371" i="26"/>
  <c r="G372" i="26"/>
  <c r="G373" i="26"/>
  <c r="G374" i="26"/>
  <c r="G375" i="26"/>
  <c r="G376" i="26"/>
  <c r="G377" i="26"/>
  <c r="G378" i="26"/>
  <c r="G379" i="26"/>
  <c r="G380" i="26"/>
  <c r="G381" i="26"/>
  <c r="G382" i="26"/>
  <c r="G383" i="26"/>
  <c r="G384" i="26"/>
  <c r="G385" i="26"/>
  <c r="G386" i="26"/>
  <c r="G387" i="26"/>
  <c r="G388" i="26"/>
  <c r="G389" i="26"/>
  <c r="G390" i="26"/>
  <c r="G391" i="26"/>
  <c r="G392" i="26"/>
  <c r="G393" i="26"/>
  <c r="G394" i="26"/>
  <c r="G395" i="26"/>
  <c r="G396" i="26"/>
  <c r="G397" i="26"/>
  <c r="G398" i="26"/>
  <c r="G399" i="26"/>
  <c r="G400" i="26"/>
  <c r="G401" i="26"/>
  <c r="G402" i="26"/>
  <c r="G403" i="26"/>
  <c r="G404" i="26"/>
  <c r="G405" i="26"/>
  <c r="G406" i="26"/>
  <c r="G407" i="26"/>
  <c r="G408" i="26"/>
  <c r="G409" i="26"/>
  <c r="G410" i="26"/>
  <c r="G411" i="26"/>
  <c r="G412" i="26"/>
  <c r="G413" i="26"/>
  <c r="G414" i="26"/>
  <c r="G415" i="26"/>
  <c r="G416" i="26"/>
  <c r="G417" i="26"/>
  <c r="G418" i="26"/>
  <c r="G419" i="26"/>
  <c r="G420" i="26"/>
  <c r="G421" i="26"/>
  <c r="G422" i="26"/>
  <c r="G423" i="26"/>
  <c r="G424" i="26"/>
  <c r="G425" i="26"/>
  <c r="G426" i="26"/>
  <c r="G427" i="26"/>
  <c r="G428" i="26"/>
  <c r="G429" i="26"/>
  <c r="G430" i="26"/>
  <c r="G431" i="26"/>
  <c r="G432" i="26"/>
  <c r="G433" i="26"/>
  <c r="G434" i="26"/>
  <c r="G435" i="26"/>
  <c r="G436" i="26"/>
  <c r="G437" i="26"/>
  <c r="G438" i="26"/>
  <c r="G439" i="26"/>
  <c r="G440" i="26"/>
  <c r="G441" i="26"/>
  <c r="G442" i="26"/>
  <c r="G443" i="26"/>
  <c r="G444" i="26"/>
  <c r="G445" i="26"/>
  <c r="G446" i="26"/>
  <c r="G447" i="26"/>
  <c r="G448" i="26"/>
  <c r="G449" i="26"/>
  <c r="G450" i="26"/>
  <c r="G451" i="26"/>
  <c r="G452" i="26"/>
  <c r="G453" i="26"/>
  <c r="G454" i="26"/>
  <c r="G455" i="26"/>
  <c r="G456" i="26"/>
  <c r="G457" i="26"/>
  <c r="G458" i="26"/>
  <c r="G459" i="26"/>
  <c r="G460" i="26"/>
  <c r="G461" i="26"/>
  <c r="G462" i="26"/>
  <c r="G463" i="26"/>
  <c r="G464" i="26"/>
  <c r="G465" i="26"/>
  <c r="G466" i="26"/>
  <c r="G467" i="26"/>
  <c r="G468" i="26"/>
  <c r="G469" i="26"/>
  <c r="G470" i="26"/>
  <c r="G471" i="26"/>
  <c r="G472" i="26"/>
  <c r="G473" i="26"/>
  <c r="G474" i="26"/>
  <c r="G475" i="26"/>
  <c r="G476" i="26"/>
  <c r="G477" i="26"/>
  <c r="G478" i="26"/>
  <c r="G479" i="26"/>
  <c r="G480" i="26"/>
  <c r="G481" i="26"/>
  <c r="G482" i="26"/>
  <c r="G483" i="26"/>
  <c r="G484" i="26"/>
  <c r="G485" i="26"/>
  <c r="G486" i="26"/>
  <c r="G487" i="26"/>
  <c r="G488" i="26"/>
  <c r="G489" i="26"/>
  <c r="G490" i="26"/>
  <c r="G491" i="26"/>
  <c r="G492" i="26"/>
  <c r="G493" i="26"/>
  <c r="G494" i="26"/>
  <c r="G495" i="26"/>
  <c r="G496" i="26"/>
  <c r="G497" i="26"/>
  <c r="G498" i="26"/>
  <c r="G499" i="26"/>
  <c r="G500" i="26"/>
  <c r="G501" i="26"/>
  <c r="G502" i="26"/>
  <c r="G503" i="26"/>
  <c r="G504" i="26"/>
  <c r="G505" i="26"/>
  <c r="G506" i="26"/>
  <c r="G507" i="26"/>
  <c r="G508" i="26"/>
  <c r="G509" i="26"/>
  <c r="G510" i="26"/>
  <c r="G511" i="26"/>
  <c r="G512" i="26"/>
  <c r="G513" i="26"/>
  <c r="G514" i="26"/>
  <c r="G515" i="26"/>
  <c r="G516" i="26"/>
  <c r="G517" i="26"/>
  <c r="G518" i="26"/>
  <c r="G519" i="26"/>
  <c r="G520" i="26"/>
  <c r="G521" i="26"/>
  <c r="G522" i="26"/>
  <c r="G523" i="26"/>
  <c r="G524" i="26"/>
  <c r="G525" i="26"/>
  <c r="G526" i="26"/>
  <c r="G527" i="26"/>
  <c r="G528" i="26"/>
  <c r="G529" i="26"/>
  <c r="G530" i="26"/>
  <c r="G531" i="26"/>
  <c r="G532" i="26"/>
  <c r="G533" i="26"/>
  <c r="G534" i="26"/>
  <c r="G535" i="26"/>
  <c r="G536" i="26"/>
  <c r="G537" i="26"/>
  <c r="G538" i="26"/>
  <c r="G539" i="26"/>
  <c r="G540" i="26"/>
  <c r="G541" i="26"/>
  <c r="G542" i="26"/>
  <c r="G543" i="26"/>
  <c r="G544" i="26"/>
  <c r="G545" i="26"/>
  <c r="G546" i="26"/>
  <c r="G547" i="26"/>
  <c r="G548" i="26"/>
  <c r="G549" i="26"/>
  <c r="G550" i="26"/>
  <c r="G551" i="26"/>
  <c r="G552" i="26"/>
  <c r="G553" i="26"/>
  <c r="G554" i="26"/>
  <c r="G555" i="26"/>
  <c r="G556" i="26"/>
  <c r="G557" i="26"/>
  <c r="G558" i="26"/>
  <c r="G559" i="26"/>
  <c r="G560" i="26"/>
  <c r="G561" i="26"/>
  <c r="G562" i="26"/>
  <c r="G563" i="26"/>
  <c r="G564" i="26"/>
  <c r="G565" i="26"/>
  <c r="G566" i="26"/>
  <c r="G567" i="26"/>
  <c r="G568" i="26"/>
  <c r="G569" i="26"/>
  <c r="G570" i="26"/>
  <c r="G571" i="26"/>
  <c r="G572" i="26"/>
  <c r="G573" i="26"/>
  <c r="G574" i="26"/>
  <c r="G575" i="26"/>
  <c r="G576" i="26"/>
  <c r="G577" i="26"/>
  <c r="G578" i="26"/>
  <c r="G579" i="26"/>
  <c r="G580" i="26"/>
  <c r="G581" i="26"/>
  <c r="G582" i="26"/>
  <c r="G583" i="26"/>
  <c r="G584" i="26"/>
  <c r="G585" i="26"/>
  <c r="G586" i="26"/>
  <c r="G587" i="26"/>
  <c r="G588" i="26"/>
  <c r="G589" i="26"/>
  <c r="G590" i="26"/>
  <c r="G591" i="26"/>
  <c r="G592" i="26"/>
  <c r="G593" i="26"/>
  <c r="G594" i="26"/>
  <c r="G595" i="26"/>
  <c r="G596" i="26"/>
  <c r="G597" i="26"/>
  <c r="G598" i="26"/>
  <c r="G599" i="26"/>
  <c r="G600" i="26"/>
  <c r="G601" i="26"/>
  <c r="G602" i="26"/>
  <c r="G603" i="26"/>
  <c r="G604" i="26"/>
  <c r="G605" i="26"/>
  <c r="G606" i="26"/>
  <c r="G607" i="26"/>
  <c r="G608" i="26"/>
  <c r="G609" i="26"/>
  <c r="G610" i="26"/>
  <c r="G611" i="26"/>
  <c r="G612" i="26"/>
  <c r="G613" i="26"/>
  <c r="G614" i="26"/>
  <c r="G615" i="26"/>
  <c r="G616" i="26"/>
  <c r="G617" i="26"/>
  <c r="G618" i="26"/>
  <c r="G619" i="26"/>
  <c r="G620" i="26"/>
  <c r="G621" i="26"/>
  <c r="G622" i="26"/>
  <c r="G623" i="26"/>
  <c r="G624" i="26"/>
  <c r="G625" i="26"/>
  <c r="G626" i="26"/>
  <c r="G627" i="26"/>
  <c r="G628" i="26"/>
  <c r="G629" i="26"/>
  <c r="G630" i="26"/>
  <c r="G631" i="26"/>
  <c r="G632" i="26"/>
  <c r="G633" i="26"/>
  <c r="G634" i="26"/>
  <c r="G635" i="26"/>
  <c r="G636" i="26"/>
  <c r="G637" i="26"/>
  <c r="G638" i="26"/>
  <c r="G639" i="26"/>
  <c r="G640" i="26"/>
  <c r="G641" i="26"/>
  <c r="G642" i="26"/>
  <c r="G643" i="26"/>
  <c r="G644" i="26"/>
  <c r="G645" i="26"/>
  <c r="G646" i="26"/>
  <c r="G647" i="26"/>
  <c r="G648" i="26"/>
  <c r="G649" i="26"/>
  <c r="G650" i="26"/>
  <c r="G651" i="26"/>
  <c r="G652" i="26"/>
  <c r="G653" i="26"/>
  <c r="G654" i="26"/>
  <c r="G655" i="26"/>
  <c r="G656" i="26"/>
  <c r="G657" i="26"/>
  <c r="G658" i="26"/>
  <c r="G659" i="26"/>
  <c r="G660" i="26"/>
  <c r="G661" i="26"/>
  <c r="G662" i="26"/>
  <c r="G663" i="26"/>
  <c r="G664" i="26"/>
  <c r="G665" i="26"/>
  <c r="G666" i="26"/>
  <c r="G667" i="26"/>
  <c r="G668" i="26"/>
  <c r="G669" i="26"/>
  <c r="G670" i="26"/>
  <c r="G671" i="26"/>
  <c r="G672" i="26"/>
  <c r="G673" i="26"/>
  <c r="G674" i="26"/>
  <c r="G675" i="26"/>
  <c r="G676" i="26"/>
  <c r="G677" i="26"/>
  <c r="G678" i="26"/>
  <c r="G679" i="26"/>
  <c r="G680" i="26"/>
  <c r="G681" i="26"/>
  <c r="G682" i="26"/>
  <c r="G683" i="26"/>
  <c r="G684" i="26"/>
  <c r="G685" i="26"/>
  <c r="G686" i="26"/>
  <c r="G687" i="26"/>
  <c r="G688" i="26"/>
  <c r="G689" i="26"/>
  <c r="G690" i="26"/>
  <c r="G691" i="26"/>
  <c r="G692" i="26"/>
  <c r="G693" i="26"/>
  <c r="G694" i="26"/>
  <c r="G695" i="26"/>
  <c r="G696" i="26"/>
  <c r="G697" i="26"/>
  <c r="G698" i="26"/>
  <c r="G699" i="26"/>
  <c r="G700" i="26"/>
  <c r="G701" i="26"/>
  <c r="G702" i="26"/>
  <c r="G703" i="26"/>
  <c r="G704" i="26"/>
  <c r="G705" i="26"/>
  <c r="G706" i="26"/>
  <c r="G707" i="26"/>
  <c r="G708" i="26"/>
  <c r="G709" i="26"/>
  <c r="G710" i="26"/>
  <c r="G711" i="26"/>
  <c r="G712" i="26"/>
  <c r="G713" i="26"/>
  <c r="G714" i="26"/>
  <c r="G715" i="26"/>
  <c r="G716" i="26"/>
  <c r="G717" i="26"/>
  <c r="G718" i="26"/>
  <c r="G719" i="26"/>
  <c r="G720" i="26"/>
  <c r="G721" i="26"/>
  <c r="G722" i="26"/>
  <c r="G723" i="26"/>
  <c r="G724" i="26"/>
  <c r="G725" i="26"/>
  <c r="G726" i="26"/>
  <c r="G727" i="26"/>
  <c r="G728" i="26"/>
  <c r="G729" i="26"/>
  <c r="G730" i="26"/>
  <c r="G731" i="26"/>
  <c r="G732" i="26"/>
  <c r="G733" i="26"/>
  <c r="G734" i="26"/>
  <c r="G735" i="26"/>
  <c r="G736" i="26"/>
  <c r="G737" i="26"/>
  <c r="G738" i="26"/>
  <c r="G739" i="26"/>
  <c r="G740" i="26"/>
  <c r="G741" i="26"/>
  <c r="G742" i="26"/>
  <c r="G743" i="26"/>
  <c r="G744" i="26"/>
  <c r="G745" i="26"/>
  <c r="G746" i="26"/>
  <c r="G747" i="26"/>
  <c r="G748" i="26"/>
  <c r="G749" i="26"/>
  <c r="G750" i="26"/>
  <c r="G751" i="26"/>
  <c r="G752" i="26"/>
  <c r="G753" i="26"/>
  <c r="G754" i="26"/>
  <c r="G755" i="26"/>
  <c r="G756" i="26"/>
  <c r="G757" i="26"/>
  <c r="G758" i="26"/>
  <c r="G759" i="26"/>
  <c r="G760" i="26"/>
  <c r="G761" i="26"/>
  <c r="G762" i="26"/>
  <c r="G763" i="26"/>
  <c r="G764" i="26"/>
  <c r="G765" i="26"/>
  <c r="G766" i="26"/>
  <c r="G767" i="26"/>
  <c r="G768" i="26"/>
  <c r="G769" i="26"/>
  <c r="G770" i="26"/>
  <c r="G771" i="26"/>
  <c r="G772" i="26"/>
  <c r="G773" i="26"/>
  <c r="G774" i="26"/>
  <c r="G775" i="26"/>
  <c r="G776" i="26"/>
  <c r="G777" i="26"/>
  <c r="G778" i="26"/>
  <c r="G779" i="26"/>
  <c r="G780" i="26"/>
  <c r="G781" i="26"/>
  <c r="G782" i="26"/>
  <c r="G783" i="26"/>
  <c r="G784" i="26"/>
  <c r="G785" i="26"/>
  <c r="G786" i="26"/>
  <c r="G787" i="26"/>
  <c r="G788" i="26"/>
  <c r="G789" i="26"/>
  <c r="G790" i="26"/>
  <c r="G791" i="26"/>
  <c r="G792" i="26"/>
  <c r="G793" i="26"/>
  <c r="G794" i="26"/>
  <c r="G795" i="26"/>
  <c r="G796" i="26"/>
  <c r="G797" i="26"/>
  <c r="G798" i="26"/>
  <c r="G799" i="26"/>
  <c r="G800" i="26"/>
  <c r="G801" i="26"/>
  <c r="G802" i="26"/>
  <c r="G803" i="26"/>
  <c r="G804" i="26"/>
  <c r="G805" i="26"/>
  <c r="G806" i="26"/>
  <c r="G807" i="26"/>
  <c r="G808" i="26"/>
  <c r="G809" i="26"/>
  <c r="G810" i="26"/>
  <c r="G811" i="26"/>
  <c r="G812" i="26"/>
  <c r="G813" i="26"/>
  <c r="G814" i="26"/>
  <c r="G815" i="26"/>
  <c r="G816" i="26"/>
  <c r="G817" i="26"/>
  <c r="G818" i="26"/>
  <c r="G819" i="26"/>
  <c r="G820" i="26"/>
  <c r="G821" i="26"/>
  <c r="G822" i="26"/>
  <c r="G823" i="26"/>
  <c r="G824" i="26"/>
  <c r="G825" i="26"/>
  <c r="G826" i="26"/>
  <c r="G827" i="26"/>
  <c r="G828" i="26"/>
  <c r="G829" i="26"/>
  <c r="G830" i="26"/>
  <c r="G831" i="26"/>
  <c r="G832" i="26"/>
  <c r="G833" i="26"/>
  <c r="G834" i="26"/>
  <c r="G835" i="26"/>
  <c r="G836" i="26"/>
  <c r="G837" i="26"/>
  <c r="G838" i="26"/>
  <c r="G839" i="26"/>
  <c r="G840" i="26"/>
  <c r="G841" i="26"/>
  <c r="G842" i="26"/>
  <c r="G843" i="26"/>
  <c r="G844" i="26"/>
  <c r="G845" i="26"/>
  <c r="G846" i="26"/>
  <c r="G847" i="26"/>
  <c r="G848" i="26"/>
  <c r="G849" i="26"/>
  <c r="G850" i="26"/>
  <c r="G851" i="26"/>
  <c r="G852" i="26"/>
  <c r="G853" i="26"/>
  <c r="G854" i="26"/>
  <c r="G855" i="26"/>
  <c r="G856" i="26"/>
  <c r="G857" i="26"/>
  <c r="G858" i="26"/>
  <c r="G859" i="26"/>
  <c r="G860" i="26"/>
  <c r="G861" i="26"/>
  <c r="G862" i="26"/>
  <c r="G863" i="26"/>
  <c r="G864" i="26"/>
  <c r="G865" i="26"/>
  <c r="G866" i="26"/>
  <c r="G867" i="26"/>
  <c r="G868" i="26"/>
  <c r="G869" i="26"/>
  <c r="G870" i="26"/>
  <c r="G871" i="26"/>
  <c r="G872" i="26"/>
  <c r="G873" i="26"/>
  <c r="G874" i="26"/>
  <c r="G875" i="26"/>
  <c r="G876" i="26"/>
  <c r="G877" i="26"/>
  <c r="G878" i="26"/>
  <c r="G879" i="26"/>
  <c r="G880" i="26"/>
  <c r="G881" i="26"/>
  <c r="G882" i="26"/>
  <c r="G883" i="26"/>
  <c r="G884" i="26"/>
  <c r="G885" i="26"/>
  <c r="G886" i="26"/>
  <c r="G887" i="26"/>
  <c r="G888" i="26"/>
  <c r="G889" i="26"/>
  <c r="G890" i="26"/>
  <c r="G891" i="26"/>
  <c r="G892" i="26"/>
  <c r="G893" i="26"/>
  <c r="G894" i="26"/>
  <c r="G895" i="26"/>
  <c r="G896" i="26"/>
  <c r="G897" i="26"/>
  <c r="G898" i="26"/>
  <c r="G899" i="26"/>
  <c r="G900" i="26"/>
  <c r="G901" i="26"/>
  <c r="G902" i="26"/>
  <c r="G903" i="26"/>
  <c r="G904" i="26"/>
  <c r="G905" i="26"/>
  <c r="G906" i="26"/>
  <c r="G907" i="26"/>
  <c r="G908" i="26"/>
  <c r="G909" i="26"/>
  <c r="G910" i="26"/>
  <c r="G911" i="26"/>
  <c r="G912" i="26"/>
  <c r="G913" i="26"/>
  <c r="G914" i="26"/>
  <c r="G915" i="26"/>
  <c r="G916" i="26"/>
  <c r="G917" i="26"/>
  <c r="G918" i="26"/>
  <c r="G919" i="26"/>
  <c r="G920" i="26"/>
  <c r="G921" i="26"/>
  <c r="G922" i="26"/>
  <c r="G923" i="26"/>
  <c r="G924" i="26"/>
  <c r="G925" i="26"/>
  <c r="G926" i="26"/>
  <c r="G927" i="26"/>
  <c r="G928" i="26"/>
  <c r="G929" i="26"/>
  <c r="G930" i="26"/>
  <c r="G931" i="26"/>
  <c r="G932" i="26"/>
  <c r="G933" i="26"/>
  <c r="G934" i="26"/>
  <c r="G935" i="26"/>
  <c r="G936" i="26"/>
  <c r="G937" i="26"/>
  <c r="G938" i="26"/>
  <c r="G939" i="26"/>
  <c r="G940" i="26"/>
  <c r="G941" i="26"/>
  <c r="G942" i="26"/>
  <c r="G943" i="26"/>
  <c r="G944" i="26"/>
  <c r="G945" i="26"/>
  <c r="G946" i="26"/>
  <c r="G947" i="26"/>
  <c r="G948" i="26"/>
  <c r="G949" i="26"/>
  <c r="G950" i="26"/>
  <c r="G951" i="26"/>
  <c r="G952" i="26"/>
  <c r="G953" i="26"/>
  <c r="G954" i="26"/>
  <c r="G955" i="26"/>
  <c r="G956" i="26"/>
  <c r="G957" i="26"/>
  <c r="G958" i="26"/>
  <c r="G959" i="26"/>
  <c r="G960" i="26"/>
  <c r="G961" i="26"/>
  <c r="G962" i="26"/>
  <c r="G963" i="26"/>
  <c r="G964" i="26"/>
  <c r="G965" i="26"/>
  <c r="G966" i="26"/>
  <c r="G967" i="26"/>
  <c r="G968" i="26"/>
  <c r="G969" i="26"/>
  <c r="G970" i="26"/>
  <c r="G971" i="26"/>
  <c r="G972" i="26"/>
  <c r="G973" i="26"/>
  <c r="G974" i="26"/>
  <c r="G975" i="26"/>
  <c r="G976" i="26"/>
  <c r="G977" i="26"/>
  <c r="G978" i="26"/>
  <c r="G979" i="26"/>
  <c r="G980" i="26"/>
  <c r="G981" i="26"/>
  <c r="G982" i="26"/>
  <c r="G983" i="26"/>
  <c r="G984" i="26"/>
  <c r="G985" i="26"/>
  <c r="G986" i="26"/>
  <c r="G987" i="26"/>
  <c r="G988" i="26"/>
  <c r="G989" i="26"/>
  <c r="G990" i="26"/>
  <c r="G991" i="26"/>
  <c r="G992" i="26"/>
  <c r="G993" i="26"/>
  <c r="G994" i="26"/>
  <c r="G995" i="26"/>
  <c r="G996" i="26"/>
  <c r="G997" i="26"/>
  <c r="G998" i="26"/>
  <c r="G999" i="26"/>
  <c r="G1000" i="26"/>
  <c r="G1001" i="26"/>
  <c r="G1002" i="26"/>
  <c r="G1003" i="26"/>
  <c r="G1004" i="26"/>
  <c r="G1005" i="26"/>
  <c r="G1006" i="26"/>
  <c r="G1007" i="26"/>
  <c r="G1008" i="26"/>
  <c r="G1009" i="26"/>
  <c r="G1010" i="26"/>
  <c r="G1011" i="26"/>
  <c r="G1012" i="26"/>
  <c r="G1013" i="26"/>
  <c r="G1014" i="26"/>
  <c r="G1015" i="26"/>
  <c r="G1016" i="26"/>
  <c r="G1017" i="26"/>
  <c r="G1018" i="26"/>
  <c r="G1019" i="26"/>
  <c r="G1020" i="26"/>
  <c r="G1021" i="26"/>
  <c r="G1022" i="26"/>
  <c r="G1023" i="26"/>
  <c r="G1024" i="26"/>
  <c r="G1025" i="26"/>
  <c r="G1026" i="26"/>
  <c r="G1027" i="26"/>
  <c r="G1028" i="26"/>
  <c r="G1029" i="26"/>
  <c r="G1030" i="26"/>
  <c r="G1031" i="26"/>
  <c r="G1032" i="26"/>
  <c r="G1033" i="26"/>
  <c r="G1034" i="26"/>
  <c r="G1035" i="26"/>
  <c r="G1036" i="26"/>
  <c r="G1037" i="26"/>
  <c r="G1038" i="26"/>
  <c r="G1039" i="26"/>
  <c r="G1040" i="26"/>
  <c r="G1041" i="26"/>
  <c r="G1042" i="26"/>
  <c r="G1043" i="26"/>
  <c r="G1044" i="26"/>
  <c r="G1045" i="26"/>
  <c r="G1046" i="26"/>
  <c r="G1047" i="26"/>
  <c r="G1048" i="26"/>
  <c r="G1049" i="26"/>
  <c r="G1050" i="26"/>
  <c r="G1051" i="26"/>
  <c r="G1052" i="26"/>
  <c r="G1053" i="26"/>
  <c r="G1054" i="26"/>
  <c r="G1055" i="26"/>
  <c r="G1056" i="26"/>
  <c r="G1057" i="26"/>
  <c r="G1058" i="26"/>
  <c r="G1059" i="26"/>
  <c r="G1060" i="26"/>
  <c r="G1061" i="26"/>
  <c r="G1062" i="26"/>
  <c r="G1063" i="26"/>
  <c r="G1064" i="26"/>
  <c r="G1065" i="26"/>
  <c r="G1066" i="26"/>
  <c r="G1067" i="26"/>
  <c r="G1068" i="26"/>
  <c r="G1069" i="26"/>
  <c r="G1070" i="26"/>
  <c r="G1071" i="26"/>
  <c r="G1072" i="26"/>
  <c r="G1073" i="26"/>
  <c r="G1074" i="26"/>
  <c r="G1075" i="26"/>
  <c r="G1076" i="26"/>
  <c r="G1077" i="26"/>
  <c r="G1078" i="26"/>
  <c r="G1079" i="26"/>
  <c r="G1080" i="26"/>
  <c r="G1081" i="26"/>
  <c r="G1082" i="26"/>
  <c r="G1083" i="26"/>
  <c r="G1084" i="26"/>
  <c r="G1085" i="26"/>
  <c r="G1086" i="26"/>
  <c r="G1087" i="26"/>
  <c r="G1088" i="26"/>
  <c r="G1089" i="26"/>
  <c r="G1090" i="26"/>
  <c r="G1091" i="26"/>
  <c r="G1092" i="26"/>
  <c r="G1093" i="26"/>
  <c r="G1094" i="26"/>
  <c r="G1095" i="26"/>
  <c r="G1096" i="26"/>
  <c r="G1097" i="26"/>
  <c r="G1098" i="26"/>
  <c r="G1099" i="26"/>
  <c r="G1100" i="26"/>
  <c r="G1101" i="26"/>
  <c r="G1102" i="26"/>
  <c r="G1103" i="26"/>
  <c r="G1104" i="26"/>
  <c r="G1105" i="26"/>
  <c r="G1106" i="26"/>
  <c r="G1107" i="26"/>
  <c r="G1108" i="26"/>
  <c r="G1109" i="26"/>
  <c r="G1110" i="26"/>
  <c r="G1111" i="26"/>
  <c r="G1112" i="26"/>
  <c r="G1113" i="26"/>
  <c r="G1114" i="26"/>
  <c r="G1115" i="26"/>
  <c r="G1116" i="26"/>
  <c r="G1117" i="26"/>
  <c r="G1118" i="26"/>
  <c r="G1119" i="26"/>
  <c r="G1120" i="26"/>
  <c r="G1121" i="26"/>
  <c r="G1122" i="26"/>
  <c r="G1123" i="26"/>
  <c r="G1124" i="26"/>
  <c r="G1125" i="26"/>
  <c r="G1126" i="26"/>
  <c r="G1127" i="26"/>
  <c r="G1128" i="26"/>
  <c r="G1129" i="26"/>
  <c r="G1130" i="26"/>
  <c r="G1131" i="26"/>
  <c r="G1132" i="26"/>
  <c r="G1133" i="26"/>
  <c r="G1134" i="26"/>
  <c r="G1135" i="26"/>
  <c r="G1136" i="26"/>
  <c r="G1137" i="26"/>
  <c r="G1138" i="26"/>
  <c r="G1139" i="26"/>
  <c r="G1140" i="26"/>
  <c r="G1141" i="26"/>
  <c r="G1142" i="26"/>
  <c r="G1143" i="26"/>
  <c r="G1144" i="26"/>
  <c r="G1145" i="26"/>
  <c r="G1146" i="26"/>
  <c r="G1147" i="26"/>
  <c r="G1148" i="26"/>
  <c r="G1149" i="26"/>
  <c r="G1150" i="26"/>
  <c r="G1151" i="26"/>
  <c r="G1152" i="26"/>
  <c r="G1153" i="26"/>
  <c r="G1154" i="26"/>
  <c r="G1155" i="26"/>
  <c r="G1156" i="26"/>
  <c r="G1157" i="26"/>
  <c r="G1158" i="26"/>
  <c r="G1159" i="26"/>
  <c r="G1160" i="26"/>
  <c r="G1161" i="26"/>
  <c r="G1162" i="26"/>
  <c r="G1163" i="26"/>
  <c r="G1164" i="26"/>
  <c r="G1165" i="26"/>
  <c r="G1166" i="26"/>
  <c r="G1167" i="26"/>
  <c r="G1168" i="26"/>
  <c r="G1169" i="26"/>
  <c r="G1170" i="26"/>
  <c r="G1171" i="26"/>
  <c r="G1172" i="26"/>
  <c r="G1173" i="26"/>
  <c r="G1174" i="26"/>
  <c r="G1175" i="26"/>
  <c r="G1176" i="26"/>
  <c r="G1177" i="26"/>
  <c r="G1178" i="26"/>
  <c r="G1179" i="26"/>
  <c r="G1180" i="26"/>
  <c r="G1181" i="26"/>
  <c r="G1182" i="26"/>
  <c r="G1183" i="26"/>
  <c r="G1184" i="26"/>
  <c r="G1185" i="26"/>
  <c r="G1186" i="26"/>
  <c r="G1187" i="26"/>
  <c r="G1188" i="26"/>
  <c r="G1189" i="26"/>
  <c r="G1190" i="26"/>
  <c r="G1191" i="26"/>
  <c r="G1192" i="26"/>
  <c r="G1193" i="26"/>
  <c r="G1194" i="26"/>
  <c r="G1195" i="26"/>
  <c r="G1196" i="26"/>
  <c r="G1197" i="26"/>
  <c r="G1198" i="26"/>
  <c r="G1199" i="26"/>
  <c r="G1200" i="26"/>
  <c r="G1201" i="26"/>
  <c r="G1202" i="26"/>
  <c r="G1203" i="26"/>
  <c r="G1204" i="26"/>
  <c r="G1205" i="26"/>
  <c r="G1206" i="26"/>
  <c r="G1207" i="26"/>
  <c r="G1208" i="26"/>
  <c r="G1209" i="26"/>
  <c r="G1210" i="26"/>
  <c r="G1211" i="26"/>
  <c r="G1212" i="26"/>
  <c r="G1213" i="26"/>
  <c r="G1214" i="26"/>
  <c r="G1215" i="26"/>
  <c r="G1216" i="26"/>
  <c r="G1217" i="26"/>
  <c r="G1218" i="26"/>
  <c r="G1219" i="26"/>
  <c r="G1220" i="26"/>
  <c r="G1221" i="26"/>
  <c r="G1222" i="26"/>
  <c r="G1223" i="26"/>
  <c r="G1224" i="26"/>
  <c r="G1225" i="26"/>
  <c r="G1226" i="26"/>
  <c r="G1227" i="26"/>
  <c r="G1228" i="26"/>
  <c r="G1229" i="26"/>
  <c r="G1230" i="26"/>
  <c r="G1231" i="26"/>
  <c r="G1232" i="26"/>
  <c r="G1233" i="26"/>
  <c r="G1234" i="26"/>
  <c r="G1235" i="26"/>
  <c r="G1236" i="26"/>
  <c r="G1237" i="26"/>
  <c r="G1238" i="26"/>
  <c r="G1239" i="26"/>
  <c r="G1240" i="26"/>
  <c r="G1241" i="26"/>
  <c r="G1242" i="26"/>
  <c r="G1243" i="26"/>
  <c r="G1244" i="26"/>
  <c r="G1245" i="26"/>
  <c r="G1246" i="26"/>
  <c r="G1247" i="26"/>
  <c r="G1248" i="26"/>
  <c r="G1249" i="26"/>
  <c r="G1250" i="26"/>
  <c r="G1251" i="26"/>
  <c r="G1252" i="26"/>
  <c r="G1253" i="26"/>
  <c r="G1254" i="26"/>
  <c r="G1255" i="26"/>
  <c r="G1256" i="26"/>
  <c r="G1257" i="26"/>
  <c r="G1258" i="26"/>
  <c r="G1259" i="26"/>
  <c r="G1260" i="26"/>
  <c r="G1261" i="26"/>
  <c r="G1262" i="26"/>
  <c r="G1263" i="26"/>
  <c r="G1264" i="26"/>
  <c r="G1265" i="26"/>
  <c r="G1266" i="26"/>
  <c r="G1267" i="26"/>
  <c r="G1268" i="26"/>
  <c r="G1269" i="26"/>
  <c r="G1270" i="26"/>
  <c r="G1271" i="26"/>
  <c r="G1272" i="26"/>
  <c r="G1273" i="26"/>
  <c r="G1274" i="26"/>
  <c r="G1275" i="26"/>
  <c r="G1276" i="26"/>
  <c r="G1277" i="26"/>
  <c r="G1278" i="26"/>
  <c r="G1279" i="26"/>
  <c r="G1280" i="26"/>
  <c r="G1281" i="26"/>
  <c r="G1282" i="26"/>
  <c r="G1283" i="26"/>
  <c r="G1284" i="26"/>
  <c r="G1285" i="26"/>
  <c r="G1286" i="26"/>
  <c r="G1287" i="26"/>
  <c r="G1288" i="26"/>
  <c r="G1289" i="26"/>
  <c r="G1290" i="26"/>
  <c r="G1291" i="26"/>
  <c r="G1292" i="26"/>
  <c r="G1293" i="26"/>
  <c r="G1294" i="26"/>
  <c r="G1295" i="26"/>
  <c r="G1296" i="26"/>
  <c r="G1297" i="26"/>
  <c r="G1298" i="26"/>
  <c r="G1299" i="26"/>
  <c r="G1300" i="26"/>
  <c r="G1301" i="26"/>
  <c r="G1302" i="26"/>
  <c r="G1303" i="26"/>
  <c r="G1304" i="26"/>
  <c r="G1305" i="26"/>
  <c r="G1306" i="26"/>
  <c r="G1307" i="26"/>
  <c r="G1308" i="26"/>
  <c r="G1309" i="26"/>
  <c r="G1310" i="26"/>
  <c r="G1311" i="26"/>
  <c r="G1312" i="26"/>
  <c r="G1313" i="26"/>
  <c r="G1314" i="26"/>
  <c r="G1315" i="26"/>
  <c r="G1316" i="26"/>
  <c r="G1317" i="26"/>
  <c r="G1318" i="26"/>
  <c r="G1319" i="26"/>
  <c r="G1320" i="26"/>
  <c r="G1321" i="26"/>
  <c r="G1322" i="26"/>
  <c r="G1323" i="26"/>
  <c r="G1324" i="26"/>
  <c r="G1325" i="26"/>
  <c r="G1326" i="26"/>
  <c r="G1327" i="26"/>
  <c r="G1328" i="26"/>
  <c r="G1329" i="26"/>
  <c r="G1330" i="26"/>
  <c r="G1331" i="26"/>
  <c r="G1332" i="26"/>
  <c r="G1333" i="26"/>
  <c r="G1334" i="26"/>
  <c r="G1335" i="26"/>
  <c r="G1336" i="26"/>
  <c r="G1337" i="26"/>
  <c r="G1338" i="26"/>
  <c r="G1339" i="26"/>
  <c r="G1340" i="26"/>
  <c r="G1341" i="26"/>
  <c r="G1342" i="26"/>
  <c r="G1343" i="26"/>
  <c r="G1344" i="26"/>
  <c r="G1345" i="26"/>
  <c r="G1346" i="26"/>
  <c r="G1347" i="26"/>
  <c r="G1348" i="26"/>
  <c r="G1349" i="26"/>
  <c r="G1350" i="26"/>
  <c r="G1351" i="26"/>
  <c r="G1352" i="26"/>
  <c r="G1353" i="26"/>
  <c r="G1354" i="26"/>
  <c r="G1355" i="26"/>
  <c r="G1356" i="26"/>
  <c r="G1357" i="26"/>
  <c r="G1358" i="26"/>
  <c r="G1359" i="26"/>
  <c r="G1360" i="26"/>
  <c r="G1361" i="26"/>
  <c r="G1362" i="26"/>
  <c r="G1363" i="26"/>
  <c r="G1364" i="26"/>
  <c r="G1365" i="26"/>
  <c r="G1366" i="26"/>
  <c r="G1367" i="26"/>
  <c r="G1368" i="26"/>
  <c r="G1369" i="26"/>
  <c r="G1370" i="26"/>
  <c r="G1371" i="26"/>
  <c r="G1372" i="26"/>
  <c r="G1373" i="26"/>
  <c r="G1374" i="26"/>
  <c r="G1375" i="26"/>
  <c r="G1376" i="26"/>
  <c r="G1377" i="26"/>
  <c r="G1378" i="26"/>
  <c r="G1379" i="26"/>
  <c r="G1380" i="26"/>
  <c r="G1381" i="26"/>
  <c r="G1382" i="26"/>
  <c r="G1383" i="26"/>
  <c r="G1384" i="26"/>
  <c r="G1385" i="26"/>
  <c r="G1386" i="26"/>
  <c r="G1387" i="26"/>
  <c r="G1388" i="26"/>
  <c r="G1389" i="26"/>
  <c r="G1390" i="26"/>
  <c r="G1391" i="26"/>
  <c r="G1392" i="26"/>
  <c r="G1393" i="26"/>
  <c r="G1394" i="26"/>
  <c r="G1395" i="26"/>
  <c r="G1396" i="26"/>
  <c r="G1397" i="26"/>
  <c r="G1398" i="26"/>
  <c r="G1399" i="26"/>
  <c r="G1400" i="26"/>
  <c r="G1401" i="26"/>
  <c r="G1402" i="26"/>
  <c r="G1403" i="26"/>
  <c r="G1404" i="26"/>
  <c r="G1405" i="26"/>
  <c r="G1406" i="26"/>
  <c r="G1407" i="26"/>
  <c r="G1408" i="26"/>
  <c r="G1409" i="26"/>
  <c r="G1410" i="26"/>
  <c r="G1411" i="26"/>
  <c r="G1412" i="26"/>
  <c r="G1413" i="26"/>
  <c r="G1414" i="26"/>
  <c r="G1415" i="26"/>
  <c r="G1416" i="26"/>
  <c r="G1417" i="26"/>
  <c r="G1418" i="26"/>
  <c r="G1419" i="26"/>
  <c r="G1420" i="26"/>
  <c r="G1421" i="26"/>
  <c r="G1422" i="26"/>
  <c r="G1423" i="26"/>
  <c r="G1424" i="26"/>
  <c r="G1425" i="26"/>
  <c r="G1426" i="26"/>
  <c r="G1427" i="26"/>
  <c r="G1428" i="26"/>
  <c r="G1429" i="26"/>
  <c r="G1430" i="26"/>
  <c r="G1431" i="26"/>
  <c r="G1432" i="26"/>
  <c r="G1433" i="26"/>
  <c r="G1434" i="26"/>
  <c r="G1435" i="26"/>
  <c r="G1436" i="26"/>
  <c r="G1437" i="26"/>
  <c r="G1438" i="26"/>
  <c r="G1439" i="26"/>
  <c r="G1440" i="26"/>
  <c r="G1441" i="26"/>
  <c r="G1442" i="26"/>
  <c r="G1443" i="26"/>
  <c r="G1444" i="26"/>
  <c r="G1445" i="26"/>
  <c r="G1446" i="26"/>
  <c r="G1447" i="26"/>
  <c r="G1448" i="26"/>
  <c r="G1449" i="26"/>
  <c r="G1450" i="26"/>
  <c r="G1451" i="26"/>
  <c r="G1452" i="26"/>
  <c r="G1453" i="26"/>
  <c r="G1454" i="26"/>
  <c r="G1455" i="26"/>
  <c r="G1456" i="26"/>
  <c r="G1457" i="26"/>
  <c r="G1458" i="26"/>
  <c r="G1459" i="26"/>
  <c r="G1460" i="26"/>
  <c r="G1461" i="26"/>
  <c r="G1462" i="26"/>
  <c r="G1463" i="26"/>
  <c r="G1464" i="26"/>
  <c r="G1465" i="26"/>
  <c r="G1466" i="26"/>
  <c r="G1467" i="26"/>
  <c r="G1468" i="26"/>
  <c r="G1469" i="26"/>
  <c r="G1470" i="26"/>
  <c r="G1471" i="26"/>
  <c r="G1472" i="26"/>
  <c r="G1473" i="26"/>
  <c r="G1474" i="26"/>
  <c r="G1475" i="26"/>
  <c r="G1476" i="26"/>
  <c r="G1477" i="26"/>
  <c r="G1478" i="26"/>
  <c r="G1479" i="26"/>
  <c r="G1480" i="26"/>
  <c r="G1481" i="26"/>
  <c r="G1482" i="26"/>
  <c r="G1483" i="26"/>
  <c r="G1484" i="26"/>
  <c r="G1485" i="26"/>
  <c r="G1486" i="26"/>
  <c r="G1487" i="26"/>
  <c r="G1488" i="26"/>
  <c r="G1489" i="26"/>
  <c r="G1490" i="26"/>
  <c r="G1491" i="26"/>
  <c r="G1492" i="26"/>
  <c r="G1493" i="26"/>
  <c r="G1494" i="26"/>
  <c r="G1495" i="26"/>
  <c r="G1496" i="26"/>
  <c r="G1497" i="26"/>
  <c r="G1498" i="26"/>
  <c r="G1499" i="26"/>
  <c r="G1500" i="26"/>
  <c r="G1501" i="26"/>
  <c r="G1502" i="26"/>
  <c r="G1503" i="26"/>
  <c r="G1504" i="26"/>
  <c r="G1505" i="26"/>
  <c r="G1506" i="26"/>
  <c r="G1507" i="26"/>
  <c r="G1508" i="26"/>
  <c r="G1509" i="26"/>
  <c r="G1510" i="26"/>
  <c r="G1511" i="26"/>
  <c r="G1512" i="26"/>
  <c r="G1513" i="26"/>
  <c r="G1514" i="26"/>
  <c r="G1515" i="26"/>
  <c r="G1516" i="26"/>
  <c r="G1517" i="26"/>
  <c r="G1518" i="26"/>
  <c r="G1519" i="26"/>
  <c r="G1520" i="26"/>
  <c r="G1521" i="26"/>
  <c r="G1522" i="26"/>
  <c r="G1523" i="26"/>
  <c r="G1524" i="26"/>
  <c r="G1525" i="26"/>
  <c r="G1526" i="26"/>
  <c r="G1527" i="26"/>
  <c r="G1528" i="26"/>
  <c r="G1529" i="26"/>
  <c r="G1530" i="26"/>
  <c r="G1531" i="26"/>
  <c r="G1532" i="26"/>
  <c r="G1533" i="26"/>
  <c r="G1534" i="26"/>
  <c r="G1535" i="26"/>
  <c r="G1536" i="26"/>
  <c r="G1537" i="26"/>
  <c r="G1538" i="26"/>
  <c r="G1539" i="26"/>
  <c r="G1540" i="26"/>
  <c r="G1541" i="26"/>
  <c r="G1542" i="26"/>
  <c r="G1543" i="26"/>
  <c r="G1544" i="26"/>
  <c r="G1545" i="26"/>
  <c r="G1546" i="26"/>
  <c r="G1547" i="26"/>
  <c r="G1548" i="26"/>
  <c r="G1549" i="26"/>
  <c r="G1550" i="26"/>
  <c r="G1551" i="26"/>
  <c r="G1552" i="26"/>
  <c r="G1553" i="26"/>
  <c r="G1554" i="26"/>
  <c r="G1555" i="26"/>
  <c r="G1556" i="26"/>
  <c r="G1557" i="26"/>
  <c r="G1558" i="26"/>
  <c r="G1559" i="26"/>
  <c r="G1560" i="26"/>
  <c r="G1561" i="26"/>
  <c r="G1562" i="26"/>
  <c r="G1563" i="26"/>
  <c r="G1564" i="26"/>
  <c r="G1565" i="26"/>
  <c r="G1566" i="26"/>
  <c r="G1567" i="26"/>
  <c r="G1568" i="26"/>
  <c r="G1569" i="26"/>
  <c r="G1570" i="26"/>
  <c r="G1571" i="26"/>
  <c r="G1572" i="26"/>
  <c r="G1573" i="26"/>
  <c r="G1574" i="26"/>
  <c r="G1575" i="26"/>
  <c r="G1576" i="26"/>
  <c r="G1577" i="26"/>
  <c r="G1578" i="26"/>
  <c r="G1579" i="26"/>
  <c r="G1580" i="26"/>
  <c r="G1581" i="26"/>
  <c r="G1582" i="26"/>
  <c r="G1583" i="26"/>
  <c r="G1584" i="26"/>
  <c r="G1585" i="26"/>
  <c r="G1586" i="26"/>
  <c r="G1587" i="26"/>
  <c r="G1588" i="26"/>
  <c r="G1589" i="26"/>
  <c r="G1590" i="26"/>
  <c r="G1591" i="26"/>
  <c r="G1592" i="26"/>
  <c r="G1593" i="26"/>
  <c r="G1594" i="26"/>
  <c r="G1595" i="26"/>
  <c r="G1596" i="26"/>
  <c r="G1597" i="26"/>
  <c r="G1598" i="26"/>
  <c r="G1599" i="26"/>
  <c r="G1600" i="26"/>
  <c r="G1601" i="26"/>
  <c r="G1602" i="26"/>
  <c r="G1603" i="26"/>
  <c r="G1604" i="26"/>
  <c r="G1605" i="26"/>
  <c r="G1606" i="26"/>
  <c r="G1607" i="26"/>
  <c r="G1608" i="26"/>
  <c r="G1609" i="26"/>
  <c r="G1610" i="26"/>
  <c r="G1611" i="26"/>
  <c r="G1612" i="26"/>
  <c r="G1613" i="26"/>
  <c r="G1614" i="26"/>
  <c r="G1615" i="26"/>
  <c r="G1616" i="26"/>
  <c r="G1617" i="26"/>
  <c r="G1618" i="26"/>
  <c r="G1619" i="26"/>
  <c r="G1620" i="26"/>
  <c r="G1621" i="26"/>
  <c r="G1622" i="26"/>
  <c r="G1623" i="26"/>
  <c r="G1624" i="26"/>
  <c r="G1625" i="26"/>
  <c r="G1626" i="26"/>
  <c r="G1627" i="26"/>
  <c r="G1628" i="26"/>
  <c r="G1629" i="26"/>
  <c r="G1630" i="26"/>
  <c r="G1631" i="26"/>
  <c r="G1632" i="26"/>
  <c r="G1633" i="26"/>
  <c r="G1634" i="26"/>
  <c r="G1635" i="26"/>
  <c r="G1636" i="26"/>
  <c r="G1637" i="26"/>
  <c r="G1638" i="26"/>
  <c r="G1639" i="26"/>
  <c r="G1640" i="26"/>
  <c r="G1641" i="26"/>
  <c r="G1642" i="26"/>
  <c r="G1643" i="26"/>
  <c r="G1644" i="26"/>
  <c r="G1645" i="26"/>
  <c r="G1646" i="26"/>
  <c r="G1647" i="26"/>
  <c r="G1648" i="26"/>
  <c r="G1649" i="26"/>
  <c r="G1650" i="26"/>
  <c r="G1651" i="26"/>
  <c r="G1652" i="26"/>
  <c r="G1653" i="26"/>
  <c r="G1654" i="26"/>
  <c r="G1655" i="26"/>
  <c r="G1656" i="26"/>
  <c r="G1657" i="26"/>
  <c r="G1658" i="26"/>
  <c r="G1659" i="26"/>
  <c r="G1660" i="26"/>
  <c r="G1661" i="26"/>
  <c r="G1662" i="26"/>
  <c r="G1663" i="26"/>
  <c r="G1664" i="26"/>
  <c r="G1665" i="26"/>
  <c r="G1666" i="26"/>
  <c r="G1667" i="26"/>
  <c r="G1668" i="26"/>
  <c r="G1669" i="26"/>
  <c r="G1670" i="26"/>
  <c r="G1671" i="26"/>
  <c r="G1672" i="26"/>
  <c r="G1673" i="26"/>
  <c r="G1674" i="26"/>
  <c r="G1675" i="26"/>
  <c r="G1676" i="26"/>
  <c r="G1677" i="26"/>
  <c r="G1678" i="26"/>
  <c r="G1679" i="26"/>
  <c r="G1680" i="26"/>
  <c r="G1681" i="26"/>
  <c r="G1682" i="26"/>
  <c r="G1683" i="26"/>
  <c r="G1684" i="26"/>
  <c r="G1685" i="26"/>
  <c r="G1686" i="26"/>
  <c r="G1687" i="26"/>
  <c r="G1688" i="26"/>
  <c r="G1689" i="26"/>
  <c r="G1690" i="26"/>
  <c r="G1691" i="26"/>
  <c r="G1692" i="26"/>
  <c r="G1693" i="26"/>
  <c r="G1694" i="26"/>
  <c r="G1695" i="26"/>
  <c r="G1696" i="26"/>
  <c r="G1697" i="26"/>
  <c r="G1698" i="26"/>
  <c r="G1699" i="26"/>
  <c r="G1700" i="26"/>
  <c r="G1701" i="26"/>
  <c r="G1702" i="26"/>
  <c r="G1703" i="26"/>
  <c r="G1704" i="26"/>
  <c r="G1705" i="26"/>
  <c r="G1706" i="26"/>
  <c r="G1707" i="26"/>
  <c r="G1708" i="26"/>
  <c r="G1709" i="26"/>
  <c r="G1710" i="26"/>
  <c r="G1711" i="26"/>
  <c r="G1712" i="26"/>
  <c r="G1713" i="26"/>
  <c r="G1714" i="26"/>
  <c r="G1715" i="26"/>
  <c r="G1716" i="26"/>
  <c r="G1717" i="26"/>
  <c r="G1718" i="26"/>
  <c r="G1719" i="26"/>
  <c r="G1720" i="26"/>
  <c r="G1721" i="26"/>
  <c r="G1722" i="26"/>
  <c r="G1723" i="26"/>
  <c r="G1724" i="26"/>
  <c r="G1725" i="26"/>
  <c r="G1726" i="26"/>
  <c r="G1727" i="26"/>
  <c r="G1728" i="26"/>
  <c r="G1729" i="26"/>
  <c r="G1730" i="26"/>
  <c r="G1731" i="26"/>
  <c r="G1732" i="26"/>
  <c r="G1733" i="26"/>
  <c r="G1734" i="26"/>
  <c r="G1735" i="26"/>
  <c r="G1736" i="26"/>
  <c r="G1737" i="26"/>
  <c r="G1738" i="26"/>
  <c r="G1739" i="26"/>
  <c r="G1740" i="26"/>
  <c r="G1741" i="26"/>
  <c r="G1742" i="26"/>
  <c r="G1743" i="26"/>
  <c r="G1744" i="26"/>
  <c r="G1745" i="26"/>
  <c r="G1746" i="26"/>
  <c r="G1747" i="26"/>
  <c r="G1748" i="26"/>
  <c r="G1749" i="26"/>
  <c r="G1750" i="26"/>
  <c r="G1751" i="26"/>
  <c r="G1752" i="26"/>
  <c r="G1753" i="26"/>
  <c r="G1754" i="26"/>
  <c r="G1755" i="26"/>
  <c r="G1756" i="26"/>
  <c r="G1757" i="26"/>
  <c r="G1758" i="26"/>
  <c r="G1759" i="26"/>
  <c r="G1760" i="26"/>
  <c r="G1761" i="26"/>
  <c r="G1762" i="26"/>
  <c r="G1763" i="26"/>
  <c r="G1764" i="26"/>
  <c r="G1765" i="26"/>
  <c r="G1766" i="26"/>
  <c r="G1767" i="26"/>
  <c r="G1768" i="26"/>
  <c r="G1769" i="26"/>
  <c r="G1770" i="26"/>
  <c r="G1771" i="26"/>
  <c r="G1772" i="26"/>
  <c r="G1773" i="26"/>
  <c r="G1774" i="26"/>
  <c r="G1775" i="26"/>
  <c r="G1776" i="26"/>
  <c r="G1777" i="26"/>
  <c r="G1778" i="26"/>
  <c r="G1779" i="26"/>
  <c r="G1780" i="26"/>
  <c r="G1781" i="26"/>
  <c r="G1782" i="26"/>
  <c r="G1783" i="26"/>
  <c r="G1784" i="26"/>
  <c r="G1785" i="26"/>
  <c r="G1786" i="26"/>
  <c r="G1787" i="26"/>
  <c r="G1788" i="26"/>
  <c r="G1789" i="26"/>
  <c r="G1790" i="26"/>
  <c r="G1791" i="26"/>
  <c r="G1792" i="26"/>
  <c r="G1793" i="26"/>
  <c r="G1794" i="26"/>
  <c r="G1795" i="26"/>
  <c r="G1796" i="26"/>
  <c r="G1797" i="26"/>
  <c r="G1798" i="26"/>
  <c r="G1799" i="26"/>
  <c r="G1800" i="26"/>
  <c r="G1801" i="26"/>
  <c r="G1802" i="26"/>
  <c r="G1803" i="26"/>
  <c r="G1804" i="26"/>
  <c r="G1805" i="26"/>
  <c r="G1806" i="26"/>
  <c r="G1807" i="26"/>
  <c r="G1808" i="26"/>
  <c r="G1809" i="26"/>
  <c r="G1810" i="26"/>
  <c r="G1811" i="26"/>
  <c r="G1812" i="26"/>
  <c r="G1813" i="26"/>
  <c r="G1814" i="26"/>
  <c r="G1815" i="26"/>
  <c r="G1816" i="26"/>
  <c r="G1817" i="26"/>
  <c r="G1818" i="26"/>
  <c r="G1819" i="26"/>
  <c r="G1820" i="26"/>
  <c r="G1821" i="26"/>
  <c r="G1822" i="26"/>
  <c r="G1823" i="26"/>
  <c r="G1824" i="26"/>
  <c r="G1825" i="26"/>
  <c r="G1826" i="26"/>
  <c r="G1827" i="26"/>
  <c r="G1828" i="26"/>
  <c r="G1829" i="26"/>
  <c r="G1830" i="26"/>
  <c r="G1831" i="26"/>
  <c r="G1832" i="26"/>
  <c r="G1833" i="26"/>
  <c r="G1834" i="26"/>
  <c r="G1835" i="26"/>
  <c r="G1836" i="26"/>
  <c r="G1837" i="26"/>
  <c r="G1838" i="26"/>
  <c r="G1839" i="26"/>
  <c r="G1840" i="26"/>
  <c r="G1841" i="26"/>
  <c r="G1842" i="26"/>
  <c r="G1843" i="26"/>
  <c r="G1844" i="26"/>
  <c r="G1845" i="26"/>
  <c r="G1846" i="26"/>
  <c r="G1847" i="26"/>
  <c r="G1848" i="26"/>
  <c r="G1849" i="26"/>
  <c r="G1850" i="26"/>
  <c r="G1851" i="26"/>
  <c r="G1852" i="26"/>
  <c r="G1853" i="26"/>
  <c r="G1854" i="26"/>
  <c r="G1855" i="26"/>
  <c r="G1856" i="26"/>
  <c r="G1857" i="26"/>
  <c r="G1858" i="26"/>
  <c r="G1859" i="26"/>
  <c r="G1860" i="26"/>
  <c r="G1861" i="26"/>
  <c r="G1862" i="26"/>
  <c r="G1863" i="26"/>
  <c r="G1864" i="26"/>
  <c r="G1865" i="26"/>
  <c r="G1866" i="26"/>
  <c r="G1867" i="26"/>
  <c r="G1868" i="26"/>
  <c r="G1869" i="26"/>
  <c r="G1870" i="26"/>
  <c r="G1871" i="26"/>
  <c r="G1872" i="26"/>
  <c r="G1873" i="26"/>
  <c r="G1874" i="26"/>
  <c r="G1875" i="26"/>
  <c r="G1876" i="26"/>
  <c r="G1877" i="26"/>
  <c r="G1878" i="26"/>
  <c r="G1879" i="26"/>
  <c r="G1880" i="26"/>
  <c r="G1881" i="26"/>
  <c r="G1882" i="26"/>
  <c r="G1883" i="26"/>
  <c r="G1884" i="26"/>
  <c r="G1885" i="26"/>
  <c r="G1886" i="26"/>
  <c r="G1887" i="26"/>
  <c r="G1888" i="26"/>
  <c r="G1889" i="26"/>
  <c r="G1890" i="26"/>
  <c r="G1891" i="26"/>
  <c r="G1892" i="26"/>
  <c r="G1893" i="26"/>
  <c r="G1894" i="26"/>
  <c r="G1895" i="26"/>
  <c r="G1896" i="26"/>
  <c r="G1897" i="26"/>
  <c r="G1898" i="26"/>
  <c r="G1899" i="26"/>
  <c r="G1900" i="26"/>
  <c r="G1901" i="26"/>
  <c r="G1902" i="26"/>
  <c r="G1903" i="26"/>
  <c r="G1904" i="26"/>
  <c r="G1905" i="26"/>
  <c r="G1906" i="26"/>
  <c r="G1907" i="26"/>
  <c r="G1908" i="26"/>
  <c r="G1909" i="26"/>
  <c r="G1910" i="26"/>
  <c r="G1911" i="26"/>
  <c r="G1912" i="26"/>
  <c r="G1913" i="26"/>
  <c r="G1914" i="26"/>
  <c r="G1915" i="26"/>
  <c r="G1916" i="26"/>
  <c r="G1917" i="26"/>
  <c r="G1918" i="26"/>
  <c r="G1919" i="26"/>
  <c r="G1920" i="26"/>
  <c r="G1921" i="26"/>
  <c r="G1922" i="26"/>
  <c r="G1923" i="26"/>
  <c r="G1924" i="26"/>
  <c r="G1925" i="26"/>
  <c r="G1926" i="26"/>
  <c r="G1927" i="26"/>
  <c r="G1928" i="26"/>
  <c r="G1929" i="26"/>
  <c r="G1930" i="26"/>
  <c r="G1931" i="26"/>
  <c r="G1932" i="26"/>
  <c r="G1933" i="26"/>
  <c r="G1934" i="26"/>
  <c r="G1935" i="26"/>
  <c r="G1936" i="26"/>
  <c r="G1937" i="26"/>
  <c r="G1938" i="26"/>
  <c r="G1939" i="26"/>
  <c r="G1940" i="26"/>
  <c r="G1941" i="26"/>
  <c r="G1942" i="26"/>
  <c r="G1943" i="26"/>
  <c r="G1944" i="26"/>
  <c r="G1945" i="26"/>
  <c r="G1946" i="26"/>
  <c r="G1947" i="26"/>
  <c r="G1948" i="26"/>
  <c r="G1949" i="26"/>
  <c r="G1950" i="26"/>
  <c r="G1951" i="26"/>
  <c r="G1952" i="26"/>
  <c r="G1953" i="26"/>
  <c r="G1954" i="26"/>
  <c r="G1955" i="26"/>
  <c r="G1956" i="26"/>
  <c r="G1957" i="26"/>
  <c r="G1958" i="26"/>
  <c r="G1959" i="26"/>
  <c r="G1960" i="26"/>
  <c r="G1961" i="26"/>
  <c r="G1962" i="26"/>
  <c r="G1963" i="26"/>
  <c r="G1964" i="26"/>
  <c r="G1965" i="26"/>
  <c r="G1966" i="26"/>
  <c r="G1967" i="26"/>
  <c r="G1968" i="26"/>
  <c r="G1969" i="26"/>
  <c r="G1970" i="26"/>
  <c r="G1971" i="26"/>
  <c r="G1972" i="26"/>
  <c r="G1973" i="26"/>
  <c r="G1974" i="26"/>
  <c r="G1975" i="26"/>
  <c r="G1976" i="26"/>
  <c r="G1977" i="26"/>
  <c r="G1978" i="26"/>
  <c r="G1979" i="26"/>
  <c r="G1980" i="26"/>
  <c r="G1981" i="26"/>
  <c r="G1982" i="26"/>
  <c r="G1983" i="26"/>
  <c r="G1984" i="26"/>
  <c r="G1985" i="26"/>
  <c r="G1986" i="26"/>
  <c r="G1987" i="26"/>
  <c r="G1988" i="26"/>
  <c r="G1989" i="26"/>
  <c r="G1990" i="26"/>
  <c r="G1991" i="26"/>
  <c r="G1992" i="26"/>
  <c r="G1993" i="26"/>
  <c r="G1994" i="26"/>
  <c r="G1995" i="26"/>
  <c r="G1996" i="26"/>
  <c r="G1997" i="26"/>
  <c r="G1998" i="26"/>
  <c r="G1999" i="26"/>
  <c r="G2000" i="26"/>
  <c r="G2001" i="26"/>
  <c r="G2002" i="26"/>
  <c r="G2003" i="26"/>
  <c r="G2004" i="26"/>
  <c r="G2005" i="26"/>
  <c r="G2006" i="26"/>
  <c r="G2007" i="26"/>
  <c r="G2008" i="26"/>
  <c r="G2009" i="26"/>
  <c r="G2010" i="26"/>
  <c r="G2011" i="26"/>
  <c r="G2012" i="26"/>
  <c r="G2013" i="26"/>
  <c r="G2014" i="26"/>
  <c r="G2015" i="26"/>
  <c r="G2016" i="26"/>
  <c r="G2017" i="26"/>
  <c r="G2018" i="26"/>
  <c r="G2019" i="26"/>
  <c r="G2020" i="26"/>
  <c r="G2021" i="26"/>
  <c r="G2022" i="26"/>
  <c r="G2023" i="26"/>
  <c r="G2024" i="26"/>
  <c r="G2025" i="26"/>
  <c r="G2026" i="26"/>
  <c r="G2027" i="26"/>
  <c r="G2028" i="26"/>
  <c r="G2029" i="26"/>
  <c r="G2030" i="26"/>
  <c r="G2031" i="26"/>
  <c r="G2032" i="26"/>
  <c r="G2033" i="26"/>
  <c r="G2034" i="26"/>
  <c r="G2035" i="26"/>
  <c r="G2036" i="26"/>
  <c r="G2037" i="26"/>
  <c r="G2038" i="26"/>
  <c r="G2039" i="26"/>
  <c r="G2040" i="26"/>
  <c r="G2041" i="26"/>
  <c r="G2042" i="26"/>
  <c r="G2043" i="26"/>
  <c r="G2044" i="26"/>
  <c r="G2045" i="26"/>
  <c r="G2046" i="26"/>
  <c r="G2047" i="26"/>
  <c r="G2048" i="26"/>
  <c r="G2049" i="26"/>
  <c r="G2050" i="26"/>
  <c r="G2051" i="26"/>
  <c r="G2052" i="26"/>
  <c r="G2053" i="26"/>
  <c r="G2054" i="26"/>
  <c r="G2055" i="26"/>
  <c r="G2056" i="26"/>
  <c r="G2057" i="26"/>
  <c r="G2058" i="26"/>
  <c r="G2059" i="26"/>
  <c r="G2060" i="26"/>
  <c r="G2061" i="26"/>
  <c r="G2062" i="26"/>
  <c r="G2063" i="26"/>
  <c r="G2064" i="26"/>
  <c r="G2065" i="26"/>
  <c r="G2066" i="26"/>
  <c r="G2067" i="26"/>
  <c r="G2068" i="26"/>
  <c r="G2069" i="26"/>
  <c r="G2070" i="26"/>
  <c r="G2071" i="26"/>
  <c r="G2072" i="26"/>
  <c r="G2073" i="26"/>
  <c r="G2074" i="26"/>
  <c r="G2075" i="26"/>
  <c r="G2076" i="26"/>
  <c r="G2077" i="26"/>
  <c r="G2078" i="26"/>
  <c r="G2079" i="26"/>
  <c r="G2080" i="26"/>
  <c r="G2081" i="26"/>
  <c r="G2082" i="26"/>
  <c r="G2083" i="26"/>
  <c r="G2084" i="26"/>
  <c r="G2085" i="26"/>
  <c r="G2086" i="26"/>
  <c r="G2087" i="26"/>
  <c r="G2088" i="26"/>
  <c r="G2089" i="26"/>
  <c r="G2090" i="26"/>
  <c r="G2091" i="26"/>
  <c r="G2092" i="26"/>
  <c r="G2093" i="26"/>
  <c r="G2094" i="26"/>
  <c r="G2095" i="26"/>
  <c r="G2096" i="26"/>
  <c r="G2097" i="26"/>
  <c r="G2098" i="26"/>
  <c r="G2099" i="26"/>
  <c r="G2100" i="26"/>
  <c r="G2101" i="26"/>
  <c r="G2102" i="26"/>
  <c r="G2103" i="26"/>
  <c r="G2104" i="26"/>
  <c r="G2105" i="26"/>
  <c r="G2106" i="26"/>
  <c r="G2107" i="26"/>
  <c r="G2108" i="26"/>
  <c r="G2109" i="26"/>
  <c r="G2110" i="26"/>
  <c r="G2111" i="26"/>
  <c r="G2112" i="26"/>
  <c r="G2113" i="26"/>
  <c r="G2114" i="26"/>
  <c r="G2115" i="26"/>
  <c r="G2116" i="26"/>
  <c r="G2117" i="26"/>
  <c r="G2118" i="26"/>
  <c r="G2119" i="26"/>
  <c r="G2120" i="26"/>
  <c r="G2121" i="26"/>
  <c r="G2122" i="26"/>
  <c r="G2123" i="26"/>
  <c r="G2124" i="26"/>
  <c r="G2125" i="26"/>
  <c r="G2126" i="26"/>
  <c r="G2127" i="26"/>
  <c r="G2128" i="26"/>
  <c r="G2129" i="26"/>
  <c r="G2130" i="26"/>
  <c r="G2131" i="26"/>
  <c r="G2132" i="26"/>
  <c r="G2133" i="26"/>
  <c r="G2134" i="26"/>
  <c r="G2135" i="26"/>
  <c r="G2136" i="26"/>
  <c r="G2137" i="26"/>
  <c r="G2138" i="26"/>
  <c r="G2139" i="26"/>
  <c r="G2140" i="26"/>
  <c r="G2141" i="26"/>
  <c r="G2142" i="26"/>
  <c r="G2143" i="26"/>
  <c r="G2144" i="26"/>
  <c r="G2145" i="26"/>
  <c r="G2146" i="26"/>
  <c r="G2147" i="26"/>
  <c r="G2148" i="26"/>
  <c r="G2149" i="26"/>
  <c r="G2150" i="26"/>
  <c r="G2151" i="26"/>
  <c r="G2152" i="26"/>
  <c r="G2153" i="26"/>
  <c r="G2154" i="26"/>
  <c r="G2155" i="26"/>
  <c r="G2156" i="26"/>
  <c r="G2157" i="26"/>
  <c r="G2158" i="26"/>
  <c r="G2159" i="26"/>
  <c r="G2160" i="26"/>
  <c r="G2161" i="26"/>
  <c r="G2162" i="26"/>
  <c r="G2163" i="26"/>
  <c r="G2164" i="26"/>
  <c r="G2165" i="26"/>
  <c r="G2166" i="26"/>
  <c r="G2167" i="26"/>
  <c r="G2168" i="26"/>
  <c r="G2169" i="26"/>
  <c r="G2170" i="26"/>
  <c r="G2171" i="26"/>
  <c r="G2172" i="26"/>
  <c r="G2173" i="26"/>
  <c r="G2174" i="26"/>
  <c r="G2175" i="26"/>
  <c r="G2176" i="26"/>
  <c r="G2177" i="26"/>
  <c r="G2178" i="26"/>
  <c r="G2179" i="26"/>
  <c r="G2180" i="26"/>
  <c r="G2181" i="26"/>
  <c r="G2182" i="26"/>
  <c r="G2183" i="26"/>
  <c r="G2184" i="26"/>
  <c r="G2185" i="26"/>
  <c r="G2186" i="26"/>
  <c r="G2187" i="26"/>
  <c r="G2188" i="26"/>
  <c r="G2189" i="26"/>
  <c r="G2190" i="26"/>
  <c r="G2191" i="26"/>
  <c r="G2192" i="26"/>
  <c r="G2193" i="26"/>
  <c r="G2194" i="26"/>
  <c r="G2195" i="26"/>
  <c r="G2196" i="26"/>
  <c r="G2197" i="26"/>
  <c r="G2198" i="26"/>
  <c r="G2199" i="26"/>
  <c r="G2200" i="26"/>
  <c r="G2201" i="26"/>
  <c r="G2202" i="26"/>
  <c r="G2203" i="26"/>
  <c r="G2204" i="26"/>
  <c r="G2205" i="26"/>
  <c r="G2206" i="26"/>
  <c r="G2207" i="26"/>
  <c r="G2208" i="26"/>
  <c r="G2209" i="26"/>
  <c r="G2210" i="26"/>
  <c r="G2211" i="26"/>
  <c r="G2212" i="26"/>
  <c r="G2213" i="26"/>
  <c r="G2214" i="26"/>
  <c r="G2215" i="26"/>
  <c r="G2216" i="26"/>
  <c r="G2217" i="26"/>
  <c r="G2218" i="26"/>
  <c r="G2219" i="26"/>
  <c r="G2220" i="26"/>
  <c r="G2221" i="26"/>
  <c r="G2222" i="26"/>
  <c r="G2223" i="26"/>
  <c r="G2224" i="26"/>
  <c r="G2225" i="26"/>
  <c r="G2226" i="26"/>
  <c r="G2227" i="26"/>
  <c r="G2228" i="26"/>
  <c r="G2229" i="26"/>
  <c r="G2230" i="26"/>
  <c r="G2231" i="26"/>
  <c r="G2232" i="26"/>
  <c r="G2233" i="26"/>
  <c r="G2234" i="26"/>
  <c r="G2235" i="26"/>
  <c r="G2236" i="26"/>
  <c r="G2237" i="26"/>
  <c r="G2238" i="26"/>
  <c r="G2239" i="26"/>
  <c r="G2240" i="26"/>
  <c r="G2241" i="26"/>
  <c r="G2242" i="26"/>
  <c r="G2243" i="26"/>
  <c r="G2244" i="26"/>
  <c r="G2245" i="26"/>
  <c r="G2246" i="26"/>
  <c r="G2247" i="26"/>
  <c r="G2248" i="26"/>
  <c r="G2249" i="26"/>
  <c r="G2250" i="26"/>
  <c r="G2251" i="26"/>
  <c r="G2252" i="26"/>
  <c r="G2253" i="26"/>
  <c r="G2254" i="26"/>
  <c r="G2255" i="26"/>
  <c r="G2256" i="26"/>
  <c r="G2257" i="26"/>
  <c r="G2258" i="26"/>
  <c r="G2259" i="26"/>
  <c r="G2260" i="26"/>
  <c r="G2261" i="26"/>
  <c r="G2262" i="26"/>
  <c r="G2263" i="26"/>
  <c r="G2264" i="26"/>
  <c r="G2265" i="26"/>
  <c r="G2266" i="26"/>
  <c r="G2267" i="26"/>
  <c r="G2268" i="26"/>
  <c r="G2269" i="26"/>
  <c r="G2270" i="26"/>
  <c r="G2271" i="26"/>
  <c r="G2272" i="26"/>
  <c r="G2273" i="26"/>
  <c r="G2274" i="26"/>
  <c r="G2275" i="26"/>
  <c r="G2276" i="26"/>
  <c r="G2277" i="26"/>
  <c r="G2278" i="26"/>
  <c r="G2279" i="26"/>
  <c r="G2280" i="26"/>
  <c r="G2281" i="26"/>
  <c r="G2282" i="26"/>
  <c r="G2283" i="26"/>
  <c r="G2284" i="26"/>
  <c r="G2285" i="26"/>
  <c r="G2286" i="26"/>
  <c r="G2287" i="26"/>
  <c r="G2288" i="26"/>
  <c r="G2289" i="26"/>
  <c r="G2290" i="26"/>
  <c r="G2291" i="26"/>
  <c r="G2292" i="26"/>
  <c r="G2293" i="26"/>
  <c r="G2294" i="26"/>
  <c r="G2295" i="26"/>
  <c r="G2296" i="26"/>
  <c r="G2297" i="26"/>
  <c r="G2298" i="26"/>
  <c r="G2299" i="26"/>
  <c r="G2300" i="26"/>
  <c r="G2301" i="26"/>
  <c r="G2302" i="26"/>
  <c r="G2303" i="26"/>
  <c r="G2304" i="26"/>
  <c r="G2305" i="26"/>
  <c r="G2306" i="26"/>
  <c r="G2307" i="26"/>
  <c r="G2308" i="26"/>
  <c r="G2309" i="26"/>
  <c r="G2310" i="26"/>
  <c r="G2311" i="26"/>
  <c r="G2312" i="26"/>
  <c r="G2313" i="26"/>
  <c r="G2314" i="26"/>
  <c r="G2315" i="26"/>
  <c r="G2316" i="26"/>
  <c r="G2317" i="26"/>
  <c r="G2318" i="26"/>
  <c r="G2319" i="26"/>
  <c r="G2320" i="26"/>
  <c r="G2321" i="26"/>
  <c r="G2322" i="26"/>
  <c r="G2323" i="26"/>
  <c r="G2324" i="26"/>
  <c r="G2325" i="26"/>
  <c r="G2326" i="26"/>
  <c r="G2327" i="26"/>
  <c r="G2328" i="26"/>
  <c r="G2329" i="26"/>
  <c r="G2330" i="26"/>
  <c r="G2331" i="26"/>
  <c r="G2332" i="26"/>
  <c r="G2333" i="26"/>
  <c r="G2334" i="26"/>
  <c r="G2335" i="26"/>
  <c r="G2336" i="26"/>
  <c r="G2337" i="26"/>
  <c r="G2338" i="26"/>
  <c r="G2339" i="26"/>
  <c r="G2340" i="26"/>
  <c r="G2341" i="26"/>
  <c r="G2342" i="26"/>
  <c r="G2343" i="26"/>
  <c r="G2344" i="26"/>
  <c r="G2345" i="26"/>
  <c r="G2346" i="26"/>
  <c r="G2347" i="26"/>
  <c r="G2348" i="26"/>
  <c r="G2349" i="26"/>
  <c r="G2350" i="26"/>
  <c r="G2351" i="26"/>
  <c r="G2352" i="26"/>
  <c r="G2353" i="26"/>
  <c r="G2354" i="26"/>
  <c r="G2355" i="26"/>
  <c r="G2356" i="26"/>
  <c r="G2357" i="26"/>
  <c r="G2358" i="26"/>
  <c r="G2359" i="26"/>
  <c r="G2360" i="26"/>
  <c r="G2361" i="26"/>
  <c r="G2362" i="26"/>
  <c r="G2363" i="26"/>
  <c r="G2364" i="26"/>
  <c r="G2365" i="26"/>
  <c r="G2366" i="26"/>
  <c r="G2367" i="26"/>
  <c r="G2368" i="26"/>
  <c r="G2369" i="26"/>
  <c r="G2370" i="26"/>
  <c r="G2371" i="26"/>
  <c r="G2372" i="26"/>
  <c r="G2373" i="26"/>
  <c r="G2374" i="26"/>
  <c r="G2375" i="26"/>
  <c r="G2376" i="26"/>
  <c r="G2377" i="26"/>
  <c r="G2378" i="26"/>
  <c r="G2379" i="26"/>
  <c r="G2380" i="26"/>
  <c r="G2381" i="26"/>
  <c r="G2382" i="26"/>
  <c r="G2383" i="26"/>
  <c r="G2384" i="26"/>
  <c r="G2385" i="26"/>
  <c r="G2386" i="26"/>
  <c r="G2387" i="26"/>
  <c r="G2388" i="26"/>
  <c r="G2389" i="26"/>
  <c r="G2390" i="26"/>
  <c r="G2391" i="26"/>
  <c r="G2392" i="26"/>
  <c r="G2393" i="26"/>
  <c r="G2394" i="26"/>
  <c r="G2395" i="26"/>
  <c r="G2396" i="26"/>
  <c r="G2397" i="26"/>
  <c r="G2398" i="26"/>
  <c r="G2399" i="26"/>
  <c r="G2400" i="26"/>
  <c r="G2401" i="26"/>
  <c r="G2" i="26"/>
</calcChain>
</file>

<file path=xl/sharedStrings.xml><?xml version="1.0" encoding="utf-8"?>
<sst xmlns="http://schemas.openxmlformats.org/spreadsheetml/2006/main" count="33221" uniqueCount="4945">
  <si>
    <t>ESL SKU</t>
  </si>
  <si>
    <t>Description</t>
  </si>
  <si>
    <t>LED boards</t>
  </si>
  <si>
    <t>PSU boards</t>
  </si>
  <si>
    <t>Secondard Optic</t>
  </si>
  <si>
    <t>Tertiary Optic</t>
  </si>
  <si>
    <t>Qty</t>
  </si>
  <si>
    <t>ASY-006803-00</t>
  </si>
  <si>
    <t>ASSY, TERTIARY LENS, CLEAR, 1 FT, L60, TROV 2.0</t>
  </si>
  <si>
    <t>PACKAGE ASSY, L60, 1FT, TROV 2</t>
  </si>
  <si>
    <t>ASY-006804-00</t>
  </si>
  <si>
    <t>ASSY, TERTIARY LENS, FROSTED, 1 FT, L60, TROV 2.0</t>
  </si>
  <si>
    <t>ASY-006805-00</t>
  </si>
  <si>
    <t>ASSY, TERTIARY LENS, 0x35, 1 FT, L60, TROV 2.0</t>
  </si>
  <si>
    <t>ASY-006806-00</t>
  </si>
  <si>
    <t>ASSY, TERTIARY LENS, 0x70, 1 FT, L60, TROV 2.0</t>
  </si>
  <si>
    <t xml:space="preserve"> ASSY, 15D LENS W/ CARRIER, TROV 2.0</t>
  </si>
  <si>
    <t xml:space="preserve"> ASSY, 30D LENS W/ CARRIER, TROV 2.0</t>
  </si>
  <si>
    <t xml:space="preserve"> ASSY, 60D LENS W/ CARRIER, TROV 2.0</t>
  </si>
  <si>
    <t>ASY-006807-00</t>
  </si>
  <si>
    <t>ASSY, TERTIARY LENS, ASYM, 1 FT, L60, TROV 2.0</t>
  </si>
  <si>
    <t>ASY-006808-00</t>
  </si>
  <si>
    <t>ASSY, TERTIARY LENS, CLEAR, 4 FT, L60, TROV 2.0</t>
  </si>
  <si>
    <t>PACKAGE ASSY, L60, 4FT, TROV 2</t>
  </si>
  <si>
    <t>ASY-006809-00</t>
  </si>
  <si>
    <t>ASSY, TERTIARY LENS, FROSTED, 4 FT, L60, TROV 2.0</t>
  </si>
  <si>
    <t>ASY-006810-00</t>
  </si>
  <si>
    <t>ASSY, TERTIARY LENS, 0x35, 4 FT, L60, TROV 2.0</t>
  </si>
  <si>
    <t>ASY-006811-00</t>
  </si>
  <si>
    <t>ASSY, TERTIARY LENS, 0x70, 4 FT, L60, TROV 2.0</t>
  </si>
  <si>
    <t>ASY-006794-00</t>
  </si>
  <si>
    <t>ASSY, TERTIARY LENS, ASYM, 4 FT, TROV 2.0</t>
  </si>
  <si>
    <t>ASY-006812-00</t>
  </si>
  <si>
    <t>ASSY, TERTIARY LENS, CLEAR, 1 FT, L45, TROV 2.0</t>
  </si>
  <si>
    <t>PACKAGE ASSY, L45, 1FT, TROV 2</t>
  </si>
  <si>
    <t>ASY-006813-00</t>
  </si>
  <si>
    <t>ASSY, TERTIARY LENS, CLEAR, 4 FT, L45, TROV 2.0</t>
  </si>
  <si>
    <t>PACKAGE ASSY, L45, 4FT, TROV 2</t>
  </si>
  <si>
    <t>qty</t>
  </si>
  <si>
    <t>APC-000422-01</t>
  </si>
  <si>
    <t>APC-000422-00</t>
  </si>
  <si>
    <t>APC-000422-02</t>
  </si>
  <si>
    <t>APC-000421-00</t>
  </si>
  <si>
    <t>APC-000430-00</t>
  </si>
  <si>
    <t>L60-I-48-10-RGB4-MULT-20x20-K</t>
  </si>
  <si>
    <t>PCBA, Hybrid Atlas, CAN_BUS, Power Supply, 48W MP</t>
  </si>
  <si>
    <t>PCBA, Hybrid Atlas, CAN_BUS, Power Supply, 18W LP</t>
  </si>
  <si>
    <t>PCBA, Hybrid Atlas, CAN_BUS, Power Supply, 72W HP</t>
  </si>
  <si>
    <t>L45-E-48-10-RGB4-MULT-120-K</t>
  </si>
  <si>
    <t>L60-E-48-10-RGB4-MULT-20x20-K</t>
  </si>
  <si>
    <t>ASY-006898-01</t>
  </si>
  <si>
    <t>ASY-006898-02</t>
  </si>
  <si>
    <t>ASY-006898-03</t>
  </si>
  <si>
    <t>ASSY, MECHANICAL, L60, OUTDOOR, 1 FT, TROV 2.0 DYNAMIC, SILVER</t>
  </si>
  <si>
    <t>ASY-100016-01</t>
  </si>
  <si>
    <t>ASSY, MECHANICAL, L60, OUTDOOR, 1 FT, TROV 2.0 DYNAMIC, BLACK</t>
  </si>
  <si>
    <t>ASY-100016-02</t>
  </si>
  <si>
    <t>ASSY, MECHANICAL, L60, OUTDOOR, 1 FT, TROV 2.0 DYNAMIC, WHITE</t>
  </si>
  <si>
    <t>ASY-100016-03</t>
  </si>
  <si>
    <t>ASSY, MECHANICAL, L60, OUTDOOR, 1 FT, TROV 2.0 DYNAMIC, BRONZE</t>
  </si>
  <si>
    <t>ASY-100016-04</t>
  </si>
  <si>
    <t>ASSY, MECHANICAL, L60, OUTDOOR, 1 FT, TROV 2.0 DYNAMIC, CUSTOM</t>
  </si>
  <si>
    <t>ASSY, MECHANICAL, L60, OUTDOOR, 4 FT, TROV 2.0 DYNAMIC, SILVER</t>
  </si>
  <si>
    <t>ASY-100013-01</t>
  </si>
  <si>
    <t>ASSY, MECHANICAL, L60, OUTDOOR, 4 FT, TROV 2.0 DYNAMIC, BLACK</t>
  </si>
  <si>
    <t>ASY-100013-02</t>
  </si>
  <si>
    <t>ASSY, MECHANICAL, L60, OUTDOOR, 4 FT, TROV 2.0 DYNAMIC, WHITE</t>
  </si>
  <si>
    <t>ASY-100013-03</t>
  </si>
  <si>
    <t>ASSY, MECHANICAL, L60, OUTDOOR, 4 FT, TROV 2.0 DYNAMIC, BRONZE</t>
  </si>
  <si>
    <t>ASY-100013-04</t>
  </si>
  <si>
    <t>ASSY, MECHANICAL, L60, OUTDOOR, 4 FT, TROV 2.0 DYNAMIC, CUSTOM</t>
  </si>
  <si>
    <t>ASSY, MECHANICAL, L60, INDOOR, 1 FT, TROV 2.0 DYNAMIC, SILVER</t>
  </si>
  <si>
    <t>ASY-100011-01</t>
  </si>
  <si>
    <t>ASSY, MECHANICAL, L60, INDOOR, 1 FT, TROV 2.0 DYNAMIC, BLACK</t>
  </si>
  <si>
    <t>ASY-100011-02</t>
  </si>
  <si>
    <t>ASSY, MECHANICAL, L60, INDOOR, 1 FT, TROV 2.0 DYNAMIC, WHITE</t>
  </si>
  <si>
    <t>ASY-100011-03</t>
  </si>
  <si>
    <t>ASSY, MECHANICAL, L60, INDOOR, 1 FT, TROV 2.0 DYNAMIC, BRONZE</t>
  </si>
  <si>
    <t>ASY-100011-04</t>
  </si>
  <si>
    <t>ASSY, MECHANICAL, L60, INDOOR, 1 FT, TROV 2.0 DYNAMIC, CUSTOM</t>
  </si>
  <si>
    <t>ASSY, MECHANICAL, L60, INDOOR, 4 FT, TROV 2.0 DYNAMIC, SILVER</t>
  </si>
  <si>
    <t>ASY-100012-01</t>
  </si>
  <si>
    <t>ASSY, MECHANICAL, L60, INDOOR, 4 FT, TROV 2.0 DYNAMIC, BLACK</t>
  </si>
  <si>
    <t>ASY-100012-02</t>
  </si>
  <si>
    <t>ASSY, MECHANICAL, L60, INDOOR, 4 FT, TROV 2.0 DYNAMIC, WHITE</t>
  </si>
  <si>
    <t>ASY-100012-03</t>
  </si>
  <si>
    <t>ASSY, MECHANICAL, L60, INDOOR, 4 FT, TROV 2.0 DYNAMIC, BRONZE</t>
  </si>
  <si>
    <t>ASY-100012-04</t>
  </si>
  <si>
    <t>ASSY, MECHANICAL, L60, INDOOR, 4 FT, TROV 2.0 DYNAMIC, CUSTOM</t>
  </si>
  <si>
    <t>ASSY, MECHANICAL, L45, OUTDOOR, 1 FT, TROV 2.0 COLOR, SILVER</t>
  </si>
  <si>
    <t>ASY-100017-01</t>
  </si>
  <si>
    <t>ASSY, MECHANICAL, L45, OUTDOOR, 1 FT, TROV 2.0 COLOR, BLACK</t>
  </si>
  <si>
    <t>ASY-100017-02</t>
  </si>
  <si>
    <t>ASSY, MECHANICAL, L45, OUTDOOR, 1 FT, TROV 2.0 COLOR, WHITE</t>
  </si>
  <si>
    <t>ASY-100017-03</t>
  </si>
  <si>
    <t>ASSY, MECHANICAL, L45, OUTDOOR, 1 FT, TROV 2.0 COLOR, BRONZE</t>
  </si>
  <si>
    <t>ASY-100017-04</t>
  </si>
  <si>
    <t>ASSY, MECHANICAL, L45, OUTDOOR, 1 FT, TROV 2.0 COLOR, CUSTOM</t>
  </si>
  <si>
    <t>ASSY, MECHANICAL, L45, OUTDOOR, 4 FT, TROV 2.0 COLOR, SILVER</t>
  </si>
  <si>
    <t>ASY-100018-01</t>
  </si>
  <si>
    <t>ASSY, MECHANICAL, L45, OUTDOOR, 4 FT, TROV 2.0 COLOR, BLACK</t>
  </si>
  <si>
    <t>ASY-100018-02</t>
  </si>
  <si>
    <t>ASSY, MECHANICAL, L45, OUTDOOR, 4 FT, TROV 2.0 COLOR, WHITE</t>
  </si>
  <si>
    <t>ASY-100018-03</t>
  </si>
  <si>
    <t>ASSY, MECHANICAL, L45, OUTDOOR, 4 FT, TROV 2.0 COLOR, BRONZE</t>
  </si>
  <si>
    <t>ASY-100018-04</t>
  </si>
  <si>
    <t>ASSY, MECHANICAL, L45, OUTDOOR, 4 FT, TROV 2.0 COLOR, CUSTOM</t>
  </si>
  <si>
    <t>ASSY, MECHANICAL, L45, INDOOR, 1 FT, TROV 2.0 COLOR, SILVER</t>
  </si>
  <si>
    <t>ASY-100014-01</t>
  </si>
  <si>
    <t>ASSY, MECHANICAL, L45, INDOOR, 1 FT, TROV 2.0 COLOR, BLACK</t>
  </si>
  <si>
    <t>ASY-100014-02</t>
  </si>
  <si>
    <t>ASSY, MECHANICAL, L45, INDOOR, 1 FT, TROV 2.0 COLOR, WHITE</t>
  </si>
  <si>
    <t>ASY-100014-03</t>
  </si>
  <si>
    <t>ASSY, MECHANICAL, L45, INDOOR, 1 FT, TROV 2.0 COLOR, BRONZE</t>
  </si>
  <si>
    <t>ASY-100014-04</t>
  </si>
  <si>
    <t>ASSY, MECHANICAL, L45, INDOOR, 1 FT, TROV 2.0 COLOR, CUSTOM</t>
  </si>
  <si>
    <t>ASSY, MECHANICAL, L45, INDOOR, 4 FT, TROV 2.0 COLOR, SILVER</t>
  </si>
  <si>
    <t>ASY-100015-01</t>
  </si>
  <si>
    <t>ASSY, MECHANICAL, L45, INDOOR, 4 FT, TROV 2.0 COLOR, BLACK</t>
  </si>
  <si>
    <t>ASY-100015-02</t>
  </si>
  <si>
    <t>ASSY, MECHANICAL, L45, INDOOR, 4 FT, TROV 2.0 COLOR, WHITE</t>
  </si>
  <si>
    <t>ASY-100015-03</t>
  </si>
  <si>
    <t>ASSY, MECHANICAL, L45, INDOOR, 4 FT, TROV 2.0 COLOR, BRONZE</t>
  </si>
  <si>
    <t>ASY-100015-04</t>
  </si>
  <si>
    <t>ASSY, MECHANICAL, L45, INDOOR, 4 FT, TROV 2.0 COLOR, CUSTOM</t>
  </si>
  <si>
    <t>L60-E-12-10-RGB4-MULT-20x20-K</t>
  </si>
  <si>
    <t>L60-E-48-10-RGB4-MULT-20x70-K</t>
  </si>
  <si>
    <t>L60-E-48-10-RGB4-MULT-20x40-K</t>
  </si>
  <si>
    <t>L60-E-48-10-RGB4-MULT-30x30-K</t>
  </si>
  <si>
    <t>L60-E-48-10-RGB4-MULT-30x45-K</t>
  </si>
  <si>
    <t>L60-E-48-10-RGB4-MULT-30x75-K</t>
  </si>
  <si>
    <t>L60-E-48-10-RGB4-MULT-55x55-K</t>
  </si>
  <si>
    <t>L60-E-48-10-RGB4-MULT-55x60-K</t>
  </si>
  <si>
    <t>L60-E-48-10-RGB4-MULT-55x90-K</t>
  </si>
  <si>
    <t>L60-E-12-10-RGB4-MULT-20x40-K</t>
  </si>
  <si>
    <t>L60-E-12-10-RGB4-MULT-20x70-K</t>
  </si>
  <si>
    <t>L60-E-12-10-RGB4-MULT-30x30-K</t>
  </si>
  <si>
    <t>L60-E-12-10-RGB4-MULT-30x45-K</t>
  </si>
  <si>
    <t>L60-E-12-10-RGB4-MULT-30x75-K</t>
  </si>
  <si>
    <t>L60-E-12-10-RGB4-MULT-55x55-K</t>
  </si>
  <si>
    <t>L60-E-12-10-RGB4-MULT-55x60-K</t>
  </si>
  <si>
    <t>L60-E-12-10-RGB4-MULT-55x90-K</t>
  </si>
  <si>
    <t>L60-E-48-18-RGB4-MULT-20x20-K</t>
  </si>
  <si>
    <t>L60-E-48-18-RGB4-MULT-20x40-K</t>
  </si>
  <si>
    <t>L60-E-48-18-RGB4-MULT-20x70-K</t>
  </si>
  <si>
    <t>L60-E-48-18-RGB4-MULT-30x30-K</t>
  </si>
  <si>
    <t>L60-E-48-18-RGB4-MULT-30x45-K</t>
  </si>
  <si>
    <t>L60-E-48-18-RGB4-MULT-30x75-K</t>
  </si>
  <si>
    <t>L60-E-48-18-RGB4-MULT-55x55-K</t>
  </si>
  <si>
    <t>L60-E-48-18-RGB4-MULT-55x60-K</t>
  </si>
  <si>
    <t>L60-E-48-18-RGB4-MULT-55x90-K</t>
  </si>
  <si>
    <t>L60-E-12-18-RGB4-MULT-20x20-K</t>
  </si>
  <si>
    <t>L60-E-12-18-RGB4-MULT-20x40-K</t>
  </si>
  <si>
    <t>L60-E-12-18-RGB4-MULT-20x70-K</t>
  </si>
  <si>
    <t>L60-E-12-18-RGB4-MULT-30x30-K</t>
  </si>
  <si>
    <t>L60-E-12-18-RGB4-MULT-30x45-K</t>
  </si>
  <si>
    <t>L60-E-12-18-RGB4-MULT-30x75-K</t>
  </si>
  <si>
    <t>L60-E-12-18-RGB4-MULT-55x55-K</t>
  </si>
  <si>
    <t>L60-E-12-18-RGB4-MULT-55x60-K</t>
  </si>
  <si>
    <t>L60-E-12-18-RGB4-MULT-55x90-K</t>
  </si>
  <si>
    <t>L60-E-48-10-RGB4-MULT-20x20-W</t>
  </si>
  <si>
    <t>L60-E-48-10-RGB4-MULT-20x40-W</t>
  </si>
  <si>
    <t>L60-E-48-10-RGB4-MULT-20x70-W</t>
  </si>
  <si>
    <t>L60-E-48-10-RGB4-MULT-30x30-W</t>
  </si>
  <si>
    <t>L60-E-48-10-RGB4-MULT-30x45-W</t>
  </si>
  <si>
    <t>L60-E-48-10-RGB4-MULT-30x75-W</t>
  </si>
  <si>
    <t>L60-E-48-10-RGB4-MULT-55x55-W</t>
  </si>
  <si>
    <t>L60-E-48-10-RGB4-MULT-55x60-W</t>
  </si>
  <si>
    <t>L60-E-48-10-RGB4-MULT-55x90-W</t>
  </si>
  <si>
    <t>L60-E-12-10-RGB4-MULT-20x20-W</t>
  </si>
  <si>
    <t>L60-E-12-10-RGB4-MULT-20x40-W</t>
  </si>
  <si>
    <t>L60-E-12-10-RGB4-MULT-20x70-W</t>
  </si>
  <si>
    <t>L60-E-12-10-RGB4-MULT-30x30-W</t>
  </si>
  <si>
    <t>L60-E-12-10-RGB4-MULT-30x45-W</t>
  </si>
  <si>
    <t>L60-E-12-10-RGB4-MULT-30x75-W</t>
  </si>
  <si>
    <t>L60-E-12-10-RGB4-MULT-55x55-W</t>
  </si>
  <si>
    <t>L60-E-12-10-RGB4-MULT-55x60-W</t>
  </si>
  <si>
    <t>L60-E-12-10-RGB4-MULT-55x90-W</t>
  </si>
  <si>
    <t>L60-E-48-18-RGB4-MULT-20x20-W</t>
  </si>
  <si>
    <t>L60-E-48-18-RGB4-MULT-20x40-W</t>
  </si>
  <si>
    <t>L60-E-48-18-RGB4-MULT-20x70-W</t>
  </si>
  <si>
    <t>L60-E-48-18-RGB4-MULT-30x30-W</t>
  </si>
  <si>
    <t>L60-E-48-18-RGB4-MULT-30x45-W</t>
  </si>
  <si>
    <t>L60-E-48-18-RGB4-MULT-30x75-W</t>
  </si>
  <si>
    <t>L60-E-48-18-RGB4-MULT-55x55-W</t>
  </si>
  <si>
    <t>L60-E-48-18-RGB4-MULT-55x60-W</t>
  </si>
  <si>
    <t>L60-E-48-18-RGB4-MULT-55x90-W</t>
  </si>
  <si>
    <t>L60-E-12-18-RGB4-MULT-20x20-W</t>
  </si>
  <si>
    <t>L60-E-12-18-RGB4-MULT-20x40-W</t>
  </si>
  <si>
    <t>L60-E-12-18-RGB4-MULT-20x70-W</t>
  </si>
  <si>
    <t>L60-E-12-18-RGB4-MULT-30x30-W</t>
  </si>
  <si>
    <t>L60-E-12-18-RGB4-MULT-30x45-W</t>
  </si>
  <si>
    <t>L60-E-12-18-RGB4-MULT-30x75-W</t>
  </si>
  <si>
    <t>L60-E-12-18-RGB4-MULT-55x55-W</t>
  </si>
  <si>
    <t>L60-E-12-18-RGB4-MULT-55x60-W</t>
  </si>
  <si>
    <t>L60-E-12-18-RGB4-MULT-55x90-W</t>
  </si>
  <si>
    <t>L60-E-48-10-RGB4-MULT-20x20-S</t>
  </si>
  <si>
    <t>L60-E-48-10-RGB4-MULT-20x40-S</t>
  </si>
  <si>
    <t>L60-E-48-10-RGB4-MULT-20x70-S</t>
  </si>
  <si>
    <t>L60-E-48-10-RGB4-MULT-30x30-S</t>
  </si>
  <si>
    <t>L60-E-48-10-RGB4-MULT-30x45-S</t>
  </si>
  <si>
    <t>L60-E-48-10-RGB4-MULT-30x75-S</t>
  </si>
  <si>
    <t>L60-E-48-10-RGB4-MULT-55x55-S</t>
  </si>
  <si>
    <t>L60-E-48-10-RGB4-MULT-55x60-S</t>
  </si>
  <si>
    <t>L60-E-48-10-RGB4-MULT-55x90-S</t>
  </si>
  <si>
    <t>L60-E-12-10-RGB4-MULT-20x20-S</t>
  </si>
  <si>
    <t>L60-E-12-10-RGB4-MULT-20x40-S</t>
  </si>
  <si>
    <t>L60-E-12-10-RGB4-MULT-20x70-S</t>
  </si>
  <si>
    <t>L60-E-12-10-RGB4-MULT-30x30-S</t>
  </si>
  <si>
    <t>L60-E-12-10-RGB4-MULT-30x45-S</t>
  </si>
  <si>
    <t>L60-E-12-10-RGB4-MULT-30x75-S</t>
  </si>
  <si>
    <t>L60-E-12-10-RGB4-MULT-55x55-S</t>
  </si>
  <si>
    <t>L60-E-12-10-RGB4-MULT-55x60-S</t>
  </si>
  <si>
    <t>L60-E-12-10-RGB4-MULT-55x90-S</t>
  </si>
  <si>
    <t>L60-E-48-18-RGB4-MULT-20x20-S</t>
  </si>
  <si>
    <t>L60-E-48-18-RGB4-MULT-20x40-S</t>
  </si>
  <si>
    <t>L60-E-48-18-RGB4-MULT-20x70-S</t>
  </si>
  <si>
    <t>L60-E-48-18-RGB4-MULT-30x30-S</t>
  </si>
  <si>
    <t>L60-E-48-18-RGB4-MULT-30x45-S</t>
  </si>
  <si>
    <t>L60-E-48-18-RGB4-MULT-30x75-S</t>
  </si>
  <si>
    <t>L60-E-48-18-RGB4-MULT-55x55-S</t>
  </si>
  <si>
    <t>L60-E-48-18-RGB4-MULT-55x60-S</t>
  </si>
  <si>
    <t>L60-E-48-18-RGB4-MULT-55x90-S</t>
  </si>
  <si>
    <t>L60-E-12-18-RGB4-MULT-20x20-S</t>
  </si>
  <si>
    <t>L60-E-12-18-RGB4-MULT-20x40-S</t>
  </si>
  <si>
    <t>L60-E-12-18-RGB4-MULT-20x70-S</t>
  </si>
  <si>
    <t>L60-E-12-18-RGB4-MULT-30x30-S</t>
  </si>
  <si>
    <t>L60-E-12-18-RGB4-MULT-30x45-S</t>
  </si>
  <si>
    <t>L60-E-12-18-RGB4-MULT-30x75-S</t>
  </si>
  <si>
    <t>L60-E-12-18-RGB4-MULT-55x55-S</t>
  </si>
  <si>
    <t>L60-E-12-18-RGB4-MULT-55x60-S</t>
  </si>
  <si>
    <t>L60-E-12-18-RGB4-MULT-55x90-S</t>
  </si>
  <si>
    <t>L60-E-48-10-RGB4-MULT-20x20-Z</t>
  </si>
  <si>
    <t>L60-E-48-10-RGB4-MULT-20x40-Z</t>
  </si>
  <si>
    <t>L60-E-48-10-RGB4-MULT-20x70-Z</t>
  </si>
  <si>
    <t>L60-E-48-10-RGB4-MULT-30x30-Z</t>
  </si>
  <si>
    <t>L60-E-48-10-RGB4-MULT-30x45-Z</t>
  </si>
  <si>
    <t>L60-E-48-10-RGB4-MULT-30x75-Z</t>
  </si>
  <si>
    <t>L60-E-48-10-RGB4-MULT-55x55-Z</t>
  </si>
  <si>
    <t>L60-E-48-10-RGB4-MULT-55x60-Z</t>
  </si>
  <si>
    <t>L60-E-48-10-RGB4-MULT-55x90-Z</t>
  </si>
  <si>
    <t>L60-E-12-10-RGB4-MULT-20x20-Z</t>
  </si>
  <si>
    <t>L60-E-12-10-RGB4-MULT-20x40-Z</t>
  </si>
  <si>
    <t>L60-E-12-10-RGB4-MULT-20x70-Z</t>
  </si>
  <si>
    <t>L60-E-12-10-RGB4-MULT-30x30-Z</t>
  </si>
  <si>
    <t>L60-E-12-10-RGB4-MULT-30x45-Z</t>
  </si>
  <si>
    <t>L60-E-12-10-RGB4-MULT-30x75-Z</t>
  </si>
  <si>
    <t>L60-E-12-10-RGB4-MULT-55x55-Z</t>
  </si>
  <si>
    <t>L60-E-12-10-RGB4-MULT-55x60-Z</t>
  </si>
  <si>
    <t>L60-E-12-10-RGB4-MULT-55x90-Z</t>
  </si>
  <si>
    <t>L60-E-48-18-RGB4-MULT-20x20-Z</t>
  </si>
  <si>
    <t>L60-E-48-18-RGB4-MULT-20x40-Z</t>
  </si>
  <si>
    <t>L60-E-48-18-RGB4-MULT-20x70-Z</t>
  </si>
  <si>
    <t>L60-E-48-18-RGB4-MULT-30x30-Z</t>
  </si>
  <si>
    <t>L60-E-48-18-RGB4-MULT-30x45-Z</t>
  </si>
  <si>
    <t>L60-E-48-18-RGB4-MULT-30x75-Z</t>
  </si>
  <si>
    <t>L60-E-48-18-RGB4-MULT-55x55-Z</t>
  </si>
  <si>
    <t>L60-E-48-18-RGB4-MULT-55x60-Z</t>
  </si>
  <si>
    <t>L60-E-48-18-RGB4-MULT-55x90-Z</t>
  </si>
  <si>
    <t>L60-E-12-18-RGB4-MULT-20x20-Z</t>
  </si>
  <si>
    <t>L60-E-12-18-RGB4-MULT-20x40-Z</t>
  </si>
  <si>
    <t>L60-E-12-18-RGB4-MULT-20x70-Z</t>
  </si>
  <si>
    <t>L60-E-12-18-RGB4-MULT-30x30-Z</t>
  </si>
  <si>
    <t>L60-E-12-18-RGB4-MULT-30x45-Z</t>
  </si>
  <si>
    <t>L60-E-12-18-RGB4-MULT-30x75-Z</t>
  </si>
  <si>
    <t>L60-E-12-18-RGB4-MULT-55x55-Z</t>
  </si>
  <si>
    <t>L60-E-12-18-RGB4-MULT-55x60-Z</t>
  </si>
  <si>
    <t>L60-E-12-18-RGB4-MULT-55x90-Z</t>
  </si>
  <si>
    <t>L60-E-48-10-RGB4-MULT-20x20-C</t>
  </si>
  <si>
    <t>L60-E-48-10-RGB4-MULT-20x40-C</t>
  </si>
  <si>
    <t>L60-E-48-10-RGB4-MULT-20x70-C</t>
  </si>
  <si>
    <t>L60-E-48-10-RGB4-MULT-30x30-C</t>
  </si>
  <si>
    <t>L60-E-48-10-RGB4-MULT-30x45-C</t>
  </si>
  <si>
    <t>L60-E-48-10-RGB4-MULT-30x75-C</t>
  </si>
  <si>
    <t>L60-E-48-10-RGB4-MULT-55x55-C</t>
  </si>
  <si>
    <t>L60-E-48-10-RGB4-MULT-55x60-C</t>
  </si>
  <si>
    <t>L60-E-48-10-RGB4-MULT-55x90-C</t>
  </si>
  <si>
    <t>L60-E-12-10-RGB4-MULT-20x20-C</t>
  </si>
  <si>
    <t>L60-E-12-10-RGB4-MULT-20x40-C</t>
  </si>
  <si>
    <t>L60-E-12-10-RGB4-MULT-20x70-C</t>
  </si>
  <si>
    <t>L60-E-12-10-RGB4-MULT-30x30-C</t>
  </si>
  <si>
    <t>L60-E-12-10-RGB4-MULT-30x45-C</t>
  </si>
  <si>
    <t>L60-E-12-10-RGB4-MULT-30x75-C</t>
  </si>
  <si>
    <t>L60-E-12-10-RGB4-MULT-55x55-C</t>
  </si>
  <si>
    <t>L60-E-12-10-RGB4-MULT-55x60-C</t>
  </si>
  <si>
    <t>L60-E-12-10-RGB4-MULT-55x90-C</t>
  </si>
  <si>
    <t>L60-E-48-18-RGB4-MULT-20x20-C</t>
  </si>
  <si>
    <t>L60-E-48-18-RGB4-MULT-20x40-C</t>
  </si>
  <si>
    <t>L60-E-48-18-RGB4-MULT-20x70-C</t>
  </si>
  <si>
    <t>L60-E-48-18-RGB4-MULT-30x30-C</t>
  </si>
  <si>
    <t>L60-E-48-18-RGB4-MULT-30x45-C</t>
  </si>
  <si>
    <t>L60-E-48-18-RGB4-MULT-30x75-C</t>
  </si>
  <si>
    <t>L60-E-48-18-RGB4-MULT-55x55-C</t>
  </si>
  <si>
    <t>L60-E-48-18-RGB4-MULT-55x60-C</t>
  </si>
  <si>
    <t>L60-E-48-18-RGB4-MULT-55x90-C</t>
  </si>
  <si>
    <t>L60-E-12-18-RGB4-MULT-20x20-C</t>
  </si>
  <si>
    <t>L60-E-12-18-RGB4-MULT-20x40-C</t>
  </si>
  <si>
    <t>L60-E-12-18-RGB4-MULT-20x70-C</t>
  </si>
  <si>
    <t>L60-E-12-18-RGB4-MULT-30x30-C</t>
  </si>
  <si>
    <t>L60-E-12-18-RGB4-MULT-30x45-C</t>
  </si>
  <si>
    <t>L60-E-12-18-RGB4-MULT-30x75-C</t>
  </si>
  <si>
    <t>L60-E-12-18-RGB4-MULT-55x55-C</t>
  </si>
  <si>
    <t>L60-E-12-18-RGB4-MULT-55x60-C</t>
  </si>
  <si>
    <t>L60-E-12-18-RGB4-MULT-55x90-C</t>
  </si>
  <si>
    <t>L60-I-48-10-RGB4-MULT-20x40-K</t>
  </si>
  <si>
    <t>L60-I-48-10-RGB4-MULT-20x70-K</t>
  </si>
  <si>
    <t>L60-I-48-10-RGB4-MULT-30x30-K</t>
  </si>
  <si>
    <t>L60-I-48-10-RGB4-MULT-30x45-K</t>
  </si>
  <si>
    <t>L60-I-48-10-RGB4-MULT-30x75-K</t>
  </si>
  <si>
    <t>L60-I-48-10-RGB4-MULT-55x55-K</t>
  </si>
  <si>
    <t>L60-I-48-10-RGB4-MULT-55x60-K</t>
  </si>
  <si>
    <t>L60-I-48-10-RGB4-MULT-55x90-K</t>
  </si>
  <si>
    <t>L60-I-12-10-RGB4-MULT-20x20-K</t>
  </si>
  <si>
    <t>L60-I-12-10-RGB4-MULT-20x40-K</t>
  </si>
  <si>
    <t>L60-I-12-10-RGB4-MULT-20x70-K</t>
  </si>
  <si>
    <t>L60-I-12-10-RGB4-MULT-30x30-K</t>
  </si>
  <si>
    <t>L60-I-12-10-RGB4-MULT-30x45-K</t>
  </si>
  <si>
    <t>L60-I-12-10-RGB4-MULT-30x75-K</t>
  </si>
  <si>
    <t>L60-I-12-10-RGB4-MULT-55x55-K</t>
  </si>
  <si>
    <t>L60-I-12-10-RGB4-MULT-55x60-K</t>
  </si>
  <si>
    <t>L60-I-12-10-RGB4-MULT-55x90-K</t>
  </si>
  <si>
    <t>L60-I-48-18-RGB4-MULT-20x20-K</t>
  </si>
  <si>
    <t>L60-I-48-18-RGB4-MULT-20x40-K</t>
  </si>
  <si>
    <t>L60-I-48-18-RGB4-MULT-20x70-K</t>
  </si>
  <si>
    <t>L60-I-48-18-RGB4-MULT-30x30-K</t>
  </si>
  <si>
    <t>L60-I-48-18-RGB4-MULT-30x45-K</t>
  </si>
  <si>
    <t>L60-I-48-18-RGB4-MULT-30x75-K</t>
  </si>
  <si>
    <t>L60-I-48-18-RGB4-MULT-55x55-K</t>
  </si>
  <si>
    <t>L60-I-48-18-RGB4-MULT-55x60-K</t>
  </si>
  <si>
    <t>L60-I-48-18-RGB4-MULT-55x90-K</t>
  </si>
  <si>
    <t>L60-I-12-18-RGB4-MULT-20x20-K</t>
  </si>
  <si>
    <t>L60-I-12-18-RGB4-MULT-20x40-K</t>
  </si>
  <si>
    <t>L60-I-12-18-RGB4-MULT-20x70-K</t>
  </si>
  <si>
    <t>L60-I-12-18-RGB4-MULT-30x30-K</t>
  </si>
  <si>
    <t>L60-I-12-18-RGB4-MULT-30x45-K</t>
  </si>
  <si>
    <t>L60-I-12-18-RGB4-MULT-30x75-K</t>
  </si>
  <si>
    <t>L60-I-12-18-RGB4-MULT-55x55-K</t>
  </si>
  <si>
    <t>L60-I-12-18-RGB4-MULT-55x60-K</t>
  </si>
  <si>
    <t>L60-I-12-18-RGB4-MULT-55x90-K</t>
  </si>
  <si>
    <t>L60-I-48-10-RGB4-MULT-20x20-W</t>
  </si>
  <si>
    <t>L60-I-48-10-RGB4-MULT-20x40-W</t>
  </si>
  <si>
    <t>L60-I-48-10-RGB4-MULT-20x70-W</t>
  </si>
  <si>
    <t>L60-I-48-10-RGB4-MULT-30x30-W</t>
  </si>
  <si>
    <t>L60-I-48-10-RGB4-MULT-30x45-W</t>
  </si>
  <si>
    <t>L60-I-48-10-RGB4-MULT-30x75-W</t>
  </si>
  <si>
    <t>L60-I-48-10-RGB4-MULT-55x55-W</t>
  </si>
  <si>
    <t>L60-I-48-10-RGB4-MULT-55x60-W</t>
  </si>
  <si>
    <t>L60-I-48-10-RGB4-MULT-55x90-W</t>
  </si>
  <si>
    <t>L60-I-12-10-RGB4-MULT-20x20-W</t>
  </si>
  <si>
    <t>L60-I-12-10-RGB4-MULT-20x40-W</t>
  </si>
  <si>
    <t>L60-I-12-10-RGB4-MULT-20x70-W</t>
  </si>
  <si>
    <t>L60-I-12-10-RGB4-MULT-30x30-W</t>
  </si>
  <si>
    <t>L60-I-12-10-RGB4-MULT-30x45-W</t>
  </si>
  <si>
    <t>L60-I-12-10-RGB4-MULT-30x75-W</t>
  </si>
  <si>
    <t>L60-I-12-10-RGB4-MULT-55x55-W</t>
  </si>
  <si>
    <t>L60-I-12-10-RGB4-MULT-55x60-W</t>
  </si>
  <si>
    <t>L60-I-12-10-RGB4-MULT-55x90-W</t>
  </si>
  <si>
    <t>L60-I-48-18-RGB4-MULT-20x20-W</t>
  </si>
  <si>
    <t>L60-I-48-18-RGB4-MULT-20x40-W</t>
  </si>
  <si>
    <t>L60-I-48-18-RGB4-MULT-20x70-W</t>
  </si>
  <si>
    <t>L60-I-48-18-RGB4-MULT-30x30-W</t>
  </si>
  <si>
    <t>L60-I-48-18-RGB4-MULT-30x45-W</t>
  </si>
  <si>
    <t>L60-I-48-18-RGB4-MULT-30x75-W</t>
  </si>
  <si>
    <t>L60-I-48-18-RGB4-MULT-55x55-W</t>
  </si>
  <si>
    <t>L60-I-48-18-RGB4-MULT-55x60-W</t>
  </si>
  <si>
    <t>L60-I-48-18-RGB4-MULT-55x90-W</t>
  </si>
  <si>
    <t>L60-I-12-18-RGB4-MULT-20x20-W</t>
  </si>
  <si>
    <t>L60-I-12-18-RGB4-MULT-20x40-W</t>
  </si>
  <si>
    <t>L60-I-12-18-RGB4-MULT-20x70-W</t>
  </si>
  <si>
    <t>L60-I-12-18-RGB4-MULT-30x30-W</t>
  </si>
  <si>
    <t>L60-I-12-18-RGB4-MULT-30x45-W</t>
  </si>
  <si>
    <t>L60-I-12-18-RGB4-MULT-30x75-W</t>
  </si>
  <si>
    <t>L60-I-12-18-RGB4-MULT-55x55-W</t>
  </si>
  <si>
    <t>L60-I-12-18-RGB4-MULT-55x60-W</t>
  </si>
  <si>
    <t>L60-I-12-18-RGB4-MULT-55x90-W</t>
  </si>
  <si>
    <t>L60-I-48-10-RGB4-MULT-20x20-S</t>
  </si>
  <si>
    <t>L60-I-48-10-RGB4-MULT-20x40-S</t>
  </si>
  <si>
    <t>L60-I-48-10-RGB4-MULT-20x70-S</t>
  </si>
  <si>
    <t>L60-I-48-10-RGB4-MULT-30x30-S</t>
  </si>
  <si>
    <t>L60-I-48-10-RGB4-MULT-30x45-S</t>
  </si>
  <si>
    <t>L60-I-48-10-RGB4-MULT-30x75-S</t>
  </si>
  <si>
    <t>L60-I-48-10-RGB4-MULT-55x55-S</t>
  </si>
  <si>
    <t>L60-I-48-10-RGB4-MULT-55x60-S</t>
  </si>
  <si>
    <t>L60-I-48-10-RGB4-MULT-55x90-S</t>
  </si>
  <si>
    <t>L60-I-12-10-RGB4-MULT-20x20-S</t>
  </si>
  <si>
    <t>L60-I-12-10-RGB4-MULT-20x40-S</t>
  </si>
  <si>
    <t>L60-I-12-10-RGB4-MULT-20x70-S</t>
  </si>
  <si>
    <t>L60-I-12-10-RGB4-MULT-30x30-S</t>
  </si>
  <si>
    <t>L60-I-12-10-RGB4-MULT-30x45-S</t>
  </si>
  <si>
    <t>L60-I-12-10-RGB4-MULT-30x75-S</t>
  </si>
  <si>
    <t>L60-I-12-10-RGB4-MULT-55x55-S</t>
  </si>
  <si>
    <t>L60-I-12-10-RGB4-MULT-55x60-S</t>
  </si>
  <si>
    <t>L60-I-12-10-RGB4-MULT-55x90-S</t>
  </si>
  <si>
    <t>L60-I-48-18-RGB4-MULT-20x20-S</t>
  </si>
  <si>
    <t>L60-I-48-18-RGB4-MULT-20x40-S</t>
  </si>
  <si>
    <t>L60-I-48-18-RGB4-MULT-20x70-S</t>
  </si>
  <si>
    <t>L60-I-48-18-RGB4-MULT-30x30-S</t>
  </si>
  <si>
    <t>L60-I-48-18-RGB4-MULT-30x45-S</t>
  </si>
  <si>
    <t>L60-I-48-18-RGB4-MULT-30x75-S</t>
  </si>
  <si>
    <t>L60-I-48-18-RGB4-MULT-55x55-S</t>
  </si>
  <si>
    <t>L60-I-48-18-RGB4-MULT-55x60-S</t>
  </si>
  <si>
    <t>L60-I-48-18-RGB4-MULT-55x90-S</t>
  </si>
  <si>
    <t>L60-I-12-18-RGB4-MULT-20x20-S</t>
  </si>
  <si>
    <t>L60-I-12-18-RGB4-MULT-20x40-S</t>
  </si>
  <si>
    <t>L60-I-12-18-RGB4-MULT-20x70-S</t>
  </si>
  <si>
    <t>L60-I-12-18-RGB4-MULT-30x30-S</t>
  </si>
  <si>
    <t>L60-I-12-18-RGB4-MULT-30x45-S</t>
  </si>
  <si>
    <t>L60-I-12-18-RGB4-MULT-30x75-S</t>
  </si>
  <si>
    <t>L60-I-12-18-RGB4-MULT-55x55-S</t>
  </si>
  <si>
    <t>L60-I-12-18-RGB4-MULT-55x60-S</t>
  </si>
  <si>
    <t>L60-I-12-18-RGB4-MULT-55x90-S</t>
  </si>
  <si>
    <t>L60-I-48-10-RGB4-MULT-20x20-Z</t>
  </si>
  <si>
    <t>L60-I-48-10-RGB4-MULT-20x40-Z</t>
  </si>
  <si>
    <t>L60-I-48-10-RGB4-MULT-20x70-Z</t>
  </si>
  <si>
    <t>L60-I-48-10-RGB4-MULT-30x30-Z</t>
  </si>
  <si>
    <t>L60-I-48-10-RGB4-MULT-30x45-Z</t>
  </si>
  <si>
    <t>L60-I-48-10-RGB4-MULT-30x75-Z</t>
  </si>
  <si>
    <t>L60-I-48-10-RGB4-MULT-55x55-Z</t>
  </si>
  <si>
    <t>L60-I-48-10-RGB4-MULT-55x60-Z</t>
  </si>
  <si>
    <t>L60-I-48-10-RGB4-MULT-55x90-Z</t>
  </si>
  <si>
    <t>L60-I-12-10-RGB4-MULT-20x20-Z</t>
  </si>
  <si>
    <t>L60-I-12-10-RGB4-MULT-20x40-Z</t>
  </si>
  <si>
    <t>L60-I-12-10-RGB4-MULT-20x70-Z</t>
  </si>
  <si>
    <t>L60-I-12-10-RGB4-MULT-30x30-Z</t>
  </si>
  <si>
    <t>L60-I-12-10-RGB4-MULT-30x45-Z</t>
  </si>
  <si>
    <t>L60-I-12-10-RGB4-MULT-30x75-Z</t>
  </si>
  <si>
    <t>L60-I-12-10-RGB4-MULT-55x55-Z</t>
  </si>
  <si>
    <t>L60-I-12-10-RGB4-MULT-55x60-Z</t>
  </si>
  <si>
    <t>L60-I-12-10-RGB4-MULT-55x90-Z</t>
  </si>
  <si>
    <t>L60-I-48-18-RGB4-MULT-20x20-Z</t>
  </si>
  <si>
    <t>L60-I-48-18-RGB4-MULT-20x40-Z</t>
  </si>
  <si>
    <t>L60-I-48-18-RGB4-MULT-20x70-Z</t>
  </si>
  <si>
    <t>L60-I-48-18-RGB4-MULT-30x30-Z</t>
  </si>
  <si>
    <t>L60-I-48-18-RGB4-MULT-30x45-Z</t>
  </si>
  <si>
    <t>L60-I-48-18-RGB4-MULT-30x75-Z</t>
  </si>
  <si>
    <t>L60-I-48-18-RGB4-MULT-55x55-Z</t>
  </si>
  <si>
    <t>L60-I-48-18-RGB4-MULT-55x60-Z</t>
  </si>
  <si>
    <t>L60-I-48-18-RGB4-MULT-55x90-Z</t>
  </si>
  <si>
    <t>L60-I-12-18-RGB4-MULT-20x20-Z</t>
  </si>
  <si>
    <t>L60-I-12-18-RGB4-MULT-20x40-Z</t>
  </si>
  <si>
    <t>L60-I-12-18-RGB4-MULT-20x70-Z</t>
  </si>
  <si>
    <t>L60-I-12-18-RGB4-MULT-30x30-Z</t>
  </si>
  <si>
    <t>L60-I-12-18-RGB4-MULT-30x45-Z</t>
  </si>
  <si>
    <t>L60-I-12-18-RGB4-MULT-30x75-Z</t>
  </si>
  <si>
    <t>L60-I-12-18-RGB4-MULT-55x55-Z</t>
  </si>
  <si>
    <t>L60-I-12-18-RGB4-MULT-55x60-Z</t>
  </si>
  <si>
    <t>L60-I-12-18-RGB4-MULT-55x90-Z</t>
  </si>
  <si>
    <t>L60-I-48-10-RGB4-MULT-20x20-C</t>
  </si>
  <si>
    <t>L60-I-48-10-RGB4-MULT-20x40-C</t>
  </si>
  <si>
    <t>L60-I-48-10-RGB4-MULT-20x70-C</t>
  </si>
  <si>
    <t>L60-I-48-10-RGB4-MULT-30x30-C</t>
  </si>
  <si>
    <t>L60-I-48-10-RGB4-MULT-30x45-C</t>
  </si>
  <si>
    <t>L60-I-48-10-RGB4-MULT-30x75-C</t>
  </si>
  <si>
    <t>L60-I-48-10-RGB4-MULT-55x55-C</t>
  </si>
  <si>
    <t>L60-I-48-10-RGB4-MULT-55x60-C</t>
  </si>
  <si>
    <t>L60-I-48-10-RGB4-MULT-55x90-C</t>
  </si>
  <si>
    <t>L60-I-12-10-RGB4-MULT-20x20-C</t>
  </si>
  <si>
    <t>L60-I-12-10-RGB4-MULT-20x40-C</t>
  </si>
  <si>
    <t>L60-I-12-10-RGB4-MULT-20x70-C</t>
  </si>
  <si>
    <t>L60-I-12-10-RGB4-MULT-30x30-C</t>
  </si>
  <si>
    <t>L60-I-12-10-RGB4-MULT-30x45-C</t>
  </si>
  <si>
    <t>L60-I-12-10-RGB4-MULT-30x75-C</t>
  </si>
  <si>
    <t>L60-I-12-10-RGB4-MULT-55x55-C</t>
  </si>
  <si>
    <t>L60-I-12-10-RGB4-MULT-55x60-C</t>
  </si>
  <si>
    <t>L60-I-12-10-RGB4-MULT-55x90-C</t>
  </si>
  <si>
    <t>L60-I-48-18-RGB4-MULT-20x20-C</t>
  </si>
  <si>
    <t>L60-I-48-18-RGB4-MULT-20x40-C</t>
  </si>
  <si>
    <t>L60-I-48-18-RGB4-MULT-20x70-C</t>
  </si>
  <si>
    <t>L60-I-48-18-RGB4-MULT-30x30-C</t>
  </si>
  <si>
    <t>L60-I-48-18-RGB4-MULT-30x45-C</t>
  </si>
  <si>
    <t>L60-I-48-18-RGB4-MULT-30x75-C</t>
  </si>
  <si>
    <t>L60-I-48-18-RGB4-MULT-55x55-C</t>
  </si>
  <si>
    <t>L60-I-48-18-RGB4-MULT-55x60-C</t>
  </si>
  <si>
    <t>L60-I-48-18-RGB4-MULT-55x90-C</t>
  </si>
  <si>
    <t>L60-I-12-18-RGB4-MULT-20x20-C</t>
  </si>
  <si>
    <t>L60-I-12-18-RGB4-MULT-20x40-C</t>
  </si>
  <si>
    <t>L60-I-12-18-RGB4-MULT-20x70-C</t>
  </si>
  <si>
    <t>L60-I-12-18-RGB4-MULT-30x30-C</t>
  </si>
  <si>
    <t>L60-I-12-18-RGB4-MULT-30x45-C</t>
  </si>
  <si>
    <t>L60-I-12-18-RGB4-MULT-30x75-C</t>
  </si>
  <si>
    <t>L60-I-12-18-RGB4-MULT-55x55-C</t>
  </si>
  <si>
    <t>L60-I-12-18-RGB4-MULT-55x60-C</t>
  </si>
  <si>
    <t>L60-I-12-18-RGB4-MULT-55x90-C</t>
  </si>
  <si>
    <t>L45-E-12-10-RGB4-MULT-120-K</t>
  </si>
  <si>
    <t>L45-I-48-10-RGB4-MULT-120-K</t>
  </si>
  <si>
    <t>L45-I-12-10-RGB4-MULT-120-K</t>
  </si>
  <si>
    <t>L45-E-48-10-RGB4-MULT-120-W</t>
  </si>
  <si>
    <t>L45-E-12-10-RGB4-MULT-120-W</t>
  </si>
  <si>
    <t>L45-E-48-10-RGB4-MULT-120-S</t>
  </si>
  <si>
    <t>L45-E-48-10-RGB4-MULT-120-Z</t>
  </si>
  <si>
    <t>L45-E-48-10-RGB4-MULT-120-C</t>
  </si>
  <si>
    <t>L45-I-48-10-RGB4-MULT-120-W</t>
  </si>
  <si>
    <t>L45-I-12-10-RGB4-MULT-120-W</t>
  </si>
  <si>
    <t>L45-I-48-10-RGB4-MULT-120-S</t>
  </si>
  <si>
    <t>L45-I-48-10-RGB4-MULT-120-Z</t>
  </si>
  <si>
    <t>L45-I-48-10-RGB4-MULT-120-C</t>
  </si>
  <si>
    <t>L45-E-12-10-RGB4-MULT-120-S</t>
  </si>
  <si>
    <t>L45-E-12-10-RGB4-MULT-120-Z</t>
  </si>
  <si>
    <t>L45-E-12-10-RGB4-MULT-120-C</t>
  </si>
  <si>
    <t>L45-I-12-10-RGB4-MULT-120-S</t>
  </si>
  <si>
    <t>L45-I-12-10-RGB4-MULT-120-Z</t>
  </si>
  <si>
    <t>L45-I-12-10-RGB4-MULT-120-C</t>
  </si>
  <si>
    <t xml:space="preserve">Packaging </t>
  </si>
  <si>
    <t>L45-E-48-18-RGB4-MULT-120-K</t>
  </si>
  <si>
    <t>L45-E-12-18-RGB4-MULT-120-K</t>
  </si>
  <si>
    <t>L45-E-48-18-RGB4-MULT-120-W</t>
  </si>
  <si>
    <t>L45-E-12-18-RGB4-MULT-120-W</t>
  </si>
  <si>
    <t>L45-E-48-18-RGB4-MULT-120-S</t>
  </si>
  <si>
    <t>L45-E-12-18-RGB4-MULT-120-S</t>
  </si>
  <si>
    <t>L45-E-48-18-RGB4-MULT-120-Z</t>
  </si>
  <si>
    <t>L45-E-12-18-RGB4-MULT-120-Z</t>
  </si>
  <si>
    <t>L45-E-48-18-RGB4-MULT-120-C</t>
  </si>
  <si>
    <t>L45-E-12-18-RGB4-MULT-120-C</t>
  </si>
  <si>
    <t>L45-I-48-18-RGB4-MULT-120-K</t>
  </si>
  <si>
    <t>L45-I-12-18-RGB4-MULT-120-K</t>
  </si>
  <si>
    <t>L45-I-48-18-RGB4-MULT-120-W</t>
  </si>
  <si>
    <t>L45-I-12-18-RGB4-MULT-120-W</t>
  </si>
  <si>
    <t>L45-I-48-18-RGB4-MULT-120-S</t>
  </si>
  <si>
    <t>L45-I-12-18-RGB4-MULT-120-S</t>
  </si>
  <si>
    <t>L45-I-48-18-RGB4-MULT-120-Z</t>
  </si>
  <si>
    <t>L45-I-12-18-RGB4-MULT-120-Z</t>
  </si>
  <si>
    <t>L45-I-48-18-RGB4-MULT-120-C</t>
  </si>
  <si>
    <t>L45-I-12-18-RGB4-MULT-120-C</t>
  </si>
  <si>
    <t>ASY-100016-0C</t>
  </si>
  <si>
    <t>ASY-100013-0C</t>
  </si>
  <si>
    <t>ASY-100017-0C</t>
  </si>
  <si>
    <t>ASY-100018-0C</t>
  </si>
  <si>
    <t>ASY-100011-0C</t>
  </si>
  <si>
    <t>ASY-100012-0C</t>
  </si>
  <si>
    <t>ASY-100014-0C</t>
  </si>
  <si>
    <t>ASY-100015-0C</t>
  </si>
  <si>
    <t>L60-E-12-10-RGB4-MULT-15x15-K</t>
  </si>
  <si>
    <t>L60-E-48-10-RGB4-MULT-15x15-K</t>
  </si>
  <si>
    <t>L60-E-48-10-RGB4-MULT-15x15-W</t>
  </si>
  <si>
    <t>L60-E-48-10-RGB4-MULT-15x15-S</t>
  </si>
  <si>
    <t>L60-E-48-10-RGB4-MULT-15x15-Z</t>
  </si>
  <si>
    <t>L60-E-48-10-RGB4-MULT-15x15-C</t>
  </si>
  <si>
    <t>L60-E-48-10-RGB4-MULT-ASYM-K</t>
  </si>
  <si>
    <t>L60-E-48-10-RGB4-MULT-ASYM-W</t>
  </si>
  <si>
    <t>L60-E-48-10-RGB4-MULT-ASYM-S</t>
  </si>
  <si>
    <t>L60-E-48-10-RGB4-MULT-ASYM-Z</t>
  </si>
  <si>
    <t>L60-E-48-10-RGB4-MULT-ASYM-C</t>
  </si>
  <si>
    <t>L60-E-48-18-RGB4-MULT-15x15-K</t>
  </si>
  <si>
    <t>L60-E-48-18-RGB4-MULT-15x15-W</t>
  </si>
  <si>
    <t>L60-E-48-18-RGB4-MULT-15x15-S</t>
  </si>
  <si>
    <t>L60-E-48-18-RGB4-MULT-15x15-Z</t>
  </si>
  <si>
    <t>L60-E-48-18-RGB4-MULT-15x15-C</t>
  </si>
  <si>
    <t>L60-E-48-18-RGB4-MULT-ASYM-K</t>
  </si>
  <si>
    <t>L60-E-48-18-RGB4-MULT-ASYM-W</t>
  </si>
  <si>
    <t>L60-E-48-18-RGB4-MULT-ASYM-S</t>
  </si>
  <si>
    <t>L60-E-48-18-RGB4-MULT-ASYM-Z</t>
  </si>
  <si>
    <t>L60-E-48-18-RGB4-MULT-ASYM-C</t>
  </si>
  <si>
    <t>L60-E-12-10-RGB4-MULT-15x15-W</t>
  </si>
  <si>
    <t>L60-E-12-10-RGB4-MULT-15x15-S</t>
  </si>
  <si>
    <t>L60-E-12-10-RGB4-MULT-15x15-Z</t>
  </si>
  <si>
    <t>L60-E-12-10-RGB4-MULT-15x15-C</t>
  </si>
  <si>
    <t>L60-E-12-10-RGB4-MULT-ASYM-K</t>
  </si>
  <si>
    <t>L60-E-12-10-RGB4-MULT-ASYM-W</t>
  </si>
  <si>
    <t>L60-E-12-10-RGB4-MULT-ASYM-S</t>
  </si>
  <si>
    <t>L60-E-12-10-RGB4-MULT-ASYM-Z</t>
  </si>
  <si>
    <t>L60-E-12-10-RGB4-MULT-ASYM-C</t>
  </si>
  <si>
    <t>L60-E-12-18-RGB4-MULT-15x15-K</t>
  </si>
  <si>
    <t>L60-E-12-18-RGB4-MULT-15x15-W</t>
  </si>
  <si>
    <t>L60-E-12-18-RGB4-MULT-15x15-S</t>
  </si>
  <si>
    <t>L60-E-12-18-RGB4-MULT-15x15-Z</t>
  </si>
  <si>
    <t>L60-E-12-18-RGB4-MULT-15x15-C</t>
  </si>
  <si>
    <t>L60-E-12-18-RGB4-MULT-ASYM-K</t>
  </si>
  <si>
    <t>L60-E-12-18-RGB4-MULT-ASYM-W</t>
  </si>
  <si>
    <t>L60-E-12-18-RGB4-MULT-ASYM-S</t>
  </si>
  <si>
    <t>L60-E-12-18-RGB4-MULT-ASYM-Z</t>
  </si>
  <si>
    <t>L60-E-12-18-RGB4-MULT-ASYM-C</t>
  </si>
  <si>
    <t>L60-I-12-10-RGB4-MULT-15x15-K</t>
  </si>
  <si>
    <t>L60-I-12-10-RGB4-MULT-15x15-W</t>
  </si>
  <si>
    <t>L60-I-12-10-RGB4-MULT-15x15-S</t>
  </si>
  <si>
    <t>L60-I-12-10-RGB4-MULT-15x15-Z</t>
  </si>
  <si>
    <t>L60-I-12-10-RGB4-MULT-15x15-C</t>
  </si>
  <si>
    <t>L60-I-12-10-RGB4-MULT-ASYM-K</t>
  </si>
  <si>
    <t>L60-I-12-10-RGB4-MULT-ASYM-W</t>
  </si>
  <si>
    <t>L60-I-12-10-RGB4-MULT-ASYM-S</t>
  </si>
  <si>
    <t>L60-I-12-10-RGB4-MULT-ASYM-Z</t>
  </si>
  <si>
    <t>L60-I-12-10-RGB4-MULT-ASYM-C</t>
  </si>
  <si>
    <t>L60-I-12-18-RGB4-MULT-15x15-K</t>
  </si>
  <si>
    <t>L60-I-12-18-RGB4-MULT-15x15-W</t>
  </si>
  <si>
    <t>L60-I-12-18-RGB4-MULT-15x15-S</t>
  </si>
  <si>
    <t>L60-I-12-18-RGB4-MULT-15x15-Z</t>
  </si>
  <si>
    <t>L60-I-12-18-RGB4-MULT-15x15-C</t>
  </si>
  <si>
    <t>L60-I-12-18-RGB4-MULT-ASYM-K</t>
  </si>
  <si>
    <t>L60-I-12-18-RGB4-MULT-ASYM-W</t>
  </si>
  <si>
    <t>L60-I-12-18-RGB4-MULT-ASYM-S</t>
  </si>
  <si>
    <t>L60-I-12-18-RGB4-MULT-ASYM-Z</t>
  </si>
  <si>
    <t>L60-I-12-18-RGB4-MULT-ASYM-C</t>
  </si>
  <si>
    <t>L60-I-48-10-RGB4-MULT-15x15-K</t>
  </si>
  <si>
    <t>L60-I-48-10-RGB4-MULT-15x15-W</t>
  </si>
  <si>
    <t>L60-I-48-10-RGB4-MULT-15x15-S</t>
  </si>
  <si>
    <t>L60-I-48-10-RGB4-MULT-15x15-Z</t>
  </si>
  <si>
    <t>L60-I-48-10-RGB4-MULT-15x15-C</t>
  </si>
  <si>
    <t>L60-I-48-10-RGB4-MULT-ASYM-K</t>
  </si>
  <si>
    <t>L60-I-48-10-RGB4-MULT-ASYM-W</t>
  </si>
  <si>
    <t>L60-I-48-10-RGB4-MULT-ASYM-S</t>
  </si>
  <si>
    <t>L60-I-48-10-RGB4-MULT-ASYM-Z</t>
  </si>
  <si>
    <t>L60-I-48-10-RGB4-MULT-ASYM-C</t>
  </si>
  <si>
    <t>L60-I-48-18-RGB4-MULT-15x15-K</t>
  </si>
  <si>
    <t>L60-I-48-18-RGB4-MULT-15x15-W</t>
  </si>
  <si>
    <t>L60-I-48-18-RGB4-MULT-15x15-S</t>
  </si>
  <si>
    <t>L60-I-48-18-RGB4-MULT-15x15-Z</t>
  </si>
  <si>
    <t>L60-I-48-18-RGB4-MULT-15x15-C</t>
  </si>
  <si>
    <t>L60-I-48-18-RGB4-MULT-ASYM-K</t>
  </si>
  <si>
    <t>L60-I-48-18-RGB4-MULT-ASYM-W</t>
  </si>
  <si>
    <t>L60-I-48-18-RGB4-MULT-ASYM-S</t>
  </si>
  <si>
    <t>L60-I-48-18-RGB4-MULT-ASYM-Z</t>
  </si>
  <si>
    <t>L60-I-48-18-RGB4-MULT-ASYM-C</t>
  </si>
  <si>
    <t>ASSY, 15D LENS W/ CARRIER, Dynamic Color, TROV 2.0</t>
  </si>
  <si>
    <t>Mechanal BOM</t>
  </si>
  <si>
    <t>APG-000230-00</t>
  </si>
  <si>
    <t>APG-000231-00</t>
  </si>
  <si>
    <t>APG-000232-00</t>
  </si>
  <si>
    <t>APG-000233-00</t>
  </si>
  <si>
    <t>L60-E-48-12-RGB4-MULT-15x15-K</t>
  </si>
  <si>
    <t>L60, OUTDOOR, 4FT, 12 W/FT,  RGB4, 110~277V, 15x15, BLACK</t>
  </si>
  <si>
    <t>L60-E-48-12-RGB4-MULT-15x15-W</t>
  </si>
  <si>
    <t>L60, OUTDOOR, 4FT, 12 W/FT,  RGB4, 110~277V, 15x15, WHITE</t>
  </si>
  <si>
    <t>L60-E-48-12-RGB4-MULT-15x15-S</t>
  </si>
  <si>
    <t>L60, OUTDOOR, 4FT, 12 W/FT,  RGB4, 110~277V, 15x15, SILVER</t>
  </si>
  <si>
    <t>L60-E-48-12-RGB4-MULT-15x15-Z</t>
  </si>
  <si>
    <t>L60, OUTDOOR, 4FT, 12 W/FT,  RGB4, 110~277V, 15x15, BRONZE</t>
  </si>
  <si>
    <t>L60-E-48-12-RGB4-MULT-15x15-C</t>
  </si>
  <si>
    <t>L60, OUTDOOR, 4FT, 12 W/FT,  RGB4, 110~277V, 15x15, CUSTOM</t>
  </si>
  <si>
    <t>L60-E-48-12-RGB4-MULT-ASYM-K</t>
  </si>
  <si>
    <t>L60, OUTDOOR, 4FT, 12 W/FT,  RGB4, 110~277V, ASYM, BLACK</t>
  </si>
  <si>
    <t>L60-E-48-12-RGB4-MULT-ASYM-W</t>
  </si>
  <si>
    <t>L60, OUTDOOR, 4FT, 12 W/FT,  RGB4, 110~277V, ASYM, WHITE</t>
  </si>
  <si>
    <t>L60-E-48-12-RGB4-MULT-ASYM-S</t>
  </si>
  <si>
    <t>L60, OUTDOOR, 4FT, 12 W/FT,  RGB4, 110~277V, ASYM, SILVER</t>
  </si>
  <si>
    <t>L60-E-48-12-RGB4-MULT-ASYM-Z</t>
  </si>
  <si>
    <t>L60, OUTDOOR, 4FT, 12 W/FT,  RGB4, 110~277V, ASYM, BRONZE</t>
  </si>
  <si>
    <t>L60-E-48-12-RGB4-MULT-ASYM-C</t>
  </si>
  <si>
    <t>L60, OUTDOOR, 4FT, 12 W/FT,  RGB4, 110~277V, ASYM, CUSTOM</t>
  </si>
  <si>
    <t>L60-E-48-12-RGB4-MULT-20x20-K</t>
  </si>
  <si>
    <t>L60, OUTDOOR, 4FT, 12 W/FT,  RGB4, 110~277V, 20x20, BLACK</t>
  </si>
  <si>
    <t>L60-E-48-12-RGB4-MULT-20x40-K</t>
  </si>
  <si>
    <t>L60, OUTDOOR, 4FT, 12 W/FT,  RGB4, 110~277V, 20x40, BLACK</t>
  </si>
  <si>
    <t>L60-E-48-12-RGB4-MULT-20x70-K</t>
  </si>
  <si>
    <t>L60, OUTDOOR, 4FT, 12 W/FT,  RGB4, 110~277V, 20x70, BLACK</t>
  </si>
  <si>
    <t>L60-E-48-12-RGB4-MULT-30x30-K</t>
  </si>
  <si>
    <t>L60, OUTDOOR, 4FT, 12 W/FT,  RGB4, 110~277V, 30x30, BLACK</t>
  </si>
  <si>
    <t>L60-E-48-12-RGB4-MULT-30x45-K</t>
  </si>
  <si>
    <t>L60, OUTDOOR, 4FT, 12 W/FT,  RGB4, 110~277V, 30x45, BLACK</t>
  </si>
  <si>
    <t>L60-E-48-12-RGB4-MULT-30x75-K</t>
  </si>
  <si>
    <t>L60, OUTDOOR, 4FT, 12 W/FT,  RGB4, 110~277V, 30x75, BLACK</t>
  </si>
  <si>
    <t>L60-E-48-12-RGB4-MULT-55x55-K</t>
  </si>
  <si>
    <t>L60, OUTDOOR, 4FT, 12 W/FT,  RGB4, 110~277V, 55x55, BLACK</t>
  </si>
  <si>
    <t>L60-E-48-12-RGB4-MULT-55x60-K</t>
  </si>
  <si>
    <t>L60, OUTDOOR, 4FT, 12 W/FT,  RGB4, 110~277V, 55x60, BLACK</t>
  </si>
  <si>
    <t>L60-E-48-12-RGB4-MULT-55x90-K</t>
  </si>
  <si>
    <t>L60, OUTDOOR, 4FT, 12 W/FT,  RGB4, 110~277V, 55x90, BLACK</t>
  </si>
  <si>
    <t>L60-E-48-12-RGB4-MULT-20x20-W</t>
  </si>
  <si>
    <t>L60, OUTDOOR, 4FT, 12 W/FT,  RGB4, 110~277V, 20x20, WHITE</t>
  </si>
  <si>
    <t>L60-E-48-12-RGB4-MULT-20x40-W</t>
  </si>
  <si>
    <t>L60, OUTDOOR, 4FT, 12 W/FT,  RGB4, 110~277V, 20x40, WHITE</t>
  </si>
  <si>
    <t>L60-E-48-12-RGB4-MULT-20x70-W</t>
  </si>
  <si>
    <t>L60, OUTDOOR, 4FT, 12 W/FT,  RGB4, 110~277V, 20x70, WHITE</t>
  </si>
  <si>
    <t>L60-E-48-12-RGB4-MULT-30x30-W</t>
  </si>
  <si>
    <t>L60, OUTDOOR, 4FT, 12 W/FT,  RGB4, 110~277V, 30x30, WHITE</t>
  </si>
  <si>
    <t>L60-E-48-12-RGB4-MULT-30x45-W</t>
  </si>
  <si>
    <t>L60, OUTDOOR, 4FT, 12 W/FT,  RGB4, 110~277V, 30x45, WHITE</t>
  </si>
  <si>
    <t>L60-E-48-12-RGB4-MULT-30x75-W</t>
  </si>
  <si>
    <t>L60, OUTDOOR, 4FT, 12 W/FT,  RGB4, 110~277V, 30x75, WHITE</t>
  </si>
  <si>
    <t>L60-E-48-12-RGB4-MULT-55x55-W</t>
  </si>
  <si>
    <t>L60, OUTDOOR, 4FT, 12 W/FT,  RGB4, 110~277V, 55x55, WHITE</t>
  </si>
  <si>
    <t>L60-E-48-12-RGB4-MULT-55x60-W</t>
  </si>
  <si>
    <t>L60, OUTDOOR, 4FT, 12 W/FT,  RGB4, 110~277V, 55x60, WHITE</t>
  </si>
  <si>
    <t>L60-E-48-12-RGB4-MULT-55x90-W</t>
  </si>
  <si>
    <t>L60, OUTDOOR, 4FT, 12 W/FT,  RGB4, 110~277V, 55x90, WHITE</t>
  </si>
  <si>
    <t>L60-E-48-12-RGB4-MULT-20x20-S</t>
  </si>
  <si>
    <t>L60, OUTDOOR, 4FT, 12 W/FT,  RGB4, 110~277V, 20x20, SILVER</t>
  </si>
  <si>
    <t>L60-E-48-12-RGB4-MULT-20x40-S</t>
  </si>
  <si>
    <t>L60, OUTDOOR, 4FT, 12 W/FT,  RGB4, 110~277V, 20x40, SILVER</t>
  </si>
  <si>
    <t>L60-E-48-12-RGB4-MULT-20x70-S</t>
  </si>
  <si>
    <t>L60, OUTDOOR, 4FT, 12 W/FT,  RGB4, 110~277V, 20x70, SILVER</t>
  </si>
  <si>
    <t>L60-E-48-12-RGB4-MULT-30x30-S</t>
  </si>
  <si>
    <t>L60, OUTDOOR, 4FT, 12 W/FT,  RGB4, 110~277V, 30x30, SILVER</t>
  </si>
  <si>
    <t>L60-E-48-12-RGB4-MULT-30x45-S</t>
  </si>
  <si>
    <t>L60, OUTDOOR, 4FT, 12 W/FT,  RGB4, 110~277V, 30x45, SILVER</t>
  </si>
  <si>
    <t>L60-E-48-12-RGB4-MULT-30x75-S</t>
  </si>
  <si>
    <t>L60, OUTDOOR, 4FT, 12 W/FT,  RGB4, 110~277V, 30x75, SILVER</t>
  </si>
  <si>
    <t>L60-E-48-12-RGB4-MULT-55x55-S</t>
  </si>
  <si>
    <t>L60, OUTDOOR, 4FT, 12 W/FT,  RGB4, 110~277V, 55x55, SILVER</t>
  </si>
  <si>
    <t>L60-E-48-12-RGB4-MULT-55x60-S</t>
  </si>
  <si>
    <t>L60, OUTDOOR, 4FT, 12 W/FT,  RGB4, 110~277V, 55x60, SILVER</t>
  </si>
  <si>
    <t>L60-E-48-12-RGB4-MULT-55x90-S</t>
  </si>
  <si>
    <t>L60, OUTDOOR, 4FT, 12 W/FT,  RGB4, 110~277V, 55x90, SILVER</t>
  </si>
  <si>
    <t>L60-E-48-12-RGB4-MULT-20x20-Z</t>
  </si>
  <si>
    <t>L60, OUTDOOR, 4FT, 12 W/FT,  RGB4, 110~277V, 20x20, BRONZE</t>
  </si>
  <si>
    <t>L60-E-48-12-RGB4-MULT-20x40-Z</t>
  </si>
  <si>
    <t>L60, OUTDOOR, 4FT, 12 W/FT,  RGB4, 110~277V, 20x40, BRONZE</t>
  </si>
  <si>
    <t>L60-E-48-12-RGB4-MULT-20x70-Z</t>
  </si>
  <si>
    <t>L60, OUTDOOR, 4FT, 12 W/FT,  RGB4, 110~277V, 20x70, BRONZE</t>
  </si>
  <si>
    <t>L60-E-48-12-RGB4-MULT-30x30-Z</t>
  </si>
  <si>
    <t>L60, OUTDOOR, 4FT, 12 W/FT,  RGB4, 110~277V, 30x30, BRONZE</t>
  </si>
  <si>
    <t>L60-E-48-12-RGB4-MULT-30x45-Z</t>
  </si>
  <si>
    <t>L60, OUTDOOR, 4FT, 12 W/FT,  RGB4, 110~277V, 30x45, BRONZE</t>
  </si>
  <si>
    <t>L60-E-48-12-RGB4-MULT-30x75-Z</t>
  </si>
  <si>
    <t>L60, OUTDOOR, 4FT, 12 W/FT,  RGB4, 110~277V, 30x75, BRONZE</t>
  </si>
  <si>
    <t>L60-E-48-12-RGB4-MULT-55x55-Z</t>
  </si>
  <si>
    <t>L60, OUTDOOR, 4FT, 12 W/FT,  RGB4, 110~277V, 55x55, BRONZE</t>
  </si>
  <si>
    <t>L60-E-48-12-RGB4-MULT-55x60-Z</t>
  </si>
  <si>
    <t>L60, OUTDOOR, 4FT, 12 W/FT,  RGB4, 110~277V, 55x60, BRONZE</t>
  </si>
  <si>
    <t>L60-E-48-12-RGB4-MULT-55x90-Z</t>
  </si>
  <si>
    <t>L60, OUTDOOR, 4FT, 12 W/FT,  RGB4, 110~277V, 55x90, BRONZE</t>
  </si>
  <si>
    <t>L60-E-48-12-RGB4-MULT-20x20-C</t>
  </si>
  <si>
    <t>L60, OUTDOOR, 4FT, 12 W/FT,  RGB4, 110~277V, 20x20, CUSTOM</t>
  </si>
  <si>
    <t>L60-E-48-12-RGB4-MULT-20x40-C</t>
  </si>
  <si>
    <t>L60, OUTDOOR, 4FT, 12 W/FT,  RGB4, 110~277V, 20x40, CUSTOM</t>
  </si>
  <si>
    <t>L60-E-48-12-RGB4-MULT-20x70-C</t>
  </si>
  <si>
    <t>L60, OUTDOOR, 4FT, 12 W/FT,  RGB4, 110~277V, 20x70, CUSTOM</t>
  </si>
  <si>
    <t>L60-E-48-12-RGB4-MULT-30x30-C</t>
  </si>
  <si>
    <t>L60, OUTDOOR, 4FT, 12 W/FT,  RGB4, 110~277V, 30x30, CUSTOM</t>
  </si>
  <si>
    <t>L60-E-48-12-RGB4-MULT-30x45-C</t>
  </si>
  <si>
    <t>L60, OUTDOOR, 4FT, 12 W/FT,  RGB4, 110~277V, 30x45, CUSTOM</t>
  </si>
  <si>
    <t>L60-E-48-12-RGB4-MULT-30x75-C</t>
  </si>
  <si>
    <t>L60, OUTDOOR, 4FT, 12 W/FT,  RGB4, 110~277V, 30x75, CUSTOM</t>
  </si>
  <si>
    <t>L60-E-48-12-RGB4-MULT-55x55-C</t>
  </si>
  <si>
    <t>L60, OUTDOOR, 4FT, 12 W/FT,  RGB4, 110~277V, 55x55, CUSTOM</t>
  </si>
  <si>
    <t>L60-E-48-12-RGB4-MULT-55x60-C</t>
  </si>
  <si>
    <t>L60, OUTDOOR, 4FT, 12 W/FT,  RGB4, 110~277V, 55x60, CUSTOM</t>
  </si>
  <si>
    <t>L60-E-48-12-RGB4-MULT-55x90-C</t>
  </si>
  <si>
    <t>L60, OUTDOOR, 4FT, 12 W/FT,  RGB4, 110~277V, 55x90, CUSTOM</t>
  </si>
  <si>
    <t>L60-E-48-14-RGB4-MULT-15x15-K</t>
  </si>
  <si>
    <t>L60, OUTDOOR, 4FT, 14 W/FT,  RGB4, 110~277V, 15x15, BLACK</t>
  </si>
  <si>
    <t>L60-E-48-14-RGB4-MULT-15x15-W</t>
  </si>
  <si>
    <t>L60, OUTDOOR, 4FT, 14 W/FT,  RGB4, 110~277V, 15x15, WHITE</t>
  </si>
  <si>
    <t>L60-E-48-14-RGB4-MULT-15x15-S</t>
  </si>
  <si>
    <t>L60, OUTDOOR, 4FT, 14 W/FT,  RGB4, 110~277V, 15x15, SILVER</t>
  </si>
  <si>
    <t>L60-E-48-14-RGB4-MULT-15x15-Z</t>
  </si>
  <si>
    <t>L60, OUTDOOR, 4FT, 14 W/FT,  RGB4, 110~277V, 15x15, BRONZE</t>
  </si>
  <si>
    <t>L60-E-48-14-RGB4-MULT-15x15-C</t>
  </si>
  <si>
    <t>L60, OUTDOOR, 4FT, 14 W/FT,  RGB4, 110~277V, 15x15, CUSTOM</t>
  </si>
  <si>
    <t>L60-E-48-14-RGB4-MULT-ASYM-K</t>
  </si>
  <si>
    <t>L60, OUTDOOR, 4FT, 14 W/FT,  RGB4, 110~277V, ASYM, BLACK</t>
  </si>
  <si>
    <t>L60-E-48-14-RGB4-MULT-ASYM-W</t>
  </si>
  <si>
    <t>L60, OUTDOOR, 4FT, 14 W/FT,  RGB4, 110~277V, ASYM, WHITE</t>
  </si>
  <si>
    <t>L60-E-48-14-RGB4-MULT-ASYM-S</t>
  </si>
  <si>
    <t>L60, OUTDOOR, 4FT, 14 W/FT,  RGB4, 110~277V, ASYM, SILVER</t>
  </si>
  <si>
    <t>L60-E-48-14-RGB4-MULT-ASYM-Z</t>
  </si>
  <si>
    <t>L60, OUTDOOR, 4FT, 14 W/FT,  RGB4, 110~277V, ASYM, BRONZE</t>
  </si>
  <si>
    <t>L60-E-48-14-RGB4-MULT-ASYM-C</t>
  </si>
  <si>
    <t>L60, OUTDOOR, 4FT, 14 W/FT,  RGB4, 110~277V, ASYM, CUSTOM</t>
  </si>
  <si>
    <t>L60-E-48-14-RGB4-MULT-20x20-K</t>
  </si>
  <si>
    <t>L60, OUTDOOR, 4FT, 14 W/FT,  RGB4, 110~277V, 20x20, BLACK</t>
  </si>
  <si>
    <t>L60-E-48-14-RGB4-MULT-20x40-K</t>
  </si>
  <si>
    <t>L60, OUTDOOR, 4FT, 14 W/FT,  RGB4, 110~277V, 20x40, BLACK</t>
  </si>
  <si>
    <t>L60-E-48-14-RGB4-MULT-20x70-K</t>
  </si>
  <si>
    <t>L60, OUTDOOR, 4FT, 14 W/FT,  RGB4, 110~277V, 20x70, BLACK</t>
  </si>
  <si>
    <t>L60-E-48-14-RGB4-MULT-30x30-K</t>
  </si>
  <si>
    <t>L60, OUTDOOR, 4FT, 14 W/FT,  RGB4, 110~277V, 30x30, BLACK</t>
  </si>
  <si>
    <t>L60-E-48-14-RGB4-MULT-30x45-K</t>
  </si>
  <si>
    <t>L60, OUTDOOR, 4FT, 14 W/FT,  RGB4, 110~277V, 30x45, BLACK</t>
  </si>
  <si>
    <t>L60-E-48-14-RGB4-MULT-30x75-K</t>
  </si>
  <si>
    <t>L60, OUTDOOR, 4FT, 14 W/FT,  RGB4, 110~277V, 30x75, BLACK</t>
  </si>
  <si>
    <t>L60-E-48-14-RGB4-MULT-55x55-K</t>
  </si>
  <si>
    <t>L60, OUTDOOR, 4FT, 14 W/FT,  RGB4, 110~277V, 55x55, BLACK</t>
  </si>
  <si>
    <t>L60-E-48-14-RGB4-MULT-55x60-K</t>
  </si>
  <si>
    <t>L60, OUTDOOR, 4FT, 14 W/FT,  RGB4, 110~277V, 55x60, BLACK</t>
  </si>
  <si>
    <t>L60-E-48-14-RGB4-MULT-55x90-K</t>
  </si>
  <si>
    <t>L60, OUTDOOR, 4FT, 14 W/FT,  RGB4, 110~277V, 55x90, BLACK</t>
  </si>
  <si>
    <t>L60-E-48-14-RGB4-MULT-20x20-W</t>
  </si>
  <si>
    <t>L60, OUTDOOR, 4FT, 14 W/FT,  RGB4, 110~277V, 20x20, WHITE</t>
  </si>
  <si>
    <t>L60-E-48-14-RGB4-MULT-20x40-W</t>
  </si>
  <si>
    <t>L60, OUTDOOR, 4FT, 14 W/FT,  RGB4, 110~277V, 20x40, WHITE</t>
  </si>
  <si>
    <t>L60-E-48-14-RGB4-MULT-20x70-W</t>
  </si>
  <si>
    <t>L60, OUTDOOR, 4FT, 14 W/FT,  RGB4, 110~277V, 20x70, WHITE</t>
  </si>
  <si>
    <t>L60-E-48-14-RGB4-MULT-30x30-W</t>
  </si>
  <si>
    <t>L60, OUTDOOR, 4FT, 14 W/FT,  RGB4, 110~277V, 30x30, WHITE</t>
  </si>
  <si>
    <t>L60-E-48-14-RGB4-MULT-30x45-W</t>
  </si>
  <si>
    <t>L60, OUTDOOR, 4FT, 14 W/FT,  RGB4, 110~277V, 30x45, WHITE</t>
  </si>
  <si>
    <t>L60-E-48-14-RGB4-MULT-30x75-W</t>
  </si>
  <si>
    <t>L60, OUTDOOR, 4FT, 14 W/FT,  RGB4, 110~277V, 30x75, WHITE</t>
  </si>
  <si>
    <t>L60-E-48-14-RGB4-MULT-55x55-W</t>
  </si>
  <si>
    <t>L60, OUTDOOR, 4FT, 14 W/FT,  RGB4, 110~277V, 55x55, WHITE</t>
  </si>
  <si>
    <t>L60-E-48-14-RGB4-MULT-55x60-W</t>
  </si>
  <si>
    <t>L60, OUTDOOR, 4FT, 14 W/FT,  RGB4, 110~277V, 55x60, WHITE</t>
  </si>
  <si>
    <t>L60-E-48-14-RGB4-MULT-55x90-W</t>
  </si>
  <si>
    <t>L60, OUTDOOR, 4FT, 14 W/FT,  RGB4, 110~277V, 55x90, WHITE</t>
  </si>
  <si>
    <t>L60-E-48-14-RGB4-MULT-20x20-S</t>
  </si>
  <si>
    <t>L60, OUTDOOR, 4FT, 14 W/FT,  RGB4, 110~277V, 20x20, SILVER</t>
  </si>
  <si>
    <t>L60-E-48-14-RGB4-MULT-20x40-S</t>
  </si>
  <si>
    <t>L60, OUTDOOR, 4FT, 14 W/FT,  RGB4, 110~277V, 20x40, SILVER</t>
  </si>
  <si>
    <t>L60-E-48-14-RGB4-MULT-20x70-S</t>
  </si>
  <si>
    <t>L60, OUTDOOR, 4FT, 14 W/FT,  RGB4, 110~277V, 20x70, SILVER</t>
  </si>
  <si>
    <t>L60-E-48-14-RGB4-MULT-30x30-S</t>
  </si>
  <si>
    <t>L60, OUTDOOR, 4FT, 14 W/FT,  RGB4, 110~277V, 30x30, SILVER</t>
  </si>
  <si>
    <t>L60-E-48-14-RGB4-MULT-30x45-S</t>
  </si>
  <si>
    <t>L60, OUTDOOR, 4FT, 14 W/FT,  RGB4, 110~277V, 30x45, SILVER</t>
  </si>
  <si>
    <t>L60-E-48-14-RGB4-MULT-30x75-S</t>
  </si>
  <si>
    <t>L60, OUTDOOR, 4FT, 14 W/FT,  RGB4, 110~277V, 30x75, SILVER</t>
  </si>
  <si>
    <t>L60-E-48-14-RGB4-MULT-55x55-S</t>
  </si>
  <si>
    <t>L60, OUTDOOR, 4FT, 14 W/FT,  RGB4, 110~277V, 55x55, SILVER</t>
  </si>
  <si>
    <t>L60-E-48-14-RGB4-MULT-55x60-S</t>
  </si>
  <si>
    <t>L60, OUTDOOR, 4FT, 14 W/FT,  RGB4, 110~277V, 55x60, SILVER</t>
  </si>
  <si>
    <t>L60-E-48-14-RGB4-MULT-55x90-S</t>
  </si>
  <si>
    <t>L60, OUTDOOR, 4FT, 14 W/FT,  RGB4, 110~277V, 55x90, SILVER</t>
  </si>
  <si>
    <t>L60-E-48-14-RGB4-MULT-20x20-Z</t>
  </si>
  <si>
    <t>L60, OUTDOOR, 4FT, 14 W/FT,  RGB4, 110~277V, 20x20, BRONZE</t>
  </si>
  <si>
    <t>L60-E-48-14-RGB4-MULT-20x40-Z</t>
  </si>
  <si>
    <t>L60, OUTDOOR, 4FT, 14 W/FT,  RGB4, 110~277V, 20x40, BRONZE</t>
  </si>
  <si>
    <t>L60-E-48-14-RGB4-MULT-20x70-Z</t>
  </si>
  <si>
    <t>L60, OUTDOOR, 4FT, 14 W/FT,  RGB4, 110~277V, 20x70, BRONZE</t>
  </si>
  <si>
    <t>L60-E-48-14-RGB4-MULT-30x30-Z</t>
  </si>
  <si>
    <t>L60, OUTDOOR, 4FT, 14 W/FT,  RGB4, 110~277V, 30x30, BRONZE</t>
  </si>
  <si>
    <t>L60-E-48-14-RGB4-MULT-30x45-Z</t>
  </si>
  <si>
    <t>L60, OUTDOOR, 4FT, 14 W/FT,  RGB4, 110~277V, 30x45, BRONZE</t>
  </si>
  <si>
    <t>L60-E-48-14-RGB4-MULT-30x75-Z</t>
  </si>
  <si>
    <t>L60, OUTDOOR, 4FT, 14 W/FT,  RGB4, 110~277V, 30x75, BRONZE</t>
  </si>
  <si>
    <t>L60-E-48-14-RGB4-MULT-55x55-Z</t>
  </si>
  <si>
    <t>L60, OUTDOOR, 4FT, 14 W/FT,  RGB4, 110~277V, 55x55, BRONZE</t>
  </si>
  <si>
    <t>L60-E-48-14-RGB4-MULT-55x60-Z</t>
  </si>
  <si>
    <t>L60, OUTDOOR, 4FT, 14 W/FT,  RGB4, 110~277V, 55x60, BRONZE</t>
  </si>
  <si>
    <t>L60-E-48-14-RGB4-MULT-55x90-Z</t>
  </si>
  <si>
    <t>L60, OUTDOOR, 4FT, 14 W/FT,  RGB4, 110~277V, 55x90, BRONZE</t>
  </si>
  <si>
    <t>L60-E-48-14-RGB4-MULT-20x20-C</t>
  </si>
  <si>
    <t>L60, OUTDOOR, 4FT, 14 W/FT,  RGB4, 110~277V, 20x20, CUSTOM</t>
  </si>
  <si>
    <t>L60-E-48-14-RGB4-MULT-20x40-C</t>
  </si>
  <si>
    <t>L60, OUTDOOR, 4FT, 14 W/FT,  RGB4, 110~277V, 20x40, CUSTOM</t>
  </si>
  <si>
    <t>L60-E-48-14-RGB4-MULT-20x70-C</t>
  </si>
  <si>
    <t>L60, OUTDOOR, 4FT, 14 W/FT,  RGB4, 110~277V, 20x70, CUSTOM</t>
  </si>
  <si>
    <t>L60-E-48-14-RGB4-MULT-30x30-C</t>
  </si>
  <si>
    <t>L60, OUTDOOR, 4FT, 14 W/FT,  RGB4, 110~277V, 30x30, CUSTOM</t>
  </si>
  <si>
    <t>L60-E-48-14-RGB4-MULT-30x45-C</t>
  </si>
  <si>
    <t>L60, OUTDOOR, 4FT, 14 W/FT,  RGB4, 110~277V, 30x45, CUSTOM</t>
  </si>
  <si>
    <t>L60-E-48-14-RGB4-MULT-30x75-C</t>
  </si>
  <si>
    <t>L60, OUTDOOR, 4FT, 14 W/FT,  RGB4, 110~277V, 30x75, CUSTOM</t>
  </si>
  <si>
    <t>L60-E-48-14-RGB4-MULT-55x55-C</t>
  </si>
  <si>
    <t>L60, OUTDOOR, 4FT, 14 W/FT,  RGB4, 110~277V, 55x55, CUSTOM</t>
  </si>
  <si>
    <t>L60-E-48-14-RGB4-MULT-55x60-C</t>
  </si>
  <si>
    <t>L60, OUTDOOR, 4FT, 14 W/FT,  RGB4, 110~277V, 55x60, CUSTOM</t>
  </si>
  <si>
    <t>L60-E-48-14-RGB4-MULT-55x90-C</t>
  </si>
  <si>
    <t>L60, OUTDOOR, 4FT, 14 W/FT,  RGB4, 110~277V, 55x90, CUSTOM</t>
  </si>
  <si>
    <t>L60-E-48-16-RGB4-MULT-15x15-K</t>
  </si>
  <si>
    <t>L60, OUTDOOR, 4FT, 16 W/FT,  RGB4, 110~277V, 15x15, BLACK</t>
  </si>
  <si>
    <t>L60-E-48-16-RGB4-MULT-15x15-W</t>
  </si>
  <si>
    <t>L60, OUTDOOR, 4FT, 16 W/FT,  RGB4, 110~277V, 15x15, WHITE</t>
  </si>
  <si>
    <t>L60-E-48-16-RGB4-MULT-15x15-S</t>
  </si>
  <si>
    <t>L60, OUTDOOR, 4FT, 16 W/FT,  RGB4, 110~277V, 15x15, SILVER</t>
  </si>
  <si>
    <t>L60-E-48-16-RGB4-MULT-15x15-Z</t>
  </si>
  <si>
    <t>L60, OUTDOOR, 4FT, 16 W/FT,  RGB4, 110~277V, 15x15, BRONZE</t>
  </si>
  <si>
    <t>L60-E-48-16-RGB4-MULT-15x15-C</t>
  </si>
  <si>
    <t>L60, OUTDOOR, 4FT, 16 W/FT,  RGB4, 110~277V, 15x15, CUSTOM</t>
  </si>
  <si>
    <t>L60-E-48-16-RGB4-MULT-ASYM-K</t>
  </si>
  <si>
    <t>L60, OUTDOOR, 4FT, 16 W/FT,  RGB4, 110~277V, ASYM, BLACK</t>
  </si>
  <si>
    <t>L60-E-48-16-RGB4-MULT-ASYM-W</t>
  </si>
  <si>
    <t>L60, OUTDOOR, 4FT, 16 W/FT,  RGB4, 110~277V, ASYM, WHITE</t>
  </si>
  <si>
    <t>L60-E-48-16-RGB4-MULT-ASYM-S</t>
  </si>
  <si>
    <t>L60, OUTDOOR, 4FT, 16 W/FT,  RGB4, 110~277V, ASYM, SILVER</t>
  </si>
  <si>
    <t>L60-E-48-16-RGB4-MULT-ASYM-Z</t>
  </si>
  <si>
    <t>L60, OUTDOOR, 4FT, 16 W/FT,  RGB4, 110~277V, ASYM, BRONZE</t>
  </si>
  <si>
    <t>L60-E-48-16-RGB4-MULT-ASYM-C</t>
  </si>
  <si>
    <t>L60, OUTDOOR, 4FT, 16 W/FT,  RGB4, 110~277V, ASYM, CUSTOM</t>
  </si>
  <si>
    <t>L60-E-48-16-RGB4-MULT-20x20-K</t>
  </si>
  <si>
    <t>L60, OUTDOOR, 4FT, 16 W/FT,  RGB4, 110~277V, 20x20, BLACK</t>
  </si>
  <si>
    <t>L60-E-48-16-RGB4-MULT-20x40-K</t>
  </si>
  <si>
    <t>L60, OUTDOOR, 4FT, 16 W/FT,  RGB4, 110~277V, 20x40, BLACK</t>
  </si>
  <si>
    <t>L60-E-48-16-RGB4-MULT-20x70-K</t>
  </si>
  <si>
    <t>L60, OUTDOOR, 4FT, 16 W/FT,  RGB4, 110~277V, 20x70, BLACK</t>
  </si>
  <si>
    <t>L60-E-48-16-RGB4-MULT-30x30-K</t>
  </si>
  <si>
    <t>L60, OUTDOOR, 4FT, 16 W/FT,  RGB4, 110~277V, 30x30, BLACK</t>
  </si>
  <si>
    <t>L60-E-48-16-RGB4-MULT-30x45-K</t>
  </si>
  <si>
    <t>L60, OUTDOOR, 4FT, 16 W/FT,  RGB4, 110~277V, 30x45, BLACK</t>
  </si>
  <si>
    <t>L60-E-48-16-RGB4-MULT-30x75-K</t>
  </si>
  <si>
    <t>L60, OUTDOOR, 4FT, 16 W/FT,  RGB4, 110~277V, 30x75, BLACK</t>
  </si>
  <si>
    <t>L60-E-48-16-RGB4-MULT-55x55-K</t>
  </si>
  <si>
    <t>L60, OUTDOOR, 4FT, 16 W/FT,  RGB4, 110~277V, 55x55, BLACK</t>
  </si>
  <si>
    <t>L60-E-48-16-RGB4-MULT-55x60-K</t>
  </si>
  <si>
    <t>L60, OUTDOOR, 4FT, 16 W/FT,  RGB4, 110~277V, 55x60, BLACK</t>
  </si>
  <si>
    <t>L60-E-48-16-RGB4-MULT-55x90-K</t>
  </si>
  <si>
    <t>L60, OUTDOOR, 4FT, 16 W/FT,  RGB4, 110~277V, 55x90, BLACK</t>
  </si>
  <si>
    <t>L60-E-48-16-RGB4-MULT-20x20-W</t>
  </si>
  <si>
    <t>L60, OUTDOOR, 4FT, 16 W/FT,  RGB4, 110~277V, 20x20, WHITE</t>
  </si>
  <si>
    <t>L60-E-48-16-RGB4-MULT-20x40-W</t>
  </si>
  <si>
    <t>L60, OUTDOOR, 4FT, 16 W/FT,  RGB4, 110~277V, 20x40, WHITE</t>
  </si>
  <si>
    <t>L60-E-48-16-RGB4-MULT-20x70-W</t>
  </si>
  <si>
    <t>L60, OUTDOOR, 4FT, 16 W/FT,  RGB4, 110~277V, 20x70, WHITE</t>
  </si>
  <si>
    <t>L60-E-48-16-RGB4-MULT-30x30-W</t>
  </si>
  <si>
    <t>L60, OUTDOOR, 4FT, 16 W/FT,  RGB4, 110~277V, 30x30, WHITE</t>
  </si>
  <si>
    <t>L60-E-48-16-RGB4-MULT-30x45-W</t>
  </si>
  <si>
    <t>L60, OUTDOOR, 4FT, 16 W/FT,  RGB4, 110~277V, 30x45, WHITE</t>
  </si>
  <si>
    <t>L60-E-48-16-RGB4-MULT-30x75-W</t>
  </si>
  <si>
    <t>L60, OUTDOOR, 4FT, 16 W/FT,  RGB4, 110~277V, 30x75, WHITE</t>
  </si>
  <si>
    <t>L60-E-48-16-RGB4-MULT-55x55-W</t>
  </si>
  <si>
    <t>L60, OUTDOOR, 4FT, 16 W/FT,  RGB4, 110~277V, 55x55, WHITE</t>
  </si>
  <si>
    <t>L60-E-48-16-RGB4-MULT-55x60-W</t>
  </si>
  <si>
    <t>L60, OUTDOOR, 4FT, 16 W/FT,  RGB4, 110~277V, 55x60, WHITE</t>
  </si>
  <si>
    <t>L60-E-48-16-RGB4-MULT-55x90-W</t>
  </si>
  <si>
    <t>L60, OUTDOOR, 4FT, 16 W/FT,  RGB4, 110~277V, 55x90, WHITE</t>
  </si>
  <si>
    <t>L60-E-48-16-RGB4-MULT-20x20-S</t>
  </si>
  <si>
    <t>L60, OUTDOOR, 4FT, 16 W/FT,  RGB4, 110~277V, 20x20, SILVER</t>
  </si>
  <si>
    <t>L60-E-48-16-RGB4-MULT-20x40-S</t>
  </si>
  <si>
    <t>L60, OUTDOOR, 4FT, 16 W/FT,  RGB4, 110~277V, 20x40, SILVER</t>
  </si>
  <si>
    <t>L60-E-48-16-RGB4-MULT-20x70-S</t>
  </si>
  <si>
    <t>L60, OUTDOOR, 4FT, 16 W/FT,  RGB4, 110~277V, 20x70, SILVER</t>
  </si>
  <si>
    <t>L60-E-48-16-RGB4-MULT-30x30-S</t>
  </si>
  <si>
    <t>L60, OUTDOOR, 4FT, 16 W/FT,  RGB4, 110~277V, 30x30, SILVER</t>
  </si>
  <si>
    <t>L60-E-48-16-RGB4-MULT-30x45-S</t>
  </si>
  <si>
    <t>L60, OUTDOOR, 4FT, 16 W/FT,  RGB4, 110~277V, 30x45, SILVER</t>
  </si>
  <si>
    <t>L60-E-48-16-RGB4-MULT-30x75-S</t>
  </si>
  <si>
    <t>L60, OUTDOOR, 4FT, 16 W/FT,  RGB4, 110~277V, 30x75, SILVER</t>
  </si>
  <si>
    <t>L60-E-48-16-RGB4-MULT-55x55-S</t>
  </si>
  <si>
    <t>L60, OUTDOOR, 4FT, 16 W/FT,  RGB4, 110~277V, 55x55, SILVER</t>
  </si>
  <si>
    <t>L60-E-48-16-RGB4-MULT-55x60-S</t>
  </si>
  <si>
    <t>L60, OUTDOOR, 4FT, 16 W/FT,  RGB4, 110~277V, 55x60, SILVER</t>
  </si>
  <si>
    <t>L60-E-48-16-RGB4-MULT-55x90-S</t>
  </si>
  <si>
    <t>L60, OUTDOOR, 4FT, 16 W/FT,  RGB4, 110~277V, 55x90, SILVER</t>
  </si>
  <si>
    <t>L60-E-48-16-RGB4-MULT-20x20-Z</t>
  </si>
  <si>
    <t>L60, OUTDOOR, 4FT, 16 W/FT,  RGB4, 110~277V, 20x20, BRONZE</t>
  </si>
  <si>
    <t>L60-E-48-16-RGB4-MULT-20x40-Z</t>
  </si>
  <si>
    <t>L60, OUTDOOR, 4FT, 16 W/FT,  RGB4, 110~277V, 20x40, BRONZE</t>
  </si>
  <si>
    <t>L60-E-48-16-RGB4-MULT-20x70-Z</t>
  </si>
  <si>
    <t>L60, OUTDOOR, 4FT, 16 W/FT,  RGB4, 110~277V, 20x70, BRONZE</t>
  </si>
  <si>
    <t>L60-E-48-16-RGB4-MULT-30x30-Z</t>
  </si>
  <si>
    <t>L60, OUTDOOR, 4FT, 16 W/FT,  RGB4, 110~277V, 30x30, BRONZE</t>
  </si>
  <si>
    <t>L60-E-48-16-RGB4-MULT-30x45-Z</t>
  </si>
  <si>
    <t>L60, OUTDOOR, 4FT, 16 W/FT,  RGB4, 110~277V, 30x45, BRONZE</t>
  </si>
  <si>
    <t>L60-E-48-16-RGB4-MULT-30x75-Z</t>
  </si>
  <si>
    <t>L60, OUTDOOR, 4FT, 16 W/FT,  RGB4, 110~277V, 30x75, BRONZE</t>
  </si>
  <si>
    <t>L60-E-48-16-RGB4-MULT-55x55-Z</t>
  </si>
  <si>
    <t>L60, OUTDOOR, 4FT, 16 W/FT,  RGB4, 110~277V, 55x55, BRONZE</t>
  </si>
  <si>
    <t>L60-E-48-16-RGB4-MULT-55x60-Z</t>
  </si>
  <si>
    <t>L60, OUTDOOR, 4FT, 16 W/FT,  RGB4, 110~277V, 55x60, BRONZE</t>
  </si>
  <si>
    <t>L60-E-48-16-RGB4-MULT-55x90-Z</t>
  </si>
  <si>
    <t>L60, OUTDOOR, 4FT, 16 W/FT,  RGB4, 110~277V, 55x90, BRONZE</t>
  </si>
  <si>
    <t>L60-E-48-16-RGB4-MULT-20x20-C</t>
  </si>
  <si>
    <t>L60, OUTDOOR, 4FT, 16 W/FT,  RGB4, 110~277V, 20x20, CUSTOM</t>
  </si>
  <si>
    <t>L60-E-48-16-RGB4-MULT-20x40-C</t>
  </si>
  <si>
    <t>L60, OUTDOOR, 4FT, 16 W/FT,  RGB4, 110~277V, 20x40, CUSTOM</t>
  </si>
  <si>
    <t>L60-E-48-16-RGB4-MULT-20x70-C</t>
  </si>
  <si>
    <t>L60, OUTDOOR, 4FT, 16 W/FT,  RGB4, 110~277V, 20x70, CUSTOM</t>
  </si>
  <si>
    <t>L60-E-48-16-RGB4-MULT-30x30-C</t>
  </si>
  <si>
    <t>L60, OUTDOOR, 4FT, 16 W/FT,  RGB4, 110~277V, 30x30, CUSTOM</t>
  </si>
  <si>
    <t>L60-E-48-16-RGB4-MULT-30x45-C</t>
  </si>
  <si>
    <t>L60, OUTDOOR, 4FT, 16 W/FT,  RGB4, 110~277V, 30x45, CUSTOM</t>
  </si>
  <si>
    <t>L60-E-48-16-RGB4-MULT-30x75-C</t>
  </si>
  <si>
    <t>L60, OUTDOOR, 4FT, 16 W/FT,  RGB4, 110~277V, 30x75, CUSTOM</t>
  </si>
  <si>
    <t>L60-E-48-16-RGB4-MULT-55x55-C</t>
  </si>
  <si>
    <t>L60, OUTDOOR, 4FT, 16 W/FT,  RGB4, 110~277V, 55x55, CUSTOM</t>
  </si>
  <si>
    <t>L60-E-48-16-RGB4-MULT-55x60-C</t>
  </si>
  <si>
    <t>L60, OUTDOOR, 4FT, 16 W/FT,  RGB4, 110~277V, 55x60, CUSTOM</t>
  </si>
  <si>
    <t>L60-E-48-16-RGB4-MULT-55x90-C</t>
  </si>
  <si>
    <t>L60, OUTDOOR, 4FT, 16 W/FT,  RGB4, 110~277V, 55x90, CUSTOM</t>
  </si>
  <si>
    <t>L60-E-12-12-RGB4-MULT-15x15-K</t>
  </si>
  <si>
    <t>L60, OUTDOOR, 1FT, 12 W/FT,  RGB4, 110~277V, 15x15, BLACK</t>
  </si>
  <si>
    <t>L60-E-12-12-RGB4-MULT-15x15-W</t>
  </si>
  <si>
    <t>L60, OUTDOOR, 1FT, 12 W/FT,  RGB4, 110~277V, 15x15, WHITE</t>
  </si>
  <si>
    <t>L60-E-12-12-RGB4-MULT-15x15-S</t>
  </si>
  <si>
    <t>L60, OUTDOOR, 1FT, 12 W/FT,  RGB4, 110~277V, 15x15, SILVER</t>
  </si>
  <si>
    <t>L60-E-12-12-RGB4-MULT-15x15-Z</t>
  </si>
  <si>
    <t>L60, OUTDOOR, 1FT, 12 W/FT,  RGB4, 110~277V, 15x15, BRONZE</t>
  </si>
  <si>
    <t>L60-E-12-12-RGB4-MULT-15x15-C</t>
  </si>
  <si>
    <t>L60, OUTDOOR, 1FT, 12 W/FT,  RGB4, 110~277V, 15x15, CUSTOM</t>
  </si>
  <si>
    <t>L60-E-12-12-RGB4-MULT-ASYM-K</t>
  </si>
  <si>
    <t>L60, OUTDOOR, 1FT, 12 W/FT,  RGB4, 110~277V, ASYM, BLACK</t>
  </si>
  <si>
    <t>L60-E-12-12-RGB4-MULT-ASYM-W</t>
  </si>
  <si>
    <t>L60, OUTDOOR, 1FT, 12 W/FT,  RGB4, 110~277V, ASYM, WHITE</t>
  </si>
  <si>
    <t>L60-E-12-12-RGB4-MULT-ASYM-S</t>
  </si>
  <si>
    <t>L60, OUTDOOR, 1FT, 12 W/FT,  RGB4, 110~277V, ASYM, SILVER</t>
  </si>
  <si>
    <t>L60-E-12-12-RGB4-MULT-ASYM-Z</t>
  </si>
  <si>
    <t>L60, OUTDOOR, 1FT, 12 W/FT,  RGB4, 110~277V, ASYM, BRONZE</t>
  </si>
  <si>
    <t>L60-E-12-12-RGB4-MULT-ASYM-C</t>
  </si>
  <si>
    <t>L60, OUTDOOR, 1FT, 12 W/FT,  RGB4, 110~277V, ASYM, CUSTOM</t>
  </si>
  <si>
    <t>L60-E-12-12-RGB4-MULT-20x20-K</t>
  </si>
  <si>
    <t>L60, OUTDOOR, 1FT, 12 W/FT,  RGB4, 110~277V, 20x20, BLACK</t>
  </si>
  <si>
    <t>L60-E-12-12-RGB4-MULT-20x40-K</t>
  </si>
  <si>
    <t>L60, OUTDOOR, 1FT, 12 W/FT,  RGB4, 110~277V, 20x40, BLACK</t>
  </si>
  <si>
    <t>L60-E-12-12-RGB4-MULT-20x70-K</t>
  </si>
  <si>
    <t>L60, OUTDOOR, 1FT, 12 W/FT,  RGB4, 110~277V, 20x70, BLACK</t>
  </si>
  <si>
    <t>L60-E-12-12-RGB4-MULT-30x30-K</t>
  </si>
  <si>
    <t>L60, OUTDOOR, 1FT, 12 W/FT,  RGB4, 110~277V, 30x30, BLACK</t>
  </si>
  <si>
    <t>L60-E-12-12-RGB4-MULT-30x45-K</t>
  </si>
  <si>
    <t>L60, OUTDOOR, 1FT, 12 W/FT,  RGB4, 110~277V, 30x45, BLACK</t>
  </si>
  <si>
    <t>L60-E-12-12-RGB4-MULT-30x75-K</t>
  </si>
  <si>
    <t>L60, OUTDOOR, 1FT, 12 W/FT,  RGB4, 110~277V, 30x75, BLACK</t>
  </si>
  <si>
    <t>L60-E-12-12-RGB4-MULT-55x55-K</t>
  </si>
  <si>
    <t>L60, OUTDOOR, 1FT, 12 W/FT,  RGB4, 110~277V, 55x55, BLACK</t>
  </si>
  <si>
    <t>L60-E-12-12-RGB4-MULT-55x60-K</t>
  </si>
  <si>
    <t>L60, OUTDOOR, 1FT, 12 W/FT,  RGB4, 110~277V, 55x60, BLACK</t>
  </si>
  <si>
    <t>L60-E-12-12-RGB4-MULT-55x90-K</t>
  </si>
  <si>
    <t>L60, OUTDOOR, 1FT, 12 W/FT,  RGB4, 110~277V, 55x90, BLACK</t>
  </si>
  <si>
    <t>L60-E-12-12-RGB4-MULT-20x20-W</t>
  </si>
  <si>
    <t>L60, OUTDOOR, 1FT, 12 W/FT,  RGB4, 110~277V, 20x20, WHITE</t>
  </si>
  <si>
    <t>L60-E-12-12-RGB4-MULT-20x40-W</t>
  </si>
  <si>
    <t>L60, OUTDOOR, 1FT, 12 W/FT,  RGB4, 110~277V, 20x40, WHITE</t>
  </si>
  <si>
    <t>L60-E-12-12-RGB4-MULT-20x70-W</t>
  </si>
  <si>
    <t>L60, OUTDOOR, 1FT, 12 W/FT,  RGB4, 110~277V, 20x70, WHITE</t>
  </si>
  <si>
    <t>L60-E-12-12-RGB4-MULT-30x30-W</t>
  </si>
  <si>
    <t>L60, OUTDOOR, 1FT, 12 W/FT,  RGB4, 110~277V, 30x30, WHITE</t>
  </si>
  <si>
    <t>L60-E-12-12-RGB4-MULT-30x45-W</t>
  </si>
  <si>
    <t>L60, OUTDOOR, 1FT, 12 W/FT,  RGB4, 110~277V, 30x45, WHITE</t>
  </si>
  <si>
    <t>L60-E-12-12-RGB4-MULT-30x75-W</t>
  </si>
  <si>
    <t>L60, OUTDOOR, 1FT, 12 W/FT,  RGB4, 110~277V, 30x75, WHITE</t>
  </si>
  <si>
    <t>L60-E-12-12-RGB4-MULT-55x55-W</t>
  </si>
  <si>
    <t>L60, OUTDOOR, 1FT, 12 W/FT,  RGB4, 110~277V, 55x55, WHITE</t>
  </si>
  <si>
    <t>L60-E-12-12-RGB4-MULT-55x60-W</t>
  </si>
  <si>
    <t>L60, OUTDOOR, 1FT, 12 W/FT,  RGB4, 110~277V, 55x60, WHITE</t>
  </si>
  <si>
    <t>L60-E-12-12-RGB4-MULT-55x90-W</t>
  </si>
  <si>
    <t>L60, OUTDOOR, 1FT, 12 W/FT,  RGB4, 110~277V, 55x90, WHITE</t>
  </si>
  <si>
    <t>L60-E-12-12-RGB4-MULT-20x20-S</t>
  </si>
  <si>
    <t>L60, OUTDOOR, 1FT, 12 W/FT,  RGB4, 110~277V, 20x20, SILVER</t>
  </si>
  <si>
    <t>L60-E-12-12-RGB4-MULT-20x40-S</t>
  </si>
  <si>
    <t>L60, OUTDOOR, 1FT, 12 W/FT,  RGB4, 110~277V, 20x40, SILVER</t>
  </si>
  <si>
    <t>L60-E-12-12-RGB4-MULT-20x70-S</t>
  </si>
  <si>
    <t>L60, OUTDOOR, 1FT, 12 W/FT,  RGB4, 110~277V, 20x70, SILVER</t>
  </si>
  <si>
    <t>L60-E-12-12-RGB4-MULT-30x30-S</t>
  </si>
  <si>
    <t>L60, OUTDOOR, 1FT, 12 W/FT,  RGB4, 110~277V, 30x30, SILVER</t>
  </si>
  <si>
    <t>L60-E-12-12-RGB4-MULT-30x45-S</t>
  </si>
  <si>
    <t>L60, OUTDOOR, 1FT, 12 W/FT,  RGB4, 110~277V, 30x45, SILVER</t>
  </si>
  <si>
    <t>L60-E-12-12-RGB4-MULT-30x75-S</t>
  </si>
  <si>
    <t>L60, OUTDOOR, 1FT, 12 W/FT,  RGB4, 110~277V, 30x75, SILVER</t>
  </si>
  <si>
    <t>L60-E-12-12-RGB4-MULT-55x55-S</t>
  </si>
  <si>
    <t>L60, OUTDOOR, 1FT, 12 W/FT,  RGB4, 110~277V, 55x55, SILVER</t>
  </si>
  <si>
    <t>L60-E-12-12-RGB4-MULT-55x60-S</t>
  </si>
  <si>
    <t>L60, OUTDOOR, 1FT, 12 W/FT,  RGB4, 110~277V, 55x60, SILVER</t>
  </si>
  <si>
    <t>L60-E-12-12-RGB4-MULT-55x90-S</t>
  </si>
  <si>
    <t>L60, OUTDOOR, 1FT, 12 W/FT,  RGB4, 110~277V, 55x90, SILVER</t>
  </si>
  <si>
    <t>L60-E-12-12-RGB4-MULT-20x20-Z</t>
  </si>
  <si>
    <t>L60, OUTDOOR, 1FT, 12 W/FT,  RGB4, 110~277V, 20x20, BRONZE</t>
  </si>
  <si>
    <t>L60-E-12-12-RGB4-MULT-20x40-Z</t>
  </si>
  <si>
    <t>L60, OUTDOOR, 1FT, 12 W/FT,  RGB4, 110~277V, 20x40, BRONZE</t>
  </si>
  <si>
    <t>L60-E-12-12-RGB4-MULT-20x70-Z</t>
  </si>
  <si>
    <t>L60, OUTDOOR, 1FT, 12 W/FT,  RGB4, 110~277V, 20x70, BRONZE</t>
  </si>
  <si>
    <t>L60-E-12-12-RGB4-MULT-30x30-Z</t>
  </si>
  <si>
    <t>L60, OUTDOOR, 1FT, 12 W/FT,  RGB4, 110~277V, 30x30, BRONZE</t>
  </si>
  <si>
    <t>L60-E-12-12-RGB4-MULT-30x45-Z</t>
  </si>
  <si>
    <t>L60, OUTDOOR, 1FT, 12 W/FT,  RGB4, 110~277V, 30x45, BRONZE</t>
  </si>
  <si>
    <t>L60-E-12-12-RGB4-MULT-30x75-Z</t>
  </si>
  <si>
    <t>L60, OUTDOOR, 1FT, 12 W/FT,  RGB4, 110~277V, 30x75, BRONZE</t>
  </si>
  <si>
    <t>L60-E-12-12-RGB4-MULT-55x55-Z</t>
  </si>
  <si>
    <t>L60, OUTDOOR, 1FT, 12 W/FT,  RGB4, 110~277V, 55x55, BRONZE</t>
  </si>
  <si>
    <t>L60-E-12-12-RGB4-MULT-55x60-Z</t>
  </si>
  <si>
    <t>L60, OUTDOOR, 1FT, 12 W/FT,  RGB4, 110~277V, 55x60, BRONZE</t>
  </si>
  <si>
    <t>L60-E-12-12-RGB4-MULT-55x90-Z</t>
  </si>
  <si>
    <t>L60, OUTDOOR, 1FT, 12 W/FT,  RGB4, 110~277V, 55x90, BRONZE</t>
  </si>
  <si>
    <t>L60-E-12-12-RGB4-MULT-20x20-C</t>
  </si>
  <si>
    <t>L60, OUTDOOR, 1FT, 12 W/FT,  RGB4, 110~277V, 20x20, CUSTOM</t>
  </si>
  <si>
    <t>L60-E-12-12-RGB4-MULT-20x40-C</t>
  </si>
  <si>
    <t>L60, OUTDOOR, 1FT, 12 W/FT,  RGB4, 110~277V, 20x40, CUSTOM</t>
  </si>
  <si>
    <t>L60-E-12-12-RGB4-MULT-20x70-C</t>
  </si>
  <si>
    <t>L60, OUTDOOR, 1FT, 12 W/FT,  RGB4, 110~277V, 20x70, CUSTOM</t>
  </si>
  <si>
    <t>L60-E-12-12-RGB4-MULT-30x30-C</t>
  </si>
  <si>
    <t>L60, OUTDOOR, 1FT, 12 W/FT,  RGB4, 110~277V, 30x30, CUSTOM</t>
  </si>
  <si>
    <t>L60-E-12-12-RGB4-MULT-30x45-C</t>
  </si>
  <si>
    <t>L60, OUTDOOR, 1FT, 12 W/FT,  RGB4, 110~277V, 30x45, CUSTOM</t>
  </si>
  <si>
    <t>L60-E-12-12-RGB4-MULT-30x75-C</t>
  </si>
  <si>
    <t>L60, OUTDOOR, 1FT, 12 W/FT,  RGB4, 110~277V, 30x75, CUSTOM</t>
  </si>
  <si>
    <t>L60-E-12-12-RGB4-MULT-55x55-C</t>
  </si>
  <si>
    <t>L60, OUTDOOR, 1FT, 12 W/FT,  RGB4, 110~277V, 55x55, CUSTOM</t>
  </si>
  <si>
    <t>L60-E-12-12-RGB4-MULT-55x60-C</t>
  </si>
  <si>
    <t>L60, OUTDOOR, 1FT, 12 W/FT,  RGB4, 110~277V, 55x60, CUSTOM</t>
  </si>
  <si>
    <t>L60-E-12-12-RGB4-MULT-55x90-C</t>
  </si>
  <si>
    <t>L60, OUTDOOR, 1FT, 12 W/FT,  RGB4, 110~277V, 55x90, CUSTOM</t>
  </si>
  <si>
    <t>L60-E-12-14-RGB4-MULT-15x15-K</t>
  </si>
  <si>
    <t>L60, OUTDOOR, 1FT, 14 W/FT,  RGB4, 110~277V, 15x15, BLACK</t>
  </si>
  <si>
    <t>L60-E-12-14-RGB4-MULT-15x15-W</t>
  </si>
  <si>
    <t>L60, OUTDOOR, 1FT, 14 W/FT,  RGB4, 110~277V, 15x15, WHITE</t>
  </si>
  <si>
    <t>L60-E-12-14-RGB4-MULT-15x15-S</t>
  </si>
  <si>
    <t>L60, OUTDOOR, 1FT, 14 W/FT,  RGB4, 110~277V, 15x15, SILVER</t>
  </si>
  <si>
    <t>L60-E-12-14-RGB4-MULT-15x15-Z</t>
  </si>
  <si>
    <t>L60, OUTDOOR, 1FT, 14 W/FT,  RGB4, 110~277V, 15x15, BRONZE</t>
  </si>
  <si>
    <t>L60-E-12-14-RGB4-MULT-15x15-C</t>
  </si>
  <si>
    <t>L60, OUTDOOR, 1FT, 14 W/FT,  RGB4, 110~277V, 15x15, CUSTOM</t>
  </si>
  <si>
    <t>L60-E-12-14-RGB4-MULT-ASYM-K</t>
  </si>
  <si>
    <t>L60, OUTDOOR, 1FT, 14 W/FT,  RGB4, 110~277V, ASYM, BLACK</t>
  </si>
  <si>
    <t>L60-E-12-14-RGB4-MULT-ASYM-W</t>
  </si>
  <si>
    <t>L60, OUTDOOR, 1FT, 14 W/FT,  RGB4, 110~277V, ASYM, WHITE</t>
  </si>
  <si>
    <t>L60-E-12-14-RGB4-MULT-ASYM-S</t>
  </si>
  <si>
    <t>L60, OUTDOOR, 1FT, 14 W/FT,  RGB4, 110~277V, ASYM, SILVER</t>
  </si>
  <si>
    <t>L60-E-12-14-RGB4-MULT-ASYM-Z</t>
  </si>
  <si>
    <t>L60, OUTDOOR, 1FT, 14 W/FT,  RGB4, 110~277V, ASYM, BRONZE</t>
  </si>
  <si>
    <t>L60-E-12-14-RGB4-MULT-ASYM-C</t>
  </si>
  <si>
    <t>L60, OUTDOOR, 1FT, 14 W/FT,  RGB4, 110~277V, ASYM, CUSTOM</t>
  </si>
  <si>
    <t>L60-E-12-14-RGB4-MULT-20x20-K</t>
  </si>
  <si>
    <t>L60, OUTDOOR, 1FT, 14 W/FT,  RGB4, 110~277V, 20x20, BLACK</t>
  </si>
  <si>
    <t>L60-E-12-14-RGB4-MULT-20x40-K</t>
  </si>
  <si>
    <t>L60, OUTDOOR, 1FT, 14 W/FT,  RGB4, 110~277V, 20x40, BLACK</t>
  </si>
  <si>
    <t>L60-E-12-14-RGB4-MULT-20x70-K</t>
  </si>
  <si>
    <t>L60, OUTDOOR, 1FT, 14 W/FT,  RGB4, 110~277V, 20x70, BLACK</t>
  </si>
  <si>
    <t>L60-E-12-14-RGB4-MULT-30x30-K</t>
  </si>
  <si>
    <t>L60, OUTDOOR, 1FT, 14 W/FT,  RGB4, 110~277V, 30x30, BLACK</t>
  </si>
  <si>
    <t>L60-E-12-14-RGB4-MULT-30x45-K</t>
  </si>
  <si>
    <t>L60, OUTDOOR, 1FT, 14 W/FT,  RGB4, 110~277V, 30x45, BLACK</t>
  </si>
  <si>
    <t>L60-E-12-14-RGB4-MULT-30x75-K</t>
  </si>
  <si>
    <t>L60, OUTDOOR, 1FT, 14 W/FT,  RGB4, 110~277V, 30x75, BLACK</t>
  </si>
  <si>
    <t>L60-E-12-14-RGB4-MULT-55x55-K</t>
  </si>
  <si>
    <t>L60, OUTDOOR, 1FT, 14 W/FT,  RGB4, 110~277V, 55x55, BLACK</t>
  </si>
  <si>
    <t>L60-E-12-14-RGB4-MULT-55x60-K</t>
  </si>
  <si>
    <t>L60, OUTDOOR, 1FT, 14 W/FT,  RGB4, 110~277V, 55x60, BLACK</t>
  </si>
  <si>
    <t>L60-E-12-14-RGB4-MULT-55x90-K</t>
  </si>
  <si>
    <t>L60, OUTDOOR, 1FT, 14 W/FT,  RGB4, 110~277V, 55x90, BLACK</t>
  </si>
  <si>
    <t>L60-E-12-14-RGB4-MULT-20x20-W</t>
  </si>
  <si>
    <t>L60, OUTDOOR, 1FT, 14 W/FT,  RGB4, 110~277V, 20x20, WHITE</t>
  </si>
  <si>
    <t>L60-E-12-14-RGB4-MULT-20x40-W</t>
  </si>
  <si>
    <t>L60, OUTDOOR, 1FT, 14 W/FT,  RGB4, 110~277V, 20x40, WHITE</t>
  </si>
  <si>
    <t>L60-E-12-14-RGB4-MULT-20x70-W</t>
  </si>
  <si>
    <t>L60, OUTDOOR, 1FT, 14 W/FT,  RGB4, 110~277V, 20x70, WHITE</t>
  </si>
  <si>
    <t>L60-E-12-14-RGB4-MULT-30x30-W</t>
  </si>
  <si>
    <t>L60, OUTDOOR, 1FT, 14 W/FT,  RGB4, 110~277V, 30x30, WHITE</t>
  </si>
  <si>
    <t>L60-E-12-14-RGB4-MULT-30x45-W</t>
  </si>
  <si>
    <t>L60, OUTDOOR, 1FT, 14 W/FT,  RGB4, 110~277V, 30x45, WHITE</t>
  </si>
  <si>
    <t>L60-E-12-14-RGB4-MULT-30x75-W</t>
  </si>
  <si>
    <t>L60, OUTDOOR, 1FT, 14 W/FT,  RGB4, 110~277V, 30x75, WHITE</t>
  </si>
  <si>
    <t>L60-E-12-14-RGB4-MULT-55x55-W</t>
  </si>
  <si>
    <t>L60, OUTDOOR, 1FT, 14 W/FT,  RGB4, 110~277V, 55x55, WHITE</t>
  </si>
  <si>
    <t>L60-E-12-14-RGB4-MULT-55x60-W</t>
  </si>
  <si>
    <t>L60, OUTDOOR, 1FT, 14 W/FT,  RGB4, 110~277V, 55x60, WHITE</t>
  </si>
  <si>
    <t>L60-E-12-14-RGB4-MULT-55x90-W</t>
  </si>
  <si>
    <t>L60, OUTDOOR, 1FT, 14 W/FT,  RGB4, 110~277V, 55x90, WHITE</t>
  </si>
  <si>
    <t>L60-E-12-14-RGB4-MULT-20x20-S</t>
  </si>
  <si>
    <t>L60, OUTDOOR, 1FT, 14 W/FT,  RGB4, 110~277V, 20x20, SILVER</t>
  </si>
  <si>
    <t>L60-E-12-14-RGB4-MULT-20x40-S</t>
  </si>
  <si>
    <t>L60, OUTDOOR, 1FT, 14 W/FT,  RGB4, 110~277V, 20x40, SILVER</t>
  </si>
  <si>
    <t>L60-E-12-14-RGB4-MULT-20x70-S</t>
  </si>
  <si>
    <t>L60, OUTDOOR, 1FT, 14 W/FT,  RGB4, 110~277V, 20x70, SILVER</t>
  </si>
  <si>
    <t>L60-E-12-14-RGB4-MULT-30x30-S</t>
  </si>
  <si>
    <t>L60, OUTDOOR, 1FT, 14 W/FT,  RGB4, 110~277V, 30x30, SILVER</t>
  </si>
  <si>
    <t>L60-E-12-14-RGB4-MULT-30x45-S</t>
  </si>
  <si>
    <t>L60, OUTDOOR, 1FT, 14 W/FT,  RGB4, 110~277V, 30x45, SILVER</t>
  </si>
  <si>
    <t>L60-E-12-14-RGB4-MULT-30x75-S</t>
  </si>
  <si>
    <t>L60, OUTDOOR, 1FT, 14 W/FT,  RGB4, 110~277V, 30x75, SILVER</t>
  </si>
  <si>
    <t>L60-E-12-14-RGB4-MULT-55x55-S</t>
  </si>
  <si>
    <t>L60, OUTDOOR, 1FT, 14 W/FT,  RGB4, 110~277V, 55x55, SILVER</t>
  </si>
  <si>
    <t>L60-E-12-14-RGB4-MULT-55x60-S</t>
  </si>
  <si>
    <t>L60, OUTDOOR, 1FT, 14 W/FT,  RGB4, 110~277V, 55x60, SILVER</t>
  </si>
  <si>
    <t>L60-E-12-14-RGB4-MULT-55x90-S</t>
  </si>
  <si>
    <t>L60, OUTDOOR, 1FT, 14 W/FT,  RGB4, 110~277V, 55x90, SILVER</t>
  </si>
  <si>
    <t>L60-E-12-14-RGB4-MULT-20x20-Z</t>
  </si>
  <si>
    <t>L60, OUTDOOR, 1FT, 14 W/FT,  RGB4, 110~277V, 20x20, BRONZE</t>
  </si>
  <si>
    <t>L60-E-12-14-RGB4-MULT-20x40-Z</t>
  </si>
  <si>
    <t>L60, OUTDOOR, 1FT, 14 W/FT,  RGB4, 110~277V, 20x40, BRONZE</t>
  </si>
  <si>
    <t>L60-E-12-14-RGB4-MULT-20x70-Z</t>
  </si>
  <si>
    <t>L60, OUTDOOR, 1FT, 14 W/FT,  RGB4, 110~277V, 20x70, BRONZE</t>
  </si>
  <si>
    <t>L60-E-12-14-RGB4-MULT-30x30-Z</t>
  </si>
  <si>
    <t>L60, OUTDOOR, 1FT, 14 W/FT,  RGB4, 110~277V, 30x30, BRONZE</t>
  </si>
  <si>
    <t>L60-E-12-14-RGB4-MULT-30x45-Z</t>
  </si>
  <si>
    <t>L60, OUTDOOR, 1FT, 14 W/FT,  RGB4, 110~277V, 30x45, BRONZE</t>
  </si>
  <si>
    <t>L60-E-12-14-RGB4-MULT-30x75-Z</t>
  </si>
  <si>
    <t>L60, OUTDOOR, 1FT, 14 W/FT,  RGB4, 110~277V, 30x75, BRONZE</t>
  </si>
  <si>
    <t>L60-E-12-14-RGB4-MULT-55x55-Z</t>
  </si>
  <si>
    <t>L60, OUTDOOR, 1FT, 14 W/FT,  RGB4, 110~277V, 55x55, BRONZE</t>
  </si>
  <si>
    <t>L60-E-12-14-RGB4-MULT-55x60-Z</t>
  </si>
  <si>
    <t>L60, OUTDOOR, 1FT, 14 W/FT,  RGB4, 110~277V, 55x60, BRONZE</t>
  </si>
  <si>
    <t>L60-E-12-14-RGB4-MULT-55x90-Z</t>
  </si>
  <si>
    <t>L60, OUTDOOR, 1FT, 14 W/FT,  RGB4, 110~277V, 55x90, BRONZE</t>
  </si>
  <si>
    <t>L60-E-12-14-RGB4-MULT-20x20-C</t>
  </si>
  <si>
    <t>L60, OUTDOOR, 1FT, 14 W/FT,  RGB4, 110~277V, 20x20, CUSTOM</t>
  </si>
  <si>
    <t>L60-E-12-14-RGB4-MULT-20x40-C</t>
  </si>
  <si>
    <t>L60, OUTDOOR, 1FT, 14 W/FT,  RGB4, 110~277V, 20x40, CUSTOM</t>
  </si>
  <si>
    <t>L60-E-12-14-RGB4-MULT-20x70-C</t>
  </si>
  <si>
    <t>L60, OUTDOOR, 1FT, 14 W/FT,  RGB4, 110~277V, 20x70, CUSTOM</t>
  </si>
  <si>
    <t>L60-E-12-14-RGB4-MULT-30x30-C</t>
  </si>
  <si>
    <t>L60, OUTDOOR, 1FT, 14 W/FT,  RGB4, 110~277V, 30x30, CUSTOM</t>
  </si>
  <si>
    <t>L60-E-12-14-RGB4-MULT-30x45-C</t>
  </si>
  <si>
    <t>L60, OUTDOOR, 1FT, 14 W/FT,  RGB4, 110~277V, 30x45, CUSTOM</t>
  </si>
  <si>
    <t>L60-E-12-14-RGB4-MULT-30x75-C</t>
  </si>
  <si>
    <t>L60, OUTDOOR, 1FT, 14 W/FT,  RGB4, 110~277V, 30x75, CUSTOM</t>
  </si>
  <si>
    <t>L60-E-12-14-RGB4-MULT-55x55-C</t>
  </si>
  <si>
    <t>L60, OUTDOOR, 1FT, 14 W/FT,  RGB4, 110~277V, 55x55, CUSTOM</t>
  </si>
  <si>
    <t>L60-E-12-14-RGB4-MULT-55x60-C</t>
  </si>
  <si>
    <t>L60, OUTDOOR, 1FT, 14 W/FT,  RGB4, 110~277V, 55x60, CUSTOM</t>
  </si>
  <si>
    <t>L60-E-12-14-RGB4-MULT-55x90-C</t>
  </si>
  <si>
    <t>L60, OUTDOOR, 1FT, 14 W/FT,  RGB4, 110~277V, 55x90, CUSTOM</t>
  </si>
  <si>
    <t>L60-E-12-16-RGB4-MULT-15x15-K</t>
  </si>
  <si>
    <t>L60, OUTDOOR, 1FT, 16 W/FT,  RGB4, 110~277V, 15x15, BLACK</t>
  </si>
  <si>
    <t>L60-E-12-16-RGB4-MULT-15x15-W</t>
  </si>
  <si>
    <t>L60, OUTDOOR, 1FT, 16 W/FT,  RGB4, 110~277V, 15x15, WHITE</t>
  </si>
  <si>
    <t>L60-E-12-16-RGB4-MULT-15x15-S</t>
  </si>
  <si>
    <t>L60, OUTDOOR, 1FT, 16 W/FT,  RGB4, 110~277V, 15x15, SILVER</t>
  </si>
  <si>
    <t>L60-E-12-16-RGB4-MULT-15x15-Z</t>
  </si>
  <si>
    <t>L60, OUTDOOR, 1FT, 16 W/FT,  RGB4, 110~277V, 15x15, BRONZE</t>
  </si>
  <si>
    <t>L60-E-12-16-RGB4-MULT-15x15-C</t>
  </si>
  <si>
    <t>L60, OUTDOOR, 1FT, 16 W/FT,  RGB4, 110~277V, 15x15, CUSTOM</t>
  </si>
  <si>
    <t>L60-E-12-16-RGB4-MULT-ASYM-K</t>
  </si>
  <si>
    <t>L60, OUTDOOR, 1FT, 16 W/FT,  RGB4, 110~277V, ASYM, BLACK</t>
  </si>
  <si>
    <t>L60-E-12-16-RGB4-MULT-ASYM-W</t>
  </si>
  <si>
    <t>L60, OUTDOOR, 1FT, 16 W/FT,  RGB4, 110~277V, ASYM, WHITE</t>
  </si>
  <si>
    <t>L60-E-12-16-RGB4-MULT-ASYM-S</t>
  </si>
  <si>
    <t>L60, OUTDOOR, 1FT, 16 W/FT,  RGB4, 110~277V, ASYM, SILVER</t>
  </si>
  <si>
    <t>L60-E-12-16-RGB4-MULT-ASYM-Z</t>
  </si>
  <si>
    <t>L60, OUTDOOR, 1FT, 16 W/FT,  RGB4, 110~277V, ASYM, BRONZE</t>
  </si>
  <si>
    <t>L60-E-12-16-RGB4-MULT-ASYM-C</t>
  </si>
  <si>
    <t>L60, OUTDOOR, 1FT, 16 W/FT,  RGB4, 110~277V, ASYM, CUSTOM</t>
  </si>
  <si>
    <t>L60-E-12-16-RGB4-MULT-20x20-K</t>
  </si>
  <si>
    <t>L60, OUTDOOR, 1FT, 16 W/FT,  RGB4, 110~277V, 20x20, BLACK</t>
  </si>
  <si>
    <t>L60-E-12-16-RGB4-MULT-20x40-K</t>
  </si>
  <si>
    <t>L60, OUTDOOR, 1FT, 16 W/FT,  RGB4, 110~277V, 20x40, BLACK</t>
  </si>
  <si>
    <t>L60-E-12-16-RGB4-MULT-20x70-K</t>
  </si>
  <si>
    <t>L60, OUTDOOR, 1FT, 16 W/FT,  RGB4, 110~277V, 20x70, BLACK</t>
  </si>
  <si>
    <t>L60-E-12-16-RGB4-MULT-30x30-K</t>
  </si>
  <si>
    <t>L60, OUTDOOR, 1FT, 16 W/FT,  RGB4, 110~277V, 30x30, BLACK</t>
  </si>
  <si>
    <t>L60-E-12-16-RGB4-MULT-30x45-K</t>
  </si>
  <si>
    <t>L60, OUTDOOR, 1FT, 16 W/FT,  RGB4, 110~277V, 30x45, BLACK</t>
  </si>
  <si>
    <t>L60-E-12-16-RGB4-MULT-30x75-K</t>
  </si>
  <si>
    <t>L60, OUTDOOR, 1FT, 16 W/FT,  RGB4, 110~277V, 30x75, BLACK</t>
  </si>
  <si>
    <t>L60-E-12-16-RGB4-MULT-55x55-K</t>
  </si>
  <si>
    <t>L60, OUTDOOR, 1FT, 16 W/FT,  RGB4, 110~277V, 55x55, BLACK</t>
  </si>
  <si>
    <t>L60-E-12-16-RGB4-MULT-55x60-K</t>
  </si>
  <si>
    <t>L60, OUTDOOR, 1FT, 16 W/FT,  RGB4, 110~277V, 55x60, BLACK</t>
  </si>
  <si>
    <t>L60-E-12-16-RGB4-MULT-55x90-K</t>
  </si>
  <si>
    <t>L60, OUTDOOR, 1FT, 16 W/FT,  RGB4, 110~277V, 55x90, BLACK</t>
  </si>
  <si>
    <t>L60-E-12-16-RGB4-MULT-20x20-W</t>
  </si>
  <si>
    <t>L60, OUTDOOR, 1FT, 16 W/FT,  RGB4, 110~277V, 20x20, WHITE</t>
  </si>
  <si>
    <t>L60-E-12-16-RGB4-MULT-20x40-W</t>
  </si>
  <si>
    <t>L60, OUTDOOR, 1FT, 16 W/FT,  RGB4, 110~277V, 20x40, WHITE</t>
  </si>
  <si>
    <t>L60-E-12-16-RGB4-MULT-20x70-W</t>
  </si>
  <si>
    <t>L60, OUTDOOR, 1FT, 16 W/FT,  RGB4, 110~277V, 20x70, WHITE</t>
  </si>
  <si>
    <t>L60-E-12-16-RGB4-MULT-30x30-W</t>
  </si>
  <si>
    <t>L60, OUTDOOR, 1FT, 16 W/FT,  RGB4, 110~277V, 30x30, WHITE</t>
  </si>
  <si>
    <t>L60-E-12-16-RGB4-MULT-30x45-W</t>
  </si>
  <si>
    <t>L60, OUTDOOR, 1FT, 16 W/FT,  RGB4, 110~277V, 30x45, WHITE</t>
  </si>
  <si>
    <t>L60-E-12-16-RGB4-MULT-30x75-W</t>
  </si>
  <si>
    <t>L60, OUTDOOR, 1FT, 16 W/FT,  RGB4, 110~277V, 30x75, WHITE</t>
  </si>
  <si>
    <t>L60-E-12-16-RGB4-MULT-55x55-W</t>
  </si>
  <si>
    <t>L60, OUTDOOR, 1FT, 16 W/FT,  RGB4, 110~277V, 55x55, WHITE</t>
  </si>
  <si>
    <t>L60-E-12-16-RGB4-MULT-55x60-W</t>
  </si>
  <si>
    <t>L60, OUTDOOR, 1FT, 16 W/FT,  RGB4, 110~277V, 55x60, WHITE</t>
  </si>
  <si>
    <t>L60-E-12-16-RGB4-MULT-55x90-W</t>
  </si>
  <si>
    <t>L60, OUTDOOR, 1FT, 16 W/FT,  RGB4, 110~277V, 55x90, WHITE</t>
  </si>
  <si>
    <t>L60-E-12-16-RGB4-MULT-20x20-S</t>
  </si>
  <si>
    <t>L60, OUTDOOR, 1FT, 16 W/FT,  RGB4, 110~277V, 20x20, SILVER</t>
  </si>
  <si>
    <t>L60-E-12-16-RGB4-MULT-20x40-S</t>
  </si>
  <si>
    <t>L60, OUTDOOR, 1FT, 16 W/FT,  RGB4, 110~277V, 20x40, SILVER</t>
  </si>
  <si>
    <t>L60-E-12-16-RGB4-MULT-20x70-S</t>
  </si>
  <si>
    <t>L60, OUTDOOR, 1FT, 16 W/FT,  RGB4, 110~277V, 20x70, SILVER</t>
  </si>
  <si>
    <t>L60-E-12-16-RGB4-MULT-30x30-S</t>
  </si>
  <si>
    <t>L60, OUTDOOR, 1FT, 16 W/FT,  RGB4, 110~277V, 30x30, SILVER</t>
  </si>
  <si>
    <t>L60-E-12-16-RGB4-MULT-30x45-S</t>
  </si>
  <si>
    <t>L60, OUTDOOR, 1FT, 16 W/FT,  RGB4, 110~277V, 30x45, SILVER</t>
  </si>
  <si>
    <t>L60-E-12-16-RGB4-MULT-30x75-S</t>
  </si>
  <si>
    <t>L60, OUTDOOR, 1FT, 16 W/FT,  RGB4, 110~277V, 30x75, SILVER</t>
  </si>
  <si>
    <t>L60-E-12-16-RGB4-MULT-55x55-S</t>
  </si>
  <si>
    <t>L60, OUTDOOR, 1FT, 16 W/FT,  RGB4, 110~277V, 55x55, SILVER</t>
  </si>
  <si>
    <t>L60-E-12-16-RGB4-MULT-55x60-S</t>
  </si>
  <si>
    <t>L60, OUTDOOR, 1FT, 16 W/FT,  RGB4, 110~277V, 55x60, SILVER</t>
  </si>
  <si>
    <t>L60-E-12-16-RGB4-MULT-55x90-S</t>
  </si>
  <si>
    <t>L60, OUTDOOR, 1FT, 16 W/FT,  RGB4, 110~277V, 55x90, SILVER</t>
  </si>
  <si>
    <t>L60-E-12-16-RGB4-MULT-20x20-Z</t>
  </si>
  <si>
    <t>L60, OUTDOOR, 1FT, 16 W/FT,  RGB4, 110~277V, 20x20, BRONZE</t>
  </si>
  <si>
    <t>L60-E-12-16-RGB4-MULT-20x40-Z</t>
  </si>
  <si>
    <t>L60, OUTDOOR, 1FT, 16 W/FT,  RGB4, 110~277V, 20x40, BRONZE</t>
  </si>
  <si>
    <t>L60-E-12-16-RGB4-MULT-20x70-Z</t>
  </si>
  <si>
    <t>L60, OUTDOOR, 1FT, 16 W/FT,  RGB4, 110~277V, 20x70, BRONZE</t>
  </si>
  <si>
    <t>L60-E-12-16-RGB4-MULT-30x30-Z</t>
  </si>
  <si>
    <t>L60, OUTDOOR, 1FT, 16 W/FT,  RGB4, 110~277V, 30x30, BRONZE</t>
  </si>
  <si>
    <t>L60-E-12-16-RGB4-MULT-30x45-Z</t>
  </si>
  <si>
    <t>L60, OUTDOOR, 1FT, 16 W/FT,  RGB4, 110~277V, 30x45, BRONZE</t>
  </si>
  <si>
    <t>L60-E-12-16-RGB4-MULT-30x75-Z</t>
  </si>
  <si>
    <t>L60, OUTDOOR, 1FT, 16 W/FT,  RGB4, 110~277V, 30x75, BRONZE</t>
  </si>
  <si>
    <t>L60-E-12-16-RGB4-MULT-55x55-Z</t>
  </si>
  <si>
    <t>L60, OUTDOOR, 1FT, 16 W/FT,  RGB4, 110~277V, 55x55, BRONZE</t>
  </si>
  <si>
    <t>L60-E-12-16-RGB4-MULT-55x60-Z</t>
  </si>
  <si>
    <t>L60, OUTDOOR, 1FT, 16 W/FT,  RGB4, 110~277V, 55x60, BRONZE</t>
  </si>
  <si>
    <t>L60-E-12-16-RGB4-MULT-55x90-Z</t>
  </si>
  <si>
    <t>L60, OUTDOOR, 1FT, 16 W/FT,  RGB4, 110~277V, 55x90, BRONZE</t>
  </si>
  <si>
    <t>L60-E-12-16-RGB4-MULT-20x20-C</t>
  </si>
  <si>
    <t>L60, OUTDOOR, 1FT, 16 W/FT,  RGB4, 110~277V, 20x20, CUSTOM</t>
  </si>
  <si>
    <t>L60-E-12-16-RGB4-MULT-20x40-C</t>
  </si>
  <si>
    <t>L60, OUTDOOR, 1FT, 16 W/FT,  RGB4, 110~277V, 20x40, CUSTOM</t>
  </si>
  <si>
    <t>L60-E-12-16-RGB4-MULT-20x70-C</t>
  </si>
  <si>
    <t>L60, OUTDOOR, 1FT, 16 W/FT,  RGB4, 110~277V, 20x70, CUSTOM</t>
  </si>
  <si>
    <t>L60-E-12-16-RGB4-MULT-30x30-C</t>
  </si>
  <si>
    <t>L60, OUTDOOR, 1FT, 16 W/FT,  RGB4, 110~277V, 30x30, CUSTOM</t>
  </si>
  <si>
    <t>L60-E-12-16-RGB4-MULT-30x45-C</t>
  </si>
  <si>
    <t>L60, OUTDOOR, 1FT, 16 W/FT,  RGB4, 110~277V, 30x45, CUSTOM</t>
  </si>
  <si>
    <t>L60-E-12-16-RGB4-MULT-30x75-C</t>
  </si>
  <si>
    <t>L60, OUTDOOR, 1FT, 16 W/FT,  RGB4, 110~277V, 30x75, CUSTOM</t>
  </si>
  <si>
    <t>L60-E-12-16-RGB4-MULT-55x55-C</t>
  </si>
  <si>
    <t>L60, OUTDOOR, 1FT, 16 W/FT,  RGB4, 110~277V, 55x55, CUSTOM</t>
  </si>
  <si>
    <t>L60-E-12-16-RGB4-MULT-55x60-C</t>
  </si>
  <si>
    <t>L60, OUTDOOR, 1FT, 16 W/FT,  RGB4, 110~277V, 55x60, CUSTOM</t>
  </si>
  <si>
    <t>L60-E-12-16-RGB4-MULT-55x90-C</t>
  </si>
  <si>
    <t>L60, OUTDOOR, 1FT, 16 W/FT,  RGB4, 110~277V, 55x90, CUSTOM</t>
  </si>
  <si>
    <t>L60-I-48-12-RGB4-MULT-15x15-K</t>
  </si>
  <si>
    <t>L60, INDOOR, 4FT, 12 W/FT,  RGB4, 110~277V, 15x15, BLACK</t>
  </si>
  <si>
    <t>L60-I-48-12-RGB4-MULT-15x15-W</t>
  </si>
  <si>
    <t>L60, INDOOR, 4FT, 12 W/FT,  RGB4, 110~277V, 15x15, WHITE</t>
  </si>
  <si>
    <t>L60-I-48-12-RGB4-MULT-15x15-S</t>
  </si>
  <si>
    <t>L60, INDOOR, 4FT, 12 W/FT,  RGB4, 110~277V, 15x15, SILVER</t>
  </si>
  <si>
    <t>L60-I-48-12-RGB4-MULT-15x15-Z</t>
  </si>
  <si>
    <t>L60, INDOOR, 4FT, 12 W/FT,  RGB4, 110~277V, 15x15, BRONZE</t>
  </si>
  <si>
    <t>L60-I-48-12-RGB4-MULT-15x15-C</t>
  </si>
  <si>
    <t>L60, INDOOR, 4FT, 12 W/FT,  RGB4, 110~277V, 15x15, CUSTOM</t>
  </si>
  <si>
    <t>L60-I-48-12-RGB4-MULT-ASYM-K</t>
  </si>
  <si>
    <t>L60, INDOOR, 4FT, 12 W/FT,  RGB4, 110~277V, ASYM, BLACK</t>
  </si>
  <si>
    <t>L60-I-48-12-RGB4-MULT-ASYM-W</t>
  </si>
  <si>
    <t>L60, INDOOR, 4FT, 12 W/FT,  RGB4, 110~277V, ASYM, WHITE</t>
  </si>
  <si>
    <t>L60-I-48-12-RGB4-MULT-ASYM-S</t>
  </si>
  <si>
    <t>L60, INDOOR, 4FT, 12 W/FT,  RGB4, 110~277V, ASYM, SILVER</t>
  </si>
  <si>
    <t>L60-I-48-12-RGB4-MULT-ASYM-Z</t>
  </si>
  <si>
    <t>L60, INDOOR, 4FT, 12 W/FT,  RGB4, 110~277V, ASYM, BRONZE</t>
  </si>
  <si>
    <t>L60-I-48-12-RGB4-MULT-ASYM-C</t>
  </si>
  <si>
    <t>L60, INDOOR, 4FT, 12 W/FT,  RGB4, 110~277V, ASYM, CUSTOM</t>
  </si>
  <si>
    <t>L60-I-48-12-RGB4-MULT-20x20-K</t>
  </si>
  <si>
    <t>L60, INDOOR, 4FT, 12 W/FT,  RGB4, 110~277V, 20x20, BLACK</t>
  </si>
  <si>
    <t>L60-I-48-12-RGB4-MULT-20x40-K</t>
  </si>
  <si>
    <t>L60, INDOOR, 4FT, 12 W/FT,  RGB4, 110~277V, 20x40, BLACK</t>
  </si>
  <si>
    <t>L60-I-48-12-RGB4-MULT-20x70-K</t>
  </si>
  <si>
    <t>L60, INDOOR, 4FT, 12 W/FT,  RGB4, 110~277V, 20x70, BLACK</t>
  </si>
  <si>
    <t>L60-I-48-12-RGB4-MULT-30x30-K</t>
  </si>
  <si>
    <t>L60, INDOOR, 4FT, 12 W/FT,  RGB4, 110~277V, 30x30, BLACK</t>
  </si>
  <si>
    <t>L60-I-48-12-RGB4-MULT-30x45-K</t>
  </si>
  <si>
    <t>L60, INDOOR, 4FT, 12 W/FT,  RGB4, 110~277V, 30x45, BLACK</t>
  </si>
  <si>
    <t>L60-I-48-12-RGB4-MULT-30x75-K</t>
  </si>
  <si>
    <t>L60, INDOOR, 4FT, 12 W/FT,  RGB4, 110~277V, 30x75, BLACK</t>
  </si>
  <si>
    <t>L60-I-48-12-RGB4-MULT-55x55-K</t>
  </si>
  <si>
    <t>L60, INDOOR, 4FT, 12 W/FT,  RGB4, 110~277V, 55x55, BLACK</t>
  </si>
  <si>
    <t>L60-I-48-12-RGB4-MULT-55x60-K</t>
  </si>
  <si>
    <t>L60, INDOOR, 4FT, 12 W/FT,  RGB4, 110~277V, 55x60, BLACK</t>
  </si>
  <si>
    <t>L60-I-48-12-RGB4-MULT-55x90-K</t>
  </si>
  <si>
    <t>L60, INDOOR, 4FT, 12 W/FT,  RGB4, 110~277V, 55x90, BLACK</t>
  </si>
  <si>
    <t>L60-I-48-12-RGB4-MULT-20x20-W</t>
  </si>
  <si>
    <t>L60, INDOOR, 4FT, 12 W/FT,  RGB4, 110~277V, 20x20, WHITE</t>
  </si>
  <si>
    <t>L60-I-48-12-RGB4-MULT-20x40-W</t>
  </si>
  <si>
    <t>L60, INDOOR, 4FT, 12 W/FT,  RGB4, 110~277V, 20x40, WHITE</t>
  </si>
  <si>
    <t>L60-I-48-12-RGB4-MULT-20x70-W</t>
  </si>
  <si>
    <t>L60, INDOOR, 4FT, 12 W/FT,  RGB4, 110~277V, 20x70, WHITE</t>
  </si>
  <si>
    <t>L60-I-48-12-RGB4-MULT-30x30-W</t>
  </si>
  <si>
    <t>L60, INDOOR, 4FT, 12 W/FT,  RGB4, 110~277V, 30x30, WHITE</t>
  </si>
  <si>
    <t>L60-I-48-12-RGB4-MULT-30x45-W</t>
  </si>
  <si>
    <t>L60, INDOOR, 4FT, 12 W/FT,  RGB4, 110~277V, 30x45, WHITE</t>
  </si>
  <si>
    <t>L60-I-48-12-RGB4-MULT-30x75-W</t>
  </si>
  <si>
    <t>L60, INDOOR, 4FT, 12 W/FT,  RGB4, 110~277V, 30x75, WHITE</t>
  </si>
  <si>
    <t>L60-I-48-12-RGB4-MULT-55x55-W</t>
  </si>
  <si>
    <t>L60, INDOOR, 4FT, 12 W/FT,  RGB4, 110~277V, 55x55, WHITE</t>
  </si>
  <si>
    <t>L60-I-48-12-RGB4-MULT-55x60-W</t>
  </si>
  <si>
    <t>L60, INDOOR, 4FT, 12 W/FT,  RGB4, 110~277V, 55x60, WHITE</t>
  </si>
  <si>
    <t>L60-I-48-12-RGB4-MULT-55x90-W</t>
  </si>
  <si>
    <t>L60, INDOOR, 4FT, 12 W/FT,  RGB4, 110~277V, 55x90, WHITE</t>
  </si>
  <si>
    <t>L60-I-48-12-RGB4-MULT-20x20-S</t>
  </si>
  <si>
    <t>L60, INDOOR, 4FT, 12 W/FT,  RGB4, 110~277V, 20x20, SILVER</t>
  </si>
  <si>
    <t>L60-I-48-12-RGB4-MULT-20x40-S</t>
  </si>
  <si>
    <t>L60, INDOOR, 4FT, 12 W/FT,  RGB4, 110~277V, 20x40, SILVER</t>
  </si>
  <si>
    <t>L60-I-48-12-RGB4-MULT-20x70-S</t>
  </si>
  <si>
    <t>L60, INDOOR, 4FT, 12 W/FT,  RGB4, 110~277V, 20x70, SILVER</t>
  </si>
  <si>
    <t>L60-I-48-12-RGB4-MULT-30x30-S</t>
  </si>
  <si>
    <t>L60, INDOOR, 4FT, 12 W/FT,  RGB4, 110~277V, 30x30, SILVER</t>
  </si>
  <si>
    <t>L60-I-48-12-RGB4-MULT-30x45-S</t>
  </si>
  <si>
    <t>L60, INDOOR, 4FT, 12 W/FT,  RGB4, 110~277V, 30x45, SILVER</t>
  </si>
  <si>
    <t>L60-I-48-12-RGB4-MULT-30x75-S</t>
  </si>
  <si>
    <t>L60, INDOOR, 4FT, 12 W/FT,  RGB4, 110~277V, 30x75, SILVER</t>
  </si>
  <si>
    <t>L60-I-48-12-RGB4-MULT-55x55-S</t>
  </si>
  <si>
    <t>L60, INDOOR, 4FT, 12 W/FT,  RGB4, 110~277V, 55x55, SILVER</t>
  </si>
  <si>
    <t>L60-I-48-12-RGB4-MULT-55x60-S</t>
  </si>
  <si>
    <t>L60, INDOOR, 4FT, 12 W/FT,  RGB4, 110~277V, 55x60, SILVER</t>
  </si>
  <si>
    <t>L60-I-48-12-RGB4-MULT-55x90-S</t>
  </si>
  <si>
    <t>L60, INDOOR, 4FT, 12 W/FT,  RGB4, 110~277V, 55x90, SILVER</t>
  </si>
  <si>
    <t>L60-I-48-12-RGB4-MULT-20x20-Z</t>
  </si>
  <si>
    <t>L60, INDOOR, 4FT, 12 W/FT,  RGB4, 110~277V, 20x20, BRONZE</t>
  </si>
  <si>
    <t>L60-I-48-12-RGB4-MULT-20x40-Z</t>
  </si>
  <si>
    <t>L60, INDOOR, 4FT, 12 W/FT,  RGB4, 110~277V, 20x40, BRONZE</t>
  </si>
  <si>
    <t>L60-I-48-12-RGB4-MULT-20x70-Z</t>
  </si>
  <si>
    <t>L60, INDOOR, 4FT, 12 W/FT,  RGB4, 110~277V, 20x70, BRONZE</t>
  </si>
  <si>
    <t>L60-I-48-12-RGB4-MULT-30x30-Z</t>
  </si>
  <si>
    <t>L60, INDOOR, 4FT, 12 W/FT,  RGB4, 110~277V, 30x30, BRONZE</t>
  </si>
  <si>
    <t>L60-I-48-12-RGB4-MULT-30x45-Z</t>
  </si>
  <si>
    <t>L60, INDOOR, 4FT, 12 W/FT,  RGB4, 110~277V, 30x45, BRONZE</t>
  </si>
  <si>
    <t>L60-I-48-12-RGB4-MULT-30x75-Z</t>
  </si>
  <si>
    <t>L60, INDOOR, 4FT, 12 W/FT,  RGB4, 110~277V, 30x75, BRONZE</t>
  </si>
  <si>
    <t>L60-I-48-12-RGB4-MULT-55x55-Z</t>
  </si>
  <si>
    <t>L60, INDOOR, 4FT, 12 W/FT,  RGB4, 110~277V, 55x55, BRONZE</t>
  </si>
  <si>
    <t>L60-I-48-12-RGB4-MULT-55x60-Z</t>
  </si>
  <si>
    <t>L60, INDOOR, 4FT, 12 W/FT,  RGB4, 110~277V, 55x60, BRONZE</t>
  </si>
  <si>
    <t>L60-I-48-12-RGB4-MULT-55x90-Z</t>
  </si>
  <si>
    <t>L60, INDOOR, 4FT, 12 W/FT,  RGB4, 110~277V, 55x90, BRONZE</t>
  </si>
  <si>
    <t>L60-I-48-12-RGB4-MULT-20x20-C</t>
  </si>
  <si>
    <t>L60, INDOOR, 4FT, 12 W/FT,  RGB4, 110~277V, 20x20, CUSTOM</t>
  </si>
  <si>
    <t>L60-I-48-12-RGB4-MULT-20x40-C</t>
  </si>
  <si>
    <t>L60, INDOOR, 4FT, 12 W/FT,  RGB4, 110~277V, 20x40, CUSTOM</t>
  </si>
  <si>
    <t>L60-I-48-12-RGB4-MULT-20x70-C</t>
  </si>
  <si>
    <t>L60, INDOOR, 4FT, 12 W/FT,  RGB4, 110~277V, 20x70, CUSTOM</t>
  </si>
  <si>
    <t>L60-I-48-12-RGB4-MULT-30x30-C</t>
  </si>
  <si>
    <t>L60, INDOOR, 4FT, 12 W/FT,  RGB4, 110~277V, 30x30, CUSTOM</t>
  </si>
  <si>
    <t>L60-I-48-12-RGB4-MULT-30x45-C</t>
  </si>
  <si>
    <t>L60, INDOOR, 4FT, 12 W/FT,  RGB4, 110~277V, 30x45, CUSTOM</t>
  </si>
  <si>
    <t>L60-I-48-12-RGB4-MULT-30x75-C</t>
  </si>
  <si>
    <t>L60, INDOOR, 4FT, 12 W/FT,  RGB4, 110~277V, 30x75, CUSTOM</t>
  </si>
  <si>
    <t>L60-I-48-12-RGB4-MULT-55x55-C</t>
  </si>
  <si>
    <t>L60, INDOOR, 4FT, 12 W/FT,  RGB4, 110~277V, 55x55, CUSTOM</t>
  </si>
  <si>
    <t>L60-I-48-12-RGB4-MULT-55x60-C</t>
  </si>
  <si>
    <t>L60, INDOOR, 4FT, 12 W/FT,  RGB4, 110~277V, 55x60, CUSTOM</t>
  </si>
  <si>
    <t>L60-I-48-12-RGB4-MULT-55x90-C</t>
  </si>
  <si>
    <t>L60, INDOOR, 4FT, 12 W/FT,  RGB4, 110~277V, 55x90, CUSTOM</t>
  </si>
  <si>
    <t>L60-I-48-14-RGB4-MULT-15x15-K</t>
  </si>
  <si>
    <t>L60, INDOOR, 4FT, 14 W/FT,  RGB4, 110~277V, 15x15, BLACK</t>
  </si>
  <si>
    <t>L60-I-48-14-RGB4-MULT-15x15-W</t>
  </si>
  <si>
    <t>L60, INDOOR, 4FT, 14 W/FT,  RGB4, 110~277V, 15x15, WHITE</t>
  </si>
  <si>
    <t>L60-I-48-14-RGB4-MULT-15x15-S</t>
  </si>
  <si>
    <t>L60, INDOOR, 4FT, 14 W/FT,  RGB4, 110~277V, 15x15, SILVER</t>
  </si>
  <si>
    <t>L60-I-48-14-RGB4-MULT-15x15-Z</t>
  </si>
  <si>
    <t>L60, INDOOR, 4FT, 14 W/FT,  RGB4, 110~277V, 15x15, BRONZE</t>
  </si>
  <si>
    <t>L60-I-48-14-RGB4-MULT-15x15-C</t>
  </si>
  <si>
    <t>L60, INDOOR, 4FT, 14 W/FT,  RGB4, 110~277V, 15x15, CUSTOM</t>
  </si>
  <si>
    <t>L60-I-48-14-RGB4-MULT-ASYM-K</t>
  </si>
  <si>
    <t>L60, INDOOR, 4FT, 14 W/FT,  RGB4, 110~277V, ASYM, BLACK</t>
  </si>
  <si>
    <t>L60-I-48-14-RGB4-MULT-ASYM-W</t>
  </si>
  <si>
    <t>L60, INDOOR, 4FT, 14 W/FT,  RGB4, 110~277V, ASYM, WHITE</t>
  </si>
  <si>
    <t>L60-I-48-14-RGB4-MULT-ASYM-S</t>
  </si>
  <si>
    <t>L60, INDOOR, 4FT, 14 W/FT,  RGB4, 110~277V, ASYM, SILVER</t>
  </si>
  <si>
    <t>L60-I-48-14-RGB4-MULT-ASYM-Z</t>
  </si>
  <si>
    <t>L60, INDOOR, 4FT, 14 W/FT,  RGB4, 110~277V, ASYM, BRONZE</t>
  </si>
  <si>
    <t>L60-I-48-14-RGB4-MULT-ASYM-C</t>
  </si>
  <si>
    <t>L60, INDOOR, 4FT, 14 W/FT,  RGB4, 110~277V, ASYM, CUSTOM</t>
  </si>
  <si>
    <t>L60-I-48-14-RGB4-MULT-20x20-K</t>
  </si>
  <si>
    <t>L60, INDOOR, 4FT, 14 W/FT,  RGB4, 110~277V, 20x20, BLACK</t>
  </si>
  <si>
    <t>L60-I-48-14-RGB4-MULT-20x40-K</t>
  </si>
  <si>
    <t>L60, INDOOR, 4FT, 14 W/FT,  RGB4, 110~277V, 20x40, BLACK</t>
  </si>
  <si>
    <t>L60-I-48-14-RGB4-MULT-20x70-K</t>
  </si>
  <si>
    <t>L60, INDOOR, 4FT, 14 W/FT,  RGB4, 110~277V, 20x70, BLACK</t>
  </si>
  <si>
    <t>L60-I-48-14-RGB4-MULT-30x30-K</t>
  </si>
  <si>
    <t>L60, INDOOR, 4FT, 14 W/FT,  RGB4, 110~277V, 30x30, BLACK</t>
  </si>
  <si>
    <t>L60-I-48-14-RGB4-MULT-30x45-K</t>
  </si>
  <si>
    <t>L60, INDOOR, 4FT, 14 W/FT,  RGB4, 110~277V, 30x45, BLACK</t>
  </si>
  <si>
    <t>L60-I-48-14-RGB4-MULT-30x75-K</t>
  </si>
  <si>
    <t>L60, INDOOR, 4FT, 14 W/FT,  RGB4, 110~277V, 30x75, BLACK</t>
  </si>
  <si>
    <t>L60-I-48-14-RGB4-MULT-55x55-K</t>
  </si>
  <si>
    <t>L60, INDOOR, 4FT, 14 W/FT,  RGB4, 110~277V, 55x55, BLACK</t>
  </si>
  <si>
    <t>L60-I-48-14-RGB4-MULT-55x60-K</t>
  </si>
  <si>
    <t>L60, INDOOR, 4FT, 14 W/FT,  RGB4, 110~277V, 55x60, BLACK</t>
  </si>
  <si>
    <t>L60-I-48-14-RGB4-MULT-55x90-K</t>
  </si>
  <si>
    <t>L60, INDOOR, 4FT, 14 W/FT,  RGB4, 110~277V, 55x90, BLACK</t>
  </si>
  <si>
    <t>L60-I-48-14-RGB4-MULT-20x20-W</t>
  </si>
  <si>
    <t>L60, INDOOR, 4FT, 14 W/FT,  RGB4, 110~277V, 20x20, WHITE</t>
  </si>
  <si>
    <t>L60-I-48-14-RGB4-MULT-20x40-W</t>
  </si>
  <si>
    <t>L60, INDOOR, 4FT, 14 W/FT,  RGB4, 110~277V, 20x40, WHITE</t>
  </si>
  <si>
    <t>L60-I-48-14-RGB4-MULT-20x70-W</t>
  </si>
  <si>
    <t>L60, INDOOR, 4FT, 14 W/FT,  RGB4, 110~277V, 20x70, WHITE</t>
  </si>
  <si>
    <t>L60-I-48-14-RGB4-MULT-30x30-W</t>
  </si>
  <si>
    <t>L60, INDOOR, 4FT, 14 W/FT,  RGB4, 110~277V, 30x30, WHITE</t>
  </si>
  <si>
    <t>L60-I-48-14-RGB4-MULT-30x45-W</t>
  </si>
  <si>
    <t>L60, INDOOR, 4FT, 14 W/FT,  RGB4, 110~277V, 30x45, WHITE</t>
  </si>
  <si>
    <t>L60-I-48-14-RGB4-MULT-30x75-W</t>
  </si>
  <si>
    <t>L60, INDOOR, 4FT, 14 W/FT,  RGB4, 110~277V, 30x75, WHITE</t>
  </si>
  <si>
    <t>L60-I-48-14-RGB4-MULT-55x55-W</t>
  </si>
  <si>
    <t>L60, INDOOR, 4FT, 14 W/FT,  RGB4, 110~277V, 55x55, WHITE</t>
  </si>
  <si>
    <t>L60-I-48-14-RGB4-MULT-55x60-W</t>
  </si>
  <si>
    <t>L60, INDOOR, 4FT, 14 W/FT,  RGB4, 110~277V, 55x60, WHITE</t>
  </si>
  <si>
    <t>L60-I-48-14-RGB4-MULT-55x90-W</t>
  </si>
  <si>
    <t>L60, INDOOR, 4FT, 14 W/FT,  RGB4, 110~277V, 55x90, WHITE</t>
  </si>
  <si>
    <t>L60-I-48-14-RGB4-MULT-20x20-S</t>
  </si>
  <si>
    <t>L60, INDOOR, 4FT, 14 W/FT,  RGB4, 110~277V, 20x20, SILVER</t>
  </si>
  <si>
    <t>L60-I-48-14-RGB4-MULT-20x40-S</t>
  </si>
  <si>
    <t>L60, INDOOR, 4FT, 14 W/FT,  RGB4, 110~277V, 20x40, SILVER</t>
  </si>
  <si>
    <t>L60-I-48-14-RGB4-MULT-20x70-S</t>
  </si>
  <si>
    <t>L60, INDOOR, 4FT, 14 W/FT,  RGB4, 110~277V, 20x70, SILVER</t>
  </si>
  <si>
    <t>L60-I-48-14-RGB4-MULT-30x30-S</t>
  </si>
  <si>
    <t>L60, INDOOR, 4FT, 14 W/FT,  RGB4, 110~277V, 30x30, SILVER</t>
  </si>
  <si>
    <t>L60-I-48-14-RGB4-MULT-30x45-S</t>
  </si>
  <si>
    <t>L60, INDOOR, 4FT, 14 W/FT,  RGB4, 110~277V, 30x45, SILVER</t>
  </si>
  <si>
    <t>L60-I-48-14-RGB4-MULT-30x75-S</t>
  </si>
  <si>
    <t>L60, INDOOR, 4FT, 14 W/FT,  RGB4, 110~277V, 30x75, SILVER</t>
  </si>
  <si>
    <t>L60-I-48-14-RGB4-MULT-55x55-S</t>
  </si>
  <si>
    <t>L60, INDOOR, 4FT, 14 W/FT,  RGB4, 110~277V, 55x55, SILVER</t>
  </si>
  <si>
    <t>L60-I-48-14-RGB4-MULT-55x60-S</t>
  </si>
  <si>
    <t>L60, INDOOR, 4FT, 14 W/FT,  RGB4, 110~277V, 55x60, SILVER</t>
  </si>
  <si>
    <t>L60-I-48-14-RGB4-MULT-55x90-S</t>
  </si>
  <si>
    <t>L60, INDOOR, 4FT, 14 W/FT,  RGB4, 110~277V, 55x90, SILVER</t>
  </si>
  <si>
    <t>L60-I-48-14-RGB4-MULT-20x20-Z</t>
  </si>
  <si>
    <t>L60, INDOOR, 4FT, 14 W/FT,  RGB4, 110~277V, 20x20, BRONZE</t>
  </si>
  <si>
    <t>L60-I-48-14-RGB4-MULT-20x40-Z</t>
  </si>
  <si>
    <t>L60, INDOOR, 4FT, 14 W/FT,  RGB4, 110~277V, 20x40, BRONZE</t>
  </si>
  <si>
    <t>L60-I-48-14-RGB4-MULT-20x70-Z</t>
  </si>
  <si>
    <t>L60, INDOOR, 4FT, 14 W/FT,  RGB4, 110~277V, 20x70, BRONZE</t>
  </si>
  <si>
    <t>L60-I-48-14-RGB4-MULT-30x30-Z</t>
  </si>
  <si>
    <t>L60, INDOOR, 4FT, 14 W/FT,  RGB4, 110~277V, 30x30, BRONZE</t>
  </si>
  <si>
    <t>L60-I-48-14-RGB4-MULT-30x45-Z</t>
  </si>
  <si>
    <t>L60, INDOOR, 4FT, 14 W/FT,  RGB4, 110~277V, 30x45, BRONZE</t>
  </si>
  <si>
    <t>L60-I-48-14-RGB4-MULT-30x75-Z</t>
  </si>
  <si>
    <t>L60, INDOOR, 4FT, 14 W/FT,  RGB4, 110~277V, 30x75, BRONZE</t>
  </si>
  <si>
    <t>L60-I-48-14-RGB4-MULT-55x55-Z</t>
  </si>
  <si>
    <t>L60, INDOOR, 4FT, 14 W/FT,  RGB4, 110~277V, 55x55, BRONZE</t>
  </si>
  <si>
    <t>L60-I-48-14-RGB4-MULT-55x60-Z</t>
  </si>
  <si>
    <t>L60, INDOOR, 4FT, 14 W/FT,  RGB4, 110~277V, 55x60, BRONZE</t>
  </si>
  <si>
    <t>L60-I-48-14-RGB4-MULT-55x90-Z</t>
  </si>
  <si>
    <t>L60, INDOOR, 4FT, 14 W/FT,  RGB4, 110~277V, 55x90, BRONZE</t>
  </si>
  <si>
    <t>L60-I-48-14-RGB4-MULT-20x20-C</t>
  </si>
  <si>
    <t>L60, INDOOR, 4FT, 14 W/FT,  RGB4, 110~277V, 20x20, CUSTOM</t>
  </si>
  <si>
    <t>L60-I-48-14-RGB4-MULT-20x40-C</t>
  </si>
  <si>
    <t>L60, INDOOR, 4FT, 14 W/FT,  RGB4, 110~277V, 20x40, CUSTOM</t>
  </si>
  <si>
    <t>L60-I-48-14-RGB4-MULT-20x70-C</t>
  </si>
  <si>
    <t>L60, INDOOR, 4FT, 14 W/FT,  RGB4, 110~277V, 20x70, CUSTOM</t>
  </si>
  <si>
    <t>L60-I-48-14-RGB4-MULT-30x30-C</t>
  </si>
  <si>
    <t>L60, INDOOR, 4FT, 14 W/FT,  RGB4, 110~277V, 30x30, CUSTOM</t>
  </si>
  <si>
    <t>L60-I-48-14-RGB4-MULT-30x45-C</t>
  </si>
  <si>
    <t>L60, INDOOR, 4FT, 14 W/FT,  RGB4, 110~277V, 30x45, CUSTOM</t>
  </si>
  <si>
    <t>L60-I-48-14-RGB4-MULT-30x75-C</t>
  </si>
  <si>
    <t>L60, INDOOR, 4FT, 14 W/FT,  RGB4, 110~277V, 30x75, CUSTOM</t>
  </si>
  <si>
    <t>L60-I-48-14-RGB4-MULT-55x55-C</t>
  </si>
  <si>
    <t>L60, INDOOR, 4FT, 14 W/FT,  RGB4, 110~277V, 55x55, CUSTOM</t>
  </si>
  <si>
    <t>L60-I-48-14-RGB4-MULT-55x60-C</t>
  </si>
  <si>
    <t>L60, INDOOR, 4FT, 14 W/FT,  RGB4, 110~277V, 55x60, CUSTOM</t>
  </si>
  <si>
    <t>L60-I-48-14-RGB4-MULT-55x90-C</t>
  </si>
  <si>
    <t>L60, INDOOR, 4FT, 14 W/FT,  RGB4, 110~277V, 55x90, CUSTOM</t>
  </si>
  <si>
    <t>L60-I-48-16-RGB4-MULT-15x15-K</t>
  </si>
  <si>
    <t>L60, INDOOR, 4FT, 16 W/FT,  RGB4, 110~277V, 15x15, BLACK</t>
  </si>
  <si>
    <t>L60-I-48-16-RGB4-MULT-15x15-W</t>
  </si>
  <si>
    <t>L60, INDOOR, 4FT, 16 W/FT,  RGB4, 110~277V, 15x15, WHITE</t>
  </si>
  <si>
    <t>L60-I-48-16-RGB4-MULT-15x15-S</t>
  </si>
  <si>
    <t>L60, INDOOR, 4FT, 16 W/FT,  RGB4, 110~277V, 15x15, SILVER</t>
  </si>
  <si>
    <t>L60-I-48-16-RGB4-MULT-15x15-Z</t>
  </si>
  <si>
    <t>L60, INDOOR, 4FT, 16 W/FT,  RGB4, 110~277V, 15x15, BRONZE</t>
  </si>
  <si>
    <t>L60-I-48-16-RGB4-MULT-15x15-C</t>
  </si>
  <si>
    <t>L60, INDOOR, 4FT, 16 W/FT,  RGB4, 110~277V, 15x15, CUSTOM</t>
  </si>
  <si>
    <t>L60-I-48-16-RGB4-MULT-ASYM-K</t>
  </si>
  <si>
    <t>L60, INDOOR, 4FT, 16 W/FT,  RGB4, 110~277V, ASYM, BLACK</t>
  </si>
  <si>
    <t>L60-I-48-16-RGB4-MULT-ASYM-W</t>
  </si>
  <si>
    <t>L60, INDOOR, 4FT, 16 W/FT,  RGB4, 110~277V, ASYM, WHITE</t>
  </si>
  <si>
    <t>L60-I-48-16-RGB4-MULT-ASYM-S</t>
  </si>
  <si>
    <t>L60, INDOOR, 4FT, 16 W/FT,  RGB4, 110~277V, ASYM, SILVER</t>
  </si>
  <si>
    <t>L60-I-48-16-RGB4-MULT-ASYM-Z</t>
  </si>
  <si>
    <t>L60, INDOOR, 4FT, 16 W/FT,  RGB4, 110~277V, ASYM, BRONZE</t>
  </si>
  <si>
    <t>L60-I-48-16-RGB4-MULT-ASYM-C</t>
  </si>
  <si>
    <t>L60, INDOOR, 4FT, 16 W/FT,  RGB4, 110~277V, ASYM, CUSTOM</t>
  </si>
  <si>
    <t>L60-I-48-16-RGB4-MULT-20x20-K</t>
  </si>
  <si>
    <t>L60, INDOOR, 4FT, 16 W/FT,  RGB4, 110~277V, 20x20, BLACK</t>
  </si>
  <si>
    <t>L60-I-48-16-RGB4-MULT-20x40-K</t>
  </si>
  <si>
    <t>L60, INDOOR, 4FT, 16 W/FT,  RGB4, 110~277V, 20x40, BLACK</t>
  </si>
  <si>
    <t>L60-I-48-16-RGB4-MULT-20x70-K</t>
  </si>
  <si>
    <t>L60, INDOOR, 4FT, 16 W/FT,  RGB4, 110~277V, 20x70, BLACK</t>
  </si>
  <si>
    <t>L60-I-48-16-RGB4-MULT-30x30-K</t>
  </si>
  <si>
    <t>L60, INDOOR, 4FT, 16 W/FT,  RGB4, 110~277V, 30x30, BLACK</t>
  </si>
  <si>
    <t>L60-I-48-16-RGB4-MULT-30x45-K</t>
  </si>
  <si>
    <t>L60, INDOOR, 4FT, 16 W/FT,  RGB4, 110~277V, 30x45, BLACK</t>
  </si>
  <si>
    <t>L60-I-48-16-RGB4-MULT-30x75-K</t>
  </si>
  <si>
    <t>L60, INDOOR, 4FT, 16 W/FT,  RGB4, 110~277V, 30x75, BLACK</t>
  </si>
  <si>
    <t>L60-I-48-16-RGB4-MULT-55x55-K</t>
  </si>
  <si>
    <t>L60, INDOOR, 4FT, 16 W/FT,  RGB4, 110~277V, 55x55, BLACK</t>
  </si>
  <si>
    <t>L60-I-48-16-RGB4-MULT-55x60-K</t>
  </si>
  <si>
    <t>L60, INDOOR, 4FT, 16 W/FT,  RGB4, 110~277V, 55x60, BLACK</t>
  </si>
  <si>
    <t>L60-I-48-16-RGB4-MULT-55x90-K</t>
  </si>
  <si>
    <t>L60, INDOOR, 4FT, 16 W/FT,  RGB4, 110~277V, 55x90, BLACK</t>
  </si>
  <si>
    <t>L60-I-48-16-RGB4-MULT-20x20-W</t>
  </si>
  <si>
    <t>L60, INDOOR, 4FT, 16 W/FT,  RGB4, 110~277V, 20x20, WHITE</t>
  </si>
  <si>
    <t>L60-I-48-16-RGB4-MULT-20x40-W</t>
  </si>
  <si>
    <t>L60, INDOOR, 4FT, 16 W/FT,  RGB4, 110~277V, 20x40, WHITE</t>
  </si>
  <si>
    <t>L60-I-48-16-RGB4-MULT-20x70-W</t>
  </si>
  <si>
    <t>L60, INDOOR, 4FT, 16 W/FT,  RGB4, 110~277V, 20x70, WHITE</t>
  </si>
  <si>
    <t>L60-I-48-16-RGB4-MULT-30x30-W</t>
  </si>
  <si>
    <t>L60, INDOOR, 4FT, 16 W/FT,  RGB4, 110~277V, 30x30, WHITE</t>
  </si>
  <si>
    <t>L60-I-48-16-RGB4-MULT-30x45-W</t>
  </si>
  <si>
    <t>L60, INDOOR, 4FT, 16 W/FT,  RGB4, 110~277V, 30x45, WHITE</t>
  </si>
  <si>
    <t>L60-I-48-16-RGB4-MULT-30x75-W</t>
  </si>
  <si>
    <t>L60, INDOOR, 4FT, 16 W/FT,  RGB4, 110~277V, 30x75, WHITE</t>
  </si>
  <si>
    <t>L60-I-48-16-RGB4-MULT-55x55-W</t>
  </si>
  <si>
    <t>L60, INDOOR, 4FT, 16 W/FT,  RGB4, 110~277V, 55x55, WHITE</t>
  </si>
  <si>
    <t>L60-I-48-16-RGB4-MULT-55x60-W</t>
  </si>
  <si>
    <t>L60, INDOOR, 4FT, 16 W/FT,  RGB4, 110~277V, 55x60, WHITE</t>
  </si>
  <si>
    <t>L60-I-48-16-RGB4-MULT-55x90-W</t>
  </si>
  <si>
    <t>L60, INDOOR, 4FT, 16 W/FT,  RGB4, 110~277V, 55x90, WHITE</t>
  </si>
  <si>
    <t>L60-I-48-16-RGB4-MULT-20x20-S</t>
  </si>
  <si>
    <t>L60, INDOOR, 4FT, 16 W/FT,  RGB4, 110~277V, 20x20, SILVER</t>
  </si>
  <si>
    <t>L60-I-48-16-RGB4-MULT-20x40-S</t>
  </si>
  <si>
    <t>L60, INDOOR, 4FT, 16 W/FT,  RGB4, 110~277V, 20x40, SILVER</t>
  </si>
  <si>
    <t>L60-I-48-16-RGB4-MULT-20x70-S</t>
  </si>
  <si>
    <t>L60, INDOOR, 4FT, 16 W/FT,  RGB4, 110~277V, 20x70, SILVER</t>
  </si>
  <si>
    <t>L60-I-48-16-RGB4-MULT-30x30-S</t>
  </si>
  <si>
    <t>L60, INDOOR, 4FT, 16 W/FT,  RGB4, 110~277V, 30x30, SILVER</t>
  </si>
  <si>
    <t>L60-I-48-16-RGB4-MULT-30x45-S</t>
  </si>
  <si>
    <t>L60, INDOOR, 4FT, 16 W/FT,  RGB4, 110~277V, 30x45, SILVER</t>
  </si>
  <si>
    <t>L60-I-48-16-RGB4-MULT-30x75-S</t>
  </si>
  <si>
    <t>L60, INDOOR, 4FT, 16 W/FT,  RGB4, 110~277V, 30x75, SILVER</t>
  </si>
  <si>
    <t>L60-I-48-16-RGB4-MULT-55x55-S</t>
  </si>
  <si>
    <t>L60, INDOOR, 4FT, 16 W/FT,  RGB4, 110~277V, 55x55, SILVER</t>
  </si>
  <si>
    <t>L60-I-48-16-RGB4-MULT-55x60-S</t>
  </si>
  <si>
    <t>L60, INDOOR, 4FT, 16 W/FT,  RGB4, 110~277V, 55x60, SILVER</t>
  </si>
  <si>
    <t>L60-I-48-16-RGB4-MULT-55x90-S</t>
  </si>
  <si>
    <t>L60, INDOOR, 4FT, 16 W/FT,  RGB4, 110~277V, 55x90, SILVER</t>
  </si>
  <si>
    <t>L60-I-48-16-RGB4-MULT-20x20-Z</t>
  </si>
  <si>
    <t>L60, INDOOR, 4FT, 16 W/FT,  RGB4, 110~277V, 20x20, BRONZE</t>
  </si>
  <si>
    <t>L60-I-48-16-RGB4-MULT-20x40-Z</t>
  </si>
  <si>
    <t>L60, INDOOR, 4FT, 16 W/FT,  RGB4, 110~277V, 20x40, BRONZE</t>
  </si>
  <si>
    <t>L60-I-48-16-RGB4-MULT-20x70-Z</t>
  </si>
  <si>
    <t>L60, INDOOR, 4FT, 16 W/FT,  RGB4, 110~277V, 20x70, BRONZE</t>
  </si>
  <si>
    <t>L60-I-48-16-RGB4-MULT-30x30-Z</t>
  </si>
  <si>
    <t>L60, INDOOR, 4FT, 16 W/FT,  RGB4, 110~277V, 30x30, BRONZE</t>
  </si>
  <si>
    <t>L60-I-48-16-RGB4-MULT-30x45-Z</t>
  </si>
  <si>
    <t>L60, INDOOR, 4FT, 16 W/FT,  RGB4, 110~277V, 30x45, BRONZE</t>
  </si>
  <si>
    <t>L60-I-48-16-RGB4-MULT-30x75-Z</t>
  </si>
  <si>
    <t>L60, INDOOR, 4FT, 16 W/FT,  RGB4, 110~277V, 30x75, BRONZE</t>
  </si>
  <si>
    <t>L60-I-48-16-RGB4-MULT-55x55-Z</t>
  </si>
  <si>
    <t>L60, INDOOR, 4FT, 16 W/FT,  RGB4, 110~277V, 55x55, BRONZE</t>
  </si>
  <si>
    <t>L60-I-48-16-RGB4-MULT-55x60-Z</t>
  </si>
  <si>
    <t>L60, INDOOR, 4FT, 16 W/FT,  RGB4, 110~277V, 55x60, BRONZE</t>
  </si>
  <si>
    <t>L60-I-48-16-RGB4-MULT-55x90-Z</t>
  </si>
  <si>
    <t>L60, INDOOR, 4FT, 16 W/FT,  RGB4, 110~277V, 55x90, BRONZE</t>
  </si>
  <si>
    <t>L60-I-48-16-RGB4-MULT-20x20-C</t>
  </si>
  <si>
    <t>L60, INDOOR, 4FT, 16 W/FT,  RGB4, 110~277V, 20x20, CUSTOM</t>
  </si>
  <si>
    <t>L60-I-48-16-RGB4-MULT-20x40-C</t>
  </si>
  <si>
    <t>L60, INDOOR, 4FT, 16 W/FT,  RGB4, 110~277V, 20x40, CUSTOM</t>
  </si>
  <si>
    <t>L60-I-48-16-RGB4-MULT-20x70-C</t>
  </si>
  <si>
    <t>L60, INDOOR, 4FT, 16 W/FT,  RGB4, 110~277V, 20x70, CUSTOM</t>
  </si>
  <si>
    <t>L60-I-48-16-RGB4-MULT-30x30-C</t>
  </si>
  <si>
    <t>L60, INDOOR, 4FT, 16 W/FT,  RGB4, 110~277V, 30x30, CUSTOM</t>
  </si>
  <si>
    <t>L60-I-48-16-RGB4-MULT-30x45-C</t>
  </si>
  <si>
    <t>L60, INDOOR, 4FT, 16 W/FT,  RGB4, 110~277V, 30x45, CUSTOM</t>
  </si>
  <si>
    <t>L60-I-48-16-RGB4-MULT-30x75-C</t>
  </si>
  <si>
    <t>L60, INDOOR, 4FT, 16 W/FT,  RGB4, 110~277V, 30x75, CUSTOM</t>
  </si>
  <si>
    <t>L60-I-48-16-RGB4-MULT-55x55-C</t>
  </si>
  <si>
    <t>L60, INDOOR, 4FT, 16 W/FT,  RGB4, 110~277V, 55x55, CUSTOM</t>
  </si>
  <si>
    <t>L60-I-48-16-RGB4-MULT-55x60-C</t>
  </si>
  <si>
    <t>L60, INDOOR, 4FT, 16 W/FT,  RGB4, 110~277V, 55x60, CUSTOM</t>
  </si>
  <si>
    <t>L60-I-48-16-RGB4-MULT-55x90-C</t>
  </si>
  <si>
    <t>L60, INDOOR, 4FT, 16 W/FT,  RGB4, 110~277V, 55x90, CUSTOM</t>
  </si>
  <si>
    <t>L60-I-12-12-RGB4-MULT-15x15-K</t>
  </si>
  <si>
    <t>L60, INDOOR, 1FT, 12 W/FT,  RGB4, 110~277V, 15x15, BLACK</t>
  </si>
  <si>
    <t>L60-I-12-12-RGB4-MULT-15x15-W</t>
  </si>
  <si>
    <t>L60, INDOOR, 1FT, 12 W/FT,  RGB4, 110~277V, 15x15, WHITE</t>
  </si>
  <si>
    <t>L60-I-12-12-RGB4-MULT-15x15-S</t>
  </si>
  <si>
    <t>L60, INDOOR, 1FT, 12 W/FT,  RGB4, 110~277V, 15x15, SILVER</t>
  </si>
  <si>
    <t>L60-I-12-12-RGB4-MULT-15x15-Z</t>
  </si>
  <si>
    <t>L60, INDOOR, 1FT, 12 W/FT,  RGB4, 110~277V, 15x15, BRONZE</t>
  </si>
  <si>
    <t>L60-I-12-12-RGB4-MULT-15x15-C</t>
  </si>
  <si>
    <t>L60, INDOOR, 1FT, 12 W/FT,  RGB4, 110~277V, 15x15, CUSTOM</t>
  </si>
  <si>
    <t>L60-I-12-12-RGB4-MULT-ASYM-K</t>
  </si>
  <si>
    <t>L60, INDOOR, 1FT, 12 W/FT,  RGB4, 110~277V, ASYM, BLACK</t>
  </si>
  <si>
    <t>L60-I-12-12-RGB4-MULT-ASYM-W</t>
  </si>
  <si>
    <t>L60, INDOOR, 1FT, 12 W/FT,  RGB4, 110~277V, ASYM, WHITE</t>
  </si>
  <si>
    <t>L60-I-12-12-RGB4-MULT-ASYM-S</t>
  </si>
  <si>
    <t>L60, INDOOR, 1FT, 12 W/FT,  RGB4, 110~277V, ASYM, SILVER</t>
  </si>
  <si>
    <t>L60-I-12-12-RGB4-MULT-ASYM-Z</t>
  </si>
  <si>
    <t>L60, INDOOR, 1FT, 12 W/FT,  RGB4, 110~277V, ASYM, BRONZE</t>
  </si>
  <si>
    <t>L60-I-12-12-RGB4-MULT-ASYM-C</t>
  </si>
  <si>
    <t>L60, INDOOR, 1FT, 12 W/FT,  RGB4, 110~277V, ASYM, CUSTOM</t>
  </si>
  <si>
    <t>L60-I-12-12-RGB4-MULT-20x20-K</t>
  </si>
  <si>
    <t>L60, INDOOR, 1FT, 12 W/FT,  RGB4, 110~277V, 20x20, BLACK</t>
  </si>
  <si>
    <t>L60-I-12-12-RGB4-MULT-20x40-K</t>
  </si>
  <si>
    <t>L60, INDOOR, 1FT, 12 W/FT,  RGB4, 110~277V, 20x40, BLACK</t>
  </si>
  <si>
    <t>L60-I-12-12-RGB4-MULT-20x70-K</t>
  </si>
  <si>
    <t>L60, INDOOR, 1FT, 12 W/FT,  RGB4, 110~277V, 20x70, BLACK</t>
  </si>
  <si>
    <t>L60-I-12-12-RGB4-MULT-30x30-K</t>
  </si>
  <si>
    <t>L60, INDOOR, 1FT, 12 W/FT,  RGB4, 110~277V, 30x30, BLACK</t>
  </si>
  <si>
    <t>L60-I-12-12-RGB4-MULT-30x45-K</t>
  </si>
  <si>
    <t>L60, INDOOR, 1FT, 12 W/FT,  RGB4, 110~277V, 30x45, BLACK</t>
  </si>
  <si>
    <t>L60-I-12-12-RGB4-MULT-30x75-K</t>
  </si>
  <si>
    <t>L60, INDOOR, 1FT, 12 W/FT,  RGB4, 110~277V, 30x75, BLACK</t>
  </si>
  <si>
    <t>L60-I-12-12-RGB4-MULT-55x55-K</t>
  </si>
  <si>
    <t>L60, INDOOR, 1FT, 12 W/FT,  RGB4, 110~277V, 55x55, BLACK</t>
  </si>
  <si>
    <t>L60-I-12-12-RGB4-MULT-55x60-K</t>
  </si>
  <si>
    <t>L60, INDOOR, 1FT, 12 W/FT,  RGB4, 110~277V, 55x60, BLACK</t>
  </si>
  <si>
    <t>L60-I-12-12-RGB4-MULT-55x90-K</t>
  </si>
  <si>
    <t>L60, INDOOR, 1FT, 12 W/FT,  RGB4, 110~277V, 55x90, BLACK</t>
  </si>
  <si>
    <t>L60-I-12-12-RGB4-MULT-20x20-W</t>
  </si>
  <si>
    <t>L60, INDOOR, 1FT, 12 W/FT,  RGB4, 110~277V, 20x20, WHITE</t>
  </si>
  <si>
    <t>L60-I-12-12-RGB4-MULT-20x40-W</t>
  </si>
  <si>
    <t>L60, INDOOR, 1FT, 12 W/FT,  RGB4, 110~277V, 20x40, WHITE</t>
  </si>
  <si>
    <t>L60-I-12-12-RGB4-MULT-20x70-W</t>
  </si>
  <si>
    <t>L60, INDOOR, 1FT, 12 W/FT,  RGB4, 110~277V, 20x70, WHITE</t>
  </si>
  <si>
    <t>L60-I-12-12-RGB4-MULT-30x30-W</t>
  </si>
  <si>
    <t>L60, INDOOR, 1FT, 12 W/FT,  RGB4, 110~277V, 30x30, WHITE</t>
  </si>
  <si>
    <t>L60-I-12-12-RGB4-MULT-30x45-W</t>
  </si>
  <si>
    <t>L60, INDOOR, 1FT, 12 W/FT,  RGB4, 110~277V, 30x45, WHITE</t>
  </si>
  <si>
    <t>L60-I-12-12-RGB4-MULT-30x75-W</t>
  </si>
  <si>
    <t>L60, INDOOR, 1FT, 12 W/FT,  RGB4, 110~277V, 30x75, WHITE</t>
  </si>
  <si>
    <t>L60-I-12-12-RGB4-MULT-55x55-W</t>
  </si>
  <si>
    <t>L60, INDOOR, 1FT, 12 W/FT,  RGB4, 110~277V, 55x55, WHITE</t>
  </si>
  <si>
    <t>L60-I-12-12-RGB4-MULT-55x60-W</t>
  </si>
  <si>
    <t>L60, INDOOR, 1FT, 12 W/FT,  RGB4, 110~277V, 55x60, WHITE</t>
  </si>
  <si>
    <t>L60-I-12-12-RGB4-MULT-55x90-W</t>
  </si>
  <si>
    <t>L60, INDOOR, 1FT, 12 W/FT,  RGB4, 110~277V, 55x90, WHITE</t>
  </si>
  <si>
    <t>L60-I-12-12-RGB4-MULT-20x20-S</t>
  </si>
  <si>
    <t>L60, INDOOR, 1FT, 12 W/FT,  RGB4, 110~277V, 20x20, SILVER</t>
  </si>
  <si>
    <t>L60-I-12-12-RGB4-MULT-20x40-S</t>
  </si>
  <si>
    <t>L60, INDOOR, 1FT, 12 W/FT,  RGB4, 110~277V, 20x40, SILVER</t>
  </si>
  <si>
    <t>L60-I-12-12-RGB4-MULT-20x70-S</t>
  </si>
  <si>
    <t>L60, INDOOR, 1FT, 12 W/FT,  RGB4, 110~277V, 20x70, SILVER</t>
  </si>
  <si>
    <t>L60-I-12-12-RGB4-MULT-30x30-S</t>
  </si>
  <si>
    <t>L60, INDOOR, 1FT, 12 W/FT,  RGB4, 110~277V, 30x30, SILVER</t>
  </si>
  <si>
    <t>L60-I-12-12-RGB4-MULT-30x45-S</t>
  </si>
  <si>
    <t>L60, INDOOR, 1FT, 12 W/FT,  RGB4, 110~277V, 30x45, SILVER</t>
  </si>
  <si>
    <t>L60-I-12-12-RGB4-MULT-30x75-S</t>
  </si>
  <si>
    <t>L60, INDOOR, 1FT, 12 W/FT,  RGB4, 110~277V, 30x75, SILVER</t>
  </si>
  <si>
    <t>L60-I-12-12-RGB4-MULT-55x55-S</t>
  </si>
  <si>
    <t>L60, INDOOR, 1FT, 12 W/FT,  RGB4, 110~277V, 55x55, SILVER</t>
  </si>
  <si>
    <t>L60-I-12-12-RGB4-MULT-55x60-S</t>
  </si>
  <si>
    <t>L60, INDOOR, 1FT, 12 W/FT,  RGB4, 110~277V, 55x60, SILVER</t>
  </si>
  <si>
    <t>L60-I-12-12-RGB4-MULT-55x90-S</t>
  </si>
  <si>
    <t>L60, INDOOR, 1FT, 12 W/FT,  RGB4, 110~277V, 55x90, SILVER</t>
  </si>
  <si>
    <t>L60-I-12-12-RGB4-MULT-20x20-Z</t>
  </si>
  <si>
    <t>L60, INDOOR, 1FT, 12 W/FT,  RGB4, 110~277V, 20x20, BRONZE</t>
  </si>
  <si>
    <t>L60-I-12-12-RGB4-MULT-20x40-Z</t>
  </si>
  <si>
    <t>L60, INDOOR, 1FT, 12 W/FT,  RGB4, 110~277V, 20x40, BRONZE</t>
  </si>
  <si>
    <t>L60-I-12-12-RGB4-MULT-20x70-Z</t>
  </si>
  <si>
    <t>L60, INDOOR, 1FT, 12 W/FT,  RGB4, 110~277V, 20x70, BRONZE</t>
  </si>
  <si>
    <t>L60-I-12-12-RGB4-MULT-30x30-Z</t>
  </si>
  <si>
    <t>L60, INDOOR, 1FT, 12 W/FT,  RGB4, 110~277V, 30x30, BRONZE</t>
  </si>
  <si>
    <t>L60-I-12-12-RGB4-MULT-30x45-Z</t>
  </si>
  <si>
    <t>L60, INDOOR, 1FT, 12 W/FT,  RGB4, 110~277V, 30x45, BRONZE</t>
  </si>
  <si>
    <t>L60-I-12-12-RGB4-MULT-30x75-Z</t>
  </si>
  <si>
    <t>L60, INDOOR, 1FT, 12 W/FT,  RGB4, 110~277V, 30x75, BRONZE</t>
  </si>
  <si>
    <t>L60-I-12-12-RGB4-MULT-55x55-Z</t>
  </si>
  <si>
    <t>L60, INDOOR, 1FT, 12 W/FT,  RGB4, 110~277V, 55x55, BRONZE</t>
  </si>
  <si>
    <t>L60-I-12-12-RGB4-MULT-55x60-Z</t>
  </si>
  <si>
    <t>L60, INDOOR, 1FT, 12 W/FT,  RGB4, 110~277V, 55x60, BRONZE</t>
  </si>
  <si>
    <t>L60-I-12-12-RGB4-MULT-55x90-Z</t>
  </si>
  <si>
    <t>L60, INDOOR, 1FT, 12 W/FT,  RGB4, 110~277V, 55x90, BRONZE</t>
  </si>
  <si>
    <t>L60-I-12-12-RGB4-MULT-20x20-C</t>
  </si>
  <si>
    <t>L60, INDOOR, 1FT, 12 W/FT,  RGB4, 110~277V, 20x20, CUSTOM</t>
  </si>
  <si>
    <t>L60-I-12-12-RGB4-MULT-20x40-C</t>
  </si>
  <si>
    <t>L60, INDOOR, 1FT, 12 W/FT,  RGB4, 110~277V, 20x40, CUSTOM</t>
  </si>
  <si>
    <t>L60-I-12-12-RGB4-MULT-20x70-C</t>
  </si>
  <si>
    <t>L60, INDOOR, 1FT, 12 W/FT,  RGB4, 110~277V, 20x70, CUSTOM</t>
  </si>
  <si>
    <t>L60-I-12-12-RGB4-MULT-30x30-C</t>
  </si>
  <si>
    <t>L60, INDOOR, 1FT, 12 W/FT,  RGB4, 110~277V, 30x30, CUSTOM</t>
  </si>
  <si>
    <t>L60-I-12-12-RGB4-MULT-30x45-C</t>
  </si>
  <si>
    <t>L60, INDOOR, 1FT, 12 W/FT,  RGB4, 110~277V, 30x45, CUSTOM</t>
  </si>
  <si>
    <t>L60-I-12-12-RGB4-MULT-30x75-C</t>
  </si>
  <si>
    <t>L60, INDOOR, 1FT, 12 W/FT,  RGB4, 110~277V, 30x75, CUSTOM</t>
  </si>
  <si>
    <t>L60-I-12-12-RGB4-MULT-55x55-C</t>
  </si>
  <si>
    <t>L60, INDOOR, 1FT, 12 W/FT,  RGB4, 110~277V, 55x55, CUSTOM</t>
  </si>
  <si>
    <t>L60-I-12-12-RGB4-MULT-55x60-C</t>
  </si>
  <si>
    <t>L60, INDOOR, 1FT, 12 W/FT,  RGB4, 110~277V, 55x60, CUSTOM</t>
  </si>
  <si>
    <t>L60-I-12-12-RGB4-MULT-55x90-C</t>
  </si>
  <si>
    <t>L60, INDOOR, 1FT, 12 W/FT,  RGB4, 110~277V, 55x90, CUSTOM</t>
  </si>
  <si>
    <t>L60-I-12-14-RGB4-MULT-15x15-K</t>
  </si>
  <si>
    <t>L60, INDOOR, 1FT, 14 W/FT,  RGB4, 110~277V, 15x15, BLACK</t>
  </si>
  <si>
    <t>L60-I-12-14-RGB4-MULT-15x15-W</t>
  </si>
  <si>
    <t>L60, INDOOR, 1FT, 14 W/FT,  RGB4, 110~277V, 15x15, WHITE</t>
  </si>
  <si>
    <t>L60-I-12-14-RGB4-MULT-15x15-S</t>
  </si>
  <si>
    <t>L60, INDOOR, 1FT, 14 W/FT,  RGB4, 110~277V, 15x15, SILVER</t>
  </si>
  <si>
    <t>L60-I-12-14-RGB4-MULT-15x15-Z</t>
  </si>
  <si>
    <t>L60, INDOOR, 1FT, 14 W/FT,  RGB4, 110~277V, 15x15, BRONZE</t>
  </si>
  <si>
    <t>L60-I-12-14-RGB4-MULT-15x15-C</t>
  </si>
  <si>
    <t>L60, INDOOR, 1FT, 14 W/FT,  RGB4, 110~277V, 15x15, CUSTOM</t>
  </si>
  <si>
    <t>L60-I-12-14-RGB4-MULT-ASYM-K</t>
  </si>
  <si>
    <t>L60, INDOOR, 1FT, 14 W/FT,  RGB4, 110~277V, ASYM, BLACK</t>
  </si>
  <si>
    <t>L60-I-12-14-RGB4-MULT-ASYM-W</t>
  </si>
  <si>
    <t>L60, INDOOR, 1FT, 14 W/FT,  RGB4, 110~277V, ASYM, WHITE</t>
  </si>
  <si>
    <t>L60-I-12-14-RGB4-MULT-ASYM-S</t>
  </si>
  <si>
    <t>L60, INDOOR, 1FT, 14 W/FT,  RGB4, 110~277V, ASYM, SILVER</t>
  </si>
  <si>
    <t>L60-I-12-14-RGB4-MULT-ASYM-Z</t>
  </si>
  <si>
    <t>L60, INDOOR, 1FT, 14 W/FT,  RGB4, 110~277V, ASYM, BRONZE</t>
  </si>
  <si>
    <t>L60-I-12-14-RGB4-MULT-ASYM-C</t>
  </si>
  <si>
    <t>L60, INDOOR, 1FT, 14 W/FT,  RGB4, 110~277V, ASYM, CUSTOM</t>
  </si>
  <si>
    <t>L60-I-12-14-RGB4-MULT-20x20-K</t>
  </si>
  <si>
    <t>L60, INDOOR, 1FT, 14 W/FT,  RGB4, 110~277V, 20x20, BLACK</t>
  </si>
  <si>
    <t>L60-I-12-14-RGB4-MULT-20x40-K</t>
  </si>
  <si>
    <t>L60, INDOOR, 1FT, 14 W/FT,  RGB4, 110~277V, 20x40, BLACK</t>
  </si>
  <si>
    <t>L60-I-12-14-RGB4-MULT-20x70-K</t>
  </si>
  <si>
    <t>L60, INDOOR, 1FT, 14 W/FT,  RGB4, 110~277V, 20x70, BLACK</t>
  </si>
  <si>
    <t>L60-I-12-14-RGB4-MULT-30x30-K</t>
  </si>
  <si>
    <t>L60, INDOOR, 1FT, 14 W/FT,  RGB4, 110~277V, 30x30, BLACK</t>
  </si>
  <si>
    <t>L60-I-12-14-RGB4-MULT-30x45-K</t>
  </si>
  <si>
    <t>L60, INDOOR, 1FT, 14 W/FT,  RGB4, 110~277V, 30x45, BLACK</t>
  </si>
  <si>
    <t>L60-I-12-14-RGB4-MULT-30x75-K</t>
  </si>
  <si>
    <t>L60, INDOOR, 1FT, 14 W/FT,  RGB4, 110~277V, 30x75, BLACK</t>
  </si>
  <si>
    <t>L60-I-12-14-RGB4-MULT-55x55-K</t>
  </si>
  <si>
    <t>L60, INDOOR, 1FT, 14 W/FT,  RGB4, 110~277V, 55x55, BLACK</t>
  </si>
  <si>
    <t>L60-I-12-14-RGB4-MULT-55x60-K</t>
  </si>
  <si>
    <t>L60, INDOOR, 1FT, 14 W/FT,  RGB4, 110~277V, 55x60, BLACK</t>
  </si>
  <si>
    <t>L60-I-12-14-RGB4-MULT-55x90-K</t>
  </si>
  <si>
    <t>L60, INDOOR, 1FT, 14 W/FT,  RGB4, 110~277V, 55x90, BLACK</t>
  </si>
  <si>
    <t>L60-I-12-14-RGB4-MULT-20x20-W</t>
  </si>
  <si>
    <t>L60, INDOOR, 1FT, 14 W/FT,  RGB4, 110~277V, 20x20, WHITE</t>
  </si>
  <si>
    <t>L60-I-12-14-RGB4-MULT-20x40-W</t>
  </si>
  <si>
    <t>L60, INDOOR, 1FT, 14 W/FT,  RGB4, 110~277V, 20x40, WHITE</t>
  </si>
  <si>
    <t>L60-I-12-14-RGB4-MULT-20x70-W</t>
  </si>
  <si>
    <t>L60, INDOOR, 1FT, 14 W/FT,  RGB4, 110~277V, 20x70, WHITE</t>
  </si>
  <si>
    <t>L60-I-12-14-RGB4-MULT-30x30-W</t>
  </si>
  <si>
    <t>L60, INDOOR, 1FT, 14 W/FT,  RGB4, 110~277V, 30x30, WHITE</t>
  </si>
  <si>
    <t>L60-I-12-14-RGB4-MULT-30x45-W</t>
  </si>
  <si>
    <t>L60, INDOOR, 1FT, 14 W/FT,  RGB4, 110~277V, 30x45, WHITE</t>
  </si>
  <si>
    <t>L60-I-12-14-RGB4-MULT-30x75-W</t>
  </si>
  <si>
    <t>L60, INDOOR, 1FT, 14 W/FT,  RGB4, 110~277V, 30x75, WHITE</t>
  </si>
  <si>
    <t>L60-I-12-14-RGB4-MULT-55x55-W</t>
  </si>
  <si>
    <t>L60, INDOOR, 1FT, 14 W/FT,  RGB4, 110~277V, 55x55, WHITE</t>
  </si>
  <si>
    <t>L60-I-12-14-RGB4-MULT-55x60-W</t>
  </si>
  <si>
    <t>L60, INDOOR, 1FT, 14 W/FT,  RGB4, 110~277V, 55x60, WHITE</t>
  </si>
  <si>
    <t>L60-I-12-14-RGB4-MULT-55x90-W</t>
  </si>
  <si>
    <t>L60, INDOOR, 1FT, 14 W/FT,  RGB4, 110~277V, 55x90, WHITE</t>
  </si>
  <si>
    <t>L60-I-12-14-RGB4-MULT-20x20-S</t>
  </si>
  <si>
    <t>L60, INDOOR, 1FT, 14 W/FT,  RGB4, 110~277V, 20x20, SILVER</t>
  </si>
  <si>
    <t>L60-I-12-14-RGB4-MULT-20x40-S</t>
  </si>
  <si>
    <t>L60, INDOOR, 1FT, 14 W/FT,  RGB4, 110~277V, 20x40, SILVER</t>
  </si>
  <si>
    <t>L60-I-12-14-RGB4-MULT-20x70-S</t>
  </si>
  <si>
    <t>L60, INDOOR, 1FT, 14 W/FT,  RGB4, 110~277V, 20x70, SILVER</t>
  </si>
  <si>
    <t>L60-I-12-14-RGB4-MULT-30x30-S</t>
  </si>
  <si>
    <t>L60, INDOOR, 1FT, 14 W/FT,  RGB4, 110~277V, 30x30, SILVER</t>
  </si>
  <si>
    <t>L60-I-12-14-RGB4-MULT-30x45-S</t>
  </si>
  <si>
    <t>L60, INDOOR, 1FT, 14 W/FT,  RGB4, 110~277V, 30x45, SILVER</t>
  </si>
  <si>
    <t>L60-I-12-14-RGB4-MULT-30x75-S</t>
  </si>
  <si>
    <t>L60, INDOOR, 1FT, 14 W/FT,  RGB4, 110~277V, 30x75, SILVER</t>
  </si>
  <si>
    <t>L60-I-12-14-RGB4-MULT-55x55-S</t>
  </si>
  <si>
    <t>L60, INDOOR, 1FT, 14 W/FT,  RGB4, 110~277V, 55x55, SILVER</t>
  </si>
  <si>
    <t>L60-I-12-14-RGB4-MULT-55x60-S</t>
  </si>
  <si>
    <t>L60, INDOOR, 1FT, 14 W/FT,  RGB4, 110~277V, 55x60, SILVER</t>
  </si>
  <si>
    <t>L60-I-12-14-RGB4-MULT-55x90-S</t>
  </si>
  <si>
    <t>L60, INDOOR, 1FT, 14 W/FT,  RGB4, 110~277V, 55x90, SILVER</t>
  </si>
  <si>
    <t>L60-I-12-14-RGB4-MULT-20x20-Z</t>
  </si>
  <si>
    <t>L60, INDOOR, 1FT, 14 W/FT,  RGB4, 110~277V, 20x20, BRONZE</t>
  </si>
  <si>
    <t>L60-I-12-14-RGB4-MULT-20x40-Z</t>
  </si>
  <si>
    <t>L60, INDOOR, 1FT, 14 W/FT,  RGB4, 110~277V, 20x40, BRONZE</t>
  </si>
  <si>
    <t>L60-I-12-14-RGB4-MULT-20x70-Z</t>
  </si>
  <si>
    <t>L60, INDOOR, 1FT, 14 W/FT,  RGB4, 110~277V, 20x70, BRONZE</t>
  </si>
  <si>
    <t>L60-I-12-14-RGB4-MULT-30x30-Z</t>
  </si>
  <si>
    <t>L60, INDOOR, 1FT, 14 W/FT,  RGB4, 110~277V, 30x30, BRONZE</t>
  </si>
  <si>
    <t>L60-I-12-14-RGB4-MULT-30x45-Z</t>
  </si>
  <si>
    <t>L60, INDOOR, 1FT, 14 W/FT,  RGB4, 110~277V, 30x45, BRONZE</t>
  </si>
  <si>
    <t>L60-I-12-14-RGB4-MULT-30x75-Z</t>
  </si>
  <si>
    <t>L60, INDOOR, 1FT, 14 W/FT,  RGB4, 110~277V, 30x75, BRONZE</t>
  </si>
  <si>
    <t>L60-I-12-14-RGB4-MULT-55x55-Z</t>
  </si>
  <si>
    <t>L60, INDOOR, 1FT, 14 W/FT,  RGB4, 110~277V, 55x55, BRONZE</t>
  </si>
  <si>
    <t>L60-I-12-14-RGB4-MULT-55x60-Z</t>
  </si>
  <si>
    <t>L60, INDOOR, 1FT, 14 W/FT,  RGB4, 110~277V, 55x60, BRONZE</t>
  </si>
  <si>
    <t>L60-I-12-14-RGB4-MULT-55x90-Z</t>
  </si>
  <si>
    <t>L60, INDOOR, 1FT, 14 W/FT,  RGB4, 110~277V, 55x90, BRONZE</t>
  </si>
  <si>
    <t>L60-I-12-14-RGB4-MULT-20x20-C</t>
  </si>
  <si>
    <t>L60, INDOOR, 1FT, 14 W/FT,  RGB4, 110~277V, 20x20, CUSTOM</t>
  </si>
  <si>
    <t>L60-I-12-14-RGB4-MULT-20x40-C</t>
  </si>
  <si>
    <t>L60, INDOOR, 1FT, 14 W/FT,  RGB4, 110~277V, 20x40, CUSTOM</t>
  </si>
  <si>
    <t>L60-I-12-14-RGB4-MULT-20x70-C</t>
  </si>
  <si>
    <t>L60, INDOOR, 1FT, 14 W/FT,  RGB4, 110~277V, 20x70, CUSTOM</t>
  </si>
  <si>
    <t>L60-I-12-14-RGB4-MULT-30x30-C</t>
  </si>
  <si>
    <t>L60, INDOOR, 1FT, 14 W/FT,  RGB4, 110~277V, 30x30, CUSTOM</t>
  </si>
  <si>
    <t>L60-I-12-14-RGB4-MULT-30x45-C</t>
  </si>
  <si>
    <t>L60, INDOOR, 1FT, 14 W/FT,  RGB4, 110~277V, 30x45, CUSTOM</t>
  </si>
  <si>
    <t>L60-I-12-14-RGB4-MULT-30x75-C</t>
  </si>
  <si>
    <t>L60, INDOOR, 1FT, 14 W/FT,  RGB4, 110~277V, 30x75, CUSTOM</t>
  </si>
  <si>
    <t>L60-I-12-14-RGB4-MULT-55x55-C</t>
  </si>
  <si>
    <t>L60, INDOOR, 1FT, 14 W/FT,  RGB4, 110~277V, 55x55, CUSTOM</t>
  </si>
  <si>
    <t>L60-I-12-14-RGB4-MULT-55x60-C</t>
  </si>
  <si>
    <t>L60, INDOOR, 1FT, 14 W/FT,  RGB4, 110~277V, 55x60, CUSTOM</t>
  </si>
  <si>
    <t>L60-I-12-14-RGB4-MULT-55x90-C</t>
  </si>
  <si>
    <t>L60, INDOOR, 1FT, 14 W/FT,  RGB4, 110~277V, 55x90, CUSTOM</t>
  </si>
  <si>
    <t>L60-I-12-16-RGB4-MULT-15x15-K</t>
  </si>
  <si>
    <t>L60, INDOOR, 1FT, 16 W/FT,  RGB4, 110~277V, 15x15, BLACK</t>
  </si>
  <si>
    <t>L60-I-12-16-RGB4-MULT-15x15-W</t>
  </si>
  <si>
    <t>L60, INDOOR, 1FT, 16 W/FT,  RGB4, 110~277V, 15x15, WHITE</t>
  </si>
  <si>
    <t>L60-I-12-16-RGB4-MULT-15x15-S</t>
  </si>
  <si>
    <t>L60, INDOOR, 1FT, 16 W/FT,  RGB4, 110~277V, 15x15, SILVER</t>
  </si>
  <si>
    <t>L60-I-12-16-RGB4-MULT-15x15-Z</t>
  </si>
  <si>
    <t>L60, INDOOR, 1FT, 16 W/FT,  RGB4, 110~277V, 15x15, BRONZE</t>
  </si>
  <si>
    <t>L60-I-12-16-RGB4-MULT-15x15-C</t>
  </si>
  <si>
    <t>L60, INDOOR, 1FT, 16 W/FT,  RGB4, 110~277V, 15x15, CUSTOM</t>
  </si>
  <si>
    <t>L60-I-12-16-RGB4-MULT-ASYM-K</t>
  </si>
  <si>
    <t>L60, INDOOR, 1FT, 16 W/FT,  RGB4, 110~277V, ASYM, BLACK</t>
  </si>
  <si>
    <t>L60-I-12-16-RGB4-MULT-ASYM-W</t>
  </si>
  <si>
    <t>L60, INDOOR, 1FT, 16 W/FT,  RGB4, 110~277V, ASYM, WHITE</t>
  </si>
  <si>
    <t>L60-I-12-16-RGB4-MULT-ASYM-S</t>
  </si>
  <si>
    <t>L60, INDOOR, 1FT, 16 W/FT,  RGB4, 110~277V, ASYM, SILVER</t>
  </si>
  <si>
    <t>L60-I-12-16-RGB4-MULT-ASYM-Z</t>
  </si>
  <si>
    <t>L60, INDOOR, 1FT, 16 W/FT,  RGB4, 110~277V, ASYM, BRONZE</t>
  </si>
  <si>
    <t>L60-I-12-16-RGB4-MULT-ASYM-C</t>
  </si>
  <si>
    <t>L60, INDOOR, 1FT, 16 W/FT,  RGB4, 110~277V, ASYM, CUSTOM</t>
  </si>
  <si>
    <t>L60-I-12-16-RGB4-MULT-20x20-K</t>
  </si>
  <si>
    <t>L60, INDOOR, 1FT, 16 W/FT,  RGB4, 110~277V, 20x20, BLACK</t>
  </si>
  <si>
    <t>L60-I-12-16-RGB4-MULT-20x40-K</t>
  </si>
  <si>
    <t>L60, INDOOR, 1FT, 16 W/FT,  RGB4, 110~277V, 20x40, BLACK</t>
  </si>
  <si>
    <t>L60-I-12-16-RGB4-MULT-20x70-K</t>
  </si>
  <si>
    <t>L60, INDOOR, 1FT, 16 W/FT,  RGB4, 110~277V, 20x70, BLACK</t>
  </si>
  <si>
    <t>L60-I-12-16-RGB4-MULT-30x30-K</t>
  </si>
  <si>
    <t>L60, INDOOR, 1FT, 16 W/FT,  RGB4, 110~277V, 30x30, BLACK</t>
  </si>
  <si>
    <t>L60-I-12-16-RGB4-MULT-30x45-K</t>
  </si>
  <si>
    <t>L60, INDOOR, 1FT, 16 W/FT,  RGB4, 110~277V, 30x45, BLACK</t>
  </si>
  <si>
    <t>L60-I-12-16-RGB4-MULT-30x75-K</t>
  </si>
  <si>
    <t>L60, INDOOR, 1FT, 16 W/FT,  RGB4, 110~277V, 30x75, BLACK</t>
  </si>
  <si>
    <t>L60-I-12-16-RGB4-MULT-55x55-K</t>
  </si>
  <si>
    <t>L60, INDOOR, 1FT, 16 W/FT,  RGB4, 110~277V, 55x55, BLACK</t>
  </si>
  <si>
    <t>L60-I-12-16-RGB4-MULT-55x60-K</t>
  </si>
  <si>
    <t>L60, INDOOR, 1FT, 16 W/FT,  RGB4, 110~277V, 55x60, BLACK</t>
  </si>
  <si>
    <t>L60-I-12-16-RGB4-MULT-55x90-K</t>
  </si>
  <si>
    <t>L60, INDOOR, 1FT, 16 W/FT,  RGB4, 110~277V, 55x90, BLACK</t>
  </si>
  <si>
    <t>L60-I-12-16-RGB4-MULT-20x20-W</t>
  </si>
  <si>
    <t>L60, INDOOR, 1FT, 16 W/FT,  RGB4, 110~277V, 20x20, WHITE</t>
  </si>
  <si>
    <t>L60-I-12-16-RGB4-MULT-20x40-W</t>
  </si>
  <si>
    <t>L60, INDOOR, 1FT, 16 W/FT,  RGB4, 110~277V, 20x40, WHITE</t>
  </si>
  <si>
    <t>L60-I-12-16-RGB4-MULT-20x70-W</t>
  </si>
  <si>
    <t>L60, INDOOR, 1FT, 16 W/FT,  RGB4, 110~277V, 20x70, WHITE</t>
  </si>
  <si>
    <t>L60-I-12-16-RGB4-MULT-30x30-W</t>
  </si>
  <si>
    <t>L60, INDOOR, 1FT, 16 W/FT,  RGB4, 110~277V, 30x30, WHITE</t>
  </si>
  <si>
    <t>L60-I-12-16-RGB4-MULT-30x45-W</t>
  </si>
  <si>
    <t>L60, INDOOR, 1FT, 16 W/FT,  RGB4, 110~277V, 30x45, WHITE</t>
  </si>
  <si>
    <t>L60-I-12-16-RGB4-MULT-30x75-W</t>
  </si>
  <si>
    <t>L60, INDOOR, 1FT, 16 W/FT,  RGB4, 110~277V, 30x75, WHITE</t>
  </si>
  <si>
    <t>L60-I-12-16-RGB4-MULT-55x55-W</t>
  </si>
  <si>
    <t>L60, INDOOR, 1FT, 16 W/FT,  RGB4, 110~277V, 55x55, WHITE</t>
  </si>
  <si>
    <t>L60-I-12-16-RGB4-MULT-55x60-W</t>
  </si>
  <si>
    <t>L60, INDOOR, 1FT, 16 W/FT,  RGB4, 110~277V, 55x60, WHITE</t>
  </si>
  <si>
    <t>L60-I-12-16-RGB4-MULT-55x90-W</t>
  </si>
  <si>
    <t>L60, INDOOR, 1FT, 16 W/FT,  RGB4, 110~277V, 55x90, WHITE</t>
  </si>
  <si>
    <t>L60-I-12-16-RGB4-MULT-20x20-S</t>
  </si>
  <si>
    <t>L60, INDOOR, 1FT, 16 W/FT,  RGB4, 110~277V, 20x20, SILVER</t>
  </si>
  <si>
    <t>L60-I-12-16-RGB4-MULT-20x40-S</t>
  </si>
  <si>
    <t>L60, INDOOR, 1FT, 16 W/FT,  RGB4, 110~277V, 20x40, SILVER</t>
  </si>
  <si>
    <t>L60-I-12-16-RGB4-MULT-20x70-S</t>
  </si>
  <si>
    <t>L60, INDOOR, 1FT, 16 W/FT,  RGB4, 110~277V, 20x70, SILVER</t>
  </si>
  <si>
    <t>L60-I-12-16-RGB4-MULT-30x30-S</t>
  </si>
  <si>
    <t>L60, INDOOR, 1FT, 16 W/FT,  RGB4, 110~277V, 30x30, SILVER</t>
  </si>
  <si>
    <t>L60-I-12-16-RGB4-MULT-30x45-S</t>
  </si>
  <si>
    <t>L60, INDOOR, 1FT, 16 W/FT,  RGB4, 110~277V, 30x45, SILVER</t>
  </si>
  <si>
    <t>L60-I-12-16-RGB4-MULT-30x75-S</t>
  </si>
  <si>
    <t>L60, INDOOR, 1FT, 16 W/FT,  RGB4, 110~277V, 30x75, SILVER</t>
  </si>
  <si>
    <t>L60-I-12-16-RGB4-MULT-55x55-S</t>
  </si>
  <si>
    <t>L60, INDOOR, 1FT, 16 W/FT,  RGB4, 110~277V, 55x55, SILVER</t>
  </si>
  <si>
    <t>L60-I-12-16-RGB4-MULT-55x60-S</t>
  </si>
  <si>
    <t>L60, INDOOR, 1FT, 16 W/FT,  RGB4, 110~277V, 55x60, SILVER</t>
  </si>
  <si>
    <t>L60-I-12-16-RGB4-MULT-55x90-S</t>
  </si>
  <si>
    <t>L60, INDOOR, 1FT, 16 W/FT,  RGB4, 110~277V, 55x90, SILVER</t>
  </si>
  <si>
    <t>L60-I-12-16-RGB4-MULT-20x20-Z</t>
  </si>
  <si>
    <t>L60, INDOOR, 1FT, 16 W/FT,  RGB4, 110~277V, 20x20, BRONZE</t>
  </si>
  <si>
    <t>L60-I-12-16-RGB4-MULT-20x40-Z</t>
  </si>
  <si>
    <t>L60, INDOOR, 1FT, 16 W/FT,  RGB4, 110~277V, 20x40, BRONZE</t>
  </si>
  <si>
    <t>L60-I-12-16-RGB4-MULT-20x70-Z</t>
  </si>
  <si>
    <t>L60, INDOOR, 1FT, 16 W/FT,  RGB4, 110~277V, 20x70, BRONZE</t>
  </si>
  <si>
    <t>L60-I-12-16-RGB4-MULT-30x30-Z</t>
  </si>
  <si>
    <t>L60, INDOOR, 1FT, 16 W/FT,  RGB4, 110~277V, 30x30, BRONZE</t>
  </si>
  <si>
    <t>L60-I-12-16-RGB4-MULT-30x45-Z</t>
  </si>
  <si>
    <t>L60, INDOOR, 1FT, 16 W/FT,  RGB4, 110~277V, 30x45, BRONZE</t>
  </si>
  <si>
    <t>L60-I-12-16-RGB4-MULT-30x75-Z</t>
  </si>
  <si>
    <t>L60, INDOOR, 1FT, 16 W/FT,  RGB4, 110~277V, 30x75, BRONZE</t>
  </si>
  <si>
    <t>L60-I-12-16-RGB4-MULT-55x55-Z</t>
  </si>
  <si>
    <t>L60, INDOOR, 1FT, 16 W/FT,  RGB4, 110~277V, 55x55, BRONZE</t>
  </si>
  <si>
    <t>L60-I-12-16-RGB4-MULT-55x60-Z</t>
  </si>
  <si>
    <t>L60, INDOOR, 1FT, 16 W/FT,  RGB4, 110~277V, 55x60, BRONZE</t>
  </si>
  <si>
    <t>L60-I-12-16-RGB4-MULT-55x90-Z</t>
  </si>
  <si>
    <t>L60, INDOOR, 1FT, 16 W/FT,  RGB4, 110~277V, 55x90, BRONZE</t>
  </si>
  <si>
    <t>L60-I-12-16-RGB4-MULT-20x20-C</t>
  </si>
  <si>
    <t>L60, INDOOR, 1FT, 16 W/FT,  RGB4, 110~277V, 20x20, CUSTOM</t>
  </si>
  <si>
    <t>L60-I-12-16-RGB4-MULT-20x40-C</t>
  </si>
  <si>
    <t>L60, INDOOR, 1FT, 16 W/FT,  RGB4, 110~277V, 20x40, CUSTOM</t>
  </si>
  <si>
    <t>L60-I-12-16-RGB4-MULT-20x70-C</t>
  </si>
  <si>
    <t>L60, INDOOR, 1FT, 16 W/FT,  RGB4, 110~277V, 20x70, CUSTOM</t>
  </si>
  <si>
    <t>L60-I-12-16-RGB4-MULT-30x30-C</t>
  </si>
  <si>
    <t>L60, INDOOR, 1FT, 16 W/FT,  RGB4, 110~277V, 30x30, CUSTOM</t>
  </si>
  <si>
    <t>L60-I-12-16-RGB4-MULT-30x45-C</t>
  </si>
  <si>
    <t>L60, INDOOR, 1FT, 16 W/FT,  RGB4, 110~277V, 30x45, CUSTOM</t>
  </si>
  <si>
    <t>L60-I-12-16-RGB4-MULT-30x75-C</t>
  </si>
  <si>
    <t>L60, INDOOR, 1FT, 16 W/FT,  RGB4, 110~277V, 30x75, CUSTOM</t>
  </si>
  <si>
    <t>L60-I-12-16-RGB4-MULT-55x55-C</t>
  </si>
  <si>
    <t>L60, INDOOR, 1FT, 16 W/FT,  RGB4, 110~277V, 55x55, CUSTOM</t>
  </si>
  <si>
    <t>L60-I-12-16-RGB4-MULT-55x60-C</t>
  </si>
  <si>
    <t>L60, INDOOR, 1FT, 16 W/FT,  RGB4, 110~277V, 55x60, CUSTOM</t>
  </si>
  <si>
    <t>L60-I-12-16-RGB4-MULT-55x90-C</t>
  </si>
  <si>
    <t>L60, INDOOR, 1FT, 16 W/FT,  RGB4, 110~277V, 55x90, CUSTOM</t>
  </si>
  <si>
    <t>L45-E-48-12-RGB4-MULT-120-K</t>
  </si>
  <si>
    <t>L45, OUTDOOR, 4FT, 12 W/FT,  RGB4, 110~277V, 120, BLACK</t>
  </si>
  <si>
    <t>L45-E-48-12-RGB4-MULT-120-W</t>
  </si>
  <si>
    <t>L45, OUTDOOR, 4FT, 12 W/FT,  RGB4, 110~277V, 120, WHITE</t>
  </si>
  <si>
    <t>L45-E-48-12-RGB4-MULT-120-S</t>
  </si>
  <si>
    <t>L45, OUTDOOR, 4FT, 12 W/FT,  RGB4, 110~277V, 120, SILVER</t>
  </si>
  <si>
    <t>L45-E-48-12-RGB4-MULT-120-Z</t>
  </si>
  <si>
    <t>L45, OUTDOOR, 4FT, 12 W/FT,  RGB4, 110~277V, 120, BRONZE</t>
  </si>
  <si>
    <t>L45-E-48-12-RGB4-MULT-120-C</t>
  </si>
  <si>
    <t>L45, OUTDOOR, 4FT, 12 W/FT,  RGB4, 110~277V, 120, CUSTOM</t>
  </si>
  <si>
    <t>L45-E-48-14-RGB4-MULT-120-K</t>
  </si>
  <si>
    <t>L45, OUTDOOR, 4FT, 14 W/FT,  RGB4, 110~277V, 120, BLACK</t>
  </si>
  <si>
    <t>L45-E-48-14-RGB4-MULT-120-W</t>
  </si>
  <si>
    <t>L45, OUTDOOR, 4FT, 14 W/FT,  RGB4, 110~277V, 120, WHITE</t>
  </si>
  <si>
    <t>L45-E-48-14-RGB4-MULT-120-S</t>
  </si>
  <si>
    <t>L45, OUTDOOR, 4FT, 14 W/FT,  RGB4, 110~277V, 120, SILVER</t>
  </si>
  <si>
    <t>L45-E-48-14-RGB4-MULT-120-Z</t>
  </si>
  <si>
    <t>L45, OUTDOOR, 4FT, 14 W/FT,  RGB4, 110~277V, 120, BRONZE</t>
  </si>
  <si>
    <t>L45-E-48-14-RGB4-MULT-120-C</t>
  </si>
  <si>
    <t>L45, OUTDOOR, 4FT, 14 W/FT,  RGB4, 110~277V, 120, CUSTOM</t>
  </si>
  <si>
    <t>L45-E-48-16-RGB4-MULT-120-K</t>
  </si>
  <si>
    <t>L45, OUTDOOR, 4FT, 16 W/FT,  RGB4, 110~277V, 120, BLACK</t>
  </si>
  <si>
    <t>L45-E-48-16-RGB4-MULT-120-W</t>
  </si>
  <si>
    <t>L45, OUTDOOR, 4FT, 16 W/FT,  RGB4, 110~277V, 120, WHITE</t>
  </si>
  <si>
    <t>L45-E-48-16-RGB4-MULT-120-S</t>
  </si>
  <si>
    <t>L45, OUTDOOR, 4FT, 16 W/FT,  RGB4, 110~277V, 120, SILVER</t>
  </si>
  <si>
    <t>L45-E-48-16-RGB4-MULT-120-Z</t>
  </si>
  <si>
    <t>L45, OUTDOOR, 4FT, 16 W/FT,  RGB4, 110~277V, 120, BRONZE</t>
  </si>
  <si>
    <t>L45-E-48-16-RGB4-MULT-120-C</t>
  </si>
  <si>
    <t>L45, OUTDOOR, 4FT, 16 W/FT,  RGB4, 110~277V, 120, CUSTOM</t>
  </si>
  <si>
    <t>L45-E-12-12-RGB4-MULT-120-K</t>
  </si>
  <si>
    <t>L45, OUTDOOR, 1FT, 12 W/FT,  RGB4, 110~277V, 120, BLACK</t>
  </si>
  <si>
    <t>L45-E-12-12-RGB4-MULT-120-W</t>
  </si>
  <si>
    <t>L45, OUTDOOR, 1FT, 12 W/FT,  RGB4, 110~277V, 120, WHITE</t>
  </si>
  <si>
    <t>L45-E-12-12-RGB4-MULT-120-S</t>
  </si>
  <si>
    <t>L45, OUTDOOR, 1FT, 12 W/FT,  RGB4, 110~277V, 120, SILVER</t>
  </si>
  <si>
    <t>L45-E-12-12-RGB4-MULT-120-Z</t>
  </si>
  <si>
    <t>L45, OUTDOOR, 1FT, 12 W/FT,  RGB4, 110~277V, 120, BRONZE</t>
  </si>
  <si>
    <t>L45-E-12-12-RGB4-MULT-120-C</t>
  </si>
  <si>
    <t>L45, OUTDOOR, 1FT, 12 W/FT,  RGB4, 110~277V, 120, CUSTOM</t>
  </si>
  <si>
    <t>L45-E-12-14-RGB4-MULT-120-K</t>
  </si>
  <si>
    <t>L45, OUTDOOR, 1FT, 14 W/FT,  RGB4, 110~277V, 120, BLACK</t>
  </si>
  <si>
    <t>L45-E-12-14-RGB4-MULT-120-W</t>
  </si>
  <si>
    <t>L45, OUTDOOR, 1FT, 14 W/FT,  RGB4, 110~277V, 120, WHITE</t>
  </si>
  <si>
    <t>L45-E-12-14-RGB4-MULT-120-S</t>
  </si>
  <si>
    <t>L45, OUTDOOR, 1FT, 14 W/FT,  RGB4, 110~277V, 120, SILVER</t>
  </si>
  <si>
    <t>L45-E-12-14-RGB4-MULT-120-Z</t>
  </si>
  <si>
    <t>L45, OUTDOOR, 1FT, 14 W/FT,  RGB4, 110~277V, 120, BRONZE</t>
  </si>
  <si>
    <t>L45-E-12-14-RGB4-MULT-120-C</t>
  </si>
  <si>
    <t>L45, OUTDOOR, 1FT, 14 W/FT,  RGB4, 110~277V, 120, CUSTOM</t>
  </si>
  <si>
    <t>L45-E-12-16-RGB4-MULT-120-K</t>
  </si>
  <si>
    <t>L45, OUTDOOR, 1FT, 16 W/FT,  RGB4, 110~277V, 120, BLACK</t>
  </si>
  <si>
    <t>L45-E-12-16-RGB4-MULT-120-W</t>
  </si>
  <si>
    <t>L45, OUTDOOR, 1FT, 16 W/FT,  RGB4, 110~277V, 120, WHITE</t>
  </si>
  <si>
    <t>L45-E-12-16-RGB4-MULT-120-S</t>
  </si>
  <si>
    <t>L45, OUTDOOR, 1FT, 16 W/FT,  RGB4, 110~277V, 120, SILVER</t>
  </si>
  <si>
    <t>L45-E-12-16-RGB4-MULT-120-Z</t>
  </si>
  <si>
    <t>L45, OUTDOOR, 1FT, 16 W/FT,  RGB4, 110~277V, 120, BRONZE</t>
  </si>
  <si>
    <t>L45-E-12-16-RGB4-MULT-120-C</t>
  </si>
  <si>
    <t>L45, OUTDOOR, 1FT, 16 W/FT,  RGB4, 110~277V, 120, CUSTOM</t>
  </si>
  <si>
    <t>L45-I-48-12-RGB4-MULT-120-K</t>
  </si>
  <si>
    <t>L45, INDOOR, 4FT, 12 W/FT,  RGB4, 110~277V, 120, BLACK</t>
  </si>
  <si>
    <t>L45-I-48-12-RGB4-MULT-120-W</t>
  </si>
  <si>
    <t>L45, INDOOR, 4FT, 12 W/FT,  RGB4, 110~277V, 120, WHITE</t>
  </si>
  <si>
    <t>L45-I-48-12-RGB4-MULT-120-S</t>
  </si>
  <si>
    <t>L45, INDOOR, 4FT, 12 W/FT,  RGB4, 110~277V, 120, SILVER</t>
  </si>
  <si>
    <t>L45-I-48-12-RGB4-MULT-120-Z</t>
  </si>
  <si>
    <t>L45, INDOOR, 4FT, 12 W/FT,  RGB4, 110~277V, 120, BRONZE</t>
  </si>
  <si>
    <t>L45-I-48-12-RGB4-MULT-120-C</t>
  </si>
  <si>
    <t>L45, INDOOR, 4FT, 12 W/FT,  RGB4, 110~277V, 120, CUSTOM</t>
  </si>
  <si>
    <t>L45-I-48-14-RGB4-MULT-120-K</t>
  </si>
  <si>
    <t>L45, INDOOR, 4FT, 14 W/FT,  RGB4, 110~277V, 120, BLACK</t>
  </si>
  <si>
    <t>L45-I-48-14-RGB4-MULT-120-W</t>
  </si>
  <si>
    <t>L45, INDOOR, 4FT, 14 W/FT,  RGB4, 110~277V, 120, WHITE</t>
  </si>
  <si>
    <t>L45-I-48-14-RGB4-MULT-120-S</t>
  </si>
  <si>
    <t>L45, INDOOR, 4FT, 14 W/FT,  RGB4, 110~277V, 120, SILVER</t>
  </si>
  <si>
    <t>L45-I-48-14-RGB4-MULT-120-Z</t>
  </si>
  <si>
    <t>L45, INDOOR, 4FT, 14 W/FT,  RGB4, 110~277V, 120, BRONZE</t>
  </si>
  <si>
    <t>L45-I-48-14-RGB4-MULT-120-C</t>
  </si>
  <si>
    <t>L45, INDOOR, 4FT, 14 W/FT,  RGB4, 110~277V, 120, CUSTOM</t>
  </si>
  <si>
    <t>L45-I-48-16-RGB4-MULT-120-K</t>
  </si>
  <si>
    <t>L45, INDOOR, 4FT, 16 W/FT,  RGB4, 110~277V, 120, BLACK</t>
  </si>
  <si>
    <t>L45-I-48-16-RGB4-MULT-120-W</t>
  </si>
  <si>
    <t>L45, INDOOR, 4FT, 16 W/FT,  RGB4, 110~277V, 120, WHITE</t>
  </si>
  <si>
    <t>L45-I-48-16-RGB4-MULT-120-S</t>
  </si>
  <si>
    <t>L45, INDOOR, 4FT, 16 W/FT,  RGB4, 110~277V, 120, SILVER</t>
  </si>
  <si>
    <t>L45-I-48-16-RGB4-MULT-120-Z</t>
  </si>
  <si>
    <t>L45, INDOOR, 4FT, 16 W/FT,  RGB4, 110~277V, 120, BRONZE</t>
  </si>
  <si>
    <t>L45-I-48-16-RGB4-MULT-120-C</t>
  </si>
  <si>
    <t>L45, INDOOR, 4FT, 16 W/FT,  RGB4, 110~277V, 120, CUSTOM</t>
  </si>
  <si>
    <t>L45-I-12-12-RGB4-MULT-120-K</t>
  </si>
  <si>
    <t>L45, INDOOR, 1FT, 12 W/FT,  RGB4, 110~277V, 120, BLACK</t>
  </si>
  <si>
    <t>L45-I-12-12-RGB4-MULT-120-W</t>
  </si>
  <si>
    <t>L45, INDOOR, 1FT, 12 W/FT,  RGB4, 110~277V, 120, WHITE</t>
  </si>
  <si>
    <t>L45-I-12-12-RGB4-MULT-120-S</t>
  </si>
  <si>
    <t>L45, INDOOR, 1FT, 12 W/FT,  RGB4, 110~277V, 120, SILVER</t>
  </si>
  <si>
    <t>L45-I-12-12-RGB4-MULT-120-Z</t>
  </si>
  <si>
    <t>L45, INDOOR, 1FT, 12 W/FT,  RGB4, 110~277V, 120, BRONZE</t>
  </si>
  <si>
    <t>L45-I-12-12-RGB4-MULT-120-C</t>
  </si>
  <si>
    <t>L45, INDOOR, 1FT, 12 W/FT,  RGB4, 110~277V, 120, CUSTOM</t>
  </si>
  <si>
    <t>L45-I-12-14-RGB4-MULT-120-K</t>
  </si>
  <si>
    <t>L45, INDOOR, 1FT, 14 W/FT,  RGB4, 110~277V, 120, BLACK</t>
  </si>
  <si>
    <t>L45-I-12-14-RGB4-MULT-120-W</t>
  </si>
  <si>
    <t>L45, INDOOR, 1FT, 14 W/FT,  RGB4, 110~277V, 120, WHITE</t>
  </si>
  <si>
    <t>L45-I-12-14-RGB4-MULT-120-S</t>
  </si>
  <si>
    <t>L45, INDOOR, 1FT, 14 W/FT,  RGB4, 110~277V, 120, SILVER</t>
  </si>
  <si>
    <t>L45-I-12-14-RGB4-MULT-120-Z</t>
  </si>
  <si>
    <t>L45, INDOOR, 1FT, 14 W/FT,  RGB4, 110~277V, 120, BRONZE</t>
  </si>
  <si>
    <t>L45-I-12-14-RGB4-MULT-120-C</t>
  </si>
  <si>
    <t>L45, INDOOR, 1FT, 14 W/FT,  RGB4, 110~277V, 120, CUSTOM</t>
  </si>
  <si>
    <t>L45-I-12-16-RGB4-MULT-120-K</t>
  </si>
  <si>
    <t>L45, INDOOR, 1FT, 16 W/FT,  RGB4, 110~277V, 120, BLACK</t>
  </si>
  <si>
    <t>L45-I-12-16-RGB4-MULT-120-W</t>
  </si>
  <si>
    <t>L45, INDOOR, 1FT, 16 W/FT,  RGB4, 110~277V, 120, WHITE</t>
  </si>
  <si>
    <t>L45-I-12-16-RGB4-MULT-120-S</t>
  </si>
  <si>
    <t>L45, INDOOR, 1FT, 16 W/FT,  RGB4, 110~277V, 120, SILVER</t>
  </si>
  <si>
    <t>L45-I-12-16-RGB4-MULT-120-Z</t>
  </si>
  <si>
    <t>L45, INDOOR, 1FT, 16 W/FT,  RGB4, 110~277V, 120, BRONZE</t>
  </si>
  <si>
    <t>L45-I-12-16-RGB4-MULT-120-C</t>
  </si>
  <si>
    <t>L45, INDOOR, 1FT, 16 W/FT,  RGB4, 110~277V, 120, CUSTOM</t>
  </si>
  <si>
    <t>L45-E-12-10-RGB3-MULT-120-C</t>
  </si>
  <si>
    <t>APC-000421-01</t>
  </si>
  <si>
    <t>LED PCBA, RGB3,HECATE Color, 1FT</t>
  </si>
  <si>
    <t>L45-E-12-10-RGB3-MULT-120-K</t>
  </si>
  <si>
    <t>L45-E-12-10-RGB3-MULT-120-S</t>
  </si>
  <si>
    <t>L45-E-12-10-RGB3-MULT-120-W</t>
  </si>
  <si>
    <t>L45-E-12-10-RGB3-MULT-120-Z</t>
  </si>
  <si>
    <t>L45-E-12-12-RGB3-MULT-120-C</t>
  </si>
  <si>
    <t>L45, OUTDOOR, 1FT, 12 W/FT,  RGB3, 110~277V, 120, CUSTOM</t>
  </si>
  <si>
    <t>L45-E-12-12-RGB3-MULT-120-K</t>
  </si>
  <si>
    <t>L45, OUTDOOR, 1FT, 12 W/FT,  RGB3, 110~277V, 120, BLACK</t>
  </si>
  <si>
    <t>L45-E-12-12-RGB3-MULT-120-S</t>
  </si>
  <si>
    <t>L45, OUTDOOR, 1FT, 12 W/FT,  RGB3, 110~277V, 120, SILVER</t>
  </si>
  <si>
    <t>L45-E-12-12-RGB3-MULT-120-W</t>
  </si>
  <si>
    <t>L45, OUTDOOR, 1FT, 12 W/FT,  RGB3, 110~277V, 120, WHITE</t>
  </si>
  <si>
    <t>L45-E-12-12-RGB3-MULT-120-Z</t>
  </si>
  <si>
    <t>L45, OUTDOOR, 1FT, 12 W/FT,  RGB3, 110~277V, 120, BRONZE</t>
  </si>
  <si>
    <t>L45-E-12-14-RGB3-MULT-120-C</t>
  </si>
  <si>
    <t>L45, OUTDOOR, 1FT, 14 W/FT,  RGB3, 110~277V, 120, CUSTOM</t>
  </si>
  <si>
    <t>L45-E-12-14-RGB3-MULT-120-K</t>
  </si>
  <si>
    <t>L45, OUTDOOR, 1FT, 14 W/FT,  RGB3, 110~277V, 120, BLACK</t>
  </si>
  <si>
    <t>L45-E-12-14-RGB3-MULT-120-S</t>
  </si>
  <si>
    <t>L45, OUTDOOR, 1FT, 14 W/FT,  RGB3, 110~277V, 120, SILVER</t>
  </si>
  <si>
    <t>L45-E-12-14-RGB3-MULT-120-W</t>
  </si>
  <si>
    <t>L45, OUTDOOR, 1FT, 14 W/FT,  RGB3, 110~277V, 120, WHITE</t>
  </si>
  <si>
    <t>L45-E-12-14-RGB3-MULT-120-Z</t>
  </si>
  <si>
    <t>L45, OUTDOOR, 1FT, 14 W/FT,  RGB3, 110~277V, 120, BRONZE</t>
  </si>
  <si>
    <t>L45-E-12-16-RGB3-MULT-120-C</t>
  </si>
  <si>
    <t>L45, OUTDOOR, 1FT, 16 W/FT,  RGB3, 110~277V, 120, CUSTOM</t>
  </si>
  <si>
    <t>L45-E-12-16-RGB3-MULT-120-K</t>
  </si>
  <si>
    <t>L45, OUTDOOR, 1FT, 16 W/FT,  RGB3, 110~277V, 120, BLACK</t>
  </si>
  <si>
    <t>L45-E-12-16-RGB3-MULT-120-S</t>
  </si>
  <si>
    <t>L45, OUTDOOR, 1FT, 16 W/FT,  RGB3, 110~277V, 120, SILVER</t>
  </si>
  <si>
    <t>L45-E-12-16-RGB3-MULT-120-W</t>
  </si>
  <si>
    <t>L45, OUTDOOR, 1FT, 16 W/FT,  RGB3, 110~277V, 120, WHITE</t>
  </si>
  <si>
    <t>L45-E-12-16-RGB3-MULT-120-Z</t>
  </si>
  <si>
    <t>L45, OUTDOOR, 1FT, 16 W/FT,  RGB3, 110~277V, 120, BRONZE</t>
  </si>
  <si>
    <t>L45-E-12-18-RGB3-MULT-120-C</t>
  </si>
  <si>
    <t>L45-E-12-18-RGB3-MULT-120-K</t>
  </si>
  <si>
    <t>L45-E-12-18-RGB3-MULT-120-S</t>
  </si>
  <si>
    <t>L45-E-12-18-RGB3-MULT-120-W</t>
  </si>
  <si>
    <t>L45-E-12-18-RGB3-MULT-120-Z</t>
  </si>
  <si>
    <t>L45-E-48-10-RGB3-MULT-120-C</t>
  </si>
  <si>
    <t>L45-E-48-10-RGB3-MULT-120-K</t>
  </si>
  <si>
    <t>L45-E-48-10-RGB3-MULT-120-S</t>
  </si>
  <si>
    <t>L45-E-48-10-RGB3-MULT-120-W</t>
  </si>
  <si>
    <t>L45-E-48-10-RGB3-MULT-120-Z</t>
  </si>
  <si>
    <t>L45-E-48-12-RGB3-MULT-120-C</t>
  </si>
  <si>
    <t>L45, OUTDOOR, 4FT, 12 W/FT,  RGB3, 110~277V, 120, CUSTOM</t>
  </si>
  <si>
    <t>L45-E-48-12-RGB3-MULT-120-K</t>
  </si>
  <si>
    <t>L45, OUTDOOR, 4FT, 12 W/FT,  RGB3, 110~277V, 120, BLACK</t>
  </si>
  <si>
    <t>L45-E-48-12-RGB3-MULT-120-S</t>
  </si>
  <si>
    <t>L45, OUTDOOR, 4FT, 12 W/FT,  RGB3, 110~277V, 120, SILVER</t>
  </si>
  <si>
    <t>L45-E-48-12-RGB3-MULT-120-W</t>
  </si>
  <si>
    <t>L45, OUTDOOR, 4FT, 12 W/FT,  RGB3, 110~277V, 120, WHITE</t>
  </si>
  <si>
    <t>L45-E-48-12-RGB3-MULT-120-Z</t>
  </si>
  <si>
    <t>L45, OUTDOOR, 4FT, 12 W/FT,  RGB3, 110~277V, 120, BRONZE</t>
  </si>
  <si>
    <t>L45-E-48-14-RGB3-MULT-120-C</t>
  </si>
  <si>
    <t>L45, OUTDOOR, 4FT, 14 W/FT,  RGB3, 110~277V, 120, CUSTOM</t>
  </si>
  <si>
    <t>L45-E-48-14-RGB3-MULT-120-K</t>
  </si>
  <si>
    <t>L45, OUTDOOR, 4FT, 14 W/FT,  RGB3, 110~277V, 120, BLACK</t>
  </si>
  <si>
    <t>L45-E-48-14-RGB3-MULT-120-S</t>
  </si>
  <si>
    <t>L45, OUTDOOR, 4FT, 14 W/FT,  RGB3, 110~277V, 120, SILVER</t>
  </si>
  <si>
    <t>L45-E-48-14-RGB3-MULT-120-W</t>
  </si>
  <si>
    <t>L45, OUTDOOR, 4FT, 14 W/FT,  RGB3, 110~277V, 120, WHITE</t>
  </si>
  <si>
    <t>L45-E-48-14-RGB3-MULT-120-Z</t>
  </si>
  <si>
    <t>L45, OUTDOOR, 4FT, 14 W/FT,  RGB3, 110~277V, 120, BRONZE</t>
  </si>
  <si>
    <t>L45-E-48-16-RGB3-MULT-120-C</t>
  </si>
  <si>
    <t>L45, OUTDOOR, 4FT, 16 W/FT,  RGB3, 110~277V, 120, CUSTOM</t>
  </si>
  <si>
    <t>L45-E-48-16-RGB3-MULT-120-K</t>
  </si>
  <si>
    <t>L45, OUTDOOR, 4FT, 16 W/FT,  RGB3, 110~277V, 120, BLACK</t>
  </si>
  <si>
    <t>L45-E-48-16-RGB3-MULT-120-S</t>
  </si>
  <si>
    <t>L45, OUTDOOR, 4FT, 16 W/FT,  RGB3, 110~277V, 120, SILVER</t>
  </si>
  <si>
    <t>L45-E-48-16-RGB3-MULT-120-W</t>
  </si>
  <si>
    <t>L45, OUTDOOR, 4FT, 16 W/FT,  RGB3, 110~277V, 120, WHITE</t>
  </si>
  <si>
    <t>L45-E-48-16-RGB3-MULT-120-Z</t>
  </si>
  <si>
    <t>L45, OUTDOOR, 4FT, 16 W/FT,  RGB3, 110~277V, 120, BRONZE</t>
  </si>
  <si>
    <t>L45-E-48-18-RGB3-MULT-120-C</t>
  </si>
  <si>
    <t>L45-E-48-18-RGB3-MULT-120-K</t>
  </si>
  <si>
    <t>L45-E-48-18-RGB3-MULT-120-S</t>
  </si>
  <si>
    <t>L45-E-48-18-RGB3-MULT-120-W</t>
  </si>
  <si>
    <t>L45-E-48-18-RGB3-MULT-120-Z</t>
  </si>
  <si>
    <t>L45-I-12-10-RGB3-MULT-120-C</t>
  </si>
  <si>
    <t>L45-I-12-10-RGB3-MULT-120-K</t>
  </si>
  <si>
    <t>L45-I-12-10-RGB3-MULT-120-S</t>
  </si>
  <si>
    <t>L45-I-12-10-RGB3-MULT-120-W</t>
  </si>
  <si>
    <t>L45-I-12-10-RGB3-MULT-120-Z</t>
  </si>
  <si>
    <t>L45-I-12-12-RGB3-MULT-120-C</t>
  </si>
  <si>
    <t>L45, INDOOR, 1FT, 12 W/FT,  RGB3, 110~277V, 120, CUSTOM</t>
  </si>
  <si>
    <t>L45-I-12-12-RGB3-MULT-120-K</t>
  </si>
  <si>
    <t>L45, INDOOR, 1FT, 12 W/FT,  RGB3, 110~277V, 120, BLACK</t>
  </si>
  <si>
    <t>L45-I-12-12-RGB3-MULT-120-S</t>
  </si>
  <si>
    <t>L45, INDOOR, 1FT, 12 W/FT,  RGB3, 110~277V, 120, SILVER</t>
  </si>
  <si>
    <t>L45-I-12-12-RGB3-MULT-120-W</t>
  </si>
  <si>
    <t>L45, INDOOR, 1FT, 12 W/FT,  RGB3, 110~277V, 120, WHITE</t>
  </si>
  <si>
    <t>L45-I-12-12-RGB3-MULT-120-Z</t>
  </si>
  <si>
    <t>L45, INDOOR, 1FT, 12 W/FT,  RGB3, 110~277V, 120, BRONZE</t>
  </si>
  <si>
    <t>L45-I-12-14-RGB3-MULT-120-C</t>
  </si>
  <si>
    <t>L45, INDOOR, 1FT, 14 W/FT,  RGB3, 110~277V, 120, CUSTOM</t>
  </si>
  <si>
    <t>L45-I-12-14-RGB3-MULT-120-K</t>
  </si>
  <si>
    <t>L45, INDOOR, 1FT, 14 W/FT,  RGB3, 110~277V, 120, BLACK</t>
  </si>
  <si>
    <t>L45-I-12-14-RGB3-MULT-120-S</t>
  </si>
  <si>
    <t>L45, INDOOR, 1FT, 14 W/FT,  RGB3, 110~277V, 120, SILVER</t>
  </si>
  <si>
    <t>L45-I-12-14-RGB3-MULT-120-W</t>
  </si>
  <si>
    <t>L45, INDOOR, 1FT, 14 W/FT,  RGB3, 110~277V, 120, WHITE</t>
  </si>
  <si>
    <t>L45-I-12-14-RGB3-MULT-120-Z</t>
  </si>
  <si>
    <t>L45, INDOOR, 1FT, 14 W/FT,  RGB3, 110~277V, 120, BRONZE</t>
  </si>
  <si>
    <t>L45-I-12-16-RGB3-MULT-120-C</t>
  </si>
  <si>
    <t>L45, INDOOR, 1FT, 16 W/FT,  RGB3, 110~277V, 120, CUSTOM</t>
  </si>
  <si>
    <t>L45-I-12-16-RGB3-MULT-120-K</t>
  </si>
  <si>
    <t>L45, INDOOR, 1FT, 16 W/FT,  RGB3, 110~277V, 120, BLACK</t>
  </si>
  <si>
    <t>L45-I-12-16-RGB3-MULT-120-S</t>
  </si>
  <si>
    <t>L45, INDOOR, 1FT, 16 W/FT,  RGB3, 110~277V, 120, SILVER</t>
  </si>
  <si>
    <t>L45-I-12-16-RGB3-MULT-120-W</t>
  </si>
  <si>
    <t>L45, INDOOR, 1FT, 16 W/FT,  RGB3, 110~277V, 120, WHITE</t>
  </si>
  <si>
    <t>L45-I-12-16-RGB3-MULT-120-Z</t>
  </si>
  <si>
    <t>L45, INDOOR, 1FT, 16 W/FT,  RGB3, 110~277V, 120, BRONZE</t>
  </si>
  <si>
    <t>L45-I-12-18-RGB3-MULT-120-C</t>
  </si>
  <si>
    <t>L45-I-12-18-RGB3-MULT-120-K</t>
  </si>
  <si>
    <t>L45-I-12-18-RGB3-MULT-120-S</t>
  </si>
  <si>
    <t>L45-I-12-18-RGB3-MULT-120-W</t>
  </si>
  <si>
    <t>L45-I-12-18-RGB3-MULT-120-Z</t>
  </si>
  <si>
    <t>L45-I-48-10-RGB3-MULT-120-C</t>
  </si>
  <si>
    <t>L45-I-48-10-RGB3-MULT-120-K</t>
  </si>
  <si>
    <t>L45-I-48-10-RGB3-MULT-120-S</t>
  </si>
  <si>
    <t>L45-I-48-10-RGB3-MULT-120-W</t>
  </si>
  <si>
    <t>L45-I-48-10-RGB3-MULT-120-Z</t>
  </si>
  <si>
    <t>L45-I-48-12-RGB3-MULT-120-C</t>
  </si>
  <si>
    <t>L45, INDOOR, 4FT, 12 W/FT,  RGB3, 110~277V, 120, CUSTOM</t>
  </si>
  <si>
    <t>L45-I-48-12-RGB3-MULT-120-K</t>
  </si>
  <si>
    <t>L45, INDOOR, 4FT, 12 W/FT,  RGB3, 110~277V, 120, BLACK</t>
  </si>
  <si>
    <t>L45-I-48-12-RGB3-MULT-120-S</t>
  </si>
  <si>
    <t>L45, INDOOR, 4FT, 12 W/FT,  RGB3, 110~277V, 120, SILVER</t>
  </si>
  <si>
    <t>L45-I-48-12-RGB3-MULT-120-W</t>
  </si>
  <si>
    <t>L45, INDOOR, 4FT, 12 W/FT,  RGB3, 110~277V, 120, WHITE</t>
  </si>
  <si>
    <t>L45-I-48-12-RGB3-MULT-120-Z</t>
  </si>
  <si>
    <t>L45, INDOOR, 4FT, 12 W/FT,  RGB3, 110~277V, 120, BRONZE</t>
  </si>
  <si>
    <t>L45-I-48-14-RGB3-MULT-120-C</t>
  </si>
  <si>
    <t>L45, INDOOR, 4FT, 14 W/FT,  RGB3, 110~277V, 120, CUSTOM</t>
  </si>
  <si>
    <t>L45-I-48-14-RGB3-MULT-120-K</t>
  </si>
  <si>
    <t>L45, INDOOR, 4FT, 14 W/FT,  RGB3, 110~277V, 120, BLACK</t>
  </si>
  <si>
    <t>L45-I-48-14-RGB3-MULT-120-S</t>
  </si>
  <si>
    <t>L45, INDOOR, 4FT, 14 W/FT,  RGB3, 110~277V, 120, SILVER</t>
  </si>
  <si>
    <t>L45-I-48-14-RGB3-MULT-120-W</t>
  </si>
  <si>
    <t>L45, INDOOR, 4FT, 14 W/FT,  RGB3, 110~277V, 120, WHITE</t>
  </si>
  <si>
    <t>L45-I-48-14-RGB3-MULT-120-Z</t>
  </si>
  <si>
    <t>L45, INDOOR, 4FT, 14 W/FT,  RGB3, 110~277V, 120, BRONZE</t>
  </si>
  <si>
    <t>L45-I-48-16-RGB3-MULT-120-C</t>
  </si>
  <si>
    <t>L45, INDOOR, 4FT, 16 W/FT,  RGB3, 110~277V, 120, CUSTOM</t>
  </si>
  <si>
    <t>L45-I-48-16-RGB3-MULT-120-K</t>
  </si>
  <si>
    <t>L45, INDOOR, 4FT, 16 W/FT,  RGB3, 110~277V, 120, BLACK</t>
  </si>
  <si>
    <t>L45-I-48-16-RGB3-MULT-120-S</t>
  </si>
  <si>
    <t>L45, INDOOR, 4FT, 16 W/FT,  RGB3, 110~277V, 120, SILVER</t>
  </si>
  <si>
    <t>L45-I-48-16-RGB3-MULT-120-W</t>
  </si>
  <si>
    <t>L45, INDOOR, 4FT, 16 W/FT,  RGB3, 110~277V, 120, WHITE</t>
  </si>
  <si>
    <t>L45-I-48-16-RGB3-MULT-120-Z</t>
  </si>
  <si>
    <t>L45, INDOOR, 4FT, 16 W/FT,  RGB3, 110~277V, 120, BRONZE</t>
  </si>
  <si>
    <t>L45-I-48-18-RGB3-MULT-120-C</t>
  </si>
  <si>
    <t>L45-I-48-18-RGB3-MULT-120-K</t>
  </si>
  <si>
    <t>L45-I-48-18-RGB3-MULT-120-S</t>
  </si>
  <si>
    <t>L45-I-48-18-RGB3-MULT-120-W</t>
  </si>
  <si>
    <t>L45-I-48-18-RGB3-MULT-120-Z</t>
  </si>
  <si>
    <t>L60-E-12-10-RGB3-MULT-15x15-C</t>
  </si>
  <si>
    <t>L60-E-12-10-RGB3-MULT-15x15-K</t>
  </si>
  <si>
    <t>L60-E-12-10-RGB3-MULT-15x15-S</t>
  </si>
  <si>
    <t>L60-E-12-10-RGB3-MULT-15x15-W</t>
  </si>
  <si>
    <t>L60-E-12-10-RGB3-MULT-15x15-Z</t>
  </si>
  <si>
    <t>L60-E-12-10-RGB3-MULT-20x20-C</t>
  </si>
  <si>
    <t>L60-E-12-10-RGB3-MULT-20x20-K</t>
  </si>
  <si>
    <t>L60-E-12-10-RGB3-MULT-20x20-S</t>
  </si>
  <si>
    <t>L60-E-12-10-RGB3-MULT-20x20-W</t>
  </si>
  <si>
    <t>L60-E-12-10-RGB3-MULT-20x20-Z</t>
  </si>
  <si>
    <t>L60-E-12-10-RGB3-MULT-20x40-C</t>
  </si>
  <si>
    <t>L60-E-12-10-RGB3-MULT-20x40-K</t>
  </si>
  <si>
    <t>L60-E-12-10-RGB3-MULT-20x40-S</t>
  </si>
  <si>
    <t>L60-E-12-10-RGB3-MULT-20x40-W</t>
  </si>
  <si>
    <t>L60-E-12-10-RGB3-MULT-20x40-Z</t>
  </si>
  <si>
    <t>L60-E-12-10-RGB3-MULT-20x70-C</t>
  </si>
  <si>
    <t>L60-E-12-10-RGB3-MULT-20x70-K</t>
  </si>
  <si>
    <t>L60-E-12-10-RGB3-MULT-20x70-S</t>
  </si>
  <si>
    <t>L60-E-12-10-RGB3-MULT-20x70-W</t>
  </si>
  <si>
    <t>L60-E-12-10-RGB3-MULT-20x70-Z</t>
  </si>
  <si>
    <t>L60-E-12-10-RGB3-MULT-30x30-C</t>
  </si>
  <si>
    <t>L60-E-12-10-RGB3-MULT-30x30-K</t>
  </si>
  <si>
    <t>L60-E-12-10-RGB3-MULT-30x30-S</t>
  </si>
  <si>
    <t>L60-E-12-10-RGB3-MULT-30x30-W</t>
  </si>
  <si>
    <t>L60-E-12-10-RGB3-MULT-30x30-Z</t>
  </si>
  <si>
    <t>L60-E-12-10-RGB3-MULT-30x45-C</t>
  </si>
  <si>
    <t>L60-E-12-10-RGB3-MULT-30x45-K</t>
  </si>
  <si>
    <t>L60-E-12-10-RGB3-MULT-30x45-S</t>
  </si>
  <si>
    <t>L60-E-12-10-RGB3-MULT-30x45-W</t>
  </si>
  <si>
    <t>L60-E-12-10-RGB3-MULT-30x45-Z</t>
  </si>
  <si>
    <t>L60-E-12-10-RGB3-MULT-30x75-C</t>
  </si>
  <si>
    <t>L60-E-12-10-RGB3-MULT-30x75-K</t>
  </si>
  <si>
    <t>L60-E-12-10-RGB3-MULT-30x75-S</t>
  </si>
  <si>
    <t>L60-E-12-10-RGB3-MULT-30x75-W</t>
  </si>
  <si>
    <t>L60-E-12-10-RGB3-MULT-30x75-Z</t>
  </si>
  <si>
    <t>L60-E-12-10-RGB3-MULT-55x55-C</t>
  </si>
  <si>
    <t>L60-E-12-10-RGB3-MULT-55x55-K</t>
  </si>
  <si>
    <t>L60-E-12-10-RGB3-MULT-55x55-S</t>
  </si>
  <si>
    <t>L60-E-12-10-RGB3-MULT-55x55-W</t>
  </si>
  <si>
    <t>L60-E-12-10-RGB3-MULT-55x55-Z</t>
  </si>
  <si>
    <t>L60-E-12-10-RGB3-MULT-55x60-C</t>
  </si>
  <si>
    <t>L60-E-12-10-RGB3-MULT-55x60-K</t>
  </si>
  <si>
    <t>L60-E-12-10-RGB3-MULT-55x60-S</t>
  </si>
  <si>
    <t>L60-E-12-10-RGB3-MULT-55x60-W</t>
  </si>
  <si>
    <t>L60-E-12-10-RGB3-MULT-55x60-Z</t>
  </si>
  <si>
    <t>L60-E-12-10-RGB3-MULT-55x90-C</t>
  </si>
  <si>
    <t>L60-E-12-10-RGB3-MULT-55x90-K</t>
  </si>
  <si>
    <t>L60-E-12-10-RGB3-MULT-55x90-S</t>
  </si>
  <si>
    <t>L60-E-12-10-RGB3-MULT-55x90-W</t>
  </si>
  <si>
    <t>L60-E-12-10-RGB3-MULT-55x90-Z</t>
  </si>
  <si>
    <t>L60-E-12-10-RGB3-MULT-ASYM-C</t>
  </si>
  <si>
    <t>L60-E-12-10-RGB3-MULT-ASYM-K</t>
  </si>
  <si>
    <t>L60-E-12-10-RGB3-MULT-ASYM-S</t>
  </si>
  <si>
    <t>L60-E-12-10-RGB3-MULT-ASYM-W</t>
  </si>
  <si>
    <t>L60-E-12-10-RGB3-MULT-ASYM-Z</t>
  </si>
  <si>
    <t>L60-E-12-12-RGB3-MULT-15x15-C</t>
  </si>
  <si>
    <t>L60, OUTDOOR, 1FT, 12 W/FT,  RGB3, 110~277V, 15x15, CUSTOM</t>
  </si>
  <si>
    <t>L60-E-12-12-RGB3-MULT-15x15-K</t>
  </si>
  <si>
    <t>L60, OUTDOOR, 1FT, 12 W/FT,  RGB3, 110~277V, 15x15, BLACK</t>
  </si>
  <si>
    <t>L60-E-12-12-RGB3-MULT-15x15-S</t>
  </si>
  <si>
    <t>L60, OUTDOOR, 1FT, 12 W/FT,  RGB3, 110~277V, 15x15, SILVER</t>
  </si>
  <si>
    <t>L60-E-12-12-RGB3-MULT-15x15-W</t>
  </si>
  <si>
    <t>L60, OUTDOOR, 1FT, 12 W/FT,  RGB3, 110~277V, 15x15, WHITE</t>
  </si>
  <si>
    <t>L60-E-12-12-RGB3-MULT-15x15-Z</t>
  </si>
  <si>
    <t>L60, OUTDOOR, 1FT, 12 W/FT,  RGB3, 110~277V, 15x15, BRONZE</t>
  </si>
  <si>
    <t>L60-E-12-12-RGB3-MULT-20x20-C</t>
  </si>
  <si>
    <t>L60, OUTDOOR, 1FT, 12 W/FT,  RGB3, 110~277V, 20x20, CUSTOM</t>
  </si>
  <si>
    <t>L60-E-12-12-RGB3-MULT-20x20-K</t>
  </si>
  <si>
    <t>L60, OUTDOOR, 1FT, 12 W/FT,  RGB3, 110~277V, 20x20, BLACK</t>
  </si>
  <si>
    <t>L60-E-12-12-RGB3-MULT-20x20-S</t>
  </si>
  <si>
    <t>L60, OUTDOOR, 1FT, 12 W/FT,  RGB3, 110~277V, 20x20, SILVER</t>
  </si>
  <si>
    <t>L60-E-12-12-RGB3-MULT-20x20-W</t>
  </si>
  <si>
    <t>L60, OUTDOOR, 1FT, 12 W/FT,  RGB3, 110~277V, 20x20, WHITE</t>
  </si>
  <si>
    <t>L60-E-12-12-RGB3-MULT-20x20-Z</t>
  </si>
  <si>
    <t>L60, OUTDOOR, 1FT, 12 W/FT,  RGB3, 110~277V, 20x20, BRONZE</t>
  </si>
  <si>
    <t>L60-E-12-12-RGB3-MULT-20x40-C</t>
  </si>
  <si>
    <t>L60, OUTDOOR, 1FT, 12 W/FT,  RGB3, 110~277V, 20x40, CUSTOM</t>
  </si>
  <si>
    <t>L60-E-12-12-RGB3-MULT-20x40-K</t>
  </si>
  <si>
    <t>L60, OUTDOOR, 1FT, 12 W/FT,  RGB3, 110~277V, 20x40, BLACK</t>
  </si>
  <si>
    <t>L60-E-12-12-RGB3-MULT-20x40-S</t>
  </si>
  <si>
    <t>L60, OUTDOOR, 1FT, 12 W/FT,  RGB3, 110~277V, 20x40, SILVER</t>
  </si>
  <si>
    <t>L60-E-12-12-RGB3-MULT-20x40-W</t>
  </si>
  <si>
    <t>L60, OUTDOOR, 1FT, 12 W/FT,  RGB3, 110~277V, 20x40, WHITE</t>
  </si>
  <si>
    <t>L60-E-12-12-RGB3-MULT-20x40-Z</t>
  </si>
  <si>
    <t>L60, OUTDOOR, 1FT, 12 W/FT,  RGB3, 110~277V, 20x40, BRONZE</t>
  </si>
  <si>
    <t>L60-E-12-12-RGB3-MULT-20x70-C</t>
  </si>
  <si>
    <t>L60, OUTDOOR, 1FT, 12 W/FT,  RGB3, 110~277V, 20x70, CUSTOM</t>
  </si>
  <si>
    <t>L60-E-12-12-RGB3-MULT-20x70-K</t>
  </si>
  <si>
    <t>L60, OUTDOOR, 1FT, 12 W/FT,  RGB3, 110~277V, 20x70, BLACK</t>
  </si>
  <si>
    <t>L60-E-12-12-RGB3-MULT-20x70-S</t>
  </si>
  <si>
    <t>L60, OUTDOOR, 1FT, 12 W/FT,  RGB3, 110~277V, 20x70, SILVER</t>
  </si>
  <si>
    <t>L60-E-12-12-RGB3-MULT-20x70-W</t>
  </si>
  <si>
    <t>L60, OUTDOOR, 1FT, 12 W/FT,  RGB3, 110~277V, 20x70, WHITE</t>
  </si>
  <si>
    <t>L60-E-12-12-RGB3-MULT-20x70-Z</t>
  </si>
  <si>
    <t>L60, OUTDOOR, 1FT, 12 W/FT,  RGB3, 110~277V, 20x70, BRONZE</t>
  </si>
  <si>
    <t>L60-E-12-12-RGB3-MULT-30x30-C</t>
  </si>
  <si>
    <t>L60, OUTDOOR, 1FT, 12 W/FT,  RGB3, 110~277V, 30x30, CUSTOM</t>
  </si>
  <si>
    <t>L60-E-12-12-RGB3-MULT-30x30-K</t>
  </si>
  <si>
    <t>L60, OUTDOOR, 1FT, 12 W/FT,  RGB3, 110~277V, 30x30, BLACK</t>
  </si>
  <si>
    <t>L60-E-12-12-RGB3-MULT-30x30-S</t>
  </si>
  <si>
    <t>L60, OUTDOOR, 1FT, 12 W/FT,  RGB3, 110~277V, 30x30, SILVER</t>
  </si>
  <si>
    <t>L60-E-12-12-RGB3-MULT-30x30-W</t>
  </si>
  <si>
    <t>L60, OUTDOOR, 1FT, 12 W/FT,  RGB3, 110~277V, 30x30, WHITE</t>
  </si>
  <si>
    <t>L60-E-12-12-RGB3-MULT-30x30-Z</t>
  </si>
  <si>
    <t>L60, OUTDOOR, 1FT, 12 W/FT,  RGB3, 110~277V, 30x30, BRONZE</t>
  </si>
  <si>
    <t>L60-E-12-12-RGB3-MULT-30x45-C</t>
  </si>
  <si>
    <t>L60, OUTDOOR, 1FT, 12 W/FT,  RGB3, 110~277V, 30x45, CUSTOM</t>
  </si>
  <si>
    <t>L60-E-12-12-RGB3-MULT-30x45-K</t>
  </si>
  <si>
    <t>L60, OUTDOOR, 1FT, 12 W/FT,  RGB3, 110~277V, 30x45, BLACK</t>
  </si>
  <si>
    <t>L60-E-12-12-RGB3-MULT-30x45-S</t>
  </si>
  <si>
    <t>L60, OUTDOOR, 1FT, 12 W/FT,  RGB3, 110~277V, 30x45, SILVER</t>
  </si>
  <si>
    <t>L60-E-12-12-RGB3-MULT-30x45-W</t>
  </si>
  <si>
    <t>L60, OUTDOOR, 1FT, 12 W/FT,  RGB3, 110~277V, 30x45, WHITE</t>
  </si>
  <si>
    <t>L60-E-12-12-RGB3-MULT-30x45-Z</t>
  </si>
  <si>
    <t>L60, OUTDOOR, 1FT, 12 W/FT,  RGB3, 110~277V, 30x45, BRONZE</t>
  </si>
  <si>
    <t>L60-E-12-12-RGB3-MULT-30x75-C</t>
  </si>
  <si>
    <t>L60, OUTDOOR, 1FT, 12 W/FT,  RGB3, 110~277V, 30x75, CUSTOM</t>
  </si>
  <si>
    <t>L60-E-12-12-RGB3-MULT-30x75-K</t>
  </si>
  <si>
    <t>L60, OUTDOOR, 1FT, 12 W/FT,  RGB3, 110~277V, 30x75, BLACK</t>
  </si>
  <si>
    <t>L60-E-12-12-RGB3-MULT-30x75-S</t>
  </si>
  <si>
    <t>L60, OUTDOOR, 1FT, 12 W/FT,  RGB3, 110~277V, 30x75, SILVER</t>
  </si>
  <si>
    <t>L60-E-12-12-RGB3-MULT-30x75-W</t>
  </si>
  <si>
    <t>L60, OUTDOOR, 1FT, 12 W/FT,  RGB3, 110~277V, 30x75, WHITE</t>
  </si>
  <si>
    <t>L60-E-12-12-RGB3-MULT-30x75-Z</t>
  </si>
  <si>
    <t>L60, OUTDOOR, 1FT, 12 W/FT,  RGB3, 110~277V, 30x75, BRONZE</t>
  </si>
  <si>
    <t>L60-E-12-12-RGB3-MULT-55x55-C</t>
  </si>
  <si>
    <t>L60, OUTDOOR, 1FT, 12 W/FT,  RGB3, 110~277V, 55x55, CUSTOM</t>
  </si>
  <si>
    <t>L60-E-12-12-RGB3-MULT-55x55-K</t>
  </si>
  <si>
    <t>L60, OUTDOOR, 1FT, 12 W/FT,  RGB3, 110~277V, 55x55, BLACK</t>
  </si>
  <si>
    <t>L60-E-12-12-RGB3-MULT-55x55-S</t>
  </si>
  <si>
    <t>L60, OUTDOOR, 1FT, 12 W/FT,  RGB3, 110~277V, 55x55, SILVER</t>
  </si>
  <si>
    <t>L60-E-12-12-RGB3-MULT-55x55-W</t>
  </si>
  <si>
    <t>L60, OUTDOOR, 1FT, 12 W/FT,  RGB3, 110~277V, 55x55, WHITE</t>
  </si>
  <si>
    <t>L60-E-12-12-RGB3-MULT-55x55-Z</t>
  </si>
  <si>
    <t>L60, OUTDOOR, 1FT, 12 W/FT,  RGB3, 110~277V, 55x55, BRONZE</t>
  </si>
  <si>
    <t>L60-E-12-12-RGB3-MULT-55x60-C</t>
  </si>
  <si>
    <t>L60, OUTDOOR, 1FT, 12 W/FT,  RGB3, 110~277V, 55x60, CUSTOM</t>
  </si>
  <si>
    <t>L60-E-12-12-RGB3-MULT-55x60-K</t>
  </si>
  <si>
    <t>L60, OUTDOOR, 1FT, 12 W/FT,  RGB3, 110~277V, 55x60, BLACK</t>
  </si>
  <si>
    <t>L60-E-12-12-RGB3-MULT-55x60-S</t>
  </si>
  <si>
    <t>L60, OUTDOOR, 1FT, 12 W/FT,  RGB3, 110~277V, 55x60, SILVER</t>
  </si>
  <si>
    <t>L60-E-12-12-RGB3-MULT-55x60-W</t>
  </si>
  <si>
    <t>L60, OUTDOOR, 1FT, 12 W/FT,  RGB3, 110~277V, 55x60, WHITE</t>
  </si>
  <si>
    <t>L60-E-12-12-RGB3-MULT-55x60-Z</t>
  </si>
  <si>
    <t>L60, OUTDOOR, 1FT, 12 W/FT,  RGB3, 110~277V, 55x60, BRONZE</t>
  </si>
  <si>
    <t>L60-E-12-12-RGB3-MULT-55x90-C</t>
  </si>
  <si>
    <t>L60, OUTDOOR, 1FT, 12 W/FT,  RGB3, 110~277V, 55x90, CUSTOM</t>
  </si>
  <si>
    <t>L60-E-12-12-RGB3-MULT-55x90-K</t>
  </si>
  <si>
    <t>L60, OUTDOOR, 1FT, 12 W/FT,  RGB3, 110~277V, 55x90, BLACK</t>
  </si>
  <si>
    <t>L60-E-12-12-RGB3-MULT-55x90-S</t>
  </si>
  <si>
    <t>L60, OUTDOOR, 1FT, 12 W/FT,  RGB3, 110~277V, 55x90, SILVER</t>
  </si>
  <si>
    <t>L60-E-12-12-RGB3-MULT-55x90-W</t>
  </si>
  <si>
    <t>L60, OUTDOOR, 1FT, 12 W/FT,  RGB3, 110~277V, 55x90, WHITE</t>
  </si>
  <si>
    <t>L60-E-12-12-RGB3-MULT-55x90-Z</t>
  </si>
  <si>
    <t>L60, OUTDOOR, 1FT, 12 W/FT,  RGB3, 110~277V, 55x90, BRONZE</t>
  </si>
  <si>
    <t>L60-E-12-12-RGB3-MULT-ASYM-C</t>
  </si>
  <si>
    <t>L60, OUTDOOR, 1FT, 12 W/FT,  RGB3, 110~277V, ASYM, CUSTOM</t>
  </si>
  <si>
    <t>L60-E-12-12-RGB3-MULT-ASYM-K</t>
  </si>
  <si>
    <t>L60, OUTDOOR, 1FT, 12 W/FT,  RGB3, 110~277V, ASYM, BLACK</t>
  </si>
  <si>
    <t>L60-E-12-12-RGB3-MULT-ASYM-S</t>
  </si>
  <si>
    <t>L60, OUTDOOR, 1FT, 12 W/FT,  RGB3, 110~277V, ASYM, SILVER</t>
  </si>
  <si>
    <t>L60-E-12-12-RGB3-MULT-ASYM-W</t>
  </si>
  <si>
    <t>L60, OUTDOOR, 1FT, 12 W/FT,  RGB3, 110~277V, ASYM, WHITE</t>
  </si>
  <si>
    <t>L60-E-12-12-RGB3-MULT-ASYM-Z</t>
  </si>
  <si>
    <t>L60, OUTDOOR, 1FT, 12 W/FT,  RGB3, 110~277V, ASYM, BRONZE</t>
  </si>
  <si>
    <t>L60-E-12-14-RGB3-MULT-15x15-C</t>
  </si>
  <si>
    <t>L60, OUTDOOR, 1FT, 14 W/FT,  RGB3, 110~277V, 15x15, CUSTOM</t>
  </si>
  <si>
    <t>L60-E-12-14-RGB3-MULT-15x15-K</t>
  </si>
  <si>
    <t>L60, OUTDOOR, 1FT, 14 W/FT,  RGB3, 110~277V, 15x15, BLACK</t>
  </si>
  <si>
    <t>L60-E-12-14-RGB3-MULT-15x15-S</t>
  </si>
  <si>
    <t>L60, OUTDOOR, 1FT, 14 W/FT,  RGB3, 110~277V, 15x15, SILVER</t>
  </si>
  <si>
    <t>L60-E-12-14-RGB3-MULT-15x15-W</t>
  </si>
  <si>
    <t>L60, OUTDOOR, 1FT, 14 W/FT,  RGB3, 110~277V, 15x15, WHITE</t>
  </si>
  <si>
    <t>L60-E-12-14-RGB3-MULT-15x15-Z</t>
  </si>
  <si>
    <t>L60, OUTDOOR, 1FT, 14 W/FT,  RGB3, 110~277V, 15x15, BRONZE</t>
  </si>
  <si>
    <t>L60-E-12-14-RGB3-MULT-20x20-C</t>
  </si>
  <si>
    <t>L60, OUTDOOR, 1FT, 14 W/FT,  RGB3, 110~277V, 20x20, CUSTOM</t>
  </si>
  <si>
    <t>L60-E-12-14-RGB3-MULT-20x20-K</t>
  </si>
  <si>
    <t>L60, OUTDOOR, 1FT, 14 W/FT,  RGB3, 110~277V, 20x20, BLACK</t>
  </si>
  <si>
    <t>L60-E-12-14-RGB3-MULT-20x20-S</t>
  </si>
  <si>
    <t>L60, OUTDOOR, 1FT, 14 W/FT,  RGB3, 110~277V, 20x20, SILVER</t>
  </si>
  <si>
    <t>L60-E-12-14-RGB3-MULT-20x20-W</t>
  </si>
  <si>
    <t>L60, OUTDOOR, 1FT, 14 W/FT,  RGB3, 110~277V, 20x20, WHITE</t>
  </si>
  <si>
    <t>L60-E-12-14-RGB3-MULT-20x20-Z</t>
  </si>
  <si>
    <t>L60, OUTDOOR, 1FT, 14 W/FT,  RGB3, 110~277V, 20x20, BRONZE</t>
  </si>
  <si>
    <t>L60-E-12-14-RGB3-MULT-20x40-C</t>
  </si>
  <si>
    <t>L60, OUTDOOR, 1FT, 14 W/FT,  RGB3, 110~277V, 20x40, CUSTOM</t>
  </si>
  <si>
    <t>L60-E-12-14-RGB3-MULT-20x40-K</t>
  </si>
  <si>
    <t>L60, OUTDOOR, 1FT, 14 W/FT,  RGB3, 110~277V, 20x40, BLACK</t>
  </si>
  <si>
    <t>L60-E-12-14-RGB3-MULT-20x40-S</t>
  </si>
  <si>
    <t>L60, OUTDOOR, 1FT, 14 W/FT,  RGB3, 110~277V, 20x40, SILVER</t>
  </si>
  <si>
    <t>L60-E-12-14-RGB3-MULT-20x40-W</t>
  </si>
  <si>
    <t>L60, OUTDOOR, 1FT, 14 W/FT,  RGB3, 110~277V, 20x40, WHITE</t>
  </si>
  <si>
    <t>L60-E-12-14-RGB3-MULT-20x40-Z</t>
  </si>
  <si>
    <t>L60, OUTDOOR, 1FT, 14 W/FT,  RGB3, 110~277V, 20x40, BRONZE</t>
  </si>
  <si>
    <t>L60-E-12-14-RGB3-MULT-20x70-C</t>
  </si>
  <si>
    <t>L60, OUTDOOR, 1FT, 14 W/FT,  RGB3, 110~277V, 20x70, CUSTOM</t>
  </si>
  <si>
    <t>L60-E-12-14-RGB3-MULT-20x70-K</t>
  </si>
  <si>
    <t>L60, OUTDOOR, 1FT, 14 W/FT,  RGB3, 110~277V, 20x70, BLACK</t>
  </si>
  <si>
    <t>L60-E-12-14-RGB3-MULT-20x70-S</t>
  </si>
  <si>
    <t>L60, OUTDOOR, 1FT, 14 W/FT,  RGB3, 110~277V, 20x70, SILVER</t>
  </si>
  <si>
    <t>L60-E-12-14-RGB3-MULT-20x70-W</t>
  </si>
  <si>
    <t>L60, OUTDOOR, 1FT, 14 W/FT,  RGB3, 110~277V, 20x70, WHITE</t>
  </si>
  <si>
    <t>L60-E-12-14-RGB3-MULT-20x70-Z</t>
  </si>
  <si>
    <t>L60, OUTDOOR, 1FT, 14 W/FT,  RGB3, 110~277V, 20x70, BRONZE</t>
  </si>
  <si>
    <t>L60-E-12-14-RGB3-MULT-30x30-C</t>
  </si>
  <si>
    <t>L60, OUTDOOR, 1FT, 14 W/FT,  RGB3, 110~277V, 30x30, CUSTOM</t>
  </si>
  <si>
    <t>L60-E-12-14-RGB3-MULT-30x30-K</t>
  </si>
  <si>
    <t>L60, OUTDOOR, 1FT, 14 W/FT,  RGB3, 110~277V, 30x30, BLACK</t>
  </si>
  <si>
    <t>L60-E-12-14-RGB3-MULT-30x30-S</t>
  </si>
  <si>
    <t>L60, OUTDOOR, 1FT, 14 W/FT,  RGB3, 110~277V, 30x30, SILVER</t>
  </si>
  <si>
    <t>L60-E-12-14-RGB3-MULT-30x30-W</t>
  </si>
  <si>
    <t>L60, OUTDOOR, 1FT, 14 W/FT,  RGB3, 110~277V, 30x30, WHITE</t>
  </si>
  <si>
    <t>L60-E-12-14-RGB3-MULT-30x30-Z</t>
  </si>
  <si>
    <t>L60, OUTDOOR, 1FT, 14 W/FT,  RGB3, 110~277V, 30x30, BRONZE</t>
  </si>
  <si>
    <t>L60-E-12-14-RGB3-MULT-30x45-C</t>
  </si>
  <si>
    <t>L60, OUTDOOR, 1FT, 14 W/FT,  RGB3, 110~277V, 30x45, CUSTOM</t>
  </si>
  <si>
    <t>L60-E-12-14-RGB3-MULT-30x45-K</t>
  </si>
  <si>
    <t>L60, OUTDOOR, 1FT, 14 W/FT,  RGB3, 110~277V, 30x45, BLACK</t>
  </si>
  <si>
    <t>L60-E-12-14-RGB3-MULT-30x45-S</t>
  </si>
  <si>
    <t>L60, OUTDOOR, 1FT, 14 W/FT,  RGB3, 110~277V, 30x45, SILVER</t>
  </si>
  <si>
    <t>L60-E-12-14-RGB3-MULT-30x45-W</t>
  </si>
  <si>
    <t>L60, OUTDOOR, 1FT, 14 W/FT,  RGB3, 110~277V, 30x45, WHITE</t>
  </si>
  <si>
    <t>L60-E-12-14-RGB3-MULT-30x45-Z</t>
  </si>
  <si>
    <t>L60, OUTDOOR, 1FT, 14 W/FT,  RGB3, 110~277V, 30x45, BRONZE</t>
  </si>
  <si>
    <t>L60-E-12-14-RGB3-MULT-30x75-C</t>
  </si>
  <si>
    <t>L60, OUTDOOR, 1FT, 14 W/FT,  RGB3, 110~277V, 30x75, CUSTOM</t>
  </si>
  <si>
    <t>L60-E-12-14-RGB3-MULT-30x75-K</t>
  </si>
  <si>
    <t>L60, OUTDOOR, 1FT, 14 W/FT,  RGB3, 110~277V, 30x75, BLACK</t>
  </si>
  <si>
    <t>L60-E-12-14-RGB3-MULT-30x75-S</t>
  </si>
  <si>
    <t>L60, OUTDOOR, 1FT, 14 W/FT,  RGB3, 110~277V, 30x75, SILVER</t>
  </si>
  <si>
    <t>L60-E-12-14-RGB3-MULT-30x75-W</t>
  </si>
  <si>
    <t>L60, OUTDOOR, 1FT, 14 W/FT,  RGB3, 110~277V, 30x75, WHITE</t>
  </si>
  <si>
    <t>L60-E-12-14-RGB3-MULT-30x75-Z</t>
  </si>
  <si>
    <t>L60, OUTDOOR, 1FT, 14 W/FT,  RGB3, 110~277V, 30x75, BRONZE</t>
  </si>
  <si>
    <t>L60-E-12-14-RGB3-MULT-55x55-C</t>
  </si>
  <si>
    <t>L60, OUTDOOR, 1FT, 14 W/FT,  RGB3, 110~277V, 55x55, CUSTOM</t>
  </si>
  <si>
    <t>L60-E-12-14-RGB3-MULT-55x55-K</t>
  </si>
  <si>
    <t>L60, OUTDOOR, 1FT, 14 W/FT,  RGB3, 110~277V, 55x55, BLACK</t>
  </si>
  <si>
    <t>L60-E-12-14-RGB3-MULT-55x55-S</t>
  </si>
  <si>
    <t>L60, OUTDOOR, 1FT, 14 W/FT,  RGB3, 110~277V, 55x55, SILVER</t>
  </si>
  <si>
    <t>L60-E-12-14-RGB3-MULT-55x55-W</t>
  </si>
  <si>
    <t>L60, OUTDOOR, 1FT, 14 W/FT,  RGB3, 110~277V, 55x55, WHITE</t>
  </si>
  <si>
    <t>L60-E-12-14-RGB3-MULT-55x55-Z</t>
  </si>
  <si>
    <t>L60, OUTDOOR, 1FT, 14 W/FT,  RGB3, 110~277V, 55x55, BRONZE</t>
  </si>
  <si>
    <t>L60-E-12-14-RGB3-MULT-55x60-C</t>
  </si>
  <si>
    <t>L60, OUTDOOR, 1FT, 14 W/FT,  RGB3, 110~277V, 55x60, CUSTOM</t>
  </si>
  <si>
    <t>L60-E-12-14-RGB3-MULT-55x60-K</t>
  </si>
  <si>
    <t>L60, OUTDOOR, 1FT, 14 W/FT,  RGB3, 110~277V, 55x60, BLACK</t>
  </si>
  <si>
    <t>L60-E-12-14-RGB3-MULT-55x60-S</t>
  </si>
  <si>
    <t>L60, OUTDOOR, 1FT, 14 W/FT,  RGB3, 110~277V, 55x60, SILVER</t>
  </si>
  <si>
    <t>L60-E-12-14-RGB3-MULT-55x60-W</t>
  </si>
  <si>
    <t>L60, OUTDOOR, 1FT, 14 W/FT,  RGB3, 110~277V, 55x60, WHITE</t>
  </si>
  <si>
    <t>L60-E-12-14-RGB3-MULT-55x60-Z</t>
  </si>
  <si>
    <t>L60, OUTDOOR, 1FT, 14 W/FT,  RGB3, 110~277V, 55x60, BRONZE</t>
  </si>
  <si>
    <t>L60-E-12-14-RGB3-MULT-55x90-C</t>
  </si>
  <si>
    <t>L60, OUTDOOR, 1FT, 14 W/FT,  RGB3, 110~277V, 55x90, CUSTOM</t>
  </si>
  <si>
    <t>L60-E-12-14-RGB3-MULT-55x90-K</t>
  </si>
  <si>
    <t>L60, OUTDOOR, 1FT, 14 W/FT,  RGB3, 110~277V, 55x90, BLACK</t>
  </si>
  <si>
    <t>L60-E-12-14-RGB3-MULT-55x90-S</t>
  </si>
  <si>
    <t>L60, OUTDOOR, 1FT, 14 W/FT,  RGB3, 110~277V, 55x90, SILVER</t>
  </si>
  <si>
    <t>L60-E-12-14-RGB3-MULT-55x90-W</t>
  </si>
  <si>
    <t>L60, OUTDOOR, 1FT, 14 W/FT,  RGB3, 110~277V, 55x90, WHITE</t>
  </si>
  <si>
    <t>L60-E-12-14-RGB3-MULT-55x90-Z</t>
  </si>
  <si>
    <t>L60, OUTDOOR, 1FT, 14 W/FT,  RGB3, 110~277V, 55x90, BRONZE</t>
  </si>
  <si>
    <t>L60-E-12-14-RGB3-MULT-ASYM-C</t>
  </si>
  <si>
    <t>L60, OUTDOOR, 1FT, 14 W/FT,  RGB3, 110~277V, ASYM, CUSTOM</t>
  </si>
  <si>
    <t>L60-E-12-14-RGB3-MULT-ASYM-K</t>
  </si>
  <si>
    <t>L60, OUTDOOR, 1FT, 14 W/FT,  RGB3, 110~277V, ASYM, BLACK</t>
  </si>
  <si>
    <t>L60-E-12-14-RGB3-MULT-ASYM-S</t>
  </si>
  <si>
    <t>L60, OUTDOOR, 1FT, 14 W/FT,  RGB3, 110~277V, ASYM, SILVER</t>
  </si>
  <si>
    <t>L60-E-12-14-RGB3-MULT-ASYM-W</t>
  </si>
  <si>
    <t>L60, OUTDOOR, 1FT, 14 W/FT,  RGB3, 110~277V, ASYM, WHITE</t>
  </si>
  <si>
    <t>L60-E-12-14-RGB3-MULT-ASYM-Z</t>
  </si>
  <si>
    <t>L60, OUTDOOR, 1FT, 14 W/FT,  RGB3, 110~277V, ASYM, BRONZE</t>
  </si>
  <si>
    <t>L60-E-12-16-RGB3-MULT-15x15-C</t>
  </si>
  <si>
    <t>L60, OUTDOOR, 1FT, 16 W/FT,  RGB3, 110~277V, 15x15, CUSTOM</t>
  </si>
  <si>
    <t>L60-E-12-16-RGB3-MULT-15x15-K</t>
  </si>
  <si>
    <t>L60, OUTDOOR, 1FT, 16 W/FT,  RGB3, 110~277V, 15x15, BLACK</t>
  </si>
  <si>
    <t>L60-E-12-16-RGB3-MULT-15x15-S</t>
  </si>
  <si>
    <t>L60, OUTDOOR, 1FT, 16 W/FT,  RGB3, 110~277V, 15x15, SILVER</t>
  </si>
  <si>
    <t>L60-E-12-16-RGB3-MULT-15x15-W</t>
  </si>
  <si>
    <t>L60, OUTDOOR, 1FT, 16 W/FT,  RGB3, 110~277V, 15x15, WHITE</t>
  </si>
  <si>
    <t>L60-E-12-16-RGB3-MULT-15x15-Z</t>
  </si>
  <si>
    <t>L60, OUTDOOR, 1FT, 16 W/FT,  RGB3, 110~277V, 15x15, BRONZE</t>
  </si>
  <si>
    <t>L60-E-12-16-RGB3-MULT-20x20-C</t>
  </si>
  <si>
    <t>L60, OUTDOOR, 1FT, 16 W/FT,  RGB3, 110~277V, 20x20, CUSTOM</t>
  </si>
  <si>
    <t>L60-E-12-16-RGB3-MULT-20x20-K</t>
  </si>
  <si>
    <t>L60, OUTDOOR, 1FT, 16 W/FT,  RGB3, 110~277V, 20x20, BLACK</t>
  </si>
  <si>
    <t>L60-E-12-16-RGB3-MULT-20x20-S</t>
  </si>
  <si>
    <t>L60, OUTDOOR, 1FT, 16 W/FT,  RGB3, 110~277V, 20x20, SILVER</t>
  </si>
  <si>
    <t>L60-E-12-16-RGB3-MULT-20x20-W</t>
  </si>
  <si>
    <t>L60, OUTDOOR, 1FT, 16 W/FT,  RGB3, 110~277V, 20x20, WHITE</t>
  </si>
  <si>
    <t>L60-E-12-16-RGB3-MULT-20x20-Z</t>
  </si>
  <si>
    <t>L60, OUTDOOR, 1FT, 16 W/FT,  RGB3, 110~277V, 20x20, BRONZE</t>
  </si>
  <si>
    <t>L60-E-12-16-RGB3-MULT-20x40-C</t>
  </si>
  <si>
    <t>L60, OUTDOOR, 1FT, 16 W/FT,  RGB3, 110~277V, 20x40, CUSTOM</t>
  </si>
  <si>
    <t>L60-E-12-16-RGB3-MULT-20x40-K</t>
  </si>
  <si>
    <t>L60, OUTDOOR, 1FT, 16 W/FT,  RGB3, 110~277V, 20x40, BLACK</t>
  </si>
  <si>
    <t>L60-E-12-16-RGB3-MULT-20x40-S</t>
  </si>
  <si>
    <t>L60, OUTDOOR, 1FT, 16 W/FT,  RGB3, 110~277V, 20x40, SILVER</t>
  </si>
  <si>
    <t>L60-E-12-16-RGB3-MULT-20x40-W</t>
  </si>
  <si>
    <t>L60, OUTDOOR, 1FT, 16 W/FT,  RGB3, 110~277V, 20x40, WHITE</t>
  </si>
  <si>
    <t>L60-E-12-16-RGB3-MULT-20x40-Z</t>
  </si>
  <si>
    <t>L60, OUTDOOR, 1FT, 16 W/FT,  RGB3, 110~277V, 20x40, BRONZE</t>
  </si>
  <si>
    <t>L60-E-12-16-RGB3-MULT-20x70-C</t>
  </si>
  <si>
    <t>L60, OUTDOOR, 1FT, 16 W/FT,  RGB3, 110~277V, 20x70, CUSTOM</t>
  </si>
  <si>
    <t>L60-E-12-16-RGB3-MULT-20x70-K</t>
  </si>
  <si>
    <t>L60, OUTDOOR, 1FT, 16 W/FT,  RGB3, 110~277V, 20x70, BLACK</t>
  </si>
  <si>
    <t>L60-E-12-16-RGB3-MULT-20x70-S</t>
  </si>
  <si>
    <t>L60, OUTDOOR, 1FT, 16 W/FT,  RGB3, 110~277V, 20x70, SILVER</t>
  </si>
  <si>
    <t>L60-E-12-16-RGB3-MULT-20x70-W</t>
  </si>
  <si>
    <t>L60, OUTDOOR, 1FT, 16 W/FT,  RGB3, 110~277V, 20x70, WHITE</t>
  </si>
  <si>
    <t>L60-E-12-16-RGB3-MULT-20x70-Z</t>
  </si>
  <si>
    <t>L60, OUTDOOR, 1FT, 16 W/FT,  RGB3, 110~277V, 20x70, BRONZE</t>
  </si>
  <si>
    <t>L60-E-12-16-RGB3-MULT-30x30-C</t>
  </si>
  <si>
    <t>L60, OUTDOOR, 1FT, 16 W/FT,  RGB3, 110~277V, 30x30, CUSTOM</t>
  </si>
  <si>
    <t>L60-E-12-16-RGB3-MULT-30x30-K</t>
  </si>
  <si>
    <t>L60, OUTDOOR, 1FT, 16 W/FT,  RGB3, 110~277V, 30x30, BLACK</t>
  </si>
  <si>
    <t>L60-E-12-16-RGB3-MULT-30x30-S</t>
  </si>
  <si>
    <t>L60, OUTDOOR, 1FT, 16 W/FT,  RGB3, 110~277V, 30x30, SILVER</t>
  </si>
  <si>
    <t>L60-E-12-16-RGB3-MULT-30x30-W</t>
  </si>
  <si>
    <t>L60, OUTDOOR, 1FT, 16 W/FT,  RGB3, 110~277V, 30x30, WHITE</t>
  </si>
  <si>
    <t>L60-E-12-16-RGB3-MULT-30x30-Z</t>
  </si>
  <si>
    <t>L60, OUTDOOR, 1FT, 16 W/FT,  RGB3, 110~277V, 30x30, BRONZE</t>
  </si>
  <si>
    <t>L60-E-12-16-RGB3-MULT-30x45-C</t>
  </si>
  <si>
    <t>L60, OUTDOOR, 1FT, 16 W/FT,  RGB3, 110~277V, 30x45, CUSTOM</t>
  </si>
  <si>
    <t>L60-E-12-16-RGB3-MULT-30x45-K</t>
  </si>
  <si>
    <t>L60, OUTDOOR, 1FT, 16 W/FT,  RGB3, 110~277V, 30x45, BLACK</t>
  </si>
  <si>
    <t>L60-E-12-16-RGB3-MULT-30x45-S</t>
  </si>
  <si>
    <t>L60, OUTDOOR, 1FT, 16 W/FT,  RGB3, 110~277V, 30x45, SILVER</t>
  </si>
  <si>
    <t>L60-E-12-16-RGB3-MULT-30x45-W</t>
  </si>
  <si>
    <t>L60, OUTDOOR, 1FT, 16 W/FT,  RGB3, 110~277V, 30x45, WHITE</t>
  </si>
  <si>
    <t>L60-E-12-16-RGB3-MULT-30x45-Z</t>
  </si>
  <si>
    <t>L60, OUTDOOR, 1FT, 16 W/FT,  RGB3, 110~277V, 30x45, BRONZE</t>
  </si>
  <si>
    <t>L60-E-12-16-RGB3-MULT-30x75-C</t>
  </si>
  <si>
    <t>L60, OUTDOOR, 1FT, 16 W/FT,  RGB3, 110~277V, 30x75, CUSTOM</t>
  </si>
  <si>
    <t>L60-E-12-16-RGB3-MULT-30x75-K</t>
  </si>
  <si>
    <t>L60, OUTDOOR, 1FT, 16 W/FT,  RGB3, 110~277V, 30x75, BLACK</t>
  </si>
  <si>
    <t>L60-E-12-16-RGB3-MULT-30x75-S</t>
  </si>
  <si>
    <t>L60, OUTDOOR, 1FT, 16 W/FT,  RGB3, 110~277V, 30x75, SILVER</t>
  </si>
  <si>
    <t>L60-E-12-16-RGB3-MULT-30x75-W</t>
  </si>
  <si>
    <t>L60, OUTDOOR, 1FT, 16 W/FT,  RGB3, 110~277V, 30x75, WHITE</t>
  </si>
  <si>
    <t>L60-E-12-16-RGB3-MULT-30x75-Z</t>
  </si>
  <si>
    <t>L60, OUTDOOR, 1FT, 16 W/FT,  RGB3, 110~277V, 30x75, BRONZE</t>
  </si>
  <si>
    <t>L60-E-12-16-RGB3-MULT-55x55-C</t>
  </si>
  <si>
    <t>L60, OUTDOOR, 1FT, 16 W/FT,  RGB3, 110~277V, 55x55, CUSTOM</t>
  </si>
  <si>
    <t>L60-E-12-16-RGB3-MULT-55x55-K</t>
  </si>
  <si>
    <t>L60, OUTDOOR, 1FT, 16 W/FT,  RGB3, 110~277V, 55x55, BLACK</t>
  </si>
  <si>
    <t>L60-E-12-16-RGB3-MULT-55x55-S</t>
  </si>
  <si>
    <t>L60, OUTDOOR, 1FT, 16 W/FT,  RGB3, 110~277V, 55x55, SILVER</t>
  </si>
  <si>
    <t>L60-E-12-16-RGB3-MULT-55x55-W</t>
  </si>
  <si>
    <t>L60, OUTDOOR, 1FT, 16 W/FT,  RGB3, 110~277V, 55x55, WHITE</t>
  </si>
  <si>
    <t>L60-E-12-16-RGB3-MULT-55x55-Z</t>
  </si>
  <si>
    <t>L60, OUTDOOR, 1FT, 16 W/FT,  RGB3, 110~277V, 55x55, BRONZE</t>
  </si>
  <si>
    <t>L60-E-12-16-RGB3-MULT-55x60-C</t>
  </si>
  <si>
    <t>L60, OUTDOOR, 1FT, 16 W/FT,  RGB3, 110~277V, 55x60, CUSTOM</t>
  </si>
  <si>
    <t>L60-E-12-16-RGB3-MULT-55x60-K</t>
  </si>
  <si>
    <t>L60, OUTDOOR, 1FT, 16 W/FT,  RGB3, 110~277V, 55x60, BLACK</t>
  </si>
  <si>
    <t>L60-E-12-16-RGB3-MULT-55x60-S</t>
  </si>
  <si>
    <t>L60, OUTDOOR, 1FT, 16 W/FT,  RGB3, 110~277V, 55x60, SILVER</t>
  </si>
  <si>
    <t>L60-E-12-16-RGB3-MULT-55x60-W</t>
  </si>
  <si>
    <t>L60, OUTDOOR, 1FT, 16 W/FT,  RGB3, 110~277V, 55x60, WHITE</t>
  </si>
  <si>
    <t>L60-E-12-16-RGB3-MULT-55x60-Z</t>
  </si>
  <si>
    <t>L60, OUTDOOR, 1FT, 16 W/FT,  RGB3, 110~277V, 55x60, BRONZE</t>
  </si>
  <si>
    <t>L60-E-12-16-RGB3-MULT-55x90-C</t>
  </si>
  <si>
    <t>L60, OUTDOOR, 1FT, 16 W/FT,  RGB3, 110~277V, 55x90, CUSTOM</t>
  </si>
  <si>
    <t>L60-E-12-16-RGB3-MULT-55x90-K</t>
  </si>
  <si>
    <t>L60, OUTDOOR, 1FT, 16 W/FT,  RGB3, 110~277V, 55x90, BLACK</t>
  </si>
  <si>
    <t>L60-E-12-16-RGB3-MULT-55x90-S</t>
  </si>
  <si>
    <t>L60, OUTDOOR, 1FT, 16 W/FT,  RGB3, 110~277V, 55x90, SILVER</t>
  </si>
  <si>
    <t>L60-E-12-16-RGB3-MULT-55x90-W</t>
  </si>
  <si>
    <t>L60, OUTDOOR, 1FT, 16 W/FT,  RGB3, 110~277V, 55x90, WHITE</t>
  </si>
  <si>
    <t>L60-E-12-16-RGB3-MULT-55x90-Z</t>
  </si>
  <si>
    <t>L60, OUTDOOR, 1FT, 16 W/FT,  RGB3, 110~277V, 55x90, BRONZE</t>
  </si>
  <si>
    <t>L60-E-12-16-RGB3-MULT-ASYM-C</t>
  </si>
  <si>
    <t>L60, OUTDOOR, 1FT, 16 W/FT,  RGB3, 110~277V, ASYM, CUSTOM</t>
  </si>
  <si>
    <t>L60-E-12-16-RGB3-MULT-ASYM-K</t>
  </si>
  <si>
    <t>L60, OUTDOOR, 1FT, 16 W/FT,  RGB3, 110~277V, ASYM, BLACK</t>
  </si>
  <si>
    <t>L60-E-12-16-RGB3-MULT-ASYM-S</t>
  </si>
  <si>
    <t>L60, OUTDOOR, 1FT, 16 W/FT,  RGB3, 110~277V, ASYM, SILVER</t>
  </si>
  <si>
    <t>L60-E-12-16-RGB3-MULT-ASYM-W</t>
  </si>
  <si>
    <t>L60, OUTDOOR, 1FT, 16 W/FT,  RGB3, 110~277V, ASYM, WHITE</t>
  </si>
  <si>
    <t>L60-E-12-16-RGB3-MULT-ASYM-Z</t>
  </si>
  <si>
    <t>L60, OUTDOOR, 1FT, 16 W/FT,  RGB3, 110~277V, ASYM, BRONZE</t>
  </si>
  <si>
    <t>L60-E-12-18-RGB3-MULT-15x15-C</t>
  </si>
  <si>
    <t>L60-E-12-18-RGB3-MULT-15x15-K</t>
  </si>
  <si>
    <t>L60-E-12-18-RGB3-MULT-15x15-S</t>
  </si>
  <si>
    <t>L60-E-12-18-RGB3-MULT-15x15-W</t>
  </si>
  <si>
    <t>L60-E-12-18-RGB3-MULT-15x15-Z</t>
  </si>
  <si>
    <t>L60-E-12-18-RGB3-MULT-20x20-C</t>
  </si>
  <si>
    <t>L60-E-12-18-RGB3-MULT-20x20-K</t>
  </si>
  <si>
    <t>L60-E-12-18-RGB3-MULT-20x20-S</t>
  </si>
  <si>
    <t>L60-E-12-18-RGB3-MULT-20x20-W</t>
  </si>
  <si>
    <t>L60-E-12-18-RGB3-MULT-20x20-Z</t>
  </si>
  <si>
    <t>L60-E-12-18-RGB3-MULT-20x40-C</t>
  </si>
  <si>
    <t>L60-E-12-18-RGB3-MULT-20x40-K</t>
  </si>
  <si>
    <t>L60-E-12-18-RGB3-MULT-20x40-S</t>
  </si>
  <si>
    <t>L60-E-12-18-RGB3-MULT-20x40-W</t>
  </si>
  <si>
    <t>L60-E-12-18-RGB3-MULT-20x40-Z</t>
  </si>
  <si>
    <t>L60-E-12-18-RGB3-MULT-20x70-C</t>
  </si>
  <si>
    <t>L60-E-12-18-RGB3-MULT-20x70-K</t>
  </si>
  <si>
    <t>L60-E-12-18-RGB3-MULT-20x70-S</t>
  </si>
  <si>
    <t>L60-E-12-18-RGB3-MULT-20x70-W</t>
  </si>
  <si>
    <t>L60-E-12-18-RGB3-MULT-20x70-Z</t>
  </si>
  <si>
    <t>L60-E-12-18-RGB3-MULT-30x30-C</t>
  </si>
  <si>
    <t>L60-E-12-18-RGB3-MULT-30x30-K</t>
  </si>
  <si>
    <t>L60-E-12-18-RGB3-MULT-30x30-S</t>
  </si>
  <si>
    <t>L60-E-12-18-RGB3-MULT-30x30-W</t>
  </si>
  <si>
    <t>L60-E-12-18-RGB3-MULT-30x30-Z</t>
  </si>
  <si>
    <t>L60-E-12-18-RGB3-MULT-30x45-C</t>
  </si>
  <si>
    <t>L60-E-12-18-RGB3-MULT-30x45-K</t>
  </si>
  <si>
    <t>L60-E-12-18-RGB3-MULT-30x45-S</t>
  </si>
  <si>
    <t>L60-E-12-18-RGB3-MULT-30x45-W</t>
  </si>
  <si>
    <t>L60-E-12-18-RGB3-MULT-30x45-Z</t>
  </si>
  <si>
    <t>L60-E-12-18-RGB3-MULT-30x75-C</t>
  </si>
  <si>
    <t>L60-E-12-18-RGB3-MULT-30x75-K</t>
  </si>
  <si>
    <t>L60-E-12-18-RGB3-MULT-30x75-S</t>
  </si>
  <si>
    <t>L60-E-12-18-RGB3-MULT-30x75-W</t>
  </si>
  <si>
    <t>L60-E-12-18-RGB3-MULT-30x75-Z</t>
  </si>
  <si>
    <t>L60-E-12-18-RGB3-MULT-55x55-C</t>
  </si>
  <si>
    <t>L60-E-12-18-RGB3-MULT-55x55-K</t>
  </si>
  <si>
    <t>L60-E-12-18-RGB3-MULT-55x55-S</t>
  </si>
  <si>
    <t>L60-E-12-18-RGB3-MULT-55x55-W</t>
  </si>
  <si>
    <t>L60-E-12-18-RGB3-MULT-55x55-Z</t>
  </si>
  <si>
    <t>L60-E-12-18-RGB3-MULT-55x60-C</t>
  </si>
  <si>
    <t>L60-E-12-18-RGB3-MULT-55x60-K</t>
  </si>
  <si>
    <t>L60-E-12-18-RGB3-MULT-55x60-S</t>
  </si>
  <si>
    <t>L60-E-12-18-RGB3-MULT-55x60-W</t>
  </si>
  <si>
    <t>L60-E-12-18-RGB3-MULT-55x60-Z</t>
  </si>
  <si>
    <t>L60-E-12-18-RGB3-MULT-55x90-C</t>
  </si>
  <si>
    <t>L60-E-12-18-RGB3-MULT-55x90-K</t>
  </si>
  <si>
    <t>L60-E-12-18-RGB3-MULT-55x90-S</t>
  </si>
  <si>
    <t>L60-E-12-18-RGB3-MULT-55x90-W</t>
  </si>
  <si>
    <t>L60-E-12-18-RGB3-MULT-55x90-Z</t>
  </si>
  <si>
    <t>L60-E-12-18-RGB3-MULT-ASYM-C</t>
  </si>
  <si>
    <t>L60-E-12-18-RGB3-MULT-ASYM-K</t>
  </si>
  <si>
    <t>L60-E-12-18-RGB3-MULT-ASYM-S</t>
  </si>
  <si>
    <t>L60-E-12-18-RGB3-MULT-ASYM-W</t>
  </si>
  <si>
    <t>L60-E-12-18-RGB3-MULT-ASYM-Z</t>
  </si>
  <si>
    <t>L60-E-48-10-RGB3-MULT-15x15-C</t>
  </si>
  <si>
    <t>L60-E-48-10-RGB3-MULT-15x15-K</t>
  </si>
  <si>
    <t>L60-E-48-10-RGB3-MULT-15x15-S</t>
  </si>
  <si>
    <t>L60-E-48-10-RGB3-MULT-15x15-W</t>
  </si>
  <si>
    <t>L60-E-48-10-RGB3-MULT-15x15-Z</t>
  </si>
  <si>
    <t>L60-E-48-10-RGB3-MULT-20x20-C</t>
  </si>
  <si>
    <t>L60-E-48-10-RGB3-MULT-20x20-K</t>
  </si>
  <si>
    <t>L60-E-48-10-RGB3-MULT-20x20-S</t>
  </si>
  <si>
    <t>L60-E-48-10-RGB3-MULT-20x20-W</t>
  </si>
  <si>
    <t>L60-E-48-10-RGB3-MULT-20x20-Z</t>
  </si>
  <si>
    <t>L60-E-48-10-RGB3-MULT-20x40-C</t>
  </si>
  <si>
    <t>L60-E-48-10-RGB3-MULT-20x40-K</t>
  </si>
  <si>
    <t>L60-E-48-10-RGB3-MULT-20x40-S</t>
  </si>
  <si>
    <t>L60-E-48-10-RGB3-MULT-20x40-W</t>
  </si>
  <si>
    <t>L60-E-48-10-RGB3-MULT-20x40-Z</t>
  </si>
  <si>
    <t>L60-E-48-10-RGB3-MULT-20x70-C</t>
  </si>
  <si>
    <t>L60-E-48-10-RGB3-MULT-20x70-K</t>
  </si>
  <si>
    <t>L60-E-48-10-RGB3-MULT-20x70-S</t>
  </si>
  <si>
    <t>L60-E-48-10-RGB3-MULT-20x70-W</t>
  </si>
  <si>
    <t>L60-E-48-10-RGB3-MULT-20x70-Z</t>
  </si>
  <si>
    <t>L60-E-48-10-RGB3-MULT-30x30-C</t>
  </si>
  <si>
    <t>L60-E-48-10-RGB3-MULT-30x30-K</t>
  </si>
  <si>
    <t>L60-E-48-10-RGB3-MULT-30x30-S</t>
  </si>
  <si>
    <t>L60-E-48-10-RGB3-MULT-30x30-W</t>
  </si>
  <si>
    <t>L60-E-48-10-RGB3-MULT-30x30-Z</t>
  </si>
  <si>
    <t>L60-E-48-10-RGB3-MULT-30x45-C</t>
  </si>
  <si>
    <t>L60-E-48-10-RGB3-MULT-30x45-K</t>
  </si>
  <si>
    <t>L60-E-48-10-RGB3-MULT-30x45-S</t>
  </si>
  <si>
    <t>L60-E-48-10-RGB3-MULT-30x45-W</t>
  </si>
  <si>
    <t>L60-E-48-10-RGB3-MULT-30x45-Z</t>
  </si>
  <si>
    <t>L60-E-48-10-RGB3-MULT-30x75-C</t>
  </si>
  <si>
    <t>L60-E-48-10-RGB3-MULT-30x75-K</t>
  </si>
  <si>
    <t>L60-E-48-10-RGB3-MULT-30x75-S</t>
  </si>
  <si>
    <t>L60-E-48-10-RGB3-MULT-30x75-W</t>
  </si>
  <si>
    <t>L60-E-48-10-RGB3-MULT-30x75-Z</t>
  </si>
  <si>
    <t>L60-E-48-10-RGB3-MULT-55x55-C</t>
  </si>
  <si>
    <t>L60-E-48-10-RGB3-MULT-55x55-K</t>
  </si>
  <si>
    <t>L60-E-48-10-RGB3-MULT-55x55-S</t>
  </si>
  <si>
    <t>L60-E-48-10-RGB3-MULT-55x55-W</t>
  </si>
  <si>
    <t>L60-E-48-10-RGB3-MULT-55x55-Z</t>
  </si>
  <si>
    <t>L60-E-48-10-RGB3-MULT-55x60-C</t>
  </si>
  <si>
    <t>L60-E-48-10-RGB3-MULT-55x60-K</t>
  </si>
  <si>
    <t>L60-E-48-10-RGB3-MULT-55x60-S</t>
  </si>
  <si>
    <t>L60-E-48-10-RGB3-MULT-55x60-W</t>
  </si>
  <si>
    <t>L60-E-48-10-RGB3-MULT-55x60-Z</t>
  </si>
  <si>
    <t>L60-E-48-10-RGB3-MULT-55x90-C</t>
  </si>
  <si>
    <t>L60-E-48-10-RGB3-MULT-55x90-K</t>
  </si>
  <si>
    <t>L60-E-48-10-RGB3-MULT-55x90-S</t>
  </si>
  <si>
    <t>L60-E-48-10-RGB3-MULT-55x90-W</t>
  </si>
  <si>
    <t>L60-E-48-10-RGB3-MULT-55x90-Z</t>
  </si>
  <si>
    <t>L60-E-48-10-RGB3-MULT-ASYM-C</t>
  </si>
  <si>
    <t>L60-E-48-10-RGB3-MULT-ASYM-K</t>
  </si>
  <si>
    <t>L60-E-48-10-RGB3-MULT-ASYM-S</t>
  </si>
  <si>
    <t>L60-E-48-10-RGB3-MULT-ASYM-W</t>
  </si>
  <si>
    <t>L60-E-48-10-RGB3-MULT-ASYM-Z</t>
  </si>
  <si>
    <t>L60-E-48-12-RGB3-MULT-15x15-C</t>
  </si>
  <si>
    <t>L60, OUTDOOR, 4FT, 12 W/FT,  RGB3, 110~277V, 15x15, CUSTOM</t>
  </si>
  <si>
    <t>L60-E-48-12-RGB3-MULT-15x15-K</t>
  </si>
  <si>
    <t>L60, OUTDOOR, 4FT, 12 W/FT,  RGB3, 110~277V, 15x15, BLACK</t>
  </si>
  <si>
    <t>L60-E-48-12-RGB3-MULT-15x15-S</t>
  </si>
  <si>
    <t>L60, OUTDOOR, 4FT, 12 W/FT,  RGB3, 110~277V, 15x15, SILVER</t>
  </si>
  <si>
    <t>L60-E-48-12-RGB3-MULT-15x15-W</t>
  </si>
  <si>
    <t>L60, OUTDOOR, 4FT, 12 W/FT,  RGB3, 110~277V, 15x15, WHITE</t>
  </si>
  <si>
    <t>L60-E-48-12-RGB3-MULT-15x15-Z</t>
  </si>
  <si>
    <t>L60, OUTDOOR, 4FT, 12 W/FT,  RGB3, 110~277V, 15x15, BRONZE</t>
  </si>
  <si>
    <t>L60-E-48-12-RGB3-MULT-20x20-C</t>
  </si>
  <si>
    <t>L60, OUTDOOR, 4FT, 12 W/FT,  RGB3, 110~277V, 20x20, CUSTOM</t>
  </si>
  <si>
    <t>L60-E-48-12-RGB3-MULT-20x20-K</t>
  </si>
  <si>
    <t>L60, OUTDOOR, 4FT, 12 W/FT,  RGB3, 110~277V, 20x20, BLACK</t>
  </si>
  <si>
    <t>L60-E-48-12-RGB3-MULT-20x20-S</t>
  </si>
  <si>
    <t>L60, OUTDOOR, 4FT, 12 W/FT,  RGB3, 110~277V, 20x20, SILVER</t>
  </si>
  <si>
    <t>L60-E-48-12-RGB3-MULT-20x20-W</t>
  </si>
  <si>
    <t>L60, OUTDOOR, 4FT, 12 W/FT,  RGB3, 110~277V, 20x20, WHITE</t>
  </si>
  <si>
    <t>L60-E-48-12-RGB3-MULT-20x20-Z</t>
  </si>
  <si>
    <t>L60, OUTDOOR, 4FT, 12 W/FT,  RGB3, 110~277V, 20x20, BRONZE</t>
  </si>
  <si>
    <t>L60-E-48-12-RGB3-MULT-20x40-C</t>
  </si>
  <si>
    <t>L60, OUTDOOR, 4FT, 12 W/FT,  RGB3, 110~277V, 20x40, CUSTOM</t>
  </si>
  <si>
    <t>L60-E-48-12-RGB3-MULT-20x40-K</t>
  </si>
  <si>
    <t>L60, OUTDOOR, 4FT, 12 W/FT,  RGB3, 110~277V, 20x40, BLACK</t>
  </si>
  <si>
    <t>L60-E-48-12-RGB3-MULT-20x40-S</t>
  </si>
  <si>
    <t>L60, OUTDOOR, 4FT, 12 W/FT,  RGB3, 110~277V, 20x40, SILVER</t>
  </si>
  <si>
    <t>L60-E-48-12-RGB3-MULT-20x40-W</t>
  </si>
  <si>
    <t>L60, OUTDOOR, 4FT, 12 W/FT,  RGB3, 110~277V, 20x40, WHITE</t>
  </si>
  <si>
    <t>L60-E-48-12-RGB3-MULT-20x40-Z</t>
  </si>
  <si>
    <t>L60, OUTDOOR, 4FT, 12 W/FT,  RGB3, 110~277V, 20x40, BRONZE</t>
  </si>
  <si>
    <t>L60-E-48-12-RGB3-MULT-20x70-C</t>
  </si>
  <si>
    <t>L60, OUTDOOR, 4FT, 12 W/FT,  RGB3, 110~277V, 20x70, CUSTOM</t>
  </si>
  <si>
    <t>L60-E-48-12-RGB3-MULT-20x70-K</t>
  </si>
  <si>
    <t>L60, OUTDOOR, 4FT, 12 W/FT,  RGB3, 110~277V, 20x70, BLACK</t>
  </si>
  <si>
    <t>L60-E-48-12-RGB3-MULT-20x70-S</t>
  </si>
  <si>
    <t>L60, OUTDOOR, 4FT, 12 W/FT,  RGB3, 110~277V, 20x70, SILVER</t>
  </si>
  <si>
    <t>L60-E-48-12-RGB3-MULT-20x70-W</t>
  </si>
  <si>
    <t>L60, OUTDOOR, 4FT, 12 W/FT,  RGB3, 110~277V, 20x70, WHITE</t>
  </si>
  <si>
    <t>L60-E-48-12-RGB3-MULT-20x70-Z</t>
  </si>
  <si>
    <t>L60, OUTDOOR, 4FT, 12 W/FT,  RGB3, 110~277V, 20x70, BRONZE</t>
  </si>
  <si>
    <t>L60-E-48-12-RGB3-MULT-30x30-C</t>
  </si>
  <si>
    <t>L60, OUTDOOR, 4FT, 12 W/FT,  RGB3, 110~277V, 30x30, CUSTOM</t>
  </si>
  <si>
    <t>L60-E-48-12-RGB3-MULT-30x30-K</t>
  </si>
  <si>
    <t>L60, OUTDOOR, 4FT, 12 W/FT,  RGB3, 110~277V, 30x30, BLACK</t>
  </si>
  <si>
    <t>L60-E-48-12-RGB3-MULT-30x30-S</t>
  </si>
  <si>
    <t>L60, OUTDOOR, 4FT, 12 W/FT,  RGB3, 110~277V, 30x30, SILVER</t>
  </si>
  <si>
    <t>L60-E-48-12-RGB3-MULT-30x30-W</t>
  </si>
  <si>
    <t>L60, OUTDOOR, 4FT, 12 W/FT,  RGB3, 110~277V, 30x30, WHITE</t>
  </si>
  <si>
    <t>L60-E-48-12-RGB3-MULT-30x30-Z</t>
  </si>
  <si>
    <t>L60, OUTDOOR, 4FT, 12 W/FT,  RGB3, 110~277V, 30x30, BRONZE</t>
  </si>
  <si>
    <t>L60-E-48-12-RGB3-MULT-30x45-C</t>
  </si>
  <si>
    <t>L60, OUTDOOR, 4FT, 12 W/FT,  RGB3, 110~277V, 30x45, CUSTOM</t>
  </si>
  <si>
    <t>L60-E-48-12-RGB3-MULT-30x45-K</t>
  </si>
  <si>
    <t>L60, OUTDOOR, 4FT, 12 W/FT,  RGB3, 110~277V, 30x45, BLACK</t>
  </si>
  <si>
    <t>L60-E-48-12-RGB3-MULT-30x45-S</t>
  </si>
  <si>
    <t>L60, OUTDOOR, 4FT, 12 W/FT,  RGB3, 110~277V, 30x45, SILVER</t>
  </si>
  <si>
    <t>L60-E-48-12-RGB3-MULT-30x45-W</t>
  </si>
  <si>
    <t>L60, OUTDOOR, 4FT, 12 W/FT,  RGB3, 110~277V, 30x45, WHITE</t>
  </si>
  <si>
    <t>L60-E-48-12-RGB3-MULT-30x45-Z</t>
  </si>
  <si>
    <t>L60, OUTDOOR, 4FT, 12 W/FT,  RGB3, 110~277V, 30x45, BRONZE</t>
  </si>
  <si>
    <t>L60-E-48-12-RGB3-MULT-30x75-C</t>
  </si>
  <si>
    <t>L60, OUTDOOR, 4FT, 12 W/FT,  RGB3, 110~277V, 30x75, CUSTOM</t>
  </si>
  <si>
    <t>L60-E-48-12-RGB3-MULT-30x75-K</t>
  </si>
  <si>
    <t>L60, OUTDOOR, 4FT, 12 W/FT,  RGB3, 110~277V, 30x75, BLACK</t>
  </si>
  <si>
    <t>L60-E-48-12-RGB3-MULT-30x75-S</t>
  </si>
  <si>
    <t>L60, OUTDOOR, 4FT, 12 W/FT,  RGB3, 110~277V, 30x75, SILVER</t>
  </si>
  <si>
    <t>L60-E-48-12-RGB3-MULT-30x75-W</t>
  </si>
  <si>
    <t>L60, OUTDOOR, 4FT, 12 W/FT,  RGB3, 110~277V, 30x75, WHITE</t>
  </si>
  <si>
    <t>L60-E-48-12-RGB3-MULT-30x75-Z</t>
  </si>
  <si>
    <t>L60, OUTDOOR, 4FT, 12 W/FT,  RGB3, 110~277V, 30x75, BRONZE</t>
  </si>
  <si>
    <t>L60-E-48-12-RGB3-MULT-55x55-C</t>
  </si>
  <si>
    <t>L60, OUTDOOR, 4FT, 12 W/FT,  RGB3, 110~277V, 55x55, CUSTOM</t>
  </si>
  <si>
    <t>L60-E-48-12-RGB3-MULT-55x55-K</t>
  </si>
  <si>
    <t>L60, OUTDOOR, 4FT, 12 W/FT,  RGB3, 110~277V, 55x55, BLACK</t>
  </si>
  <si>
    <t>L60-E-48-12-RGB3-MULT-55x55-S</t>
  </si>
  <si>
    <t>L60, OUTDOOR, 4FT, 12 W/FT,  RGB3, 110~277V, 55x55, SILVER</t>
  </si>
  <si>
    <t>L60-E-48-12-RGB3-MULT-55x55-W</t>
  </si>
  <si>
    <t>L60, OUTDOOR, 4FT, 12 W/FT,  RGB3, 110~277V, 55x55, WHITE</t>
  </si>
  <si>
    <t>L60-E-48-12-RGB3-MULT-55x55-Z</t>
  </si>
  <si>
    <t>L60, OUTDOOR, 4FT, 12 W/FT,  RGB3, 110~277V, 55x55, BRONZE</t>
  </si>
  <si>
    <t>L60-E-48-12-RGB3-MULT-55x60-C</t>
  </si>
  <si>
    <t>L60, OUTDOOR, 4FT, 12 W/FT,  RGB3, 110~277V, 55x60, CUSTOM</t>
  </si>
  <si>
    <t>L60-E-48-12-RGB3-MULT-55x60-K</t>
  </si>
  <si>
    <t>L60, OUTDOOR, 4FT, 12 W/FT,  RGB3, 110~277V, 55x60, BLACK</t>
  </si>
  <si>
    <t>L60-E-48-12-RGB3-MULT-55x60-S</t>
  </si>
  <si>
    <t>L60, OUTDOOR, 4FT, 12 W/FT,  RGB3, 110~277V, 55x60, SILVER</t>
  </si>
  <si>
    <t>L60-E-48-12-RGB3-MULT-55x60-W</t>
  </si>
  <si>
    <t>L60, OUTDOOR, 4FT, 12 W/FT,  RGB3, 110~277V, 55x60, WHITE</t>
  </si>
  <si>
    <t>L60-E-48-12-RGB3-MULT-55x60-Z</t>
  </si>
  <si>
    <t>L60, OUTDOOR, 4FT, 12 W/FT,  RGB3, 110~277V, 55x60, BRONZE</t>
  </si>
  <si>
    <t>L60-E-48-12-RGB3-MULT-55x90-C</t>
  </si>
  <si>
    <t>L60, OUTDOOR, 4FT, 12 W/FT,  RGB3, 110~277V, 55x90, CUSTOM</t>
  </si>
  <si>
    <t>L60-E-48-12-RGB3-MULT-55x90-K</t>
  </si>
  <si>
    <t>L60, OUTDOOR, 4FT, 12 W/FT,  RGB3, 110~277V, 55x90, BLACK</t>
  </si>
  <si>
    <t>L60-E-48-12-RGB3-MULT-55x90-S</t>
  </si>
  <si>
    <t>L60, OUTDOOR, 4FT, 12 W/FT,  RGB3, 110~277V, 55x90, SILVER</t>
  </si>
  <si>
    <t>L60-E-48-12-RGB3-MULT-55x90-W</t>
  </si>
  <si>
    <t>L60, OUTDOOR, 4FT, 12 W/FT,  RGB3, 110~277V, 55x90, WHITE</t>
  </si>
  <si>
    <t>L60-E-48-12-RGB3-MULT-55x90-Z</t>
  </si>
  <si>
    <t>L60, OUTDOOR, 4FT, 12 W/FT,  RGB3, 110~277V, 55x90, BRONZE</t>
  </si>
  <si>
    <t>L60-E-48-12-RGB3-MULT-ASYM-C</t>
  </si>
  <si>
    <t>L60, OUTDOOR, 4FT, 12 W/FT,  RGB3, 110~277V, ASYM, CUSTOM</t>
  </si>
  <si>
    <t>L60-E-48-12-RGB3-MULT-ASYM-K</t>
  </si>
  <si>
    <t>L60, OUTDOOR, 4FT, 12 W/FT,  RGB3, 110~277V, ASYM, BLACK</t>
  </si>
  <si>
    <t>L60-E-48-12-RGB3-MULT-ASYM-S</t>
  </si>
  <si>
    <t>L60, OUTDOOR, 4FT, 12 W/FT,  RGB3, 110~277V, ASYM, SILVER</t>
  </si>
  <si>
    <t>L60-E-48-12-RGB3-MULT-ASYM-W</t>
  </si>
  <si>
    <t>L60, OUTDOOR, 4FT, 12 W/FT,  RGB3, 110~277V, ASYM, WHITE</t>
  </si>
  <si>
    <t>L60-E-48-12-RGB3-MULT-ASYM-Z</t>
  </si>
  <si>
    <t>L60, OUTDOOR, 4FT, 12 W/FT,  RGB3, 110~277V, ASYM, BRONZE</t>
  </si>
  <si>
    <t>L60-E-48-14-RGB3-MULT-15x15-C</t>
  </si>
  <si>
    <t>L60, OUTDOOR, 4FT, 14 W/FT,  RGB3, 110~277V, 15x15, CUSTOM</t>
  </si>
  <si>
    <t>L60-E-48-14-RGB3-MULT-15x15-K</t>
  </si>
  <si>
    <t>L60, OUTDOOR, 4FT, 14 W/FT,  RGB3, 110~277V, 15x15, BLACK</t>
  </si>
  <si>
    <t>L60-E-48-14-RGB3-MULT-15x15-S</t>
  </si>
  <si>
    <t>L60, OUTDOOR, 4FT, 14 W/FT,  RGB3, 110~277V, 15x15, SILVER</t>
  </si>
  <si>
    <t>L60-E-48-14-RGB3-MULT-15x15-W</t>
  </si>
  <si>
    <t>L60, OUTDOOR, 4FT, 14 W/FT,  RGB3, 110~277V, 15x15, WHITE</t>
  </si>
  <si>
    <t>L60-E-48-14-RGB3-MULT-15x15-Z</t>
  </si>
  <si>
    <t>L60, OUTDOOR, 4FT, 14 W/FT,  RGB3, 110~277V, 15x15, BRONZE</t>
  </si>
  <si>
    <t>L60-E-48-14-RGB3-MULT-20x20-C</t>
  </si>
  <si>
    <t>L60, OUTDOOR, 4FT, 14 W/FT,  RGB3, 110~277V, 20x20, CUSTOM</t>
  </si>
  <si>
    <t>L60-E-48-14-RGB3-MULT-20x20-K</t>
  </si>
  <si>
    <t>L60, OUTDOOR, 4FT, 14 W/FT,  RGB3, 110~277V, 20x20, BLACK</t>
  </si>
  <si>
    <t>L60-E-48-14-RGB3-MULT-20x20-S</t>
  </si>
  <si>
    <t>L60, OUTDOOR, 4FT, 14 W/FT,  RGB3, 110~277V, 20x20, SILVER</t>
  </si>
  <si>
    <t>L60-E-48-14-RGB3-MULT-20x20-W</t>
  </si>
  <si>
    <t>L60, OUTDOOR, 4FT, 14 W/FT,  RGB3, 110~277V, 20x20, WHITE</t>
  </si>
  <si>
    <t>L60-E-48-14-RGB3-MULT-20x20-Z</t>
  </si>
  <si>
    <t>L60, OUTDOOR, 4FT, 14 W/FT,  RGB3, 110~277V, 20x20, BRONZE</t>
  </si>
  <si>
    <t>L60-E-48-14-RGB3-MULT-20x40-C</t>
  </si>
  <si>
    <t>L60, OUTDOOR, 4FT, 14 W/FT,  RGB3, 110~277V, 20x40, CUSTOM</t>
  </si>
  <si>
    <t>L60-E-48-14-RGB3-MULT-20x40-K</t>
  </si>
  <si>
    <t>L60, OUTDOOR, 4FT, 14 W/FT,  RGB3, 110~277V, 20x40, BLACK</t>
  </si>
  <si>
    <t>L60-E-48-14-RGB3-MULT-20x40-S</t>
  </si>
  <si>
    <t>L60, OUTDOOR, 4FT, 14 W/FT,  RGB3, 110~277V, 20x40, SILVER</t>
  </si>
  <si>
    <t>L60-E-48-14-RGB3-MULT-20x40-W</t>
  </si>
  <si>
    <t>L60, OUTDOOR, 4FT, 14 W/FT,  RGB3, 110~277V, 20x40, WHITE</t>
  </si>
  <si>
    <t>L60-E-48-14-RGB3-MULT-20x40-Z</t>
  </si>
  <si>
    <t>L60, OUTDOOR, 4FT, 14 W/FT,  RGB3, 110~277V, 20x40, BRONZE</t>
  </si>
  <si>
    <t>L60-E-48-14-RGB3-MULT-20x70-C</t>
  </si>
  <si>
    <t>L60, OUTDOOR, 4FT, 14 W/FT,  RGB3, 110~277V, 20x70, CUSTOM</t>
  </si>
  <si>
    <t>L60-E-48-14-RGB3-MULT-20x70-K</t>
  </si>
  <si>
    <t>L60, OUTDOOR, 4FT, 14 W/FT,  RGB3, 110~277V, 20x70, BLACK</t>
  </si>
  <si>
    <t>L60-E-48-14-RGB3-MULT-20x70-S</t>
  </si>
  <si>
    <t>L60, OUTDOOR, 4FT, 14 W/FT,  RGB3, 110~277V, 20x70, SILVER</t>
  </si>
  <si>
    <t>L60-E-48-14-RGB3-MULT-20x70-W</t>
  </si>
  <si>
    <t>L60, OUTDOOR, 4FT, 14 W/FT,  RGB3, 110~277V, 20x70, WHITE</t>
  </si>
  <si>
    <t>L60-E-48-14-RGB3-MULT-20x70-Z</t>
  </si>
  <si>
    <t>L60, OUTDOOR, 4FT, 14 W/FT,  RGB3, 110~277V, 20x70, BRONZE</t>
  </si>
  <si>
    <t>L60-E-48-14-RGB3-MULT-30x30-C</t>
  </si>
  <si>
    <t>L60, OUTDOOR, 4FT, 14 W/FT,  RGB3, 110~277V, 30x30, CUSTOM</t>
  </si>
  <si>
    <t>L60-E-48-14-RGB3-MULT-30x30-K</t>
  </si>
  <si>
    <t>L60, OUTDOOR, 4FT, 14 W/FT,  RGB3, 110~277V, 30x30, BLACK</t>
  </si>
  <si>
    <t>L60-E-48-14-RGB3-MULT-30x30-S</t>
  </si>
  <si>
    <t>L60, OUTDOOR, 4FT, 14 W/FT,  RGB3, 110~277V, 30x30, SILVER</t>
  </si>
  <si>
    <t>L60-E-48-14-RGB3-MULT-30x30-W</t>
  </si>
  <si>
    <t>L60, OUTDOOR, 4FT, 14 W/FT,  RGB3, 110~277V, 30x30, WHITE</t>
  </si>
  <si>
    <t>L60-E-48-14-RGB3-MULT-30x30-Z</t>
  </si>
  <si>
    <t>L60, OUTDOOR, 4FT, 14 W/FT,  RGB3, 110~277V, 30x30, BRONZE</t>
  </si>
  <si>
    <t>L60-E-48-14-RGB3-MULT-30x45-C</t>
  </si>
  <si>
    <t>L60, OUTDOOR, 4FT, 14 W/FT,  RGB3, 110~277V, 30x45, CUSTOM</t>
  </si>
  <si>
    <t>L60-E-48-14-RGB3-MULT-30x45-K</t>
  </si>
  <si>
    <t>L60, OUTDOOR, 4FT, 14 W/FT,  RGB3, 110~277V, 30x45, BLACK</t>
  </si>
  <si>
    <t>L60-E-48-14-RGB3-MULT-30x45-S</t>
  </si>
  <si>
    <t>L60, OUTDOOR, 4FT, 14 W/FT,  RGB3, 110~277V, 30x45, SILVER</t>
  </si>
  <si>
    <t>L60-E-48-14-RGB3-MULT-30x45-W</t>
  </si>
  <si>
    <t>L60, OUTDOOR, 4FT, 14 W/FT,  RGB3, 110~277V, 30x45, WHITE</t>
  </si>
  <si>
    <t>L60-E-48-14-RGB3-MULT-30x45-Z</t>
  </si>
  <si>
    <t>L60, OUTDOOR, 4FT, 14 W/FT,  RGB3, 110~277V, 30x45, BRONZE</t>
  </si>
  <si>
    <t>L60-E-48-14-RGB3-MULT-30x75-C</t>
  </si>
  <si>
    <t>L60, OUTDOOR, 4FT, 14 W/FT,  RGB3, 110~277V, 30x75, CUSTOM</t>
  </si>
  <si>
    <t>L60-E-48-14-RGB3-MULT-30x75-K</t>
  </si>
  <si>
    <t>L60, OUTDOOR, 4FT, 14 W/FT,  RGB3, 110~277V, 30x75, BLACK</t>
  </si>
  <si>
    <t>L60-E-48-14-RGB3-MULT-30x75-S</t>
  </si>
  <si>
    <t>L60, OUTDOOR, 4FT, 14 W/FT,  RGB3, 110~277V, 30x75, SILVER</t>
  </si>
  <si>
    <t>L60-E-48-14-RGB3-MULT-30x75-W</t>
  </si>
  <si>
    <t>L60, OUTDOOR, 4FT, 14 W/FT,  RGB3, 110~277V, 30x75, WHITE</t>
  </si>
  <si>
    <t>L60-E-48-14-RGB3-MULT-30x75-Z</t>
  </si>
  <si>
    <t>L60, OUTDOOR, 4FT, 14 W/FT,  RGB3, 110~277V, 30x75, BRONZE</t>
  </si>
  <si>
    <t>L60-E-48-14-RGB3-MULT-55x55-C</t>
  </si>
  <si>
    <t>L60, OUTDOOR, 4FT, 14 W/FT,  RGB3, 110~277V, 55x55, CUSTOM</t>
  </si>
  <si>
    <t>L60-E-48-14-RGB3-MULT-55x55-K</t>
  </si>
  <si>
    <t>L60, OUTDOOR, 4FT, 14 W/FT,  RGB3, 110~277V, 55x55, BLACK</t>
  </si>
  <si>
    <t>L60-E-48-14-RGB3-MULT-55x55-S</t>
  </si>
  <si>
    <t>L60, OUTDOOR, 4FT, 14 W/FT,  RGB3, 110~277V, 55x55, SILVER</t>
  </si>
  <si>
    <t>L60-E-48-14-RGB3-MULT-55x55-W</t>
  </si>
  <si>
    <t>L60, OUTDOOR, 4FT, 14 W/FT,  RGB3, 110~277V, 55x55, WHITE</t>
  </si>
  <si>
    <t>L60-E-48-14-RGB3-MULT-55x55-Z</t>
  </si>
  <si>
    <t>L60, OUTDOOR, 4FT, 14 W/FT,  RGB3, 110~277V, 55x55, BRONZE</t>
  </si>
  <si>
    <t>L60-E-48-14-RGB3-MULT-55x60-C</t>
  </si>
  <si>
    <t>L60, OUTDOOR, 4FT, 14 W/FT,  RGB3, 110~277V, 55x60, CUSTOM</t>
  </si>
  <si>
    <t>L60-E-48-14-RGB3-MULT-55x60-K</t>
  </si>
  <si>
    <t>L60, OUTDOOR, 4FT, 14 W/FT,  RGB3, 110~277V, 55x60, BLACK</t>
  </si>
  <si>
    <t>L60-E-48-14-RGB3-MULT-55x60-S</t>
  </si>
  <si>
    <t>L60, OUTDOOR, 4FT, 14 W/FT,  RGB3, 110~277V, 55x60, SILVER</t>
  </si>
  <si>
    <t>L60-E-48-14-RGB3-MULT-55x60-W</t>
  </si>
  <si>
    <t>L60, OUTDOOR, 4FT, 14 W/FT,  RGB3, 110~277V, 55x60, WHITE</t>
  </si>
  <si>
    <t>L60-E-48-14-RGB3-MULT-55x60-Z</t>
  </si>
  <si>
    <t>L60, OUTDOOR, 4FT, 14 W/FT,  RGB3, 110~277V, 55x60, BRONZE</t>
  </si>
  <si>
    <t>L60-E-48-14-RGB3-MULT-55x90-C</t>
  </si>
  <si>
    <t>L60, OUTDOOR, 4FT, 14 W/FT,  RGB3, 110~277V, 55x90, CUSTOM</t>
  </si>
  <si>
    <t>L60-E-48-14-RGB3-MULT-55x90-K</t>
  </si>
  <si>
    <t>L60, OUTDOOR, 4FT, 14 W/FT,  RGB3, 110~277V, 55x90, BLACK</t>
  </si>
  <si>
    <t>L60-E-48-14-RGB3-MULT-55x90-S</t>
  </si>
  <si>
    <t>L60, OUTDOOR, 4FT, 14 W/FT,  RGB3, 110~277V, 55x90, SILVER</t>
  </si>
  <si>
    <t>L60-E-48-14-RGB3-MULT-55x90-W</t>
  </si>
  <si>
    <t>L60, OUTDOOR, 4FT, 14 W/FT,  RGB3, 110~277V, 55x90, WHITE</t>
  </si>
  <si>
    <t>L60-E-48-14-RGB3-MULT-55x90-Z</t>
  </si>
  <si>
    <t>L60, OUTDOOR, 4FT, 14 W/FT,  RGB3, 110~277V, 55x90, BRONZE</t>
  </si>
  <si>
    <t>L60-E-48-14-RGB3-MULT-ASYM-C</t>
  </si>
  <si>
    <t>L60, OUTDOOR, 4FT, 14 W/FT,  RGB3, 110~277V, ASYM, CUSTOM</t>
  </si>
  <si>
    <t>L60-E-48-14-RGB3-MULT-ASYM-K</t>
  </si>
  <si>
    <t>L60, OUTDOOR, 4FT, 14 W/FT,  RGB3, 110~277V, ASYM, BLACK</t>
  </si>
  <si>
    <t>L60-E-48-14-RGB3-MULT-ASYM-S</t>
  </si>
  <si>
    <t>L60, OUTDOOR, 4FT, 14 W/FT,  RGB3, 110~277V, ASYM, SILVER</t>
  </si>
  <si>
    <t>L60-E-48-14-RGB3-MULT-ASYM-W</t>
  </si>
  <si>
    <t>L60, OUTDOOR, 4FT, 14 W/FT,  RGB3, 110~277V, ASYM, WHITE</t>
  </si>
  <si>
    <t>L60-E-48-14-RGB3-MULT-ASYM-Z</t>
  </si>
  <si>
    <t>L60, OUTDOOR, 4FT, 14 W/FT,  RGB3, 110~277V, ASYM, BRONZE</t>
  </si>
  <si>
    <t>L60-E-48-16-RGB3-MULT-15x15-C</t>
  </si>
  <si>
    <t>L60, OUTDOOR, 4FT, 16 W/FT,  RGB3, 110~277V, 15x15, CUSTOM</t>
  </si>
  <si>
    <t>L60-E-48-16-RGB3-MULT-15x15-K</t>
  </si>
  <si>
    <t>L60, OUTDOOR, 4FT, 16 W/FT,  RGB3, 110~277V, 15x15, BLACK</t>
  </si>
  <si>
    <t>L60-E-48-16-RGB3-MULT-15x15-S</t>
  </si>
  <si>
    <t>L60, OUTDOOR, 4FT, 16 W/FT,  RGB3, 110~277V, 15x15, SILVER</t>
  </si>
  <si>
    <t>L60-E-48-16-RGB3-MULT-15x15-W</t>
  </si>
  <si>
    <t>L60, OUTDOOR, 4FT, 16 W/FT,  RGB3, 110~277V, 15x15, WHITE</t>
  </si>
  <si>
    <t>L60-E-48-16-RGB3-MULT-15x15-Z</t>
  </si>
  <si>
    <t>L60, OUTDOOR, 4FT, 16 W/FT,  RGB3, 110~277V, 15x15, BRONZE</t>
  </si>
  <si>
    <t>L60-E-48-16-RGB3-MULT-20x20-C</t>
  </si>
  <si>
    <t>L60, OUTDOOR, 4FT, 16 W/FT,  RGB3, 110~277V, 20x20, CUSTOM</t>
  </si>
  <si>
    <t>L60-E-48-16-RGB3-MULT-20x20-K</t>
  </si>
  <si>
    <t>L60, OUTDOOR, 4FT, 16 W/FT,  RGB3, 110~277V, 20x20, BLACK</t>
  </si>
  <si>
    <t>L60-E-48-16-RGB3-MULT-20x20-S</t>
  </si>
  <si>
    <t>L60, OUTDOOR, 4FT, 16 W/FT,  RGB3, 110~277V, 20x20, SILVER</t>
  </si>
  <si>
    <t>L60-E-48-16-RGB3-MULT-20x20-W</t>
  </si>
  <si>
    <t>L60, OUTDOOR, 4FT, 16 W/FT,  RGB3, 110~277V, 20x20, WHITE</t>
  </si>
  <si>
    <t>L60-E-48-16-RGB3-MULT-20x20-Z</t>
  </si>
  <si>
    <t>L60, OUTDOOR, 4FT, 16 W/FT,  RGB3, 110~277V, 20x20, BRONZE</t>
  </si>
  <si>
    <t>L60-E-48-16-RGB3-MULT-20x40-C</t>
  </si>
  <si>
    <t>L60, OUTDOOR, 4FT, 16 W/FT,  RGB3, 110~277V, 20x40, CUSTOM</t>
  </si>
  <si>
    <t>L60-E-48-16-RGB3-MULT-20x40-K</t>
  </si>
  <si>
    <t>L60, OUTDOOR, 4FT, 16 W/FT,  RGB3, 110~277V, 20x40, BLACK</t>
  </si>
  <si>
    <t>L60-E-48-16-RGB3-MULT-20x40-S</t>
  </si>
  <si>
    <t>L60, OUTDOOR, 4FT, 16 W/FT,  RGB3, 110~277V, 20x40, SILVER</t>
  </si>
  <si>
    <t>L60-E-48-16-RGB3-MULT-20x40-W</t>
  </si>
  <si>
    <t>L60, OUTDOOR, 4FT, 16 W/FT,  RGB3, 110~277V, 20x40, WHITE</t>
  </si>
  <si>
    <t>L60-E-48-16-RGB3-MULT-20x40-Z</t>
  </si>
  <si>
    <t>L60, OUTDOOR, 4FT, 16 W/FT,  RGB3, 110~277V, 20x40, BRONZE</t>
  </si>
  <si>
    <t>L60-E-48-16-RGB3-MULT-20x70-C</t>
  </si>
  <si>
    <t>L60, OUTDOOR, 4FT, 16 W/FT,  RGB3, 110~277V, 20x70, CUSTOM</t>
  </si>
  <si>
    <t>L60-E-48-16-RGB3-MULT-20x70-K</t>
  </si>
  <si>
    <t>L60, OUTDOOR, 4FT, 16 W/FT,  RGB3, 110~277V, 20x70, BLACK</t>
  </si>
  <si>
    <t>L60-E-48-16-RGB3-MULT-20x70-S</t>
  </si>
  <si>
    <t>L60, OUTDOOR, 4FT, 16 W/FT,  RGB3, 110~277V, 20x70, SILVER</t>
  </si>
  <si>
    <t>L60-E-48-16-RGB3-MULT-20x70-W</t>
  </si>
  <si>
    <t>L60, OUTDOOR, 4FT, 16 W/FT,  RGB3, 110~277V, 20x70, WHITE</t>
  </si>
  <si>
    <t>L60-E-48-16-RGB3-MULT-20x70-Z</t>
  </si>
  <si>
    <t>L60, OUTDOOR, 4FT, 16 W/FT,  RGB3, 110~277V, 20x70, BRONZE</t>
  </si>
  <si>
    <t>L60-E-48-16-RGB3-MULT-30x30-C</t>
  </si>
  <si>
    <t>L60, OUTDOOR, 4FT, 16 W/FT,  RGB3, 110~277V, 30x30, CUSTOM</t>
  </si>
  <si>
    <t>L60-E-48-16-RGB3-MULT-30x30-K</t>
  </si>
  <si>
    <t>L60, OUTDOOR, 4FT, 16 W/FT,  RGB3, 110~277V, 30x30, BLACK</t>
  </si>
  <si>
    <t>L60-E-48-16-RGB3-MULT-30x30-S</t>
  </si>
  <si>
    <t>L60, OUTDOOR, 4FT, 16 W/FT,  RGB3, 110~277V, 30x30, SILVER</t>
  </si>
  <si>
    <t>L60-E-48-16-RGB3-MULT-30x30-W</t>
  </si>
  <si>
    <t>L60, OUTDOOR, 4FT, 16 W/FT,  RGB3, 110~277V, 30x30, WHITE</t>
  </si>
  <si>
    <t>L60-E-48-16-RGB3-MULT-30x30-Z</t>
  </si>
  <si>
    <t>L60, OUTDOOR, 4FT, 16 W/FT,  RGB3, 110~277V, 30x30, BRONZE</t>
  </si>
  <si>
    <t>L60-E-48-16-RGB3-MULT-30x45-C</t>
  </si>
  <si>
    <t>L60, OUTDOOR, 4FT, 16 W/FT,  RGB3, 110~277V, 30x45, CUSTOM</t>
  </si>
  <si>
    <t>L60-E-48-16-RGB3-MULT-30x45-K</t>
  </si>
  <si>
    <t>L60, OUTDOOR, 4FT, 16 W/FT,  RGB3, 110~277V, 30x45, BLACK</t>
  </si>
  <si>
    <t>L60-E-48-16-RGB3-MULT-30x45-S</t>
  </si>
  <si>
    <t>L60, OUTDOOR, 4FT, 16 W/FT,  RGB3, 110~277V, 30x45, SILVER</t>
  </si>
  <si>
    <t>L60-E-48-16-RGB3-MULT-30x45-W</t>
  </si>
  <si>
    <t>L60, OUTDOOR, 4FT, 16 W/FT,  RGB3, 110~277V, 30x45, WHITE</t>
  </si>
  <si>
    <t>L60-E-48-16-RGB3-MULT-30x45-Z</t>
  </si>
  <si>
    <t>L60, OUTDOOR, 4FT, 16 W/FT,  RGB3, 110~277V, 30x45, BRONZE</t>
  </si>
  <si>
    <t>L60-E-48-16-RGB3-MULT-30x75-C</t>
  </si>
  <si>
    <t>L60, OUTDOOR, 4FT, 16 W/FT,  RGB3, 110~277V, 30x75, CUSTOM</t>
  </si>
  <si>
    <t>L60-E-48-16-RGB3-MULT-30x75-K</t>
  </si>
  <si>
    <t>L60, OUTDOOR, 4FT, 16 W/FT,  RGB3, 110~277V, 30x75, BLACK</t>
  </si>
  <si>
    <t>L60-E-48-16-RGB3-MULT-30x75-S</t>
  </si>
  <si>
    <t>L60, OUTDOOR, 4FT, 16 W/FT,  RGB3, 110~277V, 30x75, SILVER</t>
  </si>
  <si>
    <t>L60-E-48-16-RGB3-MULT-30x75-W</t>
  </si>
  <si>
    <t>L60, OUTDOOR, 4FT, 16 W/FT,  RGB3, 110~277V, 30x75, WHITE</t>
  </si>
  <si>
    <t>L60-E-48-16-RGB3-MULT-30x75-Z</t>
  </si>
  <si>
    <t>L60, OUTDOOR, 4FT, 16 W/FT,  RGB3, 110~277V, 30x75, BRONZE</t>
  </si>
  <si>
    <t>L60-E-48-16-RGB3-MULT-55x55-C</t>
  </si>
  <si>
    <t>L60, OUTDOOR, 4FT, 16 W/FT,  RGB3, 110~277V, 55x55, CUSTOM</t>
  </si>
  <si>
    <t>L60-E-48-16-RGB3-MULT-55x55-K</t>
  </si>
  <si>
    <t>L60, OUTDOOR, 4FT, 16 W/FT,  RGB3, 110~277V, 55x55, BLACK</t>
  </si>
  <si>
    <t>L60-E-48-16-RGB3-MULT-55x55-S</t>
  </si>
  <si>
    <t>L60, OUTDOOR, 4FT, 16 W/FT,  RGB3, 110~277V, 55x55, SILVER</t>
  </si>
  <si>
    <t>L60-E-48-16-RGB3-MULT-55x55-W</t>
  </si>
  <si>
    <t>L60, OUTDOOR, 4FT, 16 W/FT,  RGB3, 110~277V, 55x55, WHITE</t>
  </si>
  <si>
    <t>L60-E-48-16-RGB3-MULT-55x55-Z</t>
  </si>
  <si>
    <t>L60, OUTDOOR, 4FT, 16 W/FT,  RGB3, 110~277V, 55x55, BRONZE</t>
  </si>
  <si>
    <t>L60-E-48-16-RGB3-MULT-55x60-C</t>
  </si>
  <si>
    <t>L60, OUTDOOR, 4FT, 16 W/FT,  RGB3, 110~277V, 55x60, CUSTOM</t>
  </si>
  <si>
    <t>L60-E-48-16-RGB3-MULT-55x60-K</t>
  </si>
  <si>
    <t>L60, OUTDOOR, 4FT, 16 W/FT,  RGB3, 110~277V, 55x60, BLACK</t>
  </si>
  <si>
    <t>L60-E-48-16-RGB3-MULT-55x60-S</t>
  </si>
  <si>
    <t>L60, OUTDOOR, 4FT, 16 W/FT,  RGB3, 110~277V, 55x60, SILVER</t>
  </si>
  <si>
    <t>L60-E-48-16-RGB3-MULT-55x60-W</t>
  </si>
  <si>
    <t>L60, OUTDOOR, 4FT, 16 W/FT,  RGB3, 110~277V, 55x60, WHITE</t>
  </si>
  <si>
    <t>L60-E-48-16-RGB3-MULT-55x60-Z</t>
  </si>
  <si>
    <t>L60, OUTDOOR, 4FT, 16 W/FT,  RGB3, 110~277V, 55x60, BRONZE</t>
  </si>
  <si>
    <t>L60-E-48-16-RGB3-MULT-55x90-C</t>
  </si>
  <si>
    <t>L60, OUTDOOR, 4FT, 16 W/FT,  RGB3, 110~277V, 55x90, CUSTOM</t>
  </si>
  <si>
    <t>L60-E-48-16-RGB3-MULT-55x90-K</t>
  </si>
  <si>
    <t>L60, OUTDOOR, 4FT, 16 W/FT,  RGB3, 110~277V, 55x90, BLACK</t>
  </si>
  <si>
    <t>L60-E-48-16-RGB3-MULT-55x90-S</t>
  </si>
  <si>
    <t>L60, OUTDOOR, 4FT, 16 W/FT,  RGB3, 110~277V, 55x90, SILVER</t>
  </si>
  <si>
    <t>L60-E-48-16-RGB3-MULT-55x90-W</t>
  </si>
  <si>
    <t>L60, OUTDOOR, 4FT, 16 W/FT,  RGB3, 110~277V, 55x90, WHITE</t>
  </si>
  <si>
    <t>L60-E-48-16-RGB3-MULT-55x90-Z</t>
  </si>
  <si>
    <t>L60, OUTDOOR, 4FT, 16 W/FT,  RGB3, 110~277V, 55x90, BRONZE</t>
  </si>
  <si>
    <t>L60-E-48-16-RGB3-MULT-ASYM-C</t>
  </si>
  <si>
    <t>L60, OUTDOOR, 4FT, 16 W/FT,  RGB3, 110~277V, ASYM, CUSTOM</t>
  </si>
  <si>
    <t>L60-E-48-16-RGB3-MULT-ASYM-K</t>
  </si>
  <si>
    <t>L60, OUTDOOR, 4FT, 16 W/FT,  RGB3, 110~277V, ASYM, BLACK</t>
  </si>
  <si>
    <t>L60-E-48-16-RGB3-MULT-ASYM-S</t>
  </si>
  <si>
    <t>L60, OUTDOOR, 4FT, 16 W/FT,  RGB3, 110~277V, ASYM, SILVER</t>
  </si>
  <si>
    <t>L60-E-48-16-RGB3-MULT-ASYM-W</t>
  </si>
  <si>
    <t>L60, OUTDOOR, 4FT, 16 W/FT,  RGB3, 110~277V, ASYM, WHITE</t>
  </si>
  <si>
    <t>L60-E-48-16-RGB3-MULT-ASYM-Z</t>
  </si>
  <si>
    <t>L60, OUTDOOR, 4FT, 16 W/FT,  RGB3, 110~277V, ASYM, BRONZE</t>
  </si>
  <si>
    <t>L60-E-48-18-RGB3-MULT-15x15-C</t>
  </si>
  <si>
    <t>L60-E-48-18-RGB3-MULT-15x15-K</t>
  </si>
  <si>
    <t>L60-E-48-18-RGB3-MULT-15x15-S</t>
  </si>
  <si>
    <t>L60-E-48-18-RGB3-MULT-15x15-W</t>
  </si>
  <si>
    <t>L60-E-48-18-RGB3-MULT-15x15-Z</t>
  </si>
  <si>
    <t>L60-E-48-18-RGB3-MULT-20x20-C</t>
  </si>
  <si>
    <t>L60-E-48-18-RGB3-MULT-20x20-K</t>
  </si>
  <si>
    <t>L60-E-48-18-RGB3-MULT-20x20-S</t>
  </si>
  <si>
    <t>L60-E-48-18-RGB3-MULT-20x20-W</t>
  </si>
  <si>
    <t>L60-E-48-18-RGB3-MULT-20x20-Z</t>
  </si>
  <si>
    <t>L60-E-48-18-RGB3-MULT-20x40-C</t>
  </si>
  <si>
    <t>L60-E-48-18-RGB3-MULT-20x40-K</t>
  </si>
  <si>
    <t>L60-E-48-18-RGB3-MULT-20x40-S</t>
  </si>
  <si>
    <t>L60-E-48-18-RGB3-MULT-20x40-W</t>
  </si>
  <si>
    <t>L60-E-48-18-RGB3-MULT-20x40-Z</t>
  </si>
  <si>
    <t>L60-E-48-18-RGB3-MULT-20x70-C</t>
  </si>
  <si>
    <t>L60-E-48-18-RGB3-MULT-20x70-K</t>
  </si>
  <si>
    <t>L60-E-48-18-RGB3-MULT-20x70-S</t>
  </si>
  <si>
    <t>L60-E-48-18-RGB3-MULT-20x70-W</t>
  </si>
  <si>
    <t>L60-E-48-18-RGB3-MULT-20x70-Z</t>
  </si>
  <si>
    <t>L60-E-48-18-RGB3-MULT-30x30-C</t>
  </si>
  <si>
    <t>L60-E-48-18-RGB3-MULT-30x30-K</t>
  </si>
  <si>
    <t>L60-E-48-18-RGB3-MULT-30x30-S</t>
  </si>
  <si>
    <t>L60-E-48-18-RGB3-MULT-30x30-W</t>
  </si>
  <si>
    <t>L60-E-48-18-RGB3-MULT-30x30-Z</t>
  </si>
  <si>
    <t>L60-E-48-18-RGB3-MULT-30x45-C</t>
  </si>
  <si>
    <t>L60-E-48-18-RGB3-MULT-30x45-K</t>
  </si>
  <si>
    <t>L60-E-48-18-RGB3-MULT-30x45-S</t>
  </si>
  <si>
    <t>L60-E-48-18-RGB3-MULT-30x45-W</t>
  </si>
  <si>
    <t>L60-E-48-18-RGB3-MULT-30x45-Z</t>
  </si>
  <si>
    <t>L60-E-48-18-RGB3-MULT-30x75-C</t>
  </si>
  <si>
    <t>L60-E-48-18-RGB3-MULT-30x75-K</t>
  </si>
  <si>
    <t>L60-E-48-18-RGB3-MULT-30x75-S</t>
  </si>
  <si>
    <t>L60-E-48-18-RGB3-MULT-30x75-W</t>
  </si>
  <si>
    <t>L60-E-48-18-RGB3-MULT-30x75-Z</t>
  </si>
  <si>
    <t>L60-E-48-18-RGB3-MULT-55x55-C</t>
  </si>
  <si>
    <t>L60-E-48-18-RGB3-MULT-55x55-K</t>
  </si>
  <si>
    <t>L60-E-48-18-RGB3-MULT-55x55-S</t>
  </si>
  <si>
    <t>L60-E-48-18-RGB3-MULT-55x55-W</t>
  </si>
  <si>
    <t>L60-E-48-18-RGB3-MULT-55x55-Z</t>
  </si>
  <si>
    <t>L60-E-48-18-RGB3-MULT-55x60-C</t>
  </si>
  <si>
    <t>L60-E-48-18-RGB3-MULT-55x60-K</t>
  </si>
  <si>
    <t>L60-E-48-18-RGB3-MULT-55x60-S</t>
  </si>
  <si>
    <t>L60-E-48-18-RGB3-MULT-55x60-W</t>
  </si>
  <si>
    <t>L60-E-48-18-RGB3-MULT-55x60-Z</t>
  </si>
  <si>
    <t>L60-E-48-18-RGB3-MULT-55x90-C</t>
  </si>
  <si>
    <t>L60-E-48-18-RGB3-MULT-55x90-K</t>
  </si>
  <si>
    <t>L60-E-48-18-RGB3-MULT-55x90-S</t>
  </si>
  <si>
    <t>L60-E-48-18-RGB3-MULT-55x90-W</t>
  </si>
  <si>
    <t>L60-E-48-18-RGB3-MULT-55x90-Z</t>
  </si>
  <si>
    <t>L60-E-48-18-RGB3-MULT-ASYM-C</t>
  </si>
  <si>
    <t>L60-E-48-18-RGB3-MULT-ASYM-K</t>
  </si>
  <si>
    <t>L60-E-48-18-RGB3-MULT-ASYM-S</t>
  </si>
  <si>
    <t>L60-E-48-18-RGB3-MULT-ASYM-W</t>
  </si>
  <si>
    <t>L60-E-48-18-RGB3-MULT-ASYM-Z</t>
  </si>
  <si>
    <t>L60-I-12-10-RGB3-MULT-15x15-C</t>
  </si>
  <si>
    <t>L60-I-12-10-RGB3-MULT-15x15-K</t>
  </si>
  <si>
    <t>L60-I-12-10-RGB3-MULT-15x15-S</t>
  </si>
  <si>
    <t>L60-I-12-10-RGB3-MULT-15x15-W</t>
  </si>
  <si>
    <t>L60-I-12-10-RGB3-MULT-15x15-Z</t>
  </si>
  <si>
    <t>L60-I-12-10-RGB3-MULT-20x20-C</t>
  </si>
  <si>
    <t>L60-I-12-10-RGB3-MULT-20x20-K</t>
  </si>
  <si>
    <t>L60-I-12-10-RGB3-MULT-20x20-S</t>
  </si>
  <si>
    <t>L60-I-12-10-RGB3-MULT-20x20-W</t>
  </si>
  <si>
    <t>L60-I-12-10-RGB3-MULT-20x20-Z</t>
  </si>
  <si>
    <t>L60-I-12-10-RGB3-MULT-20x40-C</t>
  </si>
  <si>
    <t>L60-I-12-10-RGB3-MULT-20x40-K</t>
  </si>
  <si>
    <t>L60-I-12-10-RGB3-MULT-20x40-S</t>
  </si>
  <si>
    <t>L60-I-12-10-RGB3-MULT-20x40-W</t>
  </si>
  <si>
    <t>L60-I-12-10-RGB3-MULT-20x40-Z</t>
  </si>
  <si>
    <t>L60-I-12-10-RGB3-MULT-20x70-C</t>
  </si>
  <si>
    <t>L60-I-12-10-RGB3-MULT-20x70-K</t>
  </si>
  <si>
    <t>L60-I-12-10-RGB3-MULT-20x70-S</t>
  </si>
  <si>
    <t>L60-I-12-10-RGB3-MULT-20x70-W</t>
  </si>
  <si>
    <t>L60-I-12-10-RGB3-MULT-20x70-Z</t>
  </si>
  <si>
    <t>L60-I-12-10-RGB3-MULT-30x30-C</t>
  </si>
  <si>
    <t>L60-I-12-10-RGB3-MULT-30x30-K</t>
  </si>
  <si>
    <t>L60-I-12-10-RGB3-MULT-30x30-S</t>
  </si>
  <si>
    <t>L60-I-12-10-RGB3-MULT-30x30-W</t>
  </si>
  <si>
    <t>L60-I-12-10-RGB3-MULT-30x30-Z</t>
  </si>
  <si>
    <t>L60-I-12-10-RGB3-MULT-30x45-C</t>
  </si>
  <si>
    <t>L60-I-12-10-RGB3-MULT-30x45-K</t>
  </si>
  <si>
    <t>L60-I-12-10-RGB3-MULT-30x45-S</t>
  </si>
  <si>
    <t>L60-I-12-10-RGB3-MULT-30x45-W</t>
  </si>
  <si>
    <t>L60-I-12-10-RGB3-MULT-30x45-Z</t>
  </si>
  <si>
    <t>L60-I-12-10-RGB3-MULT-30x75-C</t>
  </si>
  <si>
    <t>L60-I-12-10-RGB3-MULT-30x75-K</t>
  </si>
  <si>
    <t>L60-I-12-10-RGB3-MULT-30x75-S</t>
  </si>
  <si>
    <t>L60-I-12-10-RGB3-MULT-30x75-W</t>
  </si>
  <si>
    <t>L60-I-12-10-RGB3-MULT-30x75-Z</t>
  </si>
  <si>
    <t>L60-I-12-10-RGB3-MULT-55x55-C</t>
  </si>
  <si>
    <t>L60-I-12-10-RGB3-MULT-55x55-K</t>
  </si>
  <si>
    <t>L60-I-12-10-RGB3-MULT-55x55-S</t>
  </si>
  <si>
    <t>L60-I-12-10-RGB3-MULT-55x55-W</t>
  </si>
  <si>
    <t>L60-I-12-10-RGB3-MULT-55x55-Z</t>
  </si>
  <si>
    <t>L60-I-12-10-RGB3-MULT-55x60-C</t>
  </si>
  <si>
    <t>L60-I-12-10-RGB3-MULT-55x60-K</t>
  </si>
  <si>
    <t>L60-I-12-10-RGB3-MULT-55x60-S</t>
  </si>
  <si>
    <t>L60-I-12-10-RGB3-MULT-55x60-W</t>
  </si>
  <si>
    <t>L60-I-12-10-RGB3-MULT-55x60-Z</t>
  </si>
  <si>
    <t>L60-I-12-10-RGB3-MULT-55x90-C</t>
  </si>
  <si>
    <t>L60-I-12-10-RGB3-MULT-55x90-K</t>
  </si>
  <si>
    <t>L60-I-12-10-RGB3-MULT-55x90-S</t>
  </si>
  <si>
    <t>L60-I-12-10-RGB3-MULT-55x90-W</t>
  </si>
  <si>
    <t>L60-I-12-10-RGB3-MULT-55x90-Z</t>
  </si>
  <si>
    <t>L60-I-12-10-RGB3-MULT-ASYM-C</t>
  </si>
  <si>
    <t>L60-I-12-10-RGB3-MULT-ASYM-K</t>
  </si>
  <si>
    <t>L60-I-12-10-RGB3-MULT-ASYM-S</t>
  </si>
  <si>
    <t>L60-I-12-10-RGB3-MULT-ASYM-W</t>
  </si>
  <si>
    <t>L60-I-12-10-RGB3-MULT-ASYM-Z</t>
  </si>
  <si>
    <t>L60-I-12-12-RGB3-MULT-15x15-C</t>
  </si>
  <si>
    <t>L60, INDOOR, 1FT, 12 W/FT,  RGB3, 110~277V, 15x15, CUSTOM</t>
  </si>
  <si>
    <t>L60-I-12-12-RGB3-MULT-15x15-K</t>
  </si>
  <si>
    <t>L60, INDOOR, 1FT, 12 W/FT,  RGB3, 110~277V, 15x15, BLACK</t>
  </si>
  <si>
    <t>L60-I-12-12-RGB3-MULT-15x15-S</t>
  </si>
  <si>
    <t>L60, INDOOR, 1FT, 12 W/FT,  RGB3, 110~277V, 15x15, SILVER</t>
  </si>
  <si>
    <t>L60-I-12-12-RGB3-MULT-15x15-W</t>
  </si>
  <si>
    <t>L60, INDOOR, 1FT, 12 W/FT,  RGB3, 110~277V, 15x15, WHITE</t>
  </si>
  <si>
    <t>L60-I-12-12-RGB3-MULT-15x15-Z</t>
  </si>
  <si>
    <t>L60, INDOOR, 1FT, 12 W/FT,  RGB3, 110~277V, 15x15, BRONZE</t>
  </si>
  <si>
    <t>L60-I-12-12-RGB3-MULT-20x20-C</t>
  </si>
  <si>
    <t>L60, INDOOR, 1FT, 12 W/FT,  RGB3, 110~277V, 20x20, CUSTOM</t>
  </si>
  <si>
    <t>L60-I-12-12-RGB3-MULT-20x20-K</t>
  </si>
  <si>
    <t>L60, INDOOR, 1FT, 12 W/FT,  RGB3, 110~277V, 20x20, BLACK</t>
  </si>
  <si>
    <t>L60-I-12-12-RGB3-MULT-20x20-S</t>
  </si>
  <si>
    <t>L60, INDOOR, 1FT, 12 W/FT,  RGB3, 110~277V, 20x20, SILVER</t>
  </si>
  <si>
    <t>L60-I-12-12-RGB3-MULT-20x20-W</t>
  </si>
  <si>
    <t>L60, INDOOR, 1FT, 12 W/FT,  RGB3, 110~277V, 20x20, WHITE</t>
  </si>
  <si>
    <t>L60-I-12-12-RGB3-MULT-20x20-Z</t>
  </si>
  <si>
    <t>L60, INDOOR, 1FT, 12 W/FT,  RGB3, 110~277V, 20x20, BRONZE</t>
  </si>
  <si>
    <t>L60-I-12-12-RGB3-MULT-20x40-C</t>
  </si>
  <si>
    <t>L60, INDOOR, 1FT, 12 W/FT,  RGB3, 110~277V, 20x40, CUSTOM</t>
  </si>
  <si>
    <t>L60-I-12-12-RGB3-MULT-20x40-K</t>
  </si>
  <si>
    <t>L60, INDOOR, 1FT, 12 W/FT,  RGB3, 110~277V, 20x40, BLACK</t>
  </si>
  <si>
    <t>L60-I-12-12-RGB3-MULT-20x40-S</t>
  </si>
  <si>
    <t>L60, INDOOR, 1FT, 12 W/FT,  RGB3, 110~277V, 20x40, SILVER</t>
  </si>
  <si>
    <t>L60-I-12-12-RGB3-MULT-20x40-W</t>
  </si>
  <si>
    <t>L60, INDOOR, 1FT, 12 W/FT,  RGB3, 110~277V, 20x40, WHITE</t>
  </si>
  <si>
    <t>L60-I-12-12-RGB3-MULT-20x40-Z</t>
  </si>
  <si>
    <t>L60, INDOOR, 1FT, 12 W/FT,  RGB3, 110~277V, 20x40, BRONZE</t>
  </si>
  <si>
    <t>L60-I-12-12-RGB3-MULT-20x70-C</t>
  </si>
  <si>
    <t>L60, INDOOR, 1FT, 12 W/FT,  RGB3, 110~277V, 20x70, CUSTOM</t>
  </si>
  <si>
    <t>L60-I-12-12-RGB3-MULT-20x70-K</t>
  </si>
  <si>
    <t>L60, INDOOR, 1FT, 12 W/FT,  RGB3, 110~277V, 20x70, BLACK</t>
  </si>
  <si>
    <t>L60-I-12-12-RGB3-MULT-20x70-S</t>
  </si>
  <si>
    <t>L60, INDOOR, 1FT, 12 W/FT,  RGB3, 110~277V, 20x70, SILVER</t>
  </si>
  <si>
    <t>L60-I-12-12-RGB3-MULT-20x70-W</t>
  </si>
  <si>
    <t>L60, INDOOR, 1FT, 12 W/FT,  RGB3, 110~277V, 20x70, WHITE</t>
  </si>
  <si>
    <t>L60-I-12-12-RGB3-MULT-20x70-Z</t>
  </si>
  <si>
    <t>L60, INDOOR, 1FT, 12 W/FT,  RGB3, 110~277V, 20x70, BRONZE</t>
  </si>
  <si>
    <t>L60-I-12-12-RGB3-MULT-30x30-C</t>
  </si>
  <si>
    <t>L60, INDOOR, 1FT, 12 W/FT,  RGB3, 110~277V, 30x30, CUSTOM</t>
  </si>
  <si>
    <t>L60-I-12-12-RGB3-MULT-30x30-K</t>
  </si>
  <si>
    <t>L60, INDOOR, 1FT, 12 W/FT,  RGB3, 110~277V, 30x30, BLACK</t>
  </si>
  <si>
    <t>L60-I-12-12-RGB3-MULT-30x30-S</t>
  </si>
  <si>
    <t>L60, INDOOR, 1FT, 12 W/FT,  RGB3, 110~277V, 30x30, SILVER</t>
  </si>
  <si>
    <t>L60-I-12-12-RGB3-MULT-30x30-W</t>
  </si>
  <si>
    <t>L60, INDOOR, 1FT, 12 W/FT,  RGB3, 110~277V, 30x30, WHITE</t>
  </si>
  <si>
    <t>L60-I-12-12-RGB3-MULT-30x30-Z</t>
  </si>
  <si>
    <t>L60, INDOOR, 1FT, 12 W/FT,  RGB3, 110~277V, 30x30, BRONZE</t>
  </si>
  <si>
    <t>L60-I-12-12-RGB3-MULT-30x45-C</t>
  </si>
  <si>
    <t>L60, INDOOR, 1FT, 12 W/FT,  RGB3, 110~277V, 30x45, CUSTOM</t>
  </si>
  <si>
    <t>L60-I-12-12-RGB3-MULT-30x45-K</t>
  </si>
  <si>
    <t>L60, INDOOR, 1FT, 12 W/FT,  RGB3, 110~277V, 30x45, BLACK</t>
  </si>
  <si>
    <t>L60-I-12-12-RGB3-MULT-30x45-S</t>
  </si>
  <si>
    <t>L60, INDOOR, 1FT, 12 W/FT,  RGB3, 110~277V, 30x45, SILVER</t>
  </si>
  <si>
    <t>L60-I-12-12-RGB3-MULT-30x45-W</t>
  </si>
  <si>
    <t>L60, INDOOR, 1FT, 12 W/FT,  RGB3, 110~277V, 30x45, WHITE</t>
  </si>
  <si>
    <t>L60-I-12-12-RGB3-MULT-30x45-Z</t>
  </si>
  <si>
    <t>L60, INDOOR, 1FT, 12 W/FT,  RGB3, 110~277V, 30x45, BRONZE</t>
  </si>
  <si>
    <t>L60-I-12-12-RGB3-MULT-30x75-C</t>
  </si>
  <si>
    <t>L60, INDOOR, 1FT, 12 W/FT,  RGB3, 110~277V, 30x75, CUSTOM</t>
  </si>
  <si>
    <t>L60-I-12-12-RGB3-MULT-30x75-K</t>
  </si>
  <si>
    <t>L60, INDOOR, 1FT, 12 W/FT,  RGB3, 110~277V, 30x75, BLACK</t>
  </si>
  <si>
    <t>L60-I-12-12-RGB3-MULT-30x75-S</t>
  </si>
  <si>
    <t>L60, INDOOR, 1FT, 12 W/FT,  RGB3, 110~277V, 30x75, SILVER</t>
  </si>
  <si>
    <t>L60-I-12-12-RGB3-MULT-30x75-W</t>
  </si>
  <si>
    <t>L60, INDOOR, 1FT, 12 W/FT,  RGB3, 110~277V, 30x75, WHITE</t>
  </si>
  <si>
    <t>L60-I-12-12-RGB3-MULT-30x75-Z</t>
  </si>
  <si>
    <t>L60, INDOOR, 1FT, 12 W/FT,  RGB3, 110~277V, 30x75, BRONZE</t>
  </si>
  <si>
    <t>L60-I-12-12-RGB3-MULT-55x55-C</t>
  </si>
  <si>
    <t>L60, INDOOR, 1FT, 12 W/FT,  RGB3, 110~277V, 55x55, CUSTOM</t>
  </si>
  <si>
    <t>L60-I-12-12-RGB3-MULT-55x55-K</t>
  </si>
  <si>
    <t>L60, INDOOR, 1FT, 12 W/FT,  RGB3, 110~277V, 55x55, BLACK</t>
  </si>
  <si>
    <t>L60-I-12-12-RGB3-MULT-55x55-S</t>
  </si>
  <si>
    <t>L60, INDOOR, 1FT, 12 W/FT,  RGB3, 110~277V, 55x55, SILVER</t>
  </si>
  <si>
    <t>L60-I-12-12-RGB3-MULT-55x55-W</t>
  </si>
  <si>
    <t>L60, INDOOR, 1FT, 12 W/FT,  RGB3, 110~277V, 55x55, WHITE</t>
  </si>
  <si>
    <t>L60-I-12-12-RGB3-MULT-55x55-Z</t>
  </si>
  <si>
    <t>L60, INDOOR, 1FT, 12 W/FT,  RGB3, 110~277V, 55x55, BRONZE</t>
  </si>
  <si>
    <t>L60-I-12-12-RGB3-MULT-55x60-C</t>
  </si>
  <si>
    <t>L60, INDOOR, 1FT, 12 W/FT,  RGB3, 110~277V, 55x60, CUSTOM</t>
  </si>
  <si>
    <t>L60-I-12-12-RGB3-MULT-55x60-K</t>
  </si>
  <si>
    <t>L60, INDOOR, 1FT, 12 W/FT,  RGB3, 110~277V, 55x60, BLACK</t>
  </si>
  <si>
    <t>L60-I-12-12-RGB3-MULT-55x60-S</t>
  </si>
  <si>
    <t>L60, INDOOR, 1FT, 12 W/FT,  RGB3, 110~277V, 55x60, SILVER</t>
  </si>
  <si>
    <t>L60-I-12-12-RGB3-MULT-55x60-W</t>
  </si>
  <si>
    <t>L60, INDOOR, 1FT, 12 W/FT,  RGB3, 110~277V, 55x60, WHITE</t>
  </si>
  <si>
    <t>L60-I-12-12-RGB3-MULT-55x60-Z</t>
  </si>
  <si>
    <t>L60, INDOOR, 1FT, 12 W/FT,  RGB3, 110~277V, 55x60, BRONZE</t>
  </si>
  <si>
    <t>L60-I-12-12-RGB3-MULT-55x90-C</t>
  </si>
  <si>
    <t>L60, INDOOR, 1FT, 12 W/FT,  RGB3, 110~277V, 55x90, CUSTOM</t>
  </si>
  <si>
    <t>L60-I-12-12-RGB3-MULT-55x90-K</t>
  </si>
  <si>
    <t>L60, INDOOR, 1FT, 12 W/FT,  RGB3, 110~277V, 55x90, BLACK</t>
  </si>
  <si>
    <t>L60-I-12-12-RGB3-MULT-55x90-S</t>
  </si>
  <si>
    <t>L60, INDOOR, 1FT, 12 W/FT,  RGB3, 110~277V, 55x90, SILVER</t>
  </si>
  <si>
    <t>L60-I-12-12-RGB3-MULT-55x90-W</t>
  </si>
  <si>
    <t>L60, INDOOR, 1FT, 12 W/FT,  RGB3, 110~277V, 55x90, WHITE</t>
  </si>
  <si>
    <t>L60-I-12-12-RGB3-MULT-55x90-Z</t>
  </si>
  <si>
    <t>L60, INDOOR, 1FT, 12 W/FT,  RGB3, 110~277V, 55x90, BRONZE</t>
  </si>
  <si>
    <t>L60-I-12-12-RGB3-MULT-ASYM-C</t>
  </si>
  <si>
    <t>L60, INDOOR, 1FT, 12 W/FT,  RGB3, 110~277V, ASYM, CUSTOM</t>
  </si>
  <si>
    <t>L60-I-12-12-RGB3-MULT-ASYM-K</t>
  </si>
  <si>
    <t>L60, INDOOR, 1FT, 12 W/FT,  RGB3, 110~277V, ASYM, BLACK</t>
  </si>
  <si>
    <t>L60-I-12-12-RGB3-MULT-ASYM-S</t>
  </si>
  <si>
    <t>L60, INDOOR, 1FT, 12 W/FT,  RGB3, 110~277V, ASYM, SILVER</t>
  </si>
  <si>
    <t>L60-I-12-12-RGB3-MULT-ASYM-W</t>
  </si>
  <si>
    <t>L60, INDOOR, 1FT, 12 W/FT,  RGB3, 110~277V, ASYM, WHITE</t>
  </si>
  <si>
    <t>L60-I-12-12-RGB3-MULT-ASYM-Z</t>
  </si>
  <si>
    <t>L60, INDOOR, 1FT, 12 W/FT,  RGB3, 110~277V, ASYM, BRONZE</t>
  </si>
  <si>
    <t>L60-I-12-14-RGB3-MULT-15x15-C</t>
  </si>
  <si>
    <t>L60, INDOOR, 1FT, 14 W/FT,  RGB3, 110~277V, 15x15, CUSTOM</t>
  </si>
  <si>
    <t>L60-I-12-14-RGB3-MULT-15x15-K</t>
  </si>
  <si>
    <t>L60, INDOOR, 1FT, 14 W/FT,  RGB3, 110~277V, 15x15, BLACK</t>
  </si>
  <si>
    <t>L60-I-12-14-RGB3-MULT-15x15-S</t>
  </si>
  <si>
    <t>L60, INDOOR, 1FT, 14 W/FT,  RGB3, 110~277V, 15x15, SILVER</t>
  </si>
  <si>
    <t>L60-I-12-14-RGB3-MULT-15x15-W</t>
  </si>
  <si>
    <t>L60, INDOOR, 1FT, 14 W/FT,  RGB3, 110~277V, 15x15, WHITE</t>
  </si>
  <si>
    <t>L60-I-12-14-RGB3-MULT-15x15-Z</t>
  </si>
  <si>
    <t>L60, INDOOR, 1FT, 14 W/FT,  RGB3, 110~277V, 15x15, BRONZE</t>
  </si>
  <si>
    <t>L60-I-12-14-RGB3-MULT-20x20-C</t>
  </si>
  <si>
    <t>L60, INDOOR, 1FT, 14 W/FT,  RGB3, 110~277V, 20x20, CUSTOM</t>
  </si>
  <si>
    <t>L60-I-12-14-RGB3-MULT-20x20-K</t>
  </si>
  <si>
    <t>L60, INDOOR, 1FT, 14 W/FT,  RGB3, 110~277V, 20x20, BLACK</t>
  </si>
  <si>
    <t>L60-I-12-14-RGB3-MULT-20x20-S</t>
  </si>
  <si>
    <t>L60, INDOOR, 1FT, 14 W/FT,  RGB3, 110~277V, 20x20, SILVER</t>
  </si>
  <si>
    <t>L60-I-12-14-RGB3-MULT-20x20-W</t>
  </si>
  <si>
    <t>L60, INDOOR, 1FT, 14 W/FT,  RGB3, 110~277V, 20x20, WHITE</t>
  </si>
  <si>
    <t>L60-I-12-14-RGB3-MULT-20x20-Z</t>
  </si>
  <si>
    <t>L60, INDOOR, 1FT, 14 W/FT,  RGB3, 110~277V, 20x20, BRONZE</t>
  </si>
  <si>
    <t>L60-I-12-14-RGB3-MULT-20x40-C</t>
  </si>
  <si>
    <t>L60, INDOOR, 1FT, 14 W/FT,  RGB3, 110~277V, 20x40, CUSTOM</t>
  </si>
  <si>
    <t>L60-I-12-14-RGB3-MULT-20x40-K</t>
  </si>
  <si>
    <t>L60, INDOOR, 1FT, 14 W/FT,  RGB3, 110~277V, 20x40, BLACK</t>
  </si>
  <si>
    <t>L60-I-12-14-RGB3-MULT-20x40-S</t>
  </si>
  <si>
    <t>L60, INDOOR, 1FT, 14 W/FT,  RGB3, 110~277V, 20x40, SILVER</t>
  </si>
  <si>
    <t>L60-I-12-14-RGB3-MULT-20x40-W</t>
  </si>
  <si>
    <t>L60, INDOOR, 1FT, 14 W/FT,  RGB3, 110~277V, 20x40, WHITE</t>
  </si>
  <si>
    <t>L60-I-12-14-RGB3-MULT-20x40-Z</t>
  </si>
  <si>
    <t>L60, INDOOR, 1FT, 14 W/FT,  RGB3, 110~277V, 20x40, BRONZE</t>
  </si>
  <si>
    <t>L60-I-12-14-RGB3-MULT-20x70-C</t>
  </si>
  <si>
    <t>L60, INDOOR, 1FT, 14 W/FT,  RGB3, 110~277V, 20x70, CUSTOM</t>
  </si>
  <si>
    <t>L60-I-12-14-RGB3-MULT-20x70-K</t>
  </si>
  <si>
    <t>L60, INDOOR, 1FT, 14 W/FT,  RGB3, 110~277V, 20x70, BLACK</t>
  </si>
  <si>
    <t>L60-I-12-14-RGB3-MULT-20x70-S</t>
  </si>
  <si>
    <t>L60, INDOOR, 1FT, 14 W/FT,  RGB3, 110~277V, 20x70, SILVER</t>
  </si>
  <si>
    <t>L60-I-12-14-RGB3-MULT-20x70-W</t>
  </si>
  <si>
    <t>L60, INDOOR, 1FT, 14 W/FT,  RGB3, 110~277V, 20x70, WHITE</t>
  </si>
  <si>
    <t>L60-I-12-14-RGB3-MULT-20x70-Z</t>
  </si>
  <si>
    <t>L60, INDOOR, 1FT, 14 W/FT,  RGB3, 110~277V, 20x70, BRONZE</t>
  </si>
  <si>
    <t>L60-I-12-14-RGB3-MULT-30x30-C</t>
  </si>
  <si>
    <t>L60, INDOOR, 1FT, 14 W/FT,  RGB3, 110~277V, 30x30, CUSTOM</t>
  </si>
  <si>
    <t>L60-I-12-14-RGB3-MULT-30x30-K</t>
  </si>
  <si>
    <t>L60, INDOOR, 1FT, 14 W/FT,  RGB3, 110~277V, 30x30, BLACK</t>
  </si>
  <si>
    <t>L60-I-12-14-RGB3-MULT-30x30-S</t>
  </si>
  <si>
    <t>L60, INDOOR, 1FT, 14 W/FT,  RGB3, 110~277V, 30x30, SILVER</t>
  </si>
  <si>
    <t>L60-I-12-14-RGB3-MULT-30x30-W</t>
  </si>
  <si>
    <t>L60, INDOOR, 1FT, 14 W/FT,  RGB3, 110~277V, 30x30, WHITE</t>
  </si>
  <si>
    <t>L60-I-12-14-RGB3-MULT-30x30-Z</t>
  </si>
  <si>
    <t>L60, INDOOR, 1FT, 14 W/FT,  RGB3, 110~277V, 30x30, BRONZE</t>
  </si>
  <si>
    <t>L60-I-12-14-RGB3-MULT-30x45-C</t>
  </si>
  <si>
    <t>L60, INDOOR, 1FT, 14 W/FT,  RGB3, 110~277V, 30x45, CUSTOM</t>
  </si>
  <si>
    <t>L60-I-12-14-RGB3-MULT-30x45-K</t>
  </si>
  <si>
    <t>L60, INDOOR, 1FT, 14 W/FT,  RGB3, 110~277V, 30x45, BLACK</t>
  </si>
  <si>
    <t>L60-I-12-14-RGB3-MULT-30x45-S</t>
  </si>
  <si>
    <t>L60, INDOOR, 1FT, 14 W/FT,  RGB3, 110~277V, 30x45, SILVER</t>
  </si>
  <si>
    <t>L60-I-12-14-RGB3-MULT-30x45-W</t>
  </si>
  <si>
    <t>L60, INDOOR, 1FT, 14 W/FT,  RGB3, 110~277V, 30x45, WHITE</t>
  </si>
  <si>
    <t>L60-I-12-14-RGB3-MULT-30x45-Z</t>
  </si>
  <si>
    <t>L60, INDOOR, 1FT, 14 W/FT,  RGB3, 110~277V, 30x45, BRONZE</t>
  </si>
  <si>
    <t>L60-I-12-14-RGB3-MULT-30x75-C</t>
  </si>
  <si>
    <t>L60, INDOOR, 1FT, 14 W/FT,  RGB3, 110~277V, 30x75, CUSTOM</t>
  </si>
  <si>
    <t>L60-I-12-14-RGB3-MULT-30x75-K</t>
  </si>
  <si>
    <t>L60, INDOOR, 1FT, 14 W/FT,  RGB3, 110~277V, 30x75, BLACK</t>
  </si>
  <si>
    <t>L60-I-12-14-RGB3-MULT-30x75-S</t>
  </si>
  <si>
    <t>L60, INDOOR, 1FT, 14 W/FT,  RGB3, 110~277V, 30x75, SILVER</t>
  </si>
  <si>
    <t>L60-I-12-14-RGB3-MULT-30x75-W</t>
  </si>
  <si>
    <t>L60, INDOOR, 1FT, 14 W/FT,  RGB3, 110~277V, 30x75, WHITE</t>
  </si>
  <si>
    <t>L60-I-12-14-RGB3-MULT-30x75-Z</t>
  </si>
  <si>
    <t>L60, INDOOR, 1FT, 14 W/FT,  RGB3, 110~277V, 30x75, BRONZE</t>
  </si>
  <si>
    <t>L60-I-12-14-RGB3-MULT-55x55-C</t>
  </si>
  <si>
    <t>L60, INDOOR, 1FT, 14 W/FT,  RGB3, 110~277V, 55x55, CUSTOM</t>
  </si>
  <si>
    <t>L60-I-12-14-RGB3-MULT-55x55-K</t>
  </si>
  <si>
    <t>L60, INDOOR, 1FT, 14 W/FT,  RGB3, 110~277V, 55x55, BLACK</t>
  </si>
  <si>
    <t>L60-I-12-14-RGB3-MULT-55x55-S</t>
  </si>
  <si>
    <t>L60, INDOOR, 1FT, 14 W/FT,  RGB3, 110~277V, 55x55, SILVER</t>
  </si>
  <si>
    <t>L60-I-12-14-RGB3-MULT-55x55-W</t>
  </si>
  <si>
    <t>L60, INDOOR, 1FT, 14 W/FT,  RGB3, 110~277V, 55x55, WHITE</t>
  </si>
  <si>
    <t>L60-I-12-14-RGB3-MULT-55x55-Z</t>
  </si>
  <si>
    <t>L60, INDOOR, 1FT, 14 W/FT,  RGB3, 110~277V, 55x55, BRONZE</t>
  </si>
  <si>
    <t>L60-I-12-14-RGB3-MULT-55x60-C</t>
  </si>
  <si>
    <t>L60, INDOOR, 1FT, 14 W/FT,  RGB3, 110~277V, 55x60, CUSTOM</t>
  </si>
  <si>
    <t>L60-I-12-14-RGB3-MULT-55x60-K</t>
  </si>
  <si>
    <t>L60, INDOOR, 1FT, 14 W/FT,  RGB3, 110~277V, 55x60, BLACK</t>
  </si>
  <si>
    <t>L60-I-12-14-RGB3-MULT-55x60-S</t>
  </si>
  <si>
    <t>L60, INDOOR, 1FT, 14 W/FT,  RGB3, 110~277V, 55x60, SILVER</t>
  </si>
  <si>
    <t>L60-I-12-14-RGB3-MULT-55x60-W</t>
  </si>
  <si>
    <t>L60, INDOOR, 1FT, 14 W/FT,  RGB3, 110~277V, 55x60, WHITE</t>
  </si>
  <si>
    <t>L60-I-12-14-RGB3-MULT-55x60-Z</t>
  </si>
  <si>
    <t>L60, INDOOR, 1FT, 14 W/FT,  RGB3, 110~277V, 55x60, BRONZE</t>
  </si>
  <si>
    <t>L60-I-12-14-RGB3-MULT-55x90-C</t>
  </si>
  <si>
    <t>L60, INDOOR, 1FT, 14 W/FT,  RGB3, 110~277V, 55x90, CUSTOM</t>
  </si>
  <si>
    <t>L60-I-12-14-RGB3-MULT-55x90-K</t>
  </si>
  <si>
    <t>L60, INDOOR, 1FT, 14 W/FT,  RGB3, 110~277V, 55x90, BLACK</t>
  </si>
  <si>
    <t>L60-I-12-14-RGB3-MULT-55x90-S</t>
  </si>
  <si>
    <t>L60, INDOOR, 1FT, 14 W/FT,  RGB3, 110~277V, 55x90, SILVER</t>
  </si>
  <si>
    <t>L60-I-12-14-RGB3-MULT-55x90-W</t>
  </si>
  <si>
    <t>L60, INDOOR, 1FT, 14 W/FT,  RGB3, 110~277V, 55x90, WHITE</t>
  </si>
  <si>
    <t>L60-I-12-14-RGB3-MULT-55x90-Z</t>
  </si>
  <si>
    <t>L60, INDOOR, 1FT, 14 W/FT,  RGB3, 110~277V, 55x90, BRONZE</t>
  </si>
  <si>
    <t>L60-I-12-14-RGB3-MULT-ASYM-C</t>
  </si>
  <si>
    <t>L60, INDOOR, 1FT, 14 W/FT,  RGB3, 110~277V, ASYM, CUSTOM</t>
  </si>
  <si>
    <t>L60-I-12-14-RGB3-MULT-ASYM-K</t>
  </si>
  <si>
    <t>L60, INDOOR, 1FT, 14 W/FT,  RGB3, 110~277V, ASYM, BLACK</t>
  </si>
  <si>
    <t>L60-I-12-14-RGB3-MULT-ASYM-S</t>
  </si>
  <si>
    <t>L60, INDOOR, 1FT, 14 W/FT,  RGB3, 110~277V, ASYM, SILVER</t>
  </si>
  <si>
    <t>L60-I-12-14-RGB3-MULT-ASYM-W</t>
  </si>
  <si>
    <t>L60, INDOOR, 1FT, 14 W/FT,  RGB3, 110~277V, ASYM, WHITE</t>
  </si>
  <si>
    <t>L60-I-12-14-RGB3-MULT-ASYM-Z</t>
  </si>
  <si>
    <t>L60, INDOOR, 1FT, 14 W/FT,  RGB3, 110~277V, ASYM, BRONZE</t>
  </si>
  <si>
    <t>L60-I-12-16-RGB3-MULT-15x15-C</t>
  </si>
  <si>
    <t>L60, INDOOR, 1FT, 16 W/FT,  RGB3, 110~277V, 15x15, CUSTOM</t>
  </si>
  <si>
    <t>L60-I-12-16-RGB3-MULT-15x15-K</t>
  </si>
  <si>
    <t>L60, INDOOR, 1FT, 16 W/FT,  RGB3, 110~277V, 15x15, BLACK</t>
  </si>
  <si>
    <t>L60-I-12-16-RGB3-MULT-15x15-S</t>
  </si>
  <si>
    <t>L60, INDOOR, 1FT, 16 W/FT,  RGB3, 110~277V, 15x15, SILVER</t>
  </si>
  <si>
    <t>L60-I-12-16-RGB3-MULT-15x15-W</t>
  </si>
  <si>
    <t>L60, INDOOR, 1FT, 16 W/FT,  RGB3, 110~277V, 15x15, WHITE</t>
  </si>
  <si>
    <t>L60-I-12-16-RGB3-MULT-15x15-Z</t>
  </si>
  <si>
    <t>L60, INDOOR, 1FT, 16 W/FT,  RGB3, 110~277V, 15x15, BRONZE</t>
  </si>
  <si>
    <t>L60-I-12-16-RGB3-MULT-20x20-C</t>
  </si>
  <si>
    <t>L60, INDOOR, 1FT, 16 W/FT,  RGB3, 110~277V, 20x20, CUSTOM</t>
  </si>
  <si>
    <t>L60-I-12-16-RGB3-MULT-20x20-K</t>
  </si>
  <si>
    <t>L60, INDOOR, 1FT, 16 W/FT,  RGB3, 110~277V, 20x20, BLACK</t>
  </si>
  <si>
    <t>L60-I-12-16-RGB3-MULT-20x20-S</t>
  </si>
  <si>
    <t>L60, INDOOR, 1FT, 16 W/FT,  RGB3, 110~277V, 20x20, SILVER</t>
  </si>
  <si>
    <t>L60-I-12-16-RGB3-MULT-20x20-W</t>
  </si>
  <si>
    <t>L60, INDOOR, 1FT, 16 W/FT,  RGB3, 110~277V, 20x20, WHITE</t>
  </si>
  <si>
    <t>L60-I-12-16-RGB3-MULT-20x20-Z</t>
  </si>
  <si>
    <t>L60, INDOOR, 1FT, 16 W/FT,  RGB3, 110~277V, 20x20, BRONZE</t>
  </si>
  <si>
    <t>L60-I-12-16-RGB3-MULT-20x40-C</t>
  </si>
  <si>
    <t>L60, INDOOR, 1FT, 16 W/FT,  RGB3, 110~277V, 20x40, CUSTOM</t>
  </si>
  <si>
    <t>L60-I-12-16-RGB3-MULT-20x40-K</t>
  </si>
  <si>
    <t>L60, INDOOR, 1FT, 16 W/FT,  RGB3, 110~277V, 20x40, BLACK</t>
  </si>
  <si>
    <t>L60-I-12-16-RGB3-MULT-20x40-S</t>
  </si>
  <si>
    <t>L60, INDOOR, 1FT, 16 W/FT,  RGB3, 110~277V, 20x40, SILVER</t>
  </si>
  <si>
    <t>L60-I-12-16-RGB3-MULT-20x40-W</t>
  </si>
  <si>
    <t>L60, INDOOR, 1FT, 16 W/FT,  RGB3, 110~277V, 20x40, WHITE</t>
  </si>
  <si>
    <t>L60-I-12-16-RGB3-MULT-20x40-Z</t>
  </si>
  <si>
    <t>L60, INDOOR, 1FT, 16 W/FT,  RGB3, 110~277V, 20x40, BRONZE</t>
  </si>
  <si>
    <t>L60-I-12-16-RGB3-MULT-20x70-C</t>
  </si>
  <si>
    <t>L60, INDOOR, 1FT, 16 W/FT,  RGB3, 110~277V, 20x70, CUSTOM</t>
  </si>
  <si>
    <t>L60-I-12-16-RGB3-MULT-20x70-K</t>
  </si>
  <si>
    <t>L60, INDOOR, 1FT, 16 W/FT,  RGB3, 110~277V, 20x70, BLACK</t>
  </si>
  <si>
    <t>L60-I-12-16-RGB3-MULT-20x70-S</t>
  </si>
  <si>
    <t>L60, INDOOR, 1FT, 16 W/FT,  RGB3, 110~277V, 20x70, SILVER</t>
  </si>
  <si>
    <t>L60-I-12-16-RGB3-MULT-20x70-W</t>
  </si>
  <si>
    <t>L60, INDOOR, 1FT, 16 W/FT,  RGB3, 110~277V, 20x70, WHITE</t>
  </si>
  <si>
    <t>L60-I-12-16-RGB3-MULT-20x70-Z</t>
  </si>
  <si>
    <t>L60, INDOOR, 1FT, 16 W/FT,  RGB3, 110~277V, 20x70, BRONZE</t>
  </si>
  <si>
    <t>L60-I-12-16-RGB3-MULT-30x30-C</t>
  </si>
  <si>
    <t>L60, INDOOR, 1FT, 16 W/FT,  RGB3, 110~277V, 30x30, CUSTOM</t>
  </si>
  <si>
    <t>L60-I-12-16-RGB3-MULT-30x30-K</t>
  </si>
  <si>
    <t>L60, INDOOR, 1FT, 16 W/FT,  RGB3, 110~277V, 30x30, BLACK</t>
  </si>
  <si>
    <t>L60-I-12-16-RGB3-MULT-30x30-S</t>
  </si>
  <si>
    <t>L60, INDOOR, 1FT, 16 W/FT,  RGB3, 110~277V, 30x30, SILVER</t>
  </si>
  <si>
    <t>L60-I-12-16-RGB3-MULT-30x30-W</t>
  </si>
  <si>
    <t>L60, INDOOR, 1FT, 16 W/FT,  RGB3, 110~277V, 30x30, WHITE</t>
  </si>
  <si>
    <t>L60-I-12-16-RGB3-MULT-30x30-Z</t>
  </si>
  <si>
    <t>L60, INDOOR, 1FT, 16 W/FT,  RGB3, 110~277V, 30x30, BRONZE</t>
  </si>
  <si>
    <t>L60-I-12-16-RGB3-MULT-30x45-C</t>
  </si>
  <si>
    <t>L60, INDOOR, 1FT, 16 W/FT,  RGB3, 110~277V, 30x45, CUSTOM</t>
  </si>
  <si>
    <t>L60-I-12-16-RGB3-MULT-30x45-K</t>
  </si>
  <si>
    <t>L60, INDOOR, 1FT, 16 W/FT,  RGB3, 110~277V, 30x45, BLACK</t>
  </si>
  <si>
    <t>L60-I-12-16-RGB3-MULT-30x45-S</t>
  </si>
  <si>
    <t>L60, INDOOR, 1FT, 16 W/FT,  RGB3, 110~277V, 30x45, SILVER</t>
  </si>
  <si>
    <t>L60-I-12-16-RGB3-MULT-30x45-W</t>
  </si>
  <si>
    <t>L60, INDOOR, 1FT, 16 W/FT,  RGB3, 110~277V, 30x45, WHITE</t>
  </si>
  <si>
    <t>L60-I-12-16-RGB3-MULT-30x45-Z</t>
  </si>
  <si>
    <t>L60, INDOOR, 1FT, 16 W/FT,  RGB3, 110~277V, 30x45, BRONZE</t>
  </si>
  <si>
    <t>L60-I-12-16-RGB3-MULT-30x75-C</t>
  </si>
  <si>
    <t>L60, INDOOR, 1FT, 16 W/FT,  RGB3, 110~277V, 30x75, CUSTOM</t>
  </si>
  <si>
    <t>L60-I-12-16-RGB3-MULT-30x75-K</t>
  </si>
  <si>
    <t>L60, INDOOR, 1FT, 16 W/FT,  RGB3, 110~277V, 30x75, BLACK</t>
  </si>
  <si>
    <t>L60-I-12-16-RGB3-MULT-30x75-S</t>
  </si>
  <si>
    <t>L60, INDOOR, 1FT, 16 W/FT,  RGB3, 110~277V, 30x75, SILVER</t>
  </si>
  <si>
    <t>L60-I-12-16-RGB3-MULT-30x75-W</t>
  </si>
  <si>
    <t>L60, INDOOR, 1FT, 16 W/FT,  RGB3, 110~277V, 30x75, WHITE</t>
  </si>
  <si>
    <t>L60-I-12-16-RGB3-MULT-30x75-Z</t>
  </si>
  <si>
    <t>L60, INDOOR, 1FT, 16 W/FT,  RGB3, 110~277V, 30x75, BRONZE</t>
  </si>
  <si>
    <t>L60-I-12-16-RGB3-MULT-55x55-C</t>
  </si>
  <si>
    <t>L60, INDOOR, 1FT, 16 W/FT,  RGB3, 110~277V, 55x55, CUSTOM</t>
  </si>
  <si>
    <t>L60-I-12-16-RGB3-MULT-55x55-K</t>
  </si>
  <si>
    <t>L60, INDOOR, 1FT, 16 W/FT,  RGB3, 110~277V, 55x55, BLACK</t>
  </si>
  <si>
    <t>L60-I-12-16-RGB3-MULT-55x55-S</t>
  </si>
  <si>
    <t>L60, INDOOR, 1FT, 16 W/FT,  RGB3, 110~277V, 55x55, SILVER</t>
  </si>
  <si>
    <t>L60-I-12-16-RGB3-MULT-55x55-W</t>
  </si>
  <si>
    <t>L60, INDOOR, 1FT, 16 W/FT,  RGB3, 110~277V, 55x55, WHITE</t>
  </si>
  <si>
    <t>L60-I-12-16-RGB3-MULT-55x55-Z</t>
  </si>
  <si>
    <t>L60, INDOOR, 1FT, 16 W/FT,  RGB3, 110~277V, 55x55, BRONZE</t>
  </si>
  <si>
    <t>L60-I-12-16-RGB3-MULT-55x60-C</t>
  </si>
  <si>
    <t>L60, INDOOR, 1FT, 16 W/FT,  RGB3, 110~277V, 55x60, CUSTOM</t>
  </si>
  <si>
    <t>L60-I-12-16-RGB3-MULT-55x60-K</t>
  </si>
  <si>
    <t>L60, INDOOR, 1FT, 16 W/FT,  RGB3, 110~277V, 55x60, BLACK</t>
  </si>
  <si>
    <t>L60-I-12-16-RGB3-MULT-55x60-S</t>
  </si>
  <si>
    <t>L60, INDOOR, 1FT, 16 W/FT,  RGB3, 110~277V, 55x60, SILVER</t>
  </si>
  <si>
    <t>L60-I-12-16-RGB3-MULT-55x60-W</t>
  </si>
  <si>
    <t>L60, INDOOR, 1FT, 16 W/FT,  RGB3, 110~277V, 55x60, WHITE</t>
  </si>
  <si>
    <t>L60-I-12-16-RGB3-MULT-55x60-Z</t>
  </si>
  <si>
    <t>L60, INDOOR, 1FT, 16 W/FT,  RGB3, 110~277V, 55x60, BRONZE</t>
  </si>
  <si>
    <t>L60-I-12-16-RGB3-MULT-55x90-C</t>
  </si>
  <si>
    <t>L60, INDOOR, 1FT, 16 W/FT,  RGB3, 110~277V, 55x90, CUSTOM</t>
  </si>
  <si>
    <t>L60-I-12-16-RGB3-MULT-55x90-K</t>
  </si>
  <si>
    <t>L60, INDOOR, 1FT, 16 W/FT,  RGB3, 110~277V, 55x90, BLACK</t>
  </si>
  <si>
    <t>L60-I-12-16-RGB3-MULT-55x90-S</t>
  </si>
  <si>
    <t>L60, INDOOR, 1FT, 16 W/FT,  RGB3, 110~277V, 55x90, SILVER</t>
  </si>
  <si>
    <t>L60-I-12-16-RGB3-MULT-55x90-W</t>
  </si>
  <si>
    <t>L60, INDOOR, 1FT, 16 W/FT,  RGB3, 110~277V, 55x90, WHITE</t>
  </si>
  <si>
    <t>L60-I-12-16-RGB3-MULT-55x90-Z</t>
  </si>
  <si>
    <t>L60, INDOOR, 1FT, 16 W/FT,  RGB3, 110~277V, 55x90, BRONZE</t>
  </si>
  <si>
    <t>L60-I-12-16-RGB3-MULT-ASYM-C</t>
  </si>
  <si>
    <t>L60, INDOOR, 1FT, 16 W/FT,  RGB3, 110~277V, ASYM, CUSTOM</t>
  </si>
  <si>
    <t>L60-I-12-16-RGB3-MULT-ASYM-K</t>
  </si>
  <si>
    <t>L60, INDOOR, 1FT, 16 W/FT,  RGB3, 110~277V, ASYM, BLACK</t>
  </si>
  <si>
    <t>L60-I-12-16-RGB3-MULT-ASYM-S</t>
  </si>
  <si>
    <t>L60, INDOOR, 1FT, 16 W/FT,  RGB3, 110~277V, ASYM, SILVER</t>
  </si>
  <si>
    <t>L60-I-12-16-RGB3-MULT-ASYM-W</t>
  </si>
  <si>
    <t>L60, INDOOR, 1FT, 16 W/FT,  RGB3, 110~277V, ASYM, WHITE</t>
  </si>
  <si>
    <t>L60-I-12-16-RGB3-MULT-ASYM-Z</t>
  </si>
  <si>
    <t>L60, INDOOR, 1FT, 16 W/FT,  RGB3, 110~277V, ASYM, BRONZE</t>
  </si>
  <si>
    <t>L60-I-12-18-RGB3-MULT-15x15-C</t>
  </si>
  <si>
    <t>L60-I-12-18-RGB3-MULT-15x15-K</t>
  </si>
  <si>
    <t>L60-I-12-18-RGB3-MULT-15x15-S</t>
  </si>
  <si>
    <t>L60-I-12-18-RGB3-MULT-15x15-W</t>
  </si>
  <si>
    <t>L60-I-12-18-RGB3-MULT-15x15-Z</t>
  </si>
  <si>
    <t>L60-I-12-18-RGB3-MULT-20x20-C</t>
  </si>
  <si>
    <t>L60-I-12-18-RGB3-MULT-20x20-K</t>
  </si>
  <si>
    <t>L60-I-12-18-RGB3-MULT-20x20-S</t>
  </si>
  <si>
    <t>L60-I-12-18-RGB3-MULT-20x20-W</t>
  </si>
  <si>
    <t>L60-I-12-18-RGB3-MULT-20x20-Z</t>
  </si>
  <si>
    <t>L60-I-12-18-RGB3-MULT-20x40-C</t>
  </si>
  <si>
    <t>L60-I-12-18-RGB3-MULT-20x40-K</t>
  </si>
  <si>
    <t>L60-I-12-18-RGB3-MULT-20x40-S</t>
  </si>
  <si>
    <t>L60-I-12-18-RGB3-MULT-20x40-W</t>
  </si>
  <si>
    <t>L60-I-12-18-RGB3-MULT-20x40-Z</t>
  </si>
  <si>
    <t>L60-I-12-18-RGB3-MULT-20x70-C</t>
  </si>
  <si>
    <t>L60-I-12-18-RGB3-MULT-20x70-K</t>
  </si>
  <si>
    <t>L60-I-12-18-RGB3-MULT-20x70-S</t>
  </si>
  <si>
    <t>L60-I-12-18-RGB3-MULT-20x70-W</t>
  </si>
  <si>
    <t>L60-I-12-18-RGB3-MULT-20x70-Z</t>
  </si>
  <si>
    <t>L60-I-12-18-RGB3-MULT-30x30-C</t>
  </si>
  <si>
    <t>L60-I-12-18-RGB3-MULT-30x30-K</t>
  </si>
  <si>
    <t>L60-I-12-18-RGB3-MULT-30x30-S</t>
  </si>
  <si>
    <t>L60-I-12-18-RGB3-MULT-30x30-W</t>
  </si>
  <si>
    <t>L60-I-12-18-RGB3-MULT-30x30-Z</t>
  </si>
  <si>
    <t>L60-I-12-18-RGB3-MULT-30x45-C</t>
  </si>
  <si>
    <t>L60-I-12-18-RGB3-MULT-30x45-K</t>
  </si>
  <si>
    <t>L60-I-12-18-RGB3-MULT-30x45-S</t>
  </si>
  <si>
    <t>L60-I-12-18-RGB3-MULT-30x45-W</t>
  </si>
  <si>
    <t>L60-I-12-18-RGB3-MULT-30x45-Z</t>
  </si>
  <si>
    <t>L60-I-12-18-RGB3-MULT-30x75-C</t>
  </si>
  <si>
    <t>L60-I-12-18-RGB3-MULT-30x75-K</t>
  </si>
  <si>
    <t>L60-I-12-18-RGB3-MULT-30x75-S</t>
  </si>
  <si>
    <t>L60-I-12-18-RGB3-MULT-30x75-W</t>
  </si>
  <si>
    <t>L60-I-12-18-RGB3-MULT-30x75-Z</t>
  </si>
  <si>
    <t>L60-I-12-18-RGB3-MULT-55x55-C</t>
  </si>
  <si>
    <t>L60-I-12-18-RGB3-MULT-55x55-K</t>
  </si>
  <si>
    <t>L60-I-12-18-RGB3-MULT-55x55-S</t>
  </si>
  <si>
    <t>L60-I-12-18-RGB3-MULT-55x55-W</t>
  </si>
  <si>
    <t>L60-I-12-18-RGB3-MULT-55x55-Z</t>
  </si>
  <si>
    <t>L60-I-12-18-RGB3-MULT-55x60-C</t>
  </si>
  <si>
    <t>L60-I-12-18-RGB3-MULT-55x60-K</t>
  </si>
  <si>
    <t>L60-I-12-18-RGB3-MULT-55x60-S</t>
  </si>
  <si>
    <t>L60-I-12-18-RGB3-MULT-55x60-W</t>
  </si>
  <si>
    <t>L60-I-12-18-RGB3-MULT-55x60-Z</t>
  </si>
  <si>
    <t>L60-I-12-18-RGB3-MULT-55x90-C</t>
  </si>
  <si>
    <t>L60-I-12-18-RGB3-MULT-55x90-K</t>
  </si>
  <si>
    <t>L60-I-12-18-RGB3-MULT-55x90-S</t>
  </si>
  <si>
    <t>L60-I-12-18-RGB3-MULT-55x90-W</t>
  </si>
  <si>
    <t>L60-I-12-18-RGB3-MULT-55x90-Z</t>
  </si>
  <si>
    <t>L60-I-12-18-RGB3-MULT-ASYM-C</t>
  </si>
  <si>
    <t>L60-I-12-18-RGB3-MULT-ASYM-K</t>
  </si>
  <si>
    <t>L60-I-12-18-RGB3-MULT-ASYM-S</t>
  </si>
  <si>
    <t>L60-I-12-18-RGB3-MULT-ASYM-W</t>
  </si>
  <si>
    <t>L60-I-12-18-RGB3-MULT-ASYM-Z</t>
  </si>
  <si>
    <t>L60-I-48-10-RGB3-MULT-15x15-C</t>
  </si>
  <si>
    <t>APC-000430-01</t>
  </si>
  <si>
    <t>LED PCBA, RGB3, HECATE Color, 2FT</t>
  </si>
  <si>
    <t>L60-I-48-10-RGB3-MULT-15x15-K</t>
  </si>
  <si>
    <t>L60-I-48-10-RGB3-MULT-15x15-S</t>
  </si>
  <si>
    <t>L60-I-48-10-RGB3-MULT-15x15-W</t>
  </si>
  <si>
    <t>L60-I-48-10-RGB3-MULT-15x15-Z</t>
  </si>
  <si>
    <t>L60-I-48-10-RGB3-MULT-20x20-C</t>
  </si>
  <si>
    <t>L60-I-48-10-RGB3-MULT-20x20-K</t>
  </si>
  <si>
    <t>L60-I-48-10-RGB3-MULT-20x20-S</t>
  </si>
  <si>
    <t>L60-I-48-10-RGB3-MULT-20x20-W</t>
  </si>
  <si>
    <t>L60-I-48-10-RGB3-MULT-20x20-Z</t>
  </si>
  <si>
    <t>L60-I-48-10-RGB3-MULT-20x40-C</t>
  </si>
  <si>
    <t>L60-I-48-10-RGB3-MULT-20x40-K</t>
  </si>
  <si>
    <t>L60-I-48-10-RGB3-MULT-20x40-S</t>
  </si>
  <si>
    <t>L60-I-48-10-RGB3-MULT-20x40-W</t>
  </si>
  <si>
    <t>L60-I-48-10-RGB3-MULT-20x40-Z</t>
  </si>
  <si>
    <t>L60-I-48-10-RGB3-MULT-20x70-C</t>
  </si>
  <si>
    <t>L60-I-48-10-RGB3-MULT-20x70-K</t>
  </si>
  <si>
    <t>L60-I-48-10-RGB3-MULT-20x70-S</t>
  </si>
  <si>
    <t>L60-I-48-10-RGB3-MULT-20x70-W</t>
  </si>
  <si>
    <t>L60-I-48-10-RGB3-MULT-20x70-Z</t>
  </si>
  <si>
    <t>L60-I-48-10-RGB3-MULT-30x30-C</t>
  </si>
  <si>
    <t>L60-I-48-10-RGB3-MULT-30x30-K</t>
  </si>
  <si>
    <t>L60-I-48-10-RGB3-MULT-30x30-S</t>
  </si>
  <si>
    <t>L60-I-48-10-RGB3-MULT-30x30-W</t>
  </si>
  <si>
    <t>L60-I-48-10-RGB3-MULT-30x30-Z</t>
  </si>
  <si>
    <t>L60-I-48-10-RGB3-MULT-30x45-C</t>
  </si>
  <si>
    <t>L60-I-48-10-RGB3-MULT-30x45-K</t>
  </si>
  <si>
    <t>L60-I-48-10-RGB3-MULT-30x45-S</t>
  </si>
  <si>
    <t>L60-I-48-10-RGB3-MULT-30x45-W</t>
  </si>
  <si>
    <t>L60-I-48-10-RGB3-MULT-30x45-Z</t>
  </si>
  <si>
    <t>L60-I-48-10-RGB3-MULT-30x75-C</t>
  </si>
  <si>
    <t>L60-I-48-10-RGB3-MULT-30x75-K</t>
  </si>
  <si>
    <t>L60-I-48-10-RGB3-MULT-30x75-S</t>
  </si>
  <si>
    <t>L60-I-48-10-RGB3-MULT-30x75-W</t>
  </si>
  <si>
    <t>L60-I-48-10-RGB3-MULT-30x75-Z</t>
  </si>
  <si>
    <t>L60-I-48-10-RGB3-MULT-55x55-C</t>
  </si>
  <si>
    <t>L60-I-48-10-RGB3-MULT-55x55-K</t>
  </si>
  <si>
    <t>L60-I-48-10-RGB3-MULT-55x55-S</t>
  </si>
  <si>
    <t>L60-I-48-10-RGB3-MULT-55x55-W</t>
  </si>
  <si>
    <t>L60-I-48-10-RGB3-MULT-55x55-Z</t>
  </si>
  <si>
    <t>L60-I-48-10-RGB3-MULT-55x60-C</t>
  </si>
  <si>
    <t>L60-I-48-10-RGB3-MULT-55x60-K</t>
  </si>
  <si>
    <t>L60-I-48-10-RGB3-MULT-55x60-S</t>
  </si>
  <si>
    <t>L60-I-48-10-RGB3-MULT-55x60-W</t>
  </si>
  <si>
    <t>L60-I-48-10-RGB3-MULT-55x60-Z</t>
  </si>
  <si>
    <t>L60-I-48-10-RGB3-MULT-55x90-C</t>
  </si>
  <si>
    <t>L60-I-48-10-RGB3-MULT-55x90-K</t>
  </si>
  <si>
    <t>L60-I-48-10-RGB3-MULT-55x90-S</t>
  </si>
  <si>
    <t>L60-I-48-10-RGB3-MULT-55x90-W</t>
  </si>
  <si>
    <t>L60-I-48-10-RGB3-MULT-55x90-Z</t>
  </si>
  <si>
    <t>L60-I-48-10-RGB3-MULT-ASYM-C</t>
  </si>
  <si>
    <t>L60-I-48-10-RGB3-MULT-ASYM-K</t>
  </si>
  <si>
    <t>L60-I-48-10-RGB3-MULT-ASYM-S</t>
  </si>
  <si>
    <t>L60-I-48-10-RGB3-MULT-ASYM-W</t>
  </si>
  <si>
    <t>L60-I-48-10-RGB3-MULT-ASYM-Z</t>
  </si>
  <si>
    <t>L60-I-48-12-RGB3-MULT-15x15-C</t>
  </si>
  <si>
    <t>L60, INDOOR, 4FT, 12 W/FT,  RGB3, 110~277V, 15x15, CUSTOM</t>
  </si>
  <si>
    <t>L60-I-48-12-RGB3-MULT-15x15-K</t>
  </si>
  <si>
    <t>L60, INDOOR, 4FT, 12 W/FT,  RGB3, 110~277V, 15x15, BLACK</t>
  </si>
  <si>
    <t>L60-I-48-12-RGB3-MULT-15x15-S</t>
  </si>
  <si>
    <t>L60, INDOOR, 4FT, 12 W/FT,  RGB3, 110~277V, 15x15, SILVER</t>
  </si>
  <si>
    <t>L60-I-48-12-RGB3-MULT-15x15-W</t>
  </si>
  <si>
    <t>L60, INDOOR, 4FT, 12 W/FT,  RGB3, 110~277V, 15x15, WHITE</t>
  </si>
  <si>
    <t>L60-I-48-12-RGB3-MULT-15x15-Z</t>
  </si>
  <si>
    <t>L60, INDOOR, 4FT, 12 W/FT,  RGB3, 110~277V, 15x15, BRONZE</t>
  </si>
  <si>
    <t>L60-I-48-12-RGB3-MULT-20x20-C</t>
  </si>
  <si>
    <t>L60, INDOOR, 4FT, 12 W/FT,  RGB3, 110~277V, 20x20, CUSTOM</t>
  </si>
  <si>
    <t>L60-I-48-12-RGB3-MULT-20x20-K</t>
  </si>
  <si>
    <t>L60, INDOOR, 4FT, 12 W/FT,  RGB3, 110~277V, 20x20, BLACK</t>
  </si>
  <si>
    <t>L60-I-48-12-RGB3-MULT-20x20-S</t>
  </si>
  <si>
    <t>L60, INDOOR, 4FT, 12 W/FT,  RGB3, 110~277V, 20x20, SILVER</t>
  </si>
  <si>
    <t>L60-I-48-12-RGB3-MULT-20x20-W</t>
  </si>
  <si>
    <t>L60, INDOOR, 4FT, 12 W/FT,  RGB3, 110~277V, 20x20, WHITE</t>
  </si>
  <si>
    <t>L60-I-48-12-RGB3-MULT-20x20-Z</t>
  </si>
  <si>
    <t>L60, INDOOR, 4FT, 12 W/FT,  RGB3, 110~277V, 20x20, BRONZE</t>
  </si>
  <si>
    <t>L60-I-48-12-RGB3-MULT-20x40-C</t>
  </si>
  <si>
    <t>L60, INDOOR, 4FT, 12 W/FT,  RGB3, 110~277V, 20x40, CUSTOM</t>
  </si>
  <si>
    <t>L60-I-48-12-RGB3-MULT-20x40-K</t>
  </si>
  <si>
    <t>L60, INDOOR, 4FT, 12 W/FT,  RGB3, 110~277V, 20x40, BLACK</t>
  </si>
  <si>
    <t>L60-I-48-12-RGB3-MULT-20x40-S</t>
  </si>
  <si>
    <t>L60, INDOOR, 4FT, 12 W/FT,  RGB3, 110~277V, 20x40, SILVER</t>
  </si>
  <si>
    <t>L60-I-48-12-RGB3-MULT-20x40-W</t>
  </si>
  <si>
    <t>L60, INDOOR, 4FT, 12 W/FT,  RGB3, 110~277V, 20x40, WHITE</t>
  </si>
  <si>
    <t>L60-I-48-12-RGB3-MULT-20x40-Z</t>
  </si>
  <si>
    <t>L60, INDOOR, 4FT, 12 W/FT,  RGB3, 110~277V, 20x40, BRONZE</t>
  </si>
  <si>
    <t>L60-I-48-12-RGB3-MULT-20x70-C</t>
  </si>
  <si>
    <t>L60, INDOOR, 4FT, 12 W/FT,  RGB3, 110~277V, 20x70, CUSTOM</t>
  </si>
  <si>
    <t>L60-I-48-12-RGB3-MULT-20x70-K</t>
  </si>
  <si>
    <t>L60, INDOOR, 4FT, 12 W/FT,  RGB3, 110~277V, 20x70, BLACK</t>
  </si>
  <si>
    <t>L60-I-48-12-RGB3-MULT-20x70-S</t>
  </si>
  <si>
    <t>L60, INDOOR, 4FT, 12 W/FT,  RGB3, 110~277V, 20x70, SILVER</t>
  </si>
  <si>
    <t>L60-I-48-12-RGB3-MULT-20x70-W</t>
  </si>
  <si>
    <t>L60, INDOOR, 4FT, 12 W/FT,  RGB3, 110~277V, 20x70, WHITE</t>
  </si>
  <si>
    <t>L60-I-48-12-RGB3-MULT-20x70-Z</t>
  </si>
  <si>
    <t>L60, INDOOR, 4FT, 12 W/FT,  RGB3, 110~277V, 20x70, BRONZE</t>
  </si>
  <si>
    <t>L60-I-48-12-RGB3-MULT-30x30-C</t>
  </si>
  <si>
    <t>L60, INDOOR, 4FT, 12 W/FT,  RGB3, 110~277V, 30x30, CUSTOM</t>
  </si>
  <si>
    <t>L60-I-48-12-RGB3-MULT-30x30-K</t>
  </si>
  <si>
    <t>L60, INDOOR, 4FT, 12 W/FT,  RGB3, 110~277V, 30x30, BLACK</t>
  </si>
  <si>
    <t>L60-I-48-12-RGB3-MULT-30x30-S</t>
  </si>
  <si>
    <t>L60, INDOOR, 4FT, 12 W/FT,  RGB3, 110~277V, 30x30, SILVER</t>
  </si>
  <si>
    <t>L60-I-48-12-RGB3-MULT-30x30-W</t>
  </si>
  <si>
    <t>L60, INDOOR, 4FT, 12 W/FT,  RGB3, 110~277V, 30x30, WHITE</t>
  </si>
  <si>
    <t>L60-I-48-12-RGB3-MULT-30x30-Z</t>
  </si>
  <si>
    <t>L60, INDOOR, 4FT, 12 W/FT,  RGB3, 110~277V, 30x30, BRONZE</t>
  </si>
  <si>
    <t>L60-I-48-12-RGB3-MULT-30x45-C</t>
  </si>
  <si>
    <t>L60, INDOOR, 4FT, 12 W/FT,  RGB3, 110~277V, 30x45, CUSTOM</t>
  </si>
  <si>
    <t>L60-I-48-12-RGB3-MULT-30x45-K</t>
  </si>
  <si>
    <t>L60, INDOOR, 4FT, 12 W/FT,  RGB3, 110~277V, 30x45, BLACK</t>
  </si>
  <si>
    <t>L60-I-48-12-RGB3-MULT-30x45-S</t>
  </si>
  <si>
    <t>L60, INDOOR, 4FT, 12 W/FT,  RGB3, 110~277V, 30x45, SILVER</t>
  </si>
  <si>
    <t>L60-I-48-12-RGB3-MULT-30x45-W</t>
  </si>
  <si>
    <t>L60, INDOOR, 4FT, 12 W/FT,  RGB3, 110~277V, 30x45, WHITE</t>
  </si>
  <si>
    <t>L60-I-48-12-RGB3-MULT-30x45-Z</t>
  </si>
  <si>
    <t>L60, INDOOR, 4FT, 12 W/FT,  RGB3, 110~277V, 30x45, BRONZE</t>
  </si>
  <si>
    <t>L60-I-48-12-RGB3-MULT-30x75-C</t>
  </si>
  <si>
    <t>L60, INDOOR, 4FT, 12 W/FT,  RGB3, 110~277V, 30x75, CUSTOM</t>
  </si>
  <si>
    <t>L60-I-48-12-RGB3-MULT-30x75-K</t>
  </si>
  <si>
    <t>L60, INDOOR, 4FT, 12 W/FT,  RGB3, 110~277V, 30x75, BLACK</t>
  </si>
  <si>
    <t>L60-I-48-12-RGB3-MULT-30x75-S</t>
  </si>
  <si>
    <t>L60, INDOOR, 4FT, 12 W/FT,  RGB3, 110~277V, 30x75, SILVER</t>
  </si>
  <si>
    <t>L60-I-48-12-RGB3-MULT-30x75-W</t>
  </si>
  <si>
    <t>L60, INDOOR, 4FT, 12 W/FT,  RGB3, 110~277V, 30x75, WHITE</t>
  </si>
  <si>
    <t>L60-I-48-12-RGB3-MULT-30x75-Z</t>
  </si>
  <si>
    <t>L60, INDOOR, 4FT, 12 W/FT,  RGB3, 110~277V, 30x75, BRONZE</t>
  </si>
  <si>
    <t>L60-I-48-12-RGB3-MULT-55x55-C</t>
  </si>
  <si>
    <t>L60, INDOOR, 4FT, 12 W/FT,  RGB3, 110~277V, 55x55, CUSTOM</t>
  </si>
  <si>
    <t>L60-I-48-12-RGB3-MULT-55x55-K</t>
  </si>
  <si>
    <t>L60, INDOOR, 4FT, 12 W/FT,  RGB3, 110~277V, 55x55, BLACK</t>
  </si>
  <si>
    <t>L60-I-48-12-RGB3-MULT-55x55-S</t>
  </si>
  <si>
    <t>L60, INDOOR, 4FT, 12 W/FT,  RGB3, 110~277V, 55x55, SILVER</t>
  </si>
  <si>
    <t>L60-I-48-12-RGB3-MULT-55x55-W</t>
  </si>
  <si>
    <t>L60, INDOOR, 4FT, 12 W/FT,  RGB3, 110~277V, 55x55, WHITE</t>
  </si>
  <si>
    <t>L60-I-48-12-RGB3-MULT-55x55-Z</t>
  </si>
  <si>
    <t>L60, INDOOR, 4FT, 12 W/FT,  RGB3, 110~277V, 55x55, BRONZE</t>
  </si>
  <si>
    <t>L60-I-48-12-RGB3-MULT-55x60-C</t>
  </si>
  <si>
    <t>L60, INDOOR, 4FT, 12 W/FT,  RGB3, 110~277V, 55x60, CUSTOM</t>
  </si>
  <si>
    <t>L60-I-48-12-RGB3-MULT-55x60-K</t>
  </si>
  <si>
    <t>L60, INDOOR, 4FT, 12 W/FT,  RGB3, 110~277V, 55x60, BLACK</t>
  </si>
  <si>
    <t>L60-I-48-12-RGB3-MULT-55x60-S</t>
  </si>
  <si>
    <t>L60, INDOOR, 4FT, 12 W/FT,  RGB3, 110~277V, 55x60, SILVER</t>
  </si>
  <si>
    <t>L60-I-48-12-RGB3-MULT-55x60-W</t>
  </si>
  <si>
    <t>L60, INDOOR, 4FT, 12 W/FT,  RGB3, 110~277V, 55x60, WHITE</t>
  </si>
  <si>
    <t>L60-I-48-12-RGB3-MULT-55x60-Z</t>
  </si>
  <si>
    <t>L60, INDOOR, 4FT, 12 W/FT,  RGB3, 110~277V, 55x60, BRONZE</t>
  </si>
  <si>
    <t>L60-I-48-12-RGB3-MULT-55x90-C</t>
  </si>
  <si>
    <t>L60, INDOOR, 4FT, 12 W/FT,  RGB3, 110~277V, 55x90, CUSTOM</t>
  </si>
  <si>
    <t>L60-I-48-12-RGB3-MULT-55x90-K</t>
  </si>
  <si>
    <t>L60, INDOOR, 4FT, 12 W/FT,  RGB3, 110~277V, 55x90, BLACK</t>
  </si>
  <si>
    <t>L60-I-48-12-RGB3-MULT-55x90-S</t>
  </si>
  <si>
    <t>L60, INDOOR, 4FT, 12 W/FT,  RGB3, 110~277V, 55x90, SILVER</t>
  </si>
  <si>
    <t>L60-I-48-12-RGB3-MULT-55x90-W</t>
  </si>
  <si>
    <t>L60, INDOOR, 4FT, 12 W/FT,  RGB3, 110~277V, 55x90, WHITE</t>
  </si>
  <si>
    <t>L60-I-48-12-RGB3-MULT-55x90-Z</t>
  </si>
  <si>
    <t>L60, INDOOR, 4FT, 12 W/FT,  RGB3, 110~277V, 55x90, BRONZE</t>
  </si>
  <si>
    <t>L60-I-48-12-RGB3-MULT-ASYM-C</t>
  </si>
  <si>
    <t>L60, INDOOR, 4FT, 12 W/FT,  RGB3, 110~277V, ASYM, CUSTOM</t>
  </si>
  <si>
    <t>L60-I-48-12-RGB3-MULT-ASYM-K</t>
  </si>
  <si>
    <t>L60, INDOOR, 4FT, 12 W/FT,  RGB3, 110~277V, ASYM, BLACK</t>
  </si>
  <si>
    <t>L60-I-48-12-RGB3-MULT-ASYM-S</t>
  </si>
  <si>
    <t>L60, INDOOR, 4FT, 12 W/FT,  RGB3, 110~277V, ASYM, SILVER</t>
  </si>
  <si>
    <t>L60-I-48-12-RGB3-MULT-ASYM-W</t>
  </si>
  <si>
    <t>L60, INDOOR, 4FT, 12 W/FT,  RGB3, 110~277V, ASYM, WHITE</t>
  </si>
  <si>
    <t>L60-I-48-12-RGB3-MULT-ASYM-Z</t>
  </si>
  <si>
    <t>L60, INDOOR, 4FT, 12 W/FT,  RGB3, 110~277V, ASYM, BRONZE</t>
  </si>
  <si>
    <t>L60-I-48-14-RGB3-MULT-15x15-C</t>
  </si>
  <si>
    <t>L60, INDOOR, 4FT, 14 W/FT,  RGB3, 110~277V, 15x15, CUSTOM</t>
  </si>
  <si>
    <t>L60-I-48-14-RGB3-MULT-15x15-K</t>
  </si>
  <si>
    <t>L60, INDOOR, 4FT, 14 W/FT,  RGB3, 110~277V, 15x15, BLACK</t>
  </si>
  <si>
    <t>L60-I-48-14-RGB3-MULT-15x15-S</t>
  </si>
  <si>
    <t>L60, INDOOR, 4FT, 14 W/FT,  RGB3, 110~277V, 15x15, SILVER</t>
  </si>
  <si>
    <t>L60-I-48-14-RGB3-MULT-15x15-W</t>
  </si>
  <si>
    <t>L60, INDOOR, 4FT, 14 W/FT,  RGB3, 110~277V, 15x15, WHITE</t>
  </si>
  <si>
    <t>L60-I-48-14-RGB3-MULT-15x15-Z</t>
  </si>
  <si>
    <t>L60, INDOOR, 4FT, 14 W/FT,  RGB3, 110~277V, 15x15, BRONZE</t>
  </si>
  <si>
    <t>L60-I-48-14-RGB3-MULT-20x20-C</t>
  </si>
  <si>
    <t>L60, INDOOR, 4FT, 14 W/FT,  RGB3, 110~277V, 20x20, CUSTOM</t>
  </si>
  <si>
    <t>L60-I-48-14-RGB3-MULT-20x20-K</t>
  </si>
  <si>
    <t>L60, INDOOR, 4FT, 14 W/FT,  RGB3, 110~277V, 20x20, BLACK</t>
  </si>
  <si>
    <t>L60-I-48-14-RGB3-MULT-20x20-S</t>
  </si>
  <si>
    <t>L60, INDOOR, 4FT, 14 W/FT,  RGB3, 110~277V, 20x20, SILVER</t>
  </si>
  <si>
    <t>L60-I-48-14-RGB3-MULT-20x20-W</t>
  </si>
  <si>
    <t>L60, INDOOR, 4FT, 14 W/FT,  RGB3, 110~277V, 20x20, WHITE</t>
  </si>
  <si>
    <t>L60-I-48-14-RGB3-MULT-20x20-Z</t>
  </si>
  <si>
    <t>L60, INDOOR, 4FT, 14 W/FT,  RGB3, 110~277V, 20x20, BRONZE</t>
  </si>
  <si>
    <t>L60-I-48-14-RGB3-MULT-20x40-C</t>
  </si>
  <si>
    <t>L60, INDOOR, 4FT, 14 W/FT,  RGB3, 110~277V, 20x40, CUSTOM</t>
  </si>
  <si>
    <t>L60-I-48-14-RGB3-MULT-20x40-K</t>
  </si>
  <si>
    <t>L60, INDOOR, 4FT, 14 W/FT,  RGB3, 110~277V, 20x40, BLACK</t>
  </si>
  <si>
    <t>L60-I-48-14-RGB3-MULT-20x40-S</t>
  </si>
  <si>
    <t>L60, INDOOR, 4FT, 14 W/FT,  RGB3, 110~277V, 20x40, SILVER</t>
  </si>
  <si>
    <t>L60-I-48-14-RGB3-MULT-20x40-W</t>
  </si>
  <si>
    <t>L60, INDOOR, 4FT, 14 W/FT,  RGB3, 110~277V, 20x40, WHITE</t>
  </si>
  <si>
    <t>L60-I-48-14-RGB3-MULT-20x40-Z</t>
  </si>
  <si>
    <t>L60, INDOOR, 4FT, 14 W/FT,  RGB3, 110~277V, 20x40, BRONZE</t>
  </si>
  <si>
    <t>L60-I-48-14-RGB3-MULT-20x70-C</t>
  </si>
  <si>
    <t>L60, INDOOR, 4FT, 14 W/FT,  RGB3, 110~277V, 20x70, CUSTOM</t>
  </si>
  <si>
    <t>L60-I-48-14-RGB3-MULT-20x70-K</t>
  </si>
  <si>
    <t>L60, INDOOR, 4FT, 14 W/FT,  RGB3, 110~277V, 20x70, BLACK</t>
  </si>
  <si>
    <t>L60-I-48-14-RGB3-MULT-20x70-S</t>
  </si>
  <si>
    <t>L60, INDOOR, 4FT, 14 W/FT,  RGB3, 110~277V, 20x70, SILVER</t>
  </si>
  <si>
    <t>L60-I-48-14-RGB3-MULT-20x70-W</t>
  </si>
  <si>
    <t>L60, INDOOR, 4FT, 14 W/FT,  RGB3, 110~277V, 20x70, WHITE</t>
  </si>
  <si>
    <t>L60-I-48-14-RGB3-MULT-20x70-Z</t>
  </si>
  <si>
    <t>L60, INDOOR, 4FT, 14 W/FT,  RGB3, 110~277V, 20x70, BRONZE</t>
  </si>
  <si>
    <t>L60-I-48-14-RGB3-MULT-30x30-C</t>
  </si>
  <si>
    <t>L60, INDOOR, 4FT, 14 W/FT,  RGB3, 110~277V, 30x30, CUSTOM</t>
  </si>
  <si>
    <t>L60-I-48-14-RGB3-MULT-30x30-K</t>
  </si>
  <si>
    <t>L60, INDOOR, 4FT, 14 W/FT,  RGB3, 110~277V, 30x30, BLACK</t>
  </si>
  <si>
    <t>L60-I-48-14-RGB3-MULT-30x30-S</t>
  </si>
  <si>
    <t>L60, INDOOR, 4FT, 14 W/FT,  RGB3, 110~277V, 30x30, SILVER</t>
  </si>
  <si>
    <t>L60-I-48-14-RGB3-MULT-30x30-W</t>
  </si>
  <si>
    <t>L60, INDOOR, 4FT, 14 W/FT,  RGB3, 110~277V, 30x30, WHITE</t>
  </si>
  <si>
    <t>L60-I-48-14-RGB3-MULT-30x30-Z</t>
  </si>
  <si>
    <t>L60, INDOOR, 4FT, 14 W/FT,  RGB3, 110~277V, 30x30, BRONZE</t>
  </si>
  <si>
    <t>L60-I-48-14-RGB3-MULT-30x45-C</t>
  </si>
  <si>
    <t>L60, INDOOR, 4FT, 14 W/FT,  RGB3, 110~277V, 30x45, CUSTOM</t>
  </si>
  <si>
    <t>L60-I-48-14-RGB3-MULT-30x45-K</t>
  </si>
  <si>
    <t>L60, INDOOR, 4FT, 14 W/FT,  RGB3, 110~277V, 30x45, BLACK</t>
  </si>
  <si>
    <t>L60-I-48-14-RGB3-MULT-30x45-S</t>
  </si>
  <si>
    <t>L60, INDOOR, 4FT, 14 W/FT,  RGB3, 110~277V, 30x45, SILVER</t>
  </si>
  <si>
    <t>L60-I-48-14-RGB3-MULT-30x45-W</t>
  </si>
  <si>
    <t>L60, INDOOR, 4FT, 14 W/FT,  RGB3, 110~277V, 30x45, WHITE</t>
  </si>
  <si>
    <t>L60-I-48-14-RGB3-MULT-30x45-Z</t>
  </si>
  <si>
    <t>L60, INDOOR, 4FT, 14 W/FT,  RGB3, 110~277V, 30x45, BRONZE</t>
  </si>
  <si>
    <t>L60-I-48-14-RGB3-MULT-30x75-C</t>
  </si>
  <si>
    <t>L60, INDOOR, 4FT, 14 W/FT,  RGB3, 110~277V, 30x75, CUSTOM</t>
  </si>
  <si>
    <t>L60-I-48-14-RGB3-MULT-30x75-K</t>
  </si>
  <si>
    <t>L60, INDOOR, 4FT, 14 W/FT,  RGB3, 110~277V, 30x75, BLACK</t>
  </si>
  <si>
    <t>L60-I-48-14-RGB3-MULT-30x75-S</t>
  </si>
  <si>
    <t>L60, INDOOR, 4FT, 14 W/FT,  RGB3, 110~277V, 30x75, SILVER</t>
  </si>
  <si>
    <t>L60-I-48-14-RGB3-MULT-30x75-W</t>
  </si>
  <si>
    <t>L60, INDOOR, 4FT, 14 W/FT,  RGB3, 110~277V, 30x75, WHITE</t>
  </si>
  <si>
    <t>L60-I-48-14-RGB3-MULT-30x75-Z</t>
  </si>
  <si>
    <t>L60, INDOOR, 4FT, 14 W/FT,  RGB3, 110~277V, 30x75, BRONZE</t>
  </si>
  <si>
    <t>L60-I-48-14-RGB3-MULT-55x55-C</t>
  </si>
  <si>
    <t>L60, INDOOR, 4FT, 14 W/FT,  RGB3, 110~277V, 55x55, CUSTOM</t>
  </si>
  <si>
    <t>L60-I-48-14-RGB3-MULT-55x55-K</t>
  </si>
  <si>
    <t>L60, INDOOR, 4FT, 14 W/FT,  RGB3, 110~277V, 55x55, BLACK</t>
  </si>
  <si>
    <t>L60-I-48-14-RGB3-MULT-55x55-S</t>
  </si>
  <si>
    <t>L60, INDOOR, 4FT, 14 W/FT,  RGB3, 110~277V, 55x55, SILVER</t>
  </si>
  <si>
    <t>L60-I-48-14-RGB3-MULT-55x55-W</t>
  </si>
  <si>
    <t>L60, INDOOR, 4FT, 14 W/FT,  RGB3, 110~277V, 55x55, WHITE</t>
  </si>
  <si>
    <t>L60-I-48-14-RGB3-MULT-55x55-Z</t>
  </si>
  <si>
    <t>L60, INDOOR, 4FT, 14 W/FT,  RGB3, 110~277V, 55x55, BRONZE</t>
  </si>
  <si>
    <t>L60-I-48-14-RGB3-MULT-55x60-C</t>
  </si>
  <si>
    <t>L60, INDOOR, 4FT, 14 W/FT,  RGB3, 110~277V, 55x60, CUSTOM</t>
  </si>
  <si>
    <t>L60-I-48-14-RGB3-MULT-55x60-K</t>
  </si>
  <si>
    <t>L60, INDOOR, 4FT, 14 W/FT,  RGB3, 110~277V, 55x60, BLACK</t>
  </si>
  <si>
    <t>L60-I-48-14-RGB3-MULT-55x60-S</t>
  </si>
  <si>
    <t>L60, INDOOR, 4FT, 14 W/FT,  RGB3, 110~277V, 55x60, SILVER</t>
  </si>
  <si>
    <t>L60-I-48-14-RGB3-MULT-55x60-W</t>
  </si>
  <si>
    <t>L60, INDOOR, 4FT, 14 W/FT,  RGB3, 110~277V, 55x60, WHITE</t>
  </si>
  <si>
    <t>L60-I-48-14-RGB3-MULT-55x60-Z</t>
  </si>
  <si>
    <t>L60, INDOOR, 4FT, 14 W/FT,  RGB3, 110~277V, 55x60, BRONZE</t>
  </si>
  <si>
    <t>L60-I-48-14-RGB3-MULT-55x90-C</t>
  </si>
  <si>
    <t>L60, INDOOR, 4FT, 14 W/FT,  RGB3, 110~277V, 55x90, CUSTOM</t>
  </si>
  <si>
    <t>L60-I-48-14-RGB3-MULT-55x90-K</t>
  </si>
  <si>
    <t>L60, INDOOR, 4FT, 14 W/FT,  RGB3, 110~277V, 55x90, BLACK</t>
  </si>
  <si>
    <t>L60-I-48-14-RGB3-MULT-55x90-S</t>
  </si>
  <si>
    <t>L60, INDOOR, 4FT, 14 W/FT,  RGB3, 110~277V, 55x90, SILVER</t>
  </si>
  <si>
    <t>L60-I-48-14-RGB3-MULT-55x90-W</t>
  </si>
  <si>
    <t>L60, INDOOR, 4FT, 14 W/FT,  RGB3, 110~277V, 55x90, WHITE</t>
  </si>
  <si>
    <t>L60-I-48-14-RGB3-MULT-55x90-Z</t>
  </si>
  <si>
    <t>L60, INDOOR, 4FT, 14 W/FT,  RGB3, 110~277V, 55x90, BRONZE</t>
  </si>
  <si>
    <t>L60-I-48-14-RGB3-MULT-ASYM-C</t>
  </si>
  <si>
    <t>L60, INDOOR, 4FT, 14 W/FT,  RGB3, 110~277V, ASYM, CUSTOM</t>
  </si>
  <si>
    <t>L60-I-48-14-RGB3-MULT-ASYM-K</t>
  </si>
  <si>
    <t>L60, INDOOR, 4FT, 14 W/FT,  RGB3, 110~277V, ASYM, BLACK</t>
  </si>
  <si>
    <t>L60-I-48-14-RGB3-MULT-ASYM-S</t>
  </si>
  <si>
    <t>L60, INDOOR, 4FT, 14 W/FT,  RGB3, 110~277V, ASYM, SILVER</t>
  </si>
  <si>
    <t>L60-I-48-14-RGB3-MULT-ASYM-W</t>
  </si>
  <si>
    <t>L60, INDOOR, 4FT, 14 W/FT,  RGB3, 110~277V, ASYM, WHITE</t>
  </si>
  <si>
    <t>L60-I-48-14-RGB3-MULT-ASYM-Z</t>
  </si>
  <si>
    <t>L60, INDOOR, 4FT, 14 W/FT,  RGB3, 110~277V, ASYM, BRONZE</t>
  </si>
  <si>
    <t>L60-I-48-16-RGB3-MULT-15x15-C</t>
  </si>
  <si>
    <t>L60, INDOOR, 4FT, 16 W/FT,  RGB3, 110~277V, 15x15, CUSTOM</t>
  </si>
  <si>
    <t>L60-I-48-16-RGB3-MULT-15x15-K</t>
  </si>
  <si>
    <t>L60, INDOOR, 4FT, 16 W/FT,  RGB3, 110~277V, 15x15, BLACK</t>
  </si>
  <si>
    <t>L60-I-48-16-RGB3-MULT-15x15-S</t>
  </si>
  <si>
    <t>L60, INDOOR, 4FT, 16 W/FT,  RGB3, 110~277V, 15x15, SILVER</t>
  </si>
  <si>
    <t>L60-I-48-16-RGB3-MULT-15x15-W</t>
  </si>
  <si>
    <t>L60, INDOOR, 4FT, 16 W/FT,  RGB3, 110~277V, 15x15, WHITE</t>
  </si>
  <si>
    <t>L60-I-48-16-RGB3-MULT-15x15-Z</t>
  </si>
  <si>
    <t>L60, INDOOR, 4FT, 16 W/FT,  RGB3, 110~277V, 15x15, BRONZE</t>
  </si>
  <si>
    <t>L60-I-48-16-RGB3-MULT-20x20-C</t>
  </si>
  <si>
    <t>L60, INDOOR, 4FT, 16 W/FT,  RGB3, 110~277V, 20x20, CUSTOM</t>
  </si>
  <si>
    <t>L60-I-48-16-RGB3-MULT-20x20-K</t>
  </si>
  <si>
    <t>L60, INDOOR, 4FT, 16 W/FT,  RGB3, 110~277V, 20x20, BLACK</t>
  </si>
  <si>
    <t>L60-I-48-16-RGB3-MULT-20x20-S</t>
  </si>
  <si>
    <t>L60, INDOOR, 4FT, 16 W/FT,  RGB3, 110~277V, 20x20, SILVER</t>
  </si>
  <si>
    <t>L60-I-48-16-RGB3-MULT-20x20-W</t>
  </si>
  <si>
    <t>L60, INDOOR, 4FT, 16 W/FT,  RGB3, 110~277V, 20x20, WHITE</t>
  </si>
  <si>
    <t>L60-I-48-16-RGB3-MULT-20x20-Z</t>
  </si>
  <si>
    <t>L60, INDOOR, 4FT, 16 W/FT,  RGB3, 110~277V, 20x20, BRONZE</t>
  </si>
  <si>
    <t>L60-I-48-16-RGB3-MULT-20x40-C</t>
  </si>
  <si>
    <t>L60, INDOOR, 4FT, 16 W/FT,  RGB3, 110~277V, 20x40, CUSTOM</t>
  </si>
  <si>
    <t>L60-I-48-16-RGB3-MULT-20x40-K</t>
  </si>
  <si>
    <t>L60, INDOOR, 4FT, 16 W/FT,  RGB3, 110~277V, 20x40, BLACK</t>
  </si>
  <si>
    <t>L60-I-48-16-RGB3-MULT-20x40-S</t>
  </si>
  <si>
    <t>L60, INDOOR, 4FT, 16 W/FT,  RGB3, 110~277V, 20x40, SILVER</t>
  </si>
  <si>
    <t>L60-I-48-16-RGB3-MULT-20x40-W</t>
  </si>
  <si>
    <t>L60, INDOOR, 4FT, 16 W/FT,  RGB3, 110~277V, 20x40, WHITE</t>
  </si>
  <si>
    <t>L60-I-48-16-RGB3-MULT-20x40-Z</t>
  </si>
  <si>
    <t>L60, INDOOR, 4FT, 16 W/FT,  RGB3, 110~277V, 20x40, BRONZE</t>
  </si>
  <si>
    <t>L60-I-48-16-RGB3-MULT-20x70-C</t>
  </si>
  <si>
    <t>L60, INDOOR, 4FT, 16 W/FT,  RGB3, 110~277V, 20x70, CUSTOM</t>
  </si>
  <si>
    <t>L60-I-48-16-RGB3-MULT-20x70-K</t>
  </si>
  <si>
    <t>L60, INDOOR, 4FT, 16 W/FT,  RGB3, 110~277V, 20x70, BLACK</t>
  </si>
  <si>
    <t>L60-I-48-16-RGB3-MULT-20x70-S</t>
  </si>
  <si>
    <t>L60, INDOOR, 4FT, 16 W/FT,  RGB3, 110~277V, 20x70, SILVER</t>
  </si>
  <si>
    <t>L60-I-48-16-RGB3-MULT-20x70-W</t>
  </si>
  <si>
    <t>L60, INDOOR, 4FT, 16 W/FT,  RGB3, 110~277V, 20x70, WHITE</t>
  </si>
  <si>
    <t>L60-I-48-16-RGB3-MULT-20x70-Z</t>
  </si>
  <si>
    <t>L60, INDOOR, 4FT, 16 W/FT,  RGB3, 110~277V, 20x70, BRONZE</t>
  </si>
  <si>
    <t>L60-I-48-16-RGB3-MULT-30x30-C</t>
  </si>
  <si>
    <t>L60, INDOOR, 4FT, 16 W/FT,  RGB3, 110~277V, 30x30, CUSTOM</t>
  </si>
  <si>
    <t>L60-I-48-16-RGB3-MULT-30x30-K</t>
  </si>
  <si>
    <t>L60, INDOOR, 4FT, 16 W/FT,  RGB3, 110~277V, 30x30, BLACK</t>
  </si>
  <si>
    <t>L60-I-48-16-RGB3-MULT-30x30-S</t>
  </si>
  <si>
    <t>L60, INDOOR, 4FT, 16 W/FT,  RGB3, 110~277V, 30x30, SILVER</t>
  </si>
  <si>
    <t>L60-I-48-16-RGB3-MULT-30x30-W</t>
  </si>
  <si>
    <t>L60, INDOOR, 4FT, 16 W/FT,  RGB3, 110~277V, 30x30, WHITE</t>
  </si>
  <si>
    <t>L60-I-48-16-RGB3-MULT-30x30-Z</t>
  </si>
  <si>
    <t>L60, INDOOR, 4FT, 16 W/FT,  RGB3, 110~277V, 30x30, BRONZE</t>
  </si>
  <si>
    <t>L60-I-48-16-RGB3-MULT-30x45-C</t>
  </si>
  <si>
    <t>L60, INDOOR, 4FT, 16 W/FT,  RGB3, 110~277V, 30x45, CUSTOM</t>
  </si>
  <si>
    <t>L60-I-48-16-RGB3-MULT-30x45-K</t>
  </si>
  <si>
    <t>L60, INDOOR, 4FT, 16 W/FT,  RGB3, 110~277V, 30x45, BLACK</t>
  </si>
  <si>
    <t>L60-I-48-16-RGB3-MULT-30x45-S</t>
  </si>
  <si>
    <t>L60, INDOOR, 4FT, 16 W/FT,  RGB3, 110~277V, 30x45, SILVER</t>
  </si>
  <si>
    <t>L60-I-48-16-RGB3-MULT-30x45-W</t>
  </si>
  <si>
    <t>L60, INDOOR, 4FT, 16 W/FT,  RGB3, 110~277V, 30x45, WHITE</t>
  </si>
  <si>
    <t>L60-I-48-16-RGB3-MULT-30x45-Z</t>
  </si>
  <si>
    <t>L60, INDOOR, 4FT, 16 W/FT,  RGB3, 110~277V, 30x45, BRONZE</t>
  </si>
  <si>
    <t>L60-I-48-16-RGB3-MULT-30x75-C</t>
  </si>
  <si>
    <t>L60, INDOOR, 4FT, 16 W/FT,  RGB3, 110~277V, 30x75, CUSTOM</t>
  </si>
  <si>
    <t>L60-I-48-16-RGB3-MULT-30x75-K</t>
  </si>
  <si>
    <t>L60, INDOOR, 4FT, 16 W/FT,  RGB3, 110~277V, 30x75, BLACK</t>
  </si>
  <si>
    <t>L60-I-48-16-RGB3-MULT-30x75-S</t>
  </si>
  <si>
    <t>L60, INDOOR, 4FT, 16 W/FT,  RGB3, 110~277V, 30x75, SILVER</t>
  </si>
  <si>
    <t>L60-I-48-16-RGB3-MULT-30x75-W</t>
  </si>
  <si>
    <t>L60, INDOOR, 4FT, 16 W/FT,  RGB3, 110~277V, 30x75, WHITE</t>
  </si>
  <si>
    <t>L60-I-48-16-RGB3-MULT-30x75-Z</t>
  </si>
  <si>
    <t>L60, INDOOR, 4FT, 16 W/FT,  RGB3, 110~277V, 30x75, BRONZE</t>
  </si>
  <si>
    <t>L60-I-48-16-RGB3-MULT-55x55-C</t>
  </si>
  <si>
    <t>L60, INDOOR, 4FT, 16 W/FT,  RGB3, 110~277V, 55x55, CUSTOM</t>
  </si>
  <si>
    <t>L60-I-48-16-RGB3-MULT-55x55-K</t>
  </si>
  <si>
    <t>L60, INDOOR, 4FT, 16 W/FT,  RGB3, 110~277V, 55x55, BLACK</t>
  </si>
  <si>
    <t>L60-I-48-16-RGB3-MULT-55x55-S</t>
  </si>
  <si>
    <t>L60, INDOOR, 4FT, 16 W/FT,  RGB3, 110~277V, 55x55, SILVER</t>
  </si>
  <si>
    <t>L60-I-48-16-RGB3-MULT-55x55-W</t>
  </si>
  <si>
    <t>L60, INDOOR, 4FT, 16 W/FT,  RGB3, 110~277V, 55x55, WHITE</t>
  </si>
  <si>
    <t>L60-I-48-16-RGB3-MULT-55x55-Z</t>
  </si>
  <si>
    <t>L60, INDOOR, 4FT, 16 W/FT,  RGB3, 110~277V, 55x55, BRONZE</t>
  </si>
  <si>
    <t>L60-I-48-16-RGB3-MULT-55x60-C</t>
  </si>
  <si>
    <t>L60, INDOOR, 4FT, 16 W/FT,  RGB3, 110~277V, 55x60, CUSTOM</t>
  </si>
  <si>
    <t>L60-I-48-16-RGB3-MULT-55x60-K</t>
  </si>
  <si>
    <t>L60, INDOOR, 4FT, 16 W/FT,  RGB3, 110~277V, 55x60, BLACK</t>
  </si>
  <si>
    <t>L60-I-48-16-RGB3-MULT-55x60-S</t>
  </si>
  <si>
    <t>L60, INDOOR, 4FT, 16 W/FT,  RGB3, 110~277V, 55x60, SILVER</t>
  </si>
  <si>
    <t>L60-I-48-16-RGB3-MULT-55x60-W</t>
  </si>
  <si>
    <t>L60, INDOOR, 4FT, 16 W/FT,  RGB3, 110~277V, 55x60, WHITE</t>
  </si>
  <si>
    <t>L60-I-48-16-RGB3-MULT-55x60-Z</t>
  </si>
  <si>
    <t>L60, INDOOR, 4FT, 16 W/FT,  RGB3, 110~277V, 55x60, BRONZE</t>
  </si>
  <si>
    <t>L60-I-48-16-RGB3-MULT-55x90-C</t>
  </si>
  <si>
    <t>L60, INDOOR, 4FT, 16 W/FT,  RGB3, 110~277V, 55x90, CUSTOM</t>
  </si>
  <si>
    <t>L60-I-48-16-RGB3-MULT-55x90-K</t>
  </si>
  <si>
    <t>L60, INDOOR, 4FT, 16 W/FT,  RGB3, 110~277V, 55x90, BLACK</t>
  </si>
  <si>
    <t>L60-I-48-16-RGB3-MULT-55x90-S</t>
  </si>
  <si>
    <t>L60, INDOOR, 4FT, 16 W/FT,  RGB3, 110~277V, 55x90, SILVER</t>
  </si>
  <si>
    <t>L60-I-48-16-RGB3-MULT-55x90-W</t>
  </si>
  <si>
    <t>L60, INDOOR, 4FT, 16 W/FT,  RGB3, 110~277V, 55x90, WHITE</t>
  </si>
  <si>
    <t>L60-I-48-16-RGB3-MULT-55x90-Z</t>
  </si>
  <si>
    <t>L60, INDOOR, 4FT, 16 W/FT,  RGB3, 110~277V, 55x90, BRONZE</t>
  </si>
  <si>
    <t>L60-I-48-16-RGB3-MULT-ASYM-C</t>
  </si>
  <si>
    <t>L60, INDOOR, 4FT, 16 W/FT,  RGB3, 110~277V, ASYM, CUSTOM</t>
  </si>
  <si>
    <t>L60-I-48-16-RGB3-MULT-ASYM-K</t>
  </si>
  <si>
    <t>L60, INDOOR, 4FT, 16 W/FT,  RGB3, 110~277V, ASYM, BLACK</t>
  </si>
  <si>
    <t>L60-I-48-16-RGB3-MULT-ASYM-S</t>
  </si>
  <si>
    <t>L60, INDOOR, 4FT, 16 W/FT,  RGB3, 110~277V, ASYM, SILVER</t>
  </si>
  <si>
    <t>L60-I-48-16-RGB3-MULT-ASYM-W</t>
  </si>
  <si>
    <t>L60, INDOOR, 4FT, 16 W/FT,  RGB3, 110~277V, ASYM, WHITE</t>
  </si>
  <si>
    <t>L60-I-48-16-RGB3-MULT-ASYM-Z</t>
  </si>
  <si>
    <t>L60, INDOOR, 4FT, 16 W/FT,  RGB3, 110~277V, ASYM, BRONZE</t>
  </si>
  <si>
    <t>L60-I-48-18-RGB3-MULT-15x15-C</t>
  </si>
  <si>
    <t>L60-I-48-18-RGB3-MULT-15x15-K</t>
  </si>
  <si>
    <t>L60-I-48-18-RGB3-MULT-15x15-S</t>
  </si>
  <si>
    <t>L60-I-48-18-RGB3-MULT-15x15-W</t>
  </si>
  <si>
    <t>L60-I-48-18-RGB3-MULT-15x15-Z</t>
  </si>
  <si>
    <t>L60-I-48-18-RGB3-MULT-20x20-C</t>
  </si>
  <si>
    <t>L60-I-48-18-RGB3-MULT-20x20-K</t>
  </si>
  <si>
    <t>L60-I-48-18-RGB3-MULT-20x20-S</t>
  </si>
  <si>
    <t>L60-I-48-18-RGB3-MULT-20x20-W</t>
  </si>
  <si>
    <t>L60-I-48-18-RGB3-MULT-20x20-Z</t>
  </si>
  <si>
    <t>L60-I-48-18-RGB3-MULT-20x40-C</t>
  </si>
  <si>
    <t>L60-I-48-18-RGB3-MULT-20x40-K</t>
  </si>
  <si>
    <t>L60-I-48-18-RGB3-MULT-20x40-S</t>
  </si>
  <si>
    <t>L60-I-48-18-RGB3-MULT-20x40-W</t>
  </si>
  <si>
    <t>L60-I-48-18-RGB3-MULT-20x40-Z</t>
  </si>
  <si>
    <t>L60-I-48-18-RGB3-MULT-20x70-C</t>
  </si>
  <si>
    <t>L60-I-48-18-RGB3-MULT-20x70-K</t>
  </si>
  <si>
    <t>L60-I-48-18-RGB3-MULT-20x70-S</t>
  </si>
  <si>
    <t>L60-I-48-18-RGB3-MULT-20x70-W</t>
  </si>
  <si>
    <t>L60-I-48-18-RGB3-MULT-20x70-Z</t>
  </si>
  <si>
    <t>L60-I-48-18-RGB3-MULT-30x30-C</t>
  </si>
  <si>
    <t>L60-I-48-18-RGB3-MULT-30x30-K</t>
  </si>
  <si>
    <t>L60-I-48-18-RGB3-MULT-30x30-S</t>
  </si>
  <si>
    <t>L60-I-48-18-RGB3-MULT-30x30-W</t>
  </si>
  <si>
    <t>L60-I-48-18-RGB3-MULT-30x30-Z</t>
  </si>
  <si>
    <t>L60-I-48-18-RGB3-MULT-30x45-C</t>
  </si>
  <si>
    <t>L60-I-48-18-RGB3-MULT-30x45-K</t>
  </si>
  <si>
    <t>L60-I-48-18-RGB3-MULT-30x45-S</t>
  </si>
  <si>
    <t>L60-I-48-18-RGB3-MULT-30x45-W</t>
  </si>
  <si>
    <t>L60-I-48-18-RGB3-MULT-30x45-Z</t>
  </si>
  <si>
    <t>L60-I-48-18-RGB3-MULT-30x75-C</t>
  </si>
  <si>
    <t>L60-I-48-18-RGB3-MULT-30x75-K</t>
  </si>
  <si>
    <t>L60-I-48-18-RGB3-MULT-30x75-S</t>
  </si>
  <si>
    <t>L60-I-48-18-RGB3-MULT-30x75-W</t>
  </si>
  <si>
    <t>L60-I-48-18-RGB3-MULT-30x75-Z</t>
  </si>
  <si>
    <t>L60-I-48-18-RGB3-MULT-55x55-C</t>
  </si>
  <si>
    <t>L60-I-48-18-RGB3-MULT-55x55-K</t>
  </si>
  <si>
    <t>L60-I-48-18-RGB3-MULT-55x55-S</t>
  </si>
  <si>
    <t>L60-I-48-18-RGB3-MULT-55x55-W</t>
  </si>
  <si>
    <t>L60-I-48-18-RGB3-MULT-55x55-Z</t>
  </si>
  <si>
    <t>L60-I-48-18-RGB3-MULT-55x60-C</t>
  </si>
  <si>
    <t>L60-I-48-18-RGB3-MULT-55x60-K</t>
  </si>
  <si>
    <t>L60-I-48-18-RGB3-MULT-55x60-S</t>
  </si>
  <si>
    <t>L60-I-48-18-RGB3-MULT-55x60-W</t>
  </si>
  <si>
    <t>L60-I-48-18-RGB3-MULT-55x60-Z</t>
  </si>
  <si>
    <t>L60-I-48-18-RGB3-MULT-55x90-C</t>
  </si>
  <si>
    <t>L60-I-48-18-RGB3-MULT-55x90-K</t>
  </si>
  <si>
    <t>L60-I-48-18-RGB3-MULT-55x90-S</t>
  </si>
  <si>
    <t>L60-I-48-18-RGB3-MULT-55x90-W</t>
  </si>
  <si>
    <t>L60-I-48-18-RGB3-MULT-55x90-Z</t>
  </si>
  <si>
    <t>L60-I-48-18-RGB3-MULT-ASYM-C</t>
  </si>
  <si>
    <t>L60-I-48-18-RGB3-MULT-ASYM-K</t>
  </si>
  <si>
    <t>L60-I-48-18-RGB3-MULT-ASYM-S</t>
  </si>
  <si>
    <t>L60-I-48-18-RGB3-MULT-ASYM-W</t>
  </si>
  <si>
    <t>L60-I-48-18-RGB3-MULT-ASYM-Z</t>
  </si>
  <si>
    <t>LED PCBA, RGB3,HECATE Color, 2FT</t>
  </si>
  <si>
    <t>LED PCBA, RGB4, HECATE Color, 1FT</t>
  </si>
  <si>
    <t>LED PCBA, RGB4, HECATE Color, 2FT</t>
  </si>
  <si>
    <t>L45, OUTDOOR, 1FT, 10 W/FT,  RGB4, 110~277V, 120, CUSTOM</t>
  </si>
  <si>
    <t>L45, OUTDOOR, 1FT, 10 W/FT,  RGB4, 110~277V, 120, BLACK</t>
  </si>
  <si>
    <t>L45, OUTDOOR, 1FT, 10 W/FT,  RGB4, 110~277V, 120, SILVER</t>
  </si>
  <si>
    <t>L45, OUTDOOR, 1FT, 10 W/FT,  RGB4, 110~277V, 120, WHITE</t>
  </si>
  <si>
    <t>L45, OUTDOOR, 1FT, 10 W/FT,  RGB4, 110~277V, 120, BRONZE</t>
  </si>
  <si>
    <t>L45, OUTDOOR, 1FT, 18 W/FT , RGB4, 110~277V, 120, CUSTOM</t>
  </si>
  <si>
    <t>L45, OUTDOOR, 1FT, 18 W/FT , RGB4, 110~277V, 120, BLACK</t>
  </si>
  <si>
    <t>L45, OUTDOOR, 1FT, 18 W/FT , RGB4, 110~277V, 120, SILVER</t>
  </si>
  <si>
    <t>L45, OUTDOOR, 1FT, 18 W/FT , RGB4, 110~277V, 120, WHITE</t>
  </si>
  <si>
    <t>L45, OUTDOOR, 1FT, 18 W/FT , RGB4, 110~277V, 120, BRONZE</t>
  </si>
  <si>
    <t>L45, OUTDOOR, 4FT, 10 W/FT,  RGB4, 110~277V, 120, CUSTOM</t>
  </si>
  <si>
    <t>L45, OUTDOOR, 4FT, 10 W/FT,  RGB4, 110~277V, 120, BLACK</t>
  </si>
  <si>
    <t>L45, OUTDOOR, 4FT, 10 W/FT,  RGB4, 110~277V, 120, SILVER</t>
  </si>
  <si>
    <t>L45, OUTDOOR, 4FT, 10 W/FT,  RGB4, 110~277V, 120, WHITE</t>
  </si>
  <si>
    <t>L45, OUTDOOR, 4FT, 10 W/FT,  RGB4, 110~277V, 120, BRONZE</t>
  </si>
  <si>
    <t>L45, OUTDOOR, 4FT, 18 W/FT , RGB4, 110~277V, 120, CUSTOM</t>
  </si>
  <si>
    <t>L45, OUTDOOR, 4FT, 18 W/FT , RGB4, 110~277V, 120, BLACK</t>
  </si>
  <si>
    <t>L45, OUTDOOR, 4FT, 18 W/FT , RGB4, 110~277V, 120, SILVER</t>
  </si>
  <si>
    <t>L45, OUTDOOR, 4FT, 18 W/FT , RGB4, 110~277V, 120, WHITE</t>
  </si>
  <si>
    <t>L45, OUTDOOR, 4FT, 18 W/FT , RGB4, 110~277V, 120, BRONZE</t>
  </si>
  <si>
    <t>L45, INDOOR, 1FT, 10 W/FT,  RGB4, 110~277V, 120, CUSTOM</t>
  </si>
  <si>
    <t>L45, INDOOR, 1FT, 10 W/FT,  RGB4, 110~277V, 120, BLACK</t>
  </si>
  <si>
    <t>L45, INDOOR, 1FT, 10 W/FT,  RGB4, 110~277V, 120, SILVER</t>
  </si>
  <si>
    <t>L45, INDOOR, 1FT, 10 W/FT,  RGB4, 110~277V, 120, WHITE</t>
  </si>
  <si>
    <t>L45, INDOOR, 1FT, 10 W/FT,  RGB4, 110~277V, 120, BRONZE</t>
  </si>
  <si>
    <t>L45, INDOOR, 1FT, 18 W/FT , RGB4, 110~277V, 120, CUSTOM</t>
  </si>
  <si>
    <t>L45, INDOOR, 1FT, 18 W/FT , RGB4, 110~277V, 120, BLACK</t>
  </si>
  <si>
    <t>L45, INDOOR, 1FT, 18 W/FT , RGB4, 110~277V, 120, SILVER</t>
  </si>
  <si>
    <t>L45, INDOOR, 1FT, 18 W/FT , RGB4, 110~277V, 120, WHITE</t>
  </si>
  <si>
    <t>L45, INDOOR, 1FT, 18 W/FT , RGB4, 110~277V, 120, BRONZE</t>
  </si>
  <si>
    <t>L45, INDOOR, 4FT, 10 W/FT,  RGB4, 110~277V, 120, CUSTOM</t>
  </si>
  <si>
    <t>L45, INDOOR, 4FT, 10 W/FT,  RGB4, 110~277V, 120, BLACK</t>
  </si>
  <si>
    <t>L45, INDOOR, 4FT, 10 W/FT,  RGB4, 110~277V, 120, SILVER</t>
  </si>
  <si>
    <t>L45, INDOOR, 4FT, 10 W/FT,  RGB4, 110~277V, 120, WHITE</t>
  </si>
  <si>
    <t>L45, INDOOR, 4FT, 10 W/FT,  RGB4, 110~277V, 120, BRONZE</t>
  </si>
  <si>
    <t>L45, INDOOR, 4FT, 18 W/FT , RGB4, 110~277V, 120, CUSTOM</t>
  </si>
  <si>
    <t>L45, INDOOR, 4FT, 18 W/FT , RGB4, 110~277V, 120, BLACK</t>
  </si>
  <si>
    <t>L45, INDOOR, 4FT, 18 W/FT , RGB4, 110~277V, 120, SILVER</t>
  </si>
  <si>
    <t>L45, INDOOR, 4FT, 18 W/FT , RGB4, 110~277V, 120, WHITE</t>
  </si>
  <si>
    <t>L45, INDOOR, 4FT, 18 W/FT , RGB4, 110~277V, 120, BRONZE</t>
  </si>
  <si>
    <t>L60, OUTDOOR, 1FT, 10 W/FT,  RGB4, 110~277V, 15x15, CUSTOM</t>
  </si>
  <si>
    <t>L60, OUTDOOR, 1FT, 10 W/FT,  RGB4, 110~277V, 15x15, BLACK</t>
  </si>
  <si>
    <t>L60, OUTDOOR, 1FT, 10 W/FT,  RGB4, 110~277V, 15x15, SILVER</t>
  </si>
  <si>
    <t>L60, OUTDOOR, 1FT, 10 W/FT,  RGB4, 110~277V, 15x15, WHITE</t>
  </si>
  <si>
    <t>L60, OUTDOOR, 1FT, 10 W/FT,  RGB4, 110~277V, 15x15, BRONZE</t>
  </si>
  <si>
    <t>L60, OUTDOOR, 1FT, 10 W/FT,  RGB4, 110~277V, 20x20, CUSTOM</t>
  </si>
  <si>
    <t>L60, OUTDOOR, 1FT, 10 W/FT,  RGB4, 110~277V, 20x20, BLACK</t>
  </si>
  <si>
    <t>L60, OUTDOOR, 1FT, 10 W/FT,  RGB4, 110~277V, 20x20, SILVER</t>
  </si>
  <si>
    <t>L60, OUTDOOR, 1FT, 10 W/FT,  RGB4, 110~277V, 20x20, WHITE</t>
  </si>
  <si>
    <t>L60, OUTDOOR, 1FT, 10 W/FT,  RGB4, 110~277V, 20x20, BRONZE</t>
  </si>
  <si>
    <t>L60, OUTDOOR, 1FT, 10 W/FT,  RGB4, 110~277V, 20x40, CUSTOM</t>
  </si>
  <si>
    <t>L60, OUTDOOR, 1FT, 10 W/FT,  RGB4, 110~277V, 20x40, BLACK</t>
  </si>
  <si>
    <t>L60, OUTDOOR, 1FT, 10 W/FT,  RGB4, 110~277V, 20x40, SILVER</t>
  </si>
  <si>
    <t>L60, OUTDOOR, 1FT, 10 W/FT,  RGB4, 110~277V, 20x40, WHITE</t>
  </si>
  <si>
    <t>L60, OUTDOOR, 1FT, 10 W/FT,  RGB4, 110~277V, 20x40, BRONZE</t>
  </si>
  <si>
    <t>L60, OUTDOOR, 1FT, 10 W/FT,  RGB4, 110~277V, 20x70, CUSTOM</t>
  </si>
  <si>
    <t>L60, OUTDOOR, 1FT, 10 W/FT,  RGB4, 110~277V, 20x70, BLACK</t>
  </si>
  <si>
    <t>L60, OUTDOOR, 1FT, 10 W/FT,  RGB4, 110~277V, 20x70, SILVER</t>
  </si>
  <si>
    <t>L60, OUTDOOR, 1FT, 10 W/FT,  RGB4, 110~277V, 20x70, WHITE</t>
  </si>
  <si>
    <t>L60, OUTDOOR, 1FT, 10 W/FT,  RGB4, 110~277V, 20x70, BRONZE</t>
  </si>
  <si>
    <t>L60, OUTDOOR, 1FT, 10 W/FT,  RGB4, 110~277V, 30x30, CUSTOM</t>
  </si>
  <si>
    <t>L60, OUTDOOR, 1FT, 10 W/FT,  RGB4, 110~277V, 30x30, BLACK</t>
  </si>
  <si>
    <t>L60, OUTDOOR, 1FT, 10 W/FT,  RGB4, 110~277V, 30x30, SILVER</t>
  </si>
  <si>
    <t>L60, OUTDOOR, 1FT, 10 W/FT,  RGB4, 110~277V, 30x30, WHITE</t>
  </si>
  <si>
    <t>L60, OUTDOOR, 1FT, 10 W/FT,  RGB4, 110~277V, 30x30, BRONZE</t>
  </si>
  <si>
    <t>L60, OUTDOOR, 1FT, 10 W/FT,  RGB4, 110~277V, 30x45, CUSTOM</t>
  </si>
  <si>
    <t>L60, OUTDOOR, 1FT, 10 W/FT,  RGB4, 110~277V, 30x45, BLACK</t>
  </si>
  <si>
    <t>L60, OUTDOOR, 1FT, 10 W/FT,  RGB4, 110~277V, 30x45, SILVER</t>
  </si>
  <si>
    <t>L60, OUTDOOR, 1FT, 10 W/FT,  RGB4, 110~277V, 30x45, WHITE</t>
  </si>
  <si>
    <t>L60, OUTDOOR, 1FT, 10 W/FT,  RGB4, 110~277V, 30x45, BRONZE</t>
  </si>
  <si>
    <t>L60, OUTDOOR, 1FT, 10 W/FT,  RGB4, 110~277V, 30x75, CUSTOM</t>
  </si>
  <si>
    <t>L60, OUTDOOR, 1FT, 10 W/FT,  RGB4, 110~277V, 30x75, BLACK</t>
  </si>
  <si>
    <t>L60, OUTDOOR, 1FT, 10 W/FT,  RGB4, 110~277V, 30x75, SILVER</t>
  </si>
  <si>
    <t>L60, OUTDOOR, 1FT, 10 W/FT,  RGB4, 110~277V, 30x75, WHITE</t>
  </si>
  <si>
    <t>L60, OUTDOOR, 1FT, 10 W/FT,  RGB4, 110~277V, 30x75, BRONZE</t>
  </si>
  <si>
    <t>L60, OUTDOOR, 1FT, 10 W/FT,  RGB4, 110~277V, 55x55, CUSTOM</t>
  </si>
  <si>
    <t>L60, OUTDOOR, 1FT, 10 W/FT,  RGB4, 110~277V, 55x55, BLACK</t>
  </si>
  <si>
    <t>L60, OUTDOOR, 1FT, 10 W/FT,  RGB4, 110~277V, 55x55, SILVER</t>
  </si>
  <si>
    <t>L60, OUTDOOR, 1FT, 10 W/FT,  RGB4, 110~277V, 55x55, WHITE</t>
  </si>
  <si>
    <t>L60, OUTDOOR, 1FT, 10 W/FT,  RGB4, 110~277V, 55x55, BRONZE</t>
  </si>
  <si>
    <t>L60, OUTDOOR, 1FT, 10 W/FT,  RGB4, 110~277V, 55x60, CUSTOM</t>
  </si>
  <si>
    <t>L60, OUTDOOR, 1FT, 10 W/FT,  RGB4, 110~277V, 55x60, BLACK</t>
  </si>
  <si>
    <t>L60, OUTDOOR, 1FT, 10 W/FT,  RGB4, 110~277V, 55x60, SILVER</t>
  </si>
  <si>
    <t>L60, OUTDOOR, 1FT, 10 W/FT,  RGB4, 110~277V, 55x60, WHITE</t>
  </si>
  <si>
    <t>L60, OUTDOOR, 1FT, 10 W/FT,  RGB4, 110~277V, 55x60, BRONZE</t>
  </si>
  <si>
    <t>L60, OUTDOOR, 1FT, 10 W/FT,  RGB4, 110~277V, 55x90, CUSTOM</t>
  </si>
  <si>
    <t>L60, OUTDOOR, 1FT, 10 W/FT,  RGB4, 110~277V, 55x90, BLACK</t>
  </si>
  <si>
    <t>L60, OUTDOOR, 1FT, 10 W/FT,  RGB4, 110~277V, 55x90, SILVER</t>
  </si>
  <si>
    <t>L60, OUTDOOR, 1FT, 10 W/FT,  RGB4, 110~277V, 55x90, WHITE</t>
  </si>
  <si>
    <t>L60, OUTDOOR, 1FT, 10 W/FT,  RGB4, 110~277V, 55x90, BRONZE</t>
  </si>
  <si>
    <t>L60, OUTDOOR, 1FT, 10 W/FT,  RGB4, 110~277V, ASYM, CUSTOM</t>
  </si>
  <si>
    <t>L60, OUTDOOR, 1FT, 10 W/FT,  RGB4, 110~277V, ASYM, BLACK</t>
  </si>
  <si>
    <t>L60, OUTDOOR, 1FT, 10 W/FT,  RGB4, 110~277V, ASYM, SILVER</t>
  </si>
  <si>
    <t>L60, OUTDOOR, 1FT, 10 W/FT,  RGB4, 110~277V, ASYM, WHITE</t>
  </si>
  <si>
    <t>L60, OUTDOOR, 1FT, 10 W/FT,  RGB4, 110~277V, ASYM, BRONZE</t>
  </si>
  <si>
    <t>L60, OUTDOOR, 1FT, 18 W/FT , RGB4, 110~277V, 15x15, CUSTOM</t>
  </si>
  <si>
    <t>L60, OUTDOOR, 1FT, 18 W/FT , RGB4, 110~277V, 15x15, BLACK</t>
  </si>
  <si>
    <t>L60, OUTDOOR, 1FT, 18 W/FT , RGB4, 110~277V, 15x15, SILVER</t>
  </si>
  <si>
    <t>L60, OUTDOOR, 1FT, 18 W/FT , RGB4, 110~277V, 15x15, WHITE</t>
  </si>
  <si>
    <t>L60, OUTDOOR, 1FT, 18 W/FT , RGB4, 110~277V, 15x15, BRONZE</t>
  </si>
  <si>
    <t>L60, OUTDOOR, 1FT, 18 W/FT , RGB4, 110~277V, 20x20, CUSTOM</t>
  </si>
  <si>
    <t>L60, OUTDOOR, 1FT, 18 W/FT , RGB4, 110~277V, 20x20, BLACK</t>
  </si>
  <si>
    <t>L60, OUTDOOR, 1FT, 18 W/FT , RGB4, 110~277V, 20x20, SILVER</t>
  </si>
  <si>
    <t>L60, OUTDOOR, 1FT, 18 W/FT , RGB4, 110~277V, 20x20, WHITE</t>
  </si>
  <si>
    <t>L60, OUTDOOR, 1FT, 18 W/FT , RGB4, 110~277V, 20x20, BRONZE</t>
  </si>
  <si>
    <t>L60, OUTDOOR, 1FT, 18 W/FT , RGB4, 110~277V, 20x40, CUSTOM</t>
  </si>
  <si>
    <t>L60, OUTDOOR, 1FT, 18 W/FT , RGB4, 110~277V, 20x40, BLACK</t>
  </si>
  <si>
    <t>L60, OUTDOOR, 1FT, 18 W/FT , RGB4, 110~277V, 20x40, SILVER</t>
  </si>
  <si>
    <t>L60, OUTDOOR, 1FT, 18 W/FT , RGB4, 110~277V, 20x40, WHITE</t>
  </si>
  <si>
    <t>L60, OUTDOOR, 1FT, 18 W/FT , RGB4, 110~277V, 20x40, BRONZE</t>
  </si>
  <si>
    <t>L60, OUTDOOR, 1FT, 18 W/FT , RGB4, 110~277V, 20x70, CUSTOM</t>
  </si>
  <si>
    <t>L60, OUTDOOR, 1FT, 18 W/FT , RGB4, 110~277V, 20x70, BLACK</t>
  </si>
  <si>
    <t>L60, OUTDOOR, 1FT, 18 W/FT , RGB4, 110~277V, 20x70, SILVER</t>
  </si>
  <si>
    <t>L60, OUTDOOR, 1FT, 18 W/FT , RGB4, 110~277V, 20x70, WHITE</t>
  </si>
  <si>
    <t>L60, OUTDOOR, 1FT, 18 W/FT , RGB4, 110~277V, 20x70, BRONZE</t>
  </si>
  <si>
    <t>L60, OUTDOOR, 1FT, 18 W/FT , RGB4, 110~277V, 30x30, CUSTOM</t>
  </si>
  <si>
    <t>L60, OUTDOOR, 1FT, 18 W/FT , RGB4, 110~277V, 30x30, BLACK</t>
  </si>
  <si>
    <t>L60, OUTDOOR, 1FT, 18 W/FT , RGB4, 110~277V, 30x30, SILVER</t>
  </si>
  <si>
    <t>L60, OUTDOOR, 1FT, 18 W/FT , RGB4, 110~277V, 30x30, WHITE</t>
  </si>
  <si>
    <t>L60, OUTDOOR, 1FT, 18 W/FT , RGB4, 110~277V, 30x30, BRONZE</t>
  </si>
  <si>
    <t>L60, OUTDOOR, 1FT, 18 W/FT , RGB4, 110~277V, 30x45, CUSTOM</t>
  </si>
  <si>
    <t>L60, OUTDOOR, 1FT, 18 W/FT , RGB4, 110~277V, 30x45, BLACK</t>
  </si>
  <si>
    <t>L60, OUTDOOR, 1FT, 18 W/FT , RGB4, 110~277V, 30x45, SILVER</t>
  </si>
  <si>
    <t>L60, OUTDOOR, 1FT, 18 W/FT , RGB4, 110~277V, 30x45, WHITE</t>
  </si>
  <si>
    <t>L60, OUTDOOR, 1FT, 18 W/FT , RGB4, 110~277V, 30x45, BRONZE</t>
  </si>
  <si>
    <t>L60, OUTDOOR, 1FT, 18 W/FT , RGB4, 110~277V, 30x75, CUSTOM</t>
  </si>
  <si>
    <t>L60, OUTDOOR, 1FT, 18 W/FT , RGB4, 110~277V, 30x75, BLACK</t>
  </si>
  <si>
    <t>L60, OUTDOOR, 1FT, 18 W/FT , RGB4, 110~277V, 30x75, SILVER</t>
  </si>
  <si>
    <t>L60, OUTDOOR, 1FT, 18 W/FT , RGB4, 110~277V, 30x75, WHITE</t>
  </si>
  <si>
    <t>L60, OUTDOOR, 1FT, 18 W/FT , RGB4, 110~277V, 30x75, BRONZE</t>
  </si>
  <si>
    <t>L60, OUTDOOR, 1FT, 18 W/FT , RGB4, 110~277V, 55x55, CUSTOM</t>
  </si>
  <si>
    <t>L60, OUTDOOR, 1FT, 18 W/FT , RGB4, 110~277V, 55x55, BLACK</t>
  </si>
  <si>
    <t>L60, OUTDOOR, 1FT, 18 W/FT , RGB4, 110~277V, 55x55, SILVER</t>
  </si>
  <si>
    <t>L60, OUTDOOR, 1FT, 18 W/FT , RGB4, 110~277V, 55x55, WHITE</t>
  </si>
  <si>
    <t>L60, OUTDOOR, 1FT, 18 W/FT , RGB4, 110~277V, 55x55, BRONZE</t>
  </si>
  <si>
    <t>L60, OUTDOOR, 1FT, 18 W/FT , RGB4, 110~277V, 55x60, CUSTOM</t>
  </si>
  <si>
    <t>L60, OUTDOOR, 1FT, 18 W/FT , RGB4, 110~277V, 55x60, BLACK</t>
  </si>
  <si>
    <t>L60, OUTDOOR, 1FT, 18 W/FT , RGB4, 110~277V, 55x60, SILVER</t>
  </si>
  <si>
    <t>L60, OUTDOOR, 1FT, 18 W/FT , RGB4, 110~277V, 55x60, WHITE</t>
  </si>
  <si>
    <t>L60, OUTDOOR, 1FT, 18 W/FT , RGB4, 110~277V, 55x60, BRONZE</t>
  </si>
  <si>
    <t>L60, OUTDOOR, 1FT, 18 W/FT , RGB4, 110~277V, 55x90, CUSTOM</t>
  </si>
  <si>
    <t>L60, OUTDOOR, 1FT, 18 W/FT , RGB4, 110~277V, 55x90, BLACK</t>
  </si>
  <si>
    <t>L60, OUTDOOR, 1FT, 18 W/FT , RGB4, 110~277V, 55x90, SILVER</t>
  </si>
  <si>
    <t>L60, OUTDOOR, 1FT, 18 W/FT , RGB4, 110~277V, 55x90, WHITE</t>
  </si>
  <si>
    <t>L60, OUTDOOR, 1FT, 18 W/FT , RGB4, 110~277V, 55x90, BRONZE</t>
  </si>
  <si>
    <t>L60, OUTDOOR, 1FT, 18 W/FT , RGB4, 110~277V, ASYM, CUSTOM</t>
  </si>
  <si>
    <t>L60, OUTDOOR, 1FT, 18 W/FT , RGB4, 110~277V, ASYM, BLACK</t>
  </si>
  <si>
    <t>L60, OUTDOOR, 1FT, 18 W/FT , RGB4, 110~277V, ASYM, SILVER</t>
  </si>
  <si>
    <t>L60, OUTDOOR, 1FT, 18 W/FT , RGB4, 110~277V, ASYM, WHITE</t>
  </si>
  <si>
    <t>L60, OUTDOOR, 1FT, 18 W/FT , RGB4, 110~277V, ASYM, BRONZE</t>
  </si>
  <si>
    <t>L60, OUTDOOR, 4FT, 10 W/FT,  RGB4, 110~277V, 15x15, CUSTOM</t>
  </si>
  <si>
    <t>L60, OUTDOOR, 4FT, 10 W/FT,  RGB4, 110~277V, 15x15, BLACK</t>
  </si>
  <si>
    <t>L60, OUTDOOR, 4FT, 10 W/FT,  RGB4, 110~277V, 15x15, SILVER</t>
  </si>
  <si>
    <t>L60, OUTDOOR, 4FT, 10 W/FT,  RGB4, 110~277V, 15x15, WHITE</t>
  </si>
  <si>
    <t>L60, OUTDOOR, 4FT, 10 W/FT,  RGB4, 110~277V, 15x15, BRONZE</t>
  </si>
  <si>
    <t>L60, OUTDOOR, 4FT, 10 W/FT,  RGB4, 110~277V, 20x20, CUSTOM</t>
  </si>
  <si>
    <t>L60, OUTDOOR, 4FT, 10 W/FT,  RGB4, 110~277V, 20x20, BLACK</t>
  </si>
  <si>
    <t>L60, OUTDOOR, 4FT, 10 W/FT,  RGB4, 110~277V, 20x20, SILVER</t>
  </si>
  <si>
    <t>L60, OUTDOOR, 4FT, 10 W/FT,  RGB4, 110~277V, 20x20, WHITE</t>
  </si>
  <si>
    <t>L60, OUTDOOR, 4FT, 10 W/FT,  RGB4, 110~277V, 20x20, BRONZE</t>
  </si>
  <si>
    <t>L60, OUTDOOR, 4FT, 10 W/FT,  RGB4, 110~277V, 20x40, CUSTOM</t>
  </si>
  <si>
    <t>L60, OUTDOOR, 4FT, 10 W/FT,  RGB4, 110~277V, 20x40, BLACK</t>
  </si>
  <si>
    <t>L60, OUTDOOR, 4FT, 10 W/FT,  RGB4, 110~277V, 20x40, SILVER</t>
  </si>
  <si>
    <t>L60, OUTDOOR, 4FT, 10 W/FT,  RGB4, 110~277V, 20x40, WHITE</t>
  </si>
  <si>
    <t>L60, OUTDOOR, 4FT, 10 W/FT,  RGB4, 110~277V, 20x40, BRONZE</t>
  </si>
  <si>
    <t>L60, OUTDOOR, 4FT, 10 W/FT,  RGB4, 110~277V, 20x70, CUSTOM</t>
  </si>
  <si>
    <t>L60, OUTDOOR, 4FT, 10 W/FT,  RGB4, 110~277V, 20x70, BLACK</t>
  </si>
  <si>
    <t>L60, OUTDOOR, 4FT, 10 W/FT,  RGB4, 110~277V, 20x70, SILVER</t>
  </si>
  <si>
    <t>L60, OUTDOOR, 4FT, 10 W/FT,  RGB4, 110~277V, 20x70, WHITE</t>
  </si>
  <si>
    <t>L60, OUTDOOR, 4FT, 10 W/FT,  RGB4, 110~277V, 20x70, BRONZE</t>
  </si>
  <si>
    <t>L60, OUTDOOR, 4FT, 10 W/FT,  RGB4, 110~277V, 30x30, CUSTOM</t>
  </si>
  <si>
    <t>L60, OUTDOOR, 4FT, 10 W/FT,  RGB4, 110~277V, 30x30, BLACK</t>
  </si>
  <si>
    <t>L60, OUTDOOR, 4FT, 10 W/FT,  RGB4, 110~277V, 30x30, SILVER</t>
  </si>
  <si>
    <t>L60, OUTDOOR, 4FT, 10 W/FT,  RGB4, 110~277V, 30x30, WHITE</t>
  </si>
  <si>
    <t>L60, OUTDOOR, 4FT, 10 W/FT,  RGB4, 110~277V, 30x30, BRONZE</t>
  </si>
  <si>
    <t>L60, OUTDOOR, 4FT, 10 W/FT,  RGB4, 110~277V, 30x45, CUSTOM</t>
  </si>
  <si>
    <t>L60, OUTDOOR, 4FT, 10 W/FT,  RGB4, 110~277V, 30x45, BLACK</t>
  </si>
  <si>
    <t>L60, OUTDOOR, 4FT, 10 W/FT,  RGB4, 110~277V, 30x45, SILVER</t>
  </si>
  <si>
    <t>L60, OUTDOOR, 4FT, 10 W/FT,  RGB4, 110~277V, 30x45, WHITE</t>
  </si>
  <si>
    <t>L60, OUTDOOR, 4FT, 10 W/FT,  RGB4, 110~277V, 30x45, BRONZE</t>
  </si>
  <si>
    <t>L60, OUTDOOR, 4FT, 10 W/FT,  RGB4, 110~277V, 30x75, CUSTOM</t>
  </si>
  <si>
    <t>L60, OUTDOOR, 4FT, 10 W/FT,  RGB4, 110~277V, 30x75, BLACK</t>
  </si>
  <si>
    <t>L60, OUTDOOR, 4FT, 10 W/FT,  RGB4, 110~277V, 30x75, SILVER</t>
  </si>
  <si>
    <t>L60, OUTDOOR, 4FT, 10 W/FT,  RGB4, 110~277V, 30x75, WHITE</t>
  </si>
  <si>
    <t>L60, OUTDOOR, 4FT, 10 W/FT,  RGB4, 110~277V, 30x75, BRONZE</t>
  </si>
  <si>
    <t>L60, OUTDOOR, 4FT, 10 W/FT,  RGB4, 110~277V, 55x55, CUSTOM</t>
  </si>
  <si>
    <t>L60, OUTDOOR, 4FT, 10 W/FT,  RGB4, 110~277V, 55x55, BLACK</t>
  </si>
  <si>
    <t>L60, OUTDOOR, 4FT, 10 W/FT,  RGB4, 110~277V, 55x55, SILVER</t>
  </si>
  <si>
    <t>L60, OUTDOOR, 4FT, 10 W/FT,  RGB4, 110~277V, 55x55, WHITE</t>
  </si>
  <si>
    <t>L60, OUTDOOR, 4FT, 10 W/FT,  RGB4, 110~277V, 55x55, BRONZE</t>
  </si>
  <si>
    <t>L60, OUTDOOR, 4FT, 10 W/FT,  RGB4, 110~277V, 55x60, CUSTOM</t>
  </si>
  <si>
    <t>L60, OUTDOOR, 4FT, 10 W/FT,  RGB4, 110~277V, 55x60, BLACK</t>
  </si>
  <si>
    <t>L60, OUTDOOR, 4FT, 10 W/FT,  RGB4, 110~277V, 55x60, SILVER</t>
  </si>
  <si>
    <t>L60, OUTDOOR, 4FT, 10 W/FT,  RGB4, 110~277V, 55x60, WHITE</t>
  </si>
  <si>
    <t>L60, OUTDOOR, 4FT, 10 W/FT,  RGB4, 110~277V, 55x60, BRONZE</t>
  </si>
  <si>
    <t>L60, OUTDOOR, 4FT, 10 W/FT,  RGB4, 110~277V, 55x90, CUSTOM</t>
  </si>
  <si>
    <t>L60, OUTDOOR, 4FT, 10 W/FT,  RGB4, 110~277V, 55x90, BLACK</t>
  </si>
  <si>
    <t>L60, OUTDOOR, 4FT, 10 W/FT,  RGB4, 110~277V, 55x90, SILVER</t>
  </si>
  <si>
    <t>L60, OUTDOOR, 4FT, 10 W/FT,  RGB4, 110~277V, 55x90, WHITE</t>
  </si>
  <si>
    <t>L60, OUTDOOR, 4FT, 10 W/FT,  RGB4, 110~277V, 55x90, BRONZE</t>
  </si>
  <si>
    <t>L60, OUTDOOR, 4FT, 10 W/FT,  RGB4, 110~277V, ASYM, CUSTOM</t>
  </si>
  <si>
    <t>L60, OUTDOOR, 4FT, 10 W/FT,  RGB4, 110~277V, ASYM, BLACK</t>
  </si>
  <si>
    <t>L60, OUTDOOR, 4FT, 10 W/FT,  RGB4, 110~277V, ASYM, SILVER</t>
  </si>
  <si>
    <t>L60, OUTDOOR, 4FT, 10 W/FT,  RGB4, 110~277V, ASYM, WHITE</t>
  </si>
  <si>
    <t>L60, OUTDOOR, 4FT, 10 W/FT,  RGB4, 110~277V, ASYM, BRONZE</t>
  </si>
  <si>
    <t>L60, OUTDOOR, 4FT, 18 W/FT , RGB4, 110~277V, 15x15, CUSTOM</t>
  </si>
  <si>
    <t>L60, OUTDOOR, 4FT, 18 W/FT , RGB4, 110~277V, 15x15, BLACK</t>
  </si>
  <si>
    <t>L60, OUTDOOR, 4FT, 18 W/FT , RGB4, 110~277V, 15x15, SILVER</t>
  </si>
  <si>
    <t>L60, OUTDOOR, 4FT, 18 W/FT , RGB4, 110~277V, 15x15, WHITE</t>
  </si>
  <si>
    <t>L60, OUTDOOR, 4FT, 18 W/FT , RGB4, 110~277V, 15x15, BRONZE</t>
  </si>
  <si>
    <t>L60, OUTDOOR, 4FT, 18 W/FT , RGB4, 110~277V, 20x20, CUSTOM</t>
  </si>
  <si>
    <t>L60, OUTDOOR, 4FT, 18 W/FT , RGB4, 110~277V, 20x20, BLACK</t>
  </si>
  <si>
    <t>L60, OUTDOOR, 4FT, 18 W/FT , RGB4, 110~277V, 20x20, SILVER</t>
  </si>
  <si>
    <t>L60, OUTDOOR, 4FT, 18 W/FT , RGB4, 110~277V, 20x20, WHITE</t>
  </si>
  <si>
    <t>L60, OUTDOOR, 4FT, 18 W/FT , RGB4, 110~277V, 20x20, BRONZE</t>
  </si>
  <si>
    <t>L60, OUTDOOR, 4FT, 18 W/FT , RGB4, 110~277V, 20x40, CUSTOM</t>
  </si>
  <si>
    <t>L60, OUTDOOR, 4FT, 18 W/FT , RGB4, 110~277V, 20x40, BLACK</t>
  </si>
  <si>
    <t>L60, OUTDOOR, 4FT, 18 W/FT , RGB4, 110~277V, 20x40, SILVER</t>
  </si>
  <si>
    <t>L60, OUTDOOR, 4FT, 18 W/FT , RGB4, 110~277V, 20x40, WHITE</t>
  </si>
  <si>
    <t>L60, OUTDOOR, 4FT, 18 W/FT , RGB4, 110~277V, 20x40, BRONZE</t>
  </si>
  <si>
    <t>L60, OUTDOOR, 4FT, 18 W/FT , RGB4, 110~277V, 20x70, CUSTOM</t>
  </si>
  <si>
    <t>L60, OUTDOOR, 4FT, 18 W/FT , RGB4, 110~277V, 20x70, BLACK</t>
  </si>
  <si>
    <t>L60, OUTDOOR, 4FT, 18 W/FT , RGB4, 110~277V, 20x70, SILVER</t>
  </si>
  <si>
    <t>L60, OUTDOOR, 4FT, 18 W/FT , RGB4, 110~277V, 20x70, WHITE</t>
  </si>
  <si>
    <t>L60, OUTDOOR, 4FT, 18 W/FT , RGB4, 110~277V, 20x70, BRONZE</t>
  </si>
  <si>
    <t>L60, OUTDOOR, 4FT, 18 W/FT , RGB4, 110~277V, 30x30, CUSTOM</t>
  </si>
  <si>
    <t>L60, OUTDOOR, 4FT, 18 W/FT , RGB4, 110~277V, 30x30, BLACK</t>
  </si>
  <si>
    <t>L60, OUTDOOR, 4FT, 18 W/FT , RGB4, 110~277V, 30x30, SILVER</t>
  </si>
  <si>
    <t>L60, OUTDOOR, 4FT, 18 W/FT , RGB4, 110~277V, 30x30, WHITE</t>
  </si>
  <si>
    <t>L60, OUTDOOR, 4FT, 18 W/FT , RGB4, 110~277V, 30x30, BRONZE</t>
  </si>
  <si>
    <t>L60, OUTDOOR, 4FT, 18 W/FT , RGB4, 110~277V, 30x45, CUSTOM</t>
  </si>
  <si>
    <t>L60, OUTDOOR, 4FT, 18 W/FT , RGB4, 110~277V, 30x45, BLACK</t>
  </si>
  <si>
    <t>L60, OUTDOOR, 4FT, 18 W/FT , RGB4, 110~277V, 30x45, SILVER</t>
  </si>
  <si>
    <t>L60, OUTDOOR, 4FT, 18 W/FT , RGB4, 110~277V, 30x45, WHITE</t>
  </si>
  <si>
    <t>L60, OUTDOOR, 4FT, 18 W/FT , RGB4, 110~277V, 30x45, BRONZE</t>
  </si>
  <si>
    <t>L60, OUTDOOR, 4FT, 18 W/FT , RGB4, 110~277V, 30x75, CUSTOM</t>
  </si>
  <si>
    <t>L60, OUTDOOR, 4FT, 18 W/FT , RGB4, 110~277V, 30x75, BLACK</t>
  </si>
  <si>
    <t>L60, OUTDOOR, 4FT, 18 W/FT , RGB4, 110~277V, 30x75, SILVER</t>
  </si>
  <si>
    <t>L60, OUTDOOR, 4FT, 18 W/FT , RGB4, 110~277V, 30x75, WHITE</t>
  </si>
  <si>
    <t>L60, OUTDOOR, 4FT, 18 W/FT , RGB4, 110~277V, 30x75, BRONZE</t>
  </si>
  <si>
    <t>L60, OUTDOOR, 4FT, 18 W/FT , RGB4, 110~277V, 55x55, CUSTOM</t>
  </si>
  <si>
    <t>L60, OUTDOOR, 4FT, 18 W/FT , RGB4, 110~277V, 55x55, BLACK</t>
  </si>
  <si>
    <t>L60, OUTDOOR, 4FT, 18 W/FT , RGB4, 110~277V, 55x55, SILVER</t>
  </si>
  <si>
    <t>L60, OUTDOOR, 4FT, 18 W/FT , RGB4, 110~277V, 55x55, WHITE</t>
  </si>
  <si>
    <t>L60, OUTDOOR, 4FT, 18 W/FT , RGB4, 110~277V, 55x55, BRONZE</t>
  </si>
  <si>
    <t>L60, OUTDOOR, 4FT, 18 W/FT , RGB4, 110~277V, 55x60, CUSTOM</t>
  </si>
  <si>
    <t>L60, OUTDOOR, 4FT, 18 W/FT , RGB4, 110~277V, 55x60, BLACK</t>
  </si>
  <si>
    <t>L60, OUTDOOR, 4FT, 18 W/FT , RGB4, 110~277V, 55x60, SILVER</t>
  </si>
  <si>
    <t>L60, OUTDOOR, 4FT, 18 W/FT , RGB4, 110~277V, 55x60, WHITE</t>
  </si>
  <si>
    <t>L60, OUTDOOR, 4FT, 18 W/FT , RGB4, 110~277V, 55x60, BRONZE</t>
  </si>
  <si>
    <t>L60, OUTDOOR, 4FT, 18 W/FT , RGB4, 110~277V, 55x90, CUSTOM</t>
  </si>
  <si>
    <t>L60, OUTDOOR, 4FT, 18 W/FT , RGB4, 110~277V, 55x90, BLACK</t>
  </si>
  <si>
    <t>L60, OUTDOOR, 4FT, 18 W/FT , RGB4, 110~277V, 55x90, SILVER</t>
  </si>
  <si>
    <t>L60, OUTDOOR, 4FT, 18 W/FT , RGB4, 110~277V, 55x90, WHITE</t>
  </si>
  <si>
    <t>L60, OUTDOOR, 4FT, 18 W/FT , RGB4, 110~277V, 55x90, BRONZE</t>
  </si>
  <si>
    <t>L60, OUTDOOR, 4FT, 18 W/FT , RGB4, 110~277V, ASYM, CUSTOM</t>
  </si>
  <si>
    <t>L60, OUTDOOR, 4FT, 18 W/FT , RGB4, 110~277V, ASYM, BLACK</t>
  </si>
  <si>
    <t>L60, OUTDOOR, 4FT, 18 W/FT , RGB4, 110~277V, ASYM, SILVER</t>
  </si>
  <si>
    <t>L60, OUTDOOR, 4FT, 18 W/FT , RGB4, 110~277V, ASYM, WHITE</t>
  </si>
  <si>
    <t>L60, OUTDOOR, 4FT, 18 W/FT , RGB4, 110~277V, ASYM, BRONZE</t>
  </si>
  <si>
    <t>L60, INDOOR, 1FT, 10 W/FT,  RGB4, 110~277V, 15x15, CUSTOM</t>
  </si>
  <si>
    <t>L60, INDOOR, 1FT, 10 W/FT,  RGB4, 110~277V, 15x15, BLACK</t>
  </si>
  <si>
    <t>L60, INDOOR, 1FT, 10 W/FT,  RGB4, 110~277V, 15x15, SILVER</t>
  </si>
  <si>
    <t>L60, INDOOR, 1FT, 10 W/FT,  RGB4, 110~277V, 15x15, WHITE</t>
  </si>
  <si>
    <t>L60, INDOOR, 1FT, 10 W/FT,  RGB4, 110~277V, 15x15, BRONZE</t>
  </si>
  <si>
    <t>L60, INDOOR, 1FT, 10 W/FT,  RGB4, 110~277V, 20x20, CUSTOM</t>
  </si>
  <si>
    <t>L60, INDOOR, 1FT, 10 W/FT,  RGB4, 110~277V, 20x20, BLACK</t>
  </si>
  <si>
    <t>L60, INDOOR, 1FT, 10 W/FT,  RGB4, 110~277V, 20x20, SILVER</t>
  </si>
  <si>
    <t>L60, INDOOR, 1FT, 10 W/FT,  RGB4, 110~277V, 20x20, WHITE</t>
  </si>
  <si>
    <t>L60, INDOOR, 1FT, 10 W/FT,  RGB4, 110~277V, 20x20, BRONZE</t>
  </si>
  <si>
    <t>L60, INDOOR, 1FT, 10 W/FT,  RGB4, 110~277V, 20x40, CUSTOM</t>
  </si>
  <si>
    <t>L60, INDOOR, 1FT, 10 W/FT,  RGB4, 110~277V, 20x40, BLACK</t>
  </si>
  <si>
    <t>L60, INDOOR, 1FT, 10 W/FT,  RGB4, 110~277V, 20x40, SILVER</t>
  </si>
  <si>
    <t>L60, INDOOR, 1FT, 10 W/FT,  RGB4, 110~277V, 20x40, WHITE</t>
  </si>
  <si>
    <t>L60, INDOOR, 1FT, 10 W/FT,  RGB4, 110~277V, 20x40, BRONZE</t>
  </si>
  <si>
    <t>L60, INDOOR, 1FT, 10 W/FT,  RGB4, 110~277V, 20x70, CUSTOM</t>
  </si>
  <si>
    <t>L60, INDOOR, 1FT, 10 W/FT,  RGB4, 110~277V, 20x70, BLACK</t>
  </si>
  <si>
    <t>L60, INDOOR, 1FT, 10 W/FT,  RGB4, 110~277V, 20x70, SILVER</t>
  </si>
  <si>
    <t>L60, INDOOR, 1FT, 10 W/FT,  RGB4, 110~277V, 20x70, WHITE</t>
  </si>
  <si>
    <t>L60, INDOOR, 1FT, 10 W/FT,  RGB4, 110~277V, 20x70, BRONZE</t>
  </si>
  <si>
    <t>L60, INDOOR, 1FT, 10 W/FT,  RGB4, 110~277V, 30x30, CUSTOM</t>
  </si>
  <si>
    <t>L60, INDOOR, 1FT, 10 W/FT,  RGB4, 110~277V, 30x30, BLACK</t>
  </si>
  <si>
    <t>L60, INDOOR, 1FT, 10 W/FT,  RGB4, 110~277V, 30x30, SILVER</t>
  </si>
  <si>
    <t>L60, INDOOR, 1FT, 10 W/FT,  RGB4, 110~277V, 30x30, WHITE</t>
  </si>
  <si>
    <t>L60, INDOOR, 1FT, 10 W/FT,  RGB4, 110~277V, 30x30, BRONZE</t>
  </si>
  <si>
    <t>L60, INDOOR, 1FT, 10 W/FT,  RGB4, 110~277V, 30x45, CUSTOM</t>
  </si>
  <si>
    <t>L60, INDOOR, 1FT, 10 W/FT,  RGB4, 110~277V, 30x45, BLACK</t>
  </si>
  <si>
    <t>L60, INDOOR, 1FT, 10 W/FT,  RGB4, 110~277V, 30x45, SILVER</t>
  </si>
  <si>
    <t>L60, INDOOR, 1FT, 10 W/FT,  RGB4, 110~277V, 30x45, WHITE</t>
  </si>
  <si>
    <t>L60, INDOOR, 1FT, 10 W/FT,  RGB4, 110~277V, 30x45, BRONZE</t>
  </si>
  <si>
    <t>L60, INDOOR, 1FT, 10 W/FT,  RGB4, 110~277V, 30x75, CUSTOM</t>
  </si>
  <si>
    <t>L60, INDOOR, 1FT, 10 W/FT,  RGB4, 110~277V, 30x75, BLACK</t>
  </si>
  <si>
    <t>L60, INDOOR, 1FT, 10 W/FT,  RGB4, 110~277V, 30x75, SILVER</t>
  </si>
  <si>
    <t>L60, INDOOR, 1FT, 10 W/FT,  RGB4, 110~277V, 30x75, WHITE</t>
  </si>
  <si>
    <t>L60, INDOOR, 1FT, 10 W/FT,  RGB4, 110~277V, 30x75, BRONZE</t>
  </si>
  <si>
    <t>L60, INDOOR, 1FT, 10 W/FT,  RGB4, 110~277V, 55x55, CUSTOM</t>
  </si>
  <si>
    <t>L60, INDOOR, 1FT, 10 W/FT,  RGB4, 110~277V, 55x55, BLACK</t>
  </si>
  <si>
    <t>L60, INDOOR, 1FT, 10 W/FT,  RGB4, 110~277V, 55x55, SILVER</t>
  </si>
  <si>
    <t>L60, INDOOR, 1FT, 10 W/FT,  RGB4, 110~277V, 55x55, WHITE</t>
  </si>
  <si>
    <t>L60, INDOOR, 1FT, 10 W/FT,  RGB4, 110~277V, 55x55, BRONZE</t>
  </si>
  <si>
    <t>L60, INDOOR, 1FT, 10 W/FT,  RGB4, 110~277V, 55x60, CUSTOM</t>
  </si>
  <si>
    <t>L60, INDOOR, 1FT, 10 W/FT,  RGB4, 110~277V, 55x60, BLACK</t>
  </si>
  <si>
    <t>L60, INDOOR, 1FT, 10 W/FT,  RGB4, 110~277V, 55x60, SILVER</t>
  </si>
  <si>
    <t>L60, INDOOR, 1FT, 10 W/FT,  RGB4, 110~277V, 55x60, WHITE</t>
  </si>
  <si>
    <t>L60, INDOOR, 1FT, 10 W/FT,  RGB4, 110~277V, 55x60, BRONZE</t>
  </si>
  <si>
    <t>L60, INDOOR, 1FT, 10 W/FT,  RGB4, 110~277V, 55x90, CUSTOM</t>
  </si>
  <si>
    <t>L60, INDOOR, 1FT, 10 W/FT,  RGB4, 110~277V, 55x90, BLACK</t>
  </si>
  <si>
    <t>L60, INDOOR, 1FT, 10 W/FT,  RGB4, 110~277V, 55x90, SILVER</t>
  </si>
  <si>
    <t>L60, INDOOR, 1FT, 10 W/FT,  RGB4, 110~277V, 55x90, WHITE</t>
  </si>
  <si>
    <t>L60, INDOOR, 1FT, 10 W/FT,  RGB4, 110~277V, 55x90, BRONZE</t>
  </si>
  <si>
    <t>L60, INDOOR, 1FT, 10 W/FT,  RGB4, 110~277V, ASYM, CUSTOM</t>
  </si>
  <si>
    <t>L60, INDOOR, 1FT, 10 W/FT,  RGB4, 110~277V, ASYM, BLACK</t>
  </si>
  <si>
    <t>L60, INDOOR, 1FT, 10 W/FT,  RGB4, 110~277V, ASYM, SILVER</t>
  </si>
  <si>
    <t>L60, INDOOR, 1FT, 10 W/FT,  RGB4, 110~277V, ASYM, WHITE</t>
  </si>
  <si>
    <t>L60, INDOOR, 1FT, 10 W/FT,  RGB4, 110~277V, ASYM, BRONZE</t>
  </si>
  <si>
    <t>L60, INDOOR, 1FT, 18 W/FT , RGB4, 110~277V, 15x15, CUSTOM</t>
  </si>
  <si>
    <t>L60, INDOOR, 1FT, 18 W/FT , RGB4, 110~277V, 15x15, BLACK</t>
  </si>
  <si>
    <t>L60, INDOOR, 1FT, 18 W/FT , RGB4, 110~277V, 15x15, SILVER</t>
  </si>
  <si>
    <t>L60, INDOOR, 1FT, 18 W/FT , RGB4, 110~277V, 15x15, WHITE</t>
  </si>
  <si>
    <t>L60, INDOOR, 1FT, 18 W/FT , RGB4, 110~277V, 15x15, BRONZE</t>
  </si>
  <si>
    <t>L60, INDOOR, 1FT, 18 W/FT , RGB4, 110~277V, 20x20, CUSTOM</t>
  </si>
  <si>
    <t>L60, INDOOR, 1FT, 18 W/FT , RGB4, 110~277V, 20x20, BLACK</t>
  </si>
  <si>
    <t>L60, INDOOR, 1FT, 18 W/FT , RGB4, 110~277V, 20x20, SILVER</t>
  </si>
  <si>
    <t>L60, INDOOR, 1FT, 18 W/FT , RGB4, 110~277V, 20x20, WHITE</t>
  </si>
  <si>
    <t>L60, INDOOR, 1FT, 18 W/FT , RGB4, 110~277V, 20x20, BRONZE</t>
  </si>
  <si>
    <t>L60, INDOOR, 1FT, 18 W/FT , RGB4, 110~277V, 20x40, CUSTOM</t>
  </si>
  <si>
    <t>L60, INDOOR, 1FT, 18 W/FT , RGB4, 110~277V, 20x40, BLACK</t>
  </si>
  <si>
    <t>L60, INDOOR, 1FT, 18 W/FT , RGB4, 110~277V, 20x40, SILVER</t>
  </si>
  <si>
    <t>L60, INDOOR, 1FT, 18 W/FT , RGB4, 110~277V, 20x40, WHITE</t>
  </si>
  <si>
    <t>L60, INDOOR, 1FT, 18 W/FT , RGB4, 110~277V, 20x40, BRONZE</t>
  </si>
  <si>
    <t>L60, INDOOR, 1FT, 18 W/FT , RGB4, 110~277V, 20x70, CUSTOM</t>
  </si>
  <si>
    <t>L60, INDOOR, 1FT, 18 W/FT , RGB4, 110~277V, 20x70, BLACK</t>
  </si>
  <si>
    <t>L60, INDOOR, 1FT, 18 W/FT , RGB4, 110~277V, 20x70, SILVER</t>
  </si>
  <si>
    <t>L60, INDOOR, 1FT, 18 W/FT , RGB4, 110~277V, 20x70, WHITE</t>
  </si>
  <si>
    <t>L60, INDOOR, 1FT, 18 W/FT , RGB4, 110~277V, 20x70, BRONZE</t>
  </si>
  <si>
    <t>L60, INDOOR, 1FT, 18 W/FT , RGB4, 110~277V, 30x30, CUSTOM</t>
  </si>
  <si>
    <t>L60, INDOOR, 1FT, 18 W/FT , RGB4, 110~277V, 30x30, BLACK</t>
  </si>
  <si>
    <t>L60, INDOOR, 1FT, 18 W/FT , RGB4, 110~277V, 30x30, SILVER</t>
  </si>
  <si>
    <t>L60, INDOOR, 1FT, 18 W/FT , RGB4, 110~277V, 30x30, WHITE</t>
  </si>
  <si>
    <t>L60, INDOOR, 1FT, 18 W/FT , RGB4, 110~277V, 30x30, BRONZE</t>
  </si>
  <si>
    <t>L60, INDOOR, 1FT, 18 W/FT , RGB4, 110~277V, 30x45, CUSTOM</t>
  </si>
  <si>
    <t>L60, INDOOR, 1FT, 18 W/FT , RGB4, 110~277V, 30x45, BLACK</t>
  </si>
  <si>
    <t>L60, INDOOR, 1FT, 18 W/FT , RGB4, 110~277V, 30x45, SILVER</t>
  </si>
  <si>
    <t>L60, INDOOR, 1FT, 18 W/FT , RGB4, 110~277V, 30x45, WHITE</t>
  </si>
  <si>
    <t>L60, INDOOR, 1FT, 18 W/FT , RGB4, 110~277V, 30x45, BRONZE</t>
  </si>
  <si>
    <t>L60, INDOOR, 1FT, 18 W/FT , RGB4, 110~277V, 30x75, CUSTOM</t>
  </si>
  <si>
    <t>L60, INDOOR, 1FT, 18 W/FT , RGB4, 110~277V, 30x75, BLACK</t>
  </si>
  <si>
    <t>L60, INDOOR, 1FT, 18 W/FT , RGB4, 110~277V, 30x75, SILVER</t>
  </si>
  <si>
    <t>L60, INDOOR, 1FT, 18 W/FT , RGB4, 110~277V, 30x75, WHITE</t>
  </si>
  <si>
    <t>L60, INDOOR, 1FT, 18 W/FT , RGB4, 110~277V, 30x75, BRONZE</t>
  </si>
  <si>
    <t>L60, INDOOR, 1FT, 18 W/FT , RGB4, 110~277V, 55x55, CUSTOM</t>
  </si>
  <si>
    <t>L60, INDOOR, 1FT, 18 W/FT , RGB4, 110~277V, 55x55, BLACK</t>
  </si>
  <si>
    <t>L60, INDOOR, 1FT, 18 W/FT , RGB4, 110~277V, 55x55, SILVER</t>
  </si>
  <si>
    <t>L60, INDOOR, 1FT, 18 W/FT , RGB4, 110~277V, 55x55, WHITE</t>
  </si>
  <si>
    <t>L60, INDOOR, 1FT, 18 W/FT , RGB4, 110~277V, 55x55, BRONZE</t>
  </si>
  <si>
    <t>L60, INDOOR, 1FT, 18 W/FT , RGB4, 110~277V, 55x60, CUSTOM</t>
  </si>
  <si>
    <t>L60, INDOOR, 1FT, 18 W/FT , RGB4, 110~277V, 55x60, BLACK</t>
  </si>
  <si>
    <t>L60, INDOOR, 1FT, 18 W/FT , RGB4, 110~277V, 55x60, SILVER</t>
  </si>
  <si>
    <t>L60, INDOOR, 1FT, 18 W/FT , RGB4, 110~277V, 55x60, WHITE</t>
  </si>
  <si>
    <t>L60, INDOOR, 1FT, 18 W/FT , RGB4, 110~277V, 55x60, BRONZE</t>
  </si>
  <si>
    <t>L60, INDOOR, 1FT, 18 W/FT , RGB4, 110~277V, 55x90, CUSTOM</t>
  </si>
  <si>
    <t>L60, INDOOR, 1FT, 18 W/FT , RGB4, 110~277V, 55x90, BLACK</t>
  </si>
  <si>
    <t>L60, INDOOR, 1FT, 18 W/FT , RGB4, 110~277V, 55x90, SILVER</t>
  </si>
  <si>
    <t>L60, INDOOR, 1FT, 18 W/FT , RGB4, 110~277V, 55x90, WHITE</t>
  </si>
  <si>
    <t>L60, INDOOR, 1FT, 18 W/FT , RGB4, 110~277V, 55x90, BRONZE</t>
  </si>
  <si>
    <t>L60, INDOOR, 1FT, 18 W/FT , RGB4, 110~277V, ASYM, CUSTOM</t>
  </si>
  <si>
    <t>L60, INDOOR, 1FT, 18 W/FT , RGB4, 110~277V, ASYM, BLACK</t>
  </si>
  <si>
    <t>L60, INDOOR, 1FT, 18 W/FT , RGB4, 110~277V, ASYM, SILVER</t>
  </si>
  <si>
    <t>L60, INDOOR, 1FT, 18 W/FT , RGB4, 110~277V, ASYM, WHITE</t>
  </si>
  <si>
    <t>L60, INDOOR, 1FT, 18 W/FT , RGB4, 110~277V, ASYM, BRONZE</t>
  </si>
  <si>
    <t>L60, INDOOR, 4FT, 10 W/FT,  RGB4, 110~277V, 15x15, CUSTOM</t>
  </si>
  <si>
    <t>L60, INDOOR, 4FT, 10 W/FT,  RGB4, 110~277V, 15x15, BLACK</t>
  </si>
  <si>
    <t>L60, INDOOR, 4FT, 10 W/FT,  RGB4, 110~277V, 15x15, SILVER</t>
  </si>
  <si>
    <t>L60, INDOOR, 4FT, 10 W/FT,  RGB4, 110~277V, 15x15, WHITE</t>
  </si>
  <si>
    <t>L60, INDOOR, 4FT, 10 W/FT,  RGB4, 110~277V, 15x15, BRONZE</t>
  </si>
  <si>
    <t>L60, INDOOR, 4FT, 10 W/FT,  RGB4, 110~277V, 20x20, CUSTOM</t>
  </si>
  <si>
    <t>L60, INDOOR, 4FT, 10 W/FT,  RGB4, 110~277V, 20x20, BLACK</t>
  </si>
  <si>
    <t>L60, INDOOR, 4FT, 10 W/FT,  RGB4, 110~277V, 20x20, SILVER</t>
  </si>
  <si>
    <t>L60, INDOOR, 4FT, 10 W/FT,  RGB4, 110~277V, 20x20, WHITE</t>
  </si>
  <si>
    <t>L60, INDOOR, 4FT, 10 W/FT,  RGB4, 110~277V, 20x20, BRONZE</t>
  </si>
  <si>
    <t>L60, INDOOR, 4FT, 10 W/FT,  RGB4, 110~277V, 20x40, CUSTOM</t>
  </si>
  <si>
    <t>L60, INDOOR, 4FT, 10 W/FT,  RGB4, 110~277V, 20x40, BLACK</t>
  </si>
  <si>
    <t>L60, INDOOR, 4FT, 10 W/FT,  RGB4, 110~277V, 20x40, SILVER</t>
  </si>
  <si>
    <t>L60, INDOOR, 4FT, 10 W/FT,  RGB4, 110~277V, 20x40, WHITE</t>
  </si>
  <si>
    <t>L60, INDOOR, 4FT, 10 W/FT,  RGB4, 110~277V, 20x40, BRONZE</t>
  </si>
  <si>
    <t>L60, INDOOR, 4FT, 10 W/FT,  RGB4, 110~277V, 20x70, CUSTOM</t>
  </si>
  <si>
    <t>L60, INDOOR, 4FT, 10 W/FT,  RGB4, 110~277V, 20x70, BLACK</t>
  </si>
  <si>
    <t>L60, INDOOR, 4FT, 10 W/FT,  RGB4, 110~277V, 20x70, SILVER</t>
  </si>
  <si>
    <t>L60, INDOOR, 4FT, 10 W/FT,  RGB4, 110~277V, 20x70, WHITE</t>
  </si>
  <si>
    <t>L60, INDOOR, 4FT, 10 W/FT,  RGB4, 110~277V, 20x70, BRONZE</t>
  </si>
  <si>
    <t>L60, INDOOR, 4FT, 10 W/FT,  RGB4, 110~277V, 30x30, CUSTOM</t>
  </si>
  <si>
    <t>L60, INDOOR, 4FT, 10 W/FT,  RGB4, 110~277V, 30x30, BLACK</t>
  </si>
  <si>
    <t>L60, INDOOR, 4FT, 10 W/FT,  RGB4, 110~277V, 30x30, SILVER</t>
  </si>
  <si>
    <t>L60, INDOOR, 4FT, 10 W/FT,  RGB4, 110~277V, 30x30, WHITE</t>
  </si>
  <si>
    <t>L60, INDOOR, 4FT, 10 W/FT,  RGB4, 110~277V, 30x30, BRONZE</t>
  </si>
  <si>
    <t>L60, INDOOR, 4FT, 10 W/FT,  RGB4, 110~277V, 30x45, CUSTOM</t>
  </si>
  <si>
    <t>L60, INDOOR, 4FT, 10 W/FT,  RGB4, 110~277V, 30x45, BLACK</t>
  </si>
  <si>
    <t>L60, INDOOR, 4FT, 10 W/FT,  RGB4, 110~277V, 30x45, SILVER</t>
  </si>
  <si>
    <t>L60, INDOOR, 4FT, 10 W/FT,  RGB4, 110~277V, 30x45, WHITE</t>
  </si>
  <si>
    <t>L60, INDOOR, 4FT, 10 W/FT,  RGB4, 110~277V, 30x45, BRONZE</t>
  </si>
  <si>
    <t>L60, INDOOR, 4FT, 10 W/FT,  RGB4, 110~277V, 30x75, CUSTOM</t>
  </si>
  <si>
    <t>L60, INDOOR, 4FT, 10 W/FT,  RGB4, 110~277V, 30x75, BLACK</t>
  </si>
  <si>
    <t>L60, INDOOR, 4FT, 10 W/FT,  RGB4, 110~277V, 30x75, SILVER</t>
  </si>
  <si>
    <t>L60, INDOOR, 4FT, 10 W/FT,  RGB4, 110~277V, 30x75, WHITE</t>
  </si>
  <si>
    <t>L60, INDOOR, 4FT, 10 W/FT,  RGB4, 110~277V, 30x75, BRONZE</t>
  </si>
  <si>
    <t>L60, INDOOR, 4FT, 10 W/FT,  RGB4, 110~277V, 55x55, CUSTOM</t>
  </si>
  <si>
    <t>L60, INDOOR, 4FT, 10 W/FT,  RGB4, 110~277V, 55x55, BLACK</t>
  </si>
  <si>
    <t>L60, INDOOR, 4FT, 10 W/FT,  RGB4, 110~277V, 55x55, SILVER</t>
  </si>
  <si>
    <t>L60, INDOOR, 4FT, 10 W/FT,  RGB4, 110~277V, 55x55, WHITE</t>
  </si>
  <si>
    <t>L60, INDOOR, 4FT, 10 W/FT,  RGB4, 110~277V, 55x55, BRONZE</t>
  </si>
  <si>
    <t>L60, INDOOR, 4FT, 10 W/FT,  RGB4, 110~277V, 55x60, CUSTOM</t>
  </si>
  <si>
    <t>L60, INDOOR, 4FT, 10 W/FT,  RGB4, 110~277V, 55x60, BLACK</t>
  </si>
  <si>
    <t>L60, INDOOR, 4FT, 10 W/FT,  RGB4, 110~277V, 55x60, SILVER</t>
  </si>
  <si>
    <t>L60, INDOOR, 4FT, 10 W/FT,  RGB4, 110~277V, 55x60, WHITE</t>
  </si>
  <si>
    <t>L60, INDOOR, 4FT, 10 W/FT,  RGB4, 110~277V, 55x60, BRONZE</t>
  </si>
  <si>
    <t>L60, INDOOR, 4FT, 10 W/FT,  RGB4, 110~277V, 55x90, CUSTOM</t>
  </si>
  <si>
    <t>L60, INDOOR, 4FT, 10 W/FT,  RGB4, 110~277V, 55x90, BLACK</t>
  </si>
  <si>
    <t>L60, INDOOR, 4FT, 10 W/FT,  RGB4, 110~277V, 55x90, SILVER</t>
  </si>
  <si>
    <t>L60, INDOOR, 4FT, 10 W/FT,  RGB4, 110~277V, 55x90, WHITE</t>
  </si>
  <si>
    <t>L60, INDOOR, 4FT, 10 W/FT,  RGB4, 110~277V, 55x90, BRONZE</t>
  </si>
  <si>
    <t>L60, INDOOR, 4FT, 10 W/FT,  RGB4, 110~277V, ASYM, CUSTOM</t>
  </si>
  <si>
    <t>L60, INDOOR, 4FT, 10 W/FT,  RGB4, 110~277V, ASYM, BLACK</t>
  </si>
  <si>
    <t>L60, INDOOR, 4FT, 10 W/FT,  RGB4, 110~277V, ASYM, SILVER</t>
  </si>
  <si>
    <t>L60, INDOOR, 4FT, 10 W/FT,  RGB4, 110~277V, ASYM, WHITE</t>
  </si>
  <si>
    <t>L60, INDOOR, 4FT, 10 W/FT,  RGB4, 110~277V, ASYM, BRONZE</t>
  </si>
  <si>
    <t>L60, INDOOR, 4FT, 18 W/FT , RGB4, 110~277V, 15x15, CUSTOM</t>
  </si>
  <si>
    <t>L60, INDOOR, 4FT, 18 W/FT , RGB4, 110~277V, 15x15, BLACK</t>
  </si>
  <si>
    <t>L60, INDOOR, 4FT, 18 W/FT , RGB4, 110~277V, 15x15, SILVER</t>
  </si>
  <si>
    <t>L60, INDOOR, 4FT, 18 W/FT , RGB4, 110~277V, 15x15, WHITE</t>
  </si>
  <si>
    <t>L60, INDOOR, 4FT, 18 W/FT , RGB4, 110~277V, 15x15, BRONZE</t>
  </si>
  <si>
    <t>L60, INDOOR, 4FT, 18 W/FT , RGB4, 110~277V, 20x20, CUSTOM</t>
  </si>
  <si>
    <t>L60, INDOOR, 4FT, 18 W/FT , RGB4, 110~277V, 20x20, BLACK</t>
  </si>
  <si>
    <t>L60, INDOOR, 4FT, 18 W/FT , RGB4, 110~277V, 20x20, SILVER</t>
  </si>
  <si>
    <t>L60, INDOOR, 4FT, 18 W/FT , RGB4, 110~277V, 20x20, WHITE</t>
  </si>
  <si>
    <t>L60, INDOOR, 4FT, 18 W/FT , RGB4, 110~277V, 20x20, BRONZE</t>
  </si>
  <si>
    <t>L60, INDOOR, 4FT, 18 W/FT , RGB4, 110~277V, 20x40, CUSTOM</t>
  </si>
  <si>
    <t>L60, INDOOR, 4FT, 18 W/FT , RGB4, 110~277V, 20x40, BLACK</t>
  </si>
  <si>
    <t>L60, INDOOR, 4FT, 18 W/FT , RGB4, 110~277V, 20x40, SILVER</t>
  </si>
  <si>
    <t>L60, INDOOR, 4FT, 18 W/FT , RGB4, 110~277V, 20x40, WHITE</t>
  </si>
  <si>
    <t>L60, INDOOR, 4FT, 18 W/FT , RGB4, 110~277V, 20x40, BRONZE</t>
  </si>
  <si>
    <t>L60, INDOOR, 4FT, 18 W/FT , RGB4, 110~277V, 20x70, CUSTOM</t>
  </si>
  <si>
    <t>L60, INDOOR, 4FT, 18 W/FT , RGB4, 110~277V, 20x70, BLACK</t>
  </si>
  <si>
    <t>L60, INDOOR, 4FT, 18 W/FT , RGB4, 110~277V, 20x70, SILVER</t>
  </si>
  <si>
    <t>L60, INDOOR, 4FT, 18 W/FT , RGB4, 110~277V, 20x70, WHITE</t>
  </si>
  <si>
    <t>L60, INDOOR, 4FT, 18 W/FT , RGB4, 110~277V, 20x70, BRONZE</t>
  </si>
  <si>
    <t>L60, INDOOR, 4FT, 18 W/FT , RGB4, 110~277V, 30x30, CUSTOM</t>
  </si>
  <si>
    <t>L60, INDOOR, 4FT, 18 W/FT , RGB4, 110~277V, 30x30, BLACK</t>
  </si>
  <si>
    <t>L60, INDOOR, 4FT, 18 W/FT , RGB4, 110~277V, 30x30, SILVER</t>
  </si>
  <si>
    <t>L60, INDOOR, 4FT, 18 W/FT , RGB4, 110~277V, 30x30, WHITE</t>
  </si>
  <si>
    <t>L60, INDOOR, 4FT, 18 W/FT , RGB4, 110~277V, 30x30, BRONZE</t>
  </si>
  <si>
    <t>L60, INDOOR, 4FT, 18 W/FT , RGB4, 110~277V, 30x45, CUSTOM</t>
  </si>
  <si>
    <t>L60, INDOOR, 4FT, 18 W/FT , RGB4, 110~277V, 30x45, BLACK</t>
  </si>
  <si>
    <t>L60, INDOOR, 4FT, 18 W/FT , RGB4, 110~277V, 30x45, SILVER</t>
  </si>
  <si>
    <t>L60, INDOOR, 4FT, 18 W/FT , RGB4, 110~277V, 30x45, WHITE</t>
  </si>
  <si>
    <t>L60, INDOOR, 4FT, 18 W/FT , RGB4, 110~277V, 30x45, BRONZE</t>
  </si>
  <si>
    <t>L60, INDOOR, 4FT, 18 W/FT , RGB4, 110~277V, 30x75, CUSTOM</t>
  </si>
  <si>
    <t>L60, INDOOR, 4FT, 18 W/FT , RGB4, 110~277V, 30x75, BLACK</t>
  </si>
  <si>
    <t>L60, INDOOR, 4FT, 18 W/FT , RGB4, 110~277V, 30x75, SILVER</t>
  </si>
  <si>
    <t>L60, INDOOR, 4FT, 18 W/FT , RGB4, 110~277V, 30x75, WHITE</t>
  </si>
  <si>
    <t>L60, INDOOR, 4FT, 18 W/FT , RGB4, 110~277V, 30x75, BRONZE</t>
  </si>
  <si>
    <t>L60, INDOOR, 4FT, 18 W/FT , RGB4, 110~277V, 55x55, CUSTOM</t>
  </si>
  <si>
    <t>L60, INDOOR, 4FT, 18 W/FT , RGB4, 110~277V, 55x55, BLACK</t>
  </si>
  <si>
    <t>L60, INDOOR, 4FT, 18 W/FT , RGB4, 110~277V, 55x55, SILVER</t>
  </si>
  <si>
    <t>L60, INDOOR, 4FT, 18 W/FT , RGB4, 110~277V, 55x55, WHITE</t>
  </si>
  <si>
    <t>L60, INDOOR, 4FT, 18 W/FT , RGB4, 110~277V, 55x55, BRONZE</t>
  </si>
  <si>
    <t>L60, INDOOR, 4FT, 18 W/FT , RGB4, 110~277V, 55x60, CUSTOM</t>
  </si>
  <si>
    <t>L60, INDOOR, 4FT, 18 W/FT , RGB4, 110~277V, 55x60, BLACK</t>
  </si>
  <si>
    <t>L60, INDOOR, 4FT, 18 W/FT , RGB4, 110~277V, 55x60, SILVER</t>
  </si>
  <si>
    <t>L60, INDOOR, 4FT, 18 W/FT , RGB4, 110~277V, 55x60, WHITE</t>
  </si>
  <si>
    <t>L60, INDOOR, 4FT, 18 W/FT , RGB4, 110~277V, 55x60, BRONZE</t>
  </si>
  <si>
    <t>L60, INDOOR, 4FT, 18 W/FT , RGB4, 110~277V, 55x90, CUSTOM</t>
  </si>
  <si>
    <t>L60, INDOOR, 4FT, 18 W/FT , RGB4, 110~277V, 55x90, BLACK</t>
  </si>
  <si>
    <t>L60, INDOOR, 4FT, 18 W/FT , RGB4, 110~277V, 55x90, SILVER</t>
  </si>
  <si>
    <t>L60, INDOOR, 4FT, 18 W/FT , RGB4, 110~277V, 55x90, WHITE</t>
  </si>
  <si>
    <t>L60, INDOOR, 4FT, 18 W/FT , RGB4, 110~277V, 55x90, BRONZE</t>
  </si>
  <si>
    <t>L60, INDOOR, 4FT, 18 W/FT , RGB4, 110~277V, ASYM, CUSTOM</t>
  </si>
  <si>
    <t>L60, INDOOR, 4FT, 18 W/FT , RGB4, 110~277V, ASYM, BLACK</t>
  </si>
  <si>
    <t>L60, INDOOR, 4FT, 18 W/FT , RGB4, 110~277V, ASYM, SILVER</t>
  </si>
  <si>
    <t>L60, INDOOR, 4FT, 18 W/FT , RGB4, 110~277V, ASYM, WHITE</t>
  </si>
  <si>
    <t>L60, INDOOR, 4FT, 18 W/FT , RGB4, 110~277V, ASYM, BRONZE</t>
  </si>
  <si>
    <t>L45, OUTDOOR, 1FT, 10 W/FT,  RGB3, 110~277V, 120, CUSTOM</t>
  </si>
  <si>
    <t>L45, OUTDOOR, 1FT, 10 W/FT,  RGB3, 110~277V, 120, BLACK</t>
  </si>
  <si>
    <t>L45, OUTDOOR, 1FT, 10 W/FT,  RGB3, 110~277V, 120, SILVER</t>
  </si>
  <si>
    <t>L45, OUTDOOR, 1FT, 10 W/FT,  RGB3, 110~277V, 120, WHITE</t>
  </si>
  <si>
    <t>L45, OUTDOOR, 1FT, 10 W/FT,  RGB3, 110~277V, 120, BRONZE</t>
  </si>
  <si>
    <t>L45, OUTDOOR, 1FT, 18 W/FT , RGB3, 110~277V, 120, CUSTOM</t>
  </si>
  <si>
    <t>L45, OUTDOOR, 1FT, 18 W/FT , RGB3, 110~277V, 120, BLACK</t>
  </si>
  <si>
    <t>L45, OUTDOOR, 1FT, 18 W/FT , RGB3, 110~277V, 120, SILVER</t>
  </si>
  <si>
    <t>L45, OUTDOOR, 1FT, 18 W/FT , RGB3, 110~277V, 120, WHITE</t>
  </si>
  <si>
    <t>L45, OUTDOOR, 1FT, 18 W/FT , RGB3, 110~277V, 120, BRONZE</t>
  </si>
  <si>
    <t>L45, OUTDOOR, 4FT, 10 W/FT,  RGB3, 110~277V, 120, CUSTOM</t>
  </si>
  <si>
    <t>L45, OUTDOOR, 4FT, 10 W/FT,  RGB3, 110~277V, 120, BLACK</t>
  </si>
  <si>
    <t>L45, OUTDOOR, 4FT, 10 W/FT,  RGB3, 110~277V, 120, SILVER</t>
  </si>
  <si>
    <t>L45, OUTDOOR, 4FT, 10 W/FT,  RGB3, 110~277V, 120, WHITE</t>
  </si>
  <si>
    <t>L45, OUTDOOR, 4FT, 10 W/FT,  RGB3, 110~277V, 120, BRONZE</t>
  </si>
  <si>
    <t>L45, OUTDOOR, 4FT, 18 W/FT , RGB3, 110~277V, 120, CUSTOM</t>
  </si>
  <si>
    <t>L45, OUTDOOR, 4FT, 18 W/FT , RGB3, 110~277V, 120, BLACK</t>
  </si>
  <si>
    <t>L45, OUTDOOR, 4FT, 18 W/FT , RGB3, 110~277V, 120, SILVER</t>
  </si>
  <si>
    <t>L45, OUTDOOR, 4FT, 18 W/FT , RGB3, 110~277V, 120, WHITE</t>
  </si>
  <si>
    <t>L45, OUTDOOR, 4FT, 18 W/FT , RGB3, 110~277V, 120, BRONZE</t>
  </si>
  <si>
    <t>L45, INDOOR, 1FT, 10 W/FT,  RGB3, 110~277V, 120, CUSTOM</t>
  </si>
  <si>
    <t>L45, INDOOR, 1FT, 10 W/FT,  RGB3, 110~277V, 120, BLACK</t>
  </si>
  <si>
    <t>L45, INDOOR, 1FT, 10 W/FT,  RGB3, 110~277V, 120, SILVER</t>
  </si>
  <si>
    <t>L45, INDOOR, 1FT, 10 W/FT,  RGB3, 110~277V, 120, WHITE</t>
  </si>
  <si>
    <t>L45, INDOOR, 1FT, 10 W/FT,  RGB3, 110~277V, 120, BRONZE</t>
  </si>
  <si>
    <t>L45, INDOOR, 1FT, 18 W/FT , RGB3, 110~277V, 120, CUSTOM</t>
  </si>
  <si>
    <t>L45, INDOOR, 1FT, 18 W/FT , RGB3, 110~277V, 120, BLACK</t>
  </si>
  <si>
    <t>L45, INDOOR, 1FT, 18 W/FT , RGB3, 110~277V, 120, SILVER</t>
  </si>
  <si>
    <t>L45, INDOOR, 1FT, 18 W/FT , RGB3, 110~277V, 120, WHITE</t>
  </si>
  <si>
    <t>L45, INDOOR, 1FT, 18 W/FT , RGB3, 110~277V, 120, BRONZE</t>
  </si>
  <si>
    <t>L45, INDOOR, 4FT, 10 W/FT,  RGB3, 110~277V, 120, CUSTOM</t>
  </si>
  <si>
    <t>L45, INDOOR, 4FT, 10 W/FT,  RGB3, 110~277V, 120, BLACK</t>
  </si>
  <si>
    <t>L45, INDOOR, 4FT, 10 W/FT,  RGB3, 110~277V, 120, SILVER</t>
  </si>
  <si>
    <t>L45, INDOOR, 4FT, 10 W/FT,  RGB3, 110~277V, 120, WHITE</t>
  </si>
  <si>
    <t>L45, INDOOR, 4FT, 10 W/FT,  RGB3, 110~277V, 120, BRONZE</t>
  </si>
  <si>
    <t>L45, INDOOR, 4FT, 18 W/FT , RGB3, 110~277V, 120, CUSTOM</t>
  </si>
  <si>
    <t>L45, INDOOR, 4FT, 18 W/FT , RGB3, 110~277V, 120, BLACK</t>
  </si>
  <si>
    <t>L45, INDOOR, 4FT, 18 W/FT , RGB3, 110~277V, 120, SILVER</t>
  </si>
  <si>
    <t>L45, INDOOR, 4FT, 18 W/FT , RGB3, 110~277V, 120, WHITE</t>
  </si>
  <si>
    <t>L45, INDOOR, 4FT, 18 W/FT , RGB3, 110~277V, 120, BRONZE</t>
  </si>
  <si>
    <t>L60, OUTDOOR, 1FT, 10 W/FT,  RGB3, 110~277V, 15x15, CUSTOM</t>
  </si>
  <si>
    <t>L60, OUTDOOR, 1FT, 10 W/FT,  RGB3, 110~277V, 15x15, BLACK</t>
  </si>
  <si>
    <t>L60, OUTDOOR, 1FT, 10 W/FT,  RGB3, 110~277V, 15x15, SILVER</t>
  </si>
  <si>
    <t>L60, OUTDOOR, 1FT, 10 W/FT,  RGB3, 110~277V, 15x15, WHITE</t>
  </si>
  <si>
    <t>L60, OUTDOOR, 1FT, 10 W/FT,  RGB3, 110~277V, 15x15, BRONZE</t>
  </si>
  <si>
    <t>L60, OUTDOOR, 1FT, 10 W/FT,  RGB3, 110~277V, 20x20, CUSTOM</t>
  </si>
  <si>
    <t>L60, OUTDOOR, 1FT, 10 W/FT,  RGB3, 110~277V, 20x20, BLACK</t>
  </si>
  <si>
    <t>L60, OUTDOOR, 1FT, 10 W/FT,  RGB3, 110~277V, 20x20, SILVER</t>
  </si>
  <si>
    <t>L60, OUTDOOR, 1FT, 10 W/FT,  RGB3, 110~277V, 20x20, WHITE</t>
  </si>
  <si>
    <t>L60, OUTDOOR, 1FT, 10 W/FT,  RGB3, 110~277V, 20x20, BRONZE</t>
  </si>
  <si>
    <t>L60, OUTDOOR, 1FT, 10 W/FT,  RGB3, 110~277V, 20x40, CUSTOM</t>
  </si>
  <si>
    <t>L60, OUTDOOR, 1FT, 10 W/FT,  RGB3, 110~277V, 20x40, BLACK</t>
  </si>
  <si>
    <t>L60, OUTDOOR, 1FT, 10 W/FT,  RGB3, 110~277V, 20x40, SILVER</t>
  </si>
  <si>
    <t>L60, OUTDOOR, 1FT, 10 W/FT,  RGB3, 110~277V, 20x40, WHITE</t>
  </si>
  <si>
    <t>L60, OUTDOOR, 1FT, 10 W/FT,  RGB3, 110~277V, 20x40, BRONZE</t>
  </si>
  <si>
    <t>L60, OUTDOOR, 1FT, 10 W/FT,  RGB3, 110~277V, 20x70, CUSTOM</t>
  </si>
  <si>
    <t>L60, OUTDOOR, 1FT, 10 W/FT,  RGB3, 110~277V, 20x70, BLACK</t>
  </si>
  <si>
    <t>L60, OUTDOOR, 1FT, 10 W/FT,  RGB3, 110~277V, 20x70, SILVER</t>
  </si>
  <si>
    <t>L60, OUTDOOR, 1FT, 10 W/FT,  RGB3, 110~277V, 20x70, WHITE</t>
  </si>
  <si>
    <t>L60, OUTDOOR, 1FT, 10 W/FT,  RGB3, 110~277V, 20x70, BRONZE</t>
  </si>
  <si>
    <t>L60, OUTDOOR, 1FT, 10 W/FT,  RGB3, 110~277V, 30x30, CUSTOM</t>
  </si>
  <si>
    <t>L60, OUTDOOR, 1FT, 10 W/FT,  RGB3, 110~277V, 30x30, BLACK</t>
  </si>
  <si>
    <t>L60, OUTDOOR, 1FT, 10 W/FT,  RGB3, 110~277V, 30x30, SILVER</t>
  </si>
  <si>
    <t>L60, OUTDOOR, 1FT, 10 W/FT,  RGB3, 110~277V, 30x30, WHITE</t>
  </si>
  <si>
    <t>L60, OUTDOOR, 1FT, 10 W/FT,  RGB3, 110~277V, 30x30, BRONZE</t>
  </si>
  <si>
    <t>L60, OUTDOOR, 1FT, 10 W/FT,  RGB3, 110~277V, 30x45, CUSTOM</t>
  </si>
  <si>
    <t>L60, OUTDOOR, 1FT, 10 W/FT,  RGB3, 110~277V, 30x45, BLACK</t>
  </si>
  <si>
    <t>L60, OUTDOOR, 1FT, 10 W/FT,  RGB3, 110~277V, 30x45, SILVER</t>
  </si>
  <si>
    <t>L60, OUTDOOR, 1FT, 10 W/FT,  RGB3, 110~277V, 30x45, WHITE</t>
  </si>
  <si>
    <t>L60, OUTDOOR, 1FT, 10 W/FT,  RGB3, 110~277V, 30x45, BRONZE</t>
  </si>
  <si>
    <t>L60, OUTDOOR, 1FT, 10 W/FT,  RGB3, 110~277V, 30x75, CUSTOM</t>
  </si>
  <si>
    <t>L60, OUTDOOR, 1FT, 10 W/FT,  RGB3, 110~277V, 30x75, BLACK</t>
  </si>
  <si>
    <t>L60, OUTDOOR, 1FT, 10 W/FT,  RGB3, 110~277V, 30x75, SILVER</t>
  </si>
  <si>
    <t>L60, OUTDOOR, 1FT, 10 W/FT,  RGB3, 110~277V, 30x75, WHITE</t>
  </si>
  <si>
    <t>L60, OUTDOOR, 1FT, 10 W/FT,  RGB3, 110~277V, 30x75, BRONZE</t>
  </si>
  <si>
    <t>L60, OUTDOOR, 1FT, 10 W/FT,  RGB3, 110~277V, 55x55, CUSTOM</t>
  </si>
  <si>
    <t>L60, OUTDOOR, 1FT, 10 W/FT,  RGB3, 110~277V, 55x55, BLACK</t>
  </si>
  <si>
    <t>L60, OUTDOOR, 1FT, 10 W/FT,  RGB3, 110~277V, 55x55, SILVER</t>
  </si>
  <si>
    <t>L60, OUTDOOR, 1FT, 10 W/FT,  RGB3, 110~277V, 55x55, WHITE</t>
  </si>
  <si>
    <t>L60, OUTDOOR, 1FT, 10 W/FT,  RGB3, 110~277V, 55x55, BRONZE</t>
  </si>
  <si>
    <t>L60, OUTDOOR, 1FT, 10 W/FT,  RGB3, 110~277V, 55x60, CUSTOM</t>
  </si>
  <si>
    <t>L60, OUTDOOR, 1FT, 10 W/FT,  RGB3, 110~277V, 55x60, BLACK</t>
  </si>
  <si>
    <t>L60, OUTDOOR, 1FT, 10 W/FT,  RGB3, 110~277V, 55x60, SILVER</t>
  </si>
  <si>
    <t>L60, OUTDOOR, 1FT, 10 W/FT,  RGB3, 110~277V, 55x60, WHITE</t>
  </si>
  <si>
    <t>L60, OUTDOOR, 1FT, 10 W/FT,  RGB3, 110~277V, 55x60, BRONZE</t>
  </si>
  <si>
    <t>L60, OUTDOOR, 1FT, 10 W/FT,  RGB3, 110~277V, 55x90, CUSTOM</t>
  </si>
  <si>
    <t>L60, OUTDOOR, 1FT, 10 W/FT,  RGB3, 110~277V, 55x90, BLACK</t>
  </si>
  <si>
    <t>L60, OUTDOOR, 1FT, 10 W/FT,  RGB3, 110~277V, 55x90, SILVER</t>
  </si>
  <si>
    <t>L60, OUTDOOR, 1FT, 10 W/FT,  RGB3, 110~277V, 55x90, WHITE</t>
  </si>
  <si>
    <t>L60, OUTDOOR, 1FT, 10 W/FT,  RGB3, 110~277V, 55x90, BRONZE</t>
  </si>
  <si>
    <t>L60, OUTDOOR, 1FT, 10 W/FT,  RGB3, 110~277V, ASYM, CUSTOM</t>
  </si>
  <si>
    <t>L60, OUTDOOR, 1FT, 10 W/FT,  RGB3, 110~277V, ASYM, BLACK</t>
  </si>
  <si>
    <t>L60, OUTDOOR, 1FT, 10 W/FT,  RGB3, 110~277V, ASYM, SILVER</t>
  </si>
  <si>
    <t>L60, OUTDOOR, 1FT, 10 W/FT,  RGB3, 110~277V, ASYM, WHITE</t>
  </si>
  <si>
    <t>L60, OUTDOOR, 1FT, 10 W/FT,  RGB3, 110~277V, ASYM, BRONZE</t>
  </si>
  <si>
    <t>L60, OUTDOOR, 1FT, 18 W/FT , RGB3, 110~277V, 15x15, CUSTOM</t>
  </si>
  <si>
    <t>L60, OUTDOOR, 1FT, 18 W/FT , RGB3, 110~277V, 15x15, BLACK</t>
  </si>
  <si>
    <t>L60, OUTDOOR, 1FT, 18 W/FT , RGB3, 110~277V, 15x15, SILVER</t>
  </si>
  <si>
    <t>L60, OUTDOOR, 1FT, 18 W/FT , RGB3, 110~277V, 15x15, WHITE</t>
  </si>
  <si>
    <t>L60, OUTDOOR, 1FT, 18 W/FT , RGB3, 110~277V, 15x15, BRONZE</t>
  </si>
  <si>
    <t>L60, OUTDOOR, 1FT, 18 W/FT , RGB3, 110~277V, 20x20, CUSTOM</t>
  </si>
  <si>
    <t>L60, OUTDOOR, 1FT, 18 W/FT , RGB3, 110~277V, 20x20, BLACK</t>
  </si>
  <si>
    <t>L60, OUTDOOR, 1FT, 18 W/FT , RGB3, 110~277V, 20x20, SILVER</t>
  </si>
  <si>
    <t>L60, OUTDOOR, 1FT, 18 W/FT , RGB3, 110~277V, 20x20, WHITE</t>
  </si>
  <si>
    <t>L60, OUTDOOR, 1FT, 18 W/FT , RGB3, 110~277V, 20x20, BRONZE</t>
  </si>
  <si>
    <t>L60, OUTDOOR, 1FT, 18 W/FT , RGB3, 110~277V, 20x40, CUSTOM</t>
  </si>
  <si>
    <t>L60, OUTDOOR, 1FT, 18 W/FT , RGB3, 110~277V, 20x40, BLACK</t>
  </si>
  <si>
    <t>L60, OUTDOOR, 1FT, 18 W/FT , RGB3, 110~277V, 20x40, SILVER</t>
  </si>
  <si>
    <t>L60, OUTDOOR, 1FT, 18 W/FT , RGB3, 110~277V, 20x40, WHITE</t>
  </si>
  <si>
    <t>L60, OUTDOOR, 1FT, 18 W/FT , RGB3, 110~277V, 20x40, BRONZE</t>
  </si>
  <si>
    <t>L60, OUTDOOR, 1FT, 18 W/FT , RGB3, 110~277V, 20x70, CUSTOM</t>
  </si>
  <si>
    <t>L60, OUTDOOR, 1FT, 18 W/FT , RGB3, 110~277V, 20x70, BLACK</t>
  </si>
  <si>
    <t>L60, OUTDOOR, 1FT, 18 W/FT , RGB3, 110~277V, 20x70, SILVER</t>
  </si>
  <si>
    <t>L60, OUTDOOR, 1FT, 18 W/FT , RGB3, 110~277V, 20x70, WHITE</t>
  </si>
  <si>
    <t>L60, OUTDOOR, 1FT, 18 W/FT , RGB3, 110~277V, 20x70, BRONZE</t>
  </si>
  <si>
    <t>L60, OUTDOOR, 1FT, 18 W/FT , RGB3, 110~277V, 30x30, CUSTOM</t>
  </si>
  <si>
    <t>L60, OUTDOOR, 1FT, 18 W/FT , RGB3, 110~277V, 30x30, BLACK</t>
  </si>
  <si>
    <t>L60, OUTDOOR, 1FT, 18 W/FT , RGB3, 110~277V, 30x30, SILVER</t>
  </si>
  <si>
    <t>L60, OUTDOOR, 1FT, 18 W/FT , RGB3, 110~277V, 30x30, WHITE</t>
  </si>
  <si>
    <t>L60, OUTDOOR, 1FT, 18 W/FT , RGB3, 110~277V, 30x30, BRONZE</t>
  </si>
  <si>
    <t>L60, OUTDOOR, 1FT, 18 W/FT , RGB3, 110~277V, 30x45, CUSTOM</t>
  </si>
  <si>
    <t>L60, OUTDOOR, 1FT, 18 W/FT , RGB3, 110~277V, 30x45, BLACK</t>
  </si>
  <si>
    <t>L60, OUTDOOR, 1FT, 18 W/FT , RGB3, 110~277V, 30x45, SILVER</t>
  </si>
  <si>
    <t>L60, OUTDOOR, 1FT, 18 W/FT , RGB3, 110~277V, 30x45, WHITE</t>
  </si>
  <si>
    <t>L60, OUTDOOR, 1FT, 18 W/FT , RGB3, 110~277V, 30x45, BRONZE</t>
  </si>
  <si>
    <t>L60, OUTDOOR, 1FT, 18 W/FT , RGB3, 110~277V, 30x75, CUSTOM</t>
  </si>
  <si>
    <t>L60, OUTDOOR, 1FT, 18 W/FT , RGB3, 110~277V, 30x75, BLACK</t>
  </si>
  <si>
    <t>L60, OUTDOOR, 1FT, 18 W/FT , RGB3, 110~277V, 30x75, SILVER</t>
  </si>
  <si>
    <t>L60, OUTDOOR, 1FT, 18 W/FT , RGB3, 110~277V, 30x75, WHITE</t>
  </si>
  <si>
    <t>L60, OUTDOOR, 1FT, 18 W/FT , RGB3, 110~277V, 30x75, BRONZE</t>
  </si>
  <si>
    <t>L60, OUTDOOR, 1FT, 18 W/FT , RGB3, 110~277V, 55x55, CUSTOM</t>
  </si>
  <si>
    <t>L60, OUTDOOR, 1FT, 18 W/FT , RGB3, 110~277V, 55x55, BLACK</t>
  </si>
  <si>
    <t>L60, OUTDOOR, 1FT, 18 W/FT , RGB3, 110~277V, 55x55, SILVER</t>
  </si>
  <si>
    <t>L60, OUTDOOR, 1FT, 18 W/FT , RGB3, 110~277V, 55x55, WHITE</t>
  </si>
  <si>
    <t>L60, OUTDOOR, 1FT, 18 W/FT , RGB3, 110~277V, 55x55, BRONZE</t>
  </si>
  <si>
    <t>L60, OUTDOOR, 1FT, 18 W/FT , RGB3, 110~277V, 55x60, CUSTOM</t>
  </si>
  <si>
    <t>L60, OUTDOOR, 1FT, 18 W/FT , RGB3, 110~277V, 55x60, BLACK</t>
  </si>
  <si>
    <t>L60, OUTDOOR, 1FT, 18 W/FT , RGB3, 110~277V, 55x60, SILVER</t>
  </si>
  <si>
    <t>L60, OUTDOOR, 1FT, 18 W/FT , RGB3, 110~277V, 55x60, WHITE</t>
  </si>
  <si>
    <t>L60, OUTDOOR, 1FT, 18 W/FT , RGB3, 110~277V, 55x60, BRONZE</t>
  </si>
  <si>
    <t>L60, OUTDOOR, 1FT, 18 W/FT , RGB3, 110~277V, 55x90, CUSTOM</t>
  </si>
  <si>
    <t>L60, OUTDOOR, 1FT, 18 W/FT , RGB3, 110~277V, 55x90, BLACK</t>
  </si>
  <si>
    <t>L60, OUTDOOR, 1FT, 18 W/FT , RGB3, 110~277V, 55x90, SILVER</t>
  </si>
  <si>
    <t>L60, OUTDOOR, 1FT, 18 W/FT , RGB3, 110~277V, 55x90, WHITE</t>
  </si>
  <si>
    <t>L60, OUTDOOR, 1FT, 18 W/FT , RGB3, 110~277V, 55x90, BRONZE</t>
  </si>
  <si>
    <t>L60, OUTDOOR, 1FT, 18 W/FT , RGB3, 110~277V, ASYM, CUSTOM</t>
  </si>
  <si>
    <t>L60, OUTDOOR, 1FT, 18 W/FT , RGB3, 110~277V, ASYM, BLACK</t>
  </si>
  <si>
    <t>L60, OUTDOOR, 1FT, 18 W/FT , RGB3, 110~277V, ASYM, SILVER</t>
  </si>
  <si>
    <t>L60, OUTDOOR, 1FT, 18 W/FT , RGB3, 110~277V, ASYM, WHITE</t>
  </si>
  <si>
    <t>L60, OUTDOOR, 1FT, 18 W/FT , RGB3, 110~277V, ASYM, BRONZE</t>
  </si>
  <si>
    <t>L60, OUTDOOR, 4FT, 10 W/FT,  RGB3, 110~277V, 15x15, CUSTOM</t>
  </si>
  <si>
    <t>L60, OUTDOOR, 4FT, 10 W/FT,  RGB3, 110~277V, 15x15, BLACK</t>
  </si>
  <si>
    <t>L60, OUTDOOR, 4FT, 10 W/FT,  RGB3, 110~277V, 15x15, SILVER</t>
  </si>
  <si>
    <t>L60, OUTDOOR, 4FT, 10 W/FT,  RGB3, 110~277V, 15x15, WHITE</t>
  </si>
  <si>
    <t>L60, OUTDOOR, 4FT, 10 W/FT,  RGB3, 110~277V, 15x15, BRONZE</t>
  </si>
  <si>
    <t>L60, OUTDOOR, 4FT, 10 W/FT,  RGB3, 110~277V, 20x20, CUSTOM</t>
  </si>
  <si>
    <t>L60, OUTDOOR, 4FT, 10 W/FT,  RGB3, 110~277V, 20x20, BLACK</t>
  </si>
  <si>
    <t>L60, OUTDOOR, 4FT, 10 W/FT,  RGB3, 110~277V, 20x20, SILVER</t>
  </si>
  <si>
    <t>L60, OUTDOOR, 4FT, 10 W/FT,  RGB3, 110~277V, 20x20, WHITE</t>
  </si>
  <si>
    <t>L60, OUTDOOR, 4FT, 10 W/FT,  RGB3, 110~277V, 20x20, BRONZE</t>
  </si>
  <si>
    <t>L60, OUTDOOR, 4FT, 10 W/FT,  RGB3, 110~277V, 20x40, CUSTOM</t>
  </si>
  <si>
    <t>L60, OUTDOOR, 4FT, 10 W/FT,  RGB3, 110~277V, 20x40, BLACK</t>
  </si>
  <si>
    <t>L60, OUTDOOR, 4FT, 10 W/FT,  RGB3, 110~277V, 20x40, SILVER</t>
  </si>
  <si>
    <t>L60, OUTDOOR, 4FT, 10 W/FT,  RGB3, 110~277V, 20x40, WHITE</t>
  </si>
  <si>
    <t>L60, OUTDOOR, 4FT, 10 W/FT,  RGB3, 110~277V, 20x40, BRONZE</t>
  </si>
  <si>
    <t>L60, OUTDOOR, 4FT, 10 W/FT,  RGB3, 110~277V, 20x70, CUSTOM</t>
  </si>
  <si>
    <t>L60, OUTDOOR, 4FT, 10 W/FT,  RGB3, 110~277V, 20x70, BLACK</t>
  </si>
  <si>
    <t>L60, OUTDOOR, 4FT, 10 W/FT,  RGB3, 110~277V, 20x70, SILVER</t>
  </si>
  <si>
    <t>L60, OUTDOOR, 4FT, 10 W/FT,  RGB3, 110~277V, 20x70, WHITE</t>
  </si>
  <si>
    <t>L60, OUTDOOR, 4FT, 10 W/FT,  RGB3, 110~277V, 20x70, BRONZE</t>
  </si>
  <si>
    <t>L60, OUTDOOR, 4FT, 10 W/FT,  RGB3, 110~277V, 30x30, CUSTOM</t>
  </si>
  <si>
    <t>L60, OUTDOOR, 4FT, 10 W/FT,  RGB3, 110~277V, 30x30, BLACK</t>
  </si>
  <si>
    <t>L60, OUTDOOR, 4FT, 10 W/FT,  RGB3, 110~277V, 30x30, SILVER</t>
  </si>
  <si>
    <t>L60, OUTDOOR, 4FT, 10 W/FT,  RGB3, 110~277V, 30x30, WHITE</t>
  </si>
  <si>
    <t>L60, OUTDOOR, 4FT, 10 W/FT,  RGB3, 110~277V, 30x30, BRONZE</t>
  </si>
  <si>
    <t>L60, OUTDOOR, 4FT, 10 W/FT,  RGB3, 110~277V, 30x45, CUSTOM</t>
  </si>
  <si>
    <t>L60, OUTDOOR, 4FT, 10 W/FT,  RGB3, 110~277V, 30x45, BLACK</t>
  </si>
  <si>
    <t>L60, OUTDOOR, 4FT, 10 W/FT,  RGB3, 110~277V, 30x45, SILVER</t>
  </si>
  <si>
    <t>L60, OUTDOOR, 4FT, 10 W/FT,  RGB3, 110~277V, 30x45, WHITE</t>
  </si>
  <si>
    <t>L60, OUTDOOR, 4FT, 10 W/FT,  RGB3, 110~277V, 30x45, BRONZE</t>
  </si>
  <si>
    <t>L60, OUTDOOR, 4FT, 10 W/FT,  RGB3, 110~277V, 30x75, CUSTOM</t>
  </si>
  <si>
    <t>L60, OUTDOOR, 4FT, 10 W/FT,  RGB3, 110~277V, 30x75, BLACK</t>
  </si>
  <si>
    <t>L60, OUTDOOR, 4FT, 10 W/FT,  RGB3, 110~277V, 30x75, SILVER</t>
  </si>
  <si>
    <t>L60, OUTDOOR, 4FT, 10 W/FT,  RGB3, 110~277V, 30x75, WHITE</t>
  </si>
  <si>
    <t>L60, OUTDOOR, 4FT, 10 W/FT,  RGB3, 110~277V, 30x75, BRONZE</t>
  </si>
  <si>
    <t>L60, OUTDOOR, 4FT, 10 W/FT,  RGB3, 110~277V, 55x55, CUSTOM</t>
  </si>
  <si>
    <t>L60, OUTDOOR, 4FT, 10 W/FT,  RGB3, 110~277V, 55x55, BLACK</t>
  </si>
  <si>
    <t>L60, OUTDOOR, 4FT, 10 W/FT,  RGB3, 110~277V, 55x55, SILVER</t>
  </si>
  <si>
    <t>L60, OUTDOOR, 4FT, 10 W/FT,  RGB3, 110~277V, 55x55, WHITE</t>
  </si>
  <si>
    <t>L60, OUTDOOR, 4FT, 10 W/FT,  RGB3, 110~277V, 55x55, BRONZE</t>
  </si>
  <si>
    <t>L60, OUTDOOR, 4FT, 10 W/FT,  RGB3, 110~277V, 55x60, CUSTOM</t>
  </si>
  <si>
    <t>L60, OUTDOOR, 4FT, 10 W/FT,  RGB3, 110~277V, 55x60, BLACK</t>
  </si>
  <si>
    <t>L60, OUTDOOR, 4FT, 10 W/FT,  RGB3, 110~277V, 55x60, SILVER</t>
  </si>
  <si>
    <t>L60, OUTDOOR, 4FT, 10 W/FT,  RGB3, 110~277V, 55x60, WHITE</t>
  </si>
  <si>
    <t>L60, OUTDOOR, 4FT, 10 W/FT,  RGB3, 110~277V, 55x60, BRONZE</t>
  </si>
  <si>
    <t>L60, OUTDOOR, 4FT, 10 W/FT,  RGB3, 110~277V, 55x90, CUSTOM</t>
  </si>
  <si>
    <t>L60, OUTDOOR, 4FT, 10 W/FT,  RGB3, 110~277V, 55x90, BLACK</t>
  </si>
  <si>
    <t>L60, OUTDOOR, 4FT, 10 W/FT,  RGB3, 110~277V, 55x90, SILVER</t>
  </si>
  <si>
    <t>L60, OUTDOOR, 4FT, 10 W/FT,  RGB3, 110~277V, 55x90, WHITE</t>
  </si>
  <si>
    <t>L60, OUTDOOR, 4FT, 10 W/FT,  RGB3, 110~277V, 55x90, BRONZE</t>
  </si>
  <si>
    <t>L60, OUTDOOR, 4FT, 10 W/FT,  RGB3, 110~277V, ASYM, CUSTOM</t>
  </si>
  <si>
    <t>L60, OUTDOOR, 4FT, 10 W/FT,  RGB3, 110~277V, ASYM, BLACK</t>
  </si>
  <si>
    <t>L60, OUTDOOR, 4FT, 10 W/FT,  RGB3, 110~277V, ASYM, SILVER</t>
  </si>
  <si>
    <t>L60, OUTDOOR, 4FT, 10 W/FT,  RGB3, 110~277V, ASYM, WHITE</t>
  </si>
  <si>
    <t>L60, OUTDOOR, 4FT, 10 W/FT,  RGB3, 110~277V, ASYM, BRONZE</t>
  </si>
  <si>
    <t>L60, OUTDOOR, 4FT, 18 W/FT , RGB3, 110~277V, 15x15, CUSTOM</t>
  </si>
  <si>
    <t>L60, OUTDOOR, 4FT, 18 W/FT , RGB3, 110~277V, 15x15, BLACK</t>
  </si>
  <si>
    <t>L60, OUTDOOR, 4FT, 18 W/FT , RGB3, 110~277V, 15x15, SILVER</t>
  </si>
  <si>
    <t>L60, OUTDOOR, 4FT, 18 W/FT , RGB3, 110~277V, 15x15, WHITE</t>
  </si>
  <si>
    <t>L60, OUTDOOR, 4FT, 18 W/FT , RGB3, 110~277V, 15x15, BRONZE</t>
  </si>
  <si>
    <t>L60, OUTDOOR, 4FT, 18 W/FT , RGB3, 110~277V, 20x20, CUSTOM</t>
  </si>
  <si>
    <t>L60, OUTDOOR, 4FT, 18 W/FT , RGB3, 110~277V, 20x20, BLACK</t>
  </si>
  <si>
    <t>L60, OUTDOOR, 4FT, 18 W/FT , RGB3, 110~277V, 20x20, SILVER</t>
  </si>
  <si>
    <t>L60, OUTDOOR, 4FT, 18 W/FT , RGB3, 110~277V, 20x20, WHITE</t>
  </si>
  <si>
    <t>L60, OUTDOOR, 4FT, 18 W/FT , RGB3, 110~277V, 20x20, BRONZE</t>
  </si>
  <si>
    <t>L60, OUTDOOR, 4FT, 18 W/FT , RGB3, 110~277V, 20x40, CUSTOM</t>
  </si>
  <si>
    <t>L60, OUTDOOR, 4FT, 18 W/FT , RGB3, 110~277V, 20x40, BLACK</t>
  </si>
  <si>
    <t>L60, OUTDOOR, 4FT, 18 W/FT , RGB3, 110~277V, 20x40, SILVER</t>
  </si>
  <si>
    <t>L60, OUTDOOR, 4FT, 18 W/FT , RGB3, 110~277V, 20x40, WHITE</t>
  </si>
  <si>
    <t>L60, OUTDOOR, 4FT, 18 W/FT , RGB3, 110~277V, 20x40, BRONZE</t>
  </si>
  <si>
    <t>L60, OUTDOOR, 4FT, 18 W/FT , RGB3, 110~277V, 20x70, CUSTOM</t>
  </si>
  <si>
    <t>L60, OUTDOOR, 4FT, 18 W/FT , RGB3, 110~277V, 20x70, BLACK</t>
  </si>
  <si>
    <t>L60, OUTDOOR, 4FT, 18 W/FT , RGB3, 110~277V, 20x70, SILVER</t>
  </si>
  <si>
    <t>L60, OUTDOOR, 4FT, 18 W/FT , RGB3, 110~277V, 20x70, WHITE</t>
  </si>
  <si>
    <t>L60, OUTDOOR, 4FT, 18 W/FT , RGB3, 110~277V, 20x70, BRONZE</t>
  </si>
  <si>
    <t>L60, OUTDOOR, 4FT, 18 W/FT , RGB3, 110~277V, 30x30, CUSTOM</t>
  </si>
  <si>
    <t>L60, OUTDOOR, 4FT, 18 W/FT , RGB3, 110~277V, 30x30, BLACK</t>
  </si>
  <si>
    <t>L60, OUTDOOR, 4FT, 18 W/FT , RGB3, 110~277V, 30x30, SILVER</t>
  </si>
  <si>
    <t>L60, OUTDOOR, 4FT, 18 W/FT , RGB3, 110~277V, 30x30, WHITE</t>
  </si>
  <si>
    <t>L60, OUTDOOR, 4FT, 18 W/FT , RGB3, 110~277V, 30x30, BRONZE</t>
  </si>
  <si>
    <t>L60, OUTDOOR, 4FT, 18 W/FT , RGB3, 110~277V, 30x45, CUSTOM</t>
  </si>
  <si>
    <t>L60, OUTDOOR, 4FT, 18 W/FT , RGB3, 110~277V, 30x45, BLACK</t>
  </si>
  <si>
    <t>L60, OUTDOOR, 4FT, 18 W/FT , RGB3, 110~277V, 30x45, SILVER</t>
  </si>
  <si>
    <t>L60, OUTDOOR, 4FT, 18 W/FT , RGB3, 110~277V, 30x45, WHITE</t>
  </si>
  <si>
    <t>L60, OUTDOOR, 4FT, 18 W/FT , RGB3, 110~277V, 30x45, BRONZE</t>
  </si>
  <si>
    <t>L60, OUTDOOR, 4FT, 18 W/FT , RGB3, 110~277V, 30x75, CUSTOM</t>
  </si>
  <si>
    <t>L60, OUTDOOR, 4FT, 18 W/FT , RGB3, 110~277V, 30x75, BLACK</t>
  </si>
  <si>
    <t>L60, OUTDOOR, 4FT, 18 W/FT , RGB3, 110~277V, 30x75, SILVER</t>
  </si>
  <si>
    <t>L60, OUTDOOR, 4FT, 18 W/FT , RGB3, 110~277V, 30x75, WHITE</t>
  </si>
  <si>
    <t>L60, OUTDOOR, 4FT, 18 W/FT , RGB3, 110~277V, 30x75, BRONZE</t>
  </si>
  <si>
    <t>L60, OUTDOOR, 4FT, 18 W/FT , RGB3, 110~277V, 55x55, CUSTOM</t>
  </si>
  <si>
    <t>L60, OUTDOOR, 4FT, 18 W/FT , RGB3, 110~277V, 55x55, BLACK</t>
  </si>
  <si>
    <t>L60, OUTDOOR, 4FT, 18 W/FT , RGB3, 110~277V, 55x55, SILVER</t>
  </si>
  <si>
    <t>L60, OUTDOOR, 4FT, 18 W/FT , RGB3, 110~277V, 55x55, WHITE</t>
  </si>
  <si>
    <t>L60, OUTDOOR, 4FT, 18 W/FT , RGB3, 110~277V, 55x55, BRONZE</t>
  </si>
  <si>
    <t>L60, OUTDOOR, 4FT, 18 W/FT , RGB3, 110~277V, 55x60, CUSTOM</t>
  </si>
  <si>
    <t>L60, OUTDOOR, 4FT, 18 W/FT , RGB3, 110~277V, 55x60, BLACK</t>
  </si>
  <si>
    <t>L60, OUTDOOR, 4FT, 18 W/FT , RGB3, 110~277V, 55x60, SILVER</t>
  </si>
  <si>
    <t>L60, OUTDOOR, 4FT, 18 W/FT , RGB3, 110~277V, 55x60, WHITE</t>
  </si>
  <si>
    <t>L60, OUTDOOR, 4FT, 18 W/FT , RGB3, 110~277V, 55x60, BRONZE</t>
  </si>
  <si>
    <t>L60, OUTDOOR, 4FT, 18 W/FT , RGB3, 110~277V, 55x90, CUSTOM</t>
  </si>
  <si>
    <t>L60, OUTDOOR, 4FT, 18 W/FT , RGB3, 110~277V, 55x90, BLACK</t>
  </si>
  <si>
    <t>L60, OUTDOOR, 4FT, 18 W/FT , RGB3, 110~277V, 55x90, SILVER</t>
  </si>
  <si>
    <t>L60, OUTDOOR, 4FT, 18 W/FT , RGB3, 110~277V, 55x90, WHITE</t>
  </si>
  <si>
    <t>L60, OUTDOOR, 4FT, 18 W/FT , RGB3, 110~277V, 55x90, BRONZE</t>
  </si>
  <si>
    <t>L60, OUTDOOR, 4FT, 18 W/FT , RGB3, 110~277V, ASYM, CUSTOM</t>
  </si>
  <si>
    <t>L60, OUTDOOR, 4FT, 18 W/FT , RGB3, 110~277V, ASYM, BLACK</t>
  </si>
  <si>
    <t>L60, OUTDOOR, 4FT, 18 W/FT , RGB3, 110~277V, ASYM, SILVER</t>
  </si>
  <si>
    <t>L60, OUTDOOR, 4FT, 18 W/FT , RGB3, 110~277V, ASYM, WHITE</t>
  </si>
  <si>
    <t>L60, OUTDOOR, 4FT, 18 W/FT , RGB3, 110~277V, ASYM, BRONZE</t>
  </si>
  <si>
    <t>L60, INDOOR, 1FT, 10 W/FT,  RGB3, 110~277V, 15x15, CUSTOM</t>
  </si>
  <si>
    <t>L60, INDOOR, 1FT, 10 W/FT,  RGB3, 110~277V, 15x15, BLACK</t>
  </si>
  <si>
    <t>L60, INDOOR, 1FT, 10 W/FT,  RGB3, 110~277V, 15x15, SILVER</t>
  </si>
  <si>
    <t>L60, INDOOR, 1FT, 10 W/FT,  RGB3, 110~277V, 15x15, WHITE</t>
  </si>
  <si>
    <t>L60, INDOOR, 1FT, 10 W/FT,  RGB3, 110~277V, 15x15, BRONZE</t>
  </si>
  <si>
    <t>L60, INDOOR, 1FT, 10 W/FT,  RGB3, 110~277V, 20x20, CUSTOM</t>
  </si>
  <si>
    <t>L60, INDOOR, 1FT, 10 W/FT,  RGB3, 110~277V, 20x20, BLACK</t>
  </si>
  <si>
    <t>L60, INDOOR, 1FT, 10 W/FT,  RGB3, 110~277V, 20x20, SILVER</t>
  </si>
  <si>
    <t>L60, INDOOR, 1FT, 10 W/FT,  RGB3, 110~277V, 20x20, WHITE</t>
  </si>
  <si>
    <t>L60, INDOOR, 1FT, 10 W/FT,  RGB3, 110~277V, 20x20, BRONZE</t>
  </si>
  <si>
    <t>L60, INDOOR, 1FT, 10 W/FT,  RGB3, 110~277V, 20x40, CUSTOM</t>
  </si>
  <si>
    <t>L60, INDOOR, 1FT, 10 W/FT,  RGB3, 110~277V, 20x40, BLACK</t>
  </si>
  <si>
    <t>L60, INDOOR, 1FT, 10 W/FT,  RGB3, 110~277V, 20x40, SILVER</t>
  </si>
  <si>
    <t>L60, INDOOR, 1FT, 10 W/FT,  RGB3, 110~277V, 20x40, WHITE</t>
  </si>
  <si>
    <t>L60, INDOOR, 1FT, 10 W/FT,  RGB3, 110~277V, 20x40, BRONZE</t>
  </si>
  <si>
    <t>L60, INDOOR, 1FT, 10 W/FT,  RGB3, 110~277V, 20x70, CUSTOM</t>
  </si>
  <si>
    <t>L60, INDOOR, 1FT, 10 W/FT,  RGB3, 110~277V, 20x70, BLACK</t>
  </si>
  <si>
    <t>L60, INDOOR, 1FT, 10 W/FT,  RGB3, 110~277V, 20x70, SILVER</t>
  </si>
  <si>
    <t>L60, INDOOR, 1FT, 10 W/FT,  RGB3, 110~277V, 20x70, WHITE</t>
  </si>
  <si>
    <t>L60, INDOOR, 1FT, 10 W/FT,  RGB3, 110~277V, 20x70, BRONZE</t>
  </si>
  <si>
    <t>L60, INDOOR, 1FT, 10 W/FT,  RGB3, 110~277V, 30x30, CUSTOM</t>
  </si>
  <si>
    <t>L60, INDOOR, 1FT, 10 W/FT,  RGB3, 110~277V, 30x30, BLACK</t>
  </si>
  <si>
    <t>L60, INDOOR, 1FT, 10 W/FT,  RGB3, 110~277V, 30x30, SILVER</t>
  </si>
  <si>
    <t>L60, INDOOR, 1FT, 10 W/FT,  RGB3, 110~277V, 30x30, WHITE</t>
  </si>
  <si>
    <t>L60, INDOOR, 1FT, 10 W/FT,  RGB3, 110~277V, 30x30, BRONZE</t>
  </si>
  <si>
    <t>L60, INDOOR, 1FT, 10 W/FT,  RGB3, 110~277V, 30x45, CUSTOM</t>
  </si>
  <si>
    <t>L60, INDOOR, 1FT, 10 W/FT,  RGB3, 110~277V, 30x45, BLACK</t>
  </si>
  <si>
    <t>L60, INDOOR, 1FT, 10 W/FT,  RGB3, 110~277V, 30x45, SILVER</t>
  </si>
  <si>
    <t>L60, INDOOR, 1FT, 10 W/FT,  RGB3, 110~277V, 30x45, WHITE</t>
  </si>
  <si>
    <t>L60, INDOOR, 1FT, 10 W/FT,  RGB3, 110~277V, 30x45, BRONZE</t>
  </si>
  <si>
    <t>L60, INDOOR, 1FT, 10 W/FT,  RGB3, 110~277V, 30x75, CUSTOM</t>
  </si>
  <si>
    <t>L60, INDOOR, 1FT, 10 W/FT,  RGB3, 110~277V, 30x75, BLACK</t>
  </si>
  <si>
    <t>L60, INDOOR, 1FT, 10 W/FT,  RGB3, 110~277V, 30x75, SILVER</t>
  </si>
  <si>
    <t>L60, INDOOR, 1FT, 10 W/FT,  RGB3, 110~277V, 30x75, WHITE</t>
  </si>
  <si>
    <t>L60, INDOOR, 1FT, 10 W/FT,  RGB3, 110~277V, 30x75, BRONZE</t>
  </si>
  <si>
    <t>L60, INDOOR, 1FT, 10 W/FT,  RGB3, 110~277V, 55x55, CUSTOM</t>
  </si>
  <si>
    <t>L60, INDOOR, 1FT, 10 W/FT,  RGB3, 110~277V, 55x55, BLACK</t>
  </si>
  <si>
    <t>L60, INDOOR, 1FT, 10 W/FT,  RGB3, 110~277V, 55x55, SILVER</t>
  </si>
  <si>
    <t>L60, INDOOR, 1FT, 10 W/FT,  RGB3, 110~277V, 55x55, WHITE</t>
  </si>
  <si>
    <t>L60, INDOOR, 1FT, 10 W/FT,  RGB3, 110~277V, 55x55, BRONZE</t>
  </si>
  <si>
    <t>L60, INDOOR, 1FT, 10 W/FT,  RGB3, 110~277V, 55x60, CUSTOM</t>
  </si>
  <si>
    <t>L60, INDOOR, 1FT, 10 W/FT,  RGB3, 110~277V, 55x60, BLACK</t>
  </si>
  <si>
    <t>L60, INDOOR, 1FT, 10 W/FT,  RGB3, 110~277V, 55x60, SILVER</t>
  </si>
  <si>
    <t>L60, INDOOR, 1FT, 10 W/FT,  RGB3, 110~277V, 55x60, WHITE</t>
  </si>
  <si>
    <t>L60, INDOOR, 1FT, 10 W/FT,  RGB3, 110~277V, 55x60, BRONZE</t>
  </si>
  <si>
    <t>L60, INDOOR, 1FT, 10 W/FT,  RGB3, 110~277V, 55x90, CUSTOM</t>
  </si>
  <si>
    <t>L60, INDOOR, 1FT, 10 W/FT,  RGB3, 110~277V, 55x90, BLACK</t>
  </si>
  <si>
    <t>L60, INDOOR, 1FT, 10 W/FT,  RGB3, 110~277V, 55x90, SILVER</t>
  </si>
  <si>
    <t>L60, INDOOR, 1FT, 10 W/FT,  RGB3, 110~277V, 55x90, WHITE</t>
  </si>
  <si>
    <t>L60, INDOOR, 1FT, 10 W/FT,  RGB3, 110~277V, 55x90, BRONZE</t>
  </si>
  <si>
    <t>L60, INDOOR, 1FT, 10 W/FT,  RGB3, 110~277V, ASYM, CUSTOM</t>
  </si>
  <si>
    <t>L60, INDOOR, 1FT, 10 W/FT,  RGB3, 110~277V, ASYM, BLACK</t>
  </si>
  <si>
    <t>L60, INDOOR, 1FT, 10 W/FT,  RGB3, 110~277V, ASYM, SILVER</t>
  </si>
  <si>
    <t>L60, INDOOR, 1FT, 10 W/FT,  RGB3, 110~277V, ASYM, WHITE</t>
  </si>
  <si>
    <t>L60, INDOOR, 1FT, 10 W/FT,  RGB3, 110~277V, ASYM, BRONZE</t>
  </si>
  <si>
    <t>L60, INDOOR, 1FT, 18 W/FT , RGB3, 110~277V, 15x15, CUSTOM</t>
  </si>
  <si>
    <t>L60, INDOOR, 1FT, 18 W/FT , RGB3, 110~277V, 15x15, BLACK</t>
  </si>
  <si>
    <t>L60, INDOOR, 1FT, 18 W/FT , RGB3, 110~277V, 15x15, SILVER</t>
  </si>
  <si>
    <t>L60, INDOOR, 1FT, 18 W/FT , RGB3, 110~277V, 15x15, WHITE</t>
  </si>
  <si>
    <t>L60, INDOOR, 1FT, 18 W/FT , RGB3, 110~277V, 15x15, BRONZE</t>
  </si>
  <si>
    <t>L60, INDOOR, 1FT, 18 W/FT , RGB3, 110~277V, 20x20, CUSTOM</t>
  </si>
  <si>
    <t>L60, INDOOR, 1FT, 18 W/FT , RGB3, 110~277V, 20x20, BLACK</t>
  </si>
  <si>
    <t>L60, INDOOR, 1FT, 18 W/FT , RGB3, 110~277V, 20x20, SILVER</t>
  </si>
  <si>
    <t>L60, INDOOR, 1FT, 18 W/FT , RGB3, 110~277V, 20x20, WHITE</t>
  </si>
  <si>
    <t>L60, INDOOR, 1FT, 18 W/FT , RGB3, 110~277V, 20x20, BRONZE</t>
  </si>
  <si>
    <t>L60, INDOOR, 1FT, 18 W/FT , RGB3, 110~277V, 20x40, CUSTOM</t>
  </si>
  <si>
    <t>L60, INDOOR, 1FT, 18 W/FT , RGB3, 110~277V, 20x40, BLACK</t>
  </si>
  <si>
    <t>L60, INDOOR, 1FT, 18 W/FT , RGB3, 110~277V, 20x40, SILVER</t>
  </si>
  <si>
    <t>L60, INDOOR, 1FT, 18 W/FT , RGB3, 110~277V, 20x40, WHITE</t>
  </si>
  <si>
    <t>L60, INDOOR, 1FT, 18 W/FT , RGB3, 110~277V, 20x40, BRONZE</t>
  </si>
  <si>
    <t>L60, INDOOR, 1FT, 18 W/FT , RGB3, 110~277V, 20x70, CUSTOM</t>
  </si>
  <si>
    <t>L60, INDOOR, 1FT, 18 W/FT , RGB3, 110~277V, 20x70, BLACK</t>
  </si>
  <si>
    <t>L60, INDOOR, 1FT, 18 W/FT , RGB3, 110~277V, 20x70, SILVER</t>
  </si>
  <si>
    <t>L60, INDOOR, 1FT, 18 W/FT , RGB3, 110~277V, 20x70, WHITE</t>
  </si>
  <si>
    <t>L60, INDOOR, 1FT, 18 W/FT , RGB3, 110~277V, 20x70, BRONZE</t>
  </si>
  <si>
    <t>L60, INDOOR, 1FT, 18 W/FT , RGB3, 110~277V, 30x30, CUSTOM</t>
  </si>
  <si>
    <t>L60, INDOOR, 1FT, 18 W/FT , RGB3, 110~277V, 30x30, BLACK</t>
  </si>
  <si>
    <t>L60, INDOOR, 1FT, 18 W/FT , RGB3, 110~277V, 30x30, SILVER</t>
  </si>
  <si>
    <t>L60, INDOOR, 1FT, 18 W/FT , RGB3, 110~277V, 30x30, WHITE</t>
  </si>
  <si>
    <t>L60, INDOOR, 1FT, 18 W/FT , RGB3, 110~277V, 30x30, BRONZE</t>
  </si>
  <si>
    <t>L60, INDOOR, 1FT, 18 W/FT , RGB3, 110~277V, 30x45, CUSTOM</t>
  </si>
  <si>
    <t>L60, INDOOR, 1FT, 18 W/FT , RGB3, 110~277V, 30x45, BLACK</t>
  </si>
  <si>
    <t>L60, INDOOR, 1FT, 18 W/FT , RGB3, 110~277V, 30x45, SILVER</t>
  </si>
  <si>
    <t>L60, INDOOR, 1FT, 18 W/FT , RGB3, 110~277V, 30x45, WHITE</t>
  </si>
  <si>
    <t>L60, INDOOR, 1FT, 18 W/FT , RGB3, 110~277V, 30x45, BRONZE</t>
  </si>
  <si>
    <t>L60, INDOOR, 1FT, 18 W/FT , RGB3, 110~277V, 30x75, CUSTOM</t>
  </si>
  <si>
    <t>L60, INDOOR, 1FT, 18 W/FT , RGB3, 110~277V, 30x75, BLACK</t>
  </si>
  <si>
    <t>L60, INDOOR, 1FT, 18 W/FT , RGB3, 110~277V, 30x75, SILVER</t>
  </si>
  <si>
    <t>L60, INDOOR, 1FT, 18 W/FT , RGB3, 110~277V, 30x75, WHITE</t>
  </si>
  <si>
    <t>L60, INDOOR, 1FT, 18 W/FT , RGB3, 110~277V, 30x75, BRONZE</t>
  </si>
  <si>
    <t>L60, INDOOR, 1FT, 18 W/FT , RGB3, 110~277V, 55x55, CUSTOM</t>
  </si>
  <si>
    <t>L60, INDOOR, 1FT, 18 W/FT , RGB3, 110~277V, 55x55, BLACK</t>
  </si>
  <si>
    <t>L60, INDOOR, 1FT, 18 W/FT , RGB3, 110~277V, 55x55, SILVER</t>
  </si>
  <si>
    <t>L60, INDOOR, 1FT, 18 W/FT , RGB3, 110~277V, 55x55, WHITE</t>
  </si>
  <si>
    <t>L60, INDOOR, 1FT, 18 W/FT , RGB3, 110~277V, 55x55, BRONZE</t>
  </si>
  <si>
    <t>L60, INDOOR, 1FT, 18 W/FT , RGB3, 110~277V, 55x60, CUSTOM</t>
  </si>
  <si>
    <t>L60, INDOOR, 1FT, 18 W/FT , RGB3, 110~277V, 55x60, BLACK</t>
  </si>
  <si>
    <t>L60, INDOOR, 1FT, 18 W/FT , RGB3, 110~277V, 55x60, SILVER</t>
  </si>
  <si>
    <t>L60, INDOOR, 1FT, 18 W/FT , RGB3, 110~277V, 55x60, WHITE</t>
  </si>
  <si>
    <t>L60, INDOOR, 1FT, 18 W/FT , RGB3, 110~277V, 55x60, BRONZE</t>
  </si>
  <si>
    <t>L60, INDOOR, 1FT, 18 W/FT , RGB3, 110~277V, 55x90, CUSTOM</t>
  </si>
  <si>
    <t>L60, INDOOR, 1FT, 18 W/FT , RGB3, 110~277V, 55x90, BLACK</t>
  </si>
  <si>
    <t>L60, INDOOR, 1FT, 18 W/FT , RGB3, 110~277V, 55x90, SILVER</t>
  </si>
  <si>
    <t>L60, INDOOR, 1FT, 18 W/FT , RGB3, 110~277V, 55x90, WHITE</t>
  </si>
  <si>
    <t>L60, INDOOR, 1FT, 18 W/FT , RGB3, 110~277V, 55x90, BRONZE</t>
  </si>
  <si>
    <t>L60, INDOOR, 1FT, 18 W/FT , RGB3, 110~277V, ASYM, CUSTOM</t>
  </si>
  <si>
    <t>L60, INDOOR, 1FT, 18 W/FT , RGB3, 110~277V, ASYM, BLACK</t>
  </si>
  <si>
    <t>L60, INDOOR, 1FT, 18 W/FT , RGB3, 110~277V, ASYM, SILVER</t>
  </si>
  <si>
    <t>L60, INDOOR, 1FT, 18 W/FT , RGB3, 110~277V, ASYM, WHITE</t>
  </si>
  <si>
    <t>L60, INDOOR, 1FT, 18 W/FT , RGB3, 110~277V, ASYM, BRONZE</t>
  </si>
  <si>
    <t>L60, INDOOR, 4FT, 10 W/FT,  RGB3, 110~277V, 15x15, CUSTOM</t>
  </si>
  <si>
    <t>L60, INDOOR, 4FT, 10 W/FT,  RGB3, 110~277V, 15x15, BLACK</t>
  </si>
  <si>
    <t>L60, INDOOR, 4FT, 10 W/FT,  RGB3, 110~277V, 15x15, SILVER</t>
  </si>
  <si>
    <t>L60, INDOOR, 4FT, 10 W/FT,  RGB3, 110~277V, 15x15, WHITE</t>
  </si>
  <si>
    <t>L60, INDOOR, 4FT, 10 W/FT,  RGB3, 110~277V, 15x15, BRONZE</t>
  </si>
  <si>
    <t>L60, INDOOR, 4FT, 10 W/FT,  RGB3, 110~277V, 20x20, CUSTOM</t>
  </si>
  <si>
    <t>L60, INDOOR, 4FT, 10 W/FT,  RGB3, 110~277V, 20x20, BLACK</t>
  </si>
  <si>
    <t>L60, INDOOR, 4FT, 10 W/FT,  RGB3, 110~277V, 20x20, SILVER</t>
  </si>
  <si>
    <t>L60, INDOOR, 4FT, 10 W/FT,  RGB3, 110~277V, 20x20, WHITE</t>
  </si>
  <si>
    <t>L60, INDOOR, 4FT, 10 W/FT,  RGB3, 110~277V, 20x20, BRONZE</t>
  </si>
  <si>
    <t>L60, INDOOR, 4FT, 10 W/FT,  RGB3, 110~277V, 20x40, CUSTOM</t>
  </si>
  <si>
    <t>L60, INDOOR, 4FT, 10 W/FT,  RGB3, 110~277V, 20x40, BLACK</t>
  </si>
  <si>
    <t>L60, INDOOR, 4FT, 10 W/FT,  RGB3, 110~277V, 20x40, SILVER</t>
  </si>
  <si>
    <t>L60, INDOOR, 4FT, 10 W/FT,  RGB3, 110~277V, 20x40, WHITE</t>
  </si>
  <si>
    <t>L60, INDOOR, 4FT, 10 W/FT,  RGB3, 110~277V, 20x40, BRONZE</t>
  </si>
  <si>
    <t>L60, INDOOR, 4FT, 10 W/FT,  RGB3, 110~277V, 20x70, CUSTOM</t>
  </si>
  <si>
    <t>L60, INDOOR, 4FT, 10 W/FT,  RGB3, 110~277V, 20x70, BLACK</t>
  </si>
  <si>
    <t>L60, INDOOR, 4FT, 10 W/FT,  RGB3, 110~277V, 20x70, SILVER</t>
  </si>
  <si>
    <t>L60, INDOOR, 4FT, 10 W/FT,  RGB3, 110~277V, 20x70, WHITE</t>
  </si>
  <si>
    <t>L60, INDOOR, 4FT, 10 W/FT,  RGB3, 110~277V, 20x70, BRONZE</t>
  </si>
  <si>
    <t>L60, INDOOR, 4FT, 10 W/FT,  RGB3, 110~277V, 30x30, CUSTOM</t>
  </si>
  <si>
    <t>L60, INDOOR, 4FT, 10 W/FT,  RGB3, 110~277V, 30x30, BLACK</t>
  </si>
  <si>
    <t>L60, INDOOR, 4FT, 10 W/FT,  RGB3, 110~277V, 30x30, SILVER</t>
  </si>
  <si>
    <t>L60, INDOOR, 4FT, 10 W/FT,  RGB3, 110~277V, 30x30, WHITE</t>
  </si>
  <si>
    <t>L60, INDOOR, 4FT, 10 W/FT,  RGB3, 110~277V, 30x30, BRONZE</t>
  </si>
  <si>
    <t>L60, INDOOR, 4FT, 10 W/FT,  RGB3, 110~277V, 30x45, CUSTOM</t>
  </si>
  <si>
    <t>L60, INDOOR, 4FT, 10 W/FT,  RGB3, 110~277V, 30x45, BLACK</t>
  </si>
  <si>
    <t>L60, INDOOR, 4FT, 10 W/FT,  RGB3, 110~277V, 30x45, SILVER</t>
  </si>
  <si>
    <t>L60, INDOOR, 4FT, 10 W/FT,  RGB3, 110~277V, 30x45, WHITE</t>
  </si>
  <si>
    <t>L60, INDOOR, 4FT, 10 W/FT,  RGB3, 110~277V, 30x45, BRONZE</t>
  </si>
  <si>
    <t>L60, INDOOR, 4FT, 10 W/FT,  RGB3, 110~277V, 30x75, CUSTOM</t>
  </si>
  <si>
    <t>L60, INDOOR, 4FT, 10 W/FT,  RGB3, 110~277V, 30x75, BLACK</t>
  </si>
  <si>
    <t>L60, INDOOR, 4FT, 10 W/FT,  RGB3, 110~277V, 30x75, SILVER</t>
  </si>
  <si>
    <t>L60, INDOOR, 4FT, 10 W/FT,  RGB3, 110~277V, 30x75, WHITE</t>
  </si>
  <si>
    <t>L60, INDOOR, 4FT, 10 W/FT,  RGB3, 110~277V, 30x75, BRONZE</t>
  </si>
  <si>
    <t>L60, INDOOR, 4FT, 10 W/FT,  RGB3, 110~277V, 55x55, CUSTOM</t>
  </si>
  <si>
    <t>L60, INDOOR, 4FT, 10 W/FT,  RGB3, 110~277V, 55x55, BLACK</t>
  </si>
  <si>
    <t>L60, INDOOR, 4FT, 10 W/FT,  RGB3, 110~277V, 55x55, SILVER</t>
  </si>
  <si>
    <t>L60, INDOOR, 4FT, 10 W/FT,  RGB3, 110~277V, 55x55, WHITE</t>
  </si>
  <si>
    <t>L60, INDOOR, 4FT, 10 W/FT,  RGB3, 110~277V, 55x55, BRONZE</t>
  </si>
  <si>
    <t>L60, INDOOR, 4FT, 10 W/FT,  RGB3, 110~277V, 55x60, CUSTOM</t>
  </si>
  <si>
    <t>L60, INDOOR, 4FT, 10 W/FT,  RGB3, 110~277V, 55x60, BLACK</t>
  </si>
  <si>
    <t>L60, INDOOR, 4FT, 10 W/FT,  RGB3, 110~277V, 55x60, SILVER</t>
  </si>
  <si>
    <t>L60, INDOOR, 4FT, 10 W/FT,  RGB3, 110~277V, 55x60, WHITE</t>
  </si>
  <si>
    <t>L60, INDOOR, 4FT, 10 W/FT,  RGB3, 110~277V, 55x60, BRONZE</t>
  </si>
  <si>
    <t>L60, INDOOR, 4FT, 10 W/FT,  RGB3, 110~277V, 55x90, CUSTOM</t>
  </si>
  <si>
    <t>L60, INDOOR, 4FT, 10 W/FT,  RGB3, 110~277V, 55x90, BLACK</t>
  </si>
  <si>
    <t>L60, INDOOR, 4FT, 10 W/FT,  RGB3, 110~277V, 55x90, SILVER</t>
  </si>
  <si>
    <t>L60, INDOOR, 4FT, 10 W/FT,  RGB3, 110~277V, 55x90, WHITE</t>
  </si>
  <si>
    <t>L60, INDOOR, 4FT, 10 W/FT,  RGB3, 110~277V, 55x90, BRONZE</t>
  </si>
  <si>
    <t>L60, INDOOR, 4FT, 10 W/FT,  RGB3, 110~277V, ASYM, CUSTOM</t>
  </si>
  <si>
    <t>L60, INDOOR, 4FT, 10 W/FT,  RGB3, 110~277V, ASYM, BLACK</t>
  </si>
  <si>
    <t>L60, INDOOR, 4FT, 10 W/FT,  RGB3, 110~277V, ASYM, SILVER</t>
  </si>
  <si>
    <t>L60, INDOOR, 4FT, 10 W/FT,  RGB3, 110~277V, ASYM, WHITE</t>
  </si>
  <si>
    <t>L60, INDOOR, 4FT, 10 W/FT,  RGB3, 110~277V, ASYM, BRONZE</t>
  </si>
  <si>
    <t>L60, INDOOR, 4FT, 18 W/FT , RGB3, 110~277V, 15x15, CUSTOM</t>
  </si>
  <si>
    <t>L60, INDOOR, 4FT, 18 W/FT , RGB3, 110~277V, 15x15, BLACK</t>
  </si>
  <si>
    <t>L60, INDOOR, 4FT, 18 W/FT , RGB3, 110~277V, 15x15, SILVER</t>
  </si>
  <si>
    <t>L60, INDOOR, 4FT, 18 W/FT , RGB3, 110~277V, 15x15, WHITE</t>
  </si>
  <si>
    <t>L60, INDOOR, 4FT, 18 W/FT , RGB3, 110~277V, 15x15, BRONZE</t>
  </si>
  <si>
    <t>L60, INDOOR, 4FT, 18 W/FT , RGB3, 110~277V, 20x20, CUSTOM</t>
  </si>
  <si>
    <t>L60, INDOOR, 4FT, 18 W/FT , RGB3, 110~277V, 20x20, BLACK</t>
  </si>
  <si>
    <t>L60, INDOOR, 4FT, 18 W/FT , RGB3, 110~277V, 20x20, SILVER</t>
  </si>
  <si>
    <t>L60, INDOOR, 4FT, 18 W/FT , RGB3, 110~277V, 20x20, WHITE</t>
  </si>
  <si>
    <t>L60, INDOOR, 4FT, 18 W/FT , RGB3, 110~277V, 20x20, BRONZE</t>
  </si>
  <si>
    <t>L60, INDOOR, 4FT, 18 W/FT , RGB3, 110~277V, 20x40, CUSTOM</t>
  </si>
  <si>
    <t>L60, INDOOR, 4FT, 18 W/FT , RGB3, 110~277V, 20x40, BLACK</t>
  </si>
  <si>
    <t>L60, INDOOR, 4FT, 18 W/FT , RGB3, 110~277V, 20x40, SILVER</t>
  </si>
  <si>
    <t>L60, INDOOR, 4FT, 18 W/FT , RGB3, 110~277V, 20x40, WHITE</t>
  </si>
  <si>
    <t>L60, INDOOR, 4FT, 18 W/FT , RGB3, 110~277V, 20x40, BRONZE</t>
  </si>
  <si>
    <t>L60, INDOOR, 4FT, 18 W/FT , RGB3, 110~277V, 20x70, CUSTOM</t>
  </si>
  <si>
    <t>L60, INDOOR, 4FT, 18 W/FT , RGB3, 110~277V, 20x70, BLACK</t>
  </si>
  <si>
    <t>L60, INDOOR, 4FT, 18 W/FT , RGB3, 110~277V, 20x70, SILVER</t>
  </si>
  <si>
    <t>L60, INDOOR, 4FT, 18 W/FT , RGB3, 110~277V, 20x70, WHITE</t>
  </si>
  <si>
    <t>L60, INDOOR, 4FT, 18 W/FT , RGB3, 110~277V, 20x70, BRONZE</t>
  </si>
  <si>
    <t>L60, INDOOR, 4FT, 18 W/FT , RGB3, 110~277V, 30x30, CUSTOM</t>
  </si>
  <si>
    <t>L60, INDOOR, 4FT, 18 W/FT , RGB3, 110~277V, 30x30, BLACK</t>
  </si>
  <si>
    <t>L60, INDOOR, 4FT, 18 W/FT , RGB3, 110~277V, 30x30, SILVER</t>
  </si>
  <si>
    <t>L60, INDOOR, 4FT, 18 W/FT , RGB3, 110~277V, 30x30, WHITE</t>
  </si>
  <si>
    <t>L60, INDOOR, 4FT, 18 W/FT , RGB3, 110~277V, 30x30, BRONZE</t>
  </si>
  <si>
    <t>L60, INDOOR, 4FT, 18 W/FT , RGB3, 110~277V, 30x45, CUSTOM</t>
  </si>
  <si>
    <t>L60, INDOOR, 4FT, 18 W/FT , RGB3, 110~277V, 30x45, BLACK</t>
  </si>
  <si>
    <t>L60, INDOOR, 4FT, 18 W/FT , RGB3, 110~277V, 30x45, SILVER</t>
  </si>
  <si>
    <t>L60, INDOOR, 4FT, 18 W/FT , RGB3, 110~277V, 30x45, WHITE</t>
  </si>
  <si>
    <t>L60, INDOOR, 4FT, 18 W/FT , RGB3, 110~277V, 30x45, BRONZE</t>
  </si>
  <si>
    <t>L60, INDOOR, 4FT, 18 W/FT , RGB3, 110~277V, 30x75, CUSTOM</t>
  </si>
  <si>
    <t>L60, INDOOR, 4FT, 18 W/FT , RGB3, 110~277V, 30x75, BLACK</t>
  </si>
  <si>
    <t>L60, INDOOR, 4FT, 18 W/FT , RGB3, 110~277V, 30x75, SILVER</t>
  </si>
  <si>
    <t>L60, INDOOR, 4FT, 18 W/FT , RGB3, 110~277V, 30x75, WHITE</t>
  </si>
  <si>
    <t>L60, INDOOR, 4FT, 18 W/FT , RGB3, 110~277V, 30x75, BRONZE</t>
  </si>
  <si>
    <t>L60, INDOOR, 4FT, 18 W/FT , RGB3, 110~277V, 55x55, CUSTOM</t>
  </si>
  <si>
    <t>L60, INDOOR, 4FT, 18 W/FT , RGB3, 110~277V, 55x55, BLACK</t>
  </si>
  <si>
    <t>L60, INDOOR, 4FT, 18 W/FT , RGB3, 110~277V, 55x55, SILVER</t>
  </si>
  <si>
    <t>L60, INDOOR, 4FT, 18 W/FT , RGB3, 110~277V, 55x55, WHITE</t>
  </si>
  <si>
    <t>L60, INDOOR, 4FT, 18 W/FT , RGB3, 110~277V, 55x55, BRONZE</t>
  </si>
  <si>
    <t>L60, INDOOR, 4FT, 18 W/FT , RGB3, 110~277V, 55x60, CUSTOM</t>
  </si>
  <si>
    <t>L60, INDOOR, 4FT, 18 W/FT , RGB3, 110~277V, 55x60, BLACK</t>
  </si>
  <si>
    <t>L60, INDOOR, 4FT, 18 W/FT , RGB3, 110~277V, 55x60, SILVER</t>
  </si>
  <si>
    <t>L60, INDOOR, 4FT, 18 W/FT , RGB3, 110~277V, 55x60, WHITE</t>
  </si>
  <si>
    <t>L60, INDOOR, 4FT, 18 W/FT , RGB3, 110~277V, 55x60, BRONZE</t>
  </si>
  <si>
    <t>L60, INDOOR, 4FT, 18 W/FT , RGB3, 110~277V, 55x90, CUSTOM</t>
  </si>
  <si>
    <t>L60, INDOOR, 4FT, 18 W/FT , RGB3, 110~277V, 55x90, BLACK</t>
  </si>
  <si>
    <t>L60, INDOOR, 4FT, 18 W/FT , RGB3, 110~277V, 55x90, SILVER</t>
  </si>
  <si>
    <t>L60, INDOOR, 4FT, 18 W/FT , RGB3, 110~277V, 55x90, WHITE</t>
  </si>
  <si>
    <t>L60, INDOOR, 4FT, 18 W/FT , RGB3, 110~277V, 55x90, BRONZE</t>
  </si>
  <si>
    <t>L60, INDOOR, 4FT, 18 W/FT , RGB3, 110~277V, ASYM, CUSTOM</t>
  </si>
  <si>
    <t>L60, INDOOR, 4FT, 18 W/FT , RGB3, 110~277V, ASYM, BLACK</t>
  </si>
  <si>
    <t>L60, INDOOR, 4FT, 18 W/FT , RGB3, 110~277V, ASYM, SILVER</t>
  </si>
  <si>
    <t>L60, INDOOR, 4FT, 18 W/FT , RGB3, 110~277V, ASYM, WHITE</t>
  </si>
  <si>
    <t>L60, INDOOR, 4FT, 18 W/FT , RGB3, 110~277V, ASYM, BRONZE</t>
  </si>
  <si>
    <t>COGS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</si>
</sst>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Segoe UI"/>
      <family val="2"/>
    </font>
    <font>
      <b/>
      <sz val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2" fillId="5" borderId="0" applyNumberFormat="0" applyBorder="0" applyAlignment="0" applyProtection="0"/>
  </cellStyleXfs>
  <cellXfs count="43">
    <xf numFmtId="0" fontId="0" fillId="0" borderId="0" xfId="0"/>
    <xf numFmtId="0" fontId="3" fillId="0" borderId="0" xfId="1" applyFont="1" applyFill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2" applyFont="1" applyFill="1" applyAlignment="1">
      <alignment horizontal="left"/>
    </xf>
    <xf numFmtId="0" fontId="3" fillId="9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3" fillId="12" borderId="1" xfId="2" applyFont="1" applyFill="1" applyBorder="1" applyAlignment="1">
      <alignment horizontal="left"/>
    </xf>
    <xf numFmtId="0" fontId="3" fillId="6" borderId="1" xfId="2" applyFont="1" applyFill="1" applyBorder="1" applyAlignment="1">
      <alignment horizontal="left"/>
    </xf>
    <xf numFmtId="0" fontId="3" fillId="7" borderId="1" xfId="2" applyFont="1" applyFill="1" applyBorder="1" applyAlignment="1">
      <alignment horizontal="left"/>
    </xf>
    <xf numFmtId="0" fontId="3" fillId="10" borderId="1" xfId="0" applyFont="1" applyFill="1" applyBorder="1" applyAlignment="1">
      <alignment horizontal="left"/>
    </xf>
    <xf numFmtId="0" fontId="3" fillId="11" borderId="1" xfId="2" applyFont="1" applyFill="1" applyBorder="1" applyAlignment="1">
      <alignment horizontal="left"/>
    </xf>
    <xf numFmtId="0" fontId="3" fillId="2" borderId="1" xfId="2" applyFont="1" applyFill="1" applyBorder="1" applyAlignment="1">
      <alignment horizontal="left"/>
    </xf>
    <xf numFmtId="0" fontId="3" fillId="3" borderId="1" xfId="2" applyFont="1" applyFill="1" applyBorder="1" applyAlignment="1">
      <alignment horizontal="left"/>
    </xf>
    <xf numFmtId="0" fontId="3" fillId="12" borderId="1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7" borderId="1" xfId="0" applyFont="1" applyFill="1" applyBorder="1" applyAlignment="1">
      <alignment horizontal="left"/>
    </xf>
    <xf numFmtId="0" fontId="3" fillId="11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3" fillId="6" borderId="1" xfId="1" applyFont="1" applyFill="1" applyBorder="1" applyAlignment="1">
      <alignment horizontal="left"/>
    </xf>
    <xf numFmtId="0" fontId="3" fillId="7" borderId="1" xfId="1" applyFont="1" applyFill="1" applyBorder="1" applyAlignment="1">
      <alignment horizontal="left"/>
    </xf>
    <xf numFmtId="0" fontId="3" fillId="10" borderId="1" xfId="1" applyFont="1" applyFill="1" applyBorder="1" applyAlignment="1">
      <alignment horizontal="left"/>
    </xf>
    <xf numFmtId="0" fontId="3" fillId="11" borderId="1" xfId="1" applyFont="1" applyFill="1" applyBorder="1" applyAlignment="1">
      <alignment horizontal="left"/>
    </xf>
    <xf numFmtId="0" fontId="3" fillId="2" borderId="1" xfId="1" applyFont="1" applyFill="1" applyBorder="1" applyAlignment="1">
      <alignment horizontal="left"/>
    </xf>
    <xf numFmtId="0" fontId="3" fillId="3" borderId="1" xfId="1" applyFont="1" applyFill="1" applyBorder="1" applyAlignment="1">
      <alignment horizontal="left"/>
    </xf>
    <xf numFmtId="0" fontId="5" fillId="10" borderId="1" xfId="0" applyFont="1" applyFill="1" applyBorder="1" applyAlignment="1">
      <alignment horizontal="left"/>
    </xf>
    <xf numFmtId="0" fontId="5" fillId="12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5" fillId="7" borderId="1" xfId="0" applyFont="1" applyFill="1" applyBorder="1" applyAlignment="1">
      <alignment horizontal="left"/>
    </xf>
    <xf numFmtId="0" fontId="5" fillId="11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left"/>
    </xf>
    <xf numFmtId="0" fontId="5" fillId="6" borderId="1" xfId="1" applyFont="1" applyFill="1" applyBorder="1" applyAlignment="1">
      <alignment horizontal="left"/>
    </xf>
    <xf numFmtId="0" fontId="5" fillId="7" borderId="1" xfId="1" applyFont="1" applyFill="1" applyBorder="1" applyAlignment="1">
      <alignment horizontal="left"/>
    </xf>
    <xf numFmtId="0" fontId="5" fillId="10" borderId="1" xfId="1" applyFont="1" applyFill="1" applyBorder="1" applyAlignment="1">
      <alignment horizontal="left"/>
    </xf>
    <xf numFmtId="0" fontId="5" fillId="11" borderId="1" xfId="1" applyFont="1" applyFill="1" applyBorder="1" applyAlignment="1">
      <alignment horizontal="left"/>
    </xf>
    <xf numFmtId="0" fontId="5" fillId="2" borderId="1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/>
    </xf>
    <xf numFmtId="0" fontId="3" fillId="11" borderId="1" xfId="2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8" fontId="3" fillId="12" borderId="1" xfId="0" applyNumberFormat="1" applyFont="1" applyFill="1" applyBorder="1" applyAlignment="1">
      <alignment horizontal="left"/>
    </xf>
  </cellXfs>
  <cellStyles count="3">
    <cellStyle name="20% - Accent1" xfId="2" builtinId="30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Clientes\KORRUS\Quotes\2025%20Price%20Matrix\TROV%202%20CONFIGURATORS\Trov%202%20Item%20Master%20v1.1.xlsx" TargetMode="External"/><Relationship Id="rId1" Type="http://schemas.openxmlformats.org/officeDocument/2006/relationships/externalLinkPath" Target="Trov%202%20Item%20Master%20v1.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p Level Info"/>
      <sheetName val="AVL"/>
      <sheetName val="Vendor Info"/>
      <sheetName val="AVL Acc"/>
      <sheetName val="BOM Info General"/>
      <sheetName val="Sub Assy Bom Info "/>
      <sheetName val="Simulation pricing per sub assy"/>
      <sheetName val="Pivot Component Forecast"/>
      <sheetName val="Detected Price difference"/>
      <sheetName val="Forecast"/>
    </sheetNames>
    <sheetDataSet>
      <sheetData sheetId="0"/>
      <sheetData sheetId="1"/>
      <sheetData sheetId="2"/>
      <sheetData sheetId="3"/>
      <sheetData sheetId="4">
        <row r="1">
          <cell r="A1" t="str">
            <v>Top level</v>
          </cell>
          <cell r="B1" t="str">
            <v>level</v>
          </cell>
          <cell r="C1" t="str">
            <v>item_number</v>
          </cell>
          <cell r="D1" t="str">
            <v>item_name</v>
          </cell>
          <cell r="E1" t="str">
            <v>revision</v>
          </cell>
          <cell r="F1" t="str">
            <v>item_category</v>
          </cell>
          <cell r="G1" t="str">
            <v>quantity</v>
          </cell>
          <cell r="H1" t="str">
            <v>Mtl Cost</v>
          </cell>
          <cell r="I1" t="str">
            <v>Make/Buy</v>
          </cell>
          <cell r="J1" t="str">
            <v>EAU</v>
          </cell>
          <cell r="K1" t="str">
            <v>Jun-Dec Forecast</v>
          </cell>
          <cell r="L1" t="str">
            <v>cost</v>
          </cell>
        </row>
        <row r="2">
          <cell r="A2" t="str">
            <v>APC-000341-00</v>
          </cell>
          <cell r="B2">
            <v>0</v>
          </cell>
          <cell r="C2" t="str">
            <v>APC-000341-00</v>
          </cell>
          <cell r="D2" t="str">
            <v>PCBA, Hybrid Atlas Power Supply, 48W MP</v>
          </cell>
          <cell r="E2" t="str">
            <v>M</v>
          </cell>
          <cell r="F2" t="str">
            <v>PC Board Assembly</v>
          </cell>
          <cell r="H2">
            <v>24.43</v>
          </cell>
          <cell r="I2" t="str">
            <v>Buy</v>
          </cell>
          <cell r="J2">
            <v>2507</v>
          </cell>
          <cell r="K2">
            <v>1659</v>
          </cell>
          <cell r="L2">
            <v>24.43</v>
          </cell>
        </row>
        <row r="3">
          <cell r="A3" t="str">
            <v>APC-000341-01</v>
          </cell>
          <cell r="B3">
            <v>0</v>
          </cell>
          <cell r="C3" t="str">
            <v>APC-000341-01</v>
          </cell>
          <cell r="D3" t="str">
            <v>PCBA, Hybrid Atlas Power Supply, 18W LP</v>
          </cell>
          <cell r="E3" t="str">
            <v>M</v>
          </cell>
          <cell r="F3" t="str">
            <v>PC Board Assembly</v>
          </cell>
          <cell r="H3">
            <v>23.19</v>
          </cell>
          <cell r="I3" t="str">
            <v>Buy</v>
          </cell>
          <cell r="J3">
            <v>2085</v>
          </cell>
          <cell r="K3">
            <v>1402</v>
          </cell>
          <cell r="L3">
            <v>23.19</v>
          </cell>
        </row>
        <row r="4">
          <cell r="A4" t="str">
            <v>APC-000341-02</v>
          </cell>
          <cell r="B4">
            <v>0</v>
          </cell>
          <cell r="C4" t="str">
            <v>APC-000341-02</v>
          </cell>
          <cell r="D4" t="str">
            <v>PCBA, Hybrid Atlas Power Supply, 72W HP</v>
          </cell>
          <cell r="E4" t="str">
            <v>K</v>
          </cell>
          <cell r="F4" t="str">
            <v>PC Board Assembly</v>
          </cell>
          <cell r="H4">
            <v>25.74</v>
          </cell>
          <cell r="I4" t="str">
            <v>Buy</v>
          </cell>
          <cell r="J4">
            <v>561</v>
          </cell>
          <cell r="K4">
            <v>377</v>
          </cell>
          <cell r="L4">
            <v>25.74</v>
          </cell>
        </row>
        <row r="5">
          <cell r="A5" t="str">
            <v>APC-000363-00</v>
          </cell>
          <cell r="B5">
            <v>0</v>
          </cell>
          <cell r="C5" t="str">
            <v>APC-000363-00</v>
          </cell>
          <cell r="D5" t="str">
            <v>LED PCBA, TROV 2.0, L45, 1 FT, 2200K, 80CRI</v>
          </cell>
          <cell r="E5" t="str">
            <v>K</v>
          </cell>
          <cell r="F5" t="str">
            <v>PC Board Assembly</v>
          </cell>
          <cell r="H5">
            <v>19.829999999999998</v>
          </cell>
          <cell r="I5" t="str">
            <v>Buy</v>
          </cell>
          <cell r="J5">
            <v>0</v>
          </cell>
          <cell r="K5">
            <v>0</v>
          </cell>
          <cell r="L5">
            <v>19.829999999999998</v>
          </cell>
        </row>
        <row r="6">
          <cell r="A6" t="str">
            <v>APC-000363-01</v>
          </cell>
          <cell r="B6">
            <v>0</v>
          </cell>
          <cell r="C6" t="str">
            <v>APC-000363-01</v>
          </cell>
          <cell r="D6" t="str">
            <v>LED PCBA, TROV 2.0, L45, 1 FT, 2700K, 80CRI</v>
          </cell>
          <cell r="E6" t="str">
            <v>K</v>
          </cell>
          <cell r="F6" t="str">
            <v>PC Board Assembly</v>
          </cell>
          <cell r="H6">
            <v>13.13</v>
          </cell>
          <cell r="I6" t="str">
            <v>Buy</v>
          </cell>
          <cell r="J6">
            <v>1</v>
          </cell>
          <cell r="K6">
            <v>0</v>
          </cell>
          <cell r="L6">
            <v>13.13</v>
          </cell>
        </row>
        <row r="7">
          <cell r="A7" t="str">
            <v>APC-000363-02</v>
          </cell>
          <cell r="B7">
            <v>0</v>
          </cell>
          <cell r="C7" t="str">
            <v>APC-000363-02</v>
          </cell>
          <cell r="D7" t="str">
            <v>LED PCBA, TROV 2.0, L45, 1 FT, 3000K, 80CRI</v>
          </cell>
          <cell r="E7" t="str">
            <v>K</v>
          </cell>
          <cell r="F7" t="str">
            <v>PC Board Assembly</v>
          </cell>
          <cell r="H7">
            <v>11.01</v>
          </cell>
          <cell r="I7" t="str">
            <v>Buy</v>
          </cell>
          <cell r="J7">
            <v>110</v>
          </cell>
          <cell r="K7">
            <v>63</v>
          </cell>
          <cell r="L7">
            <v>11.01</v>
          </cell>
        </row>
        <row r="8">
          <cell r="A8" t="str">
            <v>APC-000363-03</v>
          </cell>
          <cell r="B8">
            <v>0</v>
          </cell>
          <cell r="C8" t="str">
            <v>APC-000363-03</v>
          </cell>
          <cell r="D8" t="str">
            <v>LED PCBA, TROV 2.0, L45, 1 FT, 3500K, 80CRI</v>
          </cell>
          <cell r="E8" t="str">
            <v>K</v>
          </cell>
          <cell r="F8" t="str">
            <v>PC Board Assembly</v>
          </cell>
          <cell r="H8">
            <v>11.01</v>
          </cell>
          <cell r="I8" t="str">
            <v>Buy</v>
          </cell>
          <cell r="J8">
            <v>13</v>
          </cell>
          <cell r="K8">
            <v>7</v>
          </cell>
          <cell r="L8">
            <v>11.01</v>
          </cell>
        </row>
        <row r="9">
          <cell r="A9" t="str">
            <v>APC-000363-04</v>
          </cell>
          <cell r="B9">
            <v>0</v>
          </cell>
          <cell r="C9" t="str">
            <v>APC-000363-04</v>
          </cell>
          <cell r="D9" t="str">
            <v>LED PCBA, TROV 2.0, L45, 1 FT, 4000K, 80CRI</v>
          </cell>
          <cell r="E9" t="str">
            <v>K</v>
          </cell>
          <cell r="F9" t="str">
            <v>PC Board Assembly</v>
          </cell>
          <cell r="H9">
            <v>15.39</v>
          </cell>
          <cell r="I9" t="str">
            <v>Buy</v>
          </cell>
          <cell r="J9">
            <v>7</v>
          </cell>
          <cell r="K9">
            <v>7</v>
          </cell>
          <cell r="L9">
            <v>15.39</v>
          </cell>
        </row>
        <row r="10">
          <cell r="A10" t="str">
            <v>APC-000363-05</v>
          </cell>
          <cell r="B10">
            <v>0</v>
          </cell>
          <cell r="C10" t="str">
            <v>APC-000363-05</v>
          </cell>
          <cell r="D10" t="str">
            <v>LED PCBA, TROV 2.0, L45, 1 FT, 5000K, 80CRI</v>
          </cell>
          <cell r="E10" t="str">
            <v>K</v>
          </cell>
          <cell r="F10" t="str">
            <v>PC Board Assembly</v>
          </cell>
          <cell r="H10">
            <v>0</v>
          </cell>
          <cell r="I10" t="str">
            <v>Buy</v>
          </cell>
          <cell r="J10">
            <v>0</v>
          </cell>
          <cell r="K10">
            <v>0</v>
          </cell>
          <cell r="L10">
            <v>11.01</v>
          </cell>
        </row>
        <row r="11">
          <cell r="A11" t="str">
            <v>APC-000363-06</v>
          </cell>
          <cell r="B11">
            <v>0</v>
          </cell>
          <cell r="C11" t="str">
            <v>APC-000363-06</v>
          </cell>
          <cell r="D11" t="str">
            <v>LED PCBA, TROV 2.0, L45, 1 FT, 6500K, 80CRI</v>
          </cell>
          <cell r="E11" t="str">
            <v>K</v>
          </cell>
          <cell r="F11" t="str">
            <v>PC Board Assembly</v>
          </cell>
          <cell r="H11">
            <v>0</v>
          </cell>
          <cell r="I11" t="str">
            <v>Buy</v>
          </cell>
          <cell r="J11">
            <v>0</v>
          </cell>
          <cell r="K11">
            <v>0</v>
          </cell>
          <cell r="L11">
            <v>16.309999999999999</v>
          </cell>
        </row>
        <row r="12">
          <cell r="A12" t="str">
            <v>APC-000364-00</v>
          </cell>
          <cell r="B12">
            <v>0</v>
          </cell>
          <cell r="C12" t="str">
            <v>APC-000364-00</v>
          </cell>
          <cell r="D12" t="str">
            <v>LED PCBA, TROV 2.0, L45, 1 FT, 2700K, 90CRI</v>
          </cell>
          <cell r="E12" t="str">
            <v>K</v>
          </cell>
          <cell r="F12" t="str">
            <v>PC Board Assembly</v>
          </cell>
          <cell r="H12">
            <v>16.309999999999999</v>
          </cell>
          <cell r="I12" t="str">
            <v>Buy</v>
          </cell>
          <cell r="J12">
            <v>9</v>
          </cell>
          <cell r="K12">
            <v>7</v>
          </cell>
          <cell r="L12">
            <v>16.309999999999999</v>
          </cell>
        </row>
        <row r="13">
          <cell r="A13" t="str">
            <v>APC-000364-01</v>
          </cell>
          <cell r="B13">
            <v>0</v>
          </cell>
          <cell r="C13" t="str">
            <v>APC-000364-01</v>
          </cell>
          <cell r="D13" t="str">
            <v>LED PCBA, TROV 2.0, L45, 1 FT, 3000K, 90CRI</v>
          </cell>
          <cell r="E13" t="str">
            <v>K</v>
          </cell>
          <cell r="F13" t="str">
            <v>PC Board Assembly</v>
          </cell>
          <cell r="H13">
            <v>11.01</v>
          </cell>
          <cell r="I13" t="str">
            <v>Buy</v>
          </cell>
          <cell r="J13">
            <v>33</v>
          </cell>
          <cell r="K13">
            <v>21</v>
          </cell>
          <cell r="L13">
            <v>11.01</v>
          </cell>
        </row>
        <row r="14">
          <cell r="A14" t="str">
            <v>APC-000364-02</v>
          </cell>
          <cell r="B14">
            <v>0</v>
          </cell>
          <cell r="C14" t="str">
            <v>APC-000364-02</v>
          </cell>
          <cell r="D14" t="str">
            <v>LED PCBA, TROV 2.0, L45, 1 FT, 3500K, 90CRI</v>
          </cell>
          <cell r="E14" t="str">
            <v>K</v>
          </cell>
          <cell r="F14" t="str">
            <v>PC Board Assembly</v>
          </cell>
          <cell r="H14">
            <v>19.600000000000001</v>
          </cell>
          <cell r="I14" t="str">
            <v>Buy</v>
          </cell>
          <cell r="J14">
            <v>254</v>
          </cell>
          <cell r="K14">
            <v>229</v>
          </cell>
          <cell r="L14">
            <v>19.600000000000001</v>
          </cell>
        </row>
        <row r="15">
          <cell r="A15" t="str">
            <v>APC-000364-03</v>
          </cell>
          <cell r="B15">
            <v>0</v>
          </cell>
          <cell r="C15" t="str">
            <v>APC-000364-03</v>
          </cell>
          <cell r="D15" t="str">
            <v>LED PCBA, TROV 2.0, L45, 1 FT, 4000K, 90CRI</v>
          </cell>
          <cell r="E15" t="str">
            <v>K</v>
          </cell>
          <cell r="F15" t="str">
            <v>PC Board Assembly</v>
          </cell>
          <cell r="H15">
            <v>11.01</v>
          </cell>
          <cell r="I15" t="str">
            <v>Buy</v>
          </cell>
          <cell r="J15">
            <v>103</v>
          </cell>
          <cell r="K15">
            <v>69</v>
          </cell>
          <cell r="L15">
            <v>11.01</v>
          </cell>
        </row>
        <row r="16">
          <cell r="A16" t="str">
            <v>APC-000365-00</v>
          </cell>
          <cell r="B16">
            <v>0</v>
          </cell>
          <cell r="C16" t="str">
            <v>APC-000365-00</v>
          </cell>
          <cell r="D16" t="str">
            <v>LED PCBA, TROV 2.0, L60, 1 FT, 2200K, 80CRI</v>
          </cell>
          <cell r="E16" t="str">
            <v>J</v>
          </cell>
          <cell r="F16" t="str">
            <v>PC Board Assembly</v>
          </cell>
          <cell r="H16">
            <v>13.08</v>
          </cell>
          <cell r="I16" t="str">
            <v>Buy</v>
          </cell>
          <cell r="J16">
            <v>0</v>
          </cell>
          <cell r="K16">
            <v>0</v>
          </cell>
          <cell r="L16">
            <v>13.08</v>
          </cell>
        </row>
        <row r="17">
          <cell r="A17" t="str">
            <v>APC-000365-01</v>
          </cell>
          <cell r="B17">
            <v>0</v>
          </cell>
          <cell r="C17" t="str">
            <v>APC-000365-01</v>
          </cell>
          <cell r="D17" t="str">
            <v>LED PCBA, TROV 2.0, L60, 1 FT, 2700K, 80CRI</v>
          </cell>
          <cell r="E17" t="str">
            <v>J</v>
          </cell>
          <cell r="F17" t="str">
            <v>PC Board Assembly</v>
          </cell>
          <cell r="H17">
            <v>12.99</v>
          </cell>
          <cell r="I17" t="str">
            <v>Buy</v>
          </cell>
          <cell r="J17">
            <v>224</v>
          </cell>
          <cell r="K17">
            <v>193</v>
          </cell>
          <cell r="L17">
            <v>12.99</v>
          </cell>
        </row>
        <row r="18">
          <cell r="A18" t="str">
            <v>APC-000365-02</v>
          </cell>
          <cell r="B18">
            <v>0</v>
          </cell>
          <cell r="C18" t="str">
            <v>APC-000365-02</v>
          </cell>
          <cell r="D18" t="str">
            <v>LED PCBA, TROV 2.0, L60, 1 FT, 3000K, 80CRI</v>
          </cell>
          <cell r="E18" t="str">
            <v>J</v>
          </cell>
          <cell r="F18" t="str">
            <v>PC Board Assembly</v>
          </cell>
          <cell r="H18">
            <v>9.6300000000000008</v>
          </cell>
          <cell r="I18" t="str">
            <v>Buy</v>
          </cell>
          <cell r="J18">
            <v>132</v>
          </cell>
          <cell r="K18">
            <v>91</v>
          </cell>
          <cell r="L18">
            <v>9.6300000000000008</v>
          </cell>
        </row>
        <row r="19">
          <cell r="A19" t="str">
            <v>APC-000365-03</v>
          </cell>
          <cell r="B19">
            <v>0</v>
          </cell>
          <cell r="C19" t="str">
            <v>APC-000365-03</v>
          </cell>
          <cell r="D19" t="str">
            <v>LED PCBA, TROV 2.0, L60, 1 FT, 3500K, 80CRI</v>
          </cell>
          <cell r="E19" t="str">
            <v>J</v>
          </cell>
          <cell r="F19" t="str">
            <v>PC Board Assembly</v>
          </cell>
          <cell r="H19">
            <v>9.6300000000000008</v>
          </cell>
          <cell r="I19" t="str">
            <v>Buy</v>
          </cell>
          <cell r="J19">
            <v>179</v>
          </cell>
          <cell r="K19">
            <v>130</v>
          </cell>
          <cell r="L19">
            <v>9.6300000000000008</v>
          </cell>
        </row>
        <row r="20">
          <cell r="A20" t="str">
            <v>APC-000365-04</v>
          </cell>
          <cell r="B20">
            <v>0</v>
          </cell>
          <cell r="C20" t="str">
            <v>APC-000365-04</v>
          </cell>
          <cell r="D20" t="str">
            <v>LED PCBA, TROV 2.0, L60, 1 FT, 4000K, 80CRI</v>
          </cell>
          <cell r="E20" t="str">
            <v>J</v>
          </cell>
          <cell r="F20" t="str">
            <v>PC Board Assembly</v>
          </cell>
          <cell r="H20">
            <v>11.61</v>
          </cell>
          <cell r="I20" t="str">
            <v>Buy</v>
          </cell>
          <cell r="J20">
            <v>36</v>
          </cell>
          <cell r="K20">
            <v>27</v>
          </cell>
          <cell r="L20">
            <v>11.61</v>
          </cell>
        </row>
        <row r="21">
          <cell r="A21" t="str">
            <v>APC-000365-05</v>
          </cell>
          <cell r="B21">
            <v>0</v>
          </cell>
          <cell r="C21" t="str">
            <v>APC-000365-05</v>
          </cell>
          <cell r="D21" t="str">
            <v>LED PCBA, TROV 2.0, L60, 1 FT, 5000K, 80CRI</v>
          </cell>
          <cell r="E21" t="str">
            <v>J</v>
          </cell>
          <cell r="F21" t="str">
            <v>PC Board Assembly</v>
          </cell>
          <cell r="H21">
            <v>0</v>
          </cell>
          <cell r="I21" t="str">
            <v>Buy</v>
          </cell>
          <cell r="J21">
            <v>0</v>
          </cell>
          <cell r="K21">
            <v>0</v>
          </cell>
          <cell r="L21">
            <v>11.01</v>
          </cell>
        </row>
        <row r="22">
          <cell r="A22" t="str">
            <v>APC-000365-06</v>
          </cell>
          <cell r="B22">
            <v>0</v>
          </cell>
          <cell r="C22" t="str">
            <v>APC-000365-06</v>
          </cell>
          <cell r="D22" t="str">
            <v>LED PCBA, TROV 2.0, L60, 1 FT, 6500K, 80CRI</v>
          </cell>
          <cell r="E22" t="str">
            <v>J</v>
          </cell>
          <cell r="F22" t="str">
            <v>PC Board Assembly</v>
          </cell>
          <cell r="H22">
            <v>0</v>
          </cell>
          <cell r="I22" t="str">
            <v>Buy</v>
          </cell>
          <cell r="J22">
            <v>0</v>
          </cell>
          <cell r="K22">
            <v>0</v>
          </cell>
          <cell r="L22">
            <v>16.309999999999999</v>
          </cell>
        </row>
        <row r="23">
          <cell r="A23" t="str">
            <v>APC-000366-00</v>
          </cell>
          <cell r="B23">
            <v>0</v>
          </cell>
          <cell r="C23" t="str">
            <v>APC-000366-00</v>
          </cell>
          <cell r="D23" t="str">
            <v>LED PCBA, TROV 2.0, L60, 1 FT, 2700K, 90CRI</v>
          </cell>
          <cell r="E23" t="str">
            <v>J</v>
          </cell>
          <cell r="F23" t="str">
            <v>PC Board Assembly</v>
          </cell>
          <cell r="H23">
            <v>13.43</v>
          </cell>
          <cell r="I23" t="str">
            <v>Buy</v>
          </cell>
          <cell r="J23">
            <v>49</v>
          </cell>
          <cell r="K23">
            <v>28</v>
          </cell>
          <cell r="L23">
            <v>13.43</v>
          </cell>
        </row>
        <row r="24">
          <cell r="A24" t="str">
            <v>APC-000366-01</v>
          </cell>
          <cell r="B24">
            <v>0</v>
          </cell>
          <cell r="C24" t="str">
            <v>APC-000366-01</v>
          </cell>
          <cell r="D24" t="str">
            <v>LED PCBA, TROV 2.0, L60, 1 FT, 3000K, 90CRI</v>
          </cell>
          <cell r="E24" t="str">
            <v>J</v>
          </cell>
          <cell r="F24" t="str">
            <v>PC Board Assembly</v>
          </cell>
          <cell r="H24">
            <v>13.43</v>
          </cell>
          <cell r="I24" t="str">
            <v>Buy</v>
          </cell>
          <cell r="J24">
            <v>341</v>
          </cell>
          <cell r="K24">
            <v>234</v>
          </cell>
          <cell r="L24">
            <v>13.43</v>
          </cell>
        </row>
        <row r="25">
          <cell r="A25" t="str">
            <v>APC-000366-02</v>
          </cell>
          <cell r="B25">
            <v>0</v>
          </cell>
          <cell r="C25" t="str">
            <v>APC-000366-02</v>
          </cell>
          <cell r="D25" t="str">
            <v>LED PCBA, TROV 2.0, L60, 1 FT, 3500K, 90CRI</v>
          </cell>
          <cell r="E25" t="str">
            <v>J</v>
          </cell>
          <cell r="F25" t="str">
            <v>PC Board Assembly</v>
          </cell>
          <cell r="H25">
            <v>13.43</v>
          </cell>
          <cell r="I25" t="str">
            <v>Buy</v>
          </cell>
          <cell r="J25">
            <v>23</v>
          </cell>
          <cell r="K25">
            <v>14</v>
          </cell>
          <cell r="L25">
            <v>13.43</v>
          </cell>
        </row>
        <row r="26">
          <cell r="A26" t="str">
            <v>APC-000366-03</v>
          </cell>
          <cell r="B26">
            <v>0</v>
          </cell>
          <cell r="C26" t="str">
            <v>APC-000366-03</v>
          </cell>
          <cell r="D26" t="str">
            <v>LED PCBA, TROV 2.0, L60, 1 FT, 4000K, 90CRI</v>
          </cell>
          <cell r="E26" t="str">
            <v>J</v>
          </cell>
          <cell r="F26" t="str">
            <v>PC Board Assembly</v>
          </cell>
          <cell r="H26">
            <v>13.43</v>
          </cell>
          <cell r="I26" t="str">
            <v>Buy</v>
          </cell>
          <cell r="J26">
            <v>498</v>
          </cell>
          <cell r="K26">
            <v>496</v>
          </cell>
          <cell r="L26">
            <v>13.43</v>
          </cell>
        </row>
        <row r="27">
          <cell r="A27" t="str">
            <v>APC-000367-00</v>
          </cell>
          <cell r="B27">
            <v>0</v>
          </cell>
          <cell r="C27" t="str">
            <v>APC-000367-00</v>
          </cell>
          <cell r="D27" t="str">
            <v>LED PCBA, TROV 2.0, L60, 1 FT, 2200K, 80CRI, NB</v>
          </cell>
          <cell r="E27" t="str">
            <v>K</v>
          </cell>
          <cell r="F27" t="str">
            <v>PC Board Assembly</v>
          </cell>
          <cell r="H27">
            <v>0</v>
          </cell>
          <cell r="I27" t="str">
            <v>Buy</v>
          </cell>
          <cell r="J27">
            <v>0</v>
          </cell>
          <cell r="K27">
            <v>0</v>
          </cell>
          <cell r="L27">
            <v>11.61</v>
          </cell>
        </row>
        <row r="28">
          <cell r="A28" t="str">
            <v>APC-000367-01</v>
          </cell>
          <cell r="B28">
            <v>0</v>
          </cell>
          <cell r="C28" t="str">
            <v>APC-000367-01</v>
          </cell>
          <cell r="D28" t="str">
            <v>LED PCBA, TROV 2.0, L60, 1 FT, 2700K, 80CRI, NB</v>
          </cell>
          <cell r="E28" t="str">
            <v>K</v>
          </cell>
          <cell r="F28" t="str">
            <v>PC Board Assembly</v>
          </cell>
          <cell r="H28">
            <v>11.61</v>
          </cell>
          <cell r="I28" t="str">
            <v>Buy</v>
          </cell>
          <cell r="J28">
            <v>1</v>
          </cell>
          <cell r="K28">
            <v>0</v>
          </cell>
          <cell r="L28">
            <v>11.61</v>
          </cell>
        </row>
        <row r="29">
          <cell r="A29" t="str">
            <v>APC-000367-02</v>
          </cell>
          <cell r="B29">
            <v>0</v>
          </cell>
          <cell r="C29" t="str">
            <v>APC-000367-02</v>
          </cell>
          <cell r="D29" t="str">
            <v>LED PCBA, TROV 2.0, L60, 1 FT, 3000K, 80CRI, NB</v>
          </cell>
          <cell r="E29" t="str">
            <v>K</v>
          </cell>
          <cell r="F29" t="str">
            <v>PC Board Assembly</v>
          </cell>
          <cell r="H29">
            <v>11.61</v>
          </cell>
          <cell r="I29" t="str">
            <v>Buy</v>
          </cell>
          <cell r="J29">
            <v>67</v>
          </cell>
          <cell r="K29">
            <v>59</v>
          </cell>
          <cell r="L29">
            <v>11.61</v>
          </cell>
        </row>
        <row r="30">
          <cell r="A30" t="str">
            <v>APC-000367-03</v>
          </cell>
          <cell r="B30">
            <v>0</v>
          </cell>
          <cell r="C30" t="str">
            <v>APC-000367-03</v>
          </cell>
          <cell r="D30" t="str">
            <v>LED PCBA, TROV 2.0, L60, 1 FT, 3500K, 80CRI, NB</v>
          </cell>
          <cell r="E30" t="str">
            <v>K</v>
          </cell>
          <cell r="F30" t="str">
            <v>PC Board Assembly</v>
          </cell>
          <cell r="H30">
            <v>19.93</v>
          </cell>
          <cell r="I30" t="str">
            <v>Buy</v>
          </cell>
          <cell r="J30">
            <v>58</v>
          </cell>
          <cell r="K30">
            <v>35</v>
          </cell>
          <cell r="L30">
            <v>19.93</v>
          </cell>
        </row>
        <row r="31">
          <cell r="A31" t="str">
            <v>APC-000367-04</v>
          </cell>
          <cell r="B31">
            <v>0</v>
          </cell>
          <cell r="C31" t="str">
            <v>APC-000367-04</v>
          </cell>
          <cell r="D31" t="str">
            <v>LED PCBA, TROV 2.0, L60, 1 FT, 4000K, 80CRI, NB</v>
          </cell>
          <cell r="E31" t="str">
            <v>K</v>
          </cell>
          <cell r="F31" t="str">
            <v>PC Board Assembly</v>
          </cell>
          <cell r="H31">
            <v>11.61</v>
          </cell>
          <cell r="I31" t="str">
            <v>Buy</v>
          </cell>
          <cell r="J31">
            <v>33</v>
          </cell>
          <cell r="K31">
            <v>21</v>
          </cell>
          <cell r="L31">
            <v>11.61</v>
          </cell>
        </row>
        <row r="32">
          <cell r="A32" t="str">
            <v>APC-000367-05</v>
          </cell>
          <cell r="B32">
            <v>0</v>
          </cell>
          <cell r="C32" t="str">
            <v>APC-000367-05</v>
          </cell>
          <cell r="D32" t="str">
            <v>LED PCBA, TROV 2.0, L60, 1 FT, 5000K, 80CRI, NB</v>
          </cell>
          <cell r="E32" t="str">
            <v>K</v>
          </cell>
          <cell r="F32" t="str">
            <v>PC Board Assembly</v>
          </cell>
          <cell r="H32">
            <v>0</v>
          </cell>
          <cell r="I32" t="str">
            <v>Buy</v>
          </cell>
          <cell r="J32">
            <v>0</v>
          </cell>
          <cell r="K32">
            <v>0</v>
          </cell>
          <cell r="L32">
            <v>11.61</v>
          </cell>
        </row>
        <row r="33">
          <cell r="A33" t="str">
            <v>APC-000367-06</v>
          </cell>
          <cell r="B33">
            <v>0</v>
          </cell>
          <cell r="C33" t="str">
            <v>APC-000367-06</v>
          </cell>
          <cell r="D33" t="str">
            <v>LED PCBA, TROV 2.0, L60, 1 FT, 6500K, 80CRI, NB</v>
          </cell>
          <cell r="E33" t="str">
            <v>K</v>
          </cell>
          <cell r="F33" t="str">
            <v>PC Board Assembly</v>
          </cell>
          <cell r="H33">
            <v>0</v>
          </cell>
          <cell r="I33" t="str">
            <v>Buy</v>
          </cell>
          <cell r="J33">
            <v>0</v>
          </cell>
          <cell r="K33">
            <v>0</v>
          </cell>
          <cell r="L33">
            <v>11.61</v>
          </cell>
        </row>
        <row r="34">
          <cell r="A34" t="str">
            <v>APC-000368-00</v>
          </cell>
          <cell r="B34">
            <v>0</v>
          </cell>
          <cell r="C34" t="str">
            <v>APC-000368-00</v>
          </cell>
          <cell r="D34" t="str">
            <v>LED PCBA, TROV 2.0, L60, 1 FT, 2700K, 90CRI, NB</v>
          </cell>
          <cell r="E34" t="str">
            <v>K</v>
          </cell>
          <cell r="F34" t="str">
            <v>PC Board Assembly</v>
          </cell>
          <cell r="H34">
            <v>20.07</v>
          </cell>
          <cell r="I34" t="str">
            <v>Buy</v>
          </cell>
          <cell r="J34">
            <v>62</v>
          </cell>
          <cell r="K34">
            <v>35</v>
          </cell>
          <cell r="L34">
            <v>20.07</v>
          </cell>
        </row>
        <row r="35">
          <cell r="A35" t="str">
            <v>APC-000368-01</v>
          </cell>
          <cell r="B35">
            <v>0</v>
          </cell>
          <cell r="C35" t="str">
            <v>APC-000368-01</v>
          </cell>
          <cell r="D35" t="str">
            <v>LED PCBA, TROV 2.0, L60, 1 FT, 3000K, 90CRI, NB</v>
          </cell>
          <cell r="E35" t="str">
            <v>K</v>
          </cell>
          <cell r="F35" t="str">
            <v>PC Board Assembly</v>
          </cell>
          <cell r="H35">
            <v>11.71</v>
          </cell>
          <cell r="I35" t="str">
            <v>Buy</v>
          </cell>
          <cell r="J35">
            <v>155</v>
          </cell>
          <cell r="K35">
            <v>98</v>
          </cell>
          <cell r="L35">
            <v>11.71</v>
          </cell>
        </row>
        <row r="36">
          <cell r="A36" t="str">
            <v>APC-000368-02</v>
          </cell>
          <cell r="B36">
            <v>0</v>
          </cell>
          <cell r="C36" t="str">
            <v>APC-000368-02</v>
          </cell>
          <cell r="D36" t="str">
            <v>LED PCBA, TROV 2.0, L60, 1 FT, 3500K, 90CRI, NB</v>
          </cell>
          <cell r="E36" t="str">
            <v>K</v>
          </cell>
          <cell r="F36" t="str">
            <v>PC Board Assembly</v>
          </cell>
          <cell r="H36">
            <v>11.71</v>
          </cell>
          <cell r="I36" t="str">
            <v>Buy</v>
          </cell>
          <cell r="J36">
            <v>28</v>
          </cell>
          <cell r="K36">
            <v>28</v>
          </cell>
          <cell r="L36">
            <v>11.71</v>
          </cell>
        </row>
        <row r="37">
          <cell r="A37" t="str">
            <v>APC-000368-03</v>
          </cell>
          <cell r="B37">
            <v>0</v>
          </cell>
          <cell r="C37" t="str">
            <v>APC-000368-03</v>
          </cell>
          <cell r="D37" t="str">
            <v>LED PCBA, TROV 2.0, L60, 1 FT, 4000K, 90CRI, NB</v>
          </cell>
          <cell r="E37" t="str">
            <v>K</v>
          </cell>
          <cell r="F37" t="str">
            <v>PC Board Assembly</v>
          </cell>
          <cell r="H37">
            <v>14.55</v>
          </cell>
          <cell r="I37" t="str">
            <v>Buy</v>
          </cell>
          <cell r="J37">
            <v>1</v>
          </cell>
          <cell r="K37">
            <v>0</v>
          </cell>
          <cell r="L37">
            <v>14.55</v>
          </cell>
        </row>
        <row r="38">
          <cell r="A38" t="str">
            <v>APC-000373-00</v>
          </cell>
          <cell r="B38">
            <v>0</v>
          </cell>
          <cell r="C38" t="str">
            <v>APC-000373-00</v>
          </cell>
          <cell r="D38" t="str">
            <v>LED PCBA, TROV 2.0, L45, 2 FT, 2200K, 80CRI</v>
          </cell>
          <cell r="E38" t="str">
            <v>L</v>
          </cell>
          <cell r="F38" t="str">
            <v>PC Board Assembly</v>
          </cell>
          <cell r="H38">
            <v>27.32</v>
          </cell>
          <cell r="I38" t="str">
            <v>Buy</v>
          </cell>
          <cell r="J38">
            <v>0</v>
          </cell>
          <cell r="K38">
            <v>0</v>
          </cell>
          <cell r="L38">
            <v>27.32</v>
          </cell>
        </row>
        <row r="39">
          <cell r="A39" t="str">
            <v>APC-000373-01</v>
          </cell>
          <cell r="B39">
            <v>0</v>
          </cell>
          <cell r="C39" t="str">
            <v>APC-000373-01</v>
          </cell>
          <cell r="D39" t="str">
            <v>LED PCBA, TROV 2.0, L45, 2 FT, 2700K, 80CRI</v>
          </cell>
          <cell r="E39" t="str">
            <v>L</v>
          </cell>
          <cell r="F39" t="str">
            <v>PC Board Assembly</v>
          </cell>
          <cell r="H39">
            <v>0</v>
          </cell>
          <cell r="I39" t="str">
            <v>Buy</v>
          </cell>
          <cell r="J39">
            <v>28</v>
          </cell>
          <cell r="K39">
            <v>28</v>
          </cell>
          <cell r="L39">
            <v>25.18</v>
          </cell>
        </row>
        <row r="40">
          <cell r="A40" t="str">
            <v>APC-000373-02</v>
          </cell>
          <cell r="B40">
            <v>0</v>
          </cell>
          <cell r="C40" t="str">
            <v>APC-000373-02</v>
          </cell>
          <cell r="D40" t="str">
            <v>LED PCBA, TROV 2.0, L45, 2 FT, 3000K, 80CRI</v>
          </cell>
          <cell r="E40" t="str">
            <v>L</v>
          </cell>
          <cell r="F40" t="str">
            <v>PC Board Assembly</v>
          </cell>
          <cell r="H40">
            <v>25.18</v>
          </cell>
          <cell r="I40" t="str">
            <v>Buy</v>
          </cell>
          <cell r="J40">
            <v>467</v>
          </cell>
          <cell r="K40">
            <v>273</v>
          </cell>
          <cell r="L40">
            <v>25.18</v>
          </cell>
        </row>
        <row r="41">
          <cell r="A41" t="str">
            <v>APC-000373-03</v>
          </cell>
          <cell r="B41">
            <v>0</v>
          </cell>
          <cell r="C41" t="str">
            <v>APC-000373-03</v>
          </cell>
          <cell r="D41" t="str">
            <v>LED PCBA, TROV 2.0, L45, 2 FT, 3500K, 80CRI</v>
          </cell>
          <cell r="E41" t="str">
            <v>L</v>
          </cell>
          <cell r="F41" t="str">
            <v>PC Board Assembly</v>
          </cell>
          <cell r="H41">
            <v>13.51</v>
          </cell>
          <cell r="I41" t="str">
            <v>Buy</v>
          </cell>
          <cell r="J41">
            <v>220</v>
          </cell>
          <cell r="K41">
            <v>218</v>
          </cell>
          <cell r="L41">
            <v>13.51</v>
          </cell>
        </row>
        <row r="42">
          <cell r="A42" t="str">
            <v>APC-000373-04</v>
          </cell>
          <cell r="B42">
            <v>0</v>
          </cell>
          <cell r="C42" t="str">
            <v>APC-000373-04</v>
          </cell>
          <cell r="D42" t="str">
            <v>LED PCBA, TROV 2.0, L45, 2 FT, 4000K, 80CRI</v>
          </cell>
          <cell r="E42" t="str">
            <v>L</v>
          </cell>
          <cell r="F42" t="str">
            <v>PC Board Assembly</v>
          </cell>
          <cell r="H42">
            <v>26.84</v>
          </cell>
          <cell r="I42" t="str">
            <v>Buy</v>
          </cell>
          <cell r="J42">
            <v>358</v>
          </cell>
          <cell r="K42">
            <v>56</v>
          </cell>
          <cell r="L42">
            <v>26.84</v>
          </cell>
        </row>
        <row r="43">
          <cell r="A43" t="str">
            <v>APC-000373-05</v>
          </cell>
          <cell r="B43">
            <v>0</v>
          </cell>
          <cell r="C43" t="str">
            <v>APC-000373-05</v>
          </cell>
          <cell r="D43" t="str">
            <v>LED PCBA, TROV 2.0, L45, 2 FT, 5000K, 80CRI</v>
          </cell>
          <cell r="E43" t="str">
            <v>L</v>
          </cell>
          <cell r="F43" t="str">
            <v>PC Board Assembly</v>
          </cell>
          <cell r="H43">
            <v>0</v>
          </cell>
          <cell r="I43" t="str">
            <v>Buy</v>
          </cell>
          <cell r="J43">
            <v>0</v>
          </cell>
          <cell r="K43">
            <v>0</v>
          </cell>
          <cell r="L43">
            <v>26.84</v>
          </cell>
        </row>
        <row r="44">
          <cell r="A44" t="str">
            <v>APC-000373-06</v>
          </cell>
          <cell r="B44">
            <v>0</v>
          </cell>
          <cell r="C44" t="str">
            <v>APC-000373-06</v>
          </cell>
          <cell r="D44" t="str">
            <v>LED PCBA, TROV 2.0, L45, 2 FT, 6500K, 80CRI</v>
          </cell>
          <cell r="E44" t="str">
            <v>L</v>
          </cell>
          <cell r="F44" t="str">
            <v>PC Board Assembly</v>
          </cell>
          <cell r="H44">
            <v>20.12</v>
          </cell>
          <cell r="I44" t="str">
            <v>Buy</v>
          </cell>
          <cell r="J44">
            <v>0</v>
          </cell>
          <cell r="K44">
            <v>0</v>
          </cell>
          <cell r="L44">
            <v>20.12</v>
          </cell>
        </row>
        <row r="45">
          <cell r="A45" t="str">
            <v>APC-000374-00</v>
          </cell>
          <cell r="B45">
            <v>0</v>
          </cell>
          <cell r="C45" t="str">
            <v>APC-000374-00</v>
          </cell>
          <cell r="D45" t="str">
            <v>LED PCBA, TROV 2.0, L45, 2 FT, 2700K, 90CRI</v>
          </cell>
          <cell r="E45" t="str">
            <v>L</v>
          </cell>
          <cell r="F45" t="str">
            <v>PC Board Assembly</v>
          </cell>
          <cell r="H45">
            <v>26.84</v>
          </cell>
          <cell r="I45" t="str">
            <v>Buy</v>
          </cell>
          <cell r="J45">
            <v>60</v>
          </cell>
          <cell r="K45">
            <v>48</v>
          </cell>
          <cell r="L45">
            <v>26.84</v>
          </cell>
        </row>
        <row r="46">
          <cell r="A46" t="str">
            <v>APC-000374-01</v>
          </cell>
          <cell r="B46">
            <v>0</v>
          </cell>
          <cell r="C46" t="str">
            <v>APC-000374-01</v>
          </cell>
          <cell r="D46" t="str">
            <v>LED PCBA, TROV 2.0, L45, 2 FT, 3000K, 90CRI</v>
          </cell>
          <cell r="E46" t="str">
            <v>L</v>
          </cell>
          <cell r="F46" t="str">
            <v>PC Board Assembly</v>
          </cell>
          <cell r="H46">
            <v>13.51</v>
          </cell>
          <cell r="I46" t="str">
            <v>Buy</v>
          </cell>
          <cell r="J46">
            <v>854</v>
          </cell>
          <cell r="K46">
            <v>670</v>
          </cell>
          <cell r="L46">
            <v>13.51</v>
          </cell>
        </row>
        <row r="47">
          <cell r="A47" t="str">
            <v>APC-000374-02</v>
          </cell>
          <cell r="B47">
            <v>0</v>
          </cell>
          <cell r="C47" t="str">
            <v>APC-000374-02</v>
          </cell>
          <cell r="D47" t="str">
            <v>LED PCBA, TROV 2.0, L45, 2 FT, 3500K, 90CRI</v>
          </cell>
          <cell r="E47" t="str">
            <v>L</v>
          </cell>
          <cell r="F47" t="str">
            <v>PC Board Assembly</v>
          </cell>
          <cell r="H47">
            <v>13.51</v>
          </cell>
          <cell r="I47" t="str">
            <v>Buy</v>
          </cell>
          <cell r="J47">
            <v>216</v>
          </cell>
          <cell r="K47">
            <v>146</v>
          </cell>
          <cell r="L47">
            <v>13.51</v>
          </cell>
        </row>
        <row r="48">
          <cell r="A48" t="str">
            <v>APC-000374-03</v>
          </cell>
          <cell r="B48">
            <v>0</v>
          </cell>
          <cell r="C48" t="str">
            <v>APC-000374-03</v>
          </cell>
          <cell r="D48" t="str">
            <v>LED PCBA, TROV 2.0, L45, 2 FT, 4000K, 90CRI</v>
          </cell>
          <cell r="E48" t="str">
            <v>L</v>
          </cell>
          <cell r="F48" t="str">
            <v>PC Board Assembly</v>
          </cell>
          <cell r="H48">
            <v>26.84</v>
          </cell>
          <cell r="I48" t="str">
            <v>Buy</v>
          </cell>
          <cell r="J48">
            <v>135</v>
          </cell>
          <cell r="K48">
            <v>77</v>
          </cell>
          <cell r="L48">
            <v>26.84</v>
          </cell>
        </row>
        <row r="49">
          <cell r="A49" t="str">
            <v>APC-000375-00</v>
          </cell>
          <cell r="B49">
            <v>0</v>
          </cell>
          <cell r="C49" t="str">
            <v>APC-000375-00</v>
          </cell>
          <cell r="D49" t="str">
            <v>LED PCBA, TROV 2.0, L60, 2 FT, 2200K, 80CRI</v>
          </cell>
          <cell r="E49" t="str">
            <v>K</v>
          </cell>
          <cell r="F49" t="str">
            <v>PC Board Assembly</v>
          </cell>
          <cell r="H49">
            <v>17.649999999999999</v>
          </cell>
          <cell r="I49" t="str">
            <v>Buy</v>
          </cell>
          <cell r="J49">
            <v>0</v>
          </cell>
          <cell r="K49">
            <v>0</v>
          </cell>
          <cell r="L49">
            <v>17.649999999999999</v>
          </cell>
        </row>
        <row r="50">
          <cell r="A50" t="str">
            <v>APC-000375-01</v>
          </cell>
          <cell r="B50">
            <v>0</v>
          </cell>
          <cell r="C50" t="str">
            <v>APC-000375-01</v>
          </cell>
          <cell r="D50" t="str">
            <v>LED PCBA, TROV 2.0, L60, 2 FT, 2700K, 80CRI</v>
          </cell>
          <cell r="E50" t="str">
            <v>K</v>
          </cell>
          <cell r="F50" t="str">
            <v>PC Board Assembly</v>
          </cell>
          <cell r="H50">
            <v>17.649999999999999</v>
          </cell>
          <cell r="I50" t="str">
            <v>Buy</v>
          </cell>
          <cell r="J50">
            <v>804</v>
          </cell>
          <cell r="K50">
            <v>612</v>
          </cell>
          <cell r="L50">
            <v>17.649999999999999</v>
          </cell>
        </row>
        <row r="51">
          <cell r="A51" t="str">
            <v>APC-000375-02</v>
          </cell>
          <cell r="B51">
            <v>0</v>
          </cell>
          <cell r="C51" t="str">
            <v>APC-000375-02</v>
          </cell>
          <cell r="D51" t="str">
            <v>LED PCBA, TROV 2.0, L60, 2 FT, 3000K, 80CRI</v>
          </cell>
          <cell r="E51" t="str">
            <v>K</v>
          </cell>
          <cell r="F51" t="str">
            <v>PC Board Assembly</v>
          </cell>
          <cell r="H51">
            <v>17.649999999999999</v>
          </cell>
          <cell r="I51" t="str">
            <v>Buy</v>
          </cell>
          <cell r="J51">
            <v>1090</v>
          </cell>
          <cell r="K51">
            <v>720</v>
          </cell>
          <cell r="L51">
            <v>17.649999999999999</v>
          </cell>
        </row>
        <row r="52">
          <cell r="A52" t="str">
            <v>APC-000375-03</v>
          </cell>
          <cell r="B52">
            <v>0</v>
          </cell>
          <cell r="C52" t="str">
            <v>APC-000375-03</v>
          </cell>
          <cell r="D52" t="str">
            <v>LED PCBA, TROV 2.0, L60, 2 FT, 3500K, 80CRI</v>
          </cell>
          <cell r="E52" t="str">
            <v>K</v>
          </cell>
          <cell r="F52" t="str">
            <v>PC Board Assembly</v>
          </cell>
          <cell r="H52">
            <v>17.649999999999999</v>
          </cell>
          <cell r="I52" t="str">
            <v>Buy</v>
          </cell>
          <cell r="J52">
            <v>243</v>
          </cell>
          <cell r="K52">
            <v>207</v>
          </cell>
          <cell r="L52">
            <v>17.649999999999999</v>
          </cell>
        </row>
        <row r="53">
          <cell r="A53" t="str">
            <v>APC-000375-04</v>
          </cell>
          <cell r="B53">
            <v>0</v>
          </cell>
          <cell r="C53" t="str">
            <v>APC-000375-04</v>
          </cell>
          <cell r="D53" t="str">
            <v>LED PCBA, TROV 2.0, L60, 2 FT, 4000K, 80CRI</v>
          </cell>
          <cell r="E53" t="str">
            <v>K</v>
          </cell>
          <cell r="F53" t="str">
            <v>PC Board Assembly</v>
          </cell>
          <cell r="H53">
            <v>17.649999999999999</v>
          </cell>
          <cell r="I53" t="str">
            <v>Buy</v>
          </cell>
          <cell r="J53">
            <v>636</v>
          </cell>
          <cell r="K53">
            <v>510</v>
          </cell>
          <cell r="L53">
            <v>17.649999999999999</v>
          </cell>
        </row>
        <row r="54">
          <cell r="A54" t="str">
            <v>APC-000375-05</v>
          </cell>
          <cell r="B54">
            <v>0</v>
          </cell>
          <cell r="C54" t="str">
            <v>APC-000375-05</v>
          </cell>
          <cell r="D54" t="str">
            <v>LED PCBA, TROV 2.0, L60, 2 FT, 5000K, 80CRI</v>
          </cell>
          <cell r="E54" t="str">
            <v>K</v>
          </cell>
          <cell r="F54" t="str">
            <v>PC Board Assembly</v>
          </cell>
          <cell r="H54">
            <v>37.840000000000003</v>
          </cell>
          <cell r="I54" t="str">
            <v>Buy</v>
          </cell>
          <cell r="J54">
            <v>0</v>
          </cell>
          <cell r="K54">
            <v>0</v>
          </cell>
          <cell r="L54">
            <v>37.840000000000003</v>
          </cell>
        </row>
        <row r="55">
          <cell r="A55" t="str">
            <v>APC-000375-06</v>
          </cell>
          <cell r="B55">
            <v>0</v>
          </cell>
          <cell r="C55" t="str">
            <v>APC-000375-06</v>
          </cell>
          <cell r="D55" t="str">
            <v>LED PCBA, TROV 2.0, L60, 2 FT, 6500K, 80CRI</v>
          </cell>
          <cell r="E55" t="str">
            <v>K</v>
          </cell>
          <cell r="F55" t="str">
            <v>PC Board Assembly</v>
          </cell>
          <cell r="H55">
            <v>29.77</v>
          </cell>
          <cell r="I55" t="str">
            <v>Buy</v>
          </cell>
          <cell r="J55">
            <v>0</v>
          </cell>
          <cell r="K55">
            <v>0</v>
          </cell>
          <cell r="L55">
            <v>29.77</v>
          </cell>
        </row>
        <row r="56">
          <cell r="A56" t="str">
            <v>APC-000376-00</v>
          </cell>
          <cell r="B56">
            <v>0</v>
          </cell>
          <cell r="C56" t="str">
            <v>APC-000376-00</v>
          </cell>
          <cell r="D56" t="str">
            <v>LED PCBA, TROV 2.0, L60, 2 FT, 2700K, 90CRI</v>
          </cell>
          <cell r="E56" t="str">
            <v>K</v>
          </cell>
          <cell r="F56" t="str">
            <v>PC Board Assembly</v>
          </cell>
          <cell r="H56">
            <v>18.350000000000001</v>
          </cell>
          <cell r="I56" t="str">
            <v>Buy</v>
          </cell>
          <cell r="J56">
            <v>251</v>
          </cell>
          <cell r="K56">
            <v>167</v>
          </cell>
          <cell r="L56">
            <v>18.350000000000001</v>
          </cell>
        </row>
        <row r="57">
          <cell r="A57" t="str">
            <v>APC-000376-01</v>
          </cell>
          <cell r="B57">
            <v>0</v>
          </cell>
          <cell r="C57" t="str">
            <v>APC-000376-01</v>
          </cell>
          <cell r="D57" t="str">
            <v>LED PCBA, TROV 2.0, L60, 2 FT, 3000K, 90CRI</v>
          </cell>
          <cell r="E57" t="str">
            <v>K</v>
          </cell>
          <cell r="F57" t="str">
            <v>PC Board Assembly</v>
          </cell>
          <cell r="H57">
            <v>18.350000000000001</v>
          </cell>
          <cell r="I57" t="str">
            <v>Buy</v>
          </cell>
          <cell r="J57">
            <v>921</v>
          </cell>
          <cell r="K57">
            <v>685</v>
          </cell>
          <cell r="L57">
            <v>18.350000000000001</v>
          </cell>
        </row>
        <row r="58">
          <cell r="A58" t="str">
            <v>APC-000376-02</v>
          </cell>
          <cell r="B58">
            <v>0</v>
          </cell>
          <cell r="C58" t="str">
            <v>APC-000376-02</v>
          </cell>
          <cell r="D58" t="str">
            <v>LED PCBA, TROV 2.0, L60, 2 FT, 3500K, 90CRI</v>
          </cell>
          <cell r="E58" t="str">
            <v>K</v>
          </cell>
          <cell r="F58" t="str">
            <v>PC Board Assembly</v>
          </cell>
          <cell r="H58">
            <v>18.350000000000001</v>
          </cell>
          <cell r="I58" t="str">
            <v>Buy</v>
          </cell>
          <cell r="J58">
            <v>57</v>
          </cell>
          <cell r="K58">
            <v>35</v>
          </cell>
          <cell r="L58">
            <v>18.350000000000001</v>
          </cell>
        </row>
        <row r="59">
          <cell r="A59" t="str">
            <v>APC-000376-03</v>
          </cell>
          <cell r="B59">
            <v>0</v>
          </cell>
          <cell r="C59" t="str">
            <v>APC-000376-03</v>
          </cell>
          <cell r="D59" t="str">
            <v>LED PCBA, TROV 2.0, L60, 2 FT, 4000K, 90CRI</v>
          </cell>
          <cell r="E59" t="str">
            <v>K</v>
          </cell>
          <cell r="F59" t="str">
            <v>PC Board Assembly</v>
          </cell>
          <cell r="H59">
            <v>32.22</v>
          </cell>
          <cell r="I59" t="str">
            <v>Buy</v>
          </cell>
          <cell r="J59">
            <v>201</v>
          </cell>
          <cell r="K59">
            <v>153</v>
          </cell>
          <cell r="L59">
            <v>32.22</v>
          </cell>
        </row>
        <row r="60">
          <cell r="A60" t="str">
            <v>APC-000377-00</v>
          </cell>
          <cell r="B60">
            <v>0</v>
          </cell>
          <cell r="C60" t="str">
            <v>APC-000377-00</v>
          </cell>
          <cell r="D60" t="str">
            <v>LED PCBA, TROV 2.0, L60, 2 FT, 2200K, 80CRI, NB</v>
          </cell>
          <cell r="E60" t="str">
            <v>K</v>
          </cell>
          <cell r="F60" t="str">
            <v>PC Board Assembly</v>
          </cell>
          <cell r="H60">
            <v>0</v>
          </cell>
          <cell r="I60" t="str">
            <v>Buy</v>
          </cell>
          <cell r="J60">
            <v>0</v>
          </cell>
          <cell r="K60">
            <v>0</v>
          </cell>
          <cell r="L60">
            <v>14.79</v>
          </cell>
        </row>
        <row r="61">
          <cell r="A61" t="str">
            <v>APC-000377-01</v>
          </cell>
          <cell r="B61">
            <v>0</v>
          </cell>
          <cell r="C61" t="str">
            <v>APC-000377-01</v>
          </cell>
          <cell r="D61" t="str">
            <v>LED PCBA, TROV 2.0, L60, 2 FT, 2700K, 80CRI, NB</v>
          </cell>
          <cell r="E61" t="str">
            <v>K</v>
          </cell>
          <cell r="F61" t="str">
            <v>PC Board Assembly</v>
          </cell>
          <cell r="H61">
            <v>0.01</v>
          </cell>
          <cell r="I61" t="str">
            <v>Buy</v>
          </cell>
          <cell r="J61">
            <v>42</v>
          </cell>
          <cell r="K61">
            <v>42</v>
          </cell>
          <cell r="L61">
            <v>14.79</v>
          </cell>
        </row>
        <row r="62">
          <cell r="A62" t="str">
            <v>APC-000377-02</v>
          </cell>
          <cell r="B62">
            <v>0</v>
          </cell>
          <cell r="C62" t="str">
            <v>APC-000377-02</v>
          </cell>
          <cell r="D62" t="str">
            <v>LED PCBA, TROV 2.0, L60, 2 FT, 3000K, 80CRI, NB</v>
          </cell>
          <cell r="E62" t="str">
            <v>K</v>
          </cell>
          <cell r="F62" t="str">
            <v>PC Board Assembly</v>
          </cell>
          <cell r="H62">
            <v>14.79</v>
          </cell>
          <cell r="I62" t="str">
            <v>Buy</v>
          </cell>
          <cell r="J62">
            <v>46</v>
          </cell>
          <cell r="K62">
            <v>34</v>
          </cell>
          <cell r="L62">
            <v>14.79</v>
          </cell>
        </row>
        <row r="63">
          <cell r="A63" t="str">
            <v>APC-000377-03</v>
          </cell>
          <cell r="B63">
            <v>0</v>
          </cell>
          <cell r="C63" t="str">
            <v>APC-000377-03</v>
          </cell>
          <cell r="D63" t="str">
            <v>LED PCBA, TROV 2.0, L60, 2 FT, 3500K, 80CRI, NB</v>
          </cell>
          <cell r="E63" t="str">
            <v>K</v>
          </cell>
          <cell r="F63" t="str">
            <v>PC Board Assembly</v>
          </cell>
          <cell r="H63">
            <v>14.79</v>
          </cell>
          <cell r="I63" t="str">
            <v>Buy</v>
          </cell>
          <cell r="J63">
            <v>100</v>
          </cell>
          <cell r="K63">
            <v>56</v>
          </cell>
          <cell r="L63">
            <v>14.79</v>
          </cell>
        </row>
        <row r="64">
          <cell r="A64" t="str">
            <v>APC-000377-04</v>
          </cell>
          <cell r="B64">
            <v>0</v>
          </cell>
          <cell r="C64" t="str">
            <v>APC-000377-04</v>
          </cell>
          <cell r="D64" t="str">
            <v>LED PCBA, TROV 2.0, L60, 2 FT, 4000K, 80CRI, NB</v>
          </cell>
          <cell r="E64" t="str">
            <v>K</v>
          </cell>
          <cell r="F64" t="str">
            <v>PC Board Assembly</v>
          </cell>
          <cell r="H64">
            <v>14.79</v>
          </cell>
          <cell r="I64" t="str">
            <v>Buy</v>
          </cell>
          <cell r="J64">
            <v>263</v>
          </cell>
          <cell r="K64">
            <v>171</v>
          </cell>
          <cell r="L64">
            <v>14.79</v>
          </cell>
        </row>
        <row r="65">
          <cell r="A65" t="str">
            <v>APC-000377-05</v>
          </cell>
          <cell r="B65">
            <v>0</v>
          </cell>
          <cell r="C65" t="str">
            <v>APC-000377-05</v>
          </cell>
          <cell r="D65" t="str">
            <v>LED PCBA, TROV 2.0, L60, 2 FT, 5000K, 80CRI, NB</v>
          </cell>
          <cell r="E65" t="str">
            <v>K</v>
          </cell>
          <cell r="F65" t="str">
            <v>PC Board Assembly</v>
          </cell>
          <cell r="H65">
            <v>0</v>
          </cell>
          <cell r="I65" t="str">
            <v>Buy</v>
          </cell>
          <cell r="J65">
            <v>0</v>
          </cell>
          <cell r="K65">
            <v>0</v>
          </cell>
          <cell r="L65">
            <v>14.79</v>
          </cell>
        </row>
        <row r="66">
          <cell r="A66" t="str">
            <v>APC-000377-06</v>
          </cell>
          <cell r="B66">
            <v>0</v>
          </cell>
          <cell r="C66" t="str">
            <v>APC-000377-06</v>
          </cell>
          <cell r="D66" t="str">
            <v>LED PCBA, TROV 2.0, L60, 2 FT, 6500K, 80CRI, NB</v>
          </cell>
          <cell r="E66" t="str">
            <v>K</v>
          </cell>
          <cell r="F66" t="str">
            <v>PC Board Assembly</v>
          </cell>
          <cell r="H66">
            <v>14.79</v>
          </cell>
          <cell r="I66" t="str">
            <v>Buy</v>
          </cell>
          <cell r="J66">
            <v>2</v>
          </cell>
          <cell r="K66">
            <v>0</v>
          </cell>
          <cell r="L66">
            <v>14.79</v>
          </cell>
        </row>
        <row r="67">
          <cell r="A67" t="str">
            <v>APC-000378-00</v>
          </cell>
          <cell r="B67">
            <v>0</v>
          </cell>
          <cell r="C67" t="str">
            <v>APC-000378-00</v>
          </cell>
          <cell r="D67" t="str">
            <v>LED PCBA, TROV 2.0, L60, 2 FT, 2700K, 90CRI, NB</v>
          </cell>
          <cell r="E67" t="str">
            <v>K</v>
          </cell>
          <cell r="F67" t="str">
            <v>PC Board Assembly</v>
          </cell>
          <cell r="H67">
            <v>14.98</v>
          </cell>
          <cell r="I67" t="str">
            <v>Buy</v>
          </cell>
          <cell r="J67">
            <v>604</v>
          </cell>
          <cell r="K67">
            <v>350</v>
          </cell>
          <cell r="L67">
            <v>14.98</v>
          </cell>
        </row>
        <row r="68">
          <cell r="A68" t="str">
            <v>APC-000378-01</v>
          </cell>
          <cell r="B68">
            <v>0</v>
          </cell>
          <cell r="C68" t="str">
            <v>APC-000378-01</v>
          </cell>
          <cell r="D68" t="str">
            <v>LED PCBA, TROV 2.0, L60, 2 FT, 3000K, 90CRI, NB</v>
          </cell>
          <cell r="E68" t="str">
            <v>K</v>
          </cell>
          <cell r="F68" t="str">
            <v>PC Board Assembly</v>
          </cell>
          <cell r="H68">
            <v>14.98</v>
          </cell>
          <cell r="I68" t="str">
            <v>Buy</v>
          </cell>
          <cell r="J68">
            <v>103</v>
          </cell>
          <cell r="K68">
            <v>63</v>
          </cell>
          <cell r="L68">
            <v>14.98</v>
          </cell>
        </row>
        <row r="69">
          <cell r="A69" t="str">
            <v>APC-000378-02</v>
          </cell>
          <cell r="B69">
            <v>0</v>
          </cell>
          <cell r="C69" t="str">
            <v>APC-000378-02</v>
          </cell>
          <cell r="D69" t="str">
            <v>LED PCBA, TROV 2.0, L60, 2 FT, 3500K, 90CRI, NB</v>
          </cell>
          <cell r="E69" t="str">
            <v>K</v>
          </cell>
          <cell r="F69" t="str">
            <v>PC Board Assembly</v>
          </cell>
          <cell r="H69">
            <v>14.98</v>
          </cell>
          <cell r="I69" t="str">
            <v>Buy</v>
          </cell>
          <cell r="J69">
            <v>99</v>
          </cell>
          <cell r="K69">
            <v>99</v>
          </cell>
          <cell r="L69">
            <v>14.98</v>
          </cell>
        </row>
        <row r="70">
          <cell r="A70" t="str">
            <v>APC-000378-03</v>
          </cell>
          <cell r="B70">
            <v>0</v>
          </cell>
          <cell r="C70" t="str">
            <v>APC-000378-03</v>
          </cell>
          <cell r="D70" t="str">
            <v>LED PCBA, TROV 2.0, L60, 2 FT, 4000K, 90CRI, NB</v>
          </cell>
          <cell r="E70" t="str">
            <v>K</v>
          </cell>
          <cell r="F70" t="str">
            <v>PC Board Assembly</v>
          </cell>
          <cell r="H70">
            <v>27.9</v>
          </cell>
          <cell r="I70" t="str">
            <v>Buy</v>
          </cell>
          <cell r="J70">
            <v>21</v>
          </cell>
          <cell r="K70">
            <v>21</v>
          </cell>
          <cell r="L70">
            <v>27.9</v>
          </cell>
        </row>
        <row r="71">
          <cell r="A71" t="str">
            <v>ASY-006793-00</v>
          </cell>
          <cell r="B71">
            <v>0</v>
          </cell>
          <cell r="C71" t="str">
            <v>ASY-006793-00</v>
          </cell>
          <cell r="D71" t="str">
            <v>ASSY, 5D LENS W/ CARRIER, TROV 2.0</v>
          </cell>
          <cell r="E71" t="str">
            <v>B</v>
          </cell>
          <cell r="F71" t="str">
            <v>Sub assembly</v>
          </cell>
          <cell r="H71">
            <v>2.42</v>
          </cell>
          <cell r="I71" t="str">
            <v>Buy</v>
          </cell>
          <cell r="J71">
            <v>11048</v>
          </cell>
          <cell r="K71">
            <v>6824</v>
          </cell>
          <cell r="L71">
            <v>2.42</v>
          </cell>
        </row>
        <row r="72">
          <cell r="A72" t="str">
            <v>ASY-006793-01</v>
          </cell>
          <cell r="B72">
            <v>0</v>
          </cell>
          <cell r="C72" t="str">
            <v>ASY-006793-01</v>
          </cell>
          <cell r="D72" t="str">
            <v>ASSY, 15D LENS W/ CARRIER, TROV 2.0</v>
          </cell>
          <cell r="E72" t="str">
            <v>B</v>
          </cell>
          <cell r="F72" t="str">
            <v>Sub assembly</v>
          </cell>
          <cell r="H72">
            <v>2.4500000000000002</v>
          </cell>
          <cell r="I72" t="str">
            <v>Buy</v>
          </cell>
          <cell r="J72">
            <v>2001</v>
          </cell>
          <cell r="K72">
            <v>1311</v>
          </cell>
          <cell r="L72">
            <v>2.4500000000000002</v>
          </cell>
        </row>
        <row r="73">
          <cell r="A73" t="str">
            <v>ASY-006793-02</v>
          </cell>
          <cell r="B73">
            <v>0</v>
          </cell>
          <cell r="C73" t="str">
            <v>ASY-006793-02</v>
          </cell>
          <cell r="D73" t="str">
            <v>ASSY, 30D LENS W/ CARRIER, TROV 2.0</v>
          </cell>
          <cell r="E73" t="str">
            <v>B</v>
          </cell>
          <cell r="F73" t="str">
            <v>Sub assembly</v>
          </cell>
          <cell r="H73">
            <v>2.27</v>
          </cell>
          <cell r="I73" t="str">
            <v>Buy</v>
          </cell>
          <cell r="J73">
            <v>4723</v>
          </cell>
          <cell r="K73">
            <v>3195</v>
          </cell>
          <cell r="L73">
            <v>2.27</v>
          </cell>
        </row>
        <row r="74">
          <cell r="A74" t="str">
            <v>ASY-006793-03</v>
          </cell>
          <cell r="B74">
            <v>0</v>
          </cell>
          <cell r="C74" t="str">
            <v>ASY-006793-03</v>
          </cell>
          <cell r="D74" t="str">
            <v>ASSY, 60D LENS W/ CARRIER, TROV 2.0</v>
          </cell>
          <cell r="E74" t="str">
            <v>B</v>
          </cell>
          <cell r="F74" t="str">
            <v>Sub assembly</v>
          </cell>
          <cell r="H74">
            <v>2.65</v>
          </cell>
          <cell r="I74" t="str">
            <v>Buy</v>
          </cell>
          <cell r="J74">
            <v>2311</v>
          </cell>
          <cell r="K74">
            <v>1725</v>
          </cell>
          <cell r="L74">
            <v>2.65</v>
          </cell>
        </row>
        <row r="75">
          <cell r="A75" t="str">
            <v>ASY-006794-00</v>
          </cell>
          <cell r="B75">
            <v>0</v>
          </cell>
          <cell r="C75" t="str">
            <v>ASY-006794-00</v>
          </cell>
          <cell r="D75" t="str">
            <v>ASSY, TERTIARY LENS, ASYM, 4 FT, TROV 2.0</v>
          </cell>
          <cell r="E75" t="str">
            <v>C</v>
          </cell>
          <cell r="F75" t="str">
            <v>Sub assembly</v>
          </cell>
          <cell r="H75">
            <v>0</v>
          </cell>
          <cell r="I75" t="str">
            <v>Make</v>
          </cell>
        </row>
        <row r="76">
          <cell r="A76" t="str">
            <v>ASY-006794-00</v>
          </cell>
          <cell r="B76">
            <v>1</v>
          </cell>
          <cell r="C76" t="str">
            <v>LBL-000236-00</v>
          </cell>
          <cell r="D76" t="str">
            <v>ASYM SURFACE LABEL, TROV 2, RIGHT</v>
          </cell>
          <cell r="E76" t="str">
            <v>A</v>
          </cell>
          <cell r="F76" t="str">
            <v>Label</v>
          </cell>
          <cell r="G76">
            <v>1</v>
          </cell>
          <cell r="H76">
            <v>7.0000000000000007E-2</v>
          </cell>
          <cell r="I76" t="str">
            <v>Buy</v>
          </cell>
        </row>
        <row r="77">
          <cell r="A77" t="str">
            <v>ASY-006794-00</v>
          </cell>
          <cell r="B77">
            <v>1</v>
          </cell>
          <cell r="C77" t="str">
            <v>LBL-000237-00</v>
          </cell>
          <cell r="D77" t="str">
            <v>ASYM SURFACE LABEL, TROV 2, LEFT</v>
          </cell>
          <cell r="E77" t="str">
            <v>A</v>
          </cell>
          <cell r="F77" t="str">
            <v>Label</v>
          </cell>
          <cell r="G77">
            <v>1</v>
          </cell>
          <cell r="H77">
            <v>7.0000000000000007E-2</v>
          </cell>
          <cell r="I77" t="str">
            <v>Buy</v>
          </cell>
        </row>
        <row r="78">
          <cell r="A78" t="str">
            <v>ASY-006794-00</v>
          </cell>
          <cell r="B78">
            <v>1</v>
          </cell>
          <cell r="C78" t="str">
            <v>OPC-000171-00</v>
          </cell>
          <cell r="D78" t="str">
            <v>LENS, TERTIARY LENS 2 FT, ASYM, LEFT, L65, TROV 2.0</v>
          </cell>
          <cell r="E78" t="str">
            <v>B</v>
          </cell>
          <cell r="F78" t="str">
            <v>Optic (Lens)</v>
          </cell>
          <cell r="G78">
            <v>1</v>
          </cell>
          <cell r="H78">
            <v>4.2</v>
          </cell>
          <cell r="I78" t="str">
            <v>Buy</v>
          </cell>
        </row>
        <row r="79">
          <cell r="A79" t="str">
            <v>ASY-006794-00</v>
          </cell>
          <cell r="B79">
            <v>1</v>
          </cell>
          <cell r="C79" t="str">
            <v>OPC-000171-01</v>
          </cell>
          <cell r="D79" t="str">
            <v>LENS, TERTIARY LENS 2 FT, ASYM, RIGHT, L65, TROV 2.0</v>
          </cell>
          <cell r="E79" t="str">
            <v>B</v>
          </cell>
          <cell r="F79" t="str">
            <v>Optic (Lens)</v>
          </cell>
          <cell r="G79">
            <v>1</v>
          </cell>
          <cell r="H79">
            <v>4.22</v>
          </cell>
          <cell r="I79" t="str">
            <v>Buy</v>
          </cell>
        </row>
        <row r="80">
          <cell r="A80" t="str">
            <v>ASY-006796-00</v>
          </cell>
          <cell r="B80">
            <v>0</v>
          </cell>
          <cell r="C80" t="str">
            <v>ASY-006796-00</v>
          </cell>
          <cell r="D80" t="str">
            <v>ASSY, MECHANICAL, L60, OUTDOOR, 1 FT, TROV 2.0, SILVER</v>
          </cell>
          <cell r="E80" t="str">
            <v>M</v>
          </cell>
          <cell r="F80" t="str">
            <v>Sub assembly</v>
          </cell>
          <cell r="H80">
            <v>0</v>
          </cell>
          <cell r="I80" t="str">
            <v>Make</v>
          </cell>
        </row>
        <row r="81">
          <cell r="A81" t="str">
            <v>ASY-006796-00</v>
          </cell>
          <cell r="B81">
            <v>1</v>
          </cell>
          <cell r="C81" t="str">
            <v>ACB-000261-00</v>
          </cell>
          <cell r="D81" t="str">
            <v>CABLE, ECOBUS, 24AWG, SHORT, TROV 2</v>
          </cell>
          <cell r="E81" t="str">
            <v>B</v>
          </cell>
          <cell r="F81" t="str">
            <v>Cable</v>
          </cell>
          <cell r="G81">
            <v>1</v>
          </cell>
          <cell r="H81">
            <v>0.76</v>
          </cell>
          <cell r="I81" t="str">
            <v>Buy</v>
          </cell>
        </row>
        <row r="82">
          <cell r="A82" t="str">
            <v>ASY-006796-00</v>
          </cell>
          <cell r="B82">
            <v>1</v>
          </cell>
          <cell r="C82" t="str">
            <v>ASY-100009-00</v>
          </cell>
          <cell r="D82" t="str">
            <v>Cable Subassembly, Driver housing, 1ft, Trov 2</v>
          </cell>
          <cell r="E82" t="str">
            <v>B</v>
          </cell>
          <cell r="F82" t="str">
            <v>Sub assembly</v>
          </cell>
          <cell r="G82">
            <v>1</v>
          </cell>
          <cell r="H82">
            <v>0</v>
          </cell>
          <cell r="I82" t="str">
            <v>Make</v>
          </cell>
        </row>
        <row r="83">
          <cell r="A83" t="str">
            <v>ASY-006796-00</v>
          </cell>
          <cell r="B83">
            <v>2</v>
          </cell>
          <cell r="C83" t="str">
            <v>ACB-000278-00</v>
          </cell>
          <cell r="D83" t="str">
            <v>CABLE ASSY, INTRA-FIXTURE, 1FT, TROV 2.0</v>
          </cell>
          <cell r="E83" t="str">
            <v>A</v>
          </cell>
          <cell r="F83" t="str">
            <v>Cable Assembly</v>
          </cell>
          <cell r="G83">
            <v>1</v>
          </cell>
          <cell r="H83">
            <v>12.75</v>
          </cell>
          <cell r="I83" t="str">
            <v>Buy</v>
          </cell>
        </row>
        <row r="84">
          <cell r="A84" t="str">
            <v>ASY-006796-00</v>
          </cell>
          <cell r="B84">
            <v>3</v>
          </cell>
          <cell r="C84" t="str">
            <v>ACB-000273-00</v>
          </cell>
          <cell r="D84" t="str">
            <v>6 CONDUCTOR CABLE, 3X22AWG, 3X16AWG, AL MYLAR, TROV 2</v>
          </cell>
          <cell r="E84" t="str">
            <v>A</v>
          </cell>
          <cell r="F84" t="str">
            <v>Cable</v>
          </cell>
          <cell r="G84">
            <v>1</v>
          </cell>
          <cell r="H84">
            <v>0</v>
          </cell>
          <cell r="I84" t="str">
            <v>N/A</v>
          </cell>
        </row>
        <row r="85">
          <cell r="A85" t="str">
            <v>ASY-006796-00</v>
          </cell>
          <cell r="B85">
            <v>3</v>
          </cell>
          <cell r="C85" t="str">
            <v>ACB-000274-01</v>
          </cell>
          <cell r="D85" t="str">
            <v>CABLE ASSEMBLY, INTERNAL, DRIVER SIDE, 1FT, TROV 2</v>
          </cell>
          <cell r="E85" t="str">
            <v>A</v>
          </cell>
          <cell r="F85" t="str">
            <v>Cable Assembly</v>
          </cell>
          <cell r="G85">
            <v>1</v>
          </cell>
          <cell r="H85">
            <v>0</v>
          </cell>
          <cell r="I85" t="str">
            <v>N/A</v>
          </cell>
        </row>
        <row r="86">
          <cell r="A86" t="str">
            <v>ASY-006796-00</v>
          </cell>
          <cell r="B86">
            <v>3</v>
          </cell>
          <cell r="C86" t="str">
            <v>CON-000259-00</v>
          </cell>
          <cell r="D86" t="str">
            <v>CONNECTOR, MALE, 6 PIN, TROV 2</v>
          </cell>
          <cell r="E86" t="str">
            <v>B</v>
          </cell>
          <cell r="F86" t="str">
            <v>Connector</v>
          </cell>
          <cell r="G86">
            <v>1</v>
          </cell>
          <cell r="H86">
            <v>0</v>
          </cell>
          <cell r="I86" t="str">
            <v>N/A</v>
          </cell>
        </row>
        <row r="87">
          <cell r="A87" t="str">
            <v>ASY-006796-00</v>
          </cell>
          <cell r="B87">
            <v>3</v>
          </cell>
          <cell r="C87" t="str">
            <v>CON-000260-00</v>
          </cell>
          <cell r="D87" t="str">
            <v>CONNECTOR, FEMALE, 6 PIN, TROV 2</v>
          </cell>
          <cell r="E87" t="str">
            <v>A</v>
          </cell>
          <cell r="F87" t="str">
            <v>Connector</v>
          </cell>
          <cell r="G87">
            <v>1</v>
          </cell>
          <cell r="H87">
            <v>0</v>
          </cell>
          <cell r="I87" t="str">
            <v>N/A</v>
          </cell>
        </row>
        <row r="88">
          <cell r="A88" t="str">
            <v>ASY-006796-00</v>
          </cell>
          <cell r="B88">
            <v>3</v>
          </cell>
          <cell r="C88" t="str">
            <v>ORG-000060-00</v>
          </cell>
          <cell r="D88" t="str">
            <v>O-RING, CABLE, TROV 2</v>
          </cell>
          <cell r="E88" t="str">
            <v>A</v>
          </cell>
          <cell r="F88" t="str">
            <v>O-Ring</v>
          </cell>
          <cell r="G88">
            <v>1</v>
          </cell>
          <cell r="H88">
            <v>0</v>
          </cell>
          <cell r="I88" t="str">
            <v>N/A</v>
          </cell>
        </row>
        <row r="89">
          <cell r="A89" t="str">
            <v>ASY-006796-00</v>
          </cell>
          <cell r="B89">
            <v>3</v>
          </cell>
          <cell r="C89" t="str">
            <v>SRF-000030-00</v>
          </cell>
          <cell r="D89" t="str">
            <v>STRAIN RELIEF, CABLE, TROV 2</v>
          </cell>
          <cell r="E89" t="str">
            <v>A</v>
          </cell>
          <cell r="F89" t="str">
            <v>Strain Relief</v>
          </cell>
          <cell r="G89">
            <v>1</v>
          </cell>
          <cell r="H89">
            <v>0</v>
          </cell>
          <cell r="I89" t="str">
            <v>N/A</v>
          </cell>
        </row>
        <row r="90">
          <cell r="A90" t="str">
            <v>ASY-006796-00</v>
          </cell>
          <cell r="B90">
            <v>2</v>
          </cell>
          <cell r="C90" t="str">
            <v>HSG-000488-01</v>
          </cell>
          <cell r="D90" t="str">
            <v>HOUSING, PSU, 1 FT, MOLDED HOLE, TROV 2.0</v>
          </cell>
          <cell r="E90" t="str">
            <v>B</v>
          </cell>
          <cell r="F90" t="str">
            <v>Housing</v>
          </cell>
          <cell r="G90">
            <v>1</v>
          </cell>
          <cell r="H90">
            <v>1.17</v>
          </cell>
          <cell r="I90" t="str">
            <v>Buy</v>
          </cell>
        </row>
        <row r="91">
          <cell r="A91" t="str">
            <v>ASY-006796-00</v>
          </cell>
          <cell r="B91">
            <v>2</v>
          </cell>
          <cell r="C91" t="str">
            <v>SCW-000577-00</v>
          </cell>
          <cell r="D91" t="str">
            <v>SCREW, TORX HEAD, LOW PROFILE, M3X8mm, ALLOY STEEL</v>
          </cell>
          <cell r="E91" t="str">
            <v>A</v>
          </cell>
          <cell r="F91" t="str">
            <v>Screw</v>
          </cell>
          <cell r="G91">
            <v>2</v>
          </cell>
          <cell r="H91">
            <v>0.03</v>
          </cell>
          <cell r="I91" t="str">
            <v>Buy</v>
          </cell>
        </row>
        <row r="92">
          <cell r="A92" t="str">
            <v>ASY-006796-00</v>
          </cell>
          <cell r="B92">
            <v>1</v>
          </cell>
          <cell r="C92" t="str">
            <v>BAS-000020-00</v>
          </cell>
          <cell r="D92" t="str">
            <v>BASE, 1FT, TROV 2.0</v>
          </cell>
          <cell r="E92" t="str">
            <v>E</v>
          </cell>
          <cell r="F92" t="str">
            <v>Base</v>
          </cell>
          <cell r="G92">
            <v>1</v>
          </cell>
          <cell r="H92">
            <v>5.8</v>
          </cell>
          <cell r="I92" t="str">
            <v>Buy</v>
          </cell>
        </row>
        <row r="93">
          <cell r="A93" t="str">
            <v>ASY-006796-00</v>
          </cell>
          <cell r="B93">
            <v>1</v>
          </cell>
          <cell r="C93" t="str">
            <v>BKT-000457-03</v>
          </cell>
          <cell r="D93" t="str">
            <v>BRACKET, MOUNT, LEFT, BLACK, TROV 2.0</v>
          </cell>
          <cell r="E93" t="str">
            <v>C</v>
          </cell>
          <cell r="F93" t="str">
            <v>Bracket</v>
          </cell>
          <cell r="G93">
            <v>1</v>
          </cell>
          <cell r="H93">
            <v>0.99</v>
          </cell>
          <cell r="I93" t="str">
            <v>Buy</v>
          </cell>
        </row>
        <row r="94">
          <cell r="A94" t="str">
            <v>ASY-006796-00</v>
          </cell>
          <cell r="B94">
            <v>1</v>
          </cell>
          <cell r="C94" t="str">
            <v>BKT-000458-03</v>
          </cell>
          <cell r="D94" t="str">
            <v>BRACKET, MOUNT, RIGHT, BLACK, TROV 2.0</v>
          </cell>
          <cell r="E94" t="str">
            <v>C</v>
          </cell>
          <cell r="F94" t="str">
            <v>Bracket</v>
          </cell>
          <cell r="G94">
            <v>1</v>
          </cell>
          <cell r="H94">
            <v>0.99</v>
          </cell>
          <cell r="I94" t="str">
            <v>Buy</v>
          </cell>
        </row>
        <row r="95">
          <cell r="A95" t="str">
            <v>ASY-006796-00</v>
          </cell>
          <cell r="B95">
            <v>1</v>
          </cell>
          <cell r="C95" t="str">
            <v>CVR-000789-03</v>
          </cell>
          <cell r="D95" t="str">
            <v>END COVER, FC, BLACK, L60, TROV 2.0</v>
          </cell>
          <cell r="E95" t="str">
            <v>D</v>
          </cell>
          <cell r="F95" t="str">
            <v>Cover</v>
          </cell>
          <cell r="G95">
            <v>1</v>
          </cell>
          <cell r="H95">
            <v>1.0900000000000001</v>
          </cell>
          <cell r="I95" t="str">
            <v>Buy</v>
          </cell>
        </row>
        <row r="96">
          <cell r="A96" t="str">
            <v>ASY-006796-00</v>
          </cell>
          <cell r="B96">
            <v>1</v>
          </cell>
          <cell r="C96" t="str">
            <v>CVR-000893-03</v>
          </cell>
          <cell r="D96" t="str">
            <v>END COVER, MC, BLACK, L60, TROV 2.0</v>
          </cell>
          <cell r="E96" t="str">
            <v>B</v>
          </cell>
          <cell r="F96" t="str">
            <v>Cover</v>
          </cell>
          <cell r="G96">
            <v>1</v>
          </cell>
          <cell r="H96">
            <v>1.0900000000000001</v>
          </cell>
          <cell r="I96" t="str">
            <v>Buy</v>
          </cell>
        </row>
        <row r="97">
          <cell r="A97" t="str">
            <v>ASY-006796-00</v>
          </cell>
          <cell r="B97">
            <v>1</v>
          </cell>
          <cell r="C97" t="str">
            <v>FOM-000028-00</v>
          </cell>
          <cell r="D97" t="str">
            <v>FOAM, LIGHTBLOCK, ENDCAP, L60, TROV2</v>
          </cell>
          <cell r="E97" t="str">
            <v>A</v>
          </cell>
          <cell r="F97" t="str">
            <v>Foam</v>
          </cell>
          <cell r="G97">
            <v>2</v>
          </cell>
          <cell r="H97">
            <v>0.03</v>
          </cell>
          <cell r="I97" t="str">
            <v>Buy</v>
          </cell>
        </row>
        <row r="98">
          <cell r="A98" t="str">
            <v>ASY-006796-00</v>
          </cell>
          <cell r="B98">
            <v>1</v>
          </cell>
          <cell r="C98" t="str">
            <v>GSK-000121-01</v>
          </cell>
          <cell r="D98" t="str">
            <v>GASKET, DRIVER ENCLOSURE, 3M, 1 FT, TROV 2.0</v>
          </cell>
          <cell r="E98" t="str">
            <v>B</v>
          </cell>
          <cell r="F98" t="str">
            <v>Gasket</v>
          </cell>
          <cell r="G98">
            <v>1</v>
          </cell>
          <cell r="H98">
            <v>1.7</v>
          </cell>
          <cell r="I98" t="str">
            <v>Buy</v>
          </cell>
        </row>
        <row r="99">
          <cell r="A99" t="str">
            <v>ASY-006796-00</v>
          </cell>
          <cell r="B99">
            <v>1</v>
          </cell>
          <cell r="C99" t="str">
            <v>GSK-000132-00</v>
          </cell>
          <cell r="D99" t="str">
            <v>GASKET, TERTIARY LENS, 3M, 1 FT, L60, TROV 2.0</v>
          </cell>
          <cell r="E99" t="str">
            <v>B</v>
          </cell>
          <cell r="F99" t="str">
            <v>Gasket</v>
          </cell>
          <cell r="G99">
            <v>1</v>
          </cell>
          <cell r="H99">
            <v>1.96</v>
          </cell>
          <cell r="I99" t="str">
            <v>Buy</v>
          </cell>
        </row>
        <row r="100">
          <cell r="A100" t="str">
            <v>ASY-006796-00</v>
          </cell>
          <cell r="B100">
            <v>1</v>
          </cell>
          <cell r="C100" t="str">
            <v>HSG-000490-01</v>
          </cell>
          <cell r="D100" t="str">
            <v>HOUSING, TOP, 1 FT, L60, SILVER,  TROV 2.0</v>
          </cell>
          <cell r="E100" t="str">
            <v>E</v>
          </cell>
          <cell r="F100" t="str">
            <v>Housing</v>
          </cell>
          <cell r="G100">
            <v>1</v>
          </cell>
          <cell r="H100">
            <v>4.83</v>
          </cell>
          <cell r="I100" t="str">
            <v>Buy</v>
          </cell>
        </row>
        <row r="101">
          <cell r="A101" t="str">
            <v>ASY-006796-00</v>
          </cell>
          <cell r="B101">
            <v>1</v>
          </cell>
          <cell r="C101" t="str">
            <v>HSG-000492-01</v>
          </cell>
          <cell r="D101" t="str">
            <v>HOUSING, BOTTOM, 1 FT, SILVER, TROV 2.0</v>
          </cell>
          <cell r="E101" t="str">
            <v>F</v>
          </cell>
          <cell r="F101" t="str">
            <v>Housing</v>
          </cell>
          <cell r="G101">
            <v>1</v>
          </cell>
          <cell r="H101">
            <v>3.34</v>
          </cell>
          <cell r="I101" t="str">
            <v>Buy</v>
          </cell>
        </row>
        <row r="102">
          <cell r="A102" t="str">
            <v>ASY-006796-00</v>
          </cell>
          <cell r="B102">
            <v>1</v>
          </cell>
          <cell r="C102" t="str">
            <v>LBA-000003-00</v>
          </cell>
          <cell r="D102" t="str">
            <v>Label: TROV 2 P1/P2, Model L45/L60</v>
          </cell>
          <cell r="E102" t="str">
            <v>A</v>
          </cell>
          <cell r="F102" t="str">
            <v>Label BOM</v>
          </cell>
          <cell r="G102">
            <v>1</v>
          </cell>
          <cell r="H102">
            <v>0</v>
          </cell>
          <cell r="I102" t="str">
            <v>Make</v>
          </cell>
        </row>
        <row r="103">
          <cell r="A103" t="str">
            <v>ASY-006796-00</v>
          </cell>
          <cell r="B103">
            <v>2</v>
          </cell>
          <cell r="C103" t="str">
            <v>LBL-000243-00</v>
          </cell>
          <cell r="D103" t="str">
            <v>Blank Product Label: Trov 2 P1/P2, Model L45/L60</v>
          </cell>
          <cell r="E103" t="str">
            <v>A</v>
          </cell>
          <cell r="F103" t="str">
            <v>Label</v>
          </cell>
          <cell r="G103">
            <v>1</v>
          </cell>
          <cell r="H103">
            <v>0.33</v>
          </cell>
          <cell r="I103" t="str">
            <v>Buy</v>
          </cell>
        </row>
        <row r="104">
          <cell r="A104" t="str">
            <v>ASY-006796-00</v>
          </cell>
          <cell r="B104">
            <v>1</v>
          </cell>
          <cell r="C104" t="str">
            <v>PLG-000009-01</v>
          </cell>
          <cell r="D104" t="str">
            <v>Porex Vent, Trov, L50 Exterior</v>
          </cell>
          <cell r="E104" t="str">
            <v>B</v>
          </cell>
          <cell r="F104" t="str">
            <v>Plug</v>
          </cell>
          <cell r="G104">
            <v>1</v>
          </cell>
          <cell r="H104">
            <v>0.17</v>
          </cell>
          <cell r="I104" t="str">
            <v>Buy</v>
          </cell>
        </row>
        <row r="105">
          <cell r="A105" t="str">
            <v>ASY-006796-00</v>
          </cell>
          <cell r="B105">
            <v>1</v>
          </cell>
          <cell r="C105" t="str">
            <v>SCW-000156-00</v>
          </cell>
          <cell r="D105" t="str">
            <v>SCREW, M3 x 0.5 X 8mm, PAND HEAD, PHILLIPS, STEEL</v>
          </cell>
          <cell r="E105" t="str">
            <v>B</v>
          </cell>
          <cell r="F105" t="str">
            <v>Screw</v>
          </cell>
          <cell r="G105">
            <v>2</v>
          </cell>
          <cell r="H105">
            <v>4.4400000000000002E-2</v>
          </cell>
          <cell r="I105" t="str">
            <v>Buy</v>
          </cell>
        </row>
        <row r="106">
          <cell r="A106" t="str">
            <v>ASY-006796-00</v>
          </cell>
          <cell r="B106">
            <v>1</v>
          </cell>
          <cell r="C106" t="str">
            <v>SCW-000483-00</v>
          </cell>
          <cell r="D106" t="str">
            <v>SCREW, PHILIPS FLAT HEAD, M2.5x0.45x5 , 18-8 SST</v>
          </cell>
          <cell r="E106" t="str">
            <v>A</v>
          </cell>
          <cell r="F106" t="str">
            <v>Screw</v>
          </cell>
          <cell r="G106">
            <v>4</v>
          </cell>
          <cell r="H106">
            <v>0.02</v>
          </cell>
          <cell r="I106" t="str">
            <v>Buy</v>
          </cell>
        </row>
        <row r="107">
          <cell r="A107" t="str">
            <v>ASY-006796-00</v>
          </cell>
          <cell r="B107">
            <v>1</v>
          </cell>
          <cell r="C107" t="str">
            <v>SCW-000556-00</v>
          </cell>
          <cell r="D107" t="str">
            <v>SCREW, HEX, SERRATED, #8-32, GROUNDING, TROV 2</v>
          </cell>
          <cell r="E107" t="str">
            <v>A</v>
          </cell>
          <cell r="F107" t="str">
            <v>Screw</v>
          </cell>
          <cell r="G107">
            <v>1</v>
          </cell>
          <cell r="H107">
            <v>0.04</v>
          </cell>
          <cell r="I107" t="str">
            <v>Buy</v>
          </cell>
        </row>
        <row r="108">
          <cell r="A108" t="str">
            <v>ASY-006796-00</v>
          </cell>
          <cell r="B108">
            <v>1</v>
          </cell>
          <cell r="C108" t="str">
            <v>SCW-000574-00</v>
          </cell>
          <cell r="D108" t="str">
            <v>SCREW, TORX HEAD, 1/4-28x1/2", LOW PROFILE, ALLOY STEEL</v>
          </cell>
          <cell r="E108" t="str">
            <v>A</v>
          </cell>
          <cell r="F108" t="str">
            <v>Screw</v>
          </cell>
          <cell r="G108">
            <v>2</v>
          </cell>
          <cell r="H108">
            <v>0.14000000000000001</v>
          </cell>
          <cell r="I108" t="str">
            <v>Buy</v>
          </cell>
        </row>
        <row r="109">
          <cell r="A109" t="str">
            <v>ASY-006796-00</v>
          </cell>
          <cell r="B109">
            <v>1</v>
          </cell>
          <cell r="C109" t="str">
            <v>SHT-000042-00</v>
          </cell>
          <cell r="D109" t="str">
            <v>INSULATION SHEET, MP/LP HBA, TROV 2</v>
          </cell>
          <cell r="E109" t="str">
            <v>D</v>
          </cell>
          <cell r="F109" t="str">
            <v>Sheet</v>
          </cell>
          <cell r="G109">
            <v>1</v>
          </cell>
          <cell r="H109">
            <v>0.16</v>
          </cell>
          <cell r="I109" t="str">
            <v>Buy</v>
          </cell>
        </row>
        <row r="110">
          <cell r="A110" t="str">
            <v>ASY-006796-00</v>
          </cell>
          <cell r="B110">
            <v>1</v>
          </cell>
          <cell r="C110" t="str">
            <v>SPG-000023-00</v>
          </cell>
          <cell r="D110" t="str">
            <v>SPRING, DISC, STACKED WAVE, TROV 2.0</v>
          </cell>
          <cell r="E110" t="str">
            <v>A</v>
          </cell>
          <cell r="F110" t="str">
            <v>Spring</v>
          </cell>
          <cell r="G110">
            <v>2</v>
          </cell>
          <cell r="H110">
            <v>1.74</v>
          </cell>
          <cell r="I110" t="str">
            <v>Buy</v>
          </cell>
        </row>
        <row r="111">
          <cell r="A111" t="str">
            <v>ASY-006796-00</v>
          </cell>
          <cell r="B111">
            <v>1</v>
          </cell>
          <cell r="C111" t="str">
            <v>TAP-000031-00</v>
          </cell>
          <cell r="D111" t="str">
            <v>3M Electrical Tape 92</v>
          </cell>
          <cell r="E111" t="str">
            <v>A</v>
          </cell>
          <cell r="F111" t="str">
            <v>Tape</v>
          </cell>
          <cell r="G111">
            <v>120</v>
          </cell>
          <cell r="H111">
            <v>1.4E-2</v>
          </cell>
          <cell r="I111" t="str">
            <v>Buy</v>
          </cell>
        </row>
        <row r="112">
          <cell r="A112" t="str">
            <v>ASY-006796-00</v>
          </cell>
          <cell r="B112">
            <v>1</v>
          </cell>
          <cell r="C112" t="str">
            <v>TMP-000027-00</v>
          </cell>
          <cell r="D112" t="str">
            <v>Thermal Pad, LED PCBA, 1 FT, TROV 2</v>
          </cell>
          <cell r="E112" t="str">
            <v>B</v>
          </cell>
          <cell r="F112" t="str">
            <v>Thermal Pad</v>
          </cell>
          <cell r="G112">
            <v>1</v>
          </cell>
          <cell r="H112">
            <v>0.72</v>
          </cell>
          <cell r="I112" t="str">
            <v>Buy</v>
          </cell>
        </row>
        <row r="113">
          <cell r="A113" t="str">
            <v>ASY-006796-00</v>
          </cell>
          <cell r="B113">
            <v>1</v>
          </cell>
          <cell r="C113" t="str">
            <v>TMP-000029-00</v>
          </cell>
          <cell r="D113" t="str">
            <v>Thermal Pad, HBA, TROV 2</v>
          </cell>
          <cell r="E113" t="str">
            <v>B</v>
          </cell>
          <cell r="F113" t="str">
            <v>Thermal Pad</v>
          </cell>
          <cell r="G113">
            <v>2</v>
          </cell>
          <cell r="H113">
            <v>0.14000000000000001</v>
          </cell>
          <cell r="I113" t="str">
            <v>Buy</v>
          </cell>
        </row>
        <row r="114">
          <cell r="A114" t="str">
            <v>ASY-006796-01</v>
          </cell>
          <cell r="B114">
            <v>0</v>
          </cell>
          <cell r="C114" t="str">
            <v>ASY-006796-01</v>
          </cell>
          <cell r="D114" t="str">
            <v>ASSY, MECHANICAL, L60, OUTDOOR, 1 FT, TROV 2.0, BLACK</v>
          </cell>
          <cell r="E114" t="str">
            <v>M</v>
          </cell>
          <cell r="F114" t="str">
            <v>Sub assembly</v>
          </cell>
          <cell r="H114">
            <v>0</v>
          </cell>
          <cell r="I114" t="str">
            <v>Make</v>
          </cell>
        </row>
        <row r="115">
          <cell r="A115" t="str">
            <v>ASY-006796-01</v>
          </cell>
          <cell r="B115">
            <v>1</v>
          </cell>
          <cell r="C115" t="str">
            <v>ACB-000261-00</v>
          </cell>
          <cell r="D115" t="str">
            <v>CABLE, ECOBUS, 24AWG, SHORT, TROV 2</v>
          </cell>
          <cell r="E115" t="str">
            <v>B</v>
          </cell>
          <cell r="F115" t="str">
            <v>Cable</v>
          </cell>
          <cell r="G115">
            <v>1</v>
          </cell>
          <cell r="H115">
            <v>0.76</v>
          </cell>
          <cell r="I115" t="str">
            <v>Buy</v>
          </cell>
        </row>
        <row r="116">
          <cell r="A116" t="str">
            <v>ASY-006796-01</v>
          </cell>
          <cell r="B116">
            <v>1</v>
          </cell>
          <cell r="C116" t="str">
            <v>ASY-100009-00</v>
          </cell>
          <cell r="D116" t="str">
            <v>Cable Subassembly, Driver housing, 1ft, Trov 2</v>
          </cell>
          <cell r="E116" t="str">
            <v>B</v>
          </cell>
          <cell r="F116" t="str">
            <v>Sub assembly</v>
          </cell>
          <cell r="G116">
            <v>1</v>
          </cell>
          <cell r="H116">
            <v>0</v>
          </cell>
          <cell r="I116" t="str">
            <v>Make</v>
          </cell>
        </row>
        <row r="117">
          <cell r="A117" t="str">
            <v>ASY-006796-01</v>
          </cell>
          <cell r="B117">
            <v>2</v>
          </cell>
          <cell r="C117" t="str">
            <v>ACB-000278-00</v>
          </cell>
          <cell r="D117" t="str">
            <v>CABLE ASSY, INTRA-FIXTURE, 1FT, TROV 2.0</v>
          </cell>
          <cell r="E117" t="str">
            <v>A</v>
          </cell>
          <cell r="F117" t="str">
            <v>Cable Assembly</v>
          </cell>
          <cell r="G117">
            <v>1</v>
          </cell>
          <cell r="H117">
            <v>12.75</v>
          </cell>
          <cell r="I117" t="str">
            <v>Buy</v>
          </cell>
        </row>
        <row r="118">
          <cell r="A118" t="str">
            <v>ASY-006796-01</v>
          </cell>
          <cell r="B118">
            <v>3</v>
          </cell>
          <cell r="C118" t="str">
            <v>ACB-000273-00</v>
          </cell>
          <cell r="D118" t="str">
            <v>6 CONDUCTOR CABLE, 3X22AWG, 3X16AWG, AL MYLAR, TROV 2</v>
          </cell>
          <cell r="E118" t="str">
            <v>A</v>
          </cell>
          <cell r="F118" t="str">
            <v>Cable</v>
          </cell>
          <cell r="G118">
            <v>1</v>
          </cell>
          <cell r="H118">
            <v>0</v>
          </cell>
          <cell r="I118" t="str">
            <v>N/A</v>
          </cell>
        </row>
        <row r="119">
          <cell r="A119" t="str">
            <v>ASY-006796-01</v>
          </cell>
          <cell r="B119">
            <v>3</v>
          </cell>
          <cell r="C119" t="str">
            <v>ACB-000274-01</v>
          </cell>
          <cell r="D119" t="str">
            <v>CABLE ASSEMBLY, INTERNAL, DRIVER SIDE, 1FT, TROV 2</v>
          </cell>
          <cell r="E119" t="str">
            <v>A</v>
          </cell>
          <cell r="F119" t="str">
            <v>Cable Assembly</v>
          </cell>
          <cell r="G119">
            <v>1</v>
          </cell>
          <cell r="H119">
            <v>0</v>
          </cell>
          <cell r="I119" t="str">
            <v>N/A</v>
          </cell>
        </row>
        <row r="120">
          <cell r="A120" t="str">
            <v>ASY-006796-01</v>
          </cell>
          <cell r="B120">
            <v>3</v>
          </cell>
          <cell r="C120" t="str">
            <v>CON-000259-00</v>
          </cell>
          <cell r="D120" t="str">
            <v>CONNECTOR, MALE, 6 PIN, TROV 2</v>
          </cell>
          <cell r="E120" t="str">
            <v>B</v>
          </cell>
          <cell r="F120" t="str">
            <v>Connector</v>
          </cell>
          <cell r="G120">
            <v>1</v>
          </cell>
          <cell r="H120">
            <v>0</v>
          </cell>
          <cell r="I120" t="str">
            <v>N/A</v>
          </cell>
        </row>
        <row r="121">
          <cell r="A121" t="str">
            <v>ASY-006796-01</v>
          </cell>
          <cell r="B121">
            <v>3</v>
          </cell>
          <cell r="C121" t="str">
            <v>CON-000260-00</v>
          </cell>
          <cell r="D121" t="str">
            <v>CONNECTOR, FEMALE, 6 PIN, TROV 2</v>
          </cell>
          <cell r="E121" t="str">
            <v>A</v>
          </cell>
          <cell r="F121" t="str">
            <v>Connector</v>
          </cell>
          <cell r="G121">
            <v>1</v>
          </cell>
          <cell r="H121">
            <v>0</v>
          </cell>
          <cell r="I121" t="str">
            <v>N/A</v>
          </cell>
        </row>
        <row r="122">
          <cell r="A122" t="str">
            <v>ASY-006796-01</v>
          </cell>
          <cell r="B122">
            <v>3</v>
          </cell>
          <cell r="C122" t="str">
            <v>ORG-000060-00</v>
          </cell>
          <cell r="D122" t="str">
            <v>O-RING, CABLE, TROV 2</v>
          </cell>
          <cell r="E122" t="str">
            <v>A</v>
          </cell>
          <cell r="F122" t="str">
            <v>O-Ring</v>
          </cell>
          <cell r="G122">
            <v>1</v>
          </cell>
          <cell r="H122">
            <v>0</v>
          </cell>
          <cell r="I122" t="str">
            <v>N/A</v>
          </cell>
        </row>
        <row r="123">
          <cell r="A123" t="str">
            <v>ASY-006796-01</v>
          </cell>
          <cell r="B123">
            <v>3</v>
          </cell>
          <cell r="C123" t="str">
            <v>SRF-000030-00</v>
          </cell>
          <cell r="D123" t="str">
            <v>STRAIN RELIEF, CABLE, TROV 2</v>
          </cell>
          <cell r="E123" t="str">
            <v>A</v>
          </cell>
          <cell r="F123" t="str">
            <v>Strain Relief</v>
          </cell>
          <cell r="G123">
            <v>1</v>
          </cell>
          <cell r="H123">
            <v>0</v>
          </cell>
          <cell r="I123" t="str">
            <v>N/A</v>
          </cell>
        </row>
        <row r="124">
          <cell r="A124" t="str">
            <v>ASY-006796-01</v>
          </cell>
          <cell r="B124">
            <v>2</v>
          </cell>
          <cell r="C124" t="str">
            <v>HSG-000488-01</v>
          </cell>
          <cell r="D124" t="str">
            <v>HOUSING, PSU, 1 FT, MOLDED HOLE, TROV 2.0</v>
          </cell>
          <cell r="E124" t="str">
            <v>B</v>
          </cell>
          <cell r="F124" t="str">
            <v>Housing</v>
          </cell>
          <cell r="G124">
            <v>1</v>
          </cell>
          <cell r="H124">
            <v>1.17</v>
          </cell>
          <cell r="I124" t="str">
            <v>Buy</v>
          </cell>
        </row>
        <row r="125">
          <cell r="A125" t="str">
            <v>ASY-006796-01</v>
          </cell>
          <cell r="B125">
            <v>2</v>
          </cell>
          <cell r="C125" t="str">
            <v>SCW-000577-00</v>
          </cell>
          <cell r="D125" t="str">
            <v>SCREW, TORX HEAD, LOW PROFILE, M3X8mm, ALLOY STEEL</v>
          </cell>
          <cell r="E125" t="str">
            <v>A</v>
          </cell>
          <cell r="F125" t="str">
            <v>Screw</v>
          </cell>
          <cell r="G125">
            <v>2</v>
          </cell>
          <cell r="H125">
            <v>0.03</v>
          </cell>
          <cell r="I125" t="str">
            <v>Buy</v>
          </cell>
        </row>
        <row r="126">
          <cell r="A126" t="str">
            <v>ASY-006796-01</v>
          </cell>
          <cell r="B126">
            <v>1</v>
          </cell>
          <cell r="C126" t="str">
            <v>BAS-000020-00</v>
          </cell>
          <cell r="D126" t="str">
            <v>BASE, 1FT, TROV 2.0</v>
          </cell>
          <cell r="E126" t="str">
            <v>E</v>
          </cell>
          <cell r="F126" t="str">
            <v>Base</v>
          </cell>
          <cell r="G126">
            <v>1</v>
          </cell>
          <cell r="H126">
            <v>5.8</v>
          </cell>
          <cell r="I126" t="str">
            <v>Buy</v>
          </cell>
        </row>
        <row r="127">
          <cell r="A127" t="str">
            <v>ASY-006796-01</v>
          </cell>
          <cell r="B127">
            <v>1</v>
          </cell>
          <cell r="C127" t="str">
            <v>BKT-000457-03</v>
          </cell>
          <cell r="D127" t="str">
            <v>BRACKET, MOUNT, LEFT, BLACK, TROV 2.0</v>
          </cell>
          <cell r="E127" t="str">
            <v>C</v>
          </cell>
          <cell r="F127" t="str">
            <v>Bracket</v>
          </cell>
          <cell r="G127">
            <v>1</v>
          </cell>
          <cell r="H127">
            <v>0.99</v>
          </cell>
          <cell r="I127" t="str">
            <v>Buy</v>
          </cell>
        </row>
        <row r="128">
          <cell r="A128" t="str">
            <v>ASY-006796-01</v>
          </cell>
          <cell r="B128">
            <v>1</v>
          </cell>
          <cell r="C128" t="str">
            <v>BKT-000458-03</v>
          </cell>
          <cell r="D128" t="str">
            <v>BRACKET, MOUNT, RIGHT, BLACK, TROV 2.0</v>
          </cell>
          <cell r="E128" t="str">
            <v>C</v>
          </cell>
          <cell r="F128" t="str">
            <v>Bracket</v>
          </cell>
          <cell r="G128">
            <v>1</v>
          </cell>
          <cell r="H128">
            <v>0.99</v>
          </cell>
          <cell r="I128" t="str">
            <v>Buy</v>
          </cell>
        </row>
        <row r="129">
          <cell r="A129" t="str">
            <v>ASY-006796-01</v>
          </cell>
          <cell r="B129">
            <v>1</v>
          </cell>
          <cell r="C129" t="str">
            <v>CVR-000789-03</v>
          </cell>
          <cell r="D129" t="str">
            <v>END COVER, FC, BLACK, L60, TROV 2.0</v>
          </cell>
          <cell r="E129" t="str">
            <v>D</v>
          </cell>
          <cell r="F129" t="str">
            <v>Cover</v>
          </cell>
          <cell r="G129">
            <v>1</v>
          </cell>
          <cell r="H129">
            <v>1.0900000000000001</v>
          </cell>
          <cell r="I129" t="str">
            <v>Buy</v>
          </cell>
        </row>
        <row r="130">
          <cell r="A130" t="str">
            <v>ASY-006796-01</v>
          </cell>
          <cell r="B130">
            <v>1</v>
          </cell>
          <cell r="C130" t="str">
            <v>CVR-000893-03</v>
          </cell>
          <cell r="D130" t="str">
            <v>END COVER, MC, BLACK, L60, TROV 2.0</v>
          </cell>
          <cell r="E130" t="str">
            <v>B</v>
          </cell>
          <cell r="F130" t="str">
            <v>Cover</v>
          </cell>
          <cell r="G130">
            <v>1</v>
          </cell>
          <cell r="H130">
            <v>1.0900000000000001</v>
          </cell>
          <cell r="I130" t="str">
            <v>Buy</v>
          </cell>
        </row>
        <row r="131">
          <cell r="A131" t="str">
            <v>ASY-006796-01</v>
          </cell>
          <cell r="B131">
            <v>1</v>
          </cell>
          <cell r="C131" t="str">
            <v>FOM-000028-00</v>
          </cell>
          <cell r="D131" t="str">
            <v>FOAM, LIGHTBLOCK, ENDCAP, L60, TROV2</v>
          </cell>
          <cell r="E131" t="str">
            <v>A</v>
          </cell>
          <cell r="F131" t="str">
            <v>Foam</v>
          </cell>
          <cell r="G131">
            <v>2</v>
          </cell>
          <cell r="H131">
            <v>0.03</v>
          </cell>
          <cell r="I131" t="str">
            <v>Buy</v>
          </cell>
        </row>
        <row r="132">
          <cell r="A132" t="str">
            <v>ASY-006796-01</v>
          </cell>
          <cell r="B132">
            <v>1</v>
          </cell>
          <cell r="C132" t="str">
            <v>GSK-000121-01</v>
          </cell>
          <cell r="D132" t="str">
            <v>GASKET, DRIVER ENCLOSURE, 3M, 1 FT, TROV 2.0</v>
          </cell>
          <cell r="E132" t="str">
            <v>B</v>
          </cell>
          <cell r="F132" t="str">
            <v>Gasket</v>
          </cell>
          <cell r="G132">
            <v>1</v>
          </cell>
          <cell r="H132">
            <v>1.7</v>
          </cell>
          <cell r="I132" t="str">
            <v>Buy</v>
          </cell>
        </row>
        <row r="133">
          <cell r="A133" t="str">
            <v>ASY-006796-01</v>
          </cell>
          <cell r="B133">
            <v>1</v>
          </cell>
          <cell r="C133" t="str">
            <v>GSK-000132-00</v>
          </cell>
          <cell r="D133" t="str">
            <v>GASKET, TERTIARY LENS, 3M, 1 FT, L60, TROV 2.0</v>
          </cell>
          <cell r="E133" t="str">
            <v>B</v>
          </cell>
          <cell r="F133" t="str">
            <v>Gasket</v>
          </cell>
          <cell r="G133">
            <v>1</v>
          </cell>
          <cell r="H133">
            <v>1.96</v>
          </cell>
          <cell r="I133" t="str">
            <v>Buy</v>
          </cell>
        </row>
        <row r="134">
          <cell r="A134" t="str">
            <v>ASY-006796-01</v>
          </cell>
          <cell r="B134">
            <v>1</v>
          </cell>
          <cell r="C134" t="str">
            <v>HSG-000490-03</v>
          </cell>
          <cell r="D134" t="str">
            <v>HOUSING, TOP, 1 FT, L60, BLACK, TROV 2.0</v>
          </cell>
          <cell r="E134" t="str">
            <v>E</v>
          </cell>
          <cell r="F134" t="str">
            <v>Housing</v>
          </cell>
          <cell r="G134">
            <v>1</v>
          </cell>
          <cell r="H134">
            <v>4.37</v>
          </cell>
          <cell r="I134" t="str">
            <v>Buy</v>
          </cell>
        </row>
        <row r="135">
          <cell r="A135" t="str">
            <v>ASY-006796-01</v>
          </cell>
          <cell r="B135">
            <v>1</v>
          </cell>
          <cell r="C135" t="str">
            <v>HSG-000492-03</v>
          </cell>
          <cell r="D135" t="str">
            <v>HOUSING, BOTTOM, 1 FT, BLACK, TROV 2.0</v>
          </cell>
          <cell r="E135" t="str">
            <v>F</v>
          </cell>
          <cell r="F135" t="str">
            <v>Housing</v>
          </cell>
          <cell r="G135">
            <v>1</v>
          </cell>
          <cell r="H135">
            <v>3.22</v>
          </cell>
          <cell r="I135" t="str">
            <v>Buy</v>
          </cell>
        </row>
        <row r="136">
          <cell r="A136" t="str">
            <v>ASY-006796-01</v>
          </cell>
          <cell r="B136">
            <v>1</v>
          </cell>
          <cell r="C136" t="str">
            <v>LBA-000003-00</v>
          </cell>
          <cell r="D136" t="str">
            <v>Label: TROV 2 P1/P2, Model L45/L60</v>
          </cell>
          <cell r="E136" t="str">
            <v>A</v>
          </cell>
          <cell r="F136" t="str">
            <v>Label BOM</v>
          </cell>
          <cell r="G136">
            <v>1</v>
          </cell>
          <cell r="H136">
            <v>0</v>
          </cell>
          <cell r="I136" t="str">
            <v>Make</v>
          </cell>
        </row>
        <row r="137">
          <cell r="A137" t="str">
            <v>ASY-006796-01</v>
          </cell>
          <cell r="B137">
            <v>2</v>
          </cell>
          <cell r="C137" t="str">
            <v>LBL-000243-00</v>
          </cell>
          <cell r="D137" t="str">
            <v>Blank Product Label: Trov 2 P1/P2, Model L45/L60</v>
          </cell>
          <cell r="E137" t="str">
            <v>A</v>
          </cell>
          <cell r="F137" t="str">
            <v>Label</v>
          </cell>
          <cell r="G137">
            <v>1</v>
          </cell>
          <cell r="H137">
            <v>0.33</v>
          </cell>
          <cell r="I137" t="str">
            <v>Buy</v>
          </cell>
        </row>
        <row r="138">
          <cell r="A138" t="str">
            <v>ASY-006796-01</v>
          </cell>
          <cell r="B138">
            <v>1</v>
          </cell>
          <cell r="C138" t="str">
            <v>PLG-000009-01</v>
          </cell>
          <cell r="D138" t="str">
            <v>Porex Vent, Trov, L50 Exterior</v>
          </cell>
          <cell r="E138" t="str">
            <v>B</v>
          </cell>
          <cell r="F138" t="str">
            <v>Plug</v>
          </cell>
          <cell r="G138">
            <v>1</v>
          </cell>
          <cell r="H138">
            <v>0.17</v>
          </cell>
          <cell r="I138" t="str">
            <v>Buy</v>
          </cell>
        </row>
        <row r="139">
          <cell r="A139" t="str">
            <v>ASY-006796-01</v>
          </cell>
          <cell r="B139">
            <v>1</v>
          </cell>
          <cell r="C139" t="str">
            <v>SCW-000156-00</v>
          </cell>
          <cell r="D139" t="str">
            <v>SCREW, M3 x 0.5 X 8mm, PAND HEAD, PHILLIPS, STEEL</v>
          </cell>
          <cell r="E139" t="str">
            <v>B</v>
          </cell>
          <cell r="F139" t="str">
            <v>Screw</v>
          </cell>
          <cell r="G139">
            <v>2</v>
          </cell>
          <cell r="H139">
            <v>4.4400000000000002E-2</v>
          </cell>
          <cell r="I139" t="str">
            <v>Buy</v>
          </cell>
        </row>
        <row r="140">
          <cell r="A140" t="str">
            <v>ASY-006796-01</v>
          </cell>
          <cell r="B140">
            <v>1</v>
          </cell>
          <cell r="C140" t="str">
            <v>SCW-000483-00</v>
          </cell>
          <cell r="D140" t="str">
            <v>SCREW, PHILIPS FLAT HEAD, M2.5x0.45x5 , 18-8 SST</v>
          </cell>
          <cell r="E140" t="str">
            <v>A</v>
          </cell>
          <cell r="F140" t="str">
            <v>Screw</v>
          </cell>
          <cell r="G140">
            <v>4</v>
          </cell>
          <cell r="H140">
            <v>0.02</v>
          </cell>
          <cell r="I140" t="str">
            <v>Buy</v>
          </cell>
        </row>
        <row r="141">
          <cell r="A141" t="str">
            <v>ASY-006796-01</v>
          </cell>
          <cell r="B141">
            <v>1</v>
          </cell>
          <cell r="C141" t="str">
            <v>SCW-000556-00</v>
          </cell>
          <cell r="D141" t="str">
            <v>SCREW, HEX, SERRATED, #8-32, GROUNDING, TROV 2</v>
          </cell>
          <cell r="E141" t="str">
            <v>A</v>
          </cell>
          <cell r="F141" t="str">
            <v>Screw</v>
          </cell>
          <cell r="G141">
            <v>1</v>
          </cell>
          <cell r="H141">
            <v>0.04</v>
          </cell>
          <cell r="I141" t="str">
            <v>Buy</v>
          </cell>
        </row>
        <row r="142">
          <cell r="A142" t="str">
            <v>ASY-006796-01</v>
          </cell>
          <cell r="B142">
            <v>1</v>
          </cell>
          <cell r="C142" t="str">
            <v>SCW-000574-00</v>
          </cell>
          <cell r="D142" t="str">
            <v>SCREW, TORX HEAD, 1/4-28x1/2", LOW PROFILE, ALLOY STEEL</v>
          </cell>
          <cell r="E142" t="str">
            <v>A</v>
          </cell>
          <cell r="F142" t="str">
            <v>Screw</v>
          </cell>
          <cell r="G142">
            <v>2</v>
          </cell>
          <cell r="H142">
            <v>0.14000000000000001</v>
          </cell>
          <cell r="I142" t="str">
            <v>Buy</v>
          </cell>
        </row>
        <row r="143">
          <cell r="A143" t="str">
            <v>ASY-006796-01</v>
          </cell>
          <cell r="B143">
            <v>1</v>
          </cell>
          <cell r="C143" t="str">
            <v>SHT-000042-00</v>
          </cell>
          <cell r="D143" t="str">
            <v>INSULATION SHEET, MP/LP HBA, TROV 2</v>
          </cell>
          <cell r="E143" t="str">
            <v>D</v>
          </cell>
          <cell r="F143" t="str">
            <v>Sheet</v>
          </cell>
          <cell r="G143">
            <v>1</v>
          </cell>
          <cell r="H143">
            <v>0.16</v>
          </cell>
          <cell r="I143" t="str">
            <v>Buy</v>
          </cell>
        </row>
        <row r="144">
          <cell r="A144" t="str">
            <v>ASY-006796-01</v>
          </cell>
          <cell r="B144">
            <v>1</v>
          </cell>
          <cell r="C144" t="str">
            <v>SPG-000023-00</v>
          </cell>
          <cell r="D144" t="str">
            <v>SPRING, DISC, STACKED WAVE, TROV 2.0</v>
          </cell>
          <cell r="E144" t="str">
            <v>A</v>
          </cell>
          <cell r="F144" t="str">
            <v>Spring</v>
          </cell>
          <cell r="G144">
            <v>2</v>
          </cell>
          <cell r="H144">
            <v>1.74</v>
          </cell>
          <cell r="I144" t="str">
            <v>Buy</v>
          </cell>
        </row>
        <row r="145">
          <cell r="A145" t="str">
            <v>ASY-006796-01</v>
          </cell>
          <cell r="B145">
            <v>1</v>
          </cell>
          <cell r="C145" t="str">
            <v>TAP-000031-00</v>
          </cell>
          <cell r="D145" t="str">
            <v>3M Electrical Tape 92</v>
          </cell>
          <cell r="E145" t="str">
            <v>A</v>
          </cell>
          <cell r="F145" t="str">
            <v>Tape</v>
          </cell>
          <cell r="G145">
            <v>120</v>
          </cell>
          <cell r="H145">
            <v>1.4E-2</v>
          </cell>
          <cell r="I145" t="str">
            <v>Buy</v>
          </cell>
        </row>
        <row r="146">
          <cell r="A146" t="str">
            <v>ASY-006796-01</v>
          </cell>
          <cell r="B146">
            <v>1</v>
          </cell>
          <cell r="C146" t="str">
            <v>TMP-000027-00</v>
          </cell>
          <cell r="D146" t="str">
            <v>Thermal Pad, LED PCBA, 1 FT, TROV 2</v>
          </cell>
          <cell r="E146" t="str">
            <v>B</v>
          </cell>
          <cell r="F146" t="str">
            <v>Thermal Pad</v>
          </cell>
          <cell r="G146">
            <v>1</v>
          </cell>
          <cell r="H146">
            <v>0.72</v>
          </cell>
          <cell r="I146" t="str">
            <v>Buy</v>
          </cell>
        </row>
        <row r="147">
          <cell r="A147" t="str">
            <v>ASY-006796-01</v>
          </cell>
          <cell r="B147">
            <v>1</v>
          </cell>
          <cell r="C147" t="str">
            <v>TMP-000029-00</v>
          </cell>
          <cell r="D147" t="str">
            <v>Thermal Pad, HBA, TROV 2</v>
          </cell>
          <cell r="E147" t="str">
            <v>B</v>
          </cell>
          <cell r="F147" t="str">
            <v>Thermal Pad</v>
          </cell>
          <cell r="G147">
            <v>2</v>
          </cell>
          <cell r="H147">
            <v>0.14000000000000001</v>
          </cell>
          <cell r="I147" t="str">
            <v>Buy</v>
          </cell>
        </row>
        <row r="148">
          <cell r="A148" t="str">
            <v>ASY-006796-02</v>
          </cell>
          <cell r="B148">
            <v>0</v>
          </cell>
          <cell r="C148" t="str">
            <v>ASY-006796-02</v>
          </cell>
          <cell r="D148" t="str">
            <v>ASSY, MECHANICAL, L60, OUTDOOR, 1 FT, TROV 2.0, WHITE</v>
          </cell>
          <cell r="E148" t="str">
            <v>M</v>
          </cell>
          <cell r="F148" t="str">
            <v>Sub assembly</v>
          </cell>
          <cell r="H148">
            <v>0</v>
          </cell>
          <cell r="I148" t="str">
            <v>Make</v>
          </cell>
        </row>
        <row r="149">
          <cell r="A149" t="str">
            <v>ASY-006796-02</v>
          </cell>
          <cell r="B149">
            <v>1</v>
          </cell>
          <cell r="C149" t="str">
            <v>ACB-000261-00</v>
          </cell>
          <cell r="D149" t="str">
            <v>CABLE, ECOBUS, 24AWG, SHORT, TROV 2</v>
          </cell>
          <cell r="E149" t="str">
            <v>B</v>
          </cell>
          <cell r="F149" t="str">
            <v>Cable</v>
          </cell>
          <cell r="G149">
            <v>1</v>
          </cell>
          <cell r="H149">
            <v>0.76</v>
          </cell>
          <cell r="I149" t="str">
            <v>Buy</v>
          </cell>
        </row>
        <row r="150">
          <cell r="A150" t="str">
            <v>ASY-006796-02</v>
          </cell>
          <cell r="B150">
            <v>1</v>
          </cell>
          <cell r="C150" t="str">
            <v>ASY-100009-00</v>
          </cell>
          <cell r="D150" t="str">
            <v>Cable Subassembly, Driver housing, 1ft, Trov 2</v>
          </cell>
          <cell r="E150" t="str">
            <v>B</v>
          </cell>
          <cell r="F150" t="str">
            <v>Sub assembly</v>
          </cell>
          <cell r="G150">
            <v>1</v>
          </cell>
          <cell r="H150">
            <v>0</v>
          </cell>
          <cell r="I150" t="str">
            <v>Make</v>
          </cell>
        </row>
        <row r="151">
          <cell r="A151" t="str">
            <v>ASY-006796-02</v>
          </cell>
          <cell r="B151">
            <v>2</v>
          </cell>
          <cell r="C151" t="str">
            <v>ACB-000278-00</v>
          </cell>
          <cell r="D151" t="str">
            <v>CABLE ASSY, INTRA-FIXTURE, 1FT, TROV 2.0</v>
          </cell>
          <cell r="E151" t="str">
            <v>A</v>
          </cell>
          <cell r="F151" t="str">
            <v>Cable Assembly</v>
          </cell>
          <cell r="G151">
            <v>1</v>
          </cell>
          <cell r="H151">
            <v>12.75</v>
          </cell>
          <cell r="I151" t="str">
            <v>Buy</v>
          </cell>
        </row>
        <row r="152">
          <cell r="A152" t="str">
            <v>ASY-006796-02</v>
          </cell>
          <cell r="B152">
            <v>3</v>
          </cell>
          <cell r="C152" t="str">
            <v>ACB-000273-00</v>
          </cell>
          <cell r="D152" t="str">
            <v>6 CONDUCTOR CABLE, 3X22AWG, 3X16AWG, AL MYLAR, TROV 2</v>
          </cell>
          <cell r="E152" t="str">
            <v>A</v>
          </cell>
          <cell r="F152" t="str">
            <v>Cable</v>
          </cell>
          <cell r="G152">
            <v>1</v>
          </cell>
          <cell r="H152">
            <v>0</v>
          </cell>
          <cell r="I152" t="str">
            <v>N/A</v>
          </cell>
        </row>
        <row r="153">
          <cell r="A153" t="str">
            <v>ASY-006796-02</v>
          </cell>
          <cell r="B153">
            <v>3</v>
          </cell>
          <cell r="C153" t="str">
            <v>ACB-000274-01</v>
          </cell>
          <cell r="D153" t="str">
            <v>CABLE ASSEMBLY, INTERNAL, DRIVER SIDE, 1FT, TROV 2</v>
          </cell>
          <cell r="E153" t="str">
            <v>A</v>
          </cell>
          <cell r="F153" t="str">
            <v>Cable Assembly</v>
          </cell>
          <cell r="G153">
            <v>1</v>
          </cell>
          <cell r="H153">
            <v>0</v>
          </cell>
          <cell r="I153" t="str">
            <v>N/A</v>
          </cell>
        </row>
        <row r="154">
          <cell r="A154" t="str">
            <v>ASY-006796-02</v>
          </cell>
          <cell r="B154">
            <v>3</v>
          </cell>
          <cell r="C154" t="str">
            <v>CON-000259-00</v>
          </cell>
          <cell r="D154" t="str">
            <v>CONNECTOR, MALE, 6 PIN, TROV 2</v>
          </cell>
          <cell r="E154" t="str">
            <v>B</v>
          </cell>
          <cell r="F154" t="str">
            <v>Connector</v>
          </cell>
          <cell r="G154">
            <v>1</v>
          </cell>
          <cell r="H154">
            <v>0</v>
          </cell>
          <cell r="I154" t="str">
            <v>N/A</v>
          </cell>
        </row>
        <row r="155">
          <cell r="A155" t="str">
            <v>ASY-006796-02</v>
          </cell>
          <cell r="B155">
            <v>3</v>
          </cell>
          <cell r="C155" t="str">
            <v>CON-000260-00</v>
          </cell>
          <cell r="D155" t="str">
            <v>CONNECTOR, FEMALE, 6 PIN, TROV 2</v>
          </cell>
          <cell r="E155" t="str">
            <v>A</v>
          </cell>
          <cell r="F155" t="str">
            <v>Connector</v>
          </cell>
          <cell r="G155">
            <v>1</v>
          </cell>
          <cell r="H155">
            <v>0</v>
          </cell>
          <cell r="I155" t="str">
            <v>N/A</v>
          </cell>
        </row>
        <row r="156">
          <cell r="A156" t="str">
            <v>ASY-006796-02</v>
          </cell>
          <cell r="B156">
            <v>3</v>
          </cell>
          <cell r="C156" t="str">
            <v>ORG-000060-00</v>
          </cell>
          <cell r="D156" t="str">
            <v>O-RING, CABLE, TROV 2</v>
          </cell>
          <cell r="E156" t="str">
            <v>A</v>
          </cell>
          <cell r="F156" t="str">
            <v>O-Ring</v>
          </cell>
          <cell r="G156">
            <v>1</v>
          </cell>
          <cell r="H156">
            <v>0</v>
          </cell>
          <cell r="I156" t="str">
            <v>N/A</v>
          </cell>
        </row>
        <row r="157">
          <cell r="A157" t="str">
            <v>ASY-006796-02</v>
          </cell>
          <cell r="B157">
            <v>3</v>
          </cell>
          <cell r="C157" t="str">
            <v>SRF-000030-00</v>
          </cell>
          <cell r="D157" t="str">
            <v>STRAIN RELIEF, CABLE, TROV 2</v>
          </cell>
          <cell r="E157" t="str">
            <v>A</v>
          </cell>
          <cell r="F157" t="str">
            <v>Strain Relief</v>
          </cell>
          <cell r="G157">
            <v>1</v>
          </cell>
          <cell r="H157">
            <v>0</v>
          </cell>
          <cell r="I157" t="str">
            <v>N/A</v>
          </cell>
        </row>
        <row r="158">
          <cell r="A158" t="str">
            <v>ASY-006796-02</v>
          </cell>
          <cell r="B158">
            <v>2</v>
          </cell>
          <cell r="C158" t="str">
            <v>HSG-000488-01</v>
          </cell>
          <cell r="D158" t="str">
            <v>HOUSING, PSU, 1 FT, MOLDED HOLE, TROV 2.0</v>
          </cell>
          <cell r="E158" t="str">
            <v>B</v>
          </cell>
          <cell r="F158" t="str">
            <v>Housing</v>
          </cell>
          <cell r="G158">
            <v>1</v>
          </cell>
          <cell r="H158">
            <v>1.17</v>
          </cell>
          <cell r="I158" t="str">
            <v>Buy</v>
          </cell>
        </row>
        <row r="159">
          <cell r="A159" t="str">
            <v>ASY-006796-02</v>
          </cell>
          <cell r="B159">
            <v>2</v>
          </cell>
          <cell r="C159" t="str">
            <v>SCW-000577-00</v>
          </cell>
          <cell r="D159" t="str">
            <v>SCREW, TORX HEAD, LOW PROFILE, M3X8mm, ALLOY STEEL</v>
          </cell>
          <cell r="E159" t="str">
            <v>A</v>
          </cell>
          <cell r="F159" t="str">
            <v>Screw</v>
          </cell>
          <cell r="G159">
            <v>2</v>
          </cell>
          <cell r="H159">
            <v>0.03</v>
          </cell>
          <cell r="I159" t="str">
            <v>Buy</v>
          </cell>
        </row>
        <row r="160">
          <cell r="A160" t="str">
            <v>ASY-006796-02</v>
          </cell>
          <cell r="B160">
            <v>1</v>
          </cell>
          <cell r="C160" t="str">
            <v>BAS-000020-00</v>
          </cell>
          <cell r="D160" t="str">
            <v>BASE, 1FT, TROV 2.0</v>
          </cell>
          <cell r="E160" t="str">
            <v>E</v>
          </cell>
          <cell r="F160" t="str">
            <v>Base</v>
          </cell>
          <cell r="G160">
            <v>1</v>
          </cell>
          <cell r="H160">
            <v>5.8</v>
          </cell>
          <cell r="I160" t="str">
            <v>Buy</v>
          </cell>
        </row>
        <row r="161">
          <cell r="A161" t="str">
            <v>ASY-006796-02</v>
          </cell>
          <cell r="B161">
            <v>1</v>
          </cell>
          <cell r="C161" t="str">
            <v>BKT-000457-03</v>
          </cell>
          <cell r="D161" t="str">
            <v>BRACKET, MOUNT, LEFT, BLACK, TROV 2.0</v>
          </cell>
          <cell r="E161" t="str">
            <v>C</v>
          </cell>
          <cell r="F161" t="str">
            <v>Bracket</v>
          </cell>
          <cell r="G161">
            <v>1</v>
          </cell>
          <cell r="H161">
            <v>0.99</v>
          </cell>
          <cell r="I161" t="str">
            <v>Buy</v>
          </cell>
        </row>
        <row r="162">
          <cell r="A162" t="str">
            <v>ASY-006796-02</v>
          </cell>
          <cell r="B162">
            <v>1</v>
          </cell>
          <cell r="C162" t="str">
            <v>BKT-000458-03</v>
          </cell>
          <cell r="D162" t="str">
            <v>BRACKET, MOUNT, RIGHT, BLACK, TROV 2.0</v>
          </cell>
          <cell r="E162" t="str">
            <v>C</v>
          </cell>
          <cell r="F162" t="str">
            <v>Bracket</v>
          </cell>
          <cell r="G162">
            <v>1</v>
          </cell>
          <cell r="H162">
            <v>0.99</v>
          </cell>
          <cell r="I162" t="str">
            <v>Buy</v>
          </cell>
        </row>
        <row r="163">
          <cell r="A163" t="str">
            <v>ASY-006796-02</v>
          </cell>
          <cell r="B163">
            <v>1</v>
          </cell>
          <cell r="C163" t="str">
            <v>CVR-000789-04</v>
          </cell>
          <cell r="D163" t="str">
            <v>END COVER, FC, WHITE, L60, TROV 2.0</v>
          </cell>
          <cell r="E163" t="str">
            <v>D</v>
          </cell>
          <cell r="F163" t="str">
            <v>Cover</v>
          </cell>
          <cell r="G163">
            <v>1</v>
          </cell>
          <cell r="H163">
            <v>0</v>
          </cell>
          <cell r="I163" t="str">
            <v>Buy</v>
          </cell>
        </row>
        <row r="164">
          <cell r="A164" t="str">
            <v>ASY-006796-02</v>
          </cell>
          <cell r="B164">
            <v>1</v>
          </cell>
          <cell r="C164" t="str">
            <v>CVR-000893-04</v>
          </cell>
          <cell r="D164" t="str">
            <v>END COVER, MC, WHITE, L60, TROV 2.0</v>
          </cell>
          <cell r="E164" t="str">
            <v>B</v>
          </cell>
          <cell r="F164" t="str">
            <v>Cover</v>
          </cell>
          <cell r="G164">
            <v>1</v>
          </cell>
          <cell r="H164">
            <v>1.0900000000000001</v>
          </cell>
          <cell r="I164" t="str">
            <v>Buy</v>
          </cell>
        </row>
        <row r="165">
          <cell r="A165" t="str">
            <v>ASY-006796-02</v>
          </cell>
          <cell r="B165">
            <v>1</v>
          </cell>
          <cell r="C165" t="str">
            <v>FOM-000028-00</v>
          </cell>
          <cell r="D165" t="str">
            <v>FOAM, LIGHTBLOCK, ENDCAP, L60, TROV2</v>
          </cell>
          <cell r="E165" t="str">
            <v>A</v>
          </cell>
          <cell r="F165" t="str">
            <v>Foam</v>
          </cell>
          <cell r="G165">
            <v>2</v>
          </cell>
          <cell r="H165">
            <v>0.03</v>
          </cell>
          <cell r="I165" t="str">
            <v>Buy</v>
          </cell>
        </row>
        <row r="166">
          <cell r="A166" t="str">
            <v>ASY-006796-02</v>
          </cell>
          <cell r="B166">
            <v>1</v>
          </cell>
          <cell r="C166" t="str">
            <v>GSK-000121-01</v>
          </cell>
          <cell r="D166" t="str">
            <v>GASKET, DRIVER ENCLOSURE, 3M, 1 FT, TROV 2.0</v>
          </cell>
          <cell r="E166" t="str">
            <v>B</v>
          </cell>
          <cell r="F166" t="str">
            <v>Gasket</v>
          </cell>
          <cell r="G166">
            <v>1</v>
          </cell>
          <cell r="H166">
            <v>1.7</v>
          </cell>
          <cell r="I166" t="str">
            <v>Buy</v>
          </cell>
        </row>
        <row r="167">
          <cell r="A167" t="str">
            <v>ASY-006796-02</v>
          </cell>
          <cell r="B167">
            <v>1</v>
          </cell>
          <cell r="C167" t="str">
            <v>GSK-000132-00</v>
          </cell>
          <cell r="D167" t="str">
            <v>GASKET, TERTIARY LENS, 3M, 1 FT, L60, TROV 2.0</v>
          </cell>
          <cell r="E167" t="str">
            <v>B</v>
          </cell>
          <cell r="F167" t="str">
            <v>Gasket</v>
          </cell>
          <cell r="G167">
            <v>1</v>
          </cell>
          <cell r="H167">
            <v>1.96</v>
          </cell>
          <cell r="I167" t="str">
            <v>Buy</v>
          </cell>
        </row>
        <row r="168">
          <cell r="A168" t="str">
            <v>ASY-006796-02</v>
          </cell>
          <cell r="B168">
            <v>1</v>
          </cell>
          <cell r="C168" t="str">
            <v>HSG-000490-04</v>
          </cell>
          <cell r="D168" t="str">
            <v>HOUSING, TOP, 1 FT, L60, WHITE, TROV 2.0</v>
          </cell>
          <cell r="E168" t="str">
            <v>E</v>
          </cell>
          <cell r="F168" t="str">
            <v>Housing</v>
          </cell>
          <cell r="G168">
            <v>1</v>
          </cell>
          <cell r="H168">
            <v>4.57</v>
          </cell>
          <cell r="I168" t="str">
            <v>Buy</v>
          </cell>
        </row>
        <row r="169">
          <cell r="A169" t="str">
            <v>ASY-006796-02</v>
          </cell>
          <cell r="B169">
            <v>1</v>
          </cell>
          <cell r="C169" t="str">
            <v>HSG-000492-04</v>
          </cell>
          <cell r="D169" t="str">
            <v>HOUSING, BOTTOM, 1 FT, WHITE, TROV 2.0</v>
          </cell>
          <cell r="E169" t="str">
            <v>F</v>
          </cell>
          <cell r="F169" t="str">
            <v>Housing</v>
          </cell>
          <cell r="G169">
            <v>1</v>
          </cell>
          <cell r="H169">
            <v>3.34</v>
          </cell>
          <cell r="I169" t="str">
            <v>Buy</v>
          </cell>
        </row>
        <row r="170">
          <cell r="A170" t="str">
            <v>ASY-006796-02</v>
          </cell>
          <cell r="B170">
            <v>1</v>
          </cell>
          <cell r="C170" t="str">
            <v>LBA-000003-00</v>
          </cell>
          <cell r="D170" t="str">
            <v>Label: TROV 2 P1/P2, Model L45/L60</v>
          </cell>
          <cell r="E170" t="str">
            <v>A</v>
          </cell>
          <cell r="F170" t="str">
            <v>Label BOM</v>
          </cell>
          <cell r="G170">
            <v>1</v>
          </cell>
          <cell r="H170">
            <v>0</v>
          </cell>
          <cell r="I170" t="str">
            <v>Make</v>
          </cell>
        </row>
        <row r="171">
          <cell r="A171" t="str">
            <v>ASY-006796-02</v>
          </cell>
          <cell r="B171">
            <v>2</v>
          </cell>
          <cell r="C171" t="str">
            <v>LBL-000243-00</v>
          </cell>
          <cell r="D171" t="str">
            <v>Blank Product Label: Trov 2 P1/P2, Model L45/L60</v>
          </cell>
          <cell r="E171" t="str">
            <v>A</v>
          </cell>
          <cell r="F171" t="str">
            <v>Label</v>
          </cell>
          <cell r="G171">
            <v>1</v>
          </cell>
          <cell r="H171">
            <v>0.33</v>
          </cell>
          <cell r="I171" t="str">
            <v>Buy</v>
          </cell>
        </row>
        <row r="172">
          <cell r="A172" t="str">
            <v>ASY-006796-02</v>
          </cell>
          <cell r="B172">
            <v>1</v>
          </cell>
          <cell r="C172" t="str">
            <v>PLG-000009-01</v>
          </cell>
          <cell r="D172" t="str">
            <v>Porex Vent, Trov, L50 Exterior</v>
          </cell>
          <cell r="E172" t="str">
            <v>B</v>
          </cell>
          <cell r="F172" t="str">
            <v>Plug</v>
          </cell>
          <cell r="G172">
            <v>1</v>
          </cell>
          <cell r="H172">
            <v>0.17</v>
          </cell>
          <cell r="I172" t="str">
            <v>Buy</v>
          </cell>
        </row>
        <row r="173">
          <cell r="A173" t="str">
            <v>ASY-006796-02</v>
          </cell>
          <cell r="B173">
            <v>1</v>
          </cell>
          <cell r="C173" t="str">
            <v>SCW-000156-00</v>
          </cell>
          <cell r="D173" t="str">
            <v>SCREW, M3 x 0.5 X 8mm, PAND HEAD, PHILLIPS, STEEL</v>
          </cell>
          <cell r="E173" t="str">
            <v>B</v>
          </cell>
          <cell r="F173" t="str">
            <v>Screw</v>
          </cell>
          <cell r="G173">
            <v>2</v>
          </cell>
          <cell r="H173">
            <v>4.4400000000000002E-2</v>
          </cell>
          <cell r="I173" t="str">
            <v>Buy</v>
          </cell>
        </row>
        <row r="174">
          <cell r="A174" t="str">
            <v>ASY-006796-02</v>
          </cell>
          <cell r="B174">
            <v>1</v>
          </cell>
          <cell r="C174" t="str">
            <v>SCW-000483-00</v>
          </cell>
          <cell r="D174" t="str">
            <v>SCREW, PHILIPS FLAT HEAD, M2.5x0.45x5 , 18-8 SST</v>
          </cell>
          <cell r="E174" t="str">
            <v>A</v>
          </cell>
          <cell r="F174" t="str">
            <v>Screw</v>
          </cell>
          <cell r="G174">
            <v>4</v>
          </cell>
          <cell r="H174">
            <v>0.02</v>
          </cell>
          <cell r="I174" t="str">
            <v>Buy</v>
          </cell>
        </row>
        <row r="175">
          <cell r="A175" t="str">
            <v>ASY-006796-02</v>
          </cell>
          <cell r="B175">
            <v>1</v>
          </cell>
          <cell r="C175" t="str">
            <v>SCW-000556-00</v>
          </cell>
          <cell r="D175" t="str">
            <v>SCREW, HEX, SERRATED, #8-32, GROUNDING, TROV 2</v>
          </cell>
          <cell r="E175" t="str">
            <v>A</v>
          </cell>
          <cell r="F175" t="str">
            <v>Screw</v>
          </cell>
          <cell r="G175">
            <v>1</v>
          </cell>
          <cell r="H175">
            <v>0.04</v>
          </cell>
          <cell r="I175" t="str">
            <v>Buy</v>
          </cell>
        </row>
        <row r="176">
          <cell r="A176" t="str">
            <v>ASY-006796-02</v>
          </cell>
          <cell r="B176">
            <v>1</v>
          </cell>
          <cell r="C176" t="str">
            <v>SCW-000574-00</v>
          </cell>
          <cell r="D176" t="str">
            <v>SCREW, TORX HEAD, 1/4-28x1/2", LOW PROFILE, ALLOY STEEL</v>
          </cell>
          <cell r="E176" t="str">
            <v>A</v>
          </cell>
          <cell r="F176" t="str">
            <v>Screw</v>
          </cell>
          <cell r="G176">
            <v>2</v>
          </cell>
          <cell r="H176">
            <v>0.14000000000000001</v>
          </cell>
          <cell r="I176" t="str">
            <v>Buy</v>
          </cell>
        </row>
        <row r="177">
          <cell r="A177" t="str">
            <v>ASY-006796-02</v>
          </cell>
          <cell r="B177">
            <v>1</v>
          </cell>
          <cell r="C177" t="str">
            <v>SHT-000042-00</v>
          </cell>
          <cell r="D177" t="str">
            <v>INSULATION SHEET, MP/LP HBA, TROV 2</v>
          </cell>
          <cell r="E177" t="str">
            <v>D</v>
          </cell>
          <cell r="F177" t="str">
            <v>Sheet</v>
          </cell>
          <cell r="G177">
            <v>1</v>
          </cell>
          <cell r="H177">
            <v>0.16</v>
          </cell>
          <cell r="I177" t="str">
            <v>Buy</v>
          </cell>
        </row>
        <row r="178">
          <cell r="A178" t="str">
            <v>ASY-006796-02</v>
          </cell>
          <cell r="B178">
            <v>1</v>
          </cell>
          <cell r="C178" t="str">
            <v>SPG-000023-00</v>
          </cell>
          <cell r="D178" t="str">
            <v>SPRING, DISC, STACKED WAVE, TROV 2.0</v>
          </cell>
          <cell r="E178" t="str">
            <v>A</v>
          </cell>
          <cell r="F178" t="str">
            <v>Spring</v>
          </cell>
          <cell r="G178">
            <v>2</v>
          </cell>
          <cell r="H178">
            <v>1.74</v>
          </cell>
          <cell r="I178" t="str">
            <v>Buy</v>
          </cell>
        </row>
        <row r="179">
          <cell r="A179" t="str">
            <v>ASY-006796-02</v>
          </cell>
          <cell r="B179">
            <v>1</v>
          </cell>
          <cell r="C179" t="str">
            <v>TAP-000031-00</v>
          </cell>
          <cell r="D179" t="str">
            <v>3M Electrical Tape 92</v>
          </cell>
          <cell r="E179" t="str">
            <v>A</v>
          </cell>
          <cell r="F179" t="str">
            <v>Tape</v>
          </cell>
          <cell r="G179">
            <v>120</v>
          </cell>
          <cell r="H179">
            <v>1.4E-2</v>
          </cell>
          <cell r="I179" t="str">
            <v>Buy</v>
          </cell>
        </row>
        <row r="180">
          <cell r="A180" t="str">
            <v>ASY-006796-02</v>
          </cell>
          <cell r="B180">
            <v>1</v>
          </cell>
          <cell r="C180" t="str">
            <v>TMP-000027-00</v>
          </cell>
          <cell r="D180" t="str">
            <v>Thermal Pad, LED PCBA, 1 FT, TROV 2</v>
          </cell>
          <cell r="E180" t="str">
            <v>B</v>
          </cell>
          <cell r="F180" t="str">
            <v>Thermal Pad</v>
          </cell>
          <cell r="G180">
            <v>1</v>
          </cell>
          <cell r="H180">
            <v>0.72</v>
          </cell>
          <cell r="I180" t="str">
            <v>Buy</v>
          </cell>
        </row>
        <row r="181">
          <cell r="A181" t="str">
            <v>ASY-006796-02</v>
          </cell>
          <cell r="B181">
            <v>1</v>
          </cell>
          <cell r="C181" t="str">
            <v>TMP-000029-00</v>
          </cell>
          <cell r="D181" t="str">
            <v>Thermal Pad, HBA, TROV 2</v>
          </cell>
          <cell r="E181" t="str">
            <v>B</v>
          </cell>
          <cell r="F181" t="str">
            <v>Thermal Pad</v>
          </cell>
          <cell r="G181">
            <v>2</v>
          </cell>
          <cell r="H181">
            <v>0.14000000000000001</v>
          </cell>
          <cell r="I181" t="str">
            <v>Buy</v>
          </cell>
        </row>
        <row r="182">
          <cell r="A182" t="str">
            <v>ASY-006796-03</v>
          </cell>
          <cell r="B182">
            <v>0</v>
          </cell>
          <cell r="C182" t="str">
            <v>ASY-006796-03</v>
          </cell>
          <cell r="D182" t="str">
            <v>ASSY, MECHANICAL, L60, OUTDOOR, 1 FT, TROV 2.0, BRONZE</v>
          </cell>
          <cell r="E182" t="str">
            <v>M</v>
          </cell>
          <cell r="F182" t="str">
            <v>Sub assembly</v>
          </cell>
          <cell r="H182">
            <v>0</v>
          </cell>
          <cell r="I182" t="str">
            <v>Make</v>
          </cell>
        </row>
        <row r="183">
          <cell r="A183" t="str">
            <v>ASY-006796-03</v>
          </cell>
          <cell r="B183">
            <v>1</v>
          </cell>
          <cell r="C183" t="str">
            <v>ACB-000261-00</v>
          </cell>
          <cell r="D183" t="str">
            <v>CABLE, ECOBUS, 24AWG, SHORT, TROV 2</v>
          </cell>
          <cell r="E183" t="str">
            <v>B</v>
          </cell>
          <cell r="F183" t="str">
            <v>Cable</v>
          </cell>
          <cell r="G183">
            <v>1</v>
          </cell>
          <cell r="H183">
            <v>0.76</v>
          </cell>
          <cell r="I183" t="str">
            <v>Buy</v>
          </cell>
        </row>
        <row r="184">
          <cell r="A184" t="str">
            <v>ASY-006796-03</v>
          </cell>
          <cell r="B184">
            <v>1</v>
          </cell>
          <cell r="C184" t="str">
            <v>ASY-100009-00</v>
          </cell>
          <cell r="D184" t="str">
            <v>Cable Subassembly, Driver housing, 1ft, Trov 2</v>
          </cell>
          <cell r="E184" t="str">
            <v>B</v>
          </cell>
          <cell r="F184" t="str">
            <v>Sub assembly</v>
          </cell>
          <cell r="G184">
            <v>1</v>
          </cell>
          <cell r="H184">
            <v>0</v>
          </cell>
          <cell r="I184" t="str">
            <v>Make</v>
          </cell>
        </row>
        <row r="185">
          <cell r="A185" t="str">
            <v>ASY-006796-03</v>
          </cell>
          <cell r="B185">
            <v>2</v>
          </cell>
          <cell r="C185" t="str">
            <v>ACB-000278-00</v>
          </cell>
          <cell r="D185" t="str">
            <v>CABLE ASSY, INTRA-FIXTURE, 1FT, TROV 2.0</v>
          </cell>
          <cell r="E185" t="str">
            <v>A</v>
          </cell>
          <cell r="F185" t="str">
            <v>Cable Assembly</v>
          </cell>
          <cell r="G185">
            <v>1</v>
          </cell>
          <cell r="H185">
            <v>12.75</v>
          </cell>
          <cell r="I185" t="str">
            <v>Buy</v>
          </cell>
        </row>
        <row r="186">
          <cell r="A186" t="str">
            <v>ASY-006796-03</v>
          </cell>
          <cell r="B186">
            <v>3</v>
          </cell>
          <cell r="C186" t="str">
            <v>ACB-000273-00</v>
          </cell>
          <cell r="D186" t="str">
            <v>6 CONDUCTOR CABLE, 3X22AWG, 3X16AWG, AL MYLAR, TROV 2</v>
          </cell>
          <cell r="E186" t="str">
            <v>A</v>
          </cell>
          <cell r="F186" t="str">
            <v>Cable</v>
          </cell>
          <cell r="G186">
            <v>1</v>
          </cell>
          <cell r="H186">
            <v>0</v>
          </cell>
          <cell r="I186" t="str">
            <v>N/A</v>
          </cell>
        </row>
        <row r="187">
          <cell r="A187" t="str">
            <v>ASY-006796-03</v>
          </cell>
          <cell r="B187">
            <v>3</v>
          </cell>
          <cell r="C187" t="str">
            <v>ACB-000274-01</v>
          </cell>
          <cell r="D187" t="str">
            <v>CABLE ASSEMBLY, INTERNAL, DRIVER SIDE, 1FT, TROV 2</v>
          </cell>
          <cell r="E187" t="str">
            <v>A</v>
          </cell>
          <cell r="F187" t="str">
            <v>Cable Assembly</v>
          </cell>
          <cell r="G187">
            <v>1</v>
          </cell>
          <cell r="H187">
            <v>0</v>
          </cell>
          <cell r="I187" t="str">
            <v>N/A</v>
          </cell>
        </row>
        <row r="188">
          <cell r="A188" t="str">
            <v>ASY-006796-03</v>
          </cell>
          <cell r="B188">
            <v>3</v>
          </cell>
          <cell r="C188" t="str">
            <v>CON-000259-00</v>
          </cell>
          <cell r="D188" t="str">
            <v>CONNECTOR, MALE, 6 PIN, TROV 2</v>
          </cell>
          <cell r="E188" t="str">
            <v>B</v>
          </cell>
          <cell r="F188" t="str">
            <v>Connector</v>
          </cell>
          <cell r="G188">
            <v>1</v>
          </cell>
          <cell r="H188">
            <v>0</v>
          </cell>
          <cell r="I188" t="str">
            <v>N/A</v>
          </cell>
        </row>
        <row r="189">
          <cell r="A189" t="str">
            <v>ASY-006796-03</v>
          </cell>
          <cell r="B189">
            <v>3</v>
          </cell>
          <cell r="C189" t="str">
            <v>CON-000260-00</v>
          </cell>
          <cell r="D189" t="str">
            <v>CONNECTOR, FEMALE, 6 PIN, TROV 2</v>
          </cell>
          <cell r="E189" t="str">
            <v>A</v>
          </cell>
          <cell r="F189" t="str">
            <v>Connector</v>
          </cell>
          <cell r="G189">
            <v>1</v>
          </cell>
          <cell r="H189">
            <v>0</v>
          </cell>
          <cell r="I189" t="str">
            <v>N/A</v>
          </cell>
        </row>
        <row r="190">
          <cell r="A190" t="str">
            <v>ASY-006796-03</v>
          </cell>
          <cell r="B190">
            <v>3</v>
          </cell>
          <cell r="C190" t="str">
            <v>ORG-000060-00</v>
          </cell>
          <cell r="D190" t="str">
            <v>O-RING, CABLE, TROV 2</v>
          </cell>
          <cell r="E190" t="str">
            <v>A</v>
          </cell>
          <cell r="F190" t="str">
            <v>O-Ring</v>
          </cell>
          <cell r="G190">
            <v>1</v>
          </cell>
          <cell r="H190">
            <v>0</v>
          </cell>
          <cell r="I190" t="str">
            <v>N/A</v>
          </cell>
        </row>
        <row r="191">
          <cell r="A191" t="str">
            <v>ASY-006796-03</v>
          </cell>
          <cell r="B191">
            <v>3</v>
          </cell>
          <cell r="C191" t="str">
            <v>SRF-000030-00</v>
          </cell>
          <cell r="D191" t="str">
            <v>STRAIN RELIEF, CABLE, TROV 2</v>
          </cell>
          <cell r="E191" t="str">
            <v>A</v>
          </cell>
          <cell r="F191" t="str">
            <v>Strain Relief</v>
          </cell>
          <cell r="G191">
            <v>1</v>
          </cell>
          <cell r="H191">
            <v>0</v>
          </cell>
          <cell r="I191" t="str">
            <v>N/A</v>
          </cell>
        </row>
        <row r="192">
          <cell r="A192" t="str">
            <v>ASY-006796-03</v>
          </cell>
          <cell r="B192">
            <v>2</v>
          </cell>
          <cell r="C192" t="str">
            <v>HSG-000488-01</v>
          </cell>
          <cell r="D192" t="str">
            <v>HOUSING, PSU, 1 FT, MOLDED HOLE, TROV 2.0</v>
          </cell>
          <cell r="E192" t="str">
            <v>B</v>
          </cell>
          <cell r="F192" t="str">
            <v>Housing</v>
          </cell>
          <cell r="G192">
            <v>1</v>
          </cell>
          <cell r="H192">
            <v>1.17</v>
          </cell>
          <cell r="I192" t="str">
            <v>Buy</v>
          </cell>
        </row>
        <row r="193">
          <cell r="A193" t="str">
            <v>ASY-006796-03</v>
          </cell>
          <cell r="B193">
            <v>2</v>
          </cell>
          <cell r="C193" t="str">
            <v>SCW-000577-00</v>
          </cell>
          <cell r="D193" t="str">
            <v>SCREW, TORX HEAD, LOW PROFILE, M3X8mm, ALLOY STEEL</v>
          </cell>
          <cell r="E193" t="str">
            <v>A</v>
          </cell>
          <cell r="F193" t="str">
            <v>Screw</v>
          </cell>
          <cell r="G193">
            <v>2</v>
          </cell>
          <cell r="H193">
            <v>0.03</v>
          </cell>
          <cell r="I193" t="str">
            <v>Buy</v>
          </cell>
        </row>
        <row r="194">
          <cell r="A194" t="str">
            <v>ASY-006796-03</v>
          </cell>
          <cell r="B194">
            <v>1</v>
          </cell>
          <cell r="C194" t="str">
            <v>BAS-000020-00</v>
          </cell>
          <cell r="D194" t="str">
            <v>BASE, 1FT, TROV 2.0</v>
          </cell>
          <cell r="E194" t="str">
            <v>E</v>
          </cell>
          <cell r="F194" t="str">
            <v>Base</v>
          </cell>
          <cell r="G194">
            <v>1</v>
          </cell>
          <cell r="H194">
            <v>5.8</v>
          </cell>
          <cell r="I194" t="str">
            <v>Buy</v>
          </cell>
        </row>
        <row r="195">
          <cell r="A195" t="str">
            <v>ASY-006796-03</v>
          </cell>
          <cell r="B195">
            <v>1</v>
          </cell>
          <cell r="C195" t="str">
            <v>BKT-000457-03</v>
          </cell>
          <cell r="D195" t="str">
            <v>BRACKET, MOUNT, LEFT, BLACK, TROV 2.0</v>
          </cell>
          <cell r="E195" t="str">
            <v>C</v>
          </cell>
          <cell r="F195" t="str">
            <v>Bracket</v>
          </cell>
          <cell r="G195">
            <v>1</v>
          </cell>
          <cell r="H195">
            <v>0.99</v>
          </cell>
          <cell r="I195" t="str">
            <v>Buy</v>
          </cell>
        </row>
        <row r="196">
          <cell r="A196" t="str">
            <v>ASY-006796-03</v>
          </cell>
          <cell r="B196">
            <v>1</v>
          </cell>
          <cell r="C196" t="str">
            <v>BKT-000458-03</v>
          </cell>
          <cell r="D196" t="str">
            <v>BRACKET, MOUNT, RIGHT, BLACK, TROV 2.0</v>
          </cell>
          <cell r="E196" t="str">
            <v>C</v>
          </cell>
          <cell r="F196" t="str">
            <v>Bracket</v>
          </cell>
          <cell r="G196">
            <v>1</v>
          </cell>
          <cell r="H196">
            <v>0.99</v>
          </cell>
          <cell r="I196" t="str">
            <v>Buy</v>
          </cell>
        </row>
        <row r="197">
          <cell r="A197" t="str">
            <v>ASY-006796-03</v>
          </cell>
          <cell r="B197">
            <v>1</v>
          </cell>
          <cell r="C197" t="str">
            <v>CVR-000789-02</v>
          </cell>
          <cell r="D197" t="str">
            <v>END COVER, FC, BRONZE, L60, TROV 2.0</v>
          </cell>
          <cell r="E197" t="str">
            <v>D</v>
          </cell>
          <cell r="F197" t="str">
            <v>Cover</v>
          </cell>
          <cell r="G197">
            <v>1</v>
          </cell>
          <cell r="H197">
            <v>2.09</v>
          </cell>
          <cell r="I197" t="str">
            <v>Buy</v>
          </cell>
        </row>
        <row r="198">
          <cell r="A198" t="str">
            <v>ASY-006796-03</v>
          </cell>
          <cell r="B198">
            <v>1</v>
          </cell>
          <cell r="C198" t="str">
            <v>CVR-000893-02</v>
          </cell>
          <cell r="D198" t="str">
            <v>END COVER, MC, BRONZE, L60, TROV 2.0</v>
          </cell>
          <cell r="E198" t="str">
            <v>B</v>
          </cell>
          <cell r="F198" t="str">
            <v>Cover</v>
          </cell>
          <cell r="G198">
            <v>1</v>
          </cell>
          <cell r="H198">
            <v>7.5</v>
          </cell>
          <cell r="I198" t="str">
            <v>Buy</v>
          </cell>
        </row>
        <row r="199">
          <cell r="A199" t="str">
            <v>ASY-006796-03</v>
          </cell>
          <cell r="B199">
            <v>1</v>
          </cell>
          <cell r="C199" t="str">
            <v>FOM-000028-00</v>
          </cell>
          <cell r="D199" t="str">
            <v>FOAM, LIGHTBLOCK, ENDCAP, L60, TROV2</v>
          </cell>
          <cell r="E199" t="str">
            <v>A</v>
          </cell>
          <cell r="F199" t="str">
            <v>Foam</v>
          </cell>
          <cell r="G199">
            <v>2</v>
          </cell>
          <cell r="H199">
            <v>0.03</v>
          </cell>
          <cell r="I199" t="str">
            <v>Buy</v>
          </cell>
        </row>
        <row r="200">
          <cell r="A200" t="str">
            <v>ASY-006796-03</v>
          </cell>
          <cell r="B200">
            <v>1</v>
          </cell>
          <cell r="C200" t="str">
            <v>GSK-000121-01</v>
          </cell>
          <cell r="D200" t="str">
            <v>GASKET, DRIVER ENCLOSURE, 3M, 1 FT, TROV 2.0</v>
          </cell>
          <cell r="E200" t="str">
            <v>B</v>
          </cell>
          <cell r="F200" t="str">
            <v>Gasket</v>
          </cell>
          <cell r="G200">
            <v>1</v>
          </cell>
          <cell r="H200">
            <v>1.7</v>
          </cell>
          <cell r="I200" t="str">
            <v>Buy</v>
          </cell>
        </row>
        <row r="201">
          <cell r="A201" t="str">
            <v>ASY-006796-03</v>
          </cell>
          <cell r="B201">
            <v>1</v>
          </cell>
          <cell r="C201" t="str">
            <v>GSK-000132-00</v>
          </cell>
          <cell r="D201" t="str">
            <v>GASKET, TERTIARY LENS, 3M, 1 FT, L60, TROV 2.0</v>
          </cell>
          <cell r="E201" t="str">
            <v>B</v>
          </cell>
          <cell r="F201" t="str">
            <v>Gasket</v>
          </cell>
          <cell r="G201">
            <v>1</v>
          </cell>
          <cell r="H201">
            <v>1.96</v>
          </cell>
          <cell r="I201" t="str">
            <v>Buy</v>
          </cell>
        </row>
        <row r="202">
          <cell r="A202" t="str">
            <v>ASY-006796-03</v>
          </cell>
          <cell r="B202">
            <v>1</v>
          </cell>
          <cell r="C202" t="str">
            <v>HSG-000490-02</v>
          </cell>
          <cell r="D202" t="str">
            <v>HOUSING, TOP, 1 FT, L60, BRONZE, TROV 2.0</v>
          </cell>
          <cell r="E202" t="str">
            <v>E</v>
          </cell>
          <cell r="F202" t="str">
            <v>Housing</v>
          </cell>
          <cell r="G202">
            <v>1</v>
          </cell>
          <cell r="H202">
            <v>0</v>
          </cell>
          <cell r="I202" t="str">
            <v>Buy</v>
          </cell>
        </row>
        <row r="203">
          <cell r="A203" t="str">
            <v>ASY-006796-03</v>
          </cell>
          <cell r="B203">
            <v>1</v>
          </cell>
          <cell r="C203" t="str">
            <v>HSG-000492-02</v>
          </cell>
          <cell r="D203" t="str">
            <v>HOUSING, BOTTOM, 1 FT, BRONZE, TROV 2.0</v>
          </cell>
          <cell r="E203" t="str">
            <v>F</v>
          </cell>
          <cell r="F203" t="str">
            <v>Housing</v>
          </cell>
          <cell r="G203">
            <v>1</v>
          </cell>
          <cell r="H203">
            <v>3.34</v>
          </cell>
          <cell r="I203" t="str">
            <v>Buy</v>
          </cell>
        </row>
        <row r="204">
          <cell r="A204" t="str">
            <v>ASY-006796-03</v>
          </cell>
          <cell r="B204">
            <v>1</v>
          </cell>
          <cell r="C204" t="str">
            <v>LBA-000003-00</v>
          </cell>
          <cell r="D204" t="str">
            <v>Label: TROV 2 P1/P2, Model L45/L60</v>
          </cell>
          <cell r="E204" t="str">
            <v>A</v>
          </cell>
          <cell r="F204" t="str">
            <v>Label BOM</v>
          </cell>
          <cell r="G204">
            <v>1</v>
          </cell>
          <cell r="H204">
            <v>0</v>
          </cell>
          <cell r="I204" t="str">
            <v>Make</v>
          </cell>
        </row>
        <row r="205">
          <cell r="A205" t="str">
            <v>ASY-006796-03</v>
          </cell>
          <cell r="B205">
            <v>2</v>
          </cell>
          <cell r="C205" t="str">
            <v>LBL-000243-00</v>
          </cell>
          <cell r="D205" t="str">
            <v>Blank Product Label: Trov 2 P1/P2, Model L45/L60</v>
          </cell>
          <cell r="E205" t="str">
            <v>A</v>
          </cell>
          <cell r="F205" t="str">
            <v>Label</v>
          </cell>
          <cell r="G205">
            <v>1</v>
          </cell>
          <cell r="H205">
            <v>0.33</v>
          </cell>
          <cell r="I205" t="str">
            <v>Buy</v>
          </cell>
        </row>
        <row r="206">
          <cell r="A206" t="str">
            <v>ASY-006796-03</v>
          </cell>
          <cell r="B206">
            <v>1</v>
          </cell>
          <cell r="C206" t="str">
            <v>PLG-000009-01</v>
          </cell>
          <cell r="D206" t="str">
            <v>Porex Vent, Trov, L50 Exterior</v>
          </cell>
          <cell r="E206" t="str">
            <v>B</v>
          </cell>
          <cell r="F206" t="str">
            <v>Plug</v>
          </cell>
          <cell r="G206">
            <v>1</v>
          </cell>
          <cell r="H206">
            <v>0.17</v>
          </cell>
          <cell r="I206" t="str">
            <v>Buy</v>
          </cell>
        </row>
        <row r="207">
          <cell r="A207" t="str">
            <v>ASY-006796-03</v>
          </cell>
          <cell r="B207">
            <v>1</v>
          </cell>
          <cell r="C207" t="str">
            <v>SCW-000156-00</v>
          </cell>
          <cell r="D207" t="str">
            <v>SCREW, M3 x 0.5 X 8mm, PAND HEAD, PHILLIPS, STEEL</v>
          </cell>
          <cell r="E207" t="str">
            <v>B</v>
          </cell>
          <cell r="F207" t="str">
            <v>Screw</v>
          </cell>
          <cell r="G207">
            <v>2</v>
          </cell>
          <cell r="H207">
            <v>4.4400000000000002E-2</v>
          </cell>
          <cell r="I207" t="str">
            <v>Buy</v>
          </cell>
        </row>
        <row r="208">
          <cell r="A208" t="str">
            <v>ASY-006796-03</v>
          </cell>
          <cell r="B208">
            <v>1</v>
          </cell>
          <cell r="C208" t="str">
            <v>SCW-000483-00</v>
          </cell>
          <cell r="D208" t="str">
            <v>SCREW, PHILIPS FLAT HEAD, M2.5x0.45x5 , 18-8 SST</v>
          </cell>
          <cell r="E208" t="str">
            <v>A</v>
          </cell>
          <cell r="F208" t="str">
            <v>Screw</v>
          </cell>
          <cell r="G208">
            <v>4</v>
          </cell>
          <cell r="H208">
            <v>0.02</v>
          </cell>
          <cell r="I208" t="str">
            <v>Buy</v>
          </cell>
        </row>
        <row r="209">
          <cell r="A209" t="str">
            <v>ASY-006796-03</v>
          </cell>
          <cell r="B209">
            <v>1</v>
          </cell>
          <cell r="C209" t="str">
            <v>SCW-000556-00</v>
          </cell>
          <cell r="D209" t="str">
            <v>SCREW, HEX, SERRATED, #8-32, GROUNDING, TROV 2</v>
          </cell>
          <cell r="E209" t="str">
            <v>A</v>
          </cell>
          <cell r="F209" t="str">
            <v>Screw</v>
          </cell>
          <cell r="G209">
            <v>1</v>
          </cell>
          <cell r="H209">
            <v>0.04</v>
          </cell>
          <cell r="I209" t="str">
            <v>Buy</v>
          </cell>
        </row>
        <row r="210">
          <cell r="A210" t="str">
            <v>ASY-006796-03</v>
          </cell>
          <cell r="B210">
            <v>1</v>
          </cell>
          <cell r="C210" t="str">
            <v>SCW-000574-00</v>
          </cell>
          <cell r="D210" t="str">
            <v>SCREW, TORX HEAD, 1/4-28x1/2", LOW PROFILE, ALLOY STEEL</v>
          </cell>
          <cell r="E210" t="str">
            <v>A</v>
          </cell>
          <cell r="F210" t="str">
            <v>Screw</v>
          </cell>
          <cell r="G210">
            <v>2</v>
          </cell>
          <cell r="H210">
            <v>0.14000000000000001</v>
          </cell>
          <cell r="I210" t="str">
            <v>Buy</v>
          </cell>
        </row>
        <row r="211">
          <cell r="A211" t="str">
            <v>ASY-006796-03</v>
          </cell>
          <cell r="B211">
            <v>1</v>
          </cell>
          <cell r="C211" t="str">
            <v>SHT-000042-00</v>
          </cell>
          <cell r="D211" t="str">
            <v>INSULATION SHEET, MP/LP HBA, TROV 2</v>
          </cell>
          <cell r="E211" t="str">
            <v>D</v>
          </cell>
          <cell r="F211" t="str">
            <v>Sheet</v>
          </cell>
          <cell r="G211">
            <v>1</v>
          </cell>
          <cell r="H211">
            <v>0.16</v>
          </cell>
          <cell r="I211" t="str">
            <v>Buy</v>
          </cell>
        </row>
        <row r="212">
          <cell r="A212" t="str">
            <v>ASY-006796-03</v>
          </cell>
          <cell r="B212">
            <v>1</v>
          </cell>
          <cell r="C212" t="str">
            <v>SPG-000023-00</v>
          </cell>
          <cell r="D212" t="str">
            <v>SPRING, DISC, STACKED WAVE, TROV 2.0</v>
          </cell>
          <cell r="E212" t="str">
            <v>A</v>
          </cell>
          <cell r="F212" t="str">
            <v>Spring</v>
          </cell>
          <cell r="G212">
            <v>2</v>
          </cell>
          <cell r="H212">
            <v>1.74</v>
          </cell>
          <cell r="I212" t="str">
            <v>Buy</v>
          </cell>
        </row>
        <row r="213">
          <cell r="A213" t="str">
            <v>ASY-006796-03</v>
          </cell>
          <cell r="B213">
            <v>1</v>
          </cell>
          <cell r="C213" t="str">
            <v>TAP-000031-00</v>
          </cell>
          <cell r="D213" t="str">
            <v>3M Electrical Tape 92</v>
          </cell>
          <cell r="E213" t="str">
            <v>A</v>
          </cell>
          <cell r="F213" t="str">
            <v>Tape</v>
          </cell>
          <cell r="G213">
            <v>120</v>
          </cell>
          <cell r="H213">
            <v>1.4E-2</v>
          </cell>
          <cell r="I213" t="str">
            <v>Buy</v>
          </cell>
        </row>
        <row r="214">
          <cell r="A214" t="str">
            <v>ASY-006796-03</v>
          </cell>
          <cell r="B214">
            <v>1</v>
          </cell>
          <cell r="C214" t="str">
            <v>TMP-000027-00</v>
          </cell>
          <cell r="D214" t="str">
            <v>Thermal Pad, LED PCBA, 1 FT, TROV 2</v>
          </cell>
          <cell r="E214" t="str">
            <v>B</v>
          </cell>
          <cell r="F214" t="str">
            <v>Thermal Pad</v>
          </cell>
          <cell r="G214">
            <v>1</v>
          </cell>
          <cell r="H214">
            <v>0.72</v>
          </cell>
          <cell r="I214" t="str">
            <v>Buy</v>
          </cell>
        </row>
        <row r="215">
          <cell r="A215" t="str">
            <v>ASY-006796-03</v>
          </cell>
          <cell r="B215">
            <v>1</v>
          </cell>
          <cell r="C215" t="str">
            <v>TMP-000029-00</v>
          </cell>
          <cell r="D215" t="str">
            <v>Thermal Pad, HBA, TROV 2</v>
          </cell>
          <cell r="E215" t="str">
            <v>B</v>
          </cell>
          <cell r="F215" t="str">
            <v>Thermal Pad</v>
          </cell>
          <cell r="G215">
            <v>2</v>
          </cell>
          <cell r="H215">
            <v>0.14000000000000001</v>
          </cell>
          <cell r="I215" t="str">
            <v>Buy</v>
          </cell>
        </row>
        <row r="216">
          <cell r="A216" t="str">
            <v>ASY-006796-04</v>
          </cell>
          <cell r="B216">
            <v>0</v>
          </cell>
          <cell r="C216" t="str">
            <v>ASY-006796-04</v>
          </cell>
          <cell r="D216" t="str">
            <v>ASSY, MECHANICAL, L60, OUTDOOR, 1 FT, TROV 2.0, CUSTOM FINISH</v>
          </cell>
          <cell r="E216" t="str">
            <v>R</v>
          </cell>
          <cell r="F216" t="str">
            <v>Sub assembly</v>
          </cell>
          <cell r="H216">
            <v>0</v>
          </cell>
          <cell r="I216" t="str">
            <v>Make</v>
          </cell>
        </row>
        <row r="217">
          <cell r="A217" t="str">
            <v>ASY-006796-04</v>
          </cell>
          <cell r="B217">
            <v>1</v>
          </cell>
          <cell r="C217" t="str">
            <v>ACB-000261-00</v>
          </cell>
          <cell r="D217" t="str">
            <v>CABLE, ECOBUS, 24AWG, SHORT, TROV 2</v>
          </cell>
          <cell r="E217" t="str">
            <v>B</v>
          </cell>
          <cell r="F217" t="str">
            <v>Cable</v>
          </cell>
          <cell r="G217">
            <v>1</v>
          </cell>
          <cell r="H217">
            <v>0.76</v>
          </cell>
          <cell r="I217" t="str">
            <v>Buy</v>
          </cell>
        </row>
        <row r="218">
          <cell r="A218" t="str">
            <v>ASY-006796-04</v>
          </cell>
          <cell r="B218">
            <v>1</v>
          </cell>
          <cell r="C218" t="str">
            <v>ASY-100009-00</v>
          </cell>
          <cell r="D218" t="str">
            <v>Cable Subassembly, Driver housing, 1ft, Trov 2</v>
          </cell>
          <cell r="E218" t="str">
            <v>B</v>
          </cell>
          <cell r="F218" t="str">
            <v>Sub assembly</v>
          </cell>
          <cell r="G218">
            <v>1</v>
          </cell>
          <cell r="H218">
            <v>0</v>
          </cell>
          <cell r="I218" t="str">
            <v>Make</v>
          </cell>
        </row>
        <row r="219">
          <cell r="A219" t="str">
            <v>ASY-006796-04</v>
          </cell>
          <cell r="B219">
            <v>2</v>
          </cell>
          <cell r="C219" t="str">
            <v>ACB-000278-00</v>
          </cell>
          <cell r="D219" t="str">
            <v>CABLE ASSY, INTRA-FIXTURE, 1FT, TROV 2.0</v>
          </cell>
          <cell r="E219" t="str">
            <v>A</v>
          </cell>
          <cell r="F219" t="str">
            <v>Cable Assembly</v>
          </cell>
          <cell r="G219">
            <v>1</v>
          </cell>
          <cell r="H219">
            <v>12.75</v>
          </cell>
          <cell r="I219" t="str">
            <v>Buy</v>
          </cell>
        </row>
        <row r="220">
          <cell r="A220" t="str">
            <v>ASY-006796-04</v>
          </cell>
          <cell r="B220">
            <v>3</v>
          </cell>
          <cell r="C220" t="str">
            <v>ACB-000273-00</v>
          </cell>
          <cell r="D220" t="str">
            <v>6 CONDUCTOR CABLE, 3X22AWG, 3X16AWG, AL MYLAR, TROV 2</v>
          </cell>
          <cell r="E220" t="str">
            <v>A</v>
          </cell>
          <cell r="F220" t="str">
            <v>Cable</v>
          </cell>
          <cell r="G220">
            <v>1</v>
          </cell>
          <cell r="H220">
            <v>0</v>
          </cell>
          <cell r="I220" t="str">
            <v>N/A</v>
          </cell>
        </row>
        <row r="221">
          <cell r="A221" t="str">
            <v>ASY-006796-04</v>
          </cell>
          <cell r="B221">
            <v>3</v>
          </cell>
          <cell r="C221" t="str">
            <v>ACB-000274-01</v>
          </cell>
          <cell r="D221" t="str">
            <v>CABLE ASSEMBLY, INTERNAL, DRIVER SIDE, 1FT, TROV 2</v>
          </cell>
          <cell r="E221" t="str">
            <v>A</v>
          </cell>
          <cell r="F221" t="str">
            <v>Cable Assembly</v>
          </cell>
          <cell r="G221">
            <v>1</v>
          </cell>
          <cell r="H221">
            <v>0</v>
          </cell>
          <cell r="I221" t="str">
            <v>N/A</v>
          </cell>
        </row>
        <row r="222">
          <cell r="A222" t="str">
            <v>ASY-006796-04</v>
          </cell>
          <cell r="B222">
            <v>3</v>
          </cell>
          <cell r="C222" t="str">
            <v>CON-000259-00</v>
          </cell>
          <cell r="D222" t="str">
            <v>CONNECTOR, MALE, 6 PIN, TROV 2</v>
          </cell>
          <cell r="E222" t="str">
            <v>B</v>
          </cell>
          <cell r="F222" t="str">
            <v>Connector</v>
          </cell>
          <cell r="G222">
            <v>1</v>
          </cell>
          <cell r="H222">
            <v>0</v>
          </cell>
          <cell r="I222" t="str">
            <v>N/A</v>
          </cell>
        </row>
        <row r="223">
          <cell r="A223" t="str">
            <v>ASY-006796-04</v>
          </cell>
          <cell r="B223">
            <v>3</v>
          </cell>
          <cell r="C223" t="str">
            <v>CON-000260-00</v>
          </cell>
          <cell r="D223" t="str">
            <v>CONNECTOR, FEMALE, 6 PIN, TROV 2</v>
          </cell>
          <cell r="E223" t="str">
            <v>A</v>
          </cell>
          <cell r="F223" t="str">
            <v>Connector</v>
          </cell>
          <cell r="G223">
            <v>1</v>
          </cell>
          <cell r="H223">
            <v>0</v>
          </cell>
          <cell r="I223" t="str">
            <v>N/A</v>
          </cell>
        </row>
        <row r="224">
          <cell r="A224" t="str">
            <v>ASY-006796-04</v>
          </cell>
          <cell r="B224">
            <v>3</v>
          </cell>
          <cell r="C224" t="str">
            <v>ORG-000060-00</v>
          </cell>
          <cell r="D224" t="str">
            <v>O-RING, CABLE, TROV 2</v>
          </cell>
          <cell r="E224" t="str">
            <v>A</v>
          </cell>
          <cell r="F224" t="str">
            <v>O-Ring</v>
          </cell>
          <cell r="G224">
            <v>1</v>
          </cell>
          <cell r="H224">
            <v>0</v>
          </cell>
          <cell r="I224" t="str">
            <v>N/A</v>
          </cell>
        </row>
        <row r="225">
          <cell r="A225" t="str">
            <v>ASY-006796-04</v>
          </cell>
          <cell r="B225">
            <v>3</v>
          </cell>
          <cell r="C225" t="str">
            <v>SRF-000030-00</v>
          </cell>
          <cell r="D225" t="str">
            <v>STRAIN RELIEF, CABLE, TROV 2</v>
          </cell>
          <cell r="E225" t="str">
            <v>A</v>
          </cell>
          <cell r="F225" t="str">
            <v>Strain Relief</v>
          </cell>
          <cell r="G225">
            <v>1</v>
          </cell>
          <cell r="H225">
            <v>0</v>
          </cell>
          <cell r="I225" t="str">
            <v>N/A</v>
          </cell>
        </row>
        <row r="226">
          <cell r="A226" t="str">
            <v>ASY-006796-04</v>
          </cell>
          <cell r="B226">
            <v>2</v>
          </cell>
          <cell r="C226" t="str">
            <v>HSG-000488-01</v>
          </cell>
          <cell r="D226" t="str">
            <v>HOUSING, PSU, 1 FT, MOLDED HOLE, TROV 2.0</v>
          </cell>
          <cell r="E226" t="str">
            <v>B</v>
          </cell>
          <cell r="F226" t="str">
            <v>Housing</v>
          </cell>
          <cell r="G226">
            <v>1</v>
          </cell>
          <cell r="H226">
            <v>1.17</v>
          </cell>
          <cell r="I226" t="str">
            <v>Buy</v>
          </cell>
        </row>
        <row r="227">
          <cell r="A227" t="str">
            <v>ASY-006796-04</v>
          </cell>
          <cell r="B227">
            <v>2</v>
          </cell>
          <cell r="C227" t="str">
            <v>SCW-000577-00</v>
          </cell>
          <cell r="D227" t="str">
            <v>SCREW, TORX HEAD, LOW PROFILE, M3X8mm, ALLOY STEEL</v>
          </cell>
          <cell r="E227" t="str">
            <v>A</v>
          </cell>
          <cell r="F227" t="str">
            <v>Screw</v>
          </cell>
          <cell r="G227">
            <v>2</v>
          </cell>
          <cell r="H227">
            <v>0.03</v>
          </cell>
          <cell r="I227" t="str">
            <v>Buy</v>
          </cell>
        </row>
        <row r="228">
          <cell r="A228" t="str">
            <v>ASY-006796-04</v>
          </cell>
          <cell r="B228">
            <v>1</v>
          </cell>
          <cell r="C228" t="str">
            <v>BAS-000020-00</v>
          </cell>
          <cell r="D228" t="str">
            <v>BASE, 1FT, TROV 2.0</v>
          </cell>
          <cell r="E228" t="str">
            <v>E</v>
          </cell>
          <cell r="F228" t="str">
            <v>Base</v>
          </cell>
          <cell r="G228">
            <v>1</v>
          </cell>
          <cell r="H228">
            <v>5.8</v>
          </cell>
          <cell r="I228" t="str">
            <v>Buy</v>
          </cell>
        </row>
        <row r="229">
          <cell r="A229" t="str">
            <v>ASY-006796-04</v>
          </cell>
          <cell r="B229">
            <v>1</v>
          </cell>
          <cell r="C229" t="str">
            <v>BKT-000457-03</v>
          </cell>
          <cell r="D229" t="str">
            <v>BRACKET, MOUNT, LEFT, BLACK, TROV 2.0</v>
          </cell>
          <cell r="E229" t="str">
            <v>C</v>
          </cell>
          <cell r="F229" t="str">
            <v>Bracket</v>
          </cell>
          <cell r="G229">
            <v>1</v>
          </cell>
          <cell r="H229">
            <v>0.99</v>
          </cell>
          <cell r="I229" t="str">
            <v>Buy</v>
          </cell>
        </row>
        <row r="230">
          <cell r="A230" t="str">
            <v>ASY-006796-04</v>
          </cell>
          <cell r="B230">
            <v>1</v>
          </cell>
          <cell r="C230" t="str">
            <v>BKT-000458-03</v>
          </cell>
          <cell r="D230" t="str">
            <v>BRACKET, MOUNT, RIGHT, BLACK, TROV 2.0</v>
          </cell>
          <cell r="E230" t="str">
            <v>C</v>
          </cell>
          <cell r="F230" t="str">
            <v>Bracket</v>
          </cell>
          <cell r="G230">
            <v>1</v>
          </cell>
          <cell r="H230">
            <v>0.99</v>
          </cell>
          <cell r="I230" t="str">
            <v>Buy</v>
          </cell>
        </row>
        <row r="231">
          <cell r="A231" t="str">
            <v>ASY-006796-04</v>
          </cell>
          <cell r="B231">
            <v>1</v>
          </cell>
          <cell r="C231" t="str">
            <v>CVR-000789-0C</v>
          </cell>
          <cell r="D231" t="str">
            <v>END COVER, FC, CUSTOM FINISH, L60, TROV 2.0</v>
          </cell>
          <cell r="E231" t="str">
            <v>E</v>
          </cell>
          <cell r="F231" t="str">
            <v>Cover</v>
          </cell>
          <cell r="G231">
            <v>1</v>
          </cell>
          <cell r="H231">
            <v>0.01</v>
          </cell>
          <cell r="I231" t="str">
            <v>Buy</v>
          </cell>
        </row>
        <row r="232">
          <cell r="A232" t="str">
            <v>ASY-006796-04</v>
          </cell>
          <cell r="B232">
            <v>1</v>
          </cell>
          <cell r="C232" t="str">
            <v>CVR-000893-0C</v>
          </cell>
          <cell r="D232" t="str">
            <v>END COVER, MC, CUSTOM FINISH, L60, TROV 2.0</v>
          </cell>
          <cell r="E232" t="str">
            <v>C</v>
          </cell>
          <cell r="F232" t="str">
            <v>Cover</v>
          </cell>
          <cell r="G232">
            <v>1</v>
          </cell>
          <cell r="H232">
            <v>0</v>
          </cell>
          <cell r="I232" t="str">
            <v>Buy</v>
          </cell>
        </row>
        <row r="233">
          <cell r="A233" t="str">
            <v>ASY-006796-04</v>
          </cell>
          <cell r="B233">
            <v>1</v>
          </cell>
          <cell r="C233" t="str">
            <v>FOM-000028-00</v>
          </cell>
          <cell r="D233" t="str">
            <v>FOAM, LIGHTBLOCK, ENDCAP, L60, TROV2</v>
          </cell>
          <cell r="E233" t="str">
            <v>A</v>
          </cell>
          <cell r="F233" t="str">
            <v>Foam</v>
          </cell>
          <cell r="G233">
            <v>2</v>
          </cell>
          <cell r="H233">
            <v>0.03</v>
          </cell>
          <cell r="I233" t="str">
            <v>Buy</v>
          </cell>
        </row>
        <row r="234">
          <cell r="A234" t="str">
            <v>ASY-006796-04</v>
          </cell>
          <cell r="B234">
            <v>1</v>
          </cell>
          <cell r="C234" t="str">
            <v>GSK-000121-01</v>
          </cell>
          <cell r="D234" t="str">
            <v>GASKET, DRIVER ENCLOSURE, 3M, 1 FT, TROV 2.0</v>
          </cell>
          <cell r="E234" t="str">
            <v>B</v>
          </cell>
          <cell r="F234" t="str">
            <v>Gasket</v>
          </cell>
          <cell r="G234">
            <v>1</v>
          </cell>
          <cell r="H234">
            <v>1.7</v>
          </cell>
          <cell r="I234" t="str">
            <v>Buy</v>
          </cell>
        </row>
        <row r="235">
          <cell r="A235" t="str">
            <v>ASY-006796-04</v>
          </cell>
          <cell r="B235">
            <v>1</v>
          </cell>
          <cell r="C235" t="str">
            <v>GSK-000132-00</v>
          </cell>
          <cell r="D235" t="str">
            <v>GASKET, TERTIARY LENS, 3M, 1 FT, L60, TROV 2.0</v>
          </cell>
          <cell r="E235" t="str">
            <v>B</v>
          </cell>
          <cell r="F235" t="str">
            <v>Gasket</v>
          </cell>
          <cell r="G235">
            <v>1</v>
          </cell>
          <cell r="H235">
            <v>1.96</v>
          </cell>
          <cell r="I235" t="str">
            <v>Buy</v>
          </cell>
        </row>
        <row r="236">
          <cell r="A236" t="str">
            <v>ASY-006796-04</v>
          </cell>
          <cell r="B236">
            <v>1</v>
          </cell>
          <cell r="C236" t="str">
            <v>HSG-000490-0C</v>
          </cell>
          <cell r="D236" t="str">
            <v>HOUSING, TOP, 1 FT, L60, CUSTOM FINISH, TROV 2.0</v>
          </cell>
          <cell r="E236" t="str">
            <v>E</v>
          </cell>
          <cell r="F236" t="str">
            <v>Housing</v>
          </cell>
          <cell r="G236">
            <v>1</v>
          </cell>
          <cell r="H236">
            <v>0</v>
          </cell>
          <cell r="I236" t="str">
            <v>Buy</v>
          </cell>
        </row>
        <row r="237">
          <cell r="A237" t="str">
            <v>ASY-006796-04</v>
          </cell>
          <cell r="B237">
            <v>1</v>
          </cell>
          <cell r="C237" t="str">
            <v>HSG-000492-0C</v>
          </cell>
          <cell r="D237" t="str">
            <v>HOUSING, BOTTOM, 1 FT, CUSTOM FINISH, TROV 2.0</v>
          </cell>
          <cell r="E237" t="str">
            <v>F</v>
          </cell>
          <cell r="F237" t="str">
            <v>Housing</v>
          </cell>
          <cell r="G237">
            <v>1</v>
          </cell>
          <cell r="H237">
            <v>3.34</v>
          </cell>
          <cell r="I237" t="str">
            <v>Buy</v>
          </cell>
        </row>
        <row r="238">
          <cell r="A238" t="str">
            <v>ASY-006796-04</v>
          </cell>
          <cell r="B238">
            <v>1</v>
          </cell>
          <cell r="C238" t="str">
            <v>LBA-000003-00</v>
          </cell>
          <cell r="D238" t="str">
            <v>Label: TROV 2 P1/P2, Model L45/L60</v>
          </cell>
          <cell r="E238" t="str">
            <v>A</v>
          </cell>
          <cell r="F238" t="str">
            <v>Label BOM</v>
          </cell>
          <cell r="G238">
            <v>1</v>
          </cell>
          <cell r="H238">
            <v>0</v>
          </cell>
          <cell r="I238" t="str">
            <v>Make</v>
          </cell>
        </row>
        <row r="239">
          <cell r="A239" t="str">
            <v>ASY-006796-04</v>
          </cell>
          <cell r="B239">
            <v>2</v>
          </cell>
          <cell r="C239" t="str">
            <v>LBL-000243-00</v>
          </cell>
          <cell r="D239" t="str">
            <v>Blank Product Label: Trov 2 P1/P2, Model L45/L60</v>
          </cell>
          <cell r="E239" t="str">
            <v>A</v>
          </cell>
          <cell r="F239" t="str">
            <v>Label</v>
          </cell>
          <cell r="G239">
            <v>1</v>
          </cell>
          <cell r="H239">
            <v>0.33</v>
          </cell>
          <cell r="I239" t="str">
            <v>Buy</v>
          </cell>
        </row>
        <row r="240">
          <cell r="A240" t="str">
            <v>ASY-006796-04</v>
          </cell>
          <cell r="B240">
            <v>1</v>
          </cell>
          <cell r="C240" t="str">
            <v>PLG-000009-01</v>
          </cell>
          <cell r="D240" t="str">
            <v>Porex Vent, Trov, L50 Exterior</v>
          </cell>
          <cell r="E240" t="str">
            <v>B</v>
          </cell>
          <cell r="F240" t="str">
            <v>Plug</v>
          </cell>
          <cell r="G240">
            <v>1</v>
          </cell>
          <cell r="H240">
            <v>0.17</v>
          </cell>
          <cell r="I240" t="str">
            <v>Buy</v>
          </cell>
        </row>
        <row r="241">
          <cell r="A241" t="str">
            <v>ASY-006796-04</v>
          </cell>
          <cell r="B241">
            <v>1</v>
          </cell>
          <cell r="C241" t="str">
            <v>SCW-000156-00</v>
          </cell>
          <cell r="D241" t="str">
            <v>SCREW, M3 x 0.5 X 8mm, PAND HEAD, PHILLIPS, STEEL</v>
          </cell>
          <cell r="E241" t="str">
            <v>B</v>
          </cell>
          <cell r="F241" t="str">
            <v>Screw</v>
          </cell>
          <cell r="G241">
            <v>2</v>
          </cell>
          <cell r="H241">
            <v>4.4400000000000002E-2</v>
          </cell>
          <cell r="I241" t="str">
            <v>Buy</v>
          </cell>
        </row>
        <row r="242">
          <cell r="A242" t="str">
            <v>ASY-006796-04</v>
          </cell>
          <cell r="B242">
            <v>1</v>
          </cell>
          <cell r="C242" t="str">
            <v>SCW-000483-00</v>
          </cell>
          <cell r="D242" t="str">
            <v>SCREW, PHILIPS FLAT HEAD, M2.5x0.45x5 , 18-8 SST</v>
          </cell>
          <cell r="E242" t="str">
            <v>A</v>
          </cell>
          <cell r="F242" t="str">
            <v>Screw</v>
          </cell>
          <cell r="G242">
            <v>4</v>
          </cell>
          <cell r="H242">
            <v>0.02</v>
          </cell>
          <cell r="I242" t="str">
            <v>Buy</v>
          </cell>
        </row>
        <row r="243">
          <cell r="A243" t="str">
            <v>ASY-006796-04</v>
          </cell>
          <cell r="B243">
            <v>1</v>
          </cell>
          <cell r="C243" t="str">
            <v>SCW-000556-00</v>
          </cell>
          <cell r="D243" t="str">
            <v>SCREW, HEX, SERRATED, #8-32, GROUNDING, TROV 2</v>
          </cell>
          <cell r="E243" t="str">
            <v>A</v>
          </cell>
          <cell r="F243" t="str">
            <v>Screw</v>
          </cell>
          <cell r="G243">
            <v>1</v>
          </cell>
          <cell r="H243">
            <v>0.04</v>
          </cell>
          <cell r="I243" t="str">
            <v>Buy</v>
          </cell>
        </row>
        <row r="244">
          <cell r="A244" t="str">
            <v>ASY-006796-04</v>
          </cell>
          <cell r="B244">
            <v>1</v>
          </cell>
          <cell r="C244" t="str">
            <v>SCW-000574-00</v>
          </cell>
          <cell r="D244" t="str">
            <v>SCREW, TORX HEAD, 1/4-28x1/2", LOW PROFILE, ALLOY STEEL</v>
          </cell>
          <cell r="E244" t="str">
            <v>A</v>
          </cell>
          <cell r="F244" t="str">
            <v>Screw</v>
          </cell>
          <cell r="G244">
            <v>2</v>
          </cell>
          <cell r="H244">
            <v>0.14000000000000001</v>
          </cell>
          <cell r="I244" t="str">
            <v>Buy</v>
          </cell>
        </row>
        <row r="245">
          <cell r="A245" t="str">
            <v>ASY-006796-04</v>
          </cell>
          <cell r="B245">
            <v>1</v>
          </cell>
          <cell r="C245" t="str">
            <v>SHT-000042-00</v>
          </cell>
          <cell r="D245" t="str">
            <v>INSULATION SHEET, MP/LP HBA, TROV 2</v>
          </cell>
          <cell r="E245" t="str">
            <v>D</v>
          </cell>
          <cell r="F245" t="str">
            <v>Sheet</v>
          </cell>
          <cell r="G245">
            <v>1</v>
          </cell>
          <cell r="H245">
            <v>0.16</v>
          </cell>
          <cell r="I245" t="str">
            <v>Buy</v>
          </cell>
        </row>
        <row r="246">
          <cell r="A246" t="str">
            <v>ASY-006796-04</v>
          </cell>
          <cell r="B246">
            <v>1</v>
          </cell>
          <cell r="C246" t="str">
            <v>SPG-000023-00</v>
          </cell>
          <cell r="D246" t="str">
            <v>SPRING, DISC, STACKED WAVE, TROV 2.0</v>
          </cell>
          <cell r="E246" t="str">
            <v>A</v>
          </cell>
          <cell r="F246" t="str">
            <v>Spring</v>
          </cell>
          <cell r="G246">
            <v>2</v>
          </cell>
          <cell r="H246">
            <v>1.74</v>
          </cell>
          <cell r="I246" t="str">
            <v>Buy</v>
          </cell>
        </row>
        <row r="247">
          <cell r="A247" t="str">
            <v>ASY-006796-04</v>
          </cell>
          <cell r="B247">
            <v>1</v>
          </cell>
          <cell r="C247" t="str">
            <v>TAP-000031-00</v>
          </cell>
          <cell r="D247" t="str">
            <v>3M Electrical Tape 92</v>
          </cell>
          <cell r="E247" t="str">
            <v>A</v>
          </cell>
          <cell r="F247" t="str">
            <v>Tape</v>
          </cell>
          <cell r="G247">
            <v>120</v>
          </cell>
          <cell r="H247">
            <v>1.4E-2</v>
          </cell>
          <cell r="I247" t="str">
            <v>Buy</v>
          </cell>
        </row>
        <row r="248">
          <cell r="A248" t="str">
            <v>ASY-006796-04</v>
          </cell>
          <cell r="B248">
            <v>1</v>
          </cell>
          <cell r="C248" t="str">
            <v>TMP-000027-00</v>
          </cell>
          <cell r="D248" t="str">
            <v>Thermal Pad, LED PCBA, 1 FT, TROV 2</v>
          </cell>
          <cell r="E248" t="str">
            <v>B</v>
          </cell>
          <cell r="F248" t="str">
            <v>Thermal Pad</v>
          </cell>
          <cell r="G248">
            <v>1</v>
          </cell>
          <cell r="H248">
            <v>0.72</v>
          </cell>
          <cell r="I248" t="str">
            <v>Buy</v>
          </cell>
        </row>
        <row r="249">
          <cell r="A249" t="str">
            <v>ASY-006796-04</v>
          </cell>
          <cell r="B249">
            <v>1</v>
          </cell>
          <cell r="C249" t="str">
            <v>TMP-000029-00</v>
          </cell>
          <cell r="D249" t="str">
            <v>Thermal Pad, HBA, TROV 2</v>
          </cell>
          <cell r="E249" t="str">
            <v>B</v>
          </cell>
          <cell r="F249" t="str">
            <v>Thermal Pad</v>
          </cell>
          <cell r="G249">
            <v>2</v>
          </cell>
          <cell r="H249">
            <v>0.14000000000000001</v>
          </cell>
          <cell r="I249" t="str">
            <v>Buy</v>
          </cell>
        </row>
        <row r="250">
          <cell r="A250" t="str">
            <v>ASY-006797-00</v>
          </cell>
          <cell r="B250">
            <v>0</v>
          </cell>
          <cell r="C250" t="str">
            <v>ASY-006797-00</v>
          </cell>
          <cell r="D250" t="str">
            <v>ASSY, MECHANICAL, L60, OUTDOOR, 4 FT, TROV 2.0, SILVER</v>
          </cell>
          <cell r="E250" t="str">
            <v>R</v>
          </cell>
          <cell r="F250" t="str">
            <v>Sub assembly</v>
          </cell>
          <cell r="H250">
            <v>0</v>
          </cell>
          <cell r="I250" t="str">
            <v>Make</v>
          </cell>
        </row>
        <row r="251">
          <cell r="A251" t="str">
            <v>ASY-006797-00</v>
          </cell>
          <cell r="B251">
            <v>1</v>
          </cell>
          <cell r="C251" t="str">
            <v>ACB-000261-00</v>
          </cell>
          <cell r="D251" t="str">
            <v>CABLE, ECOBUS, 24AWG, SHORT, TROV 2</v>
          </cell>
          <cell r="E251" t="str">
            <v>B</v>
          </cell>
          <cell r="F251" t="str">
            <v>Cable</v>
          </cell>
          <cell r="G251">
            <v>1</v>
          </cell>
          <cell r="H251">
            <v>0.76</v>
          </cell>
          <cell r="I251" t="str">
            <v>Buy</v>
          </cell>
        </row>
        <row r="252">
          <cell r="A252" t="str">
            <v>ASY-006797-00</v>
          </cell>
          <cell r="B252">
            <v>1</v>
          </cell>
          <cell r="C252" t="str">
            <v>ACB-000261-01</v>
          </cell>
          <cell r="D252" t="str">
            <v>CABLE, ECOBUS, 24AWG, LONG, TROV 2</v>
          </cell>
          <cell r="E252" t="str">
            <v>B</v>
          </cell>
          <cell r="F252" t="str">
            <v>Cable</v>
          </cell>
          <cell r="G252">
            <v>1</v>
          </cell>
          <cell r="H252">
            <v>0.82</v>
          </cell>
          <cell r="I252" t="str">
            <v>Buy</v>
          </cell>
        </row>
        <row r="253">
          <cell r="A253" t="str">
            <v>ASY-006797-00</v>
          </cell>
          <cell r="B253">
            <v>1</v>
          </cell>
          <cell r="C253" t="str">
            <v>ASY-100008-00</v>
          </cell>
          <cell r="D253" t="str">
            <v>Cable Subassembly, Driver housing, 4ft, Trov 2</v>
          </cell>
          <cell r="E253" t="str">
            <v>A</v>
          </cell>
          <cell r="F253" t="str">
            <v>Sub assembly</v>
          </cell>
          <cell r="G253">
            <v>1</v>
          </cell>
          <cell r="H253">
            <v>0</v>
          </cell>
          <cell r="I253" t="str">
            <v>Make</v>
          </cell>
        </row>
        <row r="254">
          <cell r="A254" t="str">
            <v>ASY-006797-00</v>
          </cell>
          <cell r="B254">
            <v>2</v>
          </cell>
          <cell r="C254" t="str">
            <v>ACB-000272-00</v>
          </cell>
          <cell r="D254" t="str">
            <v>CABLE ASSY, INTRA-FIXTURE, 4FT, TROV 2.0</v>
          </cell>
          <cell r="E254" t="str">
            <v>B</v>
          </cell>
          <cell r="F254" t="str">
            <v>Cable Assembly</v>
          </cell>
          <cell r="G254">
            <v>1</v>
          </cell>
          <cell r="H254">
            <v>20.420000000000002</v>
          </cell>
          <cell r="I254" t="str">
            <v>Buy</v>
          </cell>
        </row>
        <row r="255">
          <cell r="A255" t="str">
            <v>ASY-006797-00</v>
          </cell>
          <cell r="B255">
            <v>3</v>
          </cell>
          <cell r="C255" t="str">
            <v>ACB-000273-00</v>
          </cell>
          <cell r="D255" t="str">
            <v>6 CONDUCTOR CABLE, 3X22AWG, 3X16AWG, AL MYLAR, TROV 2</v>
          </cell>
          <cell r="E255" t="str">
            <v>A</v>
          </cell>
          <cell r="F255" t="str">
            <v>Cable</v>
          </cell>
          <cell r="G255">
            <v>1</v>
          </cell>
          <cell r="H255">
            <v>0</v>
          </cell>
          <cell r="I255" t="str">
            <v>N/A</v>
          </cell>
        </row>
        <row r="256">
          <cell r="A256" t="str">
            <v>ASY-006797-00</v>
          </cell>
          <cell r="B256">
            <v>3</v>
          </cell>
          <cell r="C256" t="str">
            <v>ACB-000274-00</v>
          </cell>
          <cell r="D256" t="str">
            <v>CABLE ASSEMBLY, INTERNAL, DRIVER SIDE, 4FT, TROV 2</v>
          </cell>
          <cell r="E256" t="str">
            <v>A</v>
          </cell>
          <cell r="F256" t="str">
            <v>Cable Assembly</v>
          </cell>
          <cell r="G256">
            <v>1</v>
          </cell>
          <cell r="H256">
            <v>0</v>
          </cell>
          <cell r="I256" t="str">
            <v>N/A</v>
          </cell>
        </row>
        <row r="257">
          <cell r="A257" t="str">
            <v>ASY-006797-00</v>
          </cell>
          <cell r="B257">
            <v>3</v>
          </cell>
          <cell r="C257" t="str">
            <v>CON-000259-00</v>
          </cell>
          <cell r="D257" t="str">
            <v>CONNECTOR, MALE, 6 PIN, TROV 2</v>
          </cell>
          <cell r="E257" t="str">
            <v>B</v>
          </cell>
          <cell r="F257" t="str">
            <v>Connector</v>
          </cell>
          <cell r="G257">
            <v>1</v>
          </cell>
          <cell r="H257">
            <v>0</v>
          </cell>
          <cell r="I257" t="str">
            <v>N/A</v>
          </cell>
        </row>
        <row r="258">
          <cell r="A258" t="str">
            <v>ASY-006797-00</v>
          </cell>
          <cell r="B258">
            <v>3</v>
          </cell>
          <cell r="C258" t="str">
            <v>CON-000260-00</v>
          </cell>
          <cell r="D258" t="str">
            <v>CONNECTOR, FEMALE, 6 PIN, TROV 2</v>
          </cell>
          <cell r="E258" t="str">
            <v>A</v>
          </cell>
          <cell r="F258" t="str">
            <v>Connector</v>
          </cell>
          <cell r="G258">
            <v>1</v>
          </cell>
          <cell r="H258">
            <v>0</v>
          </cell>
          <cell r="I258" t="str">
            <v>N/A</v>
          </cell>
        </row>
        <row r="259">
          <cell r="A259" t="str">
            <v>ASY-006797-00</v>
          </cell>
          <cell r="B259">
            <v>3</v>
          </cell>
          <cell r="C259" t="str">
            <v>HSG-000330-00</v>
          </cell>
          <cell r="D259" t="str">
            <v>DRIVER HOUSING, 4 FT, TROV 2</v>
          </cell>
          <cell r="E259" t="str">
            <v>A</v>
          </cell>
          <cell r="F259" t="str">
            <v>Housing</v>
          </cell>
          <cell r="G259">
            <v>1</v>
          </cell>
          <cell r="H259">
            <v>0</v>
          </cell>
          <cell r="I259" t="str">
            <v>N/A</v>
          </cell>
        </row>
        <row r="260">
          <cell r="A260" t="str">
            <v>ASY-006797-00</v>
          </cell>
          <cell r="B260">
            <v>3</v>
          </cell>
          <cell r="C260" t="str">
            <v>ORG-000060-00</v>
          </cell>
          <cell r="D260" t="str">
            <v>O-RING, CABLE, TROV 2</v>
          </cell>
          <cell r="E260" t="str">
            <v>A</v>
          </cell>
          <cell r="F260" t="str">
            <v>O-Ring</v>
          </cell>
          <cell r="G260">
            <v>1</v>
          </cell>
          <cell r="H260">
            <v>0</v>
          </cell>
          <cell r="I260" t="str">
            <v>N/A</v>
          </cell>
        </row>
        <row r="261">
          <cell r="A261" t="str">
            <v>ASY-006797-00</v>
          </cell>
          <cell r="B261">
            <v>3</v>
          </cell>
          <cell r="C261" t="str">
            <v>SRF-000030-00</v>
          </cell>
          <cell r="D261" t="str">
            <v>STRAIN RELIEF, CABLE, TROV 2</v>
          </cell>
          <cell r="E261" t="str">
            <v>A</v>
          </cell>
          <cell r="F261" t="str">
            <v>Strain Relief</v>
          </cell>
          <cell r="G261">
            <v>1</v>
          </cell>
          <cell r="H261">
            <v>0</v>
          </cell>
          <cell r="I261" t="str">
            <v>N/A</v>
          </cell>
        </row>
        <row r="262">
          <cell r="A262" t="str">
            <v>ASY-006797-00</v>
          </cell>
          <cell r="B262">
            <v>2</v>
          </cell>
          <cell r="C262" t="str">
            <v>BKT-000517-00</v>
          </cell>
          <cell r="D262" t="str">
            <v>BRACKET, ROTATING LOCK, 4 FT, TROV 2.0</v>
          </cell>
          <cell r="E262" t="str">
            <v>B</v>
          </cell>
          <cell r="F262" t="str">
            <v>Bracket</v>
          </cell>
          <cell r="G262">
            <v>1</v>
          </cell>
          <cell r="H262">
            <v>0.9</v>
          </cell>
          <cell r="I262" t="str">
            <v>Buy</v>
          </cell>
        </row>
        <row r="263">
          <cell r="A263" t="str">
            <v>ASY-006797-00</v>
          </cell>
          <cell r="B263">
            <v>2</v>
          </cell>
          <cell r="C263" t="str">
            <v>BKT-000518-00</v>
          </cell>
          <cell r="D263" t="str">
            <v>BRACKET, PANEL MOUNT, 4 FT, TROV 2.0</v>
          </cell>
          <cell r="E263" t="str">
            <v>B</v>
          </cell>
          <cell r="F263" t="str">
            <v>Bracket</v>
          </cell>
          <cell r="G263">
            <v>1</v>
          </cell>
          <cell r="H263">
            <v>0.9</v>
          </cell>
          <cell r="I263" t="str">
            <v>Buy</v>
          </cell>
        </row>
        <row r="264">
          <cell r="A264" t="str">
            <v>ASY-006797-00</v>
          </cell>
          <cell r="B264">
            <v>2</v>
          </cell>
          <cell r="C264" t="str">
            <v>SCW-000509-00</v>
          </cell>
          <cell r="D264" t="str">
            <v>SCREW, SEALING FLAT HEAD, M3x0.5x8MM</v>
          </cell>
          <cell r="E264" t="str">
            <v>B</v>
          </cell>
          <cell r="F264" t="str">
            <v>Screw</v>
          </cell>
          <cell r="G264">
            <v>2</v>
          </cell>
          <cell r="H264">
            <v>0.4</v>
          </cell>
          <cell r="I264" t="str">
            <v>Buy</v>
          </cell>
        </row>
        <row r="265">
          <cell r="A265" t="str">
            <v>ASY-006797-00</v>
          </cell>
          <cell r="B265">
            <v>1</v>
          </cell>
          <cell r="C265" t="str">
            <v>BAS-000021-00</v>
          </cell>
          <cell r="D265" t="str">
            <v>BASE, 4FT, TROV 2.0</v>
          </cell>
          <cell r="E265" t="str">
            <v>F</v>
          </cell>
          <cell r="F265" t="str">
            <v>Base</v>
          </cell>
          <cell r="G265">
            <v>1</v>
          </cell>
          <cell r="H265">
            <v>14.25</v>
          </cell>
          <cell r="I265" t="str">
            <v>Buy</v>
          </cell>
        </row>
        <row r="266">
          <cell r="A266" t="str">
            <v>ASY-006797-00</v>
          </cell>
          <cell r="B266">
            <v>1</v>
          </cell>
          <cell r="C266" t="str">
            <v>BKT-000457-03</v>
          </cell>
          <cell r="D266" t="str">
            <v>BRACKET, MOUNT, LEFT, BLACK, TROV 2.0</v>
          </cell>
          <cell r="E266" t="str">
            <v>C</v>
          </cell>
          <cell r="F266" t="str">
            <v>Bracket</v>
          </cell>
          <cell r="G266">
            <v>1</v>
          </cell>
          <cell r="H266">
            <v>0.99</v>
          </cell>
          <cell r="I266" t="str">
            <v>Buy</v>
          </cell>
        </row>
        <row r="267">
          <cell r="A267" t="str">
            <v>ASY-006797-00</v>
          </cell>
          <cell r="B267">
            <v>1</v>
          </cell>
          <cell r="C267" t="str">
            <v>BKT-000458-03</v>
          </cell>
          <cell r="D267" t="str">
            <v>BRACKET, MOUNT, RIGHT, BLACK, TROV 2.0</v>
          </cell>
          <cell r="E267" t="str">
            <v>C</v>
          </cell>
          <cell r="F267" t="str">
            <v>Bracket</v>
          </cell>
          <cell r="G267">
            <v>1</v>
          </cell>
          <cell r="H267">
            <v>0.99</v>
          </cell>
          <cell r="I267" t="str">
            <v>Buy</v>
          </cell>
        </row>
        <row r="268">
          <cell r="A268" t="str">
            <v>ASY-006797-00</v>
          </cell>
          <cell r="B268">
            <v>1</v>
          </cell>
          <cell r="C268" t="str">
            <v>CVR-000789-03</v>
          </cell>
          <cell r="D268" t="str">
            <v>END COVER, FC, BLACK, L60, TROV 2.0</v>
          </cell>
          <cell r="E268" t="str">
            <v>D</v>
          </cell>
          <cell r="F268" t="str">
            <v>Cover</v>
          </cell>
          <cell r="G268">
            <v>1</v>
          </cell>
          <cell r="H268">
            <v>1.0900000000000001</v>
          </cell>
          <cell r="I268" t="str">
            <v>Buy</v>
          </cell>
        </row>
        <row r="269">
          <cell r="A269" t="str">
            <v>ASY-006797-00</v>
          </cell>
          <cell r="B269">
            <v>1</v>
          </cell>
          <cell r="C269" t="str">
            <v>CVR-000893-03</v>
          </cell>
          <cell r="D269" t="str">
            <v>END COVER, MC, BLACK, L60, TROV 2.0</v>
          </cell>
          <cell r="E269" t="str">
            <v>B</v>
          </cell>
          <cell r="F269" t="str">
            <v>Cover</v>
          </cell>
          <cell r="G269">
            <v>1</v>
          </cell>
          <cell r="H269">
            <v>1.0900000000000001</v>
          </cell>
          <cell r="I269" t="str">
            <v>Buy</v>
          </cell>
        </row>
        <row r="270">
          <cell r="A270" t="str">
            <v>ASY-006797-00</v>
          </cell>
          <cell r="B270">
            <v>1</v>
          </cell>
          <cell r="C270" t="str">
            <v>FOM-000028-00</v>
          </cell>
          <cell r="D270" t="str">
            <v>FOAM, LIGHTBLOCK, ENDCAP, L60, TROV2</v>
          </cell>
          <cell r="E270" t="str">
            <v>A</v>
          </cell>
          <cell r="F270" t="str">
            <v>Foam</v>
          </cell>
          <cell r="G270">
            <v>2</v>
          </cell>
          <cell r="H270">
            <v>0.03</v>
          </cell>
          <cell r="I270" t="str">
            <v>Buy</v>
          </cell>
        </row>
        <row r="271">
          <cell r="A271" t="str">
            <v>ASY-006797-00</v>
          </cell>
          <cell r="B271">
            <v>1</v>
          </cell>
          <cell r="C271" t="str">
            <v>GSK-000122-01</v>
          </cell>
          <cell r="D271" t="str">
            <v>GASKET, DRIVER ENCLOSURE, 3M, 4 FT, TROV 2.0</v>
          </cell>
          <cell r="E271" t="str">
            <v>B</v>
          </cell>
          <cell r="F271" t="str">
            <v>Gasket</v>
          </cell>
          <cell r="G271">
            <v>1</v>
          </cell>
          <cell r="H271">
            <v>2.0299999999999998</v>
          </cell>
          <cell r="I271" t="str">
            <v>Buy</v>
          </cell>
        </row>
        <row r="272">
          <cell r="A272" t="str">
            <v>ASY-006797-00</v>
          </cell>
          <cell r="B272">
            <v>1</v>
          </cell>
          <cell r="C272" t="str">
            <v>GSK-000133-00</v>
          </cell>
          <cell r="D272" t="str">
            <v>GASKET, TERTIARY LENS, 3M, 2 FT, L60, TROV 2.0</v>
          </cell>
          <cell r="E272" t="str">
            <v>B</v>
          </cell>
          <cell r="F272" t="str">
            <v>Gasket</v>
          </cell>
          <cell r="G272">
            <v>2</v>
          </cell>
          <cell r="H272">
            <v>6</v>
          </cell>
          <cell r="I272" t="str">
            <v>Buy</v>
          </cell>
        </row>
        <row r="273">
          <cell r="A273" t="str">
            <v>ASY-006797-00</v>
          </cell>
          <cell r="B273">
            <v>1</v>
          </cell>
          <cell r="C273" t="str">
            <v>HSG-000493-01</v>
          </cell>
          <cell r="D273" t="str">
            <v>HOUSING, TOP, 4 FT, L60, SILVER, TROV 2.0</v>
          </cell>
          <cell r="E273" t="str">
            <v>E</v>
          </cell>
          <cell r="F273" t="str">
            <v>Housing</v>
          </cell>
          <cell r="G273">
            <v>1</v>
          </cell>
          <cell r="H273">
            <v>38.619999999999997</v>
          </cell>
          <cell r="I273" t="str">
            <v>Buy</v>
          </cell>
        </row>
        <row r="274">
          <cell r="A274" t="str">
            <v>ASY-006797-00</v>
          </cell>
          <cell r="B274">
            <v>1</v>
          </cell>
          <cell r="C274" t="str">
            <v>HSG-000495-01</v>
          </cell>
          <cell r="D274" t="str">
            <v>HOUSING, BOTTOM, 4 FT, SILVER, TROV 2.0</v>
          </cell>
          <cell r="E274" t="str">
            <v>F</v>
          </cell>
          <cell r="F274" t="str">
            <v>Housing</v>
          </cell>
          <cell r="G274">
            <v>1</v>
          </cell>
          <cell r="H274">
            <v>32.49</v>
          </cell>
          <cell r="I274" t="str">
            <v>Buy</v>
          </cell>
        </row>
        <row r="275">
          <cell r="A275" t="str">
            <v>ASY-006797-00</v>
          </cell>
          <cell r="B275">
            <v>1</v>
          </cell>
          <cell r="C275" t="str">
            <v>LBA-000003-00</v>
          </cell>
          <cell r="D275" t="str">
            <v>Label: TROV 2 P1/P2, Model L45/L60</v>
          </cell>
          <cell r="E275" t="str">
            <v>A</v>
          </cell>
          <cell r="F275" t="str">
            <v>Label BOM</v>
          </cell>
          <cell r="G275">
            <v>1</v>
          </cell>
          <cell r="H275">
            <v>0</v>
          </cell>
          <cell r="I275" t="str">
            <v>Make</v>
          </cell>
        </row>
        <row r="276">
          <cell r="A276" t="str">
            <v>ASY-006797-00</v>
          </cell>
          <cell r="B276">
            <v>2</v>
          </cell>
          <cell r="C276" t="str">
            <v>LBL-000243-00</v>
          </cell>
          <cell r="D276" t="str">
            <v>Blank Product Label: Trov 2 P1/P2, Model L45/L60</v>
          </cell>
          <cell r="E276" t="str">
            <v>A</v>
          </cell>
          <cell r="F276" t="str">
            <v>Label</v>
          </cell>
          <cell r="G276">
            <v>1</v>
          </cell>
          <cell r="H276">
            <v>0.33</v>
          </cell>
          <cell r="I276" t="str">
            <v>Buy</v>
          </cell>
        </row>
        <row r="277">
          <cell r="A277" t="str">
            <v>ASY-006797-00</v>
          </cell>
          <cell r="B277">
            <v>1</v>
          </cell>
          <cell r="C277" t="str">
            <v>PLG-000009-01</v>
          </cell>
          <cell r="D277" t="str">
            <v>Porex Vent, Trov, L50 Exterior</v>
          </cell>
          <cell r="E277" t="str">
            <v>B</v>
          </cell>
          <cell r="F277" t="str">
            <v>Plug</v>
          </cell>
          <cell r="G277">
            <v>2</v>
          </cell>
          <cell r="H277">
            <v>0.17</v>
          </cell>
          <cell r="I277" t="str">
            <v>Buy</v>
          </cell>
        </row>
        <row r="278">
          <cell r="A278" t="str">
            <v>ASY-006797-00</v>
          </cell>
          <cell r="B278">
            <v>1</v>
          </cell>
          <cell r="C278" t="str">
            <v>SCW-000156-00</v>
          </cell>
          <cell r="D278" t="str">
            <v>SCREW, M3 x 0.5 X 8mm, PAND HEAD, PHILLIPS, STEEL</v>
          </cell>
          <cell r="E278" t="str">
            <v>B</v>
          </cell>
          <cell r="F278" t="str">
            <v>Screw</v>
          </cell>
          <cell r="G278">
            <v>6</v>
          </cell>
          <cell r="H278">
            <v>4.4400000000000002E-2</v>
          </cell>
          <cell r="I278" t="str">
            <v>Buy</v>
          </cell>
        </row>
        <row r="279">
          <cell r="A279" t="str">
            <v>ASY-006797-00</v>
          </cell>
          <cell r="B279">
            <v>1</v>
          </cell>
          <cell r="C279" t="str">
            <v>SCW-000483-00</v>
          </cell>
          <cell r="D279" t="str">
            <v>SCREW, PHILIPS FLAT HEAD, M2.5x0.45x5 , 18-8 SST</v>
          </cell>
          <cell r="E279" t="str">
            <v>A</v>
          </cell>
          <cell r="F279" t="str">
            <v>Screw</v>
          </cell>
          <cell r="G279">
            <v>4</v>
          </cell>
          <cell r="H279">
            <v>0.02</v>
          </cell>
          <cell r="I279" t="str">
            <v>Buy</v>
          </cell>
        </row>
        <row r="280">
          <cell r="A280" t="str">
            <v>ASY-006797-00</v>
          </cell>
          <cell r="B280">
            <v>1</v>
          </cell>
          <cell r="C280" t="str">
            <v>SCW-000556-00</v>
          </cell>
          <cell r="D280" t="str">
            <v>SCREW, HEX, SERRATED, #8-32, GROUNDING, TROV 2</v>
          </cell>
          <cell r="E280" t="str">
            <v>A</v>
          </cell>
          <cell r="F280" t="str">
            <v>Screw</v>
          </cell>
          <cell r="G280">
            <v>1</v>
          </cell>
          <cell r="H280">
            <v>0.04</v>
          </cell>
          <cell r="I280" t="str">
            <v>Buy</v>
          </cell>
        </row>
        <row r="281">
          <cell r="A281" t="str">
            <v>ASY-006797-00</v>
          </cell>
          <cell r="B281">
            <v>1</v>
          </cell>
          <cell r="C281" t="str">
            <v>SCW-000567-00</v>
          </cell>
          <cell r="D281" t="str">
            <v>SCREW, M2.5 x 0.45 x 12.0mm LENGTH, PAN HD, PHILLIPS, ZINC-PLATED STEEL</v>
          </cell>
          <cell r="E281" t="str">
            <v>A</v>
          </cell>
          <cell r="F281" t="str">
            <v>Screw</v>
          </cell>
          <cell r="G281">
            <v>4</v>
          </cell>
          <cell r="H281">
            <v>0.06</v>
          </cell>
          <cell r="I281" t="str">
            <v>Buy</v>
          </cell>
        </row>
        <row r="282">
          <cell r="A282" t="str">
            <v>ASY-006797-00</v>
          </cell>
          <cell r="B282">
            <v>1</v>
          </cell>
          <cell r="C282" t="str">
            <v>SCW-000574-00</v>
          </cell>
          <cell r="D282" t="str">
            <v>SCREW, TORX HEAD, 1/4-28x1/2", LOW PROFILE, ALLOY STEEL</v>
          </cell>
          <cell r="E282" t="str">
            <v>A</v>
          </cell>
          <cell r="F282" t="str">
            <v>Screw</v>
          </cell>
          <cell r="G282">
            <v>2</v>
          </cell>
          <cell r="H282">
            <v>0.14000000000000001</v>
          </cell>
          <cell r="I282" t="str">
            <v>Buy</v>
          </cell>
        </row>
        <row r="283">
          <cell r="A283" t="str">
            <v>ASY-006797-00</v>
          </cell>
          <cell r="B283">
            <v>1</v>
          </cell>
          <cell r="C283" t="str">
            <v>SHT-000043-00</v>
          </cell>
          <cell r="D283" t="str">
            <v>INSULATION SHEET, HBA, 4FT,TROV 2</v>
          </cell>
          <cell r="E283" t="str">
            <v>D</v>
          </cell>
          <cell r="F283" t="str">
            <v>Sheet</v>
          </cell>
          <cell r="G283">
            <v>1</v>
          </cell>
          <cell r="H283">
            <v>0.25</v>
          </cell>
          <cell r="I283" t="str">
            <v>Buy</v>
          </cell>
        </row>
        <row r="284">
          <cell r="A284" t="str">
            <v>ASY-006797-00</v>
          </cell>
          <cell r="B284">
            <v>1</v>
          </cell>
          <cell r="C284" t="str">
            <v>SPG-000023-00</v>
          </cell>
          <cell r="D284" t="str">
            <v>SPRING, DISC, STACKED WAVE, TROV 2.0</v>
          </cell>
          <cell r="E284" t="str">
            <v>A</v>
          </cell>
          <cell r="F284" t="str">
            <v>Spring</v>
          </cell>
          <cell r="G284">
            <v>2</v>
          </cell>
          <cell r="H284">
            <v>1.74</v>
          </cell>
          <cell r="I284" t="str">
            <v>Buy</v>
          </cell>
        </row>
        <row r="285">
          <cell r="A285" t="str">
            <v>ASY-006797-00</v>
          </cell>
          <cell r="B285">
            <v>1</v>
          </cell>
          <cell r="C285" t="str">
            <v>TAP-000031-00</v>
          </cell>
          <cell r="D285" t="str">
            <v>3M Electrical Tape 92</v>
          </cell>
          <cell r="E285" t="str">
            <v>A</v>
          </cell>
          <cell r="F285" t="str">
            <v>Tape</v>
          </cell>
          <cell r="G285">
            <v>120</v>
          </cell>
          <cell r="H285">
            <v>1.4E-2</v>
          </cell>
          <cell r="I285" t="str">
            <v>Buy</v>
          </cell>
        </row>
        <row r="286">
          <cell r="A286" t="str">
            <v>ASY-006797-00</v>
          </cell>
          <cell r="B286">
            <v>1</v>
          </cell>
          <cell r="C286" t="str">
            <v>TMP-000028-00</v>
          </cell>
          <cell r="D286" t="str">
            <v>Thermal Pad, LED PCBA, 2 FT, TROV 2</v>
          </cell>
          <cell r="E286" t="str">
            <v>B</v>
          </cell>
          <cell r="F286" t="str">
            <v>Thermal Pad</v>
          </cell>
          <cell r="G286">
            <v>2</v>
          </cell>
          <cell r="H286">
            <v>1.32</v>
          </cell>
          <cell r="I286" t="str">
            <v>Buy</v>
          </cell>
        </row>
        <row r="287">
          <cell r="A287" t="str">
            <v>ASY-006797-00</v>
          </cell>
          <cell r="B287">
            <v>1</v>
          </cell>
          <cell r="C287" t="str">
            <v>TMP-000029-00</v>
          </cell>
          <cell r="D287" t="str">
            <v>Thermal Pad, HBA, TROV 2</v>
          </cell>
          <cell r="E287" t="str">
            <v>B</v>
          </cell>
          <cell r="F287" t="str">
            <v>Thermal Pad</v>
          </cell>
          <cell r="G287">
            <v>2</v>
          </cell>
          <cell r="H287">
            <v>0.14000000000000001</v>
          </cell>
          <cell r="I287" t="str">
            <v>Buy</v>
          </cell>
        </row>
        <row r="288">
          <cell r="A288" t="str">
            <v>ASY-006797-01</v>
          </cell>
          <cell r="B288">
            <v>0</v>
          </cell>
          <cell r="C288" t="str">
            <v>ASY-006797-01</v>
          </cell>
          <cell r="D288" t="str">
            <v>ASSY, MECHANICAL, L60, OUTDOOR, 4 FT, TROV 2.0, BLACK</v>
          </cell>
          <cell r="E288" t="str">
            <v>R</v>
          </cell>
          <cell r="F288" t="str">
            <v>Sub assembly</v>
          </cell>
          <cell r="H288">
            <v>0</v>
          </cell>
          <cell r="I288" t="str">
            <v>Make</v>
          </cell>
        </row>
        <row r="289">
          <cell r="A289" t="str">
            <v>ASY-006797-01</v>
          </cell>
          <cell r="B289">
            <v>1</v>
          </cell>
          <cell r="C289" t="str">
            <v>ACB-000261-00</v>
          </cell>
          <cell r="D289" t="str">
            <v>CABLE, ECOBUS, 24AWG, SHORT, TROV 2</v>
          </cell>
          <cell r="E289" t="str">
            <v>B</v>
          </cell>
          <cell r="F289" t="str">
            <v>Cable</v>
          </cell>
          <cell r="G289">
            <v>1</v>
          </cell>
          <cell r="H289">
            <v>0.76</v>
          </cell>
          <cell r="I289" t="str">
            <v>Buy</v>
          </cell>
        </row>
        <row r="290">
          <cell r="A290" t="str">
            <v>ASY-006797-01</v>
          </cell>
          <cell r="B290">
            <v>1</v>
          </cell>
          <cell r="C290" t="str">
            <v>ACB-000261-01</v>
          </cell>
          <cell r="D290" t="str">
            <v>CABLE, ECOBUS, 24AWG, LONG, TROV 2</v>
          </cell>
          <cell r="E290" t="str">
            <v>B</v>
          </cell>
          <cell r="F290" t="str">
            <v>Cable</v>
          </cell>
          <cell r="G290">
            <v>1</v>
          </cell>
          <cell r="H290">
            <v>0.82</v>
          </cell>
          <cell r="I290" t="str">
            <v>Buy</v>
          </cell>
        </row>
        <row r="291">
          <cell r="A291" t="str">
            <v>ASY-006797-01</v>
          </cell>
          <cell r="B291">
            <v>1</v>
          </cell>
          <cell r="C291" t="str">
            <v>ASY-100008-00</v>
          </cell>
          <cell r="D291" t="str">
            <v>Cable Subassembly, Driver housing, 4ft, Trov 2</v>
          </cell>
          <cell r="E291" t="str">
            <v>A</v>
          </cell>
          <cell r="F291" t="str">
            <v>Sub assembly</v>
          </cell>
          <cell r="G291">
            <v>1</v>
          </cell>
          <cell r="H291">
            <v>0</v>
          </cell>
          <cell r="I291" t="str">
            <v>Make</v>
          </cell>
        </row>
        <row r="292">
          <cell r="A292" t="str">
            <v>ASY-006797-01</v>
          </cell>
          <cell r="B292">
            <v>2</v>
          </cell>
          <cell r="C292" t="str">
            <v>ACB-000272-00</v>
          </cell>
          <cell r="D292" t="str">
            <v>CABLE ASSY, INTRA-FIXTURE, 4FT, TROV 2.0</v>
          </cell>
          <cell r="E292" t="str">
            <v>B</v>
          </cell>
          <cell r="F292" t="str">
            <v>Cable Assembly</v>
          </cell>
          <cell r="G292">
            <v>1</v>
          </cell>
          <cell r="H292">
            <v>20.420000000000002</v>
          </cell>
          <cell r="I292" t="str">
            <v>Buy</v>
          </cell>
        </row>
        <row r="293">
          <cell r="A293" t="str">
            <v>ASY-006797-01</v>
          </cell>
          <cell r="B293">
            <v>3</v>
          </cell>
          <cell r="C293" t="str">
            <v>ACB-000273-00</v>
          </cell>
          <cell r="D293" t="str">
            <v>6 CONDUCTOR CABLE, 3X22AWG, 3X16AWG, AL MYLAR, TROV 2</v>
          </cell>
          <cell r="E293" t="str">
            <v>A</v>
          </cell>
          <cell r="F293" t="str">
            <v>Cable</v>
          </cell>
          <cell r="G293">
            <v>1</v>
          </cell>
          <cell r="H293">
            <v>0</v>
          </cell>
          <cell r="I293" t="str">
            <v>N/A</v>
          </cell>
        </row>
        <row r="294">
          <cell r="A294" t="str">
            <v>ASY-006797-01</v>
          </cell>
          <cell r="B294">
            <v>3</v>
          </cell>
          <cell r="C294" t="str">
            <v>ACB-000274-00</v>
          </cell>
          <cell r="D294" t="str">
            <v>CABLE ASSEMBLY, INTERNAL, DRIVER SIDE, 4FT, TROV 2</v>
          </cell>
          <cell r="E294" t="str">
            <v>A</v>
          </cell>
          <cell r="F294" t="str">
            <v>Cable Assembly</v>
          </cell>
          <cell r="G294">
            <v>1</v>
          </cell>
          <cell r="H294">
            <v>0</v>
          </cell>
          <cell r="I294" t="str">
            <v>N/A</v>
          </cell>
        </row>
        <row r="295">
          <cell r="A295" t="str">
            <v>ASY-006797-01</v>
          </cell>
          <cell r="B295">
            <v>3</v>
          </cell>
          <cell r="C295" t="str">
            <v>CON-000259-00</v>
          </cell>
          <cell r="D295" t="str">
            <v>CONNECTOR, MALE, 6 PIN, TROV 2</v>
          </cell>
          <cell r="E295" t="str">
            <v>B</v>
          </cell>
          <cell r="F295" t="str">
            <v>Connector</v>
          </cell>
          <cell r="G295">
            <v>1</v>
          </cell>
          <cell r="H295">
            <v>0</v>
          </cell>
          <cell r="I295" t="str">
            <v>N/A</v>
          </cell>
        </row>
        <row r="296">
          <cell r="A296" t="str">
            <v>ASY-006797-01</v>
          </cell>
          <cell r="B296">
            <v>3</v>
          </cell>
          <cell r="C296" t="str">
            <v>CON-000260-00</v>
          </cell>
          <cell r="D296" t="str">
            <v>CONNECTOR, FEMALE, 6 PIN, TROV 2</v>
          </cell>
          <cell r="E296" t="str">
            <v>A</v>
          </cell>
          <cell r="F296" t="str">
            <v>Connector</v>
          </cell>
          <cell r="G296">
            <v>1</v>
          </cell>
          <cell r="H296">
            <v>0</v>
          </cell>
          <cell r="I296" t="str">
            <v>N/A</v>
          </cell>
        </row>
        <row r="297">
          <cell r="A297" t="str">
            <v>ASY-006797-01</v>
          </cell>
          <cell r="B297">
            <v>3</v>
          </cell>
          <cell r="C297" t="str">
            <v>HSG-000330-00</v>
          </cell>
          <cell r="D297" t="str">
            <v>DRIVER HOUSING, 4 FT, TROV 2</v>
          </cell>
          <cell r="E297" t="str">
            <v>A</v>
          </cell>
          <cell r="F297" t="str">
            <v>Housing</v>
          </cell>
          <cell r="G297">
            <v>1</v>
          </cell>
          <cell r="H297">
            <v>0</v>
          </cell>
          <cell r="I297" t="str">
            <v>N/A</v>
          </cell>
        </row>
        <row r="298">
          <cell r="A298" t="str">
            <v>ASY-006797-01</v>
          </cell>
          <cell r="B298">
            <v>3</v>
          </cell>
          <cell r="C298" t="str">
            <v>ORG-000060-00</v>
          </cell>
          <cell r="D298" t="str">
            <v>O-RING, CABLE, TROV 2</v>
          </cell>
          <cell r="E298" t="str">
            <v>A</v>
          </cell>
          <cell r="F298" t="str">
            <v>O-Ring</v>
          </cell>
          <cell r="G298">
            <v>1</v>
          </cell>
          <cell r="H298">
            <v>0</v>
          </cell>
          <cell r="I298" t="str">
            <v>N/A</v>
          </cell>
        </row>
        <row r="299">
          <cell r="A299" t="str">
            <v>ASY-006797-01</v>
          </cell>
          <cell r="B299">
            <v>3</v>
          </cell>
          <cell r="C299" t="str">
            <v>SRF-000030-00</v>
          </cell>
          <cell r="D299" t="str">
            <v>STRAIN RELIEF, CABLE, TROV 2</v>
          </cell>
          <cell r="E299" t="str">
            <v>A</v>
          </cell>
          <cell r="F299" t="str">
            <v>Strain Relief</v>
          </cell>
          <cell r="G299">
            <v>1</v>
          </cell>
          <cell r="H299">
            <v>0</v>
          </cell>
          <cell r="I299" t="str">
            <v>N/A</v>
          </cell>
        </row>
        <row r="300">
          <cell r="A300" t="str">
            <v>ASY-006797-01</v>
          </cell>
          <cell r="B300">
            <v>2</v>
          </cell>
          <cell r="C300" t="str">
            <v>BKT-000517-00</v>
          </cell>
          <cell r="D300" t="str">
            <v>BRACKET, ROTATING LOCK, 4 FT, TROV 2.0</v>
          </cell>
          <cell r="E300" t="str">
            <v>B</v>
          </cell>
          <cell r="F300" t="str">
            <v>Bracket</v>
          </cell>
          <cell r="G300">
            <v>1</v>
          </cell>
          <cell r="H300">
            <v>0.9</v>
          </cell>
          <cell r="I300" t="str">
            <v>Buy</v>
          </cell>
        </row>
        <row r="301">
          <cell r="A301" t="str">
            <v>ASY-006797-01</v>
          </cell>
          <cell r="B301">
            <v>2</v>
          </cell>
          <cell r="C301" t="str">
            <v>BKT-000518-00</v>
          </cell>
          <cell r="D301" t="str">
            <v>BRACKET, PANEL MOUNT, 4 FT, TROV 2.0</v>
          </cell>
          <cell r="E301" t="str">
            <v>B</v>
          </cell>
          <cell r="F301" t="str">
            <v>Bracket</v>
          </cell>
          <cell r="G301">
            <v>1</v>
          </cell>
          <cell r="H301">
            <v>0.9</v>
          </cell>
          <cell r="I301" t="str">
            <v>Buy</v>
          </cell>
        </row>
        <row r="302">
          <cell r="A302" t="str">
            <v>ASY-006797-01</v>
          </cell>
          <cell r="B302">
            <v>2</v>
          </cell>
          <cell r="C302" t="str">
            <v>SCW-000509-00</v>
          </cell>
          <cell r="D302" t="str">
            <v>SCREW, SEALING FLAT HEAD, M3x0.5x8MM</v>
          </cell>
          <cell r="E302" t="str">
            <v>B</v>
          </cell>
          <cell r="F302" t="str">
            <v>Screw</v>
          </cell>
          <cell r="G302">
            <v>2</v>
          </cell>
          <cell r="H302">
            <v>0.4</v>
          </cell>
          <cell r="I302" t="str">
            <v>Buy</v>
          </cell>
        </row>
        <row r="303">
          <cell r="A303" t="str">
            <v>ASY-006797-01</v>
          </cell>
          <cell r="B303">
            <v>1</v>
          </cell>
          <cell r="C303" t="str">
            <v>BAS-000021-00</v>
          </cell>
          <cell r="D303" t="str">
            <v>BASE, 4FT, TROV 2.0</v>
          </cell>
          <cell r="E303" t="str">
            <v>F</v>
          </cell>
          <cell r="F303" t="str">
            <v>Base</v>
          </cell>
          <cell r="G303">
            <v>1</v>
          </cell>
          <cell r="H303">
            <v>14.25</v>
          </cell>
          <cell r="I303" t="str">
            <v>Buy</v>
          </cell>
        </row>
        <row r="304">
          <cell r="A304" t="str">
            <v>ASY-006797-01</v>
          </cell>
          <cell r="B304">
            <v>1</v>
          </cell>
          <cell r="C304" t="str">
            <v>BKT-000457-03</v>
          </cell>
          <cell r="D304" t="str">
            <v>BRACKET, MOUNT, LEFT, BLACK, TROV 2.0</v>
          </cell>
          <cell r="E304" t="str">
            <v>C</v>
          </cell>
          <cell r="F304" t="str">
            <v>Bracket</v>
          </cell>
          <cell r="G304">
            <v>1</v>
          </cell>
          <cell r="H304">
            <v>0.99</v>
          </cell>
          <cell r="I304" t="str">
            <v>Buy</v>
          </cell>
        </row>
        <row r="305">
          <cell r="A305" t="str">
            <v>ASY-006797-01</v>
          </cell>
          <cell r="B305">
            <v>1</v>
          </cell>
          <cell r="C305" t="str">
            <v>BKT-000458-03</v>
          </cell>
          <cell r="D305" t="str">
            <v>BRACKET, MOUNT, RIGHT, BLACK, TROV 2.0</v>
          </cell>
          <cell r="E305" t="str">
            <v>C</v>
          </cell>
          <cell r="F305" t="str">
            <v>Bracket</v>
          </cell>
          <cell r="G305">
            <v>1</v>
          </cell>
          <cell r="H305">
            <v>0.99</v>
          </cell>
          <cell r="I305" t="str">
            <v>Buy</v>
          </cell>
        </row>
        <row r="306">
          <cell r="A306" t="str">
            <v>ASY-006797-01</v>
          </cell>
          <cell r="B306">
            <v>1</v>
          </cell>
          <cell r="C306" t="str">
            <v>CVR-000789-03</v>
          </cell>
          <cell r="D306" t="str">
            <v>END COVER, FC, BLACK, L60, TROV 2.0</v>
          </cell>
          <cell r="E306" t="str">
            <v>D</v>
          </cell>
          <cell r="F306" t="str">
            <v>Cover</v>
          </cell>
          <cell r="G306">
            <v>1</v>
          </cell>
          <cell r="H306">
            <v>1.0900000000000001</v>
          </cell>
          <cell r="I306" t="str">
            <v>Buy</v>
          </cell>
        </row>
        <row r="307">
          <cell r="A307" t="str">
            <v>ASY-006797-01</v>
          </cell>
          <cell r="B307">
            <v>1</v>
          </cell>
          <cell r="C307" t="str">
            <v>CVR-000893-03</v>
          </cell>
          <cell r="D307" t="str">
            <v>END COVER, MC, BLACK, L60, TROV 2.0</v>
          </cell>
          <cell r="E307" t="str">
            <v>B</v>
          </cell>
          <cell r="F307" t="str">
            <v>Cover</v>
          </cell>
          <cell r="G307">
            <v>1</v>
          </cell>
          <cell r="H307">
            <v>1.0900000000000001</v>
          </cell>
          <cell r="I307" t="str">
            <v>Buy</v>
          </cell>
        </row>
        <row r="308">
          <cell r="A308" t="str">
            <v>ASY-006797-01</v>
          </cell>
          <cell r="B308">
            <v>1</v>
          </cell>
          <cell r="C308" t="str">
            <v>FOM-000028-00</v>
          </cell>
          <cell r="D308" t="str">
            <v>FOAM, LIGHTBLOCK, ENDCAP, L60, TROV2</v>
          </cell>
          <cell r="E308" t="str">
            <v>A</v>
          </cell>
          <cell r="F308" t="str">
            <v>Foam</v>
          </cell>
          <cell r="G308">
            <v>2</v>
          </cell>
          <cell r="H308">
            <v>0.03</v>
          </cell>
          <cell r="I308" t="str">
            <v>Buy</v>
          </cell>
        </row>
        <row r="309">
          <cell r="A309" t="str">
            <v>ASY-006797-01</v>
          </cell>
          <cell r="B309">
            <v>1</v>
          </cell>
          <cell r="C309" t="str">
            <v>GSK-000122-01</v>
          </cell>
          <cell r="D309" t="str">
            <v>GASKET, DRIVER ENCLOSURE, 3M, 4 FT, TROV 2.0</v>
          </cell>
          <cell r="E309" t="str">
            <v>B</v>
          </cell>
          <cell r="F309" t="str">
            <v>Gasket</v>
          </cell>
          <cell r="G309">
            <v>1</v>
          </cell>
          <cell r="H309">
            <v>2.0299999999999998</v>
          </cell>
          <cell r="I309" t="str">
            <v>Buy</v>
          </cell>
        </row>
        <row r="310">
          <cell r="A310" t="str">
            <v>ASY-006797-01</v>
          </cell>
          <cell r="B310">
            <v>1</v>
          </cell>
          <cell r="C310" t="str">
            <v>GSK-000133-00</v>
          </cell>
          <cell r="D310" t="str">
            <v>GASKET, TERTIARY LENS, 3M, 2 FT, L60, TROV 2.0</v>
          </cell>
          <cell r="E310" t="str">
            <v>B</v>
          </cell>
          <cell r="F310" t="str">
            <v>Gasket</v>
          </cell>
          <cell r="G310">
            <v>2</v>
          </cell>
          <cell r="H310">
            <v>6</v>
          </cell>
          <cell r="I310" t="str">
            <v>Buy</v>
          </cell>
        </row>
        <row r="311">
          <cell r="A311" t="str">
            <v>ASY-006797-01</v>
          </cell>
          <cell r="B311">
            <v>1</v>
          </cell>
          <cell r="C311" t="str">
            <v>HSG-000493-03</v>
          </cell>
          <cell r="D311" t="str">
            <v>HOUSING, TOP, 4 FT, L60, BLACK, TROV 2.0</v>
          </cell>
          <cell r="E311" t="str">
            <v>E</v>
          </cell>
          <cell r="F311" t="str">
            <v>Housing</v>
          </cell>
          <cell r="G311">
            <v>1</v>
          </cell>
          <cell r="H311">
            <v>15.06</v>
          </cell>
          <cell r="I311" t="str">
            <v>Buy</v>
          </cell>
        </row>
        <row r="312">
          <cell r="A312" t="str">
            <v>ASY-006797-01</v>
          </cell>
          <cell r="B312">
            <v>1</v>
          </cell>
          <cell r="C312" t="str">
            <v>HSG-000495-03</v>
          </cell>
          <cell r="D312" t="str">
            <v>HOUSING, BOTTOM, 4 FT, BLACK, TROV 2.0</v>
          </cell>
          <cell r="E312" t="str">
            <v>F</v>
          </cell>
          <cell r="F312" t="str">
            <v>Housing</v>
          </cell>
          <cell r="G312">
            <v>1</v>
          </cell>
          <cell r="H312">
            <v>13.73</v>
          </cell>
          <cell r="I312" t="str">
            <v>Buy</v>
          </cell>
        </row>
        <row r="313">
          <cell r="A313" t="str">
            <v>ASY-006797-01</v>
          </cell>
          <cell r="B313">
            <v>1</v>
          </cell>
          <cell r="C313" t="str">
            <v>LBA-000003-00</v>
          </cell>
          <cell r="D313" t="str">
            <v>Label: TROV 2 P1/P2, Model L45/L60</v>
          </cell>
          <cell r="E313" t="str">
            <v>A</v>
          </cell>
          <cell r="F313" t="str">
            <v>Label BOM</v>
          </cell>
          <cell r="G313">
            <v>1</v>
          </cell>
          <cell r="H313">
            <v>0</v>
          </cell>
          <cell r="I313" t="str">
            <v>Make</v>
          </cell>
        </row>
        <row r="314">
          <cell r="A314" t="str">
            <v>ASY-006797-01</v>
          </cell>
          <cell r="B314">
            <v>2</v>
          </cell>
          <cell r="C314" t="str">
            <v>LBL-000243-00</v>
          </cell>
          <cell r="D314" t="str">
            <v>Blank Product Label: Trov 2 P1/P2, Model L45/L60</v>
          </cell>
          <cell r="E314" t="str">
            <v>A</v>
          </cell>
          <cell r="F314" t="str">
            <v>Label</v>
          </cell>
          <cell r="G314">
            <v>1</v>
          </cell>
          <cell r="H314">
            <v>0.33</v>
          </cell>
          <cell r="I314" t="str">
            <v>Buy</v>
          </cell>
        </row>
        <row r="315">
          <cell r="A315" t="str">
            <v>ASY-006797-01</v>
          </cell>
          <cell r="B315">
            <v>1</v>
          </cell>
          <cell r="C315" t="str">
            <v>PLG-000009-01</v>
          </cell>
          <cell r="D315" t="str">
            <v>Porex Vent, Trov, L50 Exterior</v>
          </cell>
          <cell r="E315" t="str">
            <v>B</v>
          </cell>
          <cell r="F315" t="str">
            <v>Plug</v>
          </cell>
          <cell r="G315">
            <v>2</v>
          </cell>
          <cell r="H315">
            <v>0.17</v>
          </cell>
          <cell r="I315" t="str">
            <v>Buy</v>
          </cell>
        </row>
        <row r="316">
          <cell r="A316" t="str">
            <v>ASY-006797-01</v>
          </cell>
          <cell r="B316">
            <v>1</v>
          </cell>
          <cell r="C316" t="str">
            <v>SCW-000156-00</v>
          </cell>
          <cell r="D316" t="str">
            <v>SCREW, M3 x 0.5 X 8mm, PAND HEAD, PHILLIPS, STEEL</v>
          </cell>
          <cell r="E316" t="str">
            <v>B</v>
          </cell>
          <cell r="F316" t="str">
            <v>Screw</v>
          </cell>
          <cell r="G316">
            <v>6</v>
          </cell>
          <cell r="H316">
            <v>4.4400000000000002E-2</v>
          </cell>
          <cell r="I316" t="str">
            <v>Buy</v>
          </cell>
        </row>
        <row r="317">
          <cell r="A317" t="str">
            <v>ASY-006797-01</v>
          </cell>
          <cell r="B317">
            <v>1</v>
          </cell>
          <cell r="C317" t="str">
            <v>SCW-000483-00</v>
          </cell>
          <cell r="D317" t="str">
            <v>SCREW, PHILIPS FLAT HEAD, M2.5x0.45x5 , 18-8 SST</v>
          </cell>
          <cell r="E317" t="str">
            <v>A</v>
          </cell>
          <cell r="F317" t="str">
            <v>Screw</v>
          </cell>
          <cell r="G317">
            <v>4</v>
          </cell>
          <cell r="H317">
            <v>0.02</v>
          </cell>
          <cell r="I317" t="str">
            <v>Buy</v>
          </cell>
        </row>
        <row r="318">
          <cell r="A318" t="str">
            <v>ASY-006797-01</v>
          </cell>
          <cell r="B318">
            <v>1</v>
          </cell>
          <cell r="C318" t="str">
            <v>SCW-000556-00</v>
          </cell>
          <cell r="D318" t="str">
            <v>SCREW, HEX, SERRATED, #8-32, GROUNDING, TROV 2</v>
          </cell>
          <cell r="E318" t="str">
            <v>A</v>
          </cell>
          <cell r="F318" t="str">
            <v>Screw</v>
          </cell>
          <cell r="G318">
            <v>1</v>
          </cell>
          <cell r="H318">
            <v>0.04</v>
          </cell>
          <cell r="I318" t="str">
            <v>Buy</v>
          </cell>
        </row>
        <row r="319">
          <cell r="A319" t="str">
            <v>ASY-006797-01</v>
          </cell>
          <cell r="B319">
            <v>1</v>
          </cell>
          <cell r="C319" t="str">
            <v>SCW-000567-00</v>
          </cell>
          <cell r="D319" t="str">
            <v>SCREW, M2.5 x 0.45 x 12.0mm LENGTH, PAN HD, PHILLIPS, ZINC-PLATED STEEL</v>
          </cell>
          <cell r="E319" t="str">
            <v>A</v>
          </cell>
          <cell r="F319" t="str">
            <v>Screw</v>
          </cell>
          <cell r="G319">
            <v>4</v>
          </cell>
          <cell r="H319">
            <v>0.06</v>
          </cell>
          <cell r="I319" t="str">
            <v>Buy</v>
          </cell>
        </row>
        <row r="320">
          <cell r="A320" t="str">
            <v>ASY-006797-01</v>
          </cell>
          <cell r="B320">
            <v>1</v>
          </cell>
          <cell r="C320" t="str">
            <v>SCW-000574-00</v>
          </cell>
          <cell r="D320" t="str">
            <v>SCREW, TORX HEAD, 1/4-28x1/2", LOW PROFILE, ALLOY STEEL</v>
          </cell>
          <cell r="E320" t="str">
            <v>A</v>
          </cell>
          <cell r="F320" t="str">
            <v>Screw</v>
          </cell>
          <cell r="G320">
            <v>2</v>
          </cell>
          <cell r="H320">
            <v>0.14000000000000001</v>
          </cell>
          <cell r="I320" t="str">
            <v>Buy</v>
          </cell>
        </row>
        <row r="321">
          <cell r="A321" t="str">
            <v>ASY-006797-01</v>
          </cell>
          <cell r="B321">
            <v>1</v>
          </cell>
          <cell r="C321" t="str">
            <v>SHT-000043-00</v>
          </cell>
          <cell r="D321" t="str">
            <v>INSULATION SHEET, HBA, 4FT,TROV 2</v>
          </cell>
          <cell r="E321" t="str">
            <v>D</v>
          </cell>
          <cell r="F321" t="str">
            <v>Sheet</v>
          </cell>
          <cell r="G321">
            <v>1</v>
          </cell>
          <cell r="H321">
            <v>0.25</v>
          </cell>
          <cell r="I321" t="str">
            <v>Buy</v>
          </cell>
        </row>
        <row r="322">
          <cell r="A322" t="str">
            <v>ASY-006797-01</v>
          </cell>
          <cell r="B322">
            <v>1</v>
          </cell>
          <cell r="C322" t="str">
            <v>SPG-000023-00</v>
          </cell>
          <cell r="D322" t="str">
            <v>SPRING, DISC, STACKED WAVE, TROV 2.0</v>
          </cell>
          <cell r="E322" t="str">
            <v>A</v>
          </cell>
          <cell r="F322" t="str">
            <v>Spring</v>
          </cell>
          <cell r="G322">
            <v>2</v>
          </cell>
          <cell r="H322">
            <v>1.74</v>
          </cell>
          <cell r="I322" t="str">
            <v>Buy</v>
          </cell>
        </row>
        <row r="323">
          <cell r="A323" t="str">
            <v>ASY-006797-01</v>
          </cell>
          <cell r="B323">
            <v>1</v>
          </cell>
          <cell r="C323" t="str">
            <v>TAP-000031-00</v>
          </cell>
          <cell r="D323" t="str">
            <v>3M Electrical Tape 92</v>
          </cell>
          <cell r="E323" t="str">
            <v>A</v>
          </cell>
          <cell r="F323" t="str">
            <v>Tape</v>
          </cell>
          <cell r="G323">
            <v>120</v>
          </cell>
          <cell r="H323">
            <v>1.4E-2</v>
          </cell>
          <cell r="I323" t="str">
            <v>Buy</v>
          </cell>
        </row>
        <row r="324">
          <cell r="A324" t="str">
            <v>ASY-006797-01</v>
          </cell>
          <cell r="B324">
            <v>1</v>
          </cell>
          <cell r="C324" t="str">
            <v>TMP-000028-00</v>
          </cell>
          <cell r="D324" t="str">
            <v>Thermal Pad, LED PCBA, 2 FT, TROV 2</v>
          </cell>
          <cell r="E324" t="str">
            <v>B</v>
          </cell>
          <cell r="F324" t="str">
            <v>Thermal Pad</v>
          </cell>
          <cell r="G324">
            <v>2</v>
          </cell>
          <cell r="H324">
            <v>1.32</v>
          </cell>
          <cell r="I324" t="str">
            <v>Buy</v>
          </cell>
        </row>
        <row r="325">
          <cell r="A325" t="str">
            <v>ASY-006797-01</v>
          </cell>
          <cell r="B325">
            <v>1</v>
          </cell>
          <cell r="C325" t="str">
            <v>TMP-000029-00</v>
          </cell>
          <cell r="D325" t="str">
            <v>Thermal Pad, HBA, TROV 2</v>
          </cell>
          <cell r="E325" t="str">
            <v>B</v>
          </cell>
          <cell r="F325" t="str">
            <v>Thermal Pad</v>
          </cell>
          <cell r="G325">
            <v>2</v>
          </cell>
          <cell r="H325">
            <v>0.14000000000000001</v>
          </cell>
          <cell r="I325" t="str">
            <v>Buy</v>
          </cell>
        </row>
        <row r="326">
          <cell r="A326" t="str">
            <v>ASY-006797-02</v>
          </cell>
          <cell r="B326">
            <v>0</v>
          </cell>
          <cell r="C326" t="str">
            <v>ASY-006797-02</v>
          </cell>
          <cell r="D326" t="str">
            <v>ASSY, MECHANICAL, L60, OUTDOOR, 4 FT, TROV 2.0, WHITE</v>
          </cell>
          <cell r="E326" t="str">
            <v>R</v>
          </cell>
          <cell r="F326" t="str">
            <v>Sub assembly</v>
          </cell>
          <cell r="H326">
            <v>0</v>
          </cell>
          <cell r="I326" t="str">
            <v>Make</v>
          </cell>
        </row>
        <row r="327">
          <cell r="A327" t="str">
            <v>ASY-006797-02</v>
          </cell>
          <cell r="B327">
            <v>1</v>
          </cell>
          <cell r="C327" t="str">
            <v>ACB-000261-00</v>
          </cell>
          <cell r="D327" t="str">
            <v>CABLE, ECOBUS, 24AWG, SHORT, TROV 2</v>
          </cell>
          <cell r="E327" t="str">
            <v>B</v>
          </cell>
          <cell r="F327" t="str">
            <v>Cable</v>
          </cell>
          <cell r="G327">
            <v>1</v>
          </cell>
          <cell r="H327">
            <v>0.76</v>
          </cell>
          <cell r="I327" t="str">
            <v>Buy</v>
          </cell>
        </row>
        <row r="328">
          <cell r="A328" t="str">
            <v>ASY-006797-02</v>
          </cell>
          <cell r="B328">
            <v>1</v>
          </cell>
          <cell r="C328" t="str">
            <v>ACB-000261-01</v>
          </cell>
          <cell r="D328" t="str">
            <v>CABLE, ECOBUS, 24AWG, LONG, TROV 2</v>
          </cell>
          <cell r="E328" t="str">
            <v>B</v>
          </cell>
          <cell r="F328" t="str">
            <v>Cable</v>
          </cell>
          <cell r="G328">
            <v>1</v>
          </cell>
          <cell r="H328">
            <v>0.82</v>
          </cell>
          <cell r="I328" t="str">
            <v>Buy</v>
          </cell>
        </row>
        <row r="329">
          <cell r="A329" t="str">
            <v>ASY-006797-02</v>
          </cell>
          <cell r="B329">
            <v>1</v>
          </cell>
          <cell r="C329" t="str">
            <v>ASY-100008-00</v>
          </cell>
          <cell r="D329" t="str">
            <v>Cable Subassembly, Driver housing, 4ft, Trov 2</v>
          </cell>
          <cell r="E329" t="str">
            <v>A</v>
          </cell>
          <cell r="F329" t="str">
            <v>Sub assembly</v>
          </cell>
          <cell r="G329">
            <v>1</v>
          </cell>
          <cell r="H329">
            <v>0</v>
          </cell>
          <cell r="I329" t="str">
            <v>Make</v>
          </cell>
        </row>
        <row r="330">
          <cell r="A330" t="str">
            <v>ASY-006797-02</v>
          </cell>
          <cell r="B330">
            <v>2</v>
          </cell>
          <cell r="C330" t="str">
            <v>ACB-000272-00</v>
          </cell>
          <cell r="D330" t="str">
            <v>CABLE ASSY, INTRA-FIXTURE, 4FT, TROV 2.0</v>
          </cell>
          <cell r="E330" t="str">
            <v>B</v>
          </cell>
          <cell r="F330" t="str">
            <v>Cable Assembly</v>
          </cell>
          <cell r="G330">
            <v>1</v>
          </cell>
          <cell r="H330">
            <v>20.420000000000002</v>
          </cell>
          <cell r="I330" t="str">
            <v>Buy</v>
          </cell>
        </row>
        <row r="331">
          <cell r="A331" t="str">
            <v>ASY-006797-02</v>
          </cell>
          <cell r="B331">
            <v>3</v>
          </cell>
          <cell r="C331" t="str">
            <v>ACB-000273-00</v>
          </cell>
          <cell r="D331" t="str">
            <v>6 CONDUCTOR CABLE, 3X22AWG, 3X16AWG, AL MYLAR, TROV 2</v>
          </cell>
          <cell r="E331" t="str">
            <v>A</v>
          </cell>
          <cell r="F331" t="str">
            <v>Cable</v>
          </cell>
          <cell r="G331">
            <v>1</v>
          </cell>
          <cell r="H331">
            <v>0</v>
          </cell>
          <cell r="I331" t="str">
            <v>N/A</v>
          </cell>
        </row>
        <row r="332">
          <cell r="A332" t="str">
            <v>ASY-006797-02</v>
          </cell>
          <cell r="B332">
            <v>3</v>
          </cell>
          <cell r="C332" t="str">
            <v>ACB-000274-00</v>
          </cell>
          <cell r="D332" t="str">
            <v>CABLE ASSEMBLY, INTERNAL, DRIVER SIDE, 4FT, TROV 2</v>
          </cell>
          <cell r="E332" t="str">
            <v>A</v>
          </cell>
          <cell r="F332" t="str">
            <v>Cable Assembly</v>
          </cell>
          <cell r="G332">
            <v>1</v>
          </cell>
          <cell r="H332">
            <v>0</v>
          </cell>
          <cell r="I332" t="str">
            <v>N/A</v>
          </cell>
        </row>
        <row r="333">
          <cell r="A333" t="str">
            <v>ASY-006797-02</v>
          </cell>
          <cell r="B333">
            <v>3</v>
          </cell>
          <cell r="C333" t="str">
            <v>CON-000259-00</v>
          </cell>
          <cell r="D333" t="str">
            <v>CONNECTOR, MALE, 6 PIN, TROV 2</v>
          </cell>
          <cell r="E333" t="str">
            <v>B</v>
          </cell>
          <cell r="F333" t="str">
            <v>Connector</v>
          </cell>
          <cell r="G333">
            <v>1</v>
          </cell>
          <cell r="H333">
            <v>0</v>
          </cell>
          <cell r="I333" t="str">
            <v>N/A</v>
          </cell>
        </row>
        <row r="334">
          <cell r="A334" t="str">
            <v>ASY-006797-02</v>
          </cell>
          <cell r="B334">
            <v>3</v>
          </cell>
          <cell r="C334" t="str">
            <v>CON-000260-00</v>
          </cell>
          <cell r="D334" t="str">
            <v>CONNECTOR, FEMALE, 6 PIN, TROV 2</v>
          </cell>
          <cell r="E334" t="str">
            <v>A</v>
          </cell>
          <cell r="F334" t="str">
            <v>Connector</v>
          </cell>
          <cell r="G334">
            <v>1</v>
          </cell>
          <cell r="H334">
            <v>0</v>
          </cell>
          <cell r="I334" t="str">
            <v>N/A</v>
          </cell>
        </row>
        <row r="335">
          <cell r="A335" t="str">
            <v>ASY-006797-02</v>
          </cell>
          <cell r="B335">
            <v>3</v>
          </cell>
          <cell r="C335" t="str">
            <v>HSG-000330-00</v>
          </cell>
          <cell r="D335" t="str">
            <v>DRIVER HOUSING, 4 FT, TROV 2</v>
          </cell>
          <cell r="E335" t="str">
            <v>A</v>
          </cell>
          <cell r="F335" t="str">
            <v>Housing</v>
          </cell>
          <cell r="G335">
            <v>1</v>
          </cell>
          <cell r="H335">
            <v>0</v>
          </cell>
          <cell r="I335" t="str">
            <v>N/A</v>
          </cell>
        </row>
        <row r="336">
          <cell r="A336" t="str">
            <v>ASY-006797-02</v>
          </cell>
          <cell r="B336">
            <v>3</v>
          </cell>
          <cell r="C336" t="str">
            <v>ORG-000060-00</v>
          </cell>
          <cell r="D336" t="str">
            <v>O-RING, CABLE, TROV 2</v>
          </cell>
          <cell r="E336" t="str">
            <v>A</v>
          </cell>
          <cell r="F336" t="str">
            <v>O-Ring</v>
          </cell>
          <cell r="G336">
            <v>1</v>
          </cell>
          <cell r="H336">
            <v>0</v>
          </cell>
          <cell r="I336" t="str">
            <v>N/A</v>
          </cell>
        </row>
        <row r="337">
          <cell r="A337" t="str">
            <v>ASY-006797-02</v>
          </cell>
          <cell r="B337">
            <v>3</v>
          </cell>
          <cell r="C337" t="str">
            <v>SRF-000030-00</v>
          </cell>
          <cell r="D337" t="str">
            <v>STRAIN RELIEF, CABLE, TROV 2</v>
          </cell>
          <cell r="E337" t="str">
            <v>A</v>
          </cell>
          <cell r="F337" t="str">
            <v>Strain Relief</v>
          </cell>
          <cell r="G337">
            <v>1</v>
          </cell>
          <cell r="H337">
            <v>0</v>
          </cell>
          <cell r="I337" t="str">
            <v>N/A</v>
          </cell>
        </row>
        <row r="338">
          <cell r="A338" t="str">
            <v>ASY-006797-02</v>
          </cell>
          <cell r="B338">
            <v>2</v>
          </cell>
          <cell r="C338" t="str">
            <v>BKT-000517-00</v>
          </cell>
          <cell r="D338" t="str">
            <v>BRACKET, ROTATING LOCK, 4 FT, TROV 2.0</v>
          </cell>
          <cell r="E338" t="str">
            <v>B</v>
          </cell>
          <cell r="F338" t="str">
            <v>Bracket</v>
          </cell>
          <cell r="G338">
            <v>1</v>
          </cell>
          <cell r="H338">
            <v>0.9</v>
          </cell>
          <cell r="I338" t="str">
            <v>Buy</v>
          </cell>
        </row>
        <row r="339">
          <cell r="A339" t="str">
            <v>ASY-006797-02</v>
          </cell>
          <cell r="B339">
            <v>2</v>
          </cell>
          <cell r="C339" t="str">
            <v>BKT-000518-00</v>
          </cell>
          <cell r="D339" t="str">
            <v>BRACKET, PANEL MOUNT, 4 FT, TROV 2.0</v>
          </cell>
          <cell r="E339" t="str">
            <v>B</v>
          </cell>
          <cell r="F339" t="str">
            <v>Bracket</v>
          </cell>
          <cell r="G339">
            <v>1</v>
          </cell>
          <cell r="H339">
            <v>0.9</v>
          </cell>
          <cell r="I339" t="str">
            <v>Buy</v>
          </cell>
        </row>
        <row r="340">
          <cell r="A340" t="str">
            <v>ASY-006797-02</v>
          </cell>
          <cell r="B340">
            <v>2</v>
          </cell>
          <cell r="C340" t="str">
            <v>SCW-000509-00</v>
          </cell>
          <cell r="D340" t="str">
            <v>SCREW, SEALING FLAT HEAD, M3x0.5x8MM</v>
          </cell>
          <cell r="E340" t="str">
            <v>B</v>
          </cell>
          <cell r="F340" t="str">
            <v>Screw</v>
          </cell>
          <cell r="G340">
            <v>2</v>
          </cell>
          <cell r="H340">
            <v>0.4</v>
          </cell>
          <cell r="I340" t="str">
            <v>Buy</v>
          </cell>
        </row>
        <row r="341">
          <cell r="A341" t="str">
            <v>ASY-006797-02</v>
          </cell>
          <cell r="B341">
            <v>1</v>
          </cell>
          <cell r="C341" t="str">
            <v>BAS-000021-00</v>
          </cell>
          <cell r="D341" t="str">
            <v>BASE, 4FT, TROV 2.0</v>
          </cell>
          <cell r="E341" t="str">
            <v>F</v>
          </cell>
          <cell r="F341" t="str">
            <v>Base</v>
          </cell>
          <cell r="G341">
            <v>1</v>
          </cell>
          <cell r="H341">
            <v>14.25</v>
          </cell>
          <cell r="I341" t="str">
            <v>Buy</v>
          </cell>
        </row>
        <row r="342">
          <cell r="A342" t="str">
            <v>ASY-006797-02</v>
          </cell>
          <cell r="B342">
            <v>1</v>
          </cell>
          <cell r="C342" t="str">
            <v>BKT-000457-03</v>
          </cell>
          <cell r="D342" t="str">
            <v>BRACKET, MOUNT, LEFT, BLACK, TROV 2.0</v>
          </cell>
          <cell r="E342" t="str">
            <v>C</v>
          </cell>
          <cell r="F342" t="str">
            <v>Bracket</v>
          </cell>
          <cell r="G342">
            <v>1</v>
          </cell>
          <cell r="H342">
            <v>0.99</v>
          </cell>
          <cell r="I342" t="str">
            <v>Buy</v>
          </cell>
        </row>
        <row r="343">
          <cell r="A343" t="str">
            <v>ASY-006797-02</v>
          </cell>
          <cell r="B343">
            <v>1</v>
          </cell>
          <cell r="C343" t="str">
            <v>BKT-000458-03</v>
          </cell>
          <cell r="D343" t="str">
            <v>BRACKET, MOUNT, RIGHT, BLACK, TROV 2.0</v>
          </cell>
          <cell r="E343" t="str">
            <v>C</v>
          </cell>
          <cell r="F343" t="str">
            <v>Bracket</v>
          </cell>
          <cell r="G343">
            <v>1</v>
          </cell>
          <cell r="H343">
            <v>0.99</v>
          </cell>
          <cell r="I343" t="str">
            <v>Buy</v>
          </cell>
        </row>
        <row r="344">
          <cell r="A344" t="str">
            <v>ASY-006797-02</v>
          </cell>
          <cell r="B344">
            <v>1</v>
          </cell>
          <cell r="C344" t="str">
            <v>CVR-000789-04</v>
          </cell>
          <cell r="D344" t="str">
            <v>END COVER, FC, WHITE, L60, TROV 2.0</v>
          </cell>
          <cell r="E344" t="str">
            <v>D</v>
          </cell>
          <cell r="F344" t="str">
            <v>Cover</v>
          </cell>
          <cell r="G344">
            <v>1</v>
          </cell>
          <cell r="H344">
            <v>0</v>
          </cell>
          <cell r="I344" t="str">
            <v>Buy</v>
          </cell>
        </row>
        <row r="345">
          <cell r="A345" t="str">
            <v>ASY-006797-02</v>
          </cell>
          <cell r="B345">
            <v>1</v>
          </cell>
          <cell r="C345" t="str">
            <v>CVR-000893-04</v>
          </cell>
          <cell r="D345" t="str">
            <v>END COVER, MC, WHITE, L60, TROV 2.0</v>
          </cell>
          <cell r="E345" t="str">
            <v>B</v>
          </cell>
          <cell r="F345" t="str">
            <v>Cover</v>
          </cell>
          <cell r="G345">
            <v>1</v>
          </cell>
          <cell r="H345">
            <v>1.0900000000000001</v>
          </cell>
          <cell r="I345" t="str">
            <v>Buy</v>
          </cell>
        </row>
        <row r="346">
          <cell r="A346" t="str">
            <v>ASY-006797-02</v>
          </cell>
          <cell r="B346">
            <v>1</v>
          </cell>
          <cell r="C346" t="str">
            <v>FOM-000028-00</v>
          </cell>
          <cell r="D346" t="str">
            <v>FOAM, LIGHTBLOCK, ENDCAP, L60, TROV2</v>
          </cell>
          <cell r="E346" t="str">
            <v>A</v>
          </cell>
          <cell r="F346" t="str">
            <v>Foam</v>
          </cell>
          <cell r="G346">
            <v>2</v>
          </cell>
          <cell r="H346">
            <v>0.03</v>
          </cell>
          <cell r="I346" t="str">
            <v>Buy</v>
          </cell>
        </row>
        <row r="347">
          <cell r="A347" t="str">
            <v>ASY-006797-02</v>
          </cell>
          <cell r="B347">
            <v>1</v>
          </cell>
          <cell r="C347" t="str">
            <v>GSK-000122-01</v>
          </cell>
          <cell r="D347" t="str">
            <v>GASKET, DRIVER ENCLOSURE, 3M, 4 FT, TROV 2.0</v>
          </cell>
          <cell r="E347" t="str">
            <v>B</v>
          </cell>
          <cell r="F347" t="str">
            <v>Gasket</v>
          </cell>
          <cell r="G347">
            <v>1</v>
          </cell>
          <cell r="H347">
            <v>2.0299999999999998</v>
          </cell>
          <cell r="I347" t="str">
            <v>Buy</v>
          </cell>
        </row>
        <row r="348">
          <cell r="A348" t="str">
            <v>ASY-006797-02</v>
          </cell>
          <cell r="B348">
            <v>1</v>
          </cell>
          <cell r="C348" t="str">
            <v>GSK-000133-00</v>
          </cell>
          <cell r="D348" t="str">
            <v>GASKET, TERTIARY LENS, 3M, 2 FT, L60, TROV 2.0</v>
          </cell>
          <cell r="E348" t="str">
            <v>B</v>
          </cell>
          <cell r="F348" t="str">
            <v>Gasket</v>
          </cell>
          <cell r="G348">
            <v>2</v>
          </cell>
          <cell r="H348">
            <v>6</v>
          </cell>
          <cell r="I348" t="str">
            <v>Buy</v>
          </cell>
        </row>
        <row r="349">
          <cell r="A349" t="str">
            <v>ASY-006797-02</v>
          </cell>
          <cell r="B349">
            <v>1</v>
          </cell>
          <cell r="C349" t="str">
            <v>HSG-000493-04</v>
          </cell>
          <cell r="D349" t="str">
            <v>HOUSING, TOP, 4 FT, L60, WHITE, TROV 2.0</v>
          </cell>
          <cell r="E349" t="str">
            <v>E</v>
          </cell>
          <cell r="F349" t="str">
            <v>Housing</v>
          </cell>
          <cell r="G349">
            <v>1</v>
          </cell>
          <cell r="H349">
            <v>15.06</v>
          </cell>
          <cell r="I349" t="str">
            <v>Buy</v>
          </cell>
        </row>
        <row r="350">
          <cell r="A350" t="str">
            <v>ASY-006797-02</v>
          </cell>
          <cell r="B350">
            <v>1</v>
          </cell>
          <cell r="C350" t="str">
            <v>HSG-000495-04</v>
          </cell>
          <cell r="D350" t="str">
            <v>HOUSING, BOTTOM, 4 FT, WHITE, TROV 2.0</v>
          </cell>
          <cell r="E350" t="str">
            <v>F</v>
          </cell>
          <cell r="F350" t="str">
            <v>Housing</v>
          </cell>
          <cell r="G350">
            <v>1</v>
          </cell>
          <cell r="H350">
            <v>13.18</v>
          </cell>
          <cell r="I350" t="str">
            <v>Buy</v>
          </cell>
        </row>
        <row r="351">
          <cell r="A351" t="str">
            <v>ASY-006797-02</v>
          </cell>
          <cell r="B351">
            <v>1</v>
          </cell>
          <cell r="C351" t="str">
            <v>LBA-000003-00</v>
          </cell>
          <cell r="D351" t="str">
            <v>Label: TROV 2 P1/P2, Model L45/L60</v>
          </cell>
          <cell r="E351" t="str">
            <v>A</v>
          </cell>
          <cell r="F351" t="str">
            <v>Label BOM</v>
          </cell>
          <cell r="G351">
            <v>1</v>
          </cell>
          <cell r="H351">
            <v>0</v>
          </cell>
          <cell r="I351" t="str">
            <v>Make</v>
          </cell>
        </row>
        <row r="352">
          <cell r="A352" t="str">
            <v>ASY-006797-02</v>
          </cell>
          <cell r="B352">
            <v>2</v>
          </cell>
          <cell r="C352" t="str">
            <v>LBL-000243-00</v>
          </cell>
          <cell r="D352" t="str">
            <v>Blank Product Label: Trov 2 P1/P2, Model L45/L60</v>
          </cell>
          <cell r="E352" t="str">
            <v>A</v>
          </cell>
          <cell r="F352" t="str">
            <v>Label</v>
          </cell>
          <cell r="G352">
            <v>1</v>
          </cell>
          <cell r="H352">
            <v>0.33</v>
          </cell>
          <cell r="I352" t="str">
            <v>Buy</v>
          </cell>
        </row>
        <row r="353">
          <cell r="A353" t="str">
            <v>ASY-006797-02</v>
          </cell>
          <cell r="B353">
            <v>1</v>
          </cell>
          <cell r="C353" t="str">
            <v>PLG-000009-01</v>
          </cell>
          <cell r="D353" t="str">
            <v>Porex Vent, Trov, L50 Exterior</v>
          </cell>
          <cell r="E353" t="str">
            <v>B</v>
          </cell>
          <cell r="F353" t="str">
            <v>Plug</v>
          </cell>
          <cell r="G353">
            <v>2</v>
          </cell>
          <cell r="H353">
            <v>0.17</v>
          </cell>
          <cell r="I353" t="str">
            <v>Buy</v>
          </cell>
        </row>
        <row r="354">
          <cell r="A354" t="str">
            <v>ASY-006797-02</v>
          </cell>
          <cell r="B354">
            <v>1</v>
          </cell>
          <cell r="C354" t="str">
            <v>SCW-000156-00</v>
          </cell>
          <cell r="D354" t="str">
            <v>SCREW, M3 x 0.5 X 8mm, PAND HEAD, PHILLIPS, STEEL</v>
          </cell>
          <cell r="E354" t="str">
            <v>B</v>
          </cell>
          <cell r="F354" t="str">
            <v>Screw</v>
          </cell>
          <cell r="G354">
            <v>6</v>
          </cell>
          <cell r="H354">
            <v>4.4400000000000002E-2</v>
          </cell>
          <cell r="I354" t="str">
            <v>Buy</v>
          </cell>
        </row>
        <row r="355">
          <cell r="A355" t="str">
            <v>ASY-006797-02</v>
          </cell>
          <cell r="B355">
            <v>1</v>
          </cell>
          <cell r="C355" t="str">
            <v>SCW-000483-00</v>
          </cell>
          <cell r="D355" t="str">
            <v>SCREW, PHILIPS FLAT HEAD, M2.5x0.45x5 , 18-8 SST</v>
          </cell>
          <cell r="E355" t="str">
            <v>A</v>
          </cell>
          <cell r="F355" t="str">
            <v>Screw</v>
          </cell>
          <cell r="G355">
            <v>4</v>
          </cell>
          <cell r="H355">
            <v>0.02</v>
          </cell>
          <cell r="I355" t="str">
            <v>Buy</v>
          </cell>
        </row>
        <row r="356">
          <cell r="A356" t="str">
            <v>ASY-006797-02</v>
          </cell>
          <cell r="B356">
            <v>1</v>
          </cell>
          <cell r="C356" t="str">
            <v>SCW-000556-00</v>
          </cell>
          <cell r="D356" t="str">
            <v>SCREW, HEX, SERRATED, #8-32, GROUNDING, TROV 2</v>
          </cell>
          <cell r="E356" t="str">
            <v>A</v>
          </cell>
          <cell r="F356" t="str">
            <v>Screw</v>
          </cell>
          <cell r="G356">
            <v>1</v>
          </cell>
          <cell r="H356">
            <v>0.04</v>
          </cell>
          <cell r="I356" t="str">
            <v>Buy</v>
          </cell>
        </row>
        <row r="357">
          <cell r="A357" t="str">
            <v>ASY-006797-02</v>
          </cell>
          <cell r="B357">
            <v>1</v>
          </cell>
          <cell r="C357" t="str">
            <v>SCW-000567-00</v>
          </cell>
          <cell r="D357" t="str">
            <v>SCREW, M2.5 x 0.45 x 12.0mm LENGTH, PAN HD, PHILLIPS, ZINC-PLATED STEEL</v>
          </cell>
          <cell r="E357" t="str">
            <v>A</v>
          </cell>
          <cell r="F357" t="str">
            <v>Screw</v>
          </cell>
          <cell r="G357">
            <v>4</v>
          </cell>
          <cell r="H357">
            <v>0.06</v>
          </cell>
          <cell r="I357" t="str">
            <v>Buy</v>
          </cell>
        </row>
        <row r="358">
          <cell r="A358" t="str">
            <v>ASY-006797-02</v>
          </cell>
          <cell r="B358">
            <v>1</v>
          </cell>
          <cell r="C358" t="str">
            <v>SCW-000574-00</v>
          </cell>
          <cell r="D358" t="str">
            <v>SCREW, TORX HEAD, 1/4-28x1/2", LOW PROFILE, ALLOY STEEL</v>
          </cell>
          <cell r="E358" t="str">
            <v>A</v>
          </cell>
          <cell r="F358" t="str">
            <v>Screw</v>
          </cell>
          <cell r="G358">
            <v>2</v>
          </cell>
          <cell r="H358">
            <v>0.14000000000000001</v>
          </cell>
          <cell r="I358" t="str">
            <v>Buy</v>
          </cell>
        </row>
        <row r="359">
          <cell r="A359" t="str">
            <v>ASY-006797-02</v>
          </cell>
          <cell r="B359">
            <v>1</v>
          </cell>
          <cell r="C359" t="str">
            <v>SHT-000043-00</v>
          </cell>
          <cell r="D359" t="str">
            <v>INSULATION SHEET, HBA, 4FT,TROV 2</v>
          </cell>
          <cell r="E359" t="str">
            <v>D</v>
          </cell>
          <cell r="F359" t="str">
            <v>Sheet</v>
          </cell>
          <cell r="G359">
            <v>1</v>
          </cell>
          <cell r="H359">
            <v>0.25</v>
          </cell>
          <cell r="I359" t="str">
            <v>Buy</v>
          </cell>
        </row>
        <row r="360">
          <cell r="A360" t="str">
            <v>ASY-006797-02</v>
          </cell>
          <cell r="B360">
            <v>1</v>
          </cell>
          <cell r="C360" t="str">
            <v>SPG-000023-00</v>
          </cell>
          <cell r="D360" t="str">
            <v>SPRING, DISC, STACKED WAVE, TROV 2.0</v>
          </cell>
          <cell r="E360" t="str">
            <v>A</v>
          </cell>
          <cell r="F360" t="str">
            <v>Spring</v>
          </cell>
          <cell r="G360">
            <v>2</v>
          </cell>
          <cell r="H360">
            <v>1.74</v>
          </cell>
          <cell r="I360" t="str">
            <v>Buy</v>
          </cell>
        </row>
        <row r="361">
          <cell r="A361" t="str">
            <v>ASY-006797-02</v>
          </cell>
          <cell r="B361">
            <v>1</v>
          </cell>
          <cell r="C361" t="str">
            <v>TAP-000031-00</v>
          </cell>
          <cell r="D361" t="str">
            <v>3M Electrical Tape 92</v>
          </cell>
          <cell r="E361" t="str">
            <v>A</v>
          </cell>
          <cell r="F361" t="str">
            <v>Tape</v>
          </cell>
          <cell r="G361">
            <v>120</v>
          </cell>
          <cell r="H361">
            <v>1.4E-2</v>
          </cell>
          <cell r="I361" t="str">
            <v>Buy</v>
          </cell>
        </row>
        <row r="362">
          <cell r="A362" t="str">
            <v>ASY-006797-02</v>
          </cell>
          <cell r="B362">
            <v>1</v>
          </cell>
          <cell r="C362" t="str">
            <v>TMP-000028-00</v>
          </cell>
          <cell r="D362" t="str">
            <v>Thermal Pad, LED PCBA, 2 FT, TROV 2</v>
          </cell>
          <cell r="E362" t="str">
            <v>B</v>
          </cell>
          <cell r="F362" t="str">
            <v>Thermal Pad</v>
          </cell>
          <cell r="G362">
            <v>2</v>
          </cell>
          <cell r="H362">
            <v>1.32</v>
          </cell>
          <cell r="I362" t="str">
            <v>Buy</v>
          </cell>
        </row>
        <row r="363">
          <cell r="A363" t="str">
            <v>ASY-006797-02</v>
          </cell>
          <cell r="B363">
            <v>1</v>
          </cell>
          <cell r="C363" t="str">
            <v>TMP-000029-00</v>
          </cell>
          <cell r="D363" t="str">
            <v>Thermal Pad, HBA, TROV 2</v>
          </cell>
          <cell r="E363" t="str">
            <v>B</v>
          </cell>
          <cell r="F363" t="str">
            <v>Thermal Pad</v>
          </cell>
          <cell r="G363">
            <v>2</v>
          </cell>
          <cell r="H363">
            <v>0.14000000000000001</v>
          </cell>
          <cell r="I363" t="str">
            <v>Buy</v>
          </cell>
        </row>
        <row r="364">
          <cell r="A364" t="str">
            <v>ASY-006797-03</v>
          </cell>
          <cell r="B364">
            <v>0</v>
          </cell>
          <cell r="C364" t="str">
            <v>ASY-006797-03</v>
          </cell>
          <cell r="D364" t="str">
            <v>ASSY, MECHANICAL, L60, OUTDOOR, 4 FT, TROV 2.0, BRONZE</v>
          </cell>
          <cell r="E364" t="str">
            <v>R</v>
          </cell>
          <cell r="F364" t="str">
            <v>Sub assembly</v>
          </cell>
          <cell r="H364">
            <v>0</v>
          </cell>
          <cell r="I364" t="str">
            <v>Make</v>
          </cell>
        </row>
        <row r="365">
          <cell r="A365" t="str">
            <v>ASY-006797-03</v>
          </cell>
          <cell r="B365">
            <v>1</v>
          </cell>
          <cell r="C365" t="str">
            <v>ACB-000261-00</v>
          </cell>
          <cell r="D365" t="str">
            <v>CABLE, ECOBUS, 24AWG, SHORT, TROV 2</v>
          </cell>
          <cell r="E365" t="str">
            <v>B</v>
          </cell>
          <cell r="F365" t="str">
            <v>Cable</v>
          </cell>
          <cell r="G365">
            <v>1</v>
          </cell>
          <cell r="H365">
            <v>0.76</v>
          </cell>
          <cell r="I365" t="str">
            <v>Buy</v>
          </cell>
        </row>
        <row r="366">
          <cell r="A366" t="str">
            <v>ASY-006797-03</v>
          </cell>
          <cell r="B366">
            <v>1</v>
          </cell>
          <cell r="C366" t="str">
            <v>ACB-000261-01</v>
          </cell>
          <cell r="D366" t="str">
            <v>CABLE, ECOBUS, 24AWG, LONG, TROV 2</v>
          </cell>
          <cell r="E366" t="str">
            <v>B</v>
          </cell>
          <cell r="F366" t="str">
            <v>Cable</v>
          </cell>
          <cell r="G366">
            <v>1</v>
          </cell>
          <cell r="H366">
            <v>0.82</v>
          </cell>
          <cell r="I366" t="str">
            <v>Buy</v>
          </cell>
        </row>
        <row r="367">
          <cell r="A367" t="str">
            <v>ASY-006797-03</v>
          </cell>
          <cell r="B367">
            <v>1</v>
          </cell>
          <cell r="C367" t="str">
            <v>ASY-100008-00</v>
          </cell>
          <cell r="D367" t="str">
            <v>Cable Subassembly, Driver housing, 4ft, Trov 2</v>
          </cell>
          <cell r="E367" t="str">
            <v>A</v>
          </cell>
          <cell r="F367" t="str">
            <v>Sub assembly</v>
          </cell>
          <cell r="G367">
            <v>1</v>
          </cell>
          <cell r="H367">
            <v>0</v>
          </cell>
          <cell r="I367" t="str">
            <v>Make</v>
          </cell>
        </row>
        <row r="368">
          <cell r="A368" t="str">
            <v>ASY-006797-03</v>
          </cell>
          <cell r="B368">
            <v>2</v>
          </cell>
          <cell r="C368" t="str">
            <v>ACB-000272-00</v>
          </cell>
          <cell r="D368" t="str">
            <v>CABLE ASSY, INTRA-FIXTURE, 4FT, TROV 2.0</v>
          </cell>
          <cell r="E368" t="str">
            <v>B</v>
          </cell>
          <cell r="F368" t="str">
            <v>Cable Assembly</v>
          </cell>
          <cell r="G368">
            <v>1</v>
          </cell>
          <cell r="H368">
            <v>20.420000000000002</v>
          </cell>
          <cell r="I368" t="str">
            <v>Buy</v>
          </cell>
        </row>
        <row r="369">
          <cell r="A369" t="str">
            <v>ASY-006797-03</v>
          </cell>
          <cell r="B369">
            <v>3</v>
          </cell>
          <cell r="C369" t="str">
            <v>ACB-000273-00</v>
          </cell>
          <cell r="D369" t="str">
            <v>6 CONDUCTOR CABLE, 3X22AWG, 3X16AWG, AL MYLAR, TROV 2</v>
          </cell>
          <cell r="E369" t="str">
            <v>A</v>
          </cell>
          <cell r="F369" t="str">
            <v>Cable</v>
          </cell>
          <cell r="G369">
            <v>1</v>
          </cell>
          <cell r="H369">
            <v>0</v>
          </cell>
          <cell r="I369" t="str">
            <v>N/A</v>
          </cell>
        </row>
        <row r="370">
          <cell r="A370" t="str">
            <v>ASY-006797-03</v>
          </cell>
          <cell r="B370">
            <v>3</v>
          </cell>
          <cell r="C370" t="str">
            <v>ACB-000274-00</v>
          </cell>
          <cell r="D370" t="str">
            <v>CABLE ASSEMBLY, INTERNAL, DRIVER SIDE, 4FT, TROV 2</v>
          </cell>
          <cell r="E370" t="str">
            <v>A</v>
          </cell>
          <cell r="F370" t="str">
            <v>Cable Assembly</v>
          </cell>
          <cell r="G370">
            <v>1</v>
          </cell>
          <cell r="H370">
            <v>0</v>
          </cell>
          <cell r="I370" t="str">
            <v>N/A</v>
          </cell>
        </row>
        <row r="371">
          <cell r="A371" t="str">
            <v>ASY-006797-03</v>
          </cell>
          <cell r="B371">
            <v>3</v>
          </cell>
          <cell r="C371" t="str">
            <v>CON-000259-00</v>
          </cell>
          <cell r="D371" t="str">
            <v>CONNECTOR, MALE, 6 PIN, TROV 2</v>
          </cell>
          <cell r="E371" t="str">
            <v>B</v>
          </cell>
          <cell r="F371" t="str">
            <v>Connector</v>
          </cell>
          <cell r="G371">
            <v>1</v>
          </cell>
          <cell r="H371">
            <v>0</v>
          </cell>
          <cell r="I371" t="str">
            <v>N/A</v>
          </cell>
        </row>
        <row r="372">
          <cell r="A372" t="str">
            <v>ASY-006797-03</v>
          </cell>
          <cell r="B372">
            <v>3</v>
          </cell>
          <cell r="C372" t="str">
            <v>CON-000260-00</v>
          </cell>
          <cell r="D372" t="str">
            <v>CONNECTOR, FEMALE, 6 PIN, TROV 2</v>
          </cell>
          <cell r="E372" t="str">
            <v>A</v>
          </cell>
          <cell r="F372" t="str">
            <v>Connector</v>
          </cell>
          <cell r="G372">
            <v>1</v>
          </cell>
          <cell r="H372">
            <v>0</v>
          </cell>
          <cell r="I372" t="str">
            <v>N/A</v>
          </cell>
        </row>
        <row r="373">
          <cell r="A373" t="str">
            <v>ASY-006797-03</v>
          </cell>
          <cell r="B373">
            <v>3</v>
          </cell>
          <cell r="C373" t="str">
            <v>HSG-000330-00</v>
          </cell>
          <cell r="D373" t="str">
            <v>DRIVER HOUSING, 4 FT, TROV 2</v>
          </cell>
          <cell r="E373" t="str">
            <v>A</v>
          </cell>
          <cell r="F373" t="str">
            <v>Housing</v>
          </cell>
          <cell r="G373">
            <v>1</v>
          </cell>
          <cell r="H373">
            <v>0</v>
          </cell>
          <cell r="I373" t="str">
            <v>N/A</v>
          </cell>
        </row>
        <row r="374">
          <cell r="A374" t="str">
            <v>ASY-006797-03</v>
          </cell>
          <cell r="B374">
            <v>3</v>
          </cell>
          <cell r="C374" t="str">
            <v>ORG-000060-00</v>
          </cell>
          <cell r="D374" t="str">
            <v>O-RING, CABLE, TROV 2</v>
          </cell>
          <cell r="E374" t="str">
            <v>A</v>
          </cell>
          <cell r="F374" t="str">
            <v>O-Ring</v>
          </cell>
          <cell r="G374">
            <v>1</v>
          </cell>
          <cell r="H374">
            <v>0</v>
          </cell>
          <cell r="I374" t="str">
            <v>N/A</v>
          </cell>
        </row>
        <row r="375">
          <cell r="A375" t="str">
            <v>ASY-006797-03</v>
          </cell>
          <cell r="B375">
            <v>3</v>
          </cell>
          <cell r="C375" t="str">
            <v>SRF-000030-00</v>
          </cell>
          <cell r="D375" t="str">
            <v>STRAIN RELIEF, CABLE, TROV 2</v>
          </cell>
          <cell r="E375" t="str">
            <v>A</v>
          </cell>
          <cell r="F375" t="str">
            <v>Strain Relief</v>
          </cell>
          <cell r="G375">
            <v>1</v>
          </cell>
          <cell r="H375">
            <v>0</v>
          </cell>
          <cell r="I375" t="str">
            <v>N/A</v>
          </cell>
        </row>
        <row r="376">
          <cell r="A376" t="str">
            <v>ASY-006797-03</v>
          </cell>
          <cell r="B376">
            <v>2</v>
          </cell>
          <cell r="C376" t="str">
            <v>BKT-000517-00</v>
          </cell>
          <cell r="D376" t="str">
            <v>BRACKET, ROTATING LOCK, 4 FT, TROV 2.0</v>
          </cell>
          <cell r="E376" t="str">
            <v>B</v>
          </cell>
          <cell r="F376" t="str">
            <v>Bracket</v>
          </cell>
          <cell r="G376">
            <v>1</v>
          </cell>
          <cell r="H376">
            <v>0.9</v>
          </cell>
          <cell r="I376" t="str">
            <v>Buy</v>
          </cell>
        </row>
        <row r="377">
          <cell r="A377" t="str">
            <v>ASY-006797-03</v>
          </cell>
          <cell r="B377">
            <v>2</v>
          </cell>
          <cell r="C377" t="str">
            <v>BKT-000518-00</v>
          </cell>
          <cell r="D377" t="str">
            <v>BRACKET, PANEL MOUNT, 4 FT, TROV 2.0</v>
          </cell>
          <cell r="E377" t="str">
            <v>B</v>
          </cell>
          <cell r="F377" t="str">
            <v>Bracket</v>
          </cell>
          <cell r="G377">
            <v>1</v>
          </cell>
          <cell r="H377">
            <v>0.9</v>
          </cell>
          <cell r="I377" t="str">
            <v>Buy</v>
          </cell>
        </row>
        <row r="378">
          <cell r="A378" t="str">
            <v>ASY-006797-03</v>
          </cell>
          <cell r="B378">
            <v>2</v>
          </cell>
          <cell r="C378" t="str">
            <v>SCW-000509-00</v>
          </cell>
          <cell r="D378" t="str">
            <v>SCREW, SEALING FLAT HEAD, M3x0.5x8MM</v>
          </cell>
          <cell r="E378" t="str">
            <v>B</v>
          </cell>
          <cell r="F378" t="str">
            <v>Screw</v>
          </cell>
          <cell r="G378">
            <v>2</v>
          </cell>
          <cell r="H378">
            <v>0.4</v>
          </cell>
          <cell r="I378" t="str">
            <v>Buy</v>
          </cell>
        </row>
        <row r="379">
          <cell r="A379" t="str">
            <v>ASY-006797-03</v>
          </cell>
          <cell r="B379">
            <v>1</v>
          </cell>
          <cell r="C379" t="str">
            <v>BAS-000021-00</v>
          </cell>
          <cell r="D379" t="str">
            <v>BASE, 4FT, TROV 2.0</v>
          </cell>
          <cell r="E379" t="str">
            <v>F</v>
          </cell>
          <cell r="F379" t="str">
            <v>Base</v>
          </cell>
          <cell r="G379">
            <v>1</v>
          </cell>
          <cell r="H379">
            <v>14.25</v>
          </cell>
          <cell r="I379" t="str">
            <v>Buy</v>
          </cell>
        </row>
        <row r="380">
          <cell r="A380" t="str">
            <v>ASY-006797-03</v>
          </cell>
          <cell r="B380">
            <v>1</v>
          </cell>
          <cell r="C380" t="str">
            <v>BKT-000457-03</v>
          </cell>
          <cell r="D380" t="str">
            <v>BRACKET, MOUNT, LEFT, BLACK, TROV 2.0</v>
          </cell>
          <cell r="E380" t="str">
            <v>C</v>
          </cell>
          <cell r="F380" t="str">
            <v>Bracket</v>
          </cell>
          <cell r="G380">
            <v>1</v>
          </cell>
          <cell r="H380">
            <v>0.99</v>
          </cell>
          <cell r="I380" t="str">
            <v>Buy</v>
          </cell>
        </row>
        <row r="381">
          <cell r="A381" t="str">
            <v>ASY-006797-03</v>
          </cell>
          <cell r="B381">
            <v>1</v>
          </cell>
          <cell r="C381" t="str">
            <v>BKT-000458-03</v>
          </cell>
          <cell r="D381" t="str">
            <v>BRACKET, MOUNT, RIGHT, BLACK, TROV 2.0</v>
          </cell>
          <cell r="E381" t="str">
            <v>C</v>
          </cell>
          <cell r="F381" t="str">
            <v>Bracket</v>
          </cell>
          <cell r="G381">
            <v>1</v>
          </cell>
          <cell r="H381">
            <v>0.99</v>
          </cell>
          <cell r="I381" t="str">
            <v>Buy</v>
          </cell>
        </row>
        <row r="382">
          <cell r="A382" t="str">
            <v>ASY-006797-03</v>
          </cell>
          <cell r="B382">
            <v>1</v>
          </cell>
          <cell r="C382" t="str">
            <v>CVR-000789-02</v>
          </cell>
          <cell r="D382" t="str">
            <v>END COVER, FC, BRONZE, L60, TROV 2.0</v>
          </cell>
          <cell r="E382" t="str">
            <v>D</v>
          </cell>
          <cell r="F382" t="str">
            <v>Cover</v>
          </cell>
          <cell r="G382">
            <v>1</v>
          </cell>
          <cell r="H382">
            <v>2.09</v>
          </cell>
          <cell r="I382" t="str">
            <v>Buy</v>
          </cell>
        </row>
        <row r="383">
          <cell r="A383" t="str">
            <v>ASY-006797-03</v>
          </cell>
          <cell r="B383">
            <v>1</v>
          </cell>
          <cell r="C383" t="str">
            <v>CVR-000893-02</v>
          </cell>
          <cell r="D383" t="str">
            <v>END COVER, MC, BRONZE, L60, TROV 2.0</v>
          </cell>
          <cell r="E383" t="str">
            <v>B</v>
          </cell>
          <cell r="F383" t="str">
            <v>Cover</v>
          </cell>
          <cell r="G383">
            <v>1</v>
          </cell>
          <cell r="H383">
            <v>7.5</v>
          </cell>
          <cell r="I383" t="str">
            <v>Buy</v>
          </cell>
        </row>
        <row r="384">
          <cell r="A384" t="str">
            <v>ASY-006797-03</v>
          </cell>
          <cell r="B384">
            <v>1</v>
          </cell>
          <cell r="C384" t="str">
            <v>FOM-000028-00</v>
          </cell>
          <cell r="D384" t="str">
            <v>FOAM, LIGHTBLOCK, ENDCAP, L60, TROV2</v>
          </cell>
          <cell r="E384" t="str">
            <v>A</v>
          </cell>
          <cell r="F384" t="str">
            <v>Foam</v>
          </cell>
          <cell r="G384">
            <v>2</v>
          </cell>
          <cell r="H384">
            <v>0.03</v>
          </cell>
          <cell r="I384" t="str">
            <v>Buy</v>
          </cell>
        </row>
        <row r="385">
          <cell r="A385" t="str">
            <v>ASY-006797-03</v>
          </cell>
          <cell r="B385">
            <v>1</v>
          </cell>
          <cell r="C385" t="str">
            <v>GSK-000122-01</v>
          </cell>
          <cell r="D385" t="str">
            <v>GASKET, DRIVER ENCLOSURE, 3M, 4 FT, TROV 2.0</v>
          </cell>
          <cell r="E385" t="str">
            <v>B</v>
          </cell>
          <cell r="F385" t="str">
            <v>Gasket</v>
          </cell>
          <cell r="G385">
            <v>1</v>
          </cell>
          <cell r="H385">
            <v>2.0299999999999998</v>
          </cell>
          <cell r="I385" t="str">
            <v>Buy</v>
          </cell>
        </row>
        <row r="386">
          <cell r="A386" t="str">
            <v>ASY-006797-03</v>
          </cell>
          <cell r="B386">
            <v>1</v>
          </cell>
          <cell r="C386" t="str">
            <v>GSK-000133-00</v>
          </cell>
          <cell r="D386" t="str">
            <v>GASKET, TERTIARY LENS, 3M, 2 FT, L60, TROV 2.0</v>
          </cell>
          <cell r="E386" t="str">
            <v>B</v>
          </cell>
          <cell r="F386" t="str">
            <v>Gasket</v>
          </cell>
          <cell r="G386">
            <v>2</v>
          </cell>
          <cell r="H386">
            <v>6</v>
          </cell>
          <cell r="I386" t="str">
            <v>Buy</v>
          </cell>
        </row>
        <row r="387">
          <cell r="A387" t="str">
            <v>ASY-006797-03</v>
          </cell>
          <cell r="B387">
            <v>1</v>
          </cell>
          <cell r="C387" t="str">
            <v>HSG-000493-02</v>
          </cell>
          <cell r="D387" t="str">
            <v>HOUSING, TOP, 4 FT, L60, BRONZE, TROV 2.0</v>
          </cell>
          <cell r="E387" t="str">
            <v>E</v>
          </cell>
          <cell r="F387" t="str">
            <v>Housing</v>
          </cell>
          <cell r="G387">
            <v>1</v>
          </cell>
          <cell r="H387">
            <v>15.06</v>
          </cell>
          <cell r="I387" t="str">
            <v>Buy</v>
          </cell>
        </row>
        <row r="388">
          <cell r="A388" t="str">
            <v>ASY-006797-03</v>
          </cell>
          <cell r="B388">
            <v>1</v>
          </cell>
          <cell r="C388" t="str">
            <v>HSG-000495-02</v>
          </cell>
          <cell r="D388" t="str">
            <v>HOUSING, BOTTOM, 4 FT, BRONZE, TROV 2.0</v>
          </cell>
          <cell r="E388" t="str">
            <v>F</v>
          </cell>
          <cell r="F388" t="str">
            <v>Housing</v>
          </cell>
          <cell r="G388">
            <v>1</v>
          </cell>
          <cell r="H388">
            <v>29.32</v>
          </cell>
          <cell r="I388" t="str">
            <v>Buy</v>
          </cell>
        </row>
        <row r="389">
          <cell r="A389" t="str">
            <v>ASY-006797-03</v>
          </cell>
          <cell r="B389">
            <v>1</v>
          </cell>
          <cell r="C389" t="str">
            <v>LBA-000003-00</v>
          </cell>
          <cell r="D389" t="str">
            <v>Label: TROV 2 P1/P2, Model L45/L60</v>
          </cell>
          <cell r="E389" t="str">
            <v>A</v>
          </cell>
          <cell r="F389" t="str">
            <v>Label BOM</v>
          </cell>
          <cell r="G389">
            <v>1</v>
          </cell>
          <cell r="H389">
            <v>0</v>
          </cell>
          <cell r="I389" t="str">
            <v>Make</v>
          </cell>
        </row>
        <row r="390">
          <cell r="A390" t="str">
            <v>ASY-006797-03</v>
          </cell>
          <cell r="B390">
            <v>2</v>
          </cell>
          <cell r="C390" t="str">
            <v>LBL-000243-00</v>
          </cell>
          <cell r="D390" t="str">
            <v>Blank Product Label: Trov 2 P1/P2, Model L45/L60</v>
          </cell>
          <cell r="E390" t="str">
            <v>A</v>
          </cell>
          <cell r="F390" t="str">
            <v>Label</v>
          </cell>
          <cell r="G390">
            <v>1</v>
          </cell>
          <cell r="H390">
            <v>0.33</v>
          </cell>
          <cell r="I390" t="str">
            <v>Buy</v>
          </cell>
        </row>
        <row r="391">
          <cell r="A391" t="str">
            <v>ASY-006797-03</v>
          </cell>
          <cell r="B391">
            <v>1</v>
          </cell>
          <cell r="C391" t="str">
            <v>PLG-000009-01</v>
          </cell>
          <cell r="D391" t="str">
            <v>Porex Vent, Trov, L50 Exterior</v>
          </cell>
          <cell r="E391" t="str">
            <v>B</v>
          </cell>
          <cell r="F391" t="str">
            <v>Plug</v>
          </cell>
          <cell r="G391">
            <v>2</v>
          </cell>
          <cell r="H391">
            <v>0.17</v>
          </cell>
          <cell r="I391" t="str">
            <v>Buy</v>
          </cell>
        </row>
        <row r="392">
          <cell r="A392" t="str">
            <v>ASY-006797-03</v>
          </cell>
          <cell r="B392">
            <v>1</v>
          </cell>
          <cell r="C392" t="str">
            <v>SCW-000156-00</v>
          </cell>
          <cell r="D392" t="str">
            <v>SCREW, M3 x 0.5 X 8mm, PAND HEAD, PHILLIPS, STEEL</v>
          </cell>
          <cell r="E392" t="str">
            <v>B</v>
          </cell>
          <cell r="F392" t="str">
            <v>Screw</v>
          </cell>
          <cell r="G392">
            <v>6</v>
          </cell>
          <cell r="H392">
            <v>4.4400000000000002E-2</v>
          </cell>
          <cell r="I392" t="str">
            <v>Buy</v>
          </cell>
        </row>
        <row r="393">
          <cell r="A393" t="str">
            <v>ASY-006797-03</v>
          </cell>
          <cell r="B393">
            <v>1</v>
          </cell>
          <cell r="C393" t="str">
            <v>SCW-000483-00</v>
          </cell>
          <cell r="D393" t="str">
            <v>SCREW, PHILIPS FLAT HEAD, M2.5x0.45x5 , 18-8 SST</v>
          </cell>
          <cell r="E393" t="str">
            <v>A</v>
          </cell>
          <cell r="F393" t="str">
            <v>Screw</v>
          </cell>
          <cell r="G393">
            <v>4</v>
          </cell>
          <cell r="H393">
            <v>0.02</v>
          </cell>
          <cell r="I393" t="str">
            <v>Buy</v>
          </cell>
        </row>
        <row r="394">
          <cell r="A394" t="str">
            <v>ASY-006797-03</v>
          </cell>
          <cell r="B394">
            <v>1</v>
          </cell>
          <cell r="C394" t="str">
            <v>SCW-000556-00</v>
          </cell>
          <cell r="D394" t="str">
            <v>SCREW, HEX, SERRATED, #8-32, GROUNDING, TROV 2</v>
          </cell>
          <cell r="E394" t="str">
            <v>A</v>
          </cell>
          <cell r="F394" t="str">
            <v>Screw</v>
          </cell>
          <cell r="G394">
            <v>1</v>
          </cell>
          <cell r="H394">
            <v>0.04</v>
          </cell>
          <cell r="I394" t="str">
            <v>Buy</v>
          </cell>
        </row>
        <row r="395">
          <cell r="A395" t="str">
            <v>ASY-006797-03</v>
          </cell>
          <cell r="B395">
            <v>1</v>
          </cell>
          <cell r="C395" t="str">
            <v>SCW-000567-00</v>
          </cell>
          <cell r="D395" t="str">
            <v>SCREW, M2.5 x 0.45 x 12.0mm LENGTH, PAN HD, PHILLIPS, ZINC-PLATED STEEL</v>
          </cell>
          <cell r="E395" t="str">
            <v>A</v>
          </cell>
          <cell r="F395" t="str">
            <v>Screw</v>
          </cell>
          <cell r="G395">
            <v>4</v>
          </cell>
          <cell r="H395">
            <v>0.06</v>
          </cell>
          <cell r="I395" t="str">
            <v>Buy</v>
          </cell>
        </row>
        <row r="396">
          <cell r="A396" t="str">
            <v>ASY-006797-03</v>
          </cell>
          <cell r="B396">
            <v>1</v>
          </cell>
          <cell r="C396" t="str">
            <v>SCW-000574-00</v>
          </cell>
          <cell r="D396" t="str">
            <v>SCREW, TORX HEAD, 1/4-28x1/2", LOW PROFILE, ALLOY STEEL</v>
          </cell>
          <cell r="E396" t="str">
            <v>A</v>
          </cell>
          <cell r="F396" t="str">
            <v>Screw</v>
          </cell>
          <cell r="G396">
            <v>2</v>
          </cell>
          <cell r="H396">
            <v>0.14000000000000001</v>
          </cell>
          <cell r="I396" t="str">
            <v>Buy</v>
          </cell>
        </row>
        <row r="397">
          <cell r="A397" t="str">
            <v>ASY-006797-03</v>
          </cell>
          <cell r="B397">
            <v>1</v>
          </cell>
          <cell r="C397" t="str">
            <v>SHT-000043-00</v>
          </cell>
          <cell r="D397" t="str">
            <v>INSULATION SHEET, HBA, 4FT,TROV 2</v>
          </cell>
          <cell r="E397" t="str">
            <v>D</v>
          </cell>
          <cell r="F397" t="str">
            <v>Sheet</v>
          </cell>
          <cell r="G397">
            <v>1</v>
          </cell>
          <cell r="H397">
            <v>0.25</v>
          </cell>
          <cell r="I397" t="str">
            <v>Buy</v>
          </cell>
        </row>
        <row r="398">
          <cell r="A398" t="str">
            <v>ASY-006797-03</v>
          </cell>
          <cell r="B398">
            <v>1</v>
          </cell>
          <cell r="C398" t="str">
            <v>SPG-000023-00</v>
          </cell>
          <cell r="D398" t="str">
            <v>SPRING, DISC, STACKED WAVE, TROV 2.0</v>
          </cell>
          <cell r="E398" t="str">
            <v>A</v>
          </cell>
          <cell r="F398" t="str">
            <v>Spring</v>
          </cell>
          <cell r="G398">
            <v>2</v>
          </cell>
          <cell r="H398">
            <v>1.74</v>
          </cell>
          <cell r="I398" t="str">
            <v>Buy</v>
          </cell>
        </row>
        <row r="399">
          <cell r="A399" t="str">
            <v>ASY-006797-03</v>
          </cell>
          <cell r="B399">
            <v>1</v>
          </cell>
          <cell r="C399" t="str">
            <v>TAP-000031-00</v>
          </cell>
          <cell r="D399" t="str">
            <v>3M Electrical Tape 92</v>
          </cell>
          <cell r="E399" t="str">
            <v>A</v>
          </cell>
          <cell r="F399" t="str">
            <v>Tape</v>
          </cell>
          <cell r="G399">
            <v>120</v>
          </cell>
          <cell r="H399">
            <v>1.4E-2</v>
          </cell>
          <cell r="I399" t="str">
            <v>Buy</v>
          </cell>
        </row>
        <row r="400">
          <cell r="A400" t="str">
            <v>ASY-006797-03</v>
          </cell>
          <cell r="B400">
            <v>1</v>
          </cell>
          <cell r="C400" t="str">
            <v>TMP-000028-00</v>
          </cell>
          <cell r="D400" t="str">
            <v>Thermal Pad, LED PCBA, 2 FT, TROV 2</v>
          </cell>
          <cell r="E400" t="str">
            <v>B</v>
          </cell>
          <cell r="F400" t="str">
            <v>Thermal Pad</v>
          </cell>
          <cell r="G400">
            <v>2</v>
          </cell>
          <cell r="H400">
            <v>1.32</v>
          </cell>
          <cell r="I400" t="str">
            <v>Buy</v>
          </cell>
        </row>
        <row r="401">
          <cell r="A401" t="str">
            <v>ASY-006797-03</v>
          </cell>
          <cell r="B401">
            <v>1</v>
          </cell>
          <cell r="C401" t="str">
            <v>TMP-000029-00</v>
          </cell>
          <cell r="D401" t="str">
            <v>Thermal Pad, HBA, TROV 2</v>
          </cell>
          <cell r="E401" t="str">
            <v>B</v>
          </cell>
          <cell r="F401" t="str">
            <v>Thermal Pad</v>
          </cell>
          <cell r="G401">
            <v>2</v>
          </cell>
          <cell r="H401">
            <v>0.14000000000000001</v>
          </cell>
          <cell r="I401" t="str">
            <v>Buy</v>
          </cell>
        </row>
        <row r="402">
          <cell r="A402" t="str">
            <v>ASY-006797-04</v>
          </cell>
          <cell r="B402">
            <v>0</v>
          </cell>
          <cell r="C402" t="str">
            <v>ASY-006797-04</v>
          </cell>
          <cell r="D402" t="str">
            <v>ASSY, MECHANICAL, L60, OUTDOOR, 4 FT, TROV 2.0, CUSTOM FINISH</v>
          </cell>
          <cell r="E402" t="str">
            <v>U</v>
          </cell>
          <cell r="F402" t="str">
            <v>Sub assembly</v>
          </cell>
          <cell r="H402">
            <v>0</v>
          </cell>
          <cell r="I402" t="str">
            <v>Make</v>
          </cell>
        </row>
        <row r="403">
          <cell r="A403" t="str">
            <v>ASY-006797-04</v>
          </cell>
          <cell r="B403">
            <v>1</v>
          </cell>
          <cell r="C403" t="str">
            <v>ACB-000261-00</v>
          </cell>
          <cell r="D403" t="str">
            <v>CABLE, ECOBUS, 24AWG, SHORT, TROV 2</v>
          </cell>
          <cell r="E403" t="str">
            <v>B</v>
          </cell>
          <cell r="F403" t="str">
            <v>Cable</v>
          </cell>
          <cell r="G403">
            <v>1</v>
          </cell>
          <cell r="H403">
            <v>0.76</v>
          </cell>
          <cell r="I403" t="str">
            <v>Buy</v>
          </cell>
        </row>
        <row r="404">
          <cell r="A404" t="str">
            <v>ASY-006797-04</v>
          </cell>
          <cell r="B404">
            <v>1</v>
          </cell>
          <cell r="C404" t="str">
            <v>ACB-000261-01</v>
          </cell>
          <cell r="D404" t="str">
            <v>CABLE, ECOBUS, 24AWG, LONG, TROV 2</v>
          </cell>
          <cell r="E404" t="str">
            <v>B</v>
          </cell>
          <cell r="F404" t="str">
            <v>Cable</v>
          </cell>
          <cell r="G404">
            <v>1</v>
          </cell>
          <cell r="H404">
            <v>0.82</v>
          </cell>
          <cell r="I404" t="str">
            <v>Buy</v>
          </cell>
        </row>
        <row r="405">
          <cell r="A405" t="str">
            <v>ASY-006797-04</v>
          </cell>
          <cell r="B405">
            <v>1</v>
          </cell>
          <cell r="C405" t="str">
            <v>ASY-100008-00</v>
          </cell>
          <cell r="D405" t="str">
            <v>Cable Subassembly, Driver housing, 4ft, Trov 2</v>
          </cell>
          <cell r="E405" t="str">
            <v>A</v>
          </cell>
          <cell r="F405" t="str">
            <v>Sub assembly</v>
          </cell>
          <cell r="G405">
            <v>1</v>
          </cell>
          <cell r="H405">
            <v>0</v>
          </cell>
          <cell r="I405" t="str">
            <v>Make</v>
          </cell>
        </row>
        <row r="406">
          <cell r="A406" t="str">
            <v>ASY-006797-04</v>
          </cell>
          <cell r="B406">
            <v>2</v>
          </cell>
          <cell r="C406" t="str">
            <v>ACB-000272-00</v>
          </cell>
          <cell r="D406" t="str">
            <v>CABLE ASSY, INTRA-FIXTURE, 4FT, TROV 2.0</v>
          </cell>
          <cell r="E406" t="str">
            <v>B</v>
          </cell>
          <cell r="F406" t="str">
            <v>Cable Assembly</v>
          </cell>
          <cell r="G406">
            <v>1</v>
          </cell>
          <cell r="H406">
            <v>20.420000000000002</v>
          </cell>
          <cell r="I406" t="str">
            <v>Buy</v>
          </cell>
        </row>
        <row r="407">
          <cell r="A407" t="str">
            <v>ASY-006797-04</v>
          </cell>
          <cell r="B407">
            <v>3</v>
          </cell>
          <cell r="C407" t="str">
            <v>ACB-000273-00</v>
          </cell>
          <cell r="D407" t="str">
            <v>6 CONDUCTOR CABLE, 3X22AWG, 3X16AWG, AL MYLAR, TROV 2</v>
          </cell>
          <cell r="E407" t="str">
            <v>A</v>
          </cell>
          <cell r="F407" t="str">
            <v>Cable</v>
          </cell>
          <cell r="G407">
            <v>1</v>
          </cell>
          <cell r="H407">
            <v>0</v>
          </cell>
          <cell r="I407" t="str">
            <v>N/A</v>
          </cell>
        </row>
        <row r="408">
          <cell r="A408" t="str">
            <v>ASY-006797-04</v>
          </cell>
          <cell r="B408">
            <v>3</v>
          </cell>
          <cell r="C408" t="str">
            <v>ACB-000274-00</v>
          </cell>
          <cell r="D408" t="str">
            <v>CABLE ASSEMBLY, INTERNAL, DRIVER SIDE, 4FT, TROV 2</v>
          </cell>
          <cell r="E408" t="str">
            <v>A</v>
          </cell>
          <cell r="F408" t="str">
            <v>Cable Assembly</v>
          </cell>
          <cell r="G408">
            <v>1</v>
          </cell>
          <cell r="H408">
            <v>0</v>
          </cell>
          <cell r="I408" t="str">
            <v>N/A</v>
          </cell>
        </row>
        <row r="409">
          <cell r="A409" t="str">
            <v>ASY-006797-04</v>
          </cell>
          <cell r="B409">
            <v>3</v>
          </cell>
          <cell r="C409" t="str">
            <v>CON-000259-00</v>
          </cell>
          <cell r="D409" t="str">
            <v>CONNECTOR, MALE, 6 PIN, TROV 2</v>
          </cell>
          <cell r="E409" t="str">
            <v>B</v>
          </cell>
          <cell r="F409" t="str">
            <v>Connector</v>
          </cell>
          <cell r="G409">
            <v>1</v>
          </cell>
          <cell r="H409">
            <v>0</v>
          </cell>
          <cell r="I409" t="str">
            <v>N/A</v>
          </cell>
        </row>
        <row r="410">
          <cell r="A410" t="str">
            <v>ASY-006797-04</v>
          </cell>
          <cell r="B410">
            <v>3</v>
          </cell>
          <cell r="C410" t="str">
            <v>CON-000260-00</v>
          </cell>
          <cell r="D410" t="str">
            <v>CONNECTOR, FEMALE, 6 PIN, TROV 2</v>
          </cell>
          <cell r="E410" t="str">
            <v>A</v>
          </cell>
          <cell r="F410" t="str">
            <v>Connector</v>
          </cell>
          <cell r="G410">
            <v>1</v>
          </cell>
          <cell r="H410">
            <v>0</v>
          </cell>
          <cell r="I410" t="str">
            <v>N/A</v>
          </cell>
        </row>
        <row r="411">
          <cell r="A411" t="str">
            <v>ASY-006797-04</v>
          </cell>
          <cell r="B411">
            <v>3</v>
          </cell>
          <cell r="C411" t="str">
            <v>HSG-000330-00</v>
          </cell>
          <cell r="D411" t="str">
            <v>DRIVER HOUSING, 4 FT, TROV 2</v>
          </cell>
          <cell r="E411" t="str">
            <v>A</v>
          </cell>
          <cell r="F411" t="str">
            <v>Housing</v>
          </cell>
          <cell r="G411">
            <v>1</v>
          </cell>
          <cell r="H411">
            <v>0</v>
          </cell>
          <cell r="I411" t="str">
            <v>N/A</v>
          </cell>
        </row>
        <row r="412">
          <cell r="A412" t="str">
            <v>ASY-006797-04</v>
          </cell>
          <cell r="B412">
            <v>3</v>
          </cell>
          <cell r="C412" t="str">
            <v>ORG-000060-00</v>
          </cell>
          <cell r="D412" t="str">
            <v>O-RING, CABLE, TROV 2</v>
          </cell>
          <cell r="E412" t="str">
            <v>A</v>
          </cell>
          <cell r="F412" t="str">
            <v>O-Ring</v>
          </cell>
          <cell r="G412">
            <v>1</v>
          </cell>
          <cell r="H412">
            <v>0</v>
          </cell>
          <cell r="I412" t="str">
            <v>N/A</v>
          </cell>
        </row>
        <row r="413">
          <cell r="A413" t="str">
            <v>ASY-006797-04</v>
          </cell>
          <cell r="B413">
            <v>3</v>
          </cell>
          <cell r="C413" t="str">
            <v>SRF-000030-00</v>
          </cell>
          <cell r="D413" t="str">
            <v>STRAIN RELIEF, CABLE, TROV 2</v>
          </cell>
          <cell r="E413" t="str">
            <v>A</v>
          </cell>
          <cell r="F413" t="str">
            <v>Strain Relief</v>
          </cell>
          <cell r="G413">
            <v>1</v>
          </cell>
          <cell r="H413">
            <v>0</v>
          </cell>
          <cell r="I413" t="str">
            <v>N/A</v>
          </cell>
        </row>
        <row r="414">
          <cell r="A414" t="str">
            <v>ASY-006797-04</v>
          </cell>
          <cell r="B414">
            <v>2</v>
          </cell>
          <cell r="C414" t="str">
            <v>BKT-000517-00</v>
          </cell>
          <cell r="D414" t="str">
            <v>BRACKET, ROTATING LOCK, 4 FT, TROV 2.0</v>
          </cell>
          <cell r="E414" t="str">
            <v>B</v>
          </cell>
          <cell r="F414" t="str">
            <v>Bracket</v>
          </cell>
          <cell r="G414">
            <v>1</v>
          </cell>
          <cell r="H414">
            <v>0.9</v>
          </cell>
          <cell r="I414" t="str">
            <v>Buy</v>
          </cell>
        </row>
        <row r="415">
          <cell r="A415" t="str">
            <v>ASY-006797-04</v>
          </cell>
          <cell r="B415">
            <v>2</v>
          </cell>
          <cell r="C415" t="str">
            <v>BKT-000518-00</v>
          </cell>
          <cell r="D415" t="str">
            <v>BRACKET, PANEL MOUNT, 4 FT, TROV 2.0</v>
          </cell>
          <cell r="E415" t="str">
            <v>B</v>
          </cell>
          <cell r="F415" t="str">
            <v>Bracket</v>
          </cell>
          <cell r="G415">
            <v>1</v>
          </cell>
          <cell r="H415">
            <v>0.9</v>
          </cell>
          <cell r="I415" t="str">
            <v>Buy</v>
          </cell>
        </row>
        <row r="416">
          <cell r="A416" t="str">
            <v>ASY-006797-04</v>
          </cell>
          <cell r="B416">
            <v>2</v>
          </cell>
          <cell r="C416" t="str">
            <v>SCW-000509-00</v>
          </cell>
          <cell r="D416" t="str">
            <v>SCREW, SEALING FLAT HEAD, M3x0.5x8MM</v>
          </cell>
          <cell r="E416" t="str">
            <v>B</v>
          </cell>
          <cell r="F416" t="str">
            <v>Screw</v>
          </cell>
          <cell r="G416">
            <v>2</v>
          </cell>
          <cell r="H416">
            <v>0.4</v>
          </cell>
          <cell r="I416" t="str">
            <v>Buy</v>
          </cell>
        </row>
        <row r="417">
          <cell r="A417" t="str">
            <v>ASY-006797-04</v>
          </cell>
          <cell r="B417">
            <v>1</v>
          </cell>
          <cell r="C417" t="str">
            <v>BAS-000021-00</v>
          </cell>
          <cell r="D417" t="str">
            <v>BASE, 4FT, TROV 2.0</v>
          </cell>
          <cell r="E417" t="str">
            <v>F</v>
          </cell>
          <cell r="F417" t="str">
            <v>Base</v>
          </cell>
          <cell r="G417">
            <v>1</v>
          </cell>
          <cell r="H417">
            <v>14.25</v>
          </cell>
          <cell r="I417" t="str">
            <v>Buy</v>
          </cell>
        </row>
        <row r="418">
          <cell r="A418" t="str">
            <v>ASY-006797-04</v>
          </cell>
          <cell r="B418">
            <v>1</v>
          </cell>
          <cell r="C418" t="str">
            <v>BKT-000457-03</v>
          </cell>
          <cell r="D418" t="str">
            <v>BRACKET, MOUNT, LEFT, BLACK, TROV 2.0</v>
          </cell>
          <cell r="E418" t="str">
            <v>C</v>
          </cell>
          <cell r="F418" t="str">
            <v>Bracket</v>
          </cell>
          <cell r="G418">
            <v>1</v>
          </cell>
          <cell r="H418">
            <v>0.99</v>
          </cell>
          <cell r="I418" t="str">
            <v>Buy</v>
          </cell>
        </row>
        <row r="419">
          <cell r="A419" t="str">
            <v>ASY-006797-04</v>
          </cell>
          <cell r="B419">
            <v>1</v>
          </cell>
          <cell r="C419" t="str">
            <v>BKT-000458-03</v>
          </cell>
          <cell r="D419" t="str">
            <v>BRACKET, MOUNT, RIGHT, BLACK, TROV 2.0</v>
          </cell>
          <cell r="E419" t="str">
            <v>C</v>
          </cell>
          <cell r="F419" t="str">
            <v>Bracket</v>
          </cell>
          <cell r="G419">
            <v>1</v>
          </cell>
          <cell r="H419">
            <v>0.99</v>
          </cell>
          <cell r="I419" t="str">
            <v>Buy</v>
          </cell>
        </row>
        <row r="420">
          <cell r="A420" t="str">
            <v>ASY-006797-04</v>
          </cell>
          <cell r="B420">
            <v>1</v>
          </cell>
          <cell r="C420" t="str">
            <v>CVR-000789-0C</v>
          </cell>
          <cell r="D420" t="str">
            <v>END COVER, FC, CUSTOM FINISH, L60, TROV 2.0</v>
          </cell>
          <cell r="E420" t="str">
            <v>E</v>
          </cell>
          <cell r="F420" t="str">
            <v>Cover</v>
          </cell>
          <cell r="G420">
            <v>1</v>
          </cell>
          <cell r="H420">
            <v>0.01</v>
          </cell>
          <cell r="I420" t="str">
            <v>Buy</v>
          </cell>
        </row>
        <row r="421">
          <cell r="A421" t="str">
            <v>ASY-006797-04</v>
          </cell>
          <cell r="B421">
            <v>1</v>
          </cell>
          <cell r="C421" t="str">
            <v>CVR-000893-0C</v>
          </cell>
          <cell r="D421" t="str">
            <v>END COVER, MC, CUSTOM FINISH, L60, TROV 2.0</v>
          </cell>
          <cell r="E421" t="str">
            <v>C</v>
          </cell>
          <cell r="F421" t="str">
            <v>Cover</v>
          </cell>
          <cell r="G421">
            <v>1</v>
          </cell>
          <cell r="H421">
            <v>0</v>
          </cell>
          <cell r="I421" t="str">
            <v>Buy</v>
          </cell>
        </row>
        <row r="422">
          <cell r="A422" t="str">
            <v>ASY-006797-04</v>
          </cell>
          <cell r="B422">
            <v>1</v>
          </cell>
          <cell r="C422" t="str">
            <v>FOM-000028-00</v>
          </cell>
          <cell r="D422" t="str">
            <v>FOAM, LIGHTBLOCK, ENDCAP, L60, TROV2</v>
          </cell>
          <cell r="E422" t="str">
            <v>A</v>
          </cell>
          <cell r="F422" t="str">
            <v>Foam</v>
          </cell>
          <cell r="G422">
            <v>2</v>
          </cell>
          <cell r="H422">
            <v>0.03</v>
          </cell>
          <cell r="I422" t="str">
            <v>Buy</v>
          </cell>
        </row>
        <row r="423">
          <cell r="A423" t="str">
            <v>ASY-006797-04</v>
          </cell>
          <cell r="B423">
            <v>1</v>
          </cell>
          <cell r="C423" t="str">
            <v>GSK-000122-01</v>
          </cell>
          <cell r="D423" t="str">
            <v>GASKET, DRIVER ENCLOSURE, 3M, 4 FT, TROV 2.0</v>
          </cell>
          <cell r="E423" t="str">
            <v>B</v>
          </cell>
          <cell r="F423" t="str">
            <v>Gasket</v>
          </cell>
          <cell r="G423">
            <v>1</v>
          </cell>
          <cell r="H423">
            <v>2.0299999999999998</v>
          </cell>
          <cell r="I423" t="str">
            <v>Buy</v>
          </cell>
        </row>
        <row r="424">
          <cell r="A424" t="str">
            <v>ASY-006797-04</v>
          </cell>
          <cell r="B424">
            <v>1</v>
          </cell>
          <cell r="C424" t="str">
            <v>GSK-000133-00</v>
          </cell>
          <cell r="D424" t="str">
            <v>GASKET, TERTIARY LENS, 3M, 2 FT, L60, TROV 2.0</v>
          </cell>
          <cell r="E424" t="str">
            <v>B</v>
          </cell>
          <cell r="F424" t="str">
            <v>Gasket</v>
          </cell>
          <cell r="G424">
            <v>2</v>
          </cell>
          <cell r="H424">
            <v>6</v>
          </cell>
          <cell r="I424" t="str">
            <v>Buy</v>
          </cell>
        </row>
        <row r="425">
          <cell r="A425" t="str">
            <v>ASY-006797-04</v>
          </cell>
          <cell r="B425">
            <v>1</v>
          </cell>
          <cell r="C425" t="str">
            <v>HSG-000493-0C</v>
          </cell>
          <cell r="D425" t="str">
            <v>HOUSING, TOP, 4 FT, L60, CUSTOM FINISH, TROV 2.0</v>
          </cell>
          <cell r="E425" t="str">
            <v>E</v>
          </cell>
          <cell r="F425" t="str">
            <v>Housing</v>
          </cell>
          <cell r="G425">
            <v>1</v>
          </cell>
          <cell r="H425">
            <v>0</v>
          </cell>
          <cell r="I425" t="str">
            <v>Buy</v>
          </cell>
        </row>
        <row r="426">
          <cell r="A426" t="str">
            <v>ASY-006797-04</v>
          </cell>
          <cell r="B426">
            <v>1</v>
          </cell>
          <cell r="C426" t="str">
            <v>HSG-000495-0C</v>
          </cell>
          <cell r="D426" t="str">
            <v>HOUSING, BOTTOM, 4 FT, CUSTOM FINISH, TROV 2.0</v>
          </cell>
          <cell r="E426" t="str">
            <v>F</v>
          </cell>
          <cell r="F426" t="str">
            <v>Housing</v>
          </cell>
          <cell r="G426">
            <v>1</v>
          </cell>
          <cell r="H426">
            <v>0</v>
          </cell>
          <cell r="I426" t="str">
            <v>Buy</v>
          </cell>
        </row>
        <row r="427">
          <cell r="A427" t="str">
            <v>ASY-006797-04</v>
          </cell>
          <cell r="B427">
            <v>1</v>
          </cell>
          <cell r="C427" t="str">
            <v>LBA-000003-00</v>
          </cell>
          <cell r="D427" t="str">
            <v>Label: TROV 2 P1/P2, Model L45/L60</v>
          </cell>
          <cell r="E427" t="str">
            <v>A</v>
          </cell>
          <cell r="F427" t="str">
            <v>Label BOM</v>
          </cell>
          <cell r="G427">
            <v>1</v>
          </cell>
          <cell r="H427">
            <v>0</v>
          </cell>
          <cell r="I427" t="str">
            <v>Make</v>
          </cell>
        </row>
        <row r="428">
          <cell r="A428" t="str">
            <v>ASY-006797-04</v>
          </cell>
          <cell r="B428">
            <v>2</v>
          </cell>
          <cell r="C428" t="str">
            <v>LBL-000243-00</v>
          </cell>
          <cell r="D428" t="str">
            <v>Blank Product Label: Trov 2 P1/P2, Model L45/L60</v>
          </cell>
          <cell r="E428" t="str">
            <v>A</v>
          </cell>
          <cell r="F428" t="str">
            <v>Label</v>
          </cell>
          <cell r="G428">
            <v>1</v>
          </cell>
          <cell r="H428">
            <v>0.33</v>
          </cell>
          <cell r="I428" t="str">
            <v>Buy</v>
          </cell>
        </row>
        <row r="429">
          <cell r="A429" t="str">
            <v>ASY-006797-04</v>
          </cell>
          <cell r="B429">
            <v>1</v>
          </cell>
          <cell r="C429" t="str">
            <v>PLG-000009-01</v>
          </cell>
          <cell r="D429" t="str">
            <v>Porex Vent, Trov, L50 Exterior</v>
          </cell>
          <cell r="E429" t="str">
            <v>B</v>
          </cell>
          <cell r="F429" t="str">
            <v>Plug</v>
          </cell>
          <cell r="G429">
            <v>2</v>
          </cell>
          <cell r="H429">
            <v>0.17</v>
          </cell>
          <cell r="I429" t="str">
            <v>Buy</v>
          </cell>
        </row>
        <row r="430">
          <cell r="A430" t="str">
            <v>ASY-006797-04</v>
          </cell>
          <cell r="B430">
            <v>1</v>
          </cell>
          <cell r="C430" t="str">
            <v>SCW-000156-00</v>
          </cell>
          <cell r="D430" t="str">
            <v>SCREW, M3 x 0.5 X 8mm, PAND HEAD, PHILLIPS, STEEL</v>
          </cell>
          <cell r="E430" t="str">
            <v>B</v>
          </cell>
          <cell r="F430" t="str">
            <v>Screw</v>
          </cell>
          <cell r="G430">
            <v>6</v>
          </cell>
          <cell r="H430">
            <v>4.4400000000000002E-2</v>
          </cell>
          <cell r="I430" t="str">
            <v>Buy</v>
          </cell>
        </row>
        <row r="431">
          <cell r="A431" t="str">
            <v>ASY-006797-04</v>
          </cell>
          <cell r="B431">
            <v>1</v>
          </cell>
          <cell r="C431" t="str">
            <v>SCW-000483-00</v>
          </cell>
          <cell r="D431" t="str">
            <v>SCREW, PHILIPS FLAT HEAD, M2.5x0.45x5 , 18-8 SST</v>
          </cell>
          <cell r="E431" t="str">
            <v>A</v>
          </cell>
          <cell r="F431" t="str">
            <v>Screw</v>
          </cell>
          <cell r="G431">
            <v>4</v>
          </cell>
          <cell r="H431">
            <v>0.02</v>
          </cell>
          <cell r="I431" t="str">
            <v>Buy</v>
          </cell>
        </row>
        <row r="432">
          <cell r="A432" t="str">
            <v>ASY-006797-04</v>
          </cell>
          <cell r="B432">
            <v>1</v>
          </cell>
          <cell r="C432" t="str">
            <v>SCW-000556-00</v>
          </cell>
          <cell r="D432" t="str">
            <v>SCREW, HEX, SERRATED, #8-32, GROUNDING, TROV 2</v>
          </cell>
          <cell r="E432" t="str">
            <v>A</v>
          </cell>
          <cell r="F432" t="str">
            <v>Screw</v>
          </cell>
          <cell r="G432">
            <v>1</v>
          </cell>
          <cell r="H432">
            <v>0.04</v>
          </cell>
          <cell r="I432" t="str">
            <v>Buy</v>
          </cell>
        </row>
        <row r="433">
          <cell r="A433" t="str">
            <v>ASY-006797-04</v>
          </cell>
          <cell r="B433">
            <v>1</v>
          </cell>
          <cell r="C433" t="str">
            <v>SCW-000567-00</v>
          </cell>
          <cell r="D433" t="str">
            <v>SCREW, M2.5 x 0.45 x 12.0mm LENGTH, PAN HD, PHILLIPS, ZINC-PLATED STEEL</v>
          </cell>
          <cell r="E433" t="str">
            <v>A</v>
          </cell>
          <cell r="F433" t="str">
            <v>Screw</v>
          </cell>
          <cell r="G433">
            <v>4</v>
          </cell>
          <cell r="H433">
            <v>0.06</v>
          </cell>
          <cell r="I433" t="str">
            <v>Buy</v>
          </cell>
        </row>
        <row r="434">
          <cell r="A434" t="str">
            <v>ASY-006797-04</v>
          </cell>
          <cell r="B434">
            <v>1</v>
          </cell>
          <cell r="C434" t="str">
            <v>SCW-000574-00</v>
          </cell>
          <cell r="D434" t="str">
            <v>SCREW, TORX HEAD, 1/4-28x1/2", LOW PROFILE, ALLOY STEEL</v>
          </cell>
          <cell r="E434" t="str">
            <v>A</v>
          </cell>
          <cell r="F434" t="str">
            <v>Screw</v>
          </cell>
          <cell r="G434">
            <v>2</v>
          </cell>
          <cell r="H434">
            <v>0.14000000000000001</v>
          </cell>
          <cell r="I434" t="str">
            <v>Buy</v>
          </cell>
        </row>
        <row r="435">
          <cell r="A435" t="str">
            <v>ASY-006797-04</v>
          </cell>
          <cell r="B435">
            <v>1</v>
          </cell>
          <cell r="C435" t="str">
            <v>SHT-000043-00</v>
          </cell>
          <cell r="D435" t="str">
            <v>INSULATION SHEET, HBA, 4FT,TROV 2</v>
          </cell>
          <cell r="E435" t="str">
            <v>D</v>
          </cell>
          <cell r="F435" t="str">
            <v>Sheet</v>
          </cell>
          <cell r="G435">
            <v>1</v>
          </cell>
          <cell r="H435">
            <v>0.25</v>
          </cell>
          <cell r="I435" t="str">
            <v>Buy</v>
          </cell>
        </row>
        <row r="436">
          <cell r="A436" t="str">
            <v>ASY-006797-04</v>
          </cell>
          <cell r="B436">
            <v>1</v>
          </cell>
          <cell r="C436" t="str">
            <v>SPG-000023-00</v>
          </cell>
          <cell r="D436" t="str">
            <v>SPRING, DISC, STACKED WAVE, TROV 2.0</v>
          </cell>
          <cell r="E436" t="str">
            <v>A</v>
          </cell>
          <cell r="F436" t="str">
            <v>Spring</v>
          </cell>
          <cell r="G436">
            <v>2</v>
          </cell>
          <cell r="H436">
            <v>1.74</v>
          </cell>
          <cell r="I436" t="str">
            <v>Buy</v>
          </cell>
        </row>
        <row r="437">
          <cell r="A437" t="str">
            <v>ASY-006797-04</v>
          </cell>
          <cell r="B437">
            <v>1</v>
          </cell>
          <cell r="C437" t="str">
            <v>TAP-000031-00</v>
          </cell>
          <cell r="D437" t="str">
            <v>3M Electrical Tape 92</v>
          </cell>
          <cell r="E437" t="str">
            <v>A</v>
          </cell>
          <cell r="F437" t="str">
            <v>Tape</v>
          </cell>
          <cell r="G437">
            <v>120</v>
          </cell>
          <cell r="H437">
            <v>1.4E-2</v>
          </cell>
          <cell r="I437" t="str">
            <v>Buy</v>
          </cell>
        </row>
        <row r="438">
          <cell r="A438" t="str">
            <v>ASY-006797-04</v>
          </cell>
          <cell r="B438">
            <v>1</v>
          </cell>
          <cell r="C438" t="str">
            <v>TMP-000028-00</v>
          </cell>
          <cell r="D438" t="str">
            <v>Thermal Pad, LED PCBA, 2 FT, TROV 2</v>
          </cell>
          <cell r="E438" t="str">
            <v>B</v>
          </cell>
          <cell r="F438" t="str">
            <v>Thermal Pad</v>
          </cell>
          <cell r="G438">
            <v>2</v>
          </cell>
          <cell r="H438">
            <v>1.32</v>
          </cell>
          <cell r="I438" t="str">
            <v>Buy</v>
          </cell>
        </row>
        <row r="439">
          <cell r="A439" t="str">
            <v>ASY-006797-04</v>
          </cell>
          <cell r="B439">
            <v>1</v>
          </cell>
          <cell r="C439" t="str">
            <v>TMP-000029-00</v>
          </cell>
          <cell r="D439" t="str">
            <v>Thermal Pad, HBA, TROV 2</v>
          </cell>
          <cell r="E439" t="str">
            <v>B</v>
          </cell>
          <cell r="F439" t="str">
            <v>Thermal Pad</v>
          </cell>
          <cell r="G439">
            <v>2</v>
          </cell>
          <cell r="H439">
            <v>0.14000000000000001</v>
          </cell>
          <cell r="I439" t="str">
            <v>Buy</v>
          </cell>
        </row>
        <row r="440">
          <cell r="A440" t="str">
            <v>ASY-006798-00</v>
          </cell>
          <cell r="B440">
            <v>0</v>
          </cell>
          <cell r="C440" t="str">
            <v>ASY-006798-00</v>
          </cell>
          <cell r="D440" t="str">
            <v>ASSY, MECHANICAL, L45, OUTDOOR, 1 FT, TROV 2.0, SILVER</v>
          </cell>
          <cell r="E440" t="str">
            <v>M</v>
          </cell>
          <cell r="F440" t="str">
            <v>Sub assembly</v>
          </cell>
          <cell r="H440">
            <v>0</v>
          </cell>
          <cell r="I440" t="str">
            <v>Make</v>
          </cell>
        </row>
        <row r="441">
          <cell r="A441" t="str">
            <v>ASY-006798-00</v>
          </cell>
          <cell r="B441">
            <v>1</v>
          </cell>
          <cell r="C441" t="str">
            <v>ACB-000261-00</v>
          </cell>
          <cell r="D441" t="str">
            <v>CABLE, ECOBUS, 24AWG, SHORT, TROV 2</v>
          </cell>
          <cell r="E441" t="str">
            <v>B</v>
          </cell>
          <cell r="F441" t="str">
            <v>Cable</v>
          </cell>
          <cell r="G441">
            <v>1</v>
          </cell>
          <cell r="H441">
            <v>0.76</v>
          </cell>
          <cell r="I441" t="str">
            <v>Buy</v>
          </cell>
        </row>
        <row r="442">
          <cell r="A442" t="str">
            <v>ASY-006798-00</v>
          </cell>
          <cell r="B442">
            <v>1</v>
          </cell>
          <cell r="C442" t="str">
            <v>ASY-100009-00</v>
          </cell>
          <cell r="D442" t="str">
            <v>Cable Subassembly, Driver housing, 1ft, Trov 2</v>
          </cell>
          <cell r="E442" t="str">
            <v>B</v>
          </cell>
          <cell r="F442" t="str">
            <v>Sub assembly</v>
          </cell>
          <cell r="G442">
            <v>1</v>
          </cell>
          <cell r="H442">
            <v>0</v>
          </cell>
          <cell r="I442" t="str">
            <v>Make</v>
          </cell>
        </row>
        <row r="443">
          <cell r="A443" t="str">
            <v>ASY-006798-00</v>
          </cell>
          <cell r="B443">
            <v>2</v>
          </cell>
          <cell r="C443" t="str">
            <v>ACB-000278-00</v>
          </cell>
          <cell r="D443" t="str">
            <v>CABLE ASSY, INTRA-FIXTURE, 1FT, TROV 2.0</v>
          </cell>
          <cell r="E443" t="str">
            <v>A</v>
          </cell>
          <cell r="F443" t="str">
            <v>Cable Assembly</v>
          </cell>
          <cell r="G443">
            <v>1</v>
          </cell>
          <cell r="H443">
            <v>12.75</v>
          </cell>
          <cell r="I443" t="str">
            <v>Buy</v>
          </cell>
        </row>
        <row r="444">
          <cell r="A444" t="str">
            <v>ASY-006798-00</v>
          </cell>
          <cell r="B444">
            <v>3</v>
          </cell>
          <cell r="C444" t="str">
            <v>ACB-000273-00</v>
          </cell>
          <cell r="D444" t="str">
            <v>6 CONDUCTOR CABLE, 3X22AWG, 3X16AWG, AL MYLAR, TROV 2</v>
          </cell>
          <cell r="E444" t="str">
            <v>A</v>
          </cell>
          <cell r="F444" t="str">
            <v>Cable</v>
          </cell>
          <cell r="G444">
            <v>1</v>
          </cell>
          <cell r="H444">
            <v>0</v>
          </cell>
          <cell r="I444" t="str">
            <v>N/A</v>
          </cell>
        </row>
        <row r="445">
          <cell r="A445" t="str">
            <v>ASY-006798-00</v>
          </cell>
          <cell r="B445">
            <v>3</v>
          </cell>
          <cell r="C445" t="str">
            <v>ACB-000274-01</v>
          </cell>
          <cell r="D445" t="str">
            <v>CABLE ASSEMBLY, INTERNAL, DRIVER SIDE, 1FT, TROV 2</v>
          </cell>
          <cell r="E445" t="str">
            <v>A</v>
          </cell>
          <cell r="F445" t="str">
            <v>Cable Assembly</v>
          </cell>
          <cell r="G445">
            <v>1</v>
          </cell>
          <cell r="H445">
            <v>0</v>
          </cell>
          <cell r="I445" t="str">
            <v>N/A</v>
          </cell>
        </row>
        <row r="446">
          <cell r="A446" t="str">
            <v>ASY-006798-00</v>
          </cell>
          <cell r="B446">
            <v>3</v>
          </cell>
          <cell r="C446" t="str">
            <v>CON-000259-00</v>
          </cell>
          <cell r="D446" t="str">
            <v>CONNECTOR, MALE, 6 PIN, TROV 2</v>
          </cell>
          <cell r="E446" t="str">
            <v>B</v>
          </cell>
          <cell r="F446" t="str">
            <v>Connector</v>
          </cell>
          <cell r="G446">
            <v>1</v>
          </cell>
          <cell r="H446">
            <v>0</v>
          </cell>
          <cell r="I446" t="str">
            <v>N/A</v>
          </cell>
        </row>
        <row r="447">
          <cell r="A447" t="str">
            <v>ASY-006798-00</v>
          </cell>
          <cell r="B447">
            <v>3</v>
          </cell>
          <cell r="C447" t="str">
            <v>CON-000260-00</v>
          </cell>
          <cell r="D447" t="str">
            <v>CONNECTOR, FEMALE, 6 PIN, TROV 2</v>
          </cell>
          <cell r="E447" t="str">
            <v>A</v>
          </cell>
          <cell r="F447" t="str">
            <v>Connector</v>
          </cell>
          <cell r="G447">
            <v>1</v>
          </cell>
          <cell r="H447">
            <v>0</v>
          </cell>
          <cell r="I447" t="str">
            <v>N/A</v>
          </cell>
        </row>
        <row r="448">
          <cell r="A448" t="str">
            <v>ASY-006798-00</v>
          </cell>
          <cell r="B448">
            <v>3</v>
          </cell>
          <cell r="C448" t="str">
            <v>ORG-000060-00</v>
          </cell>
          <cell r="D448" t="str">
            <v>O-RING, CABLE, TROV 2</v>
          </cell>
          <cell r="E448" t="str">
            <v>A</v>
          </cell>
          <cell r="F448" t="str">
            <v>O-Ring</v>
          </cell>
          <cell r="G448">
            <v>1</v>
          </cell>
          <cell r="H448">
            <v>0</v>
          </cell>
          <cell r="I448" t="str">
            <v>N/A</v>
          </cell>
        </row>
        <row r="449">
          <cell r="A449" t="str">
            <v>ASY-006798-00</v>
          </cell>
          <cell r="B449">
            <v>3</v>
          </cell>
          <cell r="C449" t="str">
            <v>SRF-000030-00</v>
          </cell>
          <cell r="D449" t="str">
            <v>STRAIN RELIEF, CABLE, TROV 2</v>
          </cell>
          <cell r="E449" t="str">
            <v>A</v>
          </cell>
          <cell r="F449" t="str">
            <v>Strain Relief</v>
          </cell>
          <cell r="G449">
            <v>1</v>
          </cell>
          <cell r="H449">
            <v>0</v>
          </cell>
          <cell r="I449" t="str">
            <v>N/A</v>
          </cell>
        </row>
        <row r="450">
          <cell r="A450" t="str">
            <v>ASY-006798-00</v>
          </cell>
          <cell r="B450">
            <v>2</v>
          </cell>
          <cell r="C450" t="str">
            <v>HSG-000488-01</v>
          </cell>
          <cell r="D450" t="str">
            <v>HOUSING, PSU, 1 FT, MOLDED HOLE, TROV 2.0</v>
          </cell>
          <cell r="E450" t="str">
            <v>B</v>
          </cell>
          <cell r="F450" t="str">
            <v>Housing</v>
          </cell>
          <cell r="G450">
            <v>1</v>
          </cell>
          <cell r="H450">
            <v>1.17</v>
          </cell>
          <cell r="I450" t="str">
            <v>Buy</v>
          </cell>
        </row>
        <row r="451">
          <cell r="A451" t="str">
            <v>ASY-006798-00</v>
          </cell>
          <cell r="B451">
            <v>2</v>
          </cell>
          <cell r="C451" t="str">
            <v>SCW-000577-00</v>
          </cell>
          <cell r="D451" t="str">
            <v>SCREW, TORX HEAD, LOW PROFILE, M3X8mm, ALLOY STEEL</v>
          </cell>
          <cell r="E451" t="str">
            <v>A</v>
          </cell>
          <cell r="F451" t="str">
            <v>Screw</v>
          </cell>
          <cell r="G451">
            <v>2</v>
          </cell>
          <cell r="H451">
            <v>0.03</v>
          </cell>
          <cell r="I451" t="str">
            <v>Buy</v>
          </cell>
        </row>
        <row r="452">
          <cell r="A452" t="str">
            <v>ASY-006798-00</v>
          </cell>
          <cell r="B452">
            <v>1</v>
          </cell>
          <cell r="C452" t="str">
            <v>BAS-000020-00</v>
          </cell>
          <cell r="D452" t="str">
            <v>BASE, 1FT, TROV 2.0</v>
          </cell>
          <cell r="E452" t="str">
            <v>E</v>
          </cell>
          <cell r="F452" t="str">
            <v>Base</v>
          </cell>
          <cell r="G452">
            <v>1</v>
          </cell>
          <cell r="H452">
            <v>5.8</v>
          </cell>
          <cell r="I452" t="str">
            <v>Buy</v>
          </cell>
        </row>
        <row r="453">
          <cell r="A453" t="str">
            <v>ASY-006798-00</v>
          </cell>
          <cell r="B453">
            <v>1</v>
          </cell>
          <cell r="C453" t="str">
            <v>BKT-000457-03</v>
          </cell>
          <cell r="D453" t="str">
            <v>BRACKET, MOUNT, LEFT, BLACK, TROV 2.0</v>
          </cell>
          <cell r="E453" t="str">
            <v>C</v>
          </cell>
          <cell r="F453" t="str">
            <v>Bracket</v>
          </cell>
          <cell r="G453">
            <v>1</v>
          </cell>
          <cell r="H453">
            <v>0.99</v>
          </cell>
          <cell r="I453" t="str">
            <v>Buy</v>
          </cell>
        </row>
        <row r="454">
          <cell r="A454" t="str">
            <v>ASY-006798-00</v>
          </cell>
          <cell r="B454">
            <v>1</v>
          </cell>
          <cell r="C454" t="str">
            <v>BKT-000458-03</v>
          </cell>
          <cell r="D454" t="str">
            <v>BRACKET, MOUNT, RIGHT, BLACK, TROV 2.0</v>
          </cell>
          <cell r="E454" t="str">
            <v>C</v>
          </cell>
          <cell r="F454" t="str">
            <v>Bracket</v>
          </cell>
          <cell r="G454">
            <v>1</v>
          </cell>
          <cell r="H454">
            <v>0.99</v>
          </cell>
          <cell r="I454" t="str">
            <v>Buy</v>
          </cell>
        </row>
        <row r="455">
          <cell r="A455" t="str">
            <v>ASY-006798-00</v>
          </cell>
          <cell r="B455">
            <v>1</v>
          </cell>
          <cell r="C455" t="str">
            <v>CVR-000791-03</v>
          </cell>
          <cell r="D455" t="str">
            <v>END COVER, FC, BLACK, L45, TROV 2.0</v>
          </cell>
          <cell r="E455" t="str">
            <v>D</v>
          </cell>
          <cell r="F455" t="str">
            <v>Cover</v>
          </cell>
          <cell r="G455">
            <v>1</v>
          </cell>
          <cell r="H455">
            <v>1.07</v>
          </cell>
          <cell r="I455" t="str">
            <v>Buy</v>
          </cell>
        </row>
        <row r="456">
          <cell r="A456" t="str">
            <v>ASY-006798-00</v>
          </cell>
          <cell r="B456">
            <v>1</v>
          </cell>
          <cell r="C456" t="str">
            <v>CVR-000894-03</v>
          </cell>
          <cell r="D456" t="str">
            <v>END COVER, MC, BLACK, L45, TROV 2.0</v>
          </cell>
          <cell r="E456" t="str">
            <v>B</v>
          </cell>
          <cell r="F456" t="str">
            <v>Cover</v>
          </cell>
          <cell r="G456">
            <v>1</v>
          </cell>
          <cell r="H456">
            <v>1.07</v>
          </cell>
          <cell r="I456" t="str">
            <v>Buy</v>
          </cell>
        </row>
        <row r="457">
          <cell r="A457" t="str">
            <v>ASY-006798-00</v>
          </cell>
          <cell r="B457">
            <v>1</v>
          </cell>
          <cell r="C457" t="str">
            <v>FOM-000029-00</v>
          </cell>
          <cell r="D457" t="str">
            <v>FOAM, LIGHTBLOCK, ENDCAP, L45, TROV2</v>
          </cell>
          <cell r="E457" t="str">
            <v>A</v>
          </cell>
          <cell r="F457" t="str">
            <v>Foam</v>
          </cell>
          <cell r="G457">
            <v>2</v>
          </cell>
          <cell r="H457">
            <v>0.02</v>
          </cell>
          <cell r="I457" t="str">
            <v>Buy</v>
          </cell>
        </row>
        <row r="458">
          <cell r="A458" t="str">
            <v>ASY-006798-00</v>
          </cell>
          <cell r="B458">
            <v>1</v>
          </cell>
          <cell r="C458" t="str">
            <v>GSK-000112-01</v>
          </cell>
          <cell r="D458" t="str">
            <v>GASKET, TERTIARY LENS, 3M, 1 FT, L45, TROV 2.0</v>
          </cell>
          <cell r="E458" t="str">
            <v>D</v>
          </cell>
          <cell r="F458" t="str">
            <v>Gasket</v>
          </cell>
          <cell r="G458">
            <v>1</v>
          </cell>
          <cell r="H458">
            <v>1.75</v>
          </cell>
          <cell r="I458" t="str">
            <v>Buy</v>
          </cell>
        </row>
        <row r="459">
          <cell r="A459" t="str">
            <v>ASY-006798-00</v>
          </cell>
          <cell r="B459">
            <v>1</v>
          </cell>
          <cell r="C459" t="str">
            <v>GSK-000121-01</v>
          </cell>
          <cell r="D459" t="str">
            <v>GASKET, DRIVER ENCLOSURE, 3M, 1 FT, TROV 2.0</v>
          </cell>
          <cell r="E459" t="str">
            <v>B</v>
          </cell>
          <cell r="F459" t="str">
            <v>Gasket</v>
          </cell>
          <cell r="G459">
            <v>1</v>
          </cell>
          <cell r="H459">
            <v>1.7</v>
          </cell>
          <cell r="I459" t="str">
            <v>Buy</v>
          </cell>
        </row>
        <row r="460">
          <cell r="A460" t="str">
            <v>ASY-006798-00</v>
          </cell>
          <cell r="B460">
            <v>1</v>
          </cell>
          <cell r="C460" t="str">
            <v>HSG-000491-01</v>
          </cell>
          <cell r="D460" t="str">
            <v>HOUSING, TOP, 1 FT,  L45, SILVER,  TROV 2.0</v>
          </cell>
          <cell r="E460" t="str">
            <v>E</v>
          </cell>
          <cell r="F460" t="str">
            <v>Housing</v>
          </cell>
          <cell r="G460">
            <v>1</v>
          </cell>
          <cell r="H460">
            <v>4.3499999999999996</v>
          </cell>
          <cell r="I460" t="str">
            <v>Buy</v>
          </cell>
        </row>
        <row r="461">
          <cell r="A461" t="str">
            <v>ASY-006798-00</v>
          </cell>
          <cell r="B461">
            <v>1</v>
          </cell>
          <cell r="C461" t="str">
            <v>HSG-000492-01</v>
          </cell>
          <cell r="D461" t="str">
            <v>HOUSING, BOTTOM, 1 FT, SILVER, TROV 2.0</v>
          </cell>
          <cell r="E461" t="str">
            <v>F</v>
          </cell>
          <cell r="F461" t="str">
            <v>Housing</v>
          </cell>
          <cell r="G461">
            <v>1</v>
          </cell>
          <cell r="H461">
            <v>3.34</v>
          </cell>
          <cell r="I461" t="str">
            <v>Buy</v>
          </cell>
        </row>
        <row r="462">
          <cell r="A462" t="str">
            <v>ASY-006798-00</v>
          </cell>
          <cell r="B462">
            <v>1</v>
          </cell>
          <cell r="C462" t="str">
            <v>LBA-000003-00</v>
          </cell>
          <cell r="D462" t="str">
            <v>Label: TROV 2 P1/P2, Model L45/L60</v>
          </cell>
          <cell r="E462" t="str">
            <v>A</v>
          </cell>
          <cell r="F462" t="str">
            <v>Label BOM</v>
          </cell>
          <cell r="G462">
            <v>1</v>
          </cell>
          <cell r="H462">
            <v>0</v>
          </cell>
          <cell r="I462" t="str">
            <v>Make</v>
          </cell>
        </row>
        <row r="463">
          <cell r="A463" t="str">
            <v>ASY-006798-00</v>
          </cell>
          <cell r="B463">
            <v>2</v>
          </cell>
          <cell r="C463" t="str">
            <v>LBL-000243-00</v>
          </cell>
          <cell r="D463" t="str">
            <v>Blank Product Label: Trov 2 P1/P2, Model L45/L60</v>
          </cell>
          <cell r="E463" t="str">
            <v>A</v>
          </cell>
          <cell r="F463" t="str">
            <v>Label</v>
          </cell>
          <cell r="G463">
            <v>1</v>
          </cell>
          <cell r="H463">
            <v>0.33</v>
          </cell>
          <cell r="I463" t="str">
            <v>Buy</v>
          </cell>
        </row>
        <row r="464">
          <cell r="A464" t="str">
            <v>ASY-006798-00</v>
          </cell>
          <cell r="B464">
            <v>1</v>
          </cell>
          <cell r="C464" t="str">
            <v>PLG-000009-01</v>
          </cell>
          <cell r="D464" t="str">
            <v>Porex Vent, Trov, L50 Exterior</v>
          </cell>
          <cell r="E464" t="str">
            <v>B</v>
          </cell>
          <cell r="F464" t="str">
            <v>Plug</v>
          </cell>
          <cell r="G464">
            <v>1</v>
          </cell>
          <cell r="H464">
            <v>0.17</v>
          </cell>
          <cell r="I464" t="str">
            <v>Buy</v>
          </cell>
        </row>
        <row r="465">
          <cell r="A465" t="str">
            <v>ASY-006798-00</v>
          </cell>
          <cell r="B465">
            <v>1</v>
          </cell>
          <cell r="C465" t="str">
            <v>SCW-000156-00</v>
          </cell>
          <cell r="D465" t="str">
            <v>SCREW, M3 x 0.5 X 8mm, PAND HEAD, PHILLIPS, STEEL</v>
          </cell>
          <cell r="E465" t="str">
            <v>B</v>
          </cell>
          <cell r="F465" t="str">
            <v>Screw</v>
          </cell>
          <cell r="G465">
            <v>2</v>
          </cell>
          <cell r="H465">
            <v>4.4400000000000002E-2</v>
          </cell>
          <cell r="I465" t="str">
            <v>Buy</v>
          </cell>
        </row>
        <row r="466">
          <cell r="A466" t="str">
            <v>ASY-006798-00</v>
          </cell>
          <cell r="B466">
            <v>1</v>
          </cell>
          <cell r="C466" t="str">
            <v>SCW-000483-00</v>
          </cell>
          <cell r="D466" t="str">
            <v>SCREW, PHILIPS FLAT HEAD, M2.5x0.45x5 , 18-8 SST</v>
          </cell>
          <cell r="E466" t="str">
            <v>A</v>
          </cell>
          <cell r="F466" t="str">
            <v>Screw</v>
          </cell>
          <cell r="G466">
            <v>4</v>
          </cell>
          <cell r="H466">
            <v>0.02</v>
          </cell>
          <cell r="I466" t="str">
            <v>Buy</v>
          </cell>
        </row>
        <row r="467">
          <cell r="A467" t="str">
            <v>ASY-006798-00</v>
          </cell>
          <cell r="B467">
            <v>1</v>
          </cell>
          <cell r="C467" t="str">
            <v>SCW-000556-00</v>
          </cell>
          <cell r="D467" t="str">
            <v>SCREW, HEX, SERRATED, #8-32, GROUNDING, TROV 2</v>
          </cell>
          <cell r="E467" t="str">
            <v>A</v>
          </cell>
          <cell r="F467" t="str">
            <v>Screw</v>
          </cell>
          <cell r="G467">
            <v>1</v>
          </cell>
          <cell r="H467">
            <v>0.04</v>
          </cell>
          <cell r="I467" t="str">
            <v>Buy</v>
          </cell>
        </row>
        <row r="468">
          <cell r="A468" t="str">
            <v>ASY-006798-00</v>
          </cell>
          <cell r="B468">
            <v>1</v>
          </cell>
          <cell r="C468" t="str">
            <v>SCW-000574-00</v>
          </cell>
          <cell r="D468" t="str">
            <v>SCREW, TORX HEAD, 1/4-28x1/2", LOW PROFILE, ALLOY STEEL</v>
          </cell>
          <cell r="E468" t="str">
            <v>A</v>
          </cell>
          <cell r="F468" t="str">
            <v>Screw</v>
          </cell>
          <cell r="G468">
            <v>2</v>
          </cell>
          <cell r="H468">
            <v>0.14000000000000001</v>
          </cell>
          <cell r="I468" t="str">
            <v>Buy</v>
          </cell>
        </row>
        <row r="469">
          <cell r="A469" t="str">
            <v>ASY-006798-00</v>
          </cell>
          <cell r="B469">
            <v>1</v>
          </cell>
          <cell r="C469" t="str">
            <v>SHT-000042-00</v>
          </cell>
          <cell r="D469" t="str">
            <v>INSULATION SHEET, MP/LP HBA, TROV 2</v>
          </cell>
          <cell r="E469" t="str">
            <v>D</v>
          </cell>
          <cell r="F469" t="str">
            <v>Sheet</v>
          </cell>
          <cell r="G469">
            <v>1</v>
          </cell>
          <cell r="H469">
            <v>0.16</v>
          </cell>
          <cell r="I469" t="str">
            <v>Buy</v>
          </cell>
        </row>
        <row r="470">
          <cell r="A470" t="str">
            <v>ASY-006798-00</v>
          </cell>
          <cell r="B470">
            <v>1</v>
          </cell>
          <cell r="C470" t="str">
            <v>SPG-000023-00</v>
          </cell>
          <cell r="D470" t="str">
            <v>SPRING, DISC, STACKED WAVE, TROV 2.0</v>
          </cell>
          <cell r="E470" t="str">
            <v>A</v>
          </cell>
          <cell r="F470" t="str">
            <v>Spring</v>
          </cell>
          <cell r="G470">
            <v>2</v>
          </cell>
          <cell r="H470">
            <v>1.74</v>
          </cell>
          <cell r="I470" t="str">
            <v>Buy</v>
          </cell>
        </row>
        <row r="471">
          <cell r="A471" t="str">
            <v>ASY-006798-00</v>
          </cell>
          <cell r="B471">
            <v>1</v>
          </cell>
          <cell r="C471" t="str">
            <v>TAP-000031-00</v>
          </cell>
          <cell r="D471" t="str">
            <v>3M Electrical Tape 92</v>
          </cell>
          <cell r="E471" t="str">
            <v>A</v>
          </cell>
          <cell r="F471" t="str">
            <v>Tape</v>
          </cell>
          <cell r="G471">
            <v>120</v>
          </cell>
          <cell r="H471">
            <v>1.4E-2</v>
          </cell>
          <cell r="I471" t="str">
            <v>Buy</v>
          </cell>
        </row>
        <row r="472">
          <cell r="A472" t="str">
            <v>ASY-006798-00</v>
          </cell>
          <cell r="B472">
            <v>1</v>
          </cell>
          <cell r="C472" t="str">
            <v>TMP-000027-00</v>
          </cell>
          <cell r="D472" t="str">
            <v>Thermal Pad, LED PCBA, 1 FT, TROV 2</v>
          </cell>
          <cell r="E472" t="str">
            <v>B</v>
          </cell>
          <cell r="F472" t="str">
            <v>Thermal Pad</v>
          </cell>
          <cell r="G472">
            <v>1</v>
          </cell>
          <cell r="H472">
            <v>0.72</v>
          </cell>
          <cell r="I472" t="str">
            <v>Buy</v>
          </cell>
        </row>
        <row r="473">
          <cell r="A473" t="str">
            <v>ASY-006798-00</v>
          </cell>
          <cell r="B473">
            <v>1</v>
          </cell>
          <cell r="C473" t="str">
            <v>TMP-000029-00</v>
          </cell>
          <cell r="D473" t="str">
            <v>Thermal Pad, HBA, TROV 2</v>
          </cell>
          <cell r="E473" t="str">
            <v>B</v>
          </cell>
          <cell r="F473" t="str">
            <v>Thermal Pad</v>
          </cell>
          <cell r="G473">
            <v>2</v>
          </cell>
          <cell r="H473">
            <v>0.14000000000000001</v>
          </cell>
          <cell r="I473" t="str">
            <v>Buy</v>
          </cell>
        </row>
        <row r="474">
          <cell r="A474" t="str">
            <v>ASY-006798-01</v>
          </cell>
          <cell r="B474">
            <v>0</v>
          </cell>
          <cell r="C474" t="str">
            <v>ASY-006798-01</v>
          </cell>
          <cell r="D474" t="str">
            <v>ASSY, MECHANICAL, L45, OUTDOOR, 1 FT, TROV 2.0, BLACK</v>
          </cell>
          <cell r="E474" t="str">
            <v>M</v>
          </cell>
          <cell r="F474" t="str">
            <v>Sub assembly</v>
          </cell>
          <cell r="H474">
            <v>0</v>
          </cell>
          <cell r="I474" t="str">
            <v>Make</v>
          </cell>
        </row>
        <row r="475">
          <cell r="A475" t="str">
            <v>ASY-006798-01</v>
          </cell>
          <cell r="B475">
            <v>1</v>
          </cell>
          <cell r="C475" t="str">
            <v>ACB-000261-00</v>
          </cell>
          <cell r="D475" t="str">
            <v>CABLE, ECOBUS, 24AWG, SHORT, TROV 2</v>
          </cell>
          <cell r="E475" t="str">
            <v>B</v>
          </cell>
          <cell r="F475" t="str">
            <v>Cable</v>
          </cell>
          <cell r="G475">
            <v>1</v>
          </cell>
          <cell r="H475">
            <v>0.76</v>
          </cell>
          <cell r="I475" t="str">
            <v>Buy</v>
          </cell>
        </row>
        <row r="476">
          <cell r="A476" t="str">
            <v>ASY-006798-01</v>
          </cell>
          <cell r="B476">
            <v>1</v>
          </cell>
          <cell r="C476" t="str">
            <v>ASY-100009-00</v>
          </cell>
          <cell r="D476" t="str">
            <v>Cable Subassembly, Driver housing, 1ft, Trov 2</v>
          </cell>
          <cell r="E476" t="str">
            <v>B</v>
          </cell>
          <cell r="F476" t="str">
            <v>Sub assembly</v>
          </cell>
          <cell r="G476">
            <v>1</v>
          </cell>
          <cell r="H476">
            <v>0</v>
          </cell>
          <cell r="I476" t="str">
            <v>Make</v>
          </cell>
        </row>
        <row r="477">
          <cell r="A477" t="str">
            <v>ASY-006798-01</v>
          </cell>
          <cell r="B477">
            <v>2</v>
          </cell>
          <cell r="C477" t="str">
            <v>ACB-000278-00</v>
          </cell>
          <cell r="D477" t="str">
            <v>CABLE ASSY, INTRA-FIXTURE, 1FT, TROV 2.0</v>
          </cell>
          <cell r="E477" t="str">
            <v>A</v>
          </cell>
          <cell r="F477" t="str">
            <v>Cable Assembly</v>
          </cell>
          <cell r="G477">
            <v>1</v>
          </cell>
          <cell r="H477">
            <v>12.75</v>
          </cell>
          <cell r="I477" t="str">
            <v>Buy</v>
          </cell>
        </row>
        <row r="478">
          <cell r="A478" t="str">
            <v>ASY-006798-01</v>
          </cell>
          <cell r="B478">
            <v>3</v>
          </cell>
          <cell r="C478" t="str">
            <v>ACB-000273-00</v>
          </cell>
          <cell r="D478" t="str">
            <v>6 CONDUCTOR CABLE, 3X22AWG, 3X16AWG, AL MYLAR, TROV 2</v>
          </cell>
          <cell r="E478" t="str">
            <v>A</v>
          </cell>
          <cell r="F478" t="str">
            <v>Cable</v>
          </cell>
          <cell r="G478">
            <v>1</v>
          </cell>
          <cell r="H478">
            <v>0</v>
          </cell>
          <cell r="I478" t="str">
            <v>N/A</v>
          </cell>
        </row>
        <row r="479">
          <cell r="A479" t="str">
            <v>ASY-006798-01</v>
          </cell>
          <cell r="B479">
            <v>3</v>
          </cell>
          <cell r="C479" t="str">
            <v>ACB-000274-01</v>
          </cell>
          <cell r="D479" t="str">
            <v>CABLE ASSEMBLY, INTERNAL, DRIVER SIDE, 1FT, TROV 2</v>
          </cell>
          <cell r="E479" t="str">
            <v>A</v>
          </cell>
          <cell r="F479" t="str">
            <v>Cable Assembly</v>
          </cell>
          <cell r="G479">
            <v>1</v>
          </cell>
          <cell r="H479">
            <v>0</v>
          </cell>
          <cell r="I479" t="str">
            <v>N/A</v>
          </cell>
        </row>
        <row r="480">
          <cell r="A480" t="str">
            <v>ASY-006798-01</v>
          </cell>
          <cell r="B480">
            <v>3</v>
          </cell>
          <cell r="C480" t="str">
            <v>CON-000259-00</v>
          </cell>
          <cell r="D480" t="str">
            <v>CONNECTOR, MALE, 6 PIN, TROV 2</v>
          </cell>
          <cell r="E480" t="str">
            <v>B</v>
          </cell>
          <cell r="F480" t="str">
            <v>Connector</v>
          </cell>
          <cell r="G480">
            <v>1</v>
          </cell>
          <cell r="H480">
            <v>0</v>
          </cell>
          <cell r="I480" t="str">
            <v>N/A</v>
          </cell>
        </row>
        <row r="481">
          <cell r="A481" t="str">
            <v>ASY-006798-01</v>
          </cell>
          <cell r="B481">
            <v>3</v>
          </cell>
          <cell r="C481" t="str">
            <v>CON-000260-00</v>
          </cell>
          <cell r="D481" t="str">
            <v>CONNECTOR, FEMALE, 6 PIN, TROV 2</v>
          </cell>
          <cell r="E481" t="str">
            <v>A</v>
          </cell>
          <cell r="F481" t="str">
            <v>Connector</v>
          </cell>
          <cell r="G481">
            <v>1</v>
          </cell>
          <cell r="H481">
            <v>0</v>
          </cell>
          <cell r="I481" t="str">
            <v>N/A</v>
          </cell>
        </row>
        <row r="482">
          <cell r="A482" t="str">
            <v>ASY-006798-01</v>
          </cell>
          <cell r="B482">
            <v>3</v>
          </cell>
          <cell r="C482" t="str">
            <v>ORG-000060-00</v>
          </cell>
          <cell r="D482" t="str">
            <v>O-RING, CABLE, TROV 2</v>
          </cell>
          <cell r="E482" t="str">
            <v>A</v>
          </cell>
          <cell r="F482" t="str">
            <v>O-Ring</v>
          </cell>
          <cell r="G482">
            <v>1</v>
          </cell>
          <cell r="H482">
            <v>0</v>
          </cell>
          <cell r="I482" t="str">
            <v>N/A</v>
          </cell>
        </row>
        <row r="483">
          <cell r="A483" t="str">
            <v>ASY-006798-01</v>
          </cell>
          <cell r="B483">
            <v>3</v>
          </cell>
          <cell r="C483" t="str">
            <v>SRF-000030-00</v>
          </cell>
          <cell r="D483" t="str">
            <v>STRAIN RELIEF, CABLE, TROV 2</v>
          </cell>
          <cell r="E483" t="str">
            <v>A</v>
          </cell>
          <cell r="F483" t="str">
            <v>Strain Relief</v>
          </cell>
          <cell r="G483">
            <v>1</v>
          </cell>
          <cell r="H483">
            <v>0</v>
          </cell>
          <cell r="I483" t="str">
            <v>N/A</v>
          </cell>
        </row>
        <row r="484">
          <cell r="A484" t="str">
            <v>ASY-006798-01</v>
          </cell>
          <cell r="B484">
            <v>2</v>
          </cell>
          <cell r="C484" t="str">
            <v>HSG-000488-01</v>
          </cell>
          <cell r="D484" t="str">
            <v>HOUSING, PSU, 1 FT, MOLDED HOLE, TROV 2.0</v>
          </cell>
          <cell r="E484" t="str">
            <v>B</v>
          </cell>
          <cell r="F484" t="str">
            <v>Housing</v>
          </cell>
          <cell r="G484">
            <v>1</v>
          </cell>
          <cell r="H484">
            <v>1.17</v>
          </cell>
          <cell r="I484" t="str">
            <v>Buy</v>
          </cell>
        </row>
        <row r="485">
          <cell r="A485" t="str">
            <v>ASY-006798-01</v>
          </cell>
          <cell r="B485">
            <v>2</v>
          </cell>
          <cell r="C485" t="str">
            <v>SCW-000577-00</v>
          </cell>
          <cell r="D485" t="str">
            <v>SCREW, TORX HEAD, LOW PROFILE, M3X8mm, ALLOY STEEL</v>
          </cell>
          <cell r="E485" t="str">
            <v>A</v>
          </cell>
          <cell r="F485" t="str">
            <v>Screw</v>
          </cell>
          <cell r="G485">
            <v>2</v>
          </cell>
          <cell r="H485">
            <v>0.03</v>
          </cell>
          <cell r="I485" t="str">
            <v>Buy</v>
          </cell>
        </row>
        <row r="486">
          <cell r="A486" t="str">
            <v>ASY-006798-01</v>
          </cell>
          <cell r="B486">
            <v>1</v>
          </cell>
          <cell r="C486" t="str">
            <v>BAS-000020-00</v>
          </cell>
          <cell r="D486" t="str">
            <v>BASE, 1FT, TROV 2.0</v>
          </cell>
          <cell r="E486" t="str">
            <v>E</v>
          </cell>
          <cell r="F486" t="str">
            <v>Base</v>
          </cell>
          <cell r="G486">
            <v>1</v>
          </cell>
          <cell r="H486">
            <v>5.8</v>
          </cell>
          <cell r="I486" t="str">
            <v>Buy</v>
          </cell>
        </row>
        <row r="487">
          <cell r="A487" t="str">
            <v>ASY-006798-01</v>
          </cell>
          <cell r="B487">
            <v>1</v>
          </cell>
          <cell r="C487" t="str">
            <v>BKT-000457-03</v>
          </cell>
          <cell r="D487" t="str">
            <v>BRACKET, MOUNT, LEFT, BLACK, TROV 2.0</v>
          </cell>
          <cell r="E487" t="str">
            <v>C</v>
          </cell>
          <cell r="F487" t="str">
            <v>Bracket</v>
          </cell>
          <cell r="G487">
            <v>1</v>
          </cell>
          <cell r="H487">
            <v>0.99</v>
          </cell>
          <cell r="I487" t="str">
            <v>Buy</v>
          </cell>
        </row>
        <row r="488">
          <cell r="A488" t="str">
            <v>ASY-006798-01</v>
          </cell>
          <cell r="B488">
            <v>1</v>
          </cell>
          <cell r="C488" t="str">
            <v>BKT-000458-03</v>
          </cell>
          <cell r="D488" t="str">
            <v>BRACKET, MOUNT, RIGHT, BLACK, TROV 2.0</v>
          </cell>
          <cell r="E488" t="str">
            <v>C</v>
          </cell>
          <cell r="F488" t="str">
            <v>Bracket</v>
          </cell>
          <cell r="G488">
            <v>1</v>
          </cell>
          <cell r="H488">
            <v>0.99</v>
          </cell>
          <cell r="I488" t="str">
            <v>Buy</v>
          </cell>
        </row>
        <row r="489">
          <cell r="A489" t="str">
            <v>ASY-006798-01</v>
          </cell>
          <cell r="B489">
            <v>1</v>
          </cell>
          <cell r="C489" t="str">
            <v>CVR-000791-03</v>
          </cell>
          <cell r="D489" t="str">
            <v>END COVER, FC, BLACK, L45, TROV 2.0</v>
          </cell>
          <cell r="E489" t="str">
            <v>D</v>
          </cell>
          <cell r="F489" t="str">
            <v>Cover</v>
          </cell>
          <cell r="G489">
            <v>1</v>
          </cell>
          <cell r="H489">
            <v>1.07</v>
          </cell>
          <cell r="I489" t="str">
            <v>Buy</v>
          </cell>
        </row>
        <row r="490">
          <cell r="A490" t="str">
            <v>ASY-006798-01</v>
          </cell>
          <cell r="B490">
            <v>1</v>
          </cell>
          <cell r="C490" t="str">
            <v>CVR-000894-03</v>
          </cell>
          <cell r="D490" t="str">
            <v>END COVER, MC, BLACK, L45, TROV 2.0</v>
          </cell>
          <cell r="E490" t="str">
            <v>B</v>
          </cell>
          <cell r="F490" t="str">
            <v>Cover</v>
          </cell>
          <cell r="G490">
            <v>1</v>
          </cell>
          <cell r="H490">
            <v>1.07</v>
          </cell>
          <cell r="I490" t="str">
            <v>Buy</v>
          </cell>
        </row>
        <row r="491">
          <cell r="A491" t="str">
            <v>ASY-006798-01</v>
          </cell>
          <cell r="B491">
            <v>1</v>
          </cell>
          <cell r="C491" t="str">
            <v>FOM-000029-00</v>
          </cell>
          <cell r="D491" t="str">
            <v>FOAM, LIGHTBLOCK, ENDCAP, L45, TROV2</v>
          </cell>
          <cell r="E491" t="str">
            <v>A</v>
          </cell>
          <cell r="F491" t="str">
            <v>Foam</v>
          </cell>
          <cell r="G491">
            <v>2</v>
          </cell>
          <cell r="H491">
            <v>0.02</v>
          </cell>
          <cell r="I491" t="str">
            <v>Buy</v>
          </cell>
        </row>
        <row r="492">
          <cell r="A492" t="str">
            <v>ASY-006798-01</v>
          </cell>
          <cell r="B492">
            <v>1</v>
          </cell>
          <cell r="C492" t="str">
            <v>GSK-000112-01</v>
          </cell>
          <cell r="D492" t="str">
            <v>GASKET, TERTIARY LENS, 3M, 1 FT, L45, TROV 2.0</v>
          </cell>
          <cell r="E492" t="str">
            <v>D</v>
          </cell>
          <cell r="F492" t="str">
            <v>Gasket</v>
          </cell>
          <cell r="G492">
            <v>1</v>
          </cell>
          <cell r="H492">
            <v>1.75</v>
          </cell>
          <cell r="I492" t="str">
            <v>Buy</v>
          </cell>
        </row>
        <row r="493">
          <cell r="A493" t="str">
            <v>ASY-006798-01</v>
          </cell>
          <cell r="B493">
            <v>1</v>
          </cell>
          <cell r="C493" t="str">
            <v>GSK-000121-01</v>
          </cell>
          <cell r="D493" t="str">
            <v>GASKET, DRIVER ENCLOSURE, 3M, 1 FT, TROV 2.0</v>
          </cell>
          <cell r="E493" t="str">
            <v>B</v>
          </cell>
          <cell r="F493" t="str">
            <v>Gasket</v>
          </cell>
          <cell r="G493">
            <v>1</v>
          </cell>
          <cell r="H493">
            <v>1.7</v>
          </cell>
          <cell r="I493" t="str">
            <v>Buy</v>
          </cell>
        </row>
        <row r="494">
          <cell r="A494" t="str">
            <v>ASY-006798-01</v>
          </cell>
          <cell r="B494">
            <v>1</v>
          </cell>
          <cell r="C494" t="str">
            <v>HSG-000491-03</v>
          </cell>
          <cell r="D494" t="str">
            <v>HOUSING, TOP, 1 FT, L45, BLACK, TROV 2.0</v>
          </cell>
          <cell r="E494" t="str">
            <v>E</v>
          </cell>
          <cell r="F494" t="str">
            <v>Housing</v>
          </cell>
          <cell r="G494">
            <v>1</v>
          </cell>
          <cell r="H494">
            <v>4.3499999999999996</v>
          </cell>
          <cell r="I494" t="str">
            <v>Buy</v>
          </cell>
        </row>
        <row r="495">
          <cell r="A495" t="str">
            <v>ASY-006798-01</v>
          </cell>
          <cell r="B495">
            <v>1</v>
          </cell>
          <cell r="C495" t="str">
            <v>HSG-000492-03</v>
          </cell>
          <cell r="D495" t="str">
            <v>HOUSING, BOTTOM, 1 FT, BLACK, TROV 2.0</v>
          </cell>
          <cell r="E495" t="str">
            <v>F</v>
          </cell>
          <cell r="F495" t="str">
            <v>Housing</v>
          </cell>
          <cell r="G495">
            <v>1</v>
          </cell>
          <cell r="H495">
            <v>3.22</v>
          </cell>
          <cell r="I495" t="str">
            <v>Buy</v>
          </cell>
        </row>
        <row r="496">
          <cell r="A496" t="str">
            <v>ASY-006798-01</v>
          </cell>
          <cell r="B496">
            <v>1</v>
          </cell>
          <cell r="C496" t="str">
            <v>LBA-000003-00</v>
          </cell>
          <cell r="D496" t="str">
            <v>Label: TROV 2 P1/P2, Model L45/L60</v>
          </cell>
          <cell r="E496" t="str">
            <v>A</v>
          </cell>
          <cell r="F496" t="str">
            <v>Label BOM</v>
          </cell>
          <cell r="G496">
            <v>1</v>
          </cell>
          <cell r="H496">
            <v>0</v>
          </cell>
          <cell r="I496" t="str">
            <v>Make</v>
          </cell>
        </row>
        <row r="497">
          <cell r="A497" t="str">
            <v>ASY-006798-01</v>
          </cell>
          <cell r="B497">
            <v>2</v>
          </cell>
          <cell r="C497" t="str">
            <v>LBL-000243-00</v>
          </cell>
          <cell r="D497" t="str">
            <v>Blank Product Label: Trov 2 P1/P2, Model L45/L60</v>
          </cell>
          <cell r="E497" t="str">
            <v>A</v>
          </cell>
          <cell r="F497" t="str">
            <v>Label</v>
          </cell>
          <cell r="G497">
            <v>1</v>
          </cell>
          <cell r="H497">
            <v>0.33</v>
          </cell>
          <cell r="I497" t="str">
            <v>N/A</v>
          </cell>
        </row>
        <row r="498">
          <cell r="A498" t="str">
            <v>ASY-006798-01</v>
          </cell>
          <cell r="B498">
            <v>1</v>
          </cell>
          <cell r="C498" t="str">
            <v>PLG-000009-01</v>
          </cell>
          <cell r="D498" t="str">
            <v>Porex Vent, Trov, L50 Exterior</v>
          </cell>
          <cell r="E498" t="str">
            <v>B</v>
          </cell>
          <cell r="F498" t="str">
            <v>Plug</v>
          </cell>
          <cell r="G498">
            <v>1</v>
          </cell>
          <cell r="H498">
            <v>0.17</v>
          </cell>
          <cell r="I498" t="str">
            <v>Buy</v>
          </cell>
        </row>
        <row r="499">
          <cell r="A499" t="str">
            <v>ASY-006798-01</v>
          </cell>
          <cell r="B499">
            <v>1</v>
          </cell>
          <cell r="C499" t="str">
            <v>SCW-000156-00</v>
          </cell>
          <cell r="D499" t="str">
            <v>SCREW, M3 x 0.5 X 8mm, PAND HEAD, PHILLIPS, STEEL</v>
          </cell>
          <cell r="E499" t="str">
            <v>B</v>
          </cell>
          <cell r="F499" t="str">
            <v>Screw</v>
          </cell>
          <cell r="G499">
            <v>2</v>
          </cell>
          <cell r="H499">
            <v>4.4400000000000002E-2</v>
          </cell>
          <cell r="I499" t="str">
            <v>Buy</v>
          </cell>
        </row>
        <row r="500">
          <cell r="A500" t="str">
            <v>ASY-006798-01</v>
          </cell>
          <cell r="B500">
            <v>1</v>
          </cell>
          <cell r="C500" t="str">
            <v>SCW-000483-00</v>
          </cell>
          <cell r="D500" t="str">
            <v>SCREW, PHILIPS FLAT HEAD, M2.5x0.45x5 , 18-8 SST</v>
          </cell>
          <cell r="E500" t="str">
            <v>A</v>
          </cell>
          <cell r="F500" t="str">
            <v>Screw</v>
          </cell>
          <cell r="G500">
            <v>4</v>
          </cell>
          <cell r="H500">
            <v>0.02</v>
          </cell>
          <cell r="I500" t="str">
            <v>Buy</v>
          </cell>
        </row>
        <row r="501">
          <cell r="A501" t="str">
            <v>ASY-006798-01</v>
          </cell>
          <cell r="B501">
            <v>1</v>
          </cell>
          <cell r="C501" t="str">
            <v>SCW-000556-00</v>
          </cell>
          <cell r="D501" t="str">
            <v>SCREW, HEX, SERRATED, #8-32, GROUNDING, TROV 2</v>
          </cell>
          <cell r="E501" t="str">
            <v>A</v>
          </cell>
          <cell r="F501" t="str">
            <v>Screw</v>
          </cell>
          <cell r="G501">
            <v>1</v>
          </cell>
          <cell r="H501">
            <v>0.04</v>
          </cell>
          <cell r="I501" t="str">
            <v>Buy</v>
          </cell>
        </row>
        <row r="502">
          <cell r="A502" t="str">
            <v>ASY-006798-01</v>
          </cell>
          <cell r="B502">
            <v>1</v>
          </cell>
          <cell r="C502" t="str">
            <v>SCW-000574-00</v>
          </cell>
          <cell r="D502" t="str">
            <v>SCREW, TORX HEAD, 1/4-28x1/2", LOW PROFILE, ALLOY STEEL</v>
          </cell>
          <cell r="E502" t="str">
            <v>A</v>
          </cell>
          <cell r="F502" t="str">
            <v>Screw</v>
          </cell>
          <cell r="G502">
            <v>2</v>
          </cell>
          <cell r="H502">
            <v>0.14000000000000001</v>
          </cell>
          <cell r="I502" t="str">
            <v>Buy</v>
          </cell>
        </row>
        <row r="503">
          <cell r="A503" t="str">
            <v>ASY-006798-01</v>
          </cell>
          <cell r="B503">
            <v>1</v>
          </cell>
          <cell r="C503" t="str">
            <v>SHT-000042-00</v>
          </cell>
          <cell r="D503" t="str">
            <v>INSULATION SHEET, MP/LP HBA, TROV 2</v>
          </cell>
          <cell r="E503" t="str">
            <v>D</v>
          </cell>
          <cell r="F503" t="str">
            <v>Sheet</v>
          </cell>
          <cell r="G503">
            <v>1</v>
          </cell>
          <cell r="H503">
            <v>0.16</v>
          </cell>
          <cell r="I503" t="str">
            <v>Buy</v>
          </cell>
        </row>
        <row r="504">
          <cell r="A504" t="str">
            <v>ASY-006798-01</v>
          </cell>
          <cell r="B504">
            <v>1</v>
          </cell>
          <cell r="C504" t="str">
            <v>SPG-000023-00</v>
          </cell>
          <cell r="D504" t="str">
            <v>SPRING, DISC, STACKED WAVE, TROV 2.0</v>
          </cell>
          <cell r="E504" t="str">
            <v>A</v>
          </cell>
          <cell r="F504" t="str">
            <v>Spring</v>
          </cell>
          <cell r="G504">
            <v>2</v>
          </cell>
          <cell r="H504">
            <v>1.74</v>
          </cell>
          <cell r="I504" t="str">
            <v>Buy</v>
          </cell>
        </row>
        <row r="505">
          <cell r="A505" t="str">
            <v>ASY-006798-01</v>
          </cell>
          <cell r="B505">
            <v>1</v>
          </cell>
          <cell r="C505" t="str">
            <v>TAP-000031-00</v>
          </cell>
          <cell r="D505" t="str">
            <v>3M Electrical Tape 92</v>
          </cell>
          <cell r="E505" t="str">
            <v>A</v>
          </cell>
          <cell r="F505" t="str">
            <v>Tape</v>
          </cell>
          <cell r="G505">
            <v>120</v>
          </cell>
          <cell r="H505">
            <v>1.4E-2</v>
          </cell>
          <cell r="I505" t="str">
            <v>Buy</v>
          </cell>
        </row>
        <row r="506">
          <cell r="A506" t="str">
            <v>ASY-006798-01</v>
          </cell>
          <cell r="B506">
            <v>1</v>
          </cell>
          <cell r="C506" t="str">
            <v>TMP-000027-00</v>
          </cell>
          <cell r="D506" t="str">
            <v>Thermal Pad, LED PCBA, 1 FT, TROV 2</v>
          </cell>
          <cell r="E506" t="str">
            <v>B</v>
          </cell>
          <cell r="F506" t="str">
            <v>Thermal Pad</v>
          </cell>
          <cell r="G506">
            <v>1</v>
          </cell>
          <cell r="H506">
            <v>0.72</v>
          </cell>
          <cell r="I506" t="str">
            <v>Buy</v>
          </cell>
        </row>
        <row r="507">
          <cell r="A507" t="str">
            <v>ASY-006798-01</v>
          </cell>
          <cell r="B507">
            <v>1</v>
          </cell>
          <cell r="C507" t="str">
            <v>TMP-000029-00</v>
          </cell>
          <cell r="D507" t="str">
            <v>Thermal Pad, HBA, TROV 2</v>
          </cell>
          <cell r="E507" t="str">
            <v>B</v>
          </cell>
          <cell r="F507" t="str">
            <v>Thermal Pad</v>
          </cell>
          <cell r="G507">
            <v>2</v>
          </cell>
          <cell r="H507">
            <v>0.14000000000000001</v>
          </cell>
          <cell r="I507" t="str">
            <v>Buy</v>
          </cell>
        </row>
        <row r="508">
          <cell r="A508" t="str">
            <v>ASY-006798-02</v>
          </cell>
          <cell r="B508">
            <v>0</v>
          </cell>
          <cell r="C508" t="str">
            <v>ASY-006798-02</v>
          </cell>
          <cell r="D508" t="str">
            <v>ASSY, MECHANICAL, L45, OUTDOOR, 1 FT, TROV 2.0, WHITE</v>
          </cell>
          <cell r="E508" t="str">
            <v>M</v>
          </cell>
          <cell r="F508" t="str">
            <v>Sub assembly</v>
          </cell>
          <cell r="H508">
            <v>0</v>
          </cell>
          <cell r="I508" t="str">
            <v>Make</v>
          </cell>
        </row>
        <row r="509">
          <cell r="A509" t="str">
            <v>ASY-006798-02</v>
          </cell>
          <cell r="B509">
            <v>1</v>
          </cell>
          <cell r="C509" t="str">
            <v>ACB-000261-00</v>
          </cell>
          <cell r="D509" t="str">
            <v>CABLE, ECOBUS, 24AWG, SHORT, TROV 2</v>
          </cell>
          <cell r="E509" t="str">
            <v>B</v>
          </cell>
          <cell r="F509" t="str">
            <v>Cable</v>
          </cell>
          <cell r="G509">
            <v>1</v>
          </cell>
          <cell r="H509">
            <v>0.76</v>
          </cell>
          <cell r="I509" t="str">
            <v>Buy</v>
          </cell>
        </row>
        <row r="510">
          <cell r="A510" t="str">
            <v>ASY-006798-02</v>
          </cell>
          <cell r="B510">
            <v>1</v>
          </cell>
          <cell r="C510" t="str">
            <v>ASY-100009-00</v>
          </cell>
          <cell r="D510" t="str">
            <v>Cable Subassembly, Driver housing, 1ft, Trov 2</v>
          </cell>
          <cell r="E510" t="str">
            <v>B</v>
          </cell>
          <cell r="F510" t="str">
            <v>Sub assembly</v>
          </cell>
          <cell r="G510">
            <v>1</v>
          </cell>
          <cell r="H510">
            <v>0</v>
          </cell>
          <cell r="I510" t="str">
            <v>Make</v>
          </cell>
        </row>
        <row r="511">
          <cell r="A511" t="str">
            <v>ASY-006798-02</v>
          </cell>
          <cell r="B511">
            <v>2</v>
          </cell>
          <cell r="C511" t="str">
            <v>ACB-000278-00</v>
          </cell>
          <cell r="D511" t="str">
            <v>CABLE ASSY, INTRA-FIXTURE, 1FT, TROV 2.0</v>
          </cell>
          <cell r="E511" t="str">
            <v>A</v>
          </cell>
          <cell r="F511" t="str">
            <v>Cable Assembly</v>
          </cell>
          <cell r="G511">
            <v>1</v>
          </cell>
          <cell r="H511">
            <v>12.75</v>
          </cell>
          <cell r="I511" t="str">
            <v>Buy</v>
          </cell>
        </row>
        <row r="512">
          <cell r="A512" t="str">
            <v>ASY-006798-02</v>
          </cell>
          <cell r="B512">
            <v>3</v>
          </cell>
          <cell r="C512" t="str">
            <v>ACB-000273-00</v>
          </cell>
          <cell r="D512" t="str">
            <v>6 CONDUCTOR CABLE, 3X22AWG, 3X16AWG, AL MYLAR, TROV 2</v>
          </cell>
          <cell r="E512" t="str">
            <v>A</v>
          </cell>
          <cell r="F512" t="str">
            <v>Cable</v>
          </cell>
          <cell r="G512">
            <v>1</v>
          </cell>
          <cell r="H512">
            <v>0</v>
          </cell>
          <cell r="I512" t="str">
            <v>N/A</v>
          </cell>
        </row>
        <row r="513">
          <cell r="A513" t="str">
            <v>ASY-006798-02</v>
          </cell>
          <cell r="B513">
            <v>3</v>
          </cell>
          <cell r="C513" t="str">
            <v>ACB-000274-01</v>
          </cell>
          <cell r="D513" t="str">
            <v>CABLE ASSEMBLY, INTERNAL, DRIVER SIDE, 1FT, TROV 2</v>
          </cell>
          <cell r="E513" t="str">
            <v>A</v>
          </cell>
          <cell r="F513" t="str">
            <v>Cable Assembly</v>
          </cell>
          <cell r="G513">
            <v>1</v>
          </cell>
          <cell r="H513">
            <v>0</v>
          </cell>
          <cell r="I513" t="str">
            <v>N/A</v>
          </cell>
        </row>
        <row r="514">
          <cell r="A514" t="str">
            <v>ASY-006798-02</v>
          </cell>
          <cell r="B514">
            <v>3</v>
          </cell>
          <cell r="C514" t="str">
            <v>CON-000259-00</v>
          </cell>
          <cell r="D514" t="str">
            <v>CONNECTOR, MALE, 6 PIN, TROV 2</v>
          </cell>
          <cell r="E514" t="str">
            <v>B</v>
          </cell>
          <cell r="F514" t="str">
            <v>Connector</v>
          </cell>
          <cell r="G514">
            <v>1</v>
          </cell>
          <cell r="H514">
            <v>0</v>
          </cell>
          <cell r="I514" t="str">
            <v>N/A</v>
          </cell>
        </row>
        <row r="515">
          <cell r="A515" t="str">
            <v>ASY-006798-02</v>
          </cell>
          <cell r="B515">
            <v>3</v>
          </cell>
          <cell r="C515" t="str">
            <v>CON-000260-00</v>
          </cell>
          <cell r="D515" t="str">
            <v>CONNECTOR, FEMALE, 6 PIN, TROV 2</v>
          </cell>
          <cell r="E515" t="str">
            <v>A</v>
          </cell>
          <cell r="F515" t="str">
            <v>Connector</v>
          </cell>
          <cell r="G515">
            <v>1</v>
          </cell>
          <cell r="H515">
            <v>0</v>
          </cell>
          <cell r="I515" t="str">
            <v>N/A</v>
          </cell>
        </row>
        <row r="516">
          <cell r="A516" t="str">
            <v>ASY-006798-02</v>
          </cell>
          <cell r="B516">
            <v>3</v>
          </cell>
          <cell r="C516" t="str">
            <v>ORG-000060-00</v>
          </cell>
          <cell r="D516" t="str">
            <v>O-RING, CABLE, TROV 2</v>
          </cell>
          <cell r="E516" t="str">
            <v>A</v>
          </cell>
          <cell r="F516" t="str">
            <v>O-Ring</v>
          </cell>
          <cell r="G516">
            <v>1</v>
          </cell>
          <cell r="H516">
            <v>0</v>
          </cell>
          <cell r="I516" t="str">
            <v>N/A</v>
          </cell>
        </row>
        <row r="517">
          <cell r="A517" t="str">
            <v>ASY-006798-02</v>
          </cell>
          <cell r="B517">
            <v>3</v>
          </cell>
          <cell r="C517" t="str">
            <v>SRF-000030-00</v>
          </cell>
          <cell r="D517" t="str">
            <v>STRAIN RELIEF, CABLE, TROV 2</v>
          </cell>
          <cell r="E517" t="str">
            <v>A</v>
          </cell>
          <cell r="F517" t="str">
            <v>Strain Relief</v>
          </cell>
          <cell r="G517">
            <v>1</v>
          </cell>
          <cell r="H517">
            <v>0</v>
          </cell>
          <cell r="I517" t="str">
            <v>N/A</v>
          </cell>
        </row>
        <row r="518">
          <cell r="A518" t="str">
            <v>ASY-006798-02</v>
          </cell>
          <cell r="B518">
            <v>2</v>
          </cell>
          <cell r="C518" t="str">
            <v>HSG-000488-01</v>
          </cell>
          <cell r="D518" t="str">
            <v>HOUSING, PSU, 1 FT, MOLDED HOLE, TROV 2.0</v>
          </cell>
          <cell r="E518" t="str">
            <v>B</v>
          </cell>
          <cell r="F518" t="str">
            <v>Housing</v>
          </cell>
          <cell r="G518">
            <v>1</v>
          </cell>
          <cell r="H518">
            <v>1.17</v>
          </cell>
          <cell r="I518" t="str">
            <v>Buy</v>
          </cell>
        </row>
        <row r="519">
          <cell r="A519" t="str">
            <v>ASY-006798-02</v>
          </cell>
          <cell r="B519">
            <v>2</v>
          </cell>
          <cell r="C519" t="str">
            <v>SCW-000577-00</v>
          </cell>
          <cell r="D519" t="str">
            <v>SCREW, TORX HEAD, LOW PROFILE, M3X8mm, ALLOY STEEL</v>
          </cell>
          <cell r="E519" t="str">
            <v>A</v>
          </cell>
          <cell r="F519" t="str">
            <v>Screw</v>
          </cell>
          <cell r="G519">
            <v>2</v>
          </cell>
          <cell r="H519">
            <v>0.03</v>
          </cell>
          <cell r="I519" t="str">
            <v>Buy</v>
          </cell>
        </row>
        <row r="520">
          <cell r="A520" t="str">
            <v>ASY-006798-02</v>
          </cell>
          <cell r="B520">
            <v>1</v>
          </cell>
          <cell r="C520" t="str">
            <v>BAS-000020-00</v>
          </cell>
          <cell r="D520" t="str">
            <v>BASE, 1FT, TROV 2.0</v>
          </cell>
          <cell r="E520" t="str">
            <v>E</v>
          </cell>
          <cell r="F520" t="str">
            <v>Base</v>
          </cell>
          <cell r="G520">
            <v>1</v>
          </cell>
          <cell r="H520">
            <v>5.8</v>
          </cell>
          <cell r="I520" t="str">
            <v>Buy</v>
          </cell>
        </row>
        <row r="521">
          <cell r="A521" t="str">
            <v>ASY-006798-02</v>
          </cell>
          <cell r="B521">
            <v>1</v>
          </cell>
          <cell r="C521" t="str">
            <v>BKT-000457-03</v>
          </cell>
          <cell r="D521" t="str">
            <v>BRACKET, MOUNT, LEFT, BLACK, TROV 2.0</v>
          </cell>
          <cell r="E521" t="str">
            <v>C</v>
          </cell>
          <cell r="F521" t="str">
            <v>Bracket</v>
          </cell>
          <cell r="G521">
            <v>1</v>
          </cell>
          <cell r="H521">
            <v>0.99</v>
          </cell>
          <cell r="I521" t="str">
            <v>Buy</v>
          </cell>
        </row>
        <row r="522">
          <cell r="A522" t="str">
            <v>ASY-006798-02</v>
          </cell>
          <cell r="B522">
            <v>1</v>
          </cell>
          <cell r="C522" t="str">
            <v>BKT-000458-03</v>
          </cell>
          <cell r="D522" t="str">
            <v>BRACKET, MOUNT, RIGHT, BLACK, TROV 2.0</v>
          </cell>
          <cell r="E522" t="str">
            <v>C</v>
          </cell>
          <cell r="F522" t="str">
            <v>Bracket</v>
          </cell>
          <cell r="G522">
            <v>1</v>
          </cell>
          <cell r="H522">
            <v>0.99</v>
          </cell>
          <cell r="I522" t="str">
            <v>Buy</v>
          </cell>
        </row>
        <row r="523">
          <cell r="A523" t="str">
            <v>ASY-006798-02</v>
          </cell>
          <cell r="B523">
            <v>1</v>
          </cell>
          <cell r="C523" t="str">
            <v>CVR-000791-04</v>
          </cell>
          <cell r="D523" t="str">
            <v>END COVER, FC, WHITE, L45, TROV 2.0</v>
          </cell>
          <cell r="E523" t="str">
            <v>D</v>
          </cell>
          <cell r="F523" t="str">
            <v>Cover</v>
          </cell>
          <cell r="G523">
            <v>1</v>
          </cell>
          <cell r="H523">
            <v>1.07</v>
          </cell>
          <cell r="I523" t="str">
            <v>Buy</v>
          </cell>
        </row>
        <row r="524">
          <cell r="A524" t="str">
            <v>ASY-006798-02</v>
          </cell>
          <cell r="B524">
            <v>1</v>
          </cell>
          <cell r="C524" t="str">
            <v>CVR-000894-04</v>
          </cell>
          <cell r="D524" t="str">
            <v>END COVER, MC, WHITE, L45, TROV 2.0</v>
          </cell>
          <cell r="E524" t="str">
            <v>B</v>
          </cell>
          <cell r="F524" t="str">
            <v>Cover</v>
          </cell>
          <cell r="G524">
            <v>1</v>
          </cell>
          <cell r="H524">
            <v>1.07</v>
          </cell>
          <cell r="I524" t="str">
            <v>Buy</v>
          </cell>
        </row>
        <row r="525">
          <cell r="A525" t="str">
            <v>ASY-006798-02</v>
          </cell>
          <cell r="B525">
            <v>1</v>
          </cell>
          <cell r="C525" t="str">
            <v>FOM-000029-00</v>
          </cell>
          <cell r="D525" t="str">
            <v>FOAM, LIGHTBLOCK, ENDCAP, L45, TROV2</v>
          </cell>
          <cell r="E525" t="str">
            <v>A</v>
          </cell>
          <cell r="F525" t="str">
            <v>Foam</v>
          </cell>
          <cell r="G525">
            <v>2</v>
          </cell>
          <cell r="H525">
            <v>0.02</v>
          </cell>
          <cell r="I525" t="str">
            <v>Buy</v>
          </cell>
        </row>
        <row r="526">
          <cell r="A526" t="str">
            <v>ASY-006798-02</v>
          </cell>
          <cell r="B526">
            <v>1</v>
          </cell>
          <cell r="C526" t="str">
            <v>GSK-000112-01</v>
          </cell>
          <cell r="D526" t="str">
            <v>GASKET, TERTIARY LENS, 3M, 1 FT, L45, TROV 2.0</v>
          </cell>
          <cell r="E526" t="str">
            <v>D</v>
          </cell>
          <cell r="F526" t="str">
            <v>Gasket</v>
          </cell>
          <cell r="G526">
            <v>1</v>
          </cell>
          <cell r="H526">
            <v>1.75</v>
          </cell>
          <cell r="I526" t="str">
            <v>Buy</v>
          </cell>
        </row>
        <row r="527">
          <cell r="A527" t="str">
            <v>ASY-006798-02</v>
          </cell>
          <cell r="B527">
            <v>1</v>
          </cell>
          <cell r="C527" t="str">
            <v>GSK-000121-01</v>
          </cell>
          <cell r="D527" t="str">
            <v>GASKET, DRIVER ENCLOSURE, 3M, 1 FT, TROV 2.0</v>
          </cell>
          <cell r="E527" t="str">
            <v>B</v>
          </cell>
          <cell r="F527" t="str">
            <v>Gasket</v>
          </cell>
          <cell r="G527">
            <v>1</v>
          </cell>
          <cell r="H527">
            <v>1.7</v>
          </cell>
          <cell r="I527" t="str">
            <v>Buy</v>
          </cell>
        </row>
        <row r="528">
          <cell r="A528" t="str">
            <v>ASY-006798-02</v>
          </cell>
          <cell r="B528">
            <v>1</v>
          </cell>
          <cell r="C528" t="str">
            <v>HSG-000491-04</v>
          </cell>
          <cell r="D528" t="str">
            <v>HOUSING, TOP, 1 FT, L45, WHITE, TROV 2.0</v>
          </cell>
          <cell r="E528" t="str">
            <v>E</v>
          </cell>
          <cell r="F528" t="str">
            <v>Housing</v>
          </cell>
          <cell r="G528">
            <v>1</v>
          </cell>
          <cell r="H528">
            <v>4.2</v>
          </cell>
          <cell r="I528" t="str">
            <v>Buy</v>
          </cell>
        </row>
        <row r="529">
          <cell r="A529" t="str">
            <v>ASY-006798-02</v>
          </cell>
          <cell r="B529">
            <v>1</v>
          </cell>
          <cell r="C529" t="str">
            <v>HSG-000492-04</v>
          </cell>
          <cell r="D529" t="str">
            <v>HOUSING, BOTTOM, 1 FT, WHITE, TROV 2.0</v>
          </cell>
          <cell r="E529" t="str">
            <v>F</v>
          </cell>
          <cell r="F529" t="str">
            <v>Housing</v>
          </cell>
          <cell r="G529">
            <v>1</v>
          </cell>
          <cell r="H529">
            <v>3.34</v>
          </cell>
          <cell r="I529" t="str">
            <v>Buy</v>
          </cell>
        </row>
        <row r="530">
          <cell r="A530" t="str">
            <v>ASY-006798-02</v>
          </cell>
          <cell r="B530">
            <v>1</v>
          </cell>
          <cell r="C530" t="str">
            <v>LBA-000003-00</v>
          </cell>
          <cell r="D530" t="str">
            <v>Label: TROV 2 P1/P2, Model L45/L60</v>
          </cell>
          <cell r="E530" t="str">
            <v>A</v>
          </cell>
          <cell r="F530" t="str">
            <v>Label BOM</v>
          </cell>
          <cell r="G530">
            <v>1</v>
          </cell>
          <cell r="H530">
            <v>0</v>
          </cell>
          <cell r="I530" t="str">
            <v>Make</v>
          </cell>
        </row>
        <row r="531">
          <cell r="A531" t="str">
            <v>ASY-006798-02</v>
          </cell>
          <cell r="B531">
            <v>2</v>
          </cell>
          <cell r="C531" t="str">
            <v>LBL-000243-00</v>
          </cell>
          <cell r="D531" t="str">
            <v>Blank Product Label: Trov 2 P1/P2, Model L45/L60</v>
          </cell>
          <cell r="E531" t="str">
            <v>A</v>
          </cell>
          <cell r="F531" t="str">
            <v>Label</v>
          </cell>
          <cell r="G531">
            <v>1</v>
          </cell>
          <cell r="H531">
            <v>0.33</v>
          </cell>
          <cell r="I531" t="str">
            <v>Buy</v>
          </cell>
        </row>
        <row r="532">
          <cell r="A532" t="str">
            <v>ASY-006798-02</v>
          </cell>
          <cell r="B532">
            <v>1</v>
          </cell>
          <cell r="C532" t="str">
            <v>PLG-000009-01</v>
          </cell>
          <cell r="D532" t="str">
            <v>Porex Vent, Trov, L50 Exterior</v>
          </cell>
          <cell r="E532" t="str">
            <v>B</v>
          </cell>
          <cell r="F532" t="str">
            <v>Plug</v>
          </cell>
          <cell r="G532">
            <v>1</v>
          </cell>
          <cell r="H532">
            <v>0.17</v>
          </cell>
          <cell r="I532" t="str">
            <v>Buy</v>
          </cell>
        </row>
        <row r="533">
          <cell r="A533" t="str">
            <v>ASY-006798-02</v>
          </cell>
          <cell r="B533">
            <v>1</v>
          </cell>
          <cell r="C533" t="str">
            <v>SCW-000156-00</v>
          </cell>
          <cell r="D533" t="str">
            <v>SCREW, M3 x 0.5 X 8mm, PAND HEAD, PHILLIPS, STEEL</v>
          </cell>
          <cell r="E533" t="str">
            <v>B</v>
          </cell>
          <cell r="F533" t="str">
            <v>Screw</v>
          </cell>
          <cell r="G533">
            <v>2</v>
          </cell>
          <cell r="H533">
            <v>4.4400000000000002E-2</v>
          </cell>
          <cell r="I533" t="str">
            <v>Buy</v>
          </cell>
        </row>
        <row r="534">
          <cell r="A534" t="str">
            <v>ASY-006798-02</v>
          </cell>
          <cell r="B534">
            <v>1</v>
          </cell>
          <cell r="C534" t="str">
            <v>SCW-000483-00</v>
          </cell>
          <cell r="D534" t="str">
            <v>SCREW, PHILIPS FLAT HEAD, M2.5x0.45x5 , 18-8 SST</v>
          </cell>
          <cell r="E534" t="str">
            <v>A</v>
          </cell>
          <cell r="F534" t="str">
            <v>Screw</v>
          </cell>
          <cell r="G534">
            <v>4</v>
          </cell>
          <cell r="H534">
            <v>0.02</v>
          </cell>
          <cell r="I534" t="str">
            <v>Buy</v>
          </cell>
        </row>
        <row r="535">
          <cell r="A535" t="str">
            <v>ASY-006798-02</v>
          </cell>
          <cell r="B535">
            <v>1</v>
          </cell>
          <cell r="C535" t="str">
            <v>SCW-000556-00</v>
          </cell>
          <cell r="D535" t="str">
            <v>SCREW, HEX, SERRATED, #8-32, GROUNDING, TROV 2</v>
          </cell>
          <cell r="E535" t="str">
            <v>A</v>
          </cell>
          <cell r="F535" t="str">
            <v>Screw</v>
          </cell>
          <cell r="G535">
            <v>1</v>
          </cell>
          <cell r="H535">
            <v>0.04</v>
          </cell>
          <cell r="I535" t="str">
            <v>Buy</v>
          </cell>
        </row>
        <row r="536">
          <cell r="A536" t="str">
            <v>ASY-006798-02</v>
          </cell>
          <cell r="B536">
            <v>1</v>
          </cell>
          <cell r="C536" t="str">
            <v>SCW-000574-00</v>
          </cell>
          <cell r="D536" t="str">
            <v>SCREW, TORX HEAD, 1/4-28x1/2", LOW PROFILE, ALLOY STEEL</v>
          </cell>
          <cell r="E536" t="str">
            <v>A</v>
          </cell>
          <cell r="F536" t="str">
            <v>Screw</v>
          </cell>
          <cell r="G536">
            <v>2</v>
          </cell>
          <cell r="H536">
            <v>0.14000000000000001</v>
          </cell>
          <cell r="I536" t="str">
            <v>Buy</v>
          </cell>
        </row>
        <row r="537">
          <cell r="A537" t="str">
            <v>ASY-006798-02</v>
          </cell>
          <cell r="B537">
            <v>1</v>
          </cell>
          <cell r="C537" t="str">
            <v>SHT-000042-00</v>
          </cell>
          <cell r="D537" t="str">
            <v>INSULATION SHEET, MP/LP HBA, TROV 2</v>
          </cell>
          <cell r="E537" t="str">
            <v>D</v>
          </cell>
          <cell r="F537" t="str">
            <v>Sheet</v>
          </cell>
          <cell r="G537">
            <v>1</v>
          </cell>
          <cell r="H537">
            <v>0.16</v>
          </cell>
          <cell r="I537" t="str">
            <v>Buy</v>
          </cell>
        </row>
        <row r="538">
          <cell r="A538" t="str">
            <v>ASY-006798-02</v>
          </cell>
          <cell r="B538">
            <v>1</v>
          </cell>
          <cell r="C538" t="str">
            <v>SPG-000023-00</v>
          </cell>
          <cell r="D538" t="str">
            <v>SPRING, DISC, STACKED WAVE, TROV 2.0</v>
          </cell>
          <cell r="E538" t="str">
            <v>A</v>
          </cell>
          <cell r="F538" t="str">
            <v>Spring</v>
          </cell>
          <cell r="G538">
            <v>2</v>
          </cell>
          <cell r="H538">
            <v>1.74</v>
          </cell>
          <cell r="I538" t="str">
            <v>Buy</v>
          </cell>
        </row>
        <row r="539">
          <cell r="A539" t="str">
            <v>ASY-006798-02</v>
          </cell>
          <cell r="B539">
            <v>1</v>
          </cell>
          <cell r="C539" t="str">
            <v>TAP-000031-00</v>
          </cell>
          <cell r="D539" t="str">
            <v>3M Electrical Tape 92</v>
          </cell>
          <cell r="E539" t="str">
            <v>A</v>
          </cell>
          <cell r="F539" t="str">
            <v>Tape</v>
          </cell>
          <cell r="G539">
            <v>120</v>
          </cell>
          <cell r="H539">
            <v>1.4E-2</v>
          </cell>
          <cell r="I539" t="str">
            <v>Buy</v>
          </cell>
        </row>
        <row r="540">
          <cell r="A540" t="str">
            <v>ASY-006798-02</v>
          </cell>
          <cell r="B540">
            <v>1</v>
          </cell>
          <cell r="C540" t="str">
            <v>TMP-000027-00</v>
          </cell>
          <cell r="D540" t="str">
            <v>Thermal Pad, LED PCBA, 1 FT, TROV 2</v>
          </cell>
          <cell r="E540" t="str">
            <v>B</v>
          </cell>
          <cell r="F540" t="str">
            <v>Thermal Pad</v>
          </cell>
          <cell r="G540">
            <v>1</v>
          </cell>
          <cell r="H540">
            <v>0.72</v>
          </cell>
          <cell r="I540" t="str">
            <v>Buy</v>
          </cell>
        </row>
        <row r="541">
          <cell r="A541" t="str">
            <v>ASY-006798-02</v>
          </cell>
          <cell r="B541">
            <v>1</v>
          </cell>
          <cell r="C541" t="str">
            <v>TMP-000029-00</v>
          </cell>
          <cell r="D541" t="str">
            <v>Thermal Pad, HBA, TROV 2</v>
          </cell>
          <cell r="E541" t="str">
            <v>B</v>
          </cell>
          <cell r="F541" t="str">
            <v>Thermal Pad</v>
          </cell>
          <cell r="G541">
            <v>2</v>
          </cell>
          <cell r="H541">
            <v>0.14000000000000001</v>
          </cell>
          <cell r="I541" t="str">
            <v>Buy</v>
          </cell>
        </row>
        <row r="542">
          <cell r="A542" t="str">
            <v>ASY-006798-03</v>
          </cell>
          <cell r="B542">
            <v>0</v>
          </cell>
          <cell r="C542" t="str">
            <v>ASY-006798-03</v>
          </cell>
          <cell r="D542" t="str">
            <v>ASSY, MECHANICAL, L45, OUTDOOR, 1 FT, TROV 2.0, BRONZE</v>
          </cell>
          <cell r="E542" t="str">
            <v>M</v>
          </cell>
          <cell r="F542" t="str">
            <v>Sub assembly</v>
          </cell>
          <cell r="H542">
            <v>0</v>
          </cell>
          <cell r="I542" t="str">
            <v>Make</v>
          </cell>
        </row>
        <row r="543">
          <cell r="A543" t="str">
            <v>ASY-006798-03</v>
          </cell>
          <cell r="B543">
            <v>1</v>
          </cell>
          <cell r="C543" t="str">
            <v>ACB-000261-00</v>
          </cell>
          <cell r="D543" t="str">
            <v>CABLE, ECOBUS, 24AWG, SHORT, TROV 2</v>
          </cell>
          <cell r="E543" t="str">
            <v>B</v>
          </cell>
          <cell r="F543" t="str">
            <v>Cable</v>
          </cell>
          <cell r="G543">
            <v>1</v>
          </cell>
          <cell r="H543">
            <v>0.76</v>
          </cell>
          <cell r="I543" t="str">
            <v>Buy</v>
          </cell>
        </row>
        <row r="544">
          <cell r="A544" t="str">
            <v>ASY-006798-03</v>
          </cell>
          <cell r="B544">
            <v>1</v>
          </cell>
          <cell r="C544" t="str">
            <v>ASY-100009-00</v>
          </cell>
          <cell r="D544" t="str">
            <v>Cable Subassembly, Driver housing, 1ft, Trov 2</v>
          </cell>
          <cell r="E544" t="str">
            <v>B</v>
          </cell>
          <cell r="F544" t="str">
            <v>Sub assembly</v>
          </cell>
          <cell r="G544">
            <v>1</v>
          </cell>
          <cell r="H544">
            <v>0</v>
          </cell>
          <cell r="I544" t="str">
            <v>Make</v>
          </cell>
        </row>
        <row r="545">
          <cell r="A545" t="str">
            <v>ASY-006798-03</v>
          </cell>
          <cell r="B545">
            <v>2</v>
          </cell>
          <cell r="C545" t="str">
            <v>ACB-000278-00</v>
          </cell>
          <cell r="D545" t="str">
            <v>CABLE ASSY, INTRA-FIXTURE, 1FT, TROV 2.0</v>
          </cell>
          <cell r="E545" t="str">
            <v>A</v>
          </cell>
          <cell r="F545" t="str">
            <v>Cable Assembly</v>
          </cell>
          <cell r="G545">
            <v>1</v>
          </cell>
          <cell r="H545">
            <v>12.75</v>
          </cell>
          <cell r="I545" t="str">
            <v>Buy</v>
          </cell>
        </row>
        <row r="546">
          <cell r="A546" t="str">
            <v>ASY-006798-03</v>
          </cell>
          <cell r="B546">
            <v>3</v>
          </cell>
          <cell r="C546" t="str">
            <v>ACB-000273-00</v>
          </cell>
          <cell r="D546" t="str">
            <v>6 CONDUCTOR CABLE, 3X22AWG, 3X16AWG, AL MYLAR, TROV 2</v>
          </cell>
          <cell r="E546" t="str">
            <v>A</v>
          </cell>
          <cell r="F546" t="str">
            <v>Cable</v>
          </cell>
          <cell r="G546">
            <v>1</v>
          </cell>
          <cell r="H546">
            <v>0</v>
          </cell>
          <cell r="I546" t="str">
            <v>N/A</v>
          </cell>
        </row>
        <row r="547">
          <cell r="A547" t="str">
            <v>ASY-006798-03</v>
          </cell>
          <cell r="B547">
            <v>3</v>
          </cell>
          <cell r="C547" t="str">
            <v>ACB-000274-01</v>
          </cell>
          <cell r="D547" t="str">
            <v>CABLE ASSEMBLY, INTERNAL, DRIVER SIDE, 1FT, TROV 2</v>
          </cell>
          <cell r="E547" t="str">
            <v>A</v>
          </cell>
          <cell r="F547" t="str">
            <v>Cable Assembly</v>
          </cell>
          <cell r="G547">
            <v>1</v>
          </cell>
          <cell r="H547">
            <v>0</v>
          </cell>
          <cell r="I547" t="str">
            <v>N/A</v>
          </cell>
        </row>
        <row r="548">
          <cell r="A548" t="str">
            <v>ASY-006798-03</v>
          </cell>
          <cell r="B548">
            <v>3</v>
          </cell>
          <cell r="C548" t="str">
            <v>CON-000259-00</v>
          </cell>
          <cell r="D548" t="str">
            <v>CONNECTOR, MALE, 6 PIN, TROV 2</v>
          </cell>
          <cell r="E548" t="str">
            <v>B</v>
          </cell>
          <cell r="F548" t="str">
            <v>Connector</v>
          </cell>
          <cell r="G548">
            <v>1</v>
          </cell>
          <cell r="H548">
            <v>0</v>
          </cell>
          <cell r="I548" t="str">
            <v>N/A</v>
          </cell>
        </row>
        <row r="549">
          <cell r="A549" t="str">
            <v>ASY-006798-03</v>
          </cell>
          <cell r="B549">
            <v>3</v>
          </cell>
          <cell r="C549" t="str">
            <v>CON-000260-00</v>
          </cell>
          <cell r="D549" t="str">
            <v>CONNECTOR, FEMALE, 6 PIN, TROV 2</v>
          </cell>
          <cell r="E549" t="str">
            <v>A</v>
          </cell>
          <cell r="F549" t="str">
            <v>Connector</v>
          </cell>
          <cell r="G549">
            <v>1</v>
          </cell>
          <cell r="H549">
            <v>0</v>
          </cell>
          <cell r="I549" t="str">
            <v>N/A</v>
          </cell>
        </row>
        <row r="550">
          <cell r="A550" t="str">
            <v>ASY-006798-03</v>
          </cell>
          <cell r="B550">
            <v>3</v>
          </cell>
          <cell r="C550" t="str">
            <v>ORG-000060-00</v>
          </cell>
          <cell r="D550" t="str">
            <v>O-RING, CABLE, TROV 2</v>
          </cell>
          <cell r="E550" t="str">
            <v>A</v>
          </cell>
          <cell r="F550" t="str">
            <v>O-Ring</v>
          </cell>
          <cell r="G550">
            <v>1</v>
          </cell>
          <cell r="H550">
            <v>0</v>
          </cell>
          <cell r="I550" t="str">
            <v>N/A</v>
          </cell>
        </row>
        <row r="551">
          <cell r="A551" t="str">
            <v>ASY-006798-03</v>
          </cell>
          <cell r="B551">
            <v>3</v>
          </cell>
          <cell r="C551" t="str">
            <v>SRF-000030-00</v>
          </cell>
          <cell r="D551" t="str">
            <v>STRAIN RELIEF, CABLE, TROV 2</v>
          </cell>
          <cell r="E551" t="str">
            <v>A</v>
          </cell>
          <cell r="F551" t="str">
            <v>Strain Relief</v>
          </cell>
          <cell r="G551">
            <v>1</v>
          </cell>
          <cell r="H551">
            <v>0</v>
          </cell>
          <cell r="I551" t="str">
            <v>N/A</v>
          </cell>
        </row>
        <row r="552">
          <cell r="A552" t="str">
            <v>ASY-006798-03</v>
          </cell>
          <cell r="B552">
            <v>2</v>
          </cell>
          <cell r="C552" t="str">
            <v>HSG-000488-01</v>
          </cell>
          <cell r="D552" t="str">
            <v>HOUSING, PSU, 1 FT, MOLDED HOLE, TROV 2.0</v>
          </cell>
          <cell r="E552" t="str">
            <v>B</v>
          </cell>
          <cell r="F552" t="str">
            <v>Housing</v>
          </cell>
          <cell r="G552">
            <v>1</v>
          </cell>
          <cell r="H552">
            <v>1.17</v>
          </cell>
          <cell r="I552" t="str">
            <v>Buy</v>
          </cell>
        </row>
        <row r="553">
          <cell r="A553" t="str">
            <v>ASY-006798-03</v>
          </cell>
          <cell r="B553">
            <v>2</v>
          </cell>
          <cell r="C553" t="str">
            <v>SCW-000577-00</v>
          </cell>
          <cell r="D553" t="str">
            <v>SCREW, TORX HEAD, LOW PROFILE, M3X8mm, ALLOY STEEL</v>
          </cell>
          <cell r="E553" t="str">
            <v>A</v>
          </cell>
          <cell r="F553" t="str">
            <v>Screw</v>
          </cell>
          <cell r="G553">
            <v>2</v>
          </cell>
          <cell r="H553">
            <v>0.03</v>
          </cell>
          <cell r="I553" t="str">
            <v>Buy</v>
          </cell>
        </row>
        <row r="554">
          <cell r="A554" t="str">
            <v>ASY-006798-03</v>
          </cell>
          <cell r="B554">
            <v>1</v>
          </cell>
          <cell r="C554" t="str">
            <v>BAS-000020-00</v>
          </cell>
          <cell r="D554" t="str">
            <v>BASE, 1FT, TROV 2.0</v>
          </cell>
          <cell r="E554" t="str">
            <v>E</v>
          </cell>
          <cell r="F554" t="str">
            <v>Base</v>
          </cell>
          <cell r="G554">
            <v>1</v>
          </cell>
          <cell r="H554">
            <v>5.8</v>
          </cell>
          <cell r="I554" t="str">
            <v>Buy</v>
          </cell>
        </row>
        <row r="555">
          <cell r="A555" t="str">
            <v>ASY-006798-03</v>
          </cell>
          <cell r="B555">
            <v>1</v>
          </cell>
          <cell r="C555" t="str">
            <v>BKT-000457-03</v>
          </cell>
          <cell r="D555" t="str">
            <v>BRACKET, MOUNT, LEFT, BLACK, TROV 2.0</v>
          </cell>
          <cell r="E555" t="str">
            <v>C</v>
          </cell>
          <cell r="F555" t="str">
            <v>Bracket</v>
          </cell>
          <cell r="G555">
            <v>1</v>
          </cell>
          <cell r="H555">
            <v>0.99</v>
          </cell>
          <cell r="I555" t="str">
            <v>Buy</v>
          </cell>
        </row>
        <row r="556">
          <cell r="A556" t="str">
            <v>ASY-006798-03</v>
          </cell>
          <cell r="B556">
            <v>1</v>
          </cell>
          <cell r="C556" t="str">
            <v>BKT-000458-03</v>
          </cell>
          <cell r="D556" t="str">
            <v>BRACKET, MOUNT, RIGHT, BLACK, TROV 2.0</v>
          </cell>
          <cell r="E556" t="str">
            <v>C</v>
          </cell>
          <cell r="F556" t="str">
            <v>Bracket</v>
          </cell>
          <cell r="G556">
            <v>1</v>
          </cell>
          <cell r="H556">
            <v>0.99</v>
          </cell>
          <cell r="I556" t="str">
            <v>Buy</v>
          </cell>
        </row>
        <row r="557">
          <cell r="A557" t="str">
            <v>ASY-006798-03</v>
          </cell>
          <cell r="B557">
            <v>1</v>
          </cell>
          <cell r="C557" t="str">
            <v>CVR-000791-02</v>
          </cell>
          <cell r="D557" t="str">
            <v>END COVER, FC, BRONZE, L45, TROV 2.0</v>
          </cell>
          <cell r="E557" t="str">
            <v>D</v>
          </cell>
          <cell r="F557" t="str">
            <v>Cover</v>
          </cell>
          <cell r="G557">
            <v>1</v>
          </cell>
          <cell r="H557">
            <v>1.07</v>
          </cell>
          <cell r="I557" t="str">
            <v>Buy</v>
          </cell>
        </row>
        <row r="558">
          <cell r="A558" t="str">
            <v>ASY-006798-03</v>
          </cell>
          <cell r="B558">
            <v>1</v>
          </cell>
          <cell r="C558" t="str">
            <v>CVR-000894-02</v>
          </cell>
          <cell r="D558" t="str">
            <v>END COVER, MC, BRONZE, L45, TROV 2.0</v>
          </cell>
          <cell r="E558" t="str">
            <v>B</v>
          </cell>
          <cell r="F558" t="str">
            <v>Cover</v>
          </cell>
          <cell r="G558">
            <v>1</v>
          </cell>
          <cell r="H558">
            <v>1.07</v>
          </cell>
          <cell r="I558" t="str">
            <v>Buy</v>
          </cell>
        </row>
        <row r="559">
          <cell r="A559" t="str">
            <v>ASY-006798-03</v>
          </cell>
          <cell r="B559">
            <v>1</v>
          </cell>
          <cell r="C559" t="str">
            <v>FOM-000029-00</v>
          </cell>
          <cell r="D559" t="str">
            <v>FOAM, LIGHTBLOCK, ENDCAP, L45, TROV2</v>
          </cell>
          <cell r="E559" t="str">
            <v>A</v>
          </cell>
          <cell r="F559" t="str">
            <v>Foam</v>
          </cell>
          <cell r="G559">
            <v>2</v>
          </cell>
          <cell r="H559">
            <v>0.02</v>
          </cell>
          <cell r="I559" t="str">
            <v>Buy</v>
          </cell>
        </row>
        <row r="560">
          <cell r="A560" t="str">
            <v>ASY-006798-03</v>
          </cell>
          <cell r="B560">
            <v>1</v>
          </cell>
          <cell r="C560" t="str">
            <v>GSK-000112-01</v>
          </cell>
          <cell r="D560" t="str">
            <v>GASKET, TERTIARY LENS, 3M, 1 FT, L45, TROV 2.0</v>
          </cell>
          <cell r="E560" t="str">
            <v>D</v>
          </cell>
          <cell r="F560" t="str">
            <v>Gasket</v>
          </cell>
          <cell r="G560">
            <v>1</v>
          </cell>
          <cell r="H560">
            <v>1.75</v>
          </cell>
          <cell r="I560" t="str">
            <v>Buy</v>
          </cell>
        </row>
        <row r="561">
          <cell r="A561" t="str">
            <v>ASY-006798-03</v>
          </cell>
          <cell r="B561">
            <v>1</v>
          </cell>
          <cell r="C561" t="str">
            <v>GSK-000121-01</v>
          </cell>
          <cell r="D561" t="str">
            <v>GASKET, DRIVER ENCLOSURE, 3M, 1 FT, TROV 2.0</v>
          </cell>
          <cell r="E561" t="str">
            <v>B</v>
          </cell>
          <cell r="F561" t="str">
            <v>Gasket</v>
          </cell>
          <cell r="G561">
            <v>1</v>
          </cell>
          <cell r="H561">
            <v>1.7</v>
          </cell>
          <cell r="I561" t="str">
            <v>Buy</v>
          </cell>
        </row>
        <row r="562">
          <cell r="A562" t="str">
            <v>ASY-006798-03</v>
          </cell>
          <cell r="B562">
            <v>1</v>
          </cell>
          <cell r="C562" t="str">
            <v>HSG-000491-02</v>
          </cell>
          <cell r="D562" t="str">
            <v>HOUSING, TOP, 1 FT, L45, BRONZE, TROV 2.0</v>
          </cell>
          <cell r="E562" t="str">
            <v>E</v>
          </cell>
          <cell r="F562" t="str">
            <v>Housing</v>
          </cell>
          <cell r="G562">
            <v>1</v>
          </cell>
          <cell r="H562">
            <v>0</v>
          </cell>
          <cell r="I562" t="str">
            <v>Buy</v>
          </cell>
        </row>
        <row r="563">
          <cell r="A563" t="str">
            <v>ASY-006798-03</v>
          </cell>
          <cell r="B563">
            <v>1</v>
          </cell>
          <cell r="C563" t="str">
            <v>HSG-000492-02</v>
          </cell>
          <cell r="D563" t="str">
            <v>HOUSING, BOTTOM, 1 FT, BRONZE, TROV 2.0</v>
          </cell>
          <cell r="E563" t="str">
            <v>F</v>
          </cell>
          <cell r="F563" t="str">
            <v>Housing</v>
          </cell>
          <cell r="G563">
            <v>1</v>
          </cell>
          <cell r="H563">
            <v>3.34</v>
          </cell>
          <cell r="I563" t="str">
            <v>Buy</v>
          </cell>
        </row>
        <row r="564">
          <cell r="A564" t="str">
            <v>ASY-006798-03</v>
          </cell>
          <cell r="B564">
            <v>1</v>
          </cell>
          <cell r="C564" t="str">
            <v>LBA-000003-00</v>
          </cell>
          <cell r="D564" t="str">
            <v>Label: TROV 2 P1/P2, Model L45/L60</v>
          </cell>
          <cell r="E564" t="str">
            <v>A</v>
          </cell>
          <cell r="F564" t="str">
            <v>Label BOM</v>
          </cell>
          <cell r="G564">
            <v>1</v>
          </cell>
          <cell r="H564">
            <v>0</v>
          </cell>
          <cell r="I564" t="str">
            <v>Make</v>
          </cell>
        </row>
        <row r="565">
          <cell r="A565" t="str">
            <v>ASY-006798-03</v>
          </cell>
          <cell r="B565">
            <v>2</v>
          </cell>
          <cell r="C565" t="str">
            <v>LBL-000243-00</v>
          </cell>
          <cell r="D565" t="str">
            <v>Blank Product Label: Trov 2 P1/P2, Model L45/L60</v>
          </cell>
          <cell r="E565" t="str">
            <v>A</v>
          </cell>
          <cell r="F565" t="str">
            <v>Label</v>
          </cell>
          <cell r="G565">
            <v>1</v>
          </cell>
          <cell r="H565">
            <v>0.33</v>
          </cell>
          <cell r="I565" t="str">
            <v>Buy</v>
          </cell>
        </row>
        <row r="566">
          <cell r="A566" t="str">
            <v>ASY-006798-03</v>
          </cell>
          <cell r="B566">
            <v>1</v>
          </cell>
          <cell r="C566" t="str">
            <v>PLG-000009-01</v>
          </cell>
          <cell r="D566" t="str">
            <v>Porex Vent, Trov, L50 Exterior</v>
          </cell>
          <cell r="E566" t="str">
            <v>B</v>
          </cell>
          <cell r="F566" t="str">
            <v>Plug</v>
          </cell>
          <cell r="G566">
            <v>1</v>
          </cell>
          <cell r="H566">
            <v>0.17</v>
          </cell>
          <cell r="I566" t="str">
            <v>Buy</v>
          </cell>
        </row>
        <row r="567">
          <cell r="A567" t="str">
            <v>ASY-006798-03</v>
          </cell>
          <cell r="B567">
            <v>1</v>
          </cell>
          <cell r="C567" t="str">
            <v>SCW-000156-00</v>
          </cell>
          <cell r="D567" t="str">
            <v>SCREW, M3 x 0.5 X 8mm, PAND HEAD, PHILLIPS, STEEL</v>
          </cell>
          <cell r="E567" t="str">
            <v>B</v>
          </cell>
          <cell r="F567" t="str">
            <v>Screw</v>
          </cell>
          <cell r="G567">
            <v>2</v>
          </cell>
          <cell r="H567">
            <v>4.4400000000000002E-2</v>
          </cell>
          <cell r="I567" t="str">
            <v>Buy</v>
          </cell>
        </row>
        <row r="568">
          <cell r="A568" t="str">
            <v>ASY-006798-03</v>
          </cell>
          <cell r="B568">
            <v>1</v>
          </cell>
          <cell r="C568" t="str">
            <v>SCW-000483-00</v>
          </cell>
          <cell r="D568" t="str">
            <v>SCREW, PHILIPS FLAT HEAD, M2.5x0.45x5 , 18-8 SST</v>
          </cell>
          <cell r="E568" t="str">
            <v>A</v>
          </cell>
          <cell r="F568" t="str">
            <v>Screw</v>
          </cell>
          <cell r="G568">
            <v>4</v>
          </cell>
          <cell r="H568">
            <v>0.02</v>
          </cell>
          <cell r="I568" t="str">
            <v>Buy</v>
          </cell>
        </row>
        <row r="569">
          <cell r="A569" t="str">
            <v>ASY-006798-03</v>
          </cell>
          <cell r="B569">
            <v>1</v>
          </cell>
          <cell r="C569" t="str">
            <v>SCW-000556-00</v>
          </cell>
          <cell r="D569" t="str">
            <v>SCREW, HEX, SERRATED, #8-32, GROUNDING, TROV 2</v>
          </cell>
          <cell r="E569" t="str">
            <v>A</v>
          </cell>
          <cell r="F569" t="str">
            <v>Screw</v>
          </cell>
          <cell r="G569">
            <v>1</v>
          </cell>
          <cell r="H569">
            <v>0.04</v>
          </cell>
          <cell r="I569" t="str">
            <v>Buy</v>
          </cell>
        </row>
        <row r="570">
          <cell r="A570" t="str">
            <v>ASY-006798-03</v>
          </cell>
          <cell r="B570">
            <v>1</v>
          </cell>
          <cell r="C570" t="str">
            <v>SCW-000574-00</v>
          </cell>
          <cell r="D570" t="str">
            <v>SCREW, TORX HEAD, 1/4-28x1/2", LOW PROFILE, ALLOY STEEL</v>
          </cell>
          <cell r="E570" t="str">
            <v>A</v>
          </cell>
          <cell r="F570" t="str">
            <v>Screw</v>
          </cell>
          <cell r="G570">
            <v>2</v>
          </cell>
          <cell r="H570">
            <v>0.14000000000000001</v>
          </cell>
          <cell r="I570" t="str">
            <v>Buy</v>
          </cell>
        </row>
        <row r="571">
          <cell r="A571" t="str">
            <v>ASY-006798-03</v>
          </cell>
          <cell r="B571">
            <v>1</v>
          </cell>
          <cell r="C571" t="str">
            <v>SHT-000042-00</v>
          </cell>
          <cell r="D571" t="str">
            <v>INSULATION SHEET, MP/LP HBA, TROV 2</v>
          </cell>
          <cell r="E571" t="str">
            <v>D</v>
          </cell>
          <cell r="F571" t="str">
            <v>Sheet</v>
          </cell>
          <cell r="G571">
            <v>1</v>
          </cell>
          <cell r="H571">
            <v>0.16</v>
          </cell>
          <cell r="I571" t="str">
            <v>Buy</v>
          </cell>
        </row>
        <row r="572">
          <cell r="A572" t="str">
            <v>ASY-006798-03</v>
          </cell>
          <cell r="B572">
            <v>1</v>
          </cell>
          <cell r="C572" t="str">
            <v>SPG-000023-00</v>
          </cell>
          <cell r="D572" t="str">
            <v>SPRING, DISC, STACKED WAVE, TROV 2.0</v>
          </cell>
          <cell r="E572" t="str">
            <v>A</v>
          </cell>
          <cell r="F572" t="str">
            <v>Spring</v>
          </cell>
          <cell r="G572">
            <v>2</v>
          </cell>
          <cell r="H572">
            <v>1.74</v>
          </cell>
          <cell r="I572" t="str">
            <v>Buy</v>
          </cell>
        </row>
        <row r="573">
          <cell r="A573" t="str">
            <v>ASY-006798-03</v>
          </cell>
          <cell r="B573">
            <v>1</v>
          </cell>
          <cell r="C573" t="str">
            <v>TAP-000031-00</v>
          </cell>
          <cell r="D573" t="str">
            <v>3M Electrical Tape 92</v>
          </cell>
          <cell r="E573" t="str">
            <v>A</v>
          </cell>
          <cell r="F573" t="str">
            <v>Tape</v>
          </cell>
          <cell r="G573">
            <v>120</v>
          </cell>
          <cell r="H573">
            <v>1.4E-2</v>
          </cell>
          <cell r="I573" t="str">
            <v>Buy</v>
          </cell>
        </row>
        <row r="574">
          <cell r="A574" t="str">
            <v>ASY-006798-03</v>
          </cell>
          <cell r="B574">
            <v>1</v>
          </cell>
          <cell r="C574" t="str">
            <v>TMP-000027-00</v>
          </cell>
          <cell r="D574" t="str">
            <v>Thermal Pad, LED PCBA, 1 FT, TROV 2</v>
          </cell>
          <cell r="E574" t="str">
            <v>B</v>
          </cell>
          <cell r="F574" t="str">
            <v>Thermal Pad</v>
          </cell>
          <cell r="G574">
            <v>1</v>
          </cell>
          <cell r="H574">
            <v>0.72</v>
          </cell>
          <cell r="I574" t="str">
            <v>Buy</v>
          </cell>
        </row>
        <row r="575">
          <cell r="A575" t="str">
            <v>ASY-006798-03</v>
          </cell>
          <cell r="B575">
            <v>1</v>
          </cell>
          <cell r="C575" t="str">
            <v>TMP-000029-00</v>
          </cell>
          <cell r="D575" t="str">
            <v>Thermal Pad, HBA, TROV 2</v>
          </cell>
          <cell r="E575" t="str">
            <v>B</v>
          </cell>
          <cell r="F575" t="str">
            <v>Thermal Pad</v>
          </cell>
          <cell r="G575">
            <v>2</v>
          </cell>
          <cell r="H575">
            <v>0.14000000000000001</v>
          </cell>
          <cell r="I575" t="str">
            <v>Buy</v>
          </cell>
        </row>
        <row r="576">
          <cell r="A576" t="str">
            <v>ASY-006798-04</v>
          </cell>
          <cell r="B576">
            <v>0</v>
          </cell>
          <cell r="C576" t="str">
            <v>ASY-006798-04</v>
          </cell>
          <cell r="D576" t="str">
            <v>ASSY, MECHANICAL, L45, OUTDOOR, 1 FT, TROV 2.0, CUSTOM FINISH</v>
          </cell>
          <cell r="E576" t="str">
            <v>R</v>
          </cell>
          <cell r="F576" t="str">
            <v>Sub assembly</v>
          </cell>
          <cell r="H576">
            <v>0</v>
          </cell>
          <cell r="I576" t="str">
            <v>Make</v>
          </cell>
        </row>
        <row r="577">
          <cell r="A577" t="str">
            <v>ASY-006798-04</v>
          </cell>
          <cell r="B577">
            <v>1</v>
          </cell>
          <cell r="C577" t="str">
            <v>ACB-000261-00</v>
          </cell>
          <cell r="D577" t="str">
            <v>CABLE, ECOBUS, 24AWG, SHORT, TROV 2</v>
          </cell>
          <cell r="E577" t="str">
            <v>B</v>
          </cell>
          <cell r="F577" t="str">
            <v>Cable</v>
          </cell>
          <cell r="G577">
            <v>1</v>
          </cell>
          <cell r="H577">
            <v>0.76</v>
          </cell>
          <cell r="I577" t="str">
            <v>Buy</v>
          </cell>
        </row>
        <row r="578">
          <cell r="A578" t="str">
            <v>ASY-006798-04</v>
          </cell>
          <cell r="B578">
            <v>1</v>
          </cell>
          <cell r="C578" t="str">
            <v>ASY-100009-00</v>
          </cell>
          <cell r="D578" t="str">
            <v>Cable Subassembly, Driver housing, 1ft, Trov 2</v>
          </cell>
          <cell r="E578" t="str">
            <v>B</v>
          </cell>
          <cell r="F578" t="str">
            <v>Sub assembly</v>
          </cell>
          <cell r="G578">
            <v>1</v>
          </cell>
          <cell r="H578">
            <v>0</v>
          </cell>
          <cell r="I578" t="str">
            <v>Make</v>
          </cell>
        </row>
        <row r="579">
          <cell r="A579" t="str">
            <v>ASY-006798-04</v>
          </cell>
          <cell r="B579">
            <v>2</v>
          </cell>
          <cell r="C579" t="str">
            <v>ACB-000278-00</v>
          </cell>
          <cell r="D579" t="str">
            <v>CABLE ASSY, INTRA-FIXTURE, 1FT, TROV 2.0</v>
          </cell>
          <cell r="E579" t="str">
            <v>A</v>
          </cell>
          <cell r="F579" t="str">
            <v>Cable Assembly</v>
          </cell>
          <cell r="G579">
            <v>1</v>
          </cell>
          <cell r="H579">
            <v>12.75</v>
          </cell>
          <cell r="I579" t="str">
            <v>Buy</v>
          </cell>
        </row>
        <row r="580">
          <cell r="A580" t="str">
            <v>ASY-006798-04</v>
          </cell>
          <cell r="B580">
            <v>3</v>
          </cell>
          <cell r="C580" t="str">
            <v>ACB-000273-00</v>
          </cell>
          <cell r="D580" t="str">
            <v>6 CONDUCTOR CABLE, 3X22AWG, 3X16AWG, AL MYLAR, TROV 2</v>
          </cell>
          <cell r="E580" t="str">
            <v>A</v>
          </cell>
          <cell r="F580" t="str">
            <v>Cable</v>
          </cell>
          <cell r="G580">
            <v>1</v>
          </cell>
          <cell r="H580">
            <v>0</v>
          </cell>
          <cell r="I580" t="str">
            <v>N/A</v>
          </cell>
        </row>
        <row r="581">
          <cell r="A581" t="str">
            <v>ASY-006798-04</v>
          </cell>
          <cell r="B581">
            <v>3</v>
          </cell>
          <cell r="C581" t="str">
            <v>ACB-000274-01</v>
          </cell>
          <cell r="D581" t="str">
            <v>CABLE ASSEMBLY, INTERNAL, DRIVER SIDE, 1FT, TROV 2</v>
          </cell>
          <cell r="E581" t="str">
            <v>A</v>
          </cell>
          <cell r="F581" t="str">
            <v>Cable Assembly</v>
          </cell>
          <cell r="G581">
            <v>1</v>
          </cell>
          <cell r="H581">
            <v>0</v>
          </cell>
          <cell r="I581" t="str">
            <v>N/A</v>
          </cell>
        </row>
        <row r="582">
          <cell r="A582" t="str">
            <v>ASY-006798-04</v>
          </cell>
          <cell r="B582">
            <v>3</v>
          </cell>
          <cell r="C582" t="str">
            <v>CON-000259-00</v>
          </cell>
          <cell r="D582" t="str">
            <v>CONNECTOR, MALE, 6 PIN, TROV 2</v>
          </cell>
          <cell r="E582" t="str">
            <v>B</v>
          </cell>
          <cell r="F582" t="str">
            <v>Connector</v>
          </cell>
          <cell r="G582">
            <v>1</v>
          </cell>
          <cell r="H582">
            <v>0</v>
          </cell>
          <cell r="I582" t="str">
            <v>N/A</v>
          </cell>
        </row>
        <row r="583">
          <cell r="A583" t="str">
            <v>ASY-006798-04</v>
          </cell>
          <cell r="B583">
            <v>3</v>
          </cell>
          <cell r="C583" t="str">
            <v>CON-000260-00</v>
          </cell>
          <cell r="D583" t="str">
            <v>CONNECTOR, FEMALE, 6 PIN, TROV 2</v>
          </cell>
          <cell r="E583" t="str">
            <v>A</v>
          </cell>
          <cell r="F583" t="str">
            <v>Connector</v>
          </cell>
          <cell r="G583">
            <v>1</v>
          </cell>
          <cell r="H583">
            <v>0</v>
          </cell>
          <cell r="I583" t="str">
            <v>N/A</v>
          </cell>
        </row>
        <row r="584">
          <cell r="A584" t="str">
            <v>ASY-006798-04</v>
          </cell>
          <cell r="B584">
            <v>3</v>
          </cell>
          <cell r="C584" t="str">
            <v>ORG-000060-00</v>
          </cell>
          <cell r="D584" t="str">
            <v>O-RING, CABLE, TROV 2</v>
          </cell>
          <cell r="E584" t="str">
            <v>A</v>
          </cell>
          <cell r="F584" t="str">
            <v>O-Ring</v>
          </cell>
          <cell r="G584">
            <v>1</v>
          </cell>
          <cell r="H584">
            <v>0</v>
          </cell>
          <cell r="I584" t="str">
            <v>N/A</v>
          </cell>
        </row>
        <row r="585">
          <cell r="A585" t="str">
            <v>ASY-006798-04</v>
          </cell>
          <cell r="B585">
            <v>3</v>
          </cell>
          <cell r="C585" t="str">
            <v>SRF-000030-00</v>
          </cell>
          <cell r="D585" t="str">
            <v>STRAIN RELIEF, CABLE, TROV 2</v>
          </cell>
          <cell r="E585" t="str">
            <v>A</v>
          </cell>
          <cell r="F585" t="str">
            <v>Strain Relief</v>
          </cell>
          <cell r="G585">
            <v>1</v>
          </cell>
          <cell r="H585">
            <v>0</v>
          </cell>
          <cell r="I585" t="str">
            <v>N/A</v>
          </cell>
        </row>
        <row r="586">
          <cell r="A586" t="str">
            <v>ASY-006798-04</v>
          </cell>
          <cell r="B586">
            <v>2</v>
          </cell>
          <cell r="C586" t="str">
            <v>HSG-000488-01</v>
          </cell>
          <cell r="D586" t="str">
            <v>HOUSING, PSU, 1 FT, MOLDED HOLE, TROV 2.0</v>
          </cell>
          <cell r="E586" t="str">
            <v>B</v>
          </cell>
          <cell r="F586" t="str">
            <v>Housing</v>
          </cell>
          <cell r="G586">
            <v>1</v>
          </cell>
          <cell r="H586">
            <v>1.17</v>
          </cell>
          <cell r="I586" t="str">
            <v>Buy</v>
          </cell>
        </row>
        <row r="587">
          <cell r="A587" t="str">
            <v>ASY-006798-04</v>
          </cell>
          <cell r="B587">
            <v>2</v>
          </cell>
          <cell r="C587" t="str">
            <v>SCW-000577-00</v>
          </cell>
          <cell r="D587" t="str">
            <v>SCREW, TORX HEAD, LOW PROFILE, M3X8mm, ALLOY STEEL</v>
          </cell>
          <cell r="E587" t="str">
            <v>A</v>
          </cell>
          <cell r="F587" t="str">
            <v>Screw</v>
          </cell>
          <cell r="G587">
            <v>2</v>
          </cell>
          <cell r="H587">
            <v>0.03</v>
          </cell>
          <cell r="I587" t="str">
            <v>Buy</v>
          </cell>
        </row>
        <row r="588">
          <cell r="A588" t="str">
            <v>ASY-006798-04</v>
          </cell>
          <cell r="B588">
            <v>1</v>
          </cell>
          <cell r="C588" t="str">
            <v>BAS-000020-00</v>
          </cell>
          <cell r="D588" t="str">
            <v>BASE, 1FT, TROV 2.0</v>
          </cell>
          <cell r="E588" t="str">
            <v>E</v>
          </cell>
          <cell r="F588" t="str">
            <v>Base</v>
          </cell>
          <cell r="G588">
            <v>1</v>
          </cell>
          <cell r="H588">
            <v>5.8</v>
          </cell>
          <cell r="I588" t="str">
            <v>Buy</v>
          </cell>
        </row>
        <row r="589">
          <cell r="A589" t="str">
            <v>ASY-006798-04</v>
          </cell>
          <cell r="B589">
            <v>1</v>
          </cell>
          <cell r="C589" t="str">
            <v>BKT-000457-03</v>
          </cell>
          <cell r="D589" t="str">
            <v>BRACKET, MOUNT, LEFT, BLACK, TROV 2.0</v>
          </cell>
          <cell r="E589" t="str">
            <v>C</v>
          </cell>
          <cell r="F589" t="str">
            <v>Bracket</v>
          </cell>
          <cell r="G589">
            <v>1</v>
          </cell>
          <cell r="H589">
            <v>0.99</v>
          </cell>
          <cell r="I589" t="str">
            <v>Buy</v>
          </cell>
        </row>
        <row r="590">
          <cell r="A590" t="str">
            <v>ASY-006798-04</v>
          </cell>
          <cell r="B590">
            <v>1</v>
          </cell>
          <cell r="C590" t="str">
            <v>BKT-000458-03</v>
          </cell>
          <cell r="D590" t="str">
            <v>BRACKET, MOUNT, RIGHT, BLACK, TROV 2.0</v>
          </cell>
          <cell r="E590" t="str">
            <v>C</v>
          </cell>
          <cell r="F590" t="str">
            <v>Bracket</v>
          </cell>
          <cell r="G590">
            <v>1</v>
          </cell>
          <cell r="H590">
            <v>0.99</v>
          </cell>
          <cell r="I590" t="str">
            <v>Buy</v>
          </cell>
        </row>
        <row r="591">
          <cell r="A591" t="str">
            <v>ASY-006798-04</v>
          </cell>
          <cell r="B591">
            <v>1</v>
          </cell>
          <cell r="C591" t="str">
            <v>CVR-000791-0C</v>
          </cell>
          <cell r="D591" t="str">
            <v>END COVER, FC, CUSTOM FINISH, L45, TROV 2.0</v>
          </cell>
          <cell r="E591" t="str">
            <v>E</v>
          </cell>
          <cell r="F591" t="str">
            <v>Cover</v>
          </cell>
          <cell r="G591">
            <v>1</v>
          </cell>
          <cell r="H591">
            <v>0</v>
          </cell>
          <cell r="I591" t="str">
            <v>Buy</v>
          </cell>
        </row>
        <row r="592">
          <cell r="A592" t="str">
            <v>ASY-006798-04</v>
          </cell>
          <cell r="B592">
            <v>1</v>
          </cell>
          <cell r="C592" t="str">
            <v>CVR-000894-0C</v>
          </cell>
          <cell r="D592" t="str">
            <v>END COVER, MC, CUSTOM FINISH, L45, TROV 2.0</v>
          </cell>
          <cell r="E592" t="str">
            <v>C</v>
          </cell>
          <cell r="F592" t="str">
            <v>Cover</v>
          </cell>
          <cell r="G592">
            <v>1</v>
          </cell>
          <cell r="H592">
            <v>0</v>
          </cell>
          <cell r="I592" t="str">
            <v>Buy</v>
          </cell>
        </row>
        <row r="593">
          <cell r="A593" t="str">
            <v>ASY-006798-04</v>
          </cell>
          <cell r="B593">
            <v>1</v>
          </cell>
          <cell r="C593" t="str">
            <v>FOM-000029-00</v>
          </cell>
          <cell r="D593" t="str">
            <v>FOAM, LIGHTBLOCK, ENDCAP, L45, TROV2</v>
          </cell>
          <cell r="E593" t="str">
            <v>A</v>
          </cell>
          <cell r="F593" t="str">
            <v>Foam</v>
          </cell>
          <cell r="G593">
            <v>2</v>
          </cell>
          <cell r="H593">
            <v>0.02</v>
          </cell>
          <cell r="I593" t="str">
            <v>Buy</v>
          </cell>
        </row>
        <row r="594">
          <cell r="A594" t="str">
            <v>ASY-006798-04</v>
          </cell>
          <cell r="B594">
            <v>1</v>
          </cell>
          <cell r="C594" t="str">
            <v>GSK-000112-01</v>
          </cell>
          <cell r="D594" t="str">
            <v>GASKET, TERTIARY LENS, 3M, 1 FT, L45, TROV 2.0</v>
          </cell>
          <cell r="E594" t="str">
            <v>D</v>
          </cell>
          <cell r="F594" t="str">
            <v>Gasket</v>
          </cell>
          <cell r="G594">
            <v>1</v>
          </cell>
          <cell r="H594">
            <v>1.75</v>
          </cell>
          <cell r="I594" t="str">
            <v>Buy</v>
          </cell>
        </row>
        <row r="595">
          <cell r="A595" t="str">
            <v>ASY-006798-04</v>
          </cell>
          <cell r="B595">
            <v>1</v>
          </cell>
          <cell r="C595" t="str">
            <v>GSK-000121-01</v>
          </cell>
          <cell r="D595" t="str">
            <v>GASKET, DRIVER ENCLOSURE, 3M, 1 FT, TROV 2.0</v>
          </cell>
          <cell r="E595" t="str">
            <v>B</v>
          </cell>
          <cell r="F595" t="str">
            <v>Gasket</v>
          </cell>
          <cell r="G595">
            <v>1</v>
          </cell>
          <cell r="H595">
            <v>1.7</v>
          </cell>
          <cell r="I595" t="str">
            <v>Buy</v>
          </cell>
        </row>
        <row r="596">
          <cell r="A596" t="str">
            <v>ASY-006798-04</v>
          </cell>
          <cell r="B596">
            <v>1</v>
          </cell>
          <cell r="C596" t="str">
            <v>HSG-000491-0C</v>
          </cell>
          <cell r="D596" t="str">
            <v>HOUSING, TOP, 1 FT, L45, CUSTOM FINISH, TROV 2.0</v>
          </cell>
          <cell r="E596" t="str">
            <v>E</v>
          </cell>
          <cell r="F596" t="str">
            <v>Housing</v>
          </cell>
          <cell r="G596">
            <v>1</v>
          </cell>
          <cell r="H596">
            <v>0</v>
          </cell>
          <cell r="I596" t="str">
            <v>Buy</v>
          </cell>
        </row>
        <row r="597">
          <cell r="A597" t="str">
            <v>ASY-006798-04</v>
          </cell>
          <cell r="B597">
            <v>1</v>
          </cell>
          <cell r="C597" t="str">
            <v>HSG-000492-0C</v>
          </cell>
          <cell r="D597" t="str">
            <v>HOUSING, BOTTOM, 1 FT, CUSTOM FINISH, TROV 2.0</v>
          </cell>
          <cell r="E597" t="str">
            <v>F</v>
          </cell>
          <cell r="F597" t="str">
            <v>Housing</v>
          </cell>
          <cell r="G597">
            <v>1</v>
          </cell>
          <cell r="H597">
            <v>3.34</v>
          </cell>
          <cell r="I597" t="str">
            <v>Buy</v>
          </cell>
        </row>
        <row r="598">
          <cell r="A598" t="str">
            <v>ASY-006798-04</v>
          </cell>
          <cell r="B598">
            <v>1</v>
          </cell>
          <cell r="C598" t="str">
            <v>LBA-000003-00</v>
          </cell>
          <cell r="D598" t="str">
            <v>Label: TROV 2 P1/P2, Model L45/L60</v>
          </cell>
          <cell r="E598" t="str">
            <v>A</v>
          </cell>
          <cell r="F598" t="str">
            <v>Label BOM</v>
          </cell>
          <cell r="G598">
            <v>1</v>
          </cell>
          <cell r="H598">
            <v>0</v>
          </cell>
          <cell r="I598" t="str">
            <v>Make</v>
          </cell>
        </row>
        <row r="599">
          <cell r="A599" t="str">
            <v>ASY-006798-04</v>
          </cell>
          <cell r="B599">
            <v>2</v>
          </cell>
          <cell r="C599" t="str">
            <v>LBL-000243-00</v>
          </cell>
          <cell r="D599" t="str">
            <v>Blank Product Label: Trov 2 P1/P2, Model L45/L60</v>
          </cell>
          <cell r="E599" t="str">
            <v>A</v>
          </cell>
          <cell r="F599" t="str">
            <v>Label</v>
          </cell>
          <cell r="G599">
            <v>1</v>
          </cell>
          <cell r="H599">
            <v>0.33</v>
          </cell>
          <cell r="I599" t="str">
            <v>Buy</v>
          </cell>
        </row>
        <row r="600">
          <cell r="A600" t="str">
            <v>ASY-006798-04</v>
          </cell>
          <cell r="B600">
            <v>1</v>
          </cell>
          <cell r="C600" t="str">
            <v>PLG-000009-01</v>
          </cell>
          <cell r="D600" t="str">
            <v>Porex Vent, Trov, L50 Exterior</v>
          </cell>
          <cell r="E600" t="str">
            <v>B</v>
          </cell>
          <cell r="F600" t="str">
            <v>Plug</v>
          </cell>
          <cell r="G600">
            <v>1</v>
          </cell>
          <cell r="H600">
            <v>0.17</v>
          </cell>
          <cell r="I600" t="str">
            <v>Buy</v>
          </cell>
        </row>
        <row r="601">
          <cell r="A601" t="str">
            <v>ASY-006798-04</v>
          </cell>
          <cell r="B601">
            <v>1</v>
          </cell>
          <cell r="C601" t="str">
            <v>SCW-000156-00</v>
          </cell>
          <cell r="D601" t="str">
            <v>SCREW, M3 x 0.5 X 8mm, PAND HEAD, PHILLIPS, STEEL</v>
          </cell>
          <cell r="E601" t="str">
            <v>B</v>
          </cell>
          <cell r="F601" t="str">
            <v>Screw</v>
          </cell>
          <cell r="G601">
            <v>2</v>
          </cell>
          <cell r="H601">
            <v>4.4400000000000002E-2</v>
          </cell>
          <cell r="I601" t="str">
            <v>Buy</v>
          </cell>
        </row>
        <row r="602">
          <cell r="A602" t="str">
            <v>ASY-006798-04</v>
          </cell>
          <cell r="B602">
            <v>1</v>
          </cell>
          <cell r="C602" t="str">
            <v>SCW-000483-00</v>
          </cell>
          <cell r="D602" t="str">
            <v>SCREW, PHILIPS FLAT HEAD, M2.5x0.45x5 , 18-8 SST</v>
          </cell>
          <cell r="E602" t="str">
            <v>A</v>
          </cell>
          <cell r="F602" t="str">
            <v>Screw</v>
          </cell>
          <cell r="G602">
            <v>4</v>
          </cell>
          <cell r="H602">
            <v>0.02</v>
          </cell>
          <cell r="I602" t="str">
            <v>Buy</v>
          </cell>
        </row>
        <row r="603">
          <cell r="A603" t="str">
            <v>ASY-006798-04</v>
          </cell>
          <cell r="B603">
            <v>1</v>
          </cell>
          <cell r="C603" t="str">
            <v>SCW-000556-00</v>
          </cell>
          <cell r="D603" t="str">
            <v>SCREW, HEX, SERRATED, #8-32, GROUNDING, TROV 2</v>
          </cell>
          <cell r="E603" t="str">
            <v>A</v>
          </cell>
          <cell r="F603" t="str">
            <v>Screw</v>
          </cell>
          <cell r="G603">
            <v>1</v>
          </cell>
          <cell r="H603">
            <v>0.04</v>
          </cell>
          <cell r="I603" t="str">
            <v>Buy</v>
          </cell>
        </row>
        <row r="604">
          <cell r="A604" t="str">
            <v>ASY-006798-04</v>
          </cell>
          <cell r="B604">
            <v>1</v>
          </cell>
          <cell r="C604" t="str">
            <v>SCW-000574-00</v>
          </cell>
          <cell r="D604" t="str">
            <v>SCREW, TORX HEAD, 1/4-28x1/2", LOW PROFILE, ALLOY STEEL</v>
          </cell>
          <cell r="E604" t="str">
            <v>A</v>
          </cell>
          <cell r="F604" t="str">
            <v>Screw</v>
          </cell>
          <cell r="G604">
            <v>2</v>
          </cell>
          <cell r="H604">
            <v>0.14000000000000001</v>
          </cell>
          <cell r="I604" t="str">
            <v>Buy</v>
          </cell>
        </row>
        <row r="605">
          <cell r="A605" t="str">
            <v>ASY-006798-04</v>
          </cell>
          <cell r="B605">
            <v>1</v>
          </cell>
          <cell r="C605" t="str">
            <v>SHT-000042-00</v>
          </cell>
          <cell r="D605" t="str">
            <v>INSULATION SHEET, MP/LP HBA, TROV 2</v>
          </cell>
          <cell r="E605" t="str">
            <v>D</v>
          </cell>
          <cell r="F605" t="str">
            <v>Sheet</v>
          </cell>
          <cell r="G605">
            <v>1</v>
          </cell>
          <cell r="H605">
            <v>0.16</v>
          </cell>
          <cell r="I605" t="str">
            <v>Buy</v>
          </cell>
        </row>
        <row r="606">
          <cell r="A606" t="str">
            <v>ASY-006798-04</v>
          </cell>
          <cell r="B606">
            <v>1</v>
          </cell>
          <cell r="C606" t="str">
            <v>SPG-000023-00</v>
          </cell>
          <cell r="D606" t="str">
            <v>SPRING, DISC, STACKED WAVE, TROV 2.0</v>
          </cell>
          <cell r="E606" t="str">
            <v>A</v>
          </cell>
          <cell r="F606" t="str">
            <v>Spring</v>
          </cell>
          <cell r="G606">
            <v>2</v>
          </cell>
          <cell r="H606">
            <v>1.74</v>
          </cell>
          <cell r="I606" t="str">
            <v>Buy</v>
          </cell>
        </row>
        <row r="607">
          <cell r="A607" t="str">
            <v>ASY-006798-04</v>
          </cell>
          <cell r="B607">
            <v>1</v>
          </cell>
          <cell r="C607" t="str">
            <v>TAP-000031-00</v>
          </cell>
          <cell r="D607" t="str">
            <v>3M Electrical Tape 92</v>
          </cell>
          <cell r="E607" t="str">
            <v>A</v>
          </cell>
          <cell r="F607" t="str">
            <v>Tape</v>
          </cell>
          <cell r="G607">
            <v>120</v>
          </cell>
          <cell r="H607">
            <v>1.4E-2</v>
          </cell>
          <cell r="I607" t="str">
            <v>Buy</v>
          </cell>
        </row>
        <row r="608">
          <cell r="A608" t="str">
            <v>ASY-006798-04</v>
          </cell>
          <cell r="B608">
            <v>1</v>
          </cell>
          <cell r="C608" t="str">
            <v>TMP-000027-00</v>
          </cell>
          <cell r="D608" t="str">
            <v>Thermal Pad, LED PCBA, 1 FT, TROV 2</v>
          </cell>
          <cell r="E608" t="str">
            <v>B</v>
          </cell>
          <cell r="F608" t="str">
            <v>Thermal Pad</v>
          </cell>
          <cell r="G608">
            <v>1</v>
          </cell>
          <cell r="H608">
            <v>0.72</v>
          </cell>
          <cell r="I608" t="str">
            <v>Buy</v>
          </cell>
        </row>
        <row r="609">
          <cell r="A609" t="str">
            <v>ASY-006798-04</v>
          </cell>
          <cell r="B609">
            <v>1</v>
          </cell>
          <cell r="C609" t="str">
            <v>TMP-000029-00</v>
          </cell>
          <cell r="D609" t="str">
            <v>Thermal Pad, HBA, TROV 2</v>
          </cell>
          <cell r="E609" t="str">
            <v>B</v>
          </cell>
          <cell r="F609" t="str">
            <v>Thermal Pad</v>
          </cell>
          <cell r="G609">
            <v>2</v>
          </cell>
          <cell r="H609">
            <v>0.14000000000000001</v>
          </cell>
          <cell r="I609" t="str">
            <v>Buy</v>
          </cell>
        </row>
        <row r="610">
          <cell r="A610" t="str">
            <v>ASY-006799-00</v>
          </cell>
          <cell r="B610">
            <v>0</v>
          </cell>
          <cell r="C610" t="str">
            <v>ASY-006799-00</v>
          </cell>
          <cell r="D610" t="str">
            <v>ASSY, MECHANICAL, L45, OUTDOOR, 4 FT, TROV 2.0, SILVER</v>
          </cell>
          <cell r="E610" t="str">
            <v>P</v>
          </cell>
          <cell r="F610" t="str">
            <v>Sub assembly</v>
          </cell>
          <cell r="H610">
            <v>0</v>
          </cell>
          <cell r="I610" t="str">
            <v>Make</v>
          </cell>
        </row>
        <row r="611">
          <cell r="A611" t="str">
            <v>ASY-006799-00</v>
          </cell>
          <cell r="B611">
            <v>1</v>
          </cell>
          <cell r="C611" t="str">
            <v>ACB-000261-00</v>
          </cell>
          <cell r="D611" t="str">
            <v>CABLE, ECOBUS, 24AWG, SHORT, TROV 2</v>
          </cell>
          <cell r="E611" t="str">
            <v>B</v>
          </cell>
          <cell r="F611" t="str">
            <v>Cable</v>
          </cell>
          <cell r="G611">
            <v>1</v>
          </cell>
          <cell r="H611">
            <v>0.76</v>
          </cell>
          <cell r="I611" t="str">
            <v>Buy</v>
          </cell>
        </row>
        <row r="612">
          <cell r="A612" t="str">
            <v>ASY-006799-00</v>
          </cell>
          <cell r="B612">
            <v>1</v>
          </cell>
          <cell r="C612" t="str">
            <v>ACB-000261-01</v>
          </cell>
          <cell r="D612" t="str">
            <v>CABLE, ECOBUS, 24AWG, LONG, TROV 2</v>
          </cell>
          <cell r="E612" t="str">
            <v>B</v>
          </cell>
          <cell r="F612" t="str">
            <v>Cable</v>
          </cell>
          <cell r="G612">
            <v>1</v>
          </cell>
          <cell r="H612">
            <v>0.82</v>
          </cell>
          <cell r="I612" t="str">
            <v>Buy</v>
          </cell>
        </row>
        <row r="613">
          <cell r="A613" t="str">
            <v>ASY-006799-00</v>
          </cell>
          <cell r="B613">
            <v>1</v>
          </cell>
          <cell r="C613" t="str">
            <v>ASY-100008-00</v>
          </cell>
          <cell r="D613" t="str">
            <v>Cable Subassembly, Driver housing, 4ft, Trov 2</v>
          </cell>
          <cell r="E613" t="str">
            <v>A</v>
          </cell>
          <cell r="F613" t="str">
            <v>Sub assembly</v>
          </cell>
          <cell r="G613">
            <v>1</v>
          </cell>
          <cell r="H613">
            <v>0</v>
          </cell>
          <cell r="I613" t="str">
            <v>Make</v>
          </cell>
        </row>
        <row r="614">
          <cell r="A614" t="str">
            <v>ASY-006799-00</v>
          </cell>
          <cell r="B614">
            <v>2</v>
          </cell>
          <cell r="C614" t="str">
            <v>ACB-000272-00</v>
          </cell>
          <cell r="D614" t="str">
            <v>CABLE ASSY, INTRA-FIXTURE, 4FT, TROV 2.0</v>
          </cell>
          <cell r="E614" t="str">
            <v>B</v>
          </cell>
          <cell r="F614" t="str">
            <v>Cable Assembly</v>
          </cell>
          <cell r="G614">
            <v>1</v>
          </cell>
          <cell r="H614">
            <v>20.420000000000002</v>
          </cell>
          <cell r="I614" t="str">
            <v>Buy</v>
          </cell>
        </row>
        <row r="615">
          <cell r="A615" t="str">
            <v>ASY-006799-00</v>
          </cell>
          <cell r="B615">
            <v>3</v>
          </cell>
          <cell r="C615" t="str">
            <v>ACB-000273-00</v>
          </cell>
          <cell r="D615" t="str">
            <v>6 CONDUCTOR CABLE, 3X22AWG, 3X16AWG, AL MYLAR, TROV 2</v>
          </cell>
          <cell r="E615" t="str">
            <v>A</v>
          </cell>
          <cell r="F615" t="str">
            <v>Cable</v>
          </cell>
          <cell r="G615">
            <v>1</v>
          </cell>
          <cell r="H615">
            <v>0</v>
          </cell>
          <cell r="I615" t="str">
            <v>N/A</v>
          </cell>
        </row>
        <row r="616">
          <cell r="A616" t="str">
            <v>ASY-006799-00</v>
          </cell>
          <cell r="B616">
            <v>3</v>
          </cell>
          <cell r="C616" t="str">
            <v>ACB-000274-00</v>
          </cell>
          <cell r="D616" t="str">
            <v>CABLE ASSEMBLY, INTERNAL, DRIVER SIDE, 4FT, TROV 2</v>
          </cell>
          <cell r="E616" t="str">
            <v>A</v>
          </cell>
          <cell r="F616" t="str">
            <v>Cable Assembly</v>
          </cell>
          <cell r="G616">
            <v>1</v>
          </cell>
          <cell r="H616">
            <v>0</v>
          </cell>
          <cell r="I616" t="str">
            <v>N/A</v>
          </cell>
        </row>
        <row r="617">
          <cell r="A617" t="str">
            <v>ASY-006799-00</v>
          </cell>
          <cell r="B617">
            <v>3</v>
          </cell>
          <cell r="C617" t="str">
            <v>CON-000259-00</v>
          </cell>
          <cell r="D617" t="str">
            <v>CONNECTOR, MALE, 6 PIN, TROV 2</v>
          </cell>
          <cell r="E617" t="str">
            <v>B</v>
          </cell>
          <cell r="F617" t="str">
            <v>Connector</v>
          </cell>
          <cell r="G617">
            <v>1</v>
          </cell>
          <cell r="H617">
            <v>0</v>
          </cell>
          <cell r="I617" t="str">
            <v>N/A</v>
          </cell>
        </row>
        <row r="618">
          <cell r="A618" t="str">
            <v>ASY-006799-00</v>
          </cell>
          <cell r="B618">
            <v>3</v>
          </cell>
          <cell r="C618" t="str">
            <v>CON-000260-00</v>
          </cell>
          <cell r="D618" t="str">
            <v>CONNECTOR, FEMALE, 6 PIN, TROV 2</v>
          </cell>
          <cell r="E618" t="str">
            <v>A</v>
          </cell>
          <cell r="F618" t="str">
            <v>Connector</v>
          </cell>
          <cell r="G618">
            <v>1</v>
          </cell>
          <cell r="H618">
            <v>0</v>
          </cell>
          <cell r="I618" t="str">
            <v>N/A</v>
          </cell>
        </row>
        <row r="619">
          <cell r="A619" t="str">
            <v>ASY-006799-00</v>
          </cell>
          <cell r="B619">
            <v>3</v>
          </cell>
          <cell r="C619" t="str">
            <v>HSG-000330-00</v>
          </cell>
          <cell r="D619" t="str">
            <v>DRIVER HOUSING, 4 FT, TROV 2</v>
          </cell>
          <cell r="E619" t="str">
            <v>A</v>
          </cell>
          <cell r="F619" t="str">
            <v>Housing</v>
          </cell>
          <cell r="G619">
            <v>1</v>
          </cell>
          <cell r="H619">
            <v>0</v>
          </cell>
          <cell r="I619" t="str">
            <v>N/A</v>
          </cell>
        </row>
        <row r="620">
          <cell r="A620" t="str">
            <v>ASY-006799-00</v>
          </cell>
          <cell r="B620">
            <v>3</v>
          </cell>
          <cell r="C620" t="str">
            <v>ORG-000060-00</v>
          </cell>
          <cell r="D620" t="str">
            <v>O-RING, CABLE, TROV 2</v>
          </cell>
          <cell r="E620" t="str">
            <v>A</v>
          </cell>
          <cell r="F620" t="str">
            <v>O-Ring</v>
          </cell>
          <cell r="G620">
            <v>1</v>
          </cell>
          <cell r="H620">
            <v>0</v>
          </cell>
          <cell r="I620" t="str">
            <v>N/A</v>
          </cell>
        </row>
        <row r="621">
          <cell r="A621" t="str">
            <v>ASY-006799-00</v>
          </cell>
          <cell r="B621">
            <v>3</v>
          </cell>
          <cell r="C621" t="str">
            <v>SRF-000030-00</v>
          </cell>
          <cell r="D621" t="str">
            <v>STRAIN RELIEF, CABLE, TROV 2</v>
          </cell>
          <cell r="E621" t="str">
            <v>A</v>
          </cell>
          <cell r="F621" t="str">
            <v>Strain Relief</v>
          </cell>
          <cell r="G621">
            <v>1</v>
          </cell>
          <cell r="H621">
            <v>0</v>
          </cell>
          <cell r="I621" t="str">
            <v>N/A</v>
          </cell>
        </row>
        <row r="622">
          <cell r="A622" t="str">
            <v>ASY-006799-00</v>
          </cell>
          <cell r="B622">
            <v>2</v>
          </cell>
          <cell r="C622" t="str">
            <v>BKT-000517-00</v>
          </cell>
          <cell r="D622" t="str">
            <v>BRACKET, ROTATING LOCK, 4 FT, TROV 2.0</v>
          </cell>
          <cell r="E622" t="str">
            <v>B</v>
          </cell>
          <cell r="F622" t="str">
            <v>Bracket</v>
          </cell>
          <cell r="G622">
            <v>1</v>
          </cell>
          <cell r="H622">
            <v>0.9</v>
          </cell>
          <cell r="I622" t="str">
            <v>Buy</v>
          </cell>
        </row>
        <row r="623">
          <cell r="A623" t="str">
            <v>ASY-006799-00</v>
          </cell>
          <cell r="B623">
            <v>2</v>
          </cell>
          <cell r="C623" t="str">
            <v>BKT-000518-00</v>
          </cell>
          <cell r="D623" t="str">
            <v>BRACKET, PANEL MOUNT, 4 FT, TROV 2.0</v>
          </cell>
          <cell r="E623" t="str">
            <v>B</v>
          </cell>
          <cell r="F623" t="str">
            <v>Bracket</v>
          </cell>
          <cell r="G623">
            <v>1</v>
          </cell>
          <cell r="H623">
            <v>0.9</v>
          </cell>
          <cell r="I623" t="str">
            <v>Buy</v>
          </cell>
        </row>
        <row r="624">
          <cell r="A624" t="str">
            <v>ASY-006799-00</v>
          </cell>
          <cell r="B624">
            <v>2</v>
          </cell>
          <cell r="C624" t="str">
            <v>SCW-000509-00</v>
          </cell>
          <cell r="D624" t="str">
            <v>SCREW, SEALING FLAT HEAD, M3x0.5x8MM</v>
          </cell>
          <cell r="E624" t="str">
            <v>B</v>
          </cell>
          <cell r="F624" t="str">
            <v>Screw</v>
          </cell>
          <cell r="G624">
            <v>2</v>
          </cell>
          <cell r="H624">
            <v>0.4</v>
          </cell>
          <cell r="I624" t="str">
            <v>Buy</v>
          </cell>
        </row>
        <row r="625">
          <cell r="A625" t="str">
            <v>ASY-006799-00</v>
          </cell>
          <cell r="B625">
            <v>1</v>
          </cell>
          <cell r="C625" t="str">
            <v>BAS-000021-00</v>
          </cell>
          <cell r="D625" t="str">
            <v>BASE, 4FT, TROV 2.0</v>
          </cell>
          <cell r="E625" t="str">
            <v>F</v>
          </cell>
          <cell r="F625" t="str">
            <v>Base</v>
          </cell>
          <cell r="G625">
            <v>1</v>
          </cell>
          <cell r="H625">
            <v>14.25</v>
          </cell>
          <cell r="I625" t="str">
            <v>Buy</v>
          </cell>
        </row>
        <row r="626">
          <cell r="A626" t="str">
            <v>ASY-006799-00</v>
          </cell>
          <cell r="B626">
            <v>1</v>
          </cell>
          <cell r="C626" t="str">
            <v>BKT-000457-03</v>
          </cell>
          <cell r="D626" t="str">
            <v>BRACKET, MOUNT, LEFT, BLACK, TROV 2.0</v>
          </cell>
          <cell r="E626" t="str">
            <v>C</v>
          </cell>
          <cell r="F626" t="str">
            <v>Bracket</v>
          </cell>
          <cell r="G626">
            <v>1</v>
          </cell>
          <cell r="H626">
            <v>0.99</v>
          </cell>
          <cell r="I626" t="str">
            <v>Buy</v>
          </cell>
        </row>
        <row r="627">
          <cell r="A627" t="str">
            <v>ASY-006799-00</v>
          </cell>
          <cell r="B627">
            <v>1</v>
          </cell>
          <cell r="C627" t="str">
            <v>BKT-000458-03</v>
          </cell>
          <cell r="D627" t="str">
            <v>BRACKET, MOUNT, RIGHT, BLACK, TROV 2.0</v>
          </cell>
          <cell r="E627" t="str">
            <v>C</v>
          </cell>
          <cell r="F627" t="str">
            <v>Bracket</v>
          </cell>
          <cell r="G627">
            <v>1</v>
          </cell>
          <cell r="H627">
            <v>0.99</v>
          </cell>
          <cell r="I627" t="str">
            <v>Buy</v>
          </cell>
        </row>
        <row r="628">
          <cell r="A628" t="str">
            <v>ASY-006799-00</v>
          </cell>
          <cell r="B628">
            <v>1</v>
          </cell>
          <cell r="C628" t="str">
            <v>CVR-000791-03</v>
          </cell>
          <cell r="D628" t="str">
            <v>END COVER, FC, BLACK, L45, TROV 2.0</v>
          </cell>
          <cell r="E628" t="str">
            <v>D</v>
          </cell>
          <cell r="F628" t="str">
            <v>Cover</v>
          </cell>
          <cell r="G628">
            <v>1</v>
          </cell>
          <cell r="H628">
            <v>1.07</v>
          </cell>
          <cell r="I628" t="str">
            <v>Buy</v>
          </cell>
        </row>
        <row r="629">
          <cell r="A629" t="str">
            <v>ASY-006799-00</v>
          </cell>
          <cell r="B629">
            <v>1</v>
          </cell>
          <cell r="C629" t="str">
            <v>CVR-000894-03</v>
          </cell>
          <cell r="D629" t="str">
            <v>END COVER, MC, BLACK, L45, TROV 2.0</v>
          </cell>
          <cell r="E629" t="str">
            <v>B</v>
          </cell>
          <cell r="F629" t="str">
            <v>Cover</v>
          </cell>
          <cell r="G629">
            <v>1</v>
          </cell>
          <cell r="H629">
            <v>1.07</v>
          </cell>
          <cell r="I629" t="str">
            <v>Buy</v>
          </cell>
        </row>
        <row r="630">
          <cell r="A630" t="str">
            <v>ASY-006799-00</v>
          </cell>
          <cell r="B630">
            <v>1</v>
          </cell>
          <cell r="C630" t="str">
            <v>FOM-000029-00</v>
          </cell>
          <cell r="D630" t="str">
            <v>FOAM, LIGHTBLOCK, ENDCAP, L45, TROV2</v>
          </cell>
          <cell r="E630" t="str">
            <v>A</v>
          </cell>
          <cell r="F630" t="str">
            <v>Foam</v>
          </cell>
          <cell r="G630">
            <v>2</v>
          </cell>
          <cell r="H630">
            <v>0.02</v>
          </cell>
          <cell r="I630" t="str">
            <v>Buy</v>
          </cell>
        </row>
        <row r="631">
          <cell r="A631" t="str">
            <v>ASY-006799-00</v>
          </cell>
          <cell r="B631">
            <v>1</v>
          </cell>
          <cell r="C631" t="str">
            <v>GSK-000114-01</v>
          </cell>
          <cell r="D631" t="str">
            <v>GASKET, TERTIARY LENS, 3M, 2 FT, L45, TROV 2.0</v>
          </cell>
          <cell r="E631" t="str">
            <v>D</v>
          </cell>
          <cell r="F631" t="str">
            <v>Gasket</v>
          </cell>
          <cell r="G631">
            <v>2</v>
          </cell>
          <cell r="H631">
            <v>2.65</v>
          </cell>
          <cell r="I631" t="str">
            <v>Buy</v>
          </cell>
        </row>
        <row r="632">
          <cell r="A632" t="str">
            <v>ASY-006799-00</v>
          </cell>
          <cell r="B632">
            <v>1</v>
          </cell>
          <cell r="C632" t="str">
            <v>GSK-000122-01</v>
          </cell>
          <cell r="D632" t="str">
            <v>GASKET, DRIVER ENCLOSURE, 3M, 4 FT, TROV 2.0</v>
          </cell>
          <cell r="E632" t="str">
            <v>B</v>
          </cell>
          <cell r="F632" t="str">
            <v>Gasket</v>
          </cell>
          <cell r="G632">
            <v>1</v>
          </cell>
          <cell r="H632">
            <v>2.0299999999999998</v>
          </cell>
          <cell r="I632" t="str">
            <v>Buy</v>
          </cell>
        </row>
        <row r="633">
          <cell r="A633" t="str">
            <v>ASY-006799-00</v>
          </cell>
          <cell r="B633">
            <v>1</v>
          </cell>
          <cell r="C633" t="str">
            <v>HSG-000494-01</v>
          </cell>
          <cell r="D633" t="str">
            <v>HOUSING, TOP, 4 FT, L45, SILVER, TROV 2.0</v>
          </cell>
          <cell r="E633" t="str">
            <v>E</v>
          </cell>
          <cell r="F633" t="str">
            <v>Housing</v>
          </cell>
          <cell r="G633">
            <v>1</v>
          </cell>
          <cell r="H633">
            <v>14.25</v>
          </cell>
          <cell r="I633" t="str">
            <v>Buy</v>
          </cell>
        </row>
        <row r="634">
          <cell r="A634" t="str">
            <v>ASY-006799-00</v>
          </cell>
          <cell r="B634">
            <v>1</v>
          </cell>
          <cell r="C634" t="str">
            <v>HSG-000495-01</v>
          </cell>
          <cell r="D634" t="str">
            <v>HOUSING, BOTTOM, 4 FT, SILVER, TROV 2.0</v>
          </cell>
          <cell r="E634" t="str">
            <v>F</v>
          </cell>
          <cell r="F634" t="str">
            <v>Housing</v>
          </cell>
          <cell r="G634">
            <v>1</v>
          </cell>
          <cell r="H634">
            <v>32.49</v>
          </cell>
          <cell r="I634" t="str">
            <v>Buy</v>
          </cell>
        </row>
        <row r="635">
          <cell r="A635" t="str">
            <v>ASY-006799-00</v>
          </cell>
          <cell r="B635">
            <v>1</v>
          </cell>
          <cell r="C635" t="str">
            <v>LBA-000003-00</v>
          </cell>
          <cell r="D635" t="str">
            <v>Label: TROV 2 P1/P2, Model L45/L60</v>
          </cell>
          <cell r="E635" t="str">
            <v>A</v>
          </cell>
          <cell r="F635" t="str">
            <v>Label BOM</v>
          </cell>
          <cell r="G635">
            <v>1</v>
          </cell>
          <cell r="H635">
            <v>0</v>
          </cell>
          <cell r="I635" t="str">
            <v>Make</v>
          </cell>
        </row>
        <row r="636">
          <cell r="A636" t="str">
            <v>ASY-006799-00</v>
          </cell>
          <cell r="B636">
            <v>2</v>
          </cell>
          <cell r="C636" t="str">
            <v>LBL-000243-00</v>
          </cell>
          <cell r="D636" t="str">
            <v>Blank Product Label: Trov 2 P1/P2, Model L45/L60</v>
          </cell>
          <cell r="E636" t="str">
            <v>A</v>
          </cell>
          <cell r="F636" t="str">
            <v>Label</v>
          </cell>
          <cell r="G636">
            <v>1</v>
          </cell>
          <cell r="H636">
            <v>0.33</v>
          </cell>
          <cell r="I636" t="str">
            <v>Buy</v>
          </cell>
        </row>
        <row r="637">
          <cell r="A637" t="str">
            <v>ASY-006799-00</v>
          </cell>
          <cell r="B637">
            <v>1</v>
          </cell>
          <cell r="C637" t="str">
            <v>PLG-000009-01</v>
          </cell>
          <cell r="D637" t="str">
            <v>Porex Vent, Trov, L50 Exterior</v>
          </cell>
          <cell r="E637" t="str">
            <v>B</v>
          </cell>
          <cell r="F637" t="str">
            <v>Plug</v>
          </cell>
          <cell r="G637">
            <v>2</v>
          </cell>
          <cell r="H637">
            <v>0.17</v>
          </cell>
          <cell r="I637" t="str">
            <v>Buy</v>
          </cell>
        </row>
        <row r="638">
          <cell r="A638" t="str">
            <v>ASY-006799-00</v>
          </cell>
          <cell r="B638">
            <v>1</v>
          </cell>
          <cell r="C638" t="str">
            <v>SCW-000156-00</v>
          </cell>
          <cell r="D638" t="str">
            <v>SCREW, M3 x 0.5 X 8mm, PAND HEAD, PHILLIPS, STEEL</v>
          </cell>
          <cell r="E638" t="str">
            <v>B</v>
          </cell>
          <cell r="F638" t="str">
            <v>Screw</v>
          </cell>
          <cell r="G638">
            <v>6</v>
          </cell>
          <cell r="H638">
            <v>4.4400000000000002E-2</v>
          </cell>
          <cell r="I638" t="str">
            <v>Buy</v>
          </cell>
        </row>
        <row r="639">
          <cell r="A639" t="str">
            <v>ASY-006799-00</v>
          </cell>
          <cell r="B639">
            <v>1</v>
          </cell>
          <cell r="C639" t="str">
            <v>SCW-000483-00</v>
          </cell>
          <cell r="D639" t="str">
            <v>SCREW, PHILIPS FLAT HEAD, M2.5x0.45x5 , 18-8 SST</v>
          </cell>
          <cell r="E639" t="str">
            <v>A</v>
          </cell>
          <cell r="F639" t="str">
            <v>Screw</v>
          </cell>
          <cell r="G639">
            <v>4</v>
          </cell>
          <cell r="H639">
            <v>0.02</v>
          </cell>
          <cell r="I639" t="str">
            <v>Buy</v>
          </cell>
        </row>
        <row r="640">
          <cell r="A640" t="str">
            <v>ASY-006799-00</v>
          </cell>
          <cell r="B640">
            <v>1</v>
          </cell>
          <cell r="C640" t="str">
            <v>SCW-000556-00</v>
          </cell>
          <cell r="D640" t="str">
            <v>SCREW, HEX, SERRATED, #8-32, GROUNDING, TROV 2</v>
          </cell>
          <cell r="E640" t="str">
            <v>A</v>
          </cell>
          <cell r="F640" t="str">
            <v>Screw</v>
          </cell>
          <cell r="G640">
            <v>1</v>
          </cell>
          <cell r="H640">
            <v>0.04</v>
          </cell>
          <cell r="I640" t="str">
            <v>Buy</v>
          </cell>
        </row>
        <row r="641">
          <cell r="A641" t="str">
            <v>ASY-006799-00</v>
          </cell>
          <cell r="B641">
            <v>1</v>
          </cell>
          <cell r="C641" t="str">
            <v>SCW-000567-00</v>
          </cell>
          <cell r="D641" t="str">
            <v>SCREW, M2.5 x 0.45 x 12.0mm LENGTH, PAN HD, PHILLIPS, ZINC-PLATED STEEL</v>
          </cell>
          <cell r="E641" t="str">
            <v>A</v>
          </cell>
          <cell r="F641" t="str">
            <v>Screw</v>
          </cell>
          <cell r="G641">
            <v>4</v>
          </cell>
          <cell r="H641">
            <v>0.06</v>
          </cell>
          <cell r="I641" t="str">
            <v>Buy</v>
          </cell>
        </row>
        <row r="642">
          <cell r="A642" t="str">
            <v>ASY-006799-00</v>
          </cell>
          <cell r="B642">
            <v>1</v>
          </cell>
          <cell r="C642" t="str">
            <v>SCW-000574-00</v>
          </cell>
          <cell r="D642" t="str">
            <v>SCREW, TORX HEAD, 1/4-28x1/2", LOW PROFILE, ALLOY STEEL</v>
          </cell>
          <cell r="E642" t="str">
            <v>A</v>
          </cell>
          <cell r="F642" t="str">
            <v>Screw</v>
          </cell>
          <cell r="G642">
            <v>2</v>
          </cell>
          <cell r="H642">
            <v>0.14000000000000001</v>
          </cell>
          <cell r="I642" t="str">
            <v>Buy</v>
          </cell>
        </row>
        <row r="643">
          <cell r="A643" t="str">
            <v>ASY-006799-00</v>
          </cell>
          <cell r="B643">
            <v>1</v>
          </cell>
          <cell r="C643" t="str">
            <v>SHT-000043-00</v>
          </cell>
          <cell r="D643" t="str">
            <v>INSULATION SHEET, HBA, 4FT,TROV 2</v>
          </cell>
          <cell r="E643" t="str">
            <v>D</v>
          </cell>
          <cell r="F643" t="str">
            <v>Sheet</v>
          </cell>
          <cell r="G643">
            <v>1</v>
          </cell>
          <cell r="H643">
            <v>0.25</v>
          </cell>
          <cell r="I643" t="str">
            <v>Buy</v>
          </cell>
        </row>
        <row r="644">
          <cell r="A644" t="str">
            <v>ASY-006799-00</v>
          </cell>
          <cell r="B644">
            <v>1</v>
          </cell>
          <cell r="C644" t="str">
            <v>SPG-000023-00</v>
          </cell>
          <cell r="D644" t="str">
            <v>SPRING, DISC, STACKED WAVE, TROV 2.0</v>
          </cell>
          <cell r="E644" t="str">
            <v>A</v>
          </cell>
          <cell r="F644" t="str">
            <v>Spring</v>
          </cell>
          <cell r="G644">
            <v>2</v>
          </cell>
          <cell r="H644">
            <v>1.74</v>
          </cell>
          <cell r="I644" t="str">
            <v>Buy</v>
          </cell>
        </row>
        <row r="645">
          <cell r="A645" t="str">
            <v>ASY-006799-00</v>
          </cell>
          <cell r="B645">
            <v>1</v>
          </cell>
          <cell r="C645" t="str">
            <v>TAP-000031-00</v>
          </cell>
          <cell r="D645" t="str">
            <v>3M Electrical Tape 92</v>
          </cell>
          <cell r="E645" t="str">
            <v>A</v>
          </cell>
          <cell r="F645" t="str">
            <v>Tape</v>
          </cell>
          <cell r="G645">
            <v>120</v>
          </cell>
          <cell r="H645">
            <v>1.4E-2</v>
          </cell>
          <cell r="I645" t="str">
            <v>Buy</v>
          </cell>
        </row>
        <row r="646">
          <cell r="A646" t="str">
            <v>ASY-006799-00</v>
          </cell>
          <cell r="B646">
            <v>1</v>
          </cell>
          <cell r="C646" t="str">
            <v>TMP-000028-00</v>
          </cell>
          <cell r="D646" t="str">
            <v>Thermal Pad, LED PCBA, 2 FT, TROV 2</v>
          </cell>
          <cell r="E646" t="str">
            <v>B</v>
          </cell>
          <cell r="F646" t="str">
            <v>Thermal Pad</v>
          </cell>
          <cell r="G646">
            <v>2</v>
          </cell>
          <cell r="H646">
            <v>1.32</v>
          </cell>
          <cell r="I646" t="str">
            <v>Buy</v>
          </cell>
        </row>
        <row r="647">
          <cell r="A647" t="str">
            <v>ASY-006799-00</v>
          </cell>
          <cell r="B647">
            <v>1</v>
          </cell>
          <cell r="C647" t="str">
            <v>TMP-000029-00</v>
          </cell>
          <cell r="D647" t="str">
            <v>Thermal Pad, HBA, TROV 2</v>
          </cell>
          <cell r="E647" t="str">
            <v>B</v>
          </cell>
          <cell r="F647" t="str">
            <v>Thermal Pad</v>
          </cell>
          <cell r="G647">
            <v>2</v>
          </cell>
          <cell r="H647">
            <v>0.14000000000000001</v>
          </cell>
          <cell r="I647" t="str">
            <v>Buy</v>
          </cell>
        </row>
        <row r="648">
          <cell r="A648" t="str">
            <v>ASY-006799-01</v>
          </cell>
          <cell r="B648">
            <v>0</v>
          </cell>
          <cell r="C648" t="str">
            <v>ASY-006799-01</v>
          </cell>
          <cell r="D648" t="str">
            <v>ASSY, MECHANICAL, L45, OUTDOOR, 4 FT, TROV 2.0, BLACK</v>
          </cell>
          <cell r="E648" t="str">
            <v>P</v>
          </cell>
          <cell r="F648" t="str">
            <v>Sub assembly</v>
          </cell>
          <cell r="H648">
            <v>0</v>
          </cell>
          <cell r="I648" t="str">
            <v>Make</v>
          </cell>
        </row>
        <row r="649">
          <cell r="A649" t="str">
            <v>ASY-006799-01</v>
          </cell>
          <cell r="B649">
            <v>1</v>
          </cell>
          <cell r="C649" t="str">
            <v>ACB-000261-00</v>
          </cell>
          <cell r="D649" t="str">
            <v>CABLE, ECOBUS, 24AWG, SHORT, TROV 2</v>
          </cell>
          <cell r="E649" t="str">
            <v>B</v>
          </cell>
          <cell r="F649" t="str">
            <v>Cable</v>
          </cell>
          <cell r="G649">
            <v>1</v>
          </cell>
          <cell r="H649">
            <v>0.76</v>
          </cell>
          <cell r="I649" t="str">
            <v>Buy</v>
          </cell>
        </row>
        <row r="650">
          <cell r="A650" t="str">
            <v>ASY-006799-01</v>
          </cell>
          <cell r="B650">
            <v>1</v>
          </cell>
          <cell r="C650" t="str">
            <v>ACB-000261-01</v>
          </cell>
          <cell r="D650" t="str">
            <v>CABLE, ECOBUS, 24AWG, LONG, TROV 2</v>
          </cell>
          <cell r="E650" t="str">
            <v>B</v>
          </cell>
          <cell r="F650" t="str">
            <v>Cable</v>
          </cell>
          <cell r="G650">
            <v>1</v>
          </cell>
          <cell r="H650">
            <v>0.82</v>
          </cell>
          <cell r="I650" t="str">
            <v>Buy</v>
          </cell>
        </row>
        <row r="651">
          <cell r="A651" t="str">
            <v>ASY-006799-01</v>
          </cell>
          <cell r="B651">
            <v>1</v>
          </cell>
          <cell r="C651" t="str">
            <v>ASY-100008-00</v>
          </cell>
          <cell r="D651" t="str">
            <v>Cable Subassembly, Driver housing, 4ft, Trov 2</v>
          </cell>
          <cell r="E651" t="str">
            <v>A</v>
          </cell>
          <cell r="F651" t="str">
            <v>Sub assembly</v>
          </cell>
          <cell r="G651">
            <v>1</v>
          </cell>
          <cell r="H651">
            <v>0</v>
          </cell>
          <cell r="I651" t="str">
            <v>Make</v>
          </cell>
        </row>
        <row r="652">
          <cell r="A652" t="str">
            <v>ASY-006799-01</v>
          </cell>
          <cell r="B652">
            <v>2</v>
          </cell>
          <cell r="C652" t="str">
            <v>ACB-000272-00</v>
          </cell>
          <cell r="D652" t="str">
            <v>CABLE ASSY, INTRA-FIXTURE, 4FT, TROV 2.0</v>
          </cell>
          <cell r="E652" t="str">
            <v>B</v>
          </cell>
          <cell r="F652" t="str">
            <v>Cable Assembly</v>
          </cell>
          <cell r="G652">
            <v>1</v>
          </cell>
          <cell r="H652">
            <v>20.420000000000002</v>
          </cell>
          <cell r="I652" t="str">
            <v>Buy</v>
          </cell>
        </row>
        <row r="653">
          <cell r="A653" t="str">
            <v>ASY-006799-01</v>
          </cell>
          <cell r="B653">
            <v>3</v>
          </cell>
          <cell r="C653" t="str">
            <v>ACB-000273-00</v>
          </cell>
          <cell r="D653" t="str">
            <v>6 CONDUCTOR CABLE, 3X22AWG, 3X16AWG, AL MYLAR, TROV 2</v>
          </cell>
          <cell r="E653" t="str">
            <v>A</v>
          </cell>
          <cell r="F653" t="str">
            <v>Cable</v>
          </cell>
          <cell r="G653">
            <v>1</v>
          </cell>
          <cell r="H653">
            <v>0</v>
          </cell>
          <cell r="I653" t="str">
            <v>N/A</v>
          </cell>
        </row>
        <row r="654">
          <cell r="A654" t="str">
            <v>ASY-006799-01</v>
          </cell>
          <cell r="B654">
            <v>3</v>
          </cell>
          <cell r="C654" t="str">
            <v>ACB-000274-00</v>
          </cell>
          <cell r="D654" t="str">
            <v>CABLE ASSEMBLY, INTERNAL, DRIVER SIDE, 4FT, TROV 2</v>
          </cell>
          <cell r="E654" t="str">
            <v>A</v>
          </cell>
          <cell r="F654" t="str">
            <v>Cable Assembly</v>
          </cell>
          <cell r="G654">
            <v>1</v>
          </cell>
          <cell r="H654">
            <v>0</v>
          </cell>
          <cell r="I654" t="str">
            <v>N/A</v>
          </cell>
        </row>
        <row r="655">
          <cell r="A655" t="str">
            <v>ASY-006799-01</v>
          </cell>
          <cell r="B655">
            <v>3</v>
          </cell>
          <cell r="C655" t="str">
            <v>CON-000259-00</v>
          </cell>
          <cell r="D655" t="str">
            <v>CONNECTOR, MALE, 6 PIN, TROV 2</v>
          </cell>
          <cell r="E655" t="str">
            <v>B</v>
          </cell>
          <cell r="F655" t="str">
            <v>Connector</v>
          </cell>
          <cell r="G655">
            <v>1</v>
          </cell>
          <cell r="H655">
            <v>0</v>
          </cell>
          <cell r="I655" t="str">
            <v>N/A</v>
          </cell>
        </row>
        <row r="656">
          <cell r="A656" t="str">
            <v>ASY-006799-01</v>
          </cell>
          <cell r="B656">
            <v>3</v>
          </cell>
          <cell r="C656" t="str">
            <v>CON-000260-00</v>
          </cell>
          <cell r="D656" t="str">
            <v>CONNECTOR, FEMALE, 6 PIN, TROV 2</v>
          </cell>
          <cell r="E656" t="str">
            <v>A</v>
          </cell>
          <cell r="F656" t="str">
            <v>Connector</v>
          </cell>
          <cell r="G656">
            <v>1</v>
          </cell>
          <cell r="H656">
            <v>0</v>
          </cell>
          <cell r="I656" t="str">
            <v>N/A</v>
          </cell>
        </row>
        <row r="657">
          <cell r="A657" t="str">
            <v>ASY-006799-01</v>
          </cell>
          <cell r="B657">
            <v>3</v>
          </cell>
          <cell r="C657" t="str">
            <v>HSG-000330-00</v>
          </cell>
          <cell r="D657" t="str">
            <v>DRIVER HOUSING, 4 FT, TROV 2</v>
          </cell>
          <cell r="E657" t="str">
            <v>A</v>
          </cell>
          <cell r="F657" t="str">
            <v>Housing</v>
          </cell>
          <cell r="G657">
            <v>1</v>
          </cell>
          <cell r="H657">
            <v>0</v>
          </cell>
          <cell r="I657" t="str">
            <v>N/A</v>
          </cell>
        </row>
        <row r="658">
          <cell r="A658" t="str">
            <v>ASY-006799-01</v>
          </cell>
          <cell r="B658">
            <v>3</v>
          </cell>
          <cell r="C658" t="str">
            <v>ORG-000060-00</v>
          </cell>
          <cell r="D658" t="str">
            <v>O-RING, CABLE, TROV 2</v>
          </cell>
          <cell r="E658" t="str">
            <v>A</v>
          </cell>
          <cell r="F658" t="str">
            <v>O-Ring</v>
          </cell>
          <cell r="G658">
            <v>1</v>
          </cell>
          <cell r="H658">
            <v>0</v>
          </cell>
          <cell r="I658" t="str">
            <v>N/A</v>
          </cell>
        </row>
        <row r="659">
          <cell r="A659" t="str">
            <v>ASY-006799-01</v>
          </cell>
          <cell r="B659">
            <v>3</v>
          </cell>
          <cell r="C659" t="str">
            <v>SRF-000030-00</v>
          </cell>
          <cell r="D659" t="str">
            <v>STRAIN RELIEF, CABLE, TROV 2</v>
          </cell>
          <cell r="E659" t="str">
            <v>A</v>
          </cell>
          <cell r="F659" t="str">
            <v>Strain Relief</v>
          </cell>
          <cell r="G659">
            <v>1</v>
          </cell>
          <cell r="H659">
            <v>0</v>
          </cell>
          <cell r="I659" t="str">
            <v>N/A</v>
          </cell>
        </row>
        <row r="660">
          <cell r="A660" t="str">
            <v>ASY-006799-01</v>
          </cell>
          <cell r="B660">
            <v>2</v>
          </cell>
          <cell r="C660" t="str">
            <v>BKT-000517-00</v>
          </cell>
          <cell r="D660" t="str">
            <v>BRACKET, ROTATING LOCK, 4 FT, TROV 2.0</v>
          </cell>
          <cell r="E660" t="str">
            <v>B</v>
          </cell>
          <cell r="F660" t="str">
            <v>Bracket</v>
          </cell>
          <cell r="G660">
            <v>1</v>
          </cell>
          <cell r="H660">
            <v>0.9</v>
          </cell>
          <cell r="I660" t="str">
            <v>Buy</v>
          </cell>
        </row>
        <row r="661">
          <cell r="A661" t="str">
            <v>ASY-006799-01</v>
          </cell>
          <cell r="B661">
            <v>2</v>
          </cell>
          <cell r="C661" t="str">
            <v>BKT-000518-00</v>
          </cell>
          <cell r="D661" t="str">
            <v>BRACKET, PANEL MOUNT, 4 FT, TROV 2.0</v>
          </cell>
          <cell r="E661" t="str">
            <v>B</v>
          </cell>
          <cell r="F661" t="str">
            <v>Bracket</v>
          </cell>
          <cell r="G661">
            <v>1</v>
          </cell>
          <cell r="H661">
            <v>0.9</v>
          </cell>
          <cell r="I661" t="str">
            <v>Buy</v>
          </cell>
        </row>
        <row r="662">
          <cell r="A662" t="str">
            <v>ASY-006799-01</v>
          </cell>
          <cell r="B662">
            <v>2</v>
          </cell>
          <cell r="C662" t="str">
            <v>SCW-000509-00</v>
          </cell>
          <cell r="D662" t="str">
            <v>SCREW, SEALING FLAT HEAD, M3x0.5x8MM</v>
          </cell>
          <cell r="E662" t="str">
            <v>B</v>
          </cell>
          <cell r="F662" t="str">
            <v>Screw</v>
          </cell>
          <cell r="G662">
            <v>2</v>
          </cell>
          <cell r="H662">
            <v>0.4</v>
          </cell>
          <cell r="I662" t="str">
            <v>Buy</v>
          </cell>
        </row>
        <row r="663">
          <cell r="A663" t="str">
            <v>ASY-006799-01</v>
          </cell>
          <cell r="B663">
            <v>1</v>
          </cell>
          <cell r="C663" t="str">
            <v>BAS-000021-00</v>
          </cell>
          <cell r="D663" t="str">
            <v>BASE, 4FT, TROV 2.0</v>
          </cell>
          <cell r="E663" t="str">
            <v>F</v>
          </cell>
          <cell r="F663" t="str">
            <v>Base</v>
          </cell>
          <cell r="G663">
            <v>1</v>
          </cell>
          <cell r="H663">
            <v>14.25</v>
          </cell>
          <cell r="I663" t="str">
            <v>Buy</v>
          </cell>
        </row>
        <row r="664">
          <cell r="A664" t="str">
            <v>ASY-006799-01</v>
          </cell>
          <cell r="B664">
            <v>1</v>
          </cell>
          <cell r="C664" t="str">
            <v>BKT-000457-03</v>
          </cell>
          <cell r="D664" t="str">
            <v>BRACKET, MOUNT, LEFT, BLACK, TROV 2.0</v>
          </cell>
          <cell r="E664" t="str">
            <v>C</v>
          </cell>
          <cell r="F664" t="str">
            <v>Bracket</v>
          </cell>
          <cell r="G664">
            <v>1</v>
          </cell>
          <cell r="H664">
            <v>0.99</v>
          </cell>
          <cell r="I664" t="str">
            <v>Buy</v>
          </cell>
        </row>
        <row r="665">
          <cell r="A665" t="str">
            <v>ASY-006799-01</v>
          </cell>
          <cell r="B665">
            <v>1</v>
          </cell>
          <cell r="C665" t="str">
            <v>BKT-000458-03</v>
          </cell>
          <cell r="D665" t="str">
            <v>BRACKET, MOUNT, RIGHT, BLACK, TROV 2.0</v>
          </cell>
          <cell r="E665" t="str">
            <v>C</v>
          </cell>
          <cell r="F665" t="str">
            <v>Bracket</v>
          </cell>
          <cell r="G665">
            <v>1</v>
          </cell>
          <cell r="H665">
            <v>0.99</v>
          </cell>
          <cell r="I665" t="str">
            <v>Buy</v>
          </cell>
        </row>
        <row r="666">
          <cell r="A666" t="str">
            <v>ASY-006799-01</v>
          </cell>
          <cell r="B666">
            <v>1</v>
          </cell>
          <cell r="C666" t="str">
            <v>CVR-000791-03</v>
          </cell>
          <cell r="D666" t="str">
            <v>END COVER, FC, BLACK, L45, TROV 2.0</v>
          </cell>
          <cell r="E666" t="str">
            <v>D</v>
          </cell>
          <cell r="F666" t="str">
            <v>Cover</v>
          </cell>
          <cell r="G666">
            <v>1</v>
          </cell>
          <cell r="H666">
            <v>1.07</v>
          </cell>
          <cell r="I666" t="str">
            <v>Buy</v>
          </cell>
        </row>
        <row r="667">
          <cell r="A667" t="str">
            <v>ASY-006799-01</v>
          </cell>
          <cell r="B667">
            <v>1</v>
          </cell>
          <cell r="C667" t="str">
            <v>CVR-000894-03</v>
          </cell>
          <cell r="D667" t="str">
            <v>END COVER, MC, BLACK, L45, TROV 2.0</v>
          </cell>
          <cell r="E667" t="str">
            <v>B</v>
          </cell>
          <cell r="F667" t="str">
            <v>Cover</v>
          </cell>
          <cell r="G667">
            <v>1</v>
          </cell>
          <cell r="H667">
            <v>1.07</v>
          </cell>
          <cell r="I667" t="str">
            <v>Buy</v>
          </cell>
        </row>
        <row r="668">
          <cell r="A668" t="str">
            <v>ASY-006799-01</v>
          </cell>
          <cell r="B668">
            <v>1</v>
          </cell>
          <cell r="C668" t="str">
            <v>FOM-000029-00</v>
          </cell>
          <cell r="D668" t="str">
            <v>FOAM, LIGHTBLOCK, ENDCAP, L45, TROV2</v>
          </cell>
          <cell r="E668" t="str">
            <v>A</v>
          </cell>
          <cell r="F668" t="str">
            <v>Foam</v>
          </cell>
          <cell r="G668">
            <v>2</v>
          </cell>
          <cell r="H668">
            <v>0.02</v>
          </cell>
          <cell r="I668" t="str">
            <v>Buy</v>
          </cell>
        </row>
        <row r="669">
          <cell r="A669" t="str">
            <v>ASY-006799-01</v>
          </cell>
          <cell r="B669">
            <v>1</v>
          </cell>
          <cell r="C669" t="str">
            <v>GSK-000114-01</v>
          </cell>
          <cell r="D669" t="str">
            <v>GASKET, TERTIARY LENS, 3M, 2 FT, L45, TROV 2.0</v>
          </cell>
          <cell r="E669" t="str">
            <v>D</v>
          </cell>
          <cell r="F669" t="str">
            <v>Gasket</v>
          </cell>
          <cell r="G669">
            <v>2</v>
          </cell>
          <cell r="H669">
            <v>2.65</v>
          </cell>
          <cell r="I669" t="str">
            <v>Buy</v>
          </cell>
        </row>
        <row r="670">
          <cell r="A670" t="str">
            <v>ASY-006799-01</v>
          </cell>
          <cell r="B670">
            <v>1</v>
          </cell>
          <cell r="C670" t="str">
            <v>GSK-000122-01</v>
          </cell>
          <cell r="D670" t="str">
            <v>GASKET, DRIVER ENCLOSURE, 3M, 4 FT, TROV 2.0</v>
          </cell>
          <cell r="E670" t="str">
            <v>B</v>
          </cell>
          <cell r="F670" t="str">
            <v>Gasket</v>
          </cell>
          <cell r="G670">
            <v>1</v>
          </cell>
          <cell r="H670">
            <v>2.0299999999999998</v>
          </cell>
          <cell r="I670" t="str">
            <v>Buy</v>
          </cell>
        </row>
        <row r="671">
          <cell r="A671" t="str">
            <v>ASY-006799-01</v>
          </cell>
          <cell r="B671">
            <v>1</v>
          </cell>
          <cell r="C671" t="str">
            <v>HSG-000494-03</v>
          </cell>
          <cell r="D671" t="str">
            <v>HOUSING, TOP, 4 FT, L45, BLACK, TROV 2.0</v>
          </cell>
          <cell r="E671" t="str">
            <v>E</v>
          </cell>
          <cell r="F671" t="str">
            <v>Housing</v>
          </cell>
          <cell r="G671">
            <v>1</v>
          </cell>
          <cell r="H671">
            <v>14.25</v>
          </cell>
          <cell r="I671" t="str">
            <v>Buy</v>
          </cell>
        </row>
        <row r="672">
          <cell r="A672" t="str">
            <v>ASY-006799-01</v>
          </cell>
          <cell r="B672">
            <v>1</v>
          </cell>
          <cell r="C672" t="str">
            <v>HSG-000495-03</v>
          </cell>
          <cell r="D672" t="str">
            <v>HOUSING, BOTTOM, 4 FT, BLACK, TROV 2.0</v>
          </cell>
          <cell r="E672" t="str">
            <v>F</v>
          </cell>
          <cell r="F672" t="str">
            <v>Housing</v>
          </cell>
          <cell r="G672">
            <v>1</v>
          </cell>
          <cell r="H672">
            <v>13.73</v>
          </cell>
          <cell r="I672" t="str">
            <v>Buy</v>
          </cell>
        </row>
        <row r="673">
          <cell r="A673" t="str">
            <v>ASY-006799-01</v>
          </cell>
          <cell r="B673">
            <v>1</v>
          </cell>
          <cell r="C673" t="str">
            <v>LBA-000003-00</v>
          </cell>
          <cell r="D673" t="str">
            <v>Label: TROV 2 P1/P2, Model L45/L60</v>
          </cell>
          <cell r="E673" t="str">
            <v>A</v>
          </cell>
          <cell r="F673" t="str">
            <v>Label BOM</v>
          </cell>
          <cell r="G673">
            <v>1</v>
          </cell>
          <cell r="H673">
            <v>0</v>
          </cell>
          <cell r="I673" t="str">
            <v>Make</v>
          </cell>
        </row>
        <row r="674">
          <cell r="A674" t="str">
            <v>ASY-006799-01</v>
          </cell>
          <cell r="B674">
            <v>2</v>
          </cell>
          <cell r="C674" t="str">
            <v>LBL-000243-00</v>
          </cell>
          <cell r="D674" t="str">
            <v>Blank Product Label: Trov 2 P1/P2, Model L45/L60</v>
          </cell>
          <cell r="E674" t="str">
            <v>A</v>
          </cell>
          <cell r="F674" t="str">
            <v>Label</v>
          </cell>
          <cell r="G674">
            <v>1</v>
          </cell>
          <cell r="H674">
            <v>0.33</v>
          </cell>
          <cell r="I674" t="str">
            <v>Buy</v>
          </cell>
        </row>
        <row r="675">
          <cell r="A675" t="str">
            <v>ASY-006799-01</v>
          </cell>
          <cell r="B675">
            <v>1</v>
          </cell>
          <cell r="C675" t="str">
            <v>PLG-000009-01</v>
          </cell>
          <cell r="D675" t="str">
            <v>Porex Vent, Trov, L50 Exterior</v>
          </cell>
          <cell r="E675" t="str">
            <v>B</v>
          </cell>
          <cell r="F675" t="str">
            <v>Plug</v>
          </cell>
          <cell r="G675">
            <v>2</v>
          </cell>
          <cell r="H675">
            <v>0.17</v>
          </cell>
          <cell r="I675" t="str">
            <v>Buy</v>
          </cell>
        </row>
        <row r="676">
          <cell r="A676" t="str">
            <v>ASY-006799-01</v>
          </cell>
          <cell r="B676">
            <v>1</v>
          </cell>
          <cell r="C676" t="str">
            <v>SCW-000156-00</v>
          </cell>
          <cell r="D676" t="str">
            <v>SCREW, M3 x 0.5 X 8mm, PAND HEAD, PHILLIPS, STEEL</v>
          </cell>
          <cell r="E676" t="str">
            <v>B</v>
          </cell>
          <cell r="F676" t="str">
            <v>Screw</v>
          </cell>
          <cell r="G676">
            <v>6</v>
          </cell>
          <cell r="H676">
            <v>4.4400000000000002E-2</v>
          </cell>
          <cell r="I676" t="str">
            <v>Buy</v>
          </cell>
        </row>
        <row r="677">
          <cell r="A677" t="str">
            <v>ASY-006799-01</v>
          </cell>
          <cell r="B677">
            <v>1</v>
          </cell>
          <cell r="C677" t="str">
            <v>SCW-000483-00</v>
          </cell>
          <cell r="D677" t="str">
            <v>SCREW, PHILIPS FLAT HEAD, M2.5x0.45x5 , 18-8 SST</v>
          </cell>
          <cell r="E677" t="str">
            <v>A</v>
          </cell>
          <cell r="F677" t="str">
            <v>Screw</v>
          </cell>
          <cell r="G677">
            <v>4</v>
          </cell>
          <cell r="H677">
            <v>0.02</v>
          </cell>
          <cell r="I677" t="str">
            <v>Buy</v>
          </cell>
        </row>
        <row r="678">
          <cell r="A678" t="str">
            <v>ASY-006799-01</v>
          </cell>
          <cell r="B678">
            <v>1</v>
          </cell>
          <cell r="C678" t="str">
            <v>SCW-000556-00</v>
          </cell>
          <cell r="D678" t="str">
            <v>SCREW, HEX, SERRATED, #8-32, GROUNDING, TROV 2</v>
          </cell>
          <cell r="E678" t="str">
            <v>A</v>
          </cell>
          <cell r="F678" t="str">
            <v>Screw</v>
          </cell>
          <cell r="G678">
            <v>1</v>
          </cell>
          <cell r="H678">
            <v>0.04</v>
          </cell>
          <cell r="I678" t="str">
            <v>Buy</v>
          </cell>
        </row>
        <row r="679">
          <cell r="A679" t="str">
            <v>ASY-006799-01</v>
          </cell>
          <cell r="B679">
            <v>1</v>
          </cell>
          <cell r="C679" t="str">
            <v>SCW-000567-00</v>
          </cell>
          <cell r="D679" t="str">
            <v>SCREW, M2.5 x 0.45 x 12.0mm LENGTH, PAN HD, PHILLIPS, ZINC-PLATED STEEL</v>
          </cell>
          <cell r="E679" t="str">
            <v>A</v>
          </cell>
          <cell r="F679" t="str">
            <v>Screw</v>
          </cell>
          <cell r="G679">
            <v>4</v>
          </cell>
          <cell r="H679">
            <v>0.06</v>
          </cell>
          <cell r="I679" t="str">
            <v>Buy</v>
          </cell>
        </row>
        <row r="680">
          <cell r="A680" t="str">
            <v>ASY-006799-01</v>
          </cell>
          <cell r="B680">
            <v>1</v>
          </cell>
          <cell r="C680" t="str">
            <v>SCW-000574-00</v>
          </cell>
          <cell r="D680" t="str">
            <v>SCREW, TORX HEAD, 1/4-28x1/2", LOW PROFILE, ALLOY STEEL</v>
          </cell>
          <cell r="E680" t="str">
            <v>A</v>
          </cell>
          <cell r="F680" t="str">
            <v>Screw</v>
          </cell>
          <cell r="G680">
            <v>2</v>
          </cell>
          <cell r="H680">
            <v>0.14000000000000001</v>
          </cell>
          <cell r="I680" t="str">
            <v>Buy</v>
          </cell>
        </row>
        <row r="681">
          <cell r="A681" t="str">
            <v>ASY-006799-01</v>
          </cell>
          <cell r="B681">
            <v>1</v>
          </cell>
          <cell r="C681" t="str">
            <v>SHT-000043-00</v>
          </cell>
          <cell r="D681" t="str">
            <v>INSULATION SHEET, HBA, 4FT,TROV 2</v>
          </cell>
          <cell r="E681" t="str">
            <v>D</v>
          </cell>
          <cell r="F681" t="str">
            <v>Sheet</v>
          </cell>
          <cell r="G681">
            <v>1</v>
          </cell>
          <cell r="H681">
            <v>0.25</v>
          </cell>
          <cell r="I681" t="str">
            <v>Buy</v>
          </cell>
        </row>
        <row r="682">
          <cell r="A682" t="str">
            <v>ASY-006799-01</v>
          </cell>
          <cell r="B682">
            <v>1</v>
          </cell>
          <cell r="C682" t="str">
            <v>SPG-000023-00</v>
          </cell>
          <cell r="D682" t="str">
            <v>SPRING, DISC, STACKED WAVE, TROV 2.0</v>
          </cell>
          <cell r="E682" t="str">
            <v>A</v>
          </cell>
          <cell r="F682" t="str">
            <v>Spring</v>
          </cell>
          <cell r="G682">
            <v>2</v>
          </cell>
          <cell r="H682">
            <v>1.74</v>
          </cell>
          <cell r="I682" t="str">
            <v>Buy</v>
          </cell>
        </row>
        <row r="683">
          <cell r="A683" t="str">
            <v>ASY-006799-01</v>
          </cell>
          <cell r="B683">
            <v>1</v>
          </cell>
          <cell r="C683" t="str">
            <v>TAP-000031-00</v>
          </cell>
          <cell r="D683" t="str">
            <v>3M Electrical Tape 92</v>
          </cell>
          <cell r="E683" t="str">
            <v>A</v>
          </cell>
          <cell r="F683" t="str">
            <v>Tape</v>
          </cell>
          <cell r="G683">
            <v>120</v>
          </cell>
          <cell r="H683">
            <v>1.4E-2</v>
          </cell>
          <cell r="I683" t="str">
            <v>Buy</v>
          </cell>
        </row>
        <row r="684">
          <cell r="A684" t="str">
            <v>ASY-006799-01</v>
          </cell>
          <cell r="B684">
            <v>1</v>
          </cell>
          <cell r="C684" t="str">
            <v>TMP-000028-00</v>
          </cell>
          <cell r="D684" t="str">
            <v>Thermal Pad, LED PCBA, 2 FT, TROV 2</v>
          </cell>
          <cell r="E684" t="str">
            <v>B</v>
          </cell>
          <cell r="F684" t="str">
            <v>Thermal Pad</v>
          </cell>
          <cell r="G684">
            <v>2</v>
          </cell>
          <cell r="H684">
            <v>1.32</v>
          </cell>
          <cell r="I684" t="str">
            <v>Buy</v>
          </cell>
        </row>
        <row r="685">
          <cell r="A685" t="str">
            <v>ASY-006799-01</v>
          </cell>
          <cell r="B685">
            <v>1</v>
          </cell>
          <cell r="C685" t="str">
            <v>TMP-000029-00</v>
          </cell>
          <cell r="D685" t="str">
            <v>Thermal Pad, HBA, TROV 2</v>
          </cell>
          <cell r="E685" t="str">
            <v>B</v>
          </cell>
          <cell r="F685" t="str">
            <v>Thermal Pad</v>
          </cell>
          <cell r="G685">
            <v>2</v>
          </cell>
          <cell r="H685">
            <v>0.14000000000000001</v>
          </cell>
          <cell r="I685" t="str">
            <v>Buy</v>
          </cell>
        </row>
        <row r="686">
          <cell r="A686" t="str">
            <v>ASY-006799-02</v>
          </cell>
          <cell r="B686">
            <v>0</v>
          </cell>
          <cell r="C686" t="str">
            <v>ASY-006799-02</v>
          </cell>
          <cell r="D686" t="str">
            <v>ASSY, MECHANICAL, L45, OUTDOOR, 4 FT, TROV 2.0, WHITE</v>
          </cell>
          <cell r="E686" t="str">
            <v>P</v>
          </cell>
          <cell r="F686" t="str">
            <v>Sub assembly</v>
          </cell>
          <cell r="H686">
            <v>0</v>
          </cell>
          <cell r="I686" t="str">
            <v>Make</v>
          </cell>
        </row>
        <row r="687">
          <cell r="A687" t="str">
            <v>ASY-006799-02</v>
          </cell>
          <cell r="B687">
            <v>1</v>
          </cell>
          <cell r="C687" t="str">
            <v>ACB-000261-00</v>
          </cell>
          <cell r="D687" t="str">
            <v>CABLE, ECOBUS, 24AWG, SHORT, TROV 2</v>
          </cell>
          <cell r="E687" t="str">
            <v>B</v>
          </cell>
          <cell r="F687" t="str">
            <v>Cable</v>
          </cell>
          <cell r="G687">
            <v>1</v>
          </cell>
          <cell r="H687">
            <v>0.76</v>
          </cell>
          <cell r="I687" t="str">
            <v>Buy</v>
          </cell>
        </row>
        <row r="688">
          <cell r="A688" t="str">
            <v>ASY-006799-02</v>
          </cell>
          <cell r="B688">
            <v>1</v>
          </cell>
          <cell r="C688" t="str">
            <v>ACB-000261-01</v>
          </cell>
          <cell r="D688" t="str">
            <v>CABLE, ECOBUS, 24AWG, LONG, TROV 2</v>
          </cell>
          <cell r="E688" t="str">
            <v>B</v>
          </cell>
          <cell r="F688" t="str">
            <v>Cable</v>
          </cell>
          <cell r="G688">
            <v>1</v>
          </cell>
          <cell r="H688">
            <v>0.82</v>
          </cell>
          <cell r="I688" t="str">
            <v>Buy</v>
          </cell>
        </row>
        <row r="689">
          <cell r="A689" t="str">
            <v>ASY-006799-02</v>
          </cell>
          <cell r="B689">
            <v>1</v>
          </cell>
          <cell r="C689" t="str">
            <v>ASY-100008-00</v>
          </cell>
          <cell r="D689" t="str">
            <v>Cable Subassembly, Driver housing, 4ft, Trov 2</v>
          </cell>
          <cell r="E689" t="str">
            <v>A</v>
          </cell>
          <cell r="F689" t="str">
            <v>Sub assembly</v>
          </cell>
          <cell r="G689">
            <v>1</v>
          </cell>
          <cell r="H689">
            <v>0</v>
          </cell>
          <cell r="I689" t="str">
            <v>Make</v>
          </cell>
        </row>
        <row r="690">
          <cell r="A690" t="str">
            <v>ASY-006799-02</v>
          </cell>
          <cell r="B690">
            <v>2</v>
          </cell>
          <cell r="C690" t="str">
            <v>ACB-000272-00</v>
          </cell>
          <cell r="D690" t="str">
            <v>CABLE ASSY, INTRA-FIXTURE, 4FT, TROV 2.0</v>
          </cell>
          <cell r="E690" t="str">
            <v>B</v>
          </cell>
          <cell r="F690" t="str">
            <v>Cable Assembly</v>
          </cell>
          <cell r="G690">
            <v>1</v>
          </cell>
          <cell r="H690">
            <v>20.420000000000002</v>
          </cell>
          <cell r="I690" t="str">
            <v>Buy</v>
          </cell>
        </row>
        <row r="691">
          <cell r="A691" t="str">
            <v>ASY-006799-02</v>
          </cell>
          <cell r="B691">
            <v>3</v>
          </cell>
          <cell r="C691" t="str">
            <v>ACB-000273-00</v>
          </cell>
          <cell r="D691" t="str">
            <v>6 CONDUCTOR CABLE, 3X22AWG, 3X16AWG, AL MYLAR, TROV 2</v>
          </cell>
          <cell r="E691" t="str">
            <v>A</v>
          </cell>
          <cell r="F691" t="str">
            <v>Cable</v>
          </cell>
          <cell r="G691">
            <v>1</v>
          </cell>
          <cell r="H691">
            <v>0</v>
          </cell>
          <cell r="I691" t="str">
            <v>N/A</v>
          </cell>
        </row>
        <row r="692">
          <cell r="A692" t="str">
            <v>ASY-006799-02</v>
          </cell>
          <cell r="B692">
            <v>3</v>
          </cell>
          <cell r="C692" t="str">
            <v>ACB-000274-00</v>
          </cell>
          <cell r="D692" t="str">
            <v>CABLE ASSEMBLY, INTERNAL, DRIVER SIDE, 4FT, TROV 2</v>
          </cell>
          <cell r="E692" t="str">
            <v>A</v>
          </cell>
          <cell r="F692" t="str">
            <v>Cable Assembly</v>
          </cell>
          <cell r="G692">
            <v>1</v>
          </cell>
          <cell r="H692">
            <v>0</v>
          </cell>
          <cell r="I692" t="str">
            <v>N/A</v>
          </cell>
        </row>
        <row r="693">
          <cell r="A693" t="str">
            <v>ASY-006799-02</v>
          </cell>
          <cell r="B693">
            <v>3</v>
          </cell>
          <cell r="C693" t="str">
            <v>CON-000259-00</v>
          </cell>
          <cell r="D693" t="str">
            <v>CONNECTOR, MALE, 6 PIN, TROV 2</v>
          </cell>
          <cell r="E693" t="str">
            <v>B</v>
          </cell>
          <cell r="F693" t="str">
            <v>Connector</v>
          </cell>
          <cell r="G693">
            <v>1</v>
          </cell>
          <cell r="H693">
            <v>0</v>
          </cell>
          <cell r="I693" t="str">
            <v>N/A</v>
          </cell>
        </row>
        <row r="694">
          <cell r="A694" t="str">
            <v>ASY-006799-02</v>
          </cell>
          <cell r="B694">
            <v>3</v>
          </cell>
          <cell r="C694" t="str">
            <v>CON-000260-00</v>
          </cell>
          <cell r="D694" t="str">
            <v>CONNECTOR, FEMALE, 6 PIN, TROV 2</v>
          </cell>
          <cell r="E694" t="str">
            <v>A</v>
          </cell>
          <cell r="F694" t="str">
            <v>Connector</v>
          </cell>
          <cell r="G694">
            <v>1</v>
          </cell>
          <cell r="H694">
            <v>0</v>
          </cell>
          <cell r="I694" t="str">
            <v>N/A</v>
          </cell>
        </row>
        <row r="695">
          <cell r="A695" t="str">
            <v>ASY-006799-02</v>
          </cell>
          <cell r="B695">
            <v>3</v>
          </cell>
          <cell r="C695" t="str">
            <v>HSG-000330-00</v>
          </cell>
          <cell r="D695" t="str">
            <v>DRIVER HOUSING, 4 FT, TROV 2</v>
          </cell>
          <cell r="E695" t="str">
            <v>A</v>
          </cell>
          <cell r="F695" t="str">
            <v>Housing</v>
          </cell>
          <cell r="G695">
            <v>1</v>
          </cell>
          <cell r="H695">
            <v>0</v>
          </cell>
          <cell r="I695" t="str">
            <v>N/A</v>
          </cell>
        </row>
        <row r="696">
          <cell r="A696" t="str">
            <v>ASY-006799-02</v>
          </cell>
          <cell r="B696">
            <v>3</v>
          </cell>
          <cell r="C696" t="str">
            <v>ORG-000060-00</v>
          </cell>
          <cell r="D696" t="str">
            <v>O-RING, CABLE, TROV 2</v>
          </cell>
          <cell r="E696" t="str">
            <v>A</v>
          </cell>
          <cell r="F696" t="str">
            <v>O-Ring</v>
          </cell>
          <cell r="G696">
            <v>1</v>
          </cell>
          <cell r="H696">
            <v>0</v>
          </cell>
          <cell r="I696" t="str">
            <v>N/A</v>
          </cell>
        </row>
        <row r="697">
          <cell r="A697" t="str">
            <v>ASY-006799-02</v>
          </cell>
          <cell r="B697">
            <v>3</v>
          </cell>
          <cell r="C697" t="str">
            <v>SRF-000030-00</v>
          </cell>
          <cell r="D697" t="str">
            <v>STRAIN RELIEF, CABLE, TROV 2</v>
          </cell>
          <cell r="E697" t="str">
            <v>A</v>
          </cell>
          <cell r="F697" t="str">
            <v>Strain Relief</v>
          </cell>
          <cell r="G697">
            <v>1</v>
          </cell>
          <cell r="H697">
            <v>0</v>
          </cell>
          <cell r="I697" t="str">
            <v>N/A</v>
          </cell>
        </row>
        <row r="698">
          <cell r="A698" t="str">
            <v>ASY-006799-02</v>
          </cell>
          <cell r="B698">
            <v>2</v>
          </cell>
          <cell r="C698" t="str">
            <v>BKT-000517-00</v>
          </cell>
          <cell r="D698" t="str">
            <v>BRACKET, ROTATING LOCK, 4 FT, TROV 2.0</v>
          </cell>
          <cell r="E698" t="str">
            <v>B</v>
          </cell>
          <cell r="F698" t="str">
            <v>Bracket</v>
          </cell>
          <cell r="G698">
            <v>1</v>
          </cell>
          <cell r="H698">
            <v>0.9</v>
          </cell>
          <cell r="I698" t="str">
            <v>Buy</v>
          </cell>
        </row>
        <row r="699">
          <cell r="A699" t="str">
            <v>ASY-006799-02</v>
          </cell>
          <cell r="B699">
            <v>2</v>
          </cell>
          <cell r="C699" t="str">
            <v>BKT-000518-00</v>
          </cell>
          <cell r="D699" t="str">
            <v>BRACKET, PANEL MOUNT, 4 FT, TROV 2.0</v>
          </cell>
          <cell r="E699" t="str">
            <v>B</v>
          </cell>
          <cell r="F699" t="str">
            <v>Bracket</v>
          </cell>
          <cell r="G699">
            <v>1</v>
          </cell>
          <cell r="H699">
            <v>0.9</v>
          </cell>
          <cell r="I699" t="str">
            <v>Buy</v>
          </cell>
        </row>
        <row r="700">
          <cell r="A700" t="str">
            <v>ASY-006799-02</v>
          </cell>
          <cell r="B700">
            <v>2</v>
          </cell>
          <cell r="C700" t="str">
            <v>SCW-000509-00</v>
          </cell>
          <cell r="D700" t="str">
            <v>SCREW, SEALING FLAT HEAD, M3x0.5x8MM</v>
          </cell>
          <cell r="E700" t="str">
            <v>B</v>
          </cell>
          <cell r="F700" t="str">
            <v>Screw</v>
          </cell>
          <cell r="G700">
            <v>2</v>
          </cell>
          <cell r="H700">
            <v>0.4</v>
          </cell>
          <cell r="I700" t="str">
            <v>Buy</v>
          </cell>
        </row>
        <row r="701">
          <cell r="A701" t="str">
            <v>ASY-006799-02</v>
          </cell>
          <cell r="B701">
            <v>1</v>
          </cell>
          <cell r="C701" t="str">
            <v>BAS-000021-00</v>
          </cell>
          <cell r="D701" t="str">
            <v>BASE, 4FT, TROV 2.0</v>
          </cell>
          <cell r="E701" t="str">
            <v>F</v>
          </cell>
          <cell r="F701" t="str">
            <v>Base</v>
          </cell>
          <cell r="G701">
            <v>1</v>
          </cell>
          <cell r="H701">
            <v>14.25</v>
          </cell>
          <cell r="I701" t="str">
            <v>Buy</v>
          </cell>
        </row>
        <row r="702">
          <cell r="A702" t="str">
            <v>ASY-006799-02</v>
          </cell>
          <cell r="B702">
            <v>1</v>
          </cell>
          <cell r="C702" t="str">
            <v>BKT-000457-03</v>
          </cell>
          <cell r="D702" t="str">
            <v>BRACKET, MOUNT, LEFT, BLACK, TROV 2.0</v>
          </cell>
          <cell r="E702" t="str">
            <v>C</v>
          </cell>
          <cell r="F702" t="str">
            <v>Bracket</v>
          </cell>
          <cell r="G702">
            <v>1</v>
          </cell>
          <cell r="H702">
            <v>0.99</v>
          </cell>
          <cell r="I702" t="str">
            <v>Buy</v>
          </cell>
        </row>
        <row r="703">
          <cell r="A703" t="str">
            <v>ASY-006799-02</v>
          </cell>
          <cell r="B703">
            <v>1</v>
          </cell>
          <cell r="C703" t="str">
            <v>BKT-000458-03</v>
          </cell>
          <cell r="D703" t="str">
            <v>BRACKET, MOUNT, RIGHT, BLACK, TROV 2.0</v>
          </cell>
          <cell r="E703" t="str">
            <v>C</v>
          </cell>
          <cell r="F703" t="str">
            <v>Bracket</v>
          </cell>
          <cell r="G703">
            <v>1</v>
          </cell>
          <cell r="H703">
            <v>0.99</v>
          </cell>
          <cell r="I703" t="str">
            <v>Buy</v>
          </cell>
        </row>
        <row r="704">
          <cell r="A704" t="str">
            <v>ASY-006799-02</v>
          </cell>
          <cell r="B704">
            <v>1</v>
          </cell>
          <cell r="C704" t="str">
            <v>CVR-000791-04</v>
          </cell>
          <cell r="D704" t="str">
            <v>END COVER, FC, WHITE, L45, TROV 2.0</v>
          </cell>
          <cell r="E704" t="str">
            <v>D</v>
          </cell>
          <cell r="F704" t="str">
            <v>Cover</v>
          </cell>
          <cell r="G704">
            <v>1</v>
          </cell>
          <cell r="H704">
            <v>1.07</v>
          </cell>
          <cell r="I704" t="str">
            <v>Buy</v>
          </cell>
        </row>
        <row r="705">
          <cell r="A705" t="str">
            <v>ASY-006799-02</v>
          </cell>
          <cell r="B705">
            <v>1</v>
          </cell>
          <cell r="C705" t="str">
            <v>CVR-000894-04</v>
          </cell>
          <cell r="D705" t="str">
            <v>END COVER, MC, WHITE, L45, TROV 2.0</v>
          </cell>
          <cell r="E705" t="str">
            <v>B</v>
          </cell>
          <cell r="F705" t="str">
            <v>Cover</v>
          </cell>
          <cell r="G705">
            <v>1</v>
          </cell>
          <cell r="H705">
            <v>1.07</v>
          </cell>
          <cell r="I705" t="str">
            <v>Buy</v>
          </cell>
        </row>
        <row r="706">
          <cell r="A706" t="str">
            <v>ASY-006799-02</v>
          </cell>
          <cell r="B706">
            <v>1</v>
          </cell>
          <cell r="C706" t="str">
            <v>FOM-000029-00</v>
          </cell>
          <cell r="D706" t="str">
            <v>FOAM, LIGHTBLOCK, ENDCAP, L45, TROV2</v>
          </cell>
          <cell r="E706" t="str">
            <v>A</v>
          </cell>
          <cell r="F706" t="str">
            <v>Foam</v>
          </cell>
          <cell r="G706">
            <v>2</v>
          </cell>
          <cell r="H706">
            <v>0.02</v>
          </cell>
          <cell r="I706" t="str">
            <v>Buy</v>
          </cell>
        </row>
        <row r="707">
          <cell r="A707" t="str">
            <v>ASY-006799-02</v>
          </cell>
          <cell r="B707">
            <v>1</v>
          </cell>
          <cell r="C707" t="str">
            <v>GSK-000114-01</v>
          </cell>
          <cell r="D707" t="str">
            <v>GASKET, TERTIARY LENS, 3M, 2 FT, L45, TROV 2.0</v>
          </cell>
          <cell r="E707" t="str">
            <v>D</v>
          </cell>
          <cell r="F707" t="str">
            <v>Gasket</v>
          </cell>
          <cell r="G707">
            <v>2</v>
          </cell>
          <cell r="H707">
            <v>2.65</v>
          </cell>
          <cell r="I707" t="str">
            <v>Buy</v>
          </cell>
        </row>
        <row r="708">
          <cell r="A708" t="str">
            <v>ASY-006799-02</v>
          </cell>
          <cell r="B708">
            <v>1</v>
          </cell>
          <cell r="C708" t="str">
            <v>GSK-000122-01</v>
          </cell>
          <cell r="D708" t="str">
            <v>GASKET, DRIVER ENCLOSURE, 3M, 4 FT, TROV 2.0</v>
          </cell>
          <cell r="E708" t="str">
            <v>B</v>
          </cell>
          <cell r="F708" t="str">
            <v>Gasket</v>
          </cell>
          <cell r="G708">
            <v>1</v>
          </cell>
          <cell r="H708">
            <v>2.0299999999999998</v>
          </cell>
          <cell r="I708" t="str">
            <v>Buy</v>
          </cell>
        </row>
        <row r="709">
          <cell r="A709" t="str">
            <v>ASY-006799-02</v>
          </cell>
          <cell r="B709">
            <v>1</v>
          </cell>
          <cell r="C709" t="str">
            <v>HSG-000494-04</v>
          </cell>
          <cell r="D709" t="str">
            <v>HOUSING, TOP, 4 FT, L45, WHITE, TROV 2.0</v>
          </cell>
          <cell r="E709" t="str">
            <v>E</v>
          </cell>
          <cell r="F709" t="str">
            <v>Housing</v>
          </cell>
          <cell r="G709">
            <v>1</v>
          </cell>
          <cell r="H709">
            <v>14.25</v>
          </cell>
          <cell r="I709" t="str">
            <v>Buy</v>
          </cell>
        </row>
        <row r="710">
          <cell r="A710" t="str">
            <v>ASY-006799-02</v>
          </cell>
          <cell r="B710">
            <v>1</v>
          </cell>
          <cell r="C710" t="str">
            <v>HSG-000495-04</v>
          </cell>
          <cell r="D710" t="str">
            <v>HOUSING, BOTTOM, 4 FT, WHITE, TROV 2.0</v>
          </cell>
          <cell r="E710" t="str">
            <v>F</v>
          </cell>
          <cell r="F710" t="str">
            <v>Housing</v>
          </cell>
          <cell r="G710">
            <v>1</v>
          </cell>
          <cell r="H710">
            <v>13.18</v>
          </cell>
          <cell r="I710" t="str">
            <v>Buy</v>
          </cell>
        </row>
        <row r="711">
          <cell r="A711" t="str">
            <v>ASY-006799-02</v>
          </cell>
          <cell r="B711">
            <v>1</v>
          </cell>
          <cell r="C711" t="str">
            <v>LBA-000003-00</v>
          </cell>
          <cell r="D711" t="str">
            <v>Label: TROV 2 P1/P2, Model L45/L60</v>
          </cell>
          <cell r="E711" t="str">
            <v>A</v>
          </cell>
          <cell r="F711" t="str">
            <v>Label BOM</v>
          </cell>
          <cell r="G711">
            <v>1</v>
          </cell>
          <cell r="H711">
            <v>0</v>
          </cell>
          <cell r="I711" t="str">
            <v>Make</v>
          </cell>
        </row>
        <row r="712">
          <cell r="A712" t="str">
            <v>ASY-006799-02</v>
          </cell>
          <cell r="B712">
            <v>2</v>
          </cell>
          <cell r="C712" t="str">
            <v>LBL-000243-00</v>
          </cell>
          <cell r="D712" t="str">
            <v>Blank Product Label: Trov 2 P1/P2, Model L45/L60</v>
          </cell>
          <cell r="E712" t="str">
            <v>A</v>
          </cell>
          <cell r="F712" t="str">
            <v>Label</v>
          </cell>
          <cell r="G712">
            <v>1</v>
          </cell>
          <cell r="H712">
            <v>0.33</v>
          </cell>
          <cell r="I712" t="str">
            <v>Buy</v>
          </cell>
        </row>
        <row r="713">
          <cell r="A713" t="str">
            <v>ASY-006799-02</v>
          </cell>
          <cell r="B713">
            <v>1</v>
          </cell>
          <cell r="C713" t="str">
            <v>PLG-000009-01</v>
          </cell>
          <cell r="D713" t="str">
            <v>Porex Vent, Trov, L50 Exterior</v>
          </cell>
          <cell r="E713" t="str">
            <v>B</v>
          </cell>
          <cell r="F713" t="str">
            <v>Plug</v>
          </cell>
          <cell r="G713">
            <v>2</v>
          </cell>
          <cell r="H713">
            <v>0.17</v>
          </cell>
          <cell r="I713" t="str">
            <v>Buy</v>
          </cell>
        </row>
        <row r="714">
          <cell r="A714" t="str">
            <v>ASY-006799-02</v>
          </cell>
          <cell r="B714">
            <v>1</v>
          </cell>
          <cell r="C714" t="str">
            <v>SCW-000156-00</v>
          </cell>
          <cell r="D714" t="str">
            <v>SCREW, M3 x 0.5 X 8mm, PAND HEAD, PHILLIPS, STEEL</v>
          </cell>
          <cell r="E714" t="str">
            <v>B</v>
          </cell>
          <cell r="F714" t="str">
            <v>Screw</v>
          </cell>
          <cell r="G714">
            <v>6</v>
          </cell>
          <cell r="H714">
            <v>4.4400000000000002E-2</v>
          </cell>
          <cell r="I714" t="str">
            <v>Buy</v>
          </cell>
        </row>
        <row r="715">
          <cell r="A715" t="str">
            <v>ASY-006799-02</v>
          </cell>
          <cell r="B715">
            <v>1</v>
          </cell>
          <cell r="C715" t="str">
            <v>SCW-000483-00</v>
          </cell>
          <cell r="D715" t="str">
            <v>SCREW, PHILIPS FLAT HEAD, M2.5x0.45x5 , 18-8 SST</v>
          </cell>
          <cell r="E715" t="str">
            <v>A</v>
          </cell>
          <cell r="F715" t="str">
            <v>Screw</v>
          </cell>
          <cell r="G715">
            <v>4</v>
          </cell>
          <cell r="H715">
            <v>0.02</v>
          </cell>
          <cell r="I715" t="str">
            <v>Buy</v>
          </cell>
        </row>
        <row r="716">
          <cell r="A716" t="str">
            <v>ASY-006799-02</v>
          </cell>
          <cell r="B716">
            <v>1</v>
          </cell>
          <cell r="C716" t="str">
            <v>SCW-000556-00</v>
          </cell>
          <cell r="D716" t="str">
            <v>SCREW, HEX, SERRATED, #8-32, GROUNDING, TROV 2</v>
          </cell>
          <cell r="E716" t="str">
            <v>A</v>
          </cell>
          <cell r="F716" t="str">
            <v>Screw</v>
          </cell>
          <cell r="G716">
            <v>1</v>
          </cell>
          <cell r="H716">
            <v>0.04</v>
          </cell>
          <cell r="I716" t="str">
            <v>Buy</v>
          </cell>
        </row>
        <row r="717">
          <cell r="A717" t="str">
            <v>ASY-006799-02</v>
          </cell>
          <cell r="B717">
            <v>1</v>
          </cell>
          <cell r="C717" t="str">
            <v>SCW-000567-00</v>
          </cell>
          <cell r="D717" t="str">
            <v>SCREW, M2.5 x 0.45 x 12.0mm LENGTH, PAN HD, PHILLIPS, ZINC-PLATED STEEL</v>
          </cell>
          <cell r="E717" t="str">
            <v>A</v>
          </cell>
          <cell r="F717" t="str">
            <v>Screw</v>
          </cell>
          <cell r="G717">
            <v>4</v>
          </cell>
          <cell r="H717">
            <v>0.06</v>
          </cell>
          <cell r="I717" t="str">
            <v>Buy</v>
          </cell>
        </row>
        <row r="718">
          <cell r="A718" t="str">
            <v>ASY-006799-02</v>
          </cell>
          <cell r="B718">
            <v>1</v>
          </cell>
          <cell r="C718" t="str">
            <v>SCW-000574-00</v>
          </cell>
          <cell r="D718" t="str">
            <v>SCREW, TORX HEAD, 1/4-28x1/2", LOW PROFILE, ALLOY STEEL</v>
          </cell>
          <cell r="E718" t="str">
            <v>A</v>
          </cell>
          <cell r="F718" t="str">
            <v>Screw</v>
          </cell>
          <cell r="G718">
            <v>2</v>
          </cell>
          <cell r="H718">
            <v>0.14000000000000001</v>
          </cell>
          <cell r="I718" t="str">
            <v>Buy</v>
          </cell>
        </row>
        <row r="719">
          <cell r="A719" t="str">
            <v>ASY-006799-02</v>
          </cell>
          <cell r="B719">
            <v>1</v>
          </cell>
          <cell r="C719" t="str">
            <v>SHT-000043-00</v>
          </cell>
          <cell r="D719" t="str">
            <v>INSULATION SHEET, HBA, 4FT,TROV 2</v>
          </cell>
          <cell r="E719" t="str">
            <v>D</v>
          </cell>
          <cell r="F719" t="str">
            <v>Sheet</v>
          </cell>
          <cell r="G719">
            <v>1</v>
          </cell>
          <cell r="H719">
            <v>0.25</v>
          </cell>
          <cell r="I719" t="str">
            <v>Buy</v>
          </cell>
        </row>
        <row r="720">
          <cell r="A720" t="str">
            <v>ASY-006799-02</v>
          </cell>
          <cell r="B720">
            <v>1</v>
          </cell>
          <cell r="C720" t="str">
            <v>SPG-000023-00</v>
          </cell>
          <cell r="D720" t="str">
            <v>SPRING, DISC, STACKED WAVE, TROV 2.0</v>
          </cell>
          <cell r="E720" t="str">
            <v>A</v>
          </cell>
          <cell r="F720" t="str">
            <v>Spring</v>
          </cell>
          <cell r="G720">
            <v>2</v>
          </cell>
          <cell r="H720">
            <v>1.74</v>
          </cell>
          <cell r="I720" t="str">
            <v>Buy</v>
          </cell>
        </row>
        <row r="721">
          <cell r="A721" t="str">
            <v>ASY-006799-02</v>
          </cell>
          <cell r="B721">
            <v>1</v>
          </cell>
          <cell r="C721" t="str">
            <v>TAP-000031-00</v>
          </cell>
          <cell r="D721" t="str">
            <v>3M Electrical Tape 92</v>
          </cell>
          <cell r="E721" t="str">
            <v>A</v>
          </cell>
          <cell r="F721" t="str">
            <v>Tape</v>
          </cell>
          <cell r="G721">
            <v>120</v>
          </cell>
          <cell r="H721">
            <v>1.4E-2</v>
          </cell>
          <cell r="I721" t="str">
            <v>Buy</v>
          </cell>
        </row>
        <row r="722">
          <cell r="A722" t="str">
            <v>ASY-006799-02</v>
          </cell>
          <cell r="B722">
            <v>1</v>
          </cell>
          <cell r="C722" t="str">
            <v>TMP-000028-00</v>
          </cell>
          <cell r="D722" t="str">
            <v>Thermal Pad, LED PCBA, 2 FT, TROV 2</v>
          </cell>
          <cell r="E722" t="str">
            <v>B</v>
          </cell>
          <cell r="F722" t="str">
            <v>Thermal Pad</v>
          </cell>
          <cell r="G722">
            <v>2</v>
          </cell>
          <cell r="H722">
            <v>1.32</v>
          </cell>
          <cell r="I722" t="str">
            <v>Buy</v>
          </cell>
        </row>
        <row r="723">
          <cell r="A723" t="str">
            <v>ASY-006799-02</v>
          </cell>
          <cell r="B723">
            <v>1</v>
          </cell>
          <cell r="C723" t="str">
            <v>TMP-000029-00</v>
          </cell>
          <cell r="D723" t="str">
            <v>Thermal Pad, HBA, TROV 2</v>
          </cell>
          <cell r="E723" t="str">
            <v>B</v>
          </cell>
          <cell r="F723" t="str">
            <v>Thermal Pad</v>
          </cell>
          <cell r="G723">
            <v>2</v>
          </cell>
          <cell r="H723">
            <v>0.14000000000000001</v>
          </cell>
          <cell r="I723" t="str">
            <v>Buy</v>
          </cell>
        </row>
        <row r="724">
          <cell r="A724" t="str">
            <v>ASY-006799-03</v>
          </cell>
          <cell r="B724">
            <v>0</v>
          </cell>
          <cell r="C724" t="str">
            <v>ASY-006799-03</v>
          </cell>
          <cell r="D724" t="str">
            <v>ASSY, MECHANICAL, L45, OUTDOOR, 4 FT, TROV 2.0, BRONZE</v>
          </cell>
          <cell r="E724" t="str">
            <v>P</v>
          </cell>
          <cell r="F724" t="str">
            <v>Sub assembly</v>
          </cell>
          <cell r="H724">
            <v>0</v>
          </cell>
          <cell r="I724" t="str">
            <v>Make</v>
          </cell>
        </row>
        <row r="725">
          <cell r="A725" t="str">
            <v>ASY-006799-03</v>
          </cell>
          <cell r="B725">
            <v>1</v>
          </cell>
          <cell r="C725" t="str">
            <v>ACB-000261-00</v>
          </cell>
          <cell r="D725" t="str">
            <v>CABLE, ECOBUS, 24AWG, SHORT, TROV 2</v>
          </cell>
          <cell r="E725" t="str">
            <v>B</v>
          </cell>
          <cell r="F725" t="str">
            <v>Cable</v>
          </cell>
          <cell r="G725">
            <v>1</v>
          </cell>
          <cell r="H725">
            <v>0.76</v>
          </cell>
          <cell r="I725" t="str">
            <v>Buy</v>
          </cell>
        </row>
        <row r="726">
          <cell r="A726" t="str">
            <v>ASY-006799-03</v>
          </cell>
          <cell r="B726">
            <v>1</v>
          </cell>
          <cell r="C726" t="str">
            <v>ACB-000261-01</v>
          </cell>
          <cell r="D726" t="str">
            <v>CABLE, ECOBUS, 24AWG, LONG, TROV 2</v>
          </cell>
          <cell r="E726" t="str">
            <v>B</v>
          </cell>
          <cell r="F726" t="str">
            <v>Cable</v>
          </cell>
          <cell r="G726">
            <v>1</v>
          </cell>
          <cell r="H726">
            <v>0.82</v>
          </cell>
          <cell r="I726" t="str">
            <v>Buy</v>
          </cell>
        </row>
        <row r="727">
          <cell r="A727" t="str">
            <v>ASY-006799-03</v>
          </cell>
          <cell r="B727">
            <v>1</v>
          </cell>
          <cell r="C727" t="str">
            <v>ASY-100008-00</v>
          </cell>
          <cell r="D727" t="str">
            <v>Cable Subassembly, Driver housing, 4ft, Trov 2</v>
          </cell>
          <cell r="E727" t="str">
            <v>A</v>
          </cell>
          <cell r="F727" t="str">
            <v>Sub assembly</v>
          </cell>
          <cell r="G727">
            <v>1</v>
          </cell>
          <cell r="H727">
            <v>0</v>
          </cell>
          <cell r="I727" t="str">
            <v>Make</v>
          </cell>
        </row>
        <row r="728">
          <cell r="A728" t="str">
            <v>ASY-006799-03</v>
          </cell>
          <cell r="B728">
            <v>2</v>
          </cell>
          <cell r="C728" t="str">
            <v>ACB-000272-00</v>
          </cell>
          <cell r="D728" t="str">
            <v>CABLE ASSY, INTRA-FIXTURE, 4FT, TROV 2.0</v>
          </cell>
          <cell r="E728" t="str">
            <v>B</v>
          </cell>
          <cell r="F728" t="str">
            <v>Cable Assembly</v>
          </cell>
          <cell r="G728">
            <v>1</v>
          </cell>
          <cell r="H728">
            <v>20.420000000000002</v>
          </cell>
          <cell r="I728" t="str">
            <v>Buy</v>
          </cell>
        </row>
        <row r="729">
          <cell r="A729" t="str">
            <v>ASY-006799-03</v>
          </cell>
          <cell r="B729">
            <v>3</v>
          </cell>
          <cell r="C729" t="str">
            <v>ACB-000273-00</v>
          </cell>
          <cell r="D729" t="str">
            <v>6 CONDUCTOR CABLE, 3X22AWG, 3X16AWG, AL MYLAR, TROV 2</v>
          </cell>
          <cell r="E729" t="str">
            <v>A</v>
          </cell>
          <cell r="F729" t="str">
            <v>Cable</v>
          </cell>
          <cell r="G729">
            <v>1</v>
          </cell>
          <cell r="H729">
            <v>0</v>
          </cell>
          <cell r="I729" t="str">
            <v>N/A</v>
          </cell>
        </row>
        <row r="730">
          <cell r="A730" t="str">
            <v>ASY-006799-03</v>
          </cell>
          <cell r="B730">
            <v>3</v>
          </cell>
          <cell r="C730" t="str">
            <v>ACB-000274-00</v>
          </cell>
          <cell r="D730" t="str">
            <v>CABLE ASSEMBLY, INTERNAL, DRIVER SIDE, 4FT, TROV 2</v>
          </cell>
          <cell r="E730" t="str">
            <v>A</v>
          </cell>
          <cell r="F730" t="str">
            <v>Cable Assembly</v>
          </cell>
          <cell r="G730">
            <v>1</v>
          </cell>
          <cell r="H730">
            <v>0</v>
          </cell>
          <cell r="I730" t="str">
            <v>N/A</v>
          </cell>
        </row>
        <row r="731">
          <cell r="A731" t="str">
            <v>ASY-006799-03</v>
          </cell>
          <cell r="B731">
            <v>3</v>
          </cell>
          <cell r="C731" t="str">
            <v>CON-000259-00</v>
          </cell>
          <cell r="D731" t="str">
            <v>CONNECTOR, MALE, 6 PIN, TROV 2</v>
          </cell>
          <cell r="E731" t="str">
            <v>B</v>
          </cell>
          <cell r="F731" t="str">
            <v>Connector</v>
          </cell>
          <cell r="G731">
            <v>1</v>
          </cell>
          <cell r="H731">
            <v>0</v>
          </cell>
          <cell r="I731" t="str">
            <v>N/A</v>
          </cell>
        </row>
        <row r="732">
          <cell r="A732" t="str">
            <v>ASY-006799-03</v>
          </cell>
          <cell r="B732">
            <v>3</v>
          </cell>
          <cell r="C732" t="str">
            <v>CON-000260-00</v>
          </cell>
          <cell r="D732" t="str">
            <v>CONNECTOR, FEMALE, 6 PIN, TROV 2</v>
          </cell>
          <cell r="E732" t="str">
            <v>A</v>
          </cell>
          <cell r="F732" t="str">
            <v>Connector</v>
          </cell>
          <cell r="G732">
            <v>1</v>
          </cell>
          <cell r="H732">
            <v>0</v>
          </cell>
          <cell r="I732" t="str">
            <v>N/A</v>
          </cell>
        </row>
        <row r="733">
          <cell r="A733" t="str">
            <v>ASY-006799-03</v>
          </cell>
          <cell r="B733">
            <v>3</v>
          </cell>
          <cell r="C733" t="str">
            <v>HSG-000330-00</v>
          </cell>
          <cell r="D733" t="str">
            <v>DRIVER HOUSING, 4 FT, TROV 2</v>
          </cell>
          <cell r="E733" t="str">
            <v>A</v>
          </cell>
          <cell r="F733" t="str">
            <v>Housing</v>
          </cell>
          <cell r="G733">
            <v>1</v>
          </cell>
          <cell r="H733">
            <v>0</v>
          </cell>
          <cell r="I733" t="str">
            <v>N/A</v>
          </cell>
        </row>
        <row r="734">
          <cell r="A734" t="str">
            <v>ASY-006799-03</v>
          </cell>
          <cell r="B734">
            <v>3</v>
          </cell>
          <cell r="C734" t="str">
            <v>ORG-000060-00</v>
          </cell>
          <cell r="D734" t="str">
            <v>O-RING, CABLE, TROV 2</v>
          </cell>
          <cell r="E734" t="str">
            <v>A</v>
          </cell>
          <cell r="F734" t="str">
            <v>O-Ring</v>
          </cell>
          <cell r="G734">
            <v>1</v>
          </cell>
          <cell r="H734">
            <v>0</v>
          </cell>
          <cell r="I734" t="str">
            <v>N/A</v>
          </cell>
        </row>
        <row r="735">
          <cell r="A735" t="str">
            <v>ASY-006799-03</v>
          </cell>
          <cell r="B735">
            <v>3</v>
          </cell>
          <cell r="C735" t="str">
            <v>SRF-000030-00</v>
          </cell>
          <cell r="D735" t="str">
            <v>STRAIN RELIEF, CABLE, TROV 2</v>
          </cell>
          <cell r="E735" t="str">
            <v>A</v>
          </cell>
          <cell r="F735" t="str">
            <v>Strain Relief</v>
          </cell>
          <cell r="G735">
            <v>1</v>
          </cell>
          <cell r="H735">
            <v>0</v>
          </cell>
          <cell r="I735" t="str">
            <v>N/A</v>
          </cell>
        </row>
        <row r="736">
          <cell r="A736" t="str">
            <v>ASY-006799-03</v>
          </cell>
          <cell r="B736">
            <v>2</v>
          </cell>
          <cell r="C736" t="str">
            <v>BKT-000517-00</v>
          </cell>
          <cell r="D736" t="str">
            <v>BRACKET, ROTATING LOCK, 4 FT, TROV 2.0</v>
          </cell>
          <cell r="E736" t="str">
            <v>B</v>
          </cell>
          <cell r="F736" t="str">
            <v>Bracket</v>
          </cell>
          <cell r="G736">
            <v>1</v>
          </cell>
          <cell r="H736">
            <v>0.9</v>
          </cell>
          <cell r="I736" t="str">
            <v>Buy</v>
          </cell>
        </row>
        <row r="737">
          <cell r="A737" t="str">
            <v>ASY-006799-03</v>
          </cell>
          <cell r="B737">
            <v>2</v>
          </cell>
          <cell r="C737" t="str">
            <v>BKT-000518-00</v>
          </cell>
          <cell r="D737" t="str">
            <v>BRACKET, PANEL MOUNT, 4 FT, TROV 2.0</v>
          </cell>
          <cell r="E737" t="str">
            <v>B</v>
          </cell>
          <cell r="F737" t="str">
            <v>Bracket</v>
          </cell>
          <cell r="G737">
            <v>1</v>
          </cell>
          <cell r="H737">
            <v>0.9</v>
          </cell>
          <cell r="I737" t="str">
            <v>Buy</v>
          </cell>
        </row>
        <row r="738">
          <cell r="A738" t="str">
            <v>ASY-006799-03</v>
          </cell>
          <cell r="B738">
            <v>2</v>
          </cell>
          <cell r="C738" t="str">
            <v>SCW-000509-00</v>
          </cell>
          <cell r="D738" t="str">
            <v>SCREW, SEALING FLAT HEAD, M3x0.5x8MM</v>
          </cell>
          <cell r="E738" t="str">
            <v>B</v>
          </cell>
          <cell r="F738" t="str">
            <v>Screw</v>
          </cell>
          <cell r="G738">
            <v>2</v>
          </cell>
          <cell r="H738">
            <v>0.4</v>
          </cell>
          <cell r="I738" t="str">
            <v>Buy</v>
          </cell>
        </row>
        <row r="739">
          <cell r="A739" t="str">
            <v>ASY-006799-03</v>
          </cell>
          <cell r="B739">
            <v>1</v>
          </cell>
          <cell r="C739" t="str">
            <v>BAS-000021-00</v>
          </cell>
          <cell r="D739" t="str">
            <v>BASE, 4FT, TROV 2.0</v>
          </cell>
          <cell r="E739" t="str">
            <v>F</v>
          </cell>
          <cell r="F739" t="str">
            <v>Base</v>
          </cell>
          <cell r="G739">
            <v>1</v>
          </cell>
          <cell r="H739">
            <v>14.25</v>
          </cell>
          <cell r="I739" t="str">
            <v>Buy</v>
          </cell>
        </row>
        <row r="740">
          <cell r="A740" t="str">
            <v>ASY-006799-03</v>
          </cell>
          <cell r="B740">
            <v>1</v>
          </cell>
          <cell r="C740" t="str">
            <v>BKT-000457-03</v>
          </cell>
          <cell r="D740" t="str">
            <v>BRACKET, MOUNT, LEFT, BLACK, TROV 2.0</v>
          </cell>
          <cell r="E740" t="str">
            <v>C</v>
          </cell>
          <cell r="F740" t="str">
            <v>Bracket</v>
          </cell>
          <cell r="G740">
            <v>1</v>
          </cell>
          <cell r="H740">
            <v>0.99</v>
          </cell>
          <cell r="I740" t="str">
            <v>Buy</v>
          </cell>
        </row>
        <row r="741">
          <cell r="A741" t="str">
            <v>ASY-006799-03</v>
          </cell>
          <cell r="B741">
            <v>1</v>
          </cell>
          <cell r="C741" t="str">
            <v>BKT-000458-03</v>
          </cell>
          <cell r="D741" t="str">
            <v>BRACKET, MOUNT, RIGHT, BLACK, TROV 2.0</v>
          </cell>
          <cell r="E741" t="str">
            <v>C</v>
          </cell>
          <cell r="F741" t="str">
            <v>Bracket</v>
          </cell>
          <cell r="G741">
            <v>1</v>
          </cell>
          <cell r="H741">
            <v>0.99</v>
          </cell>
          <cell r="I741" t="str">
            <v>Buy</v>
          </cell>
        </row>
        <row r="742">
          <cell r="A742" t="str">
            <v>ASY-006799-03</v>
          </cell>
          <cell r="B742">
            <v>1</v>
          </cell>
          <cell r="C742" t="str">
            <v>CVR-000791-02</v>
          </cell>
          <cell r="D742" t="str">
            <v>END COVER, FC, BRONZE, L45, TROV 2.0</v>
          </cell>
          <cell r="E742" t="str">
            <v>D</v>
          </cell>
          <cell r="F742" t="str">
            <v>Cover</v>
          </cell>
          <cell r="G742">
            <v>1</v>
          </cell>
          <cell r="H742">
            <v>1.07</v>
          </cell>
          <cell r="I742" t="str">
            <v>Buy</v>
          </cell>
        </row>
        <row r="743">
          <cell r="A743" t="str">
            <v>ASY-006799-03</v>
          </cell>
          <cell r="B743">
            <v>1</v>
          </cell>
          <cell r="C743" t="str">
            <v>CVR-000894-02</v>
          </cell>
          <cell r="D743" t="str">
            <v>END COVER, MC, BRONZE, L45, TROV 2.0</v>
          </cell>
          <cell r="E743" t="str">
            <v>B</v>
          </cell>
          <cell r="F743" t="str">
            <v>Cover</v>
          </cell>
          <cell r="G743">
            <v>1</v>
          </cell>
          <cell r="H743">
            <v>1.07</v>
          </cell>
          <cell r="I743" t="str">
            <v>Buy</v>
          </cell>
        </row>
        <row r="744">
          <cell r="A744" t="str">
            <v>ASY-006799-03</v>
          </cell>
          <cell r="B744">
            <v>1</v>
          </cell>
          <cell r="C744" t="str">
            <v>FOM-000029-00</v>
          </cell>
          <cell r="D744" t="str">
            <v>FOAM, LIGHTBLOCK, ENDCAP, L45, TROV2</v>
          </cell>
          <cell r="E744" t="str">
            <v>A</v>
          </cell>
          <cell r="F744" t="str">
            <v>Foam</v>
          </cell>
          <cell r="G744">
            <v>2</v>
          </cell>
          <cell r="H744">
            <v>0.02</v>
          </cell>
          <cell r="I744" t="str">
            <v>Buy</v>
          </cell>
        </row>
        <row r="745">
          <cell r="A745" t="str">
            <v>ASY-006799-03</v>
          </cell>
          <cell r="B745">
            <v>1</v>
          </cell>
          <cell r="C745" t="str">
            <v>GSK-000114-01</v>
          </cell>
          <cell r="D745" t="str">
            <v>GASKET, TERTIARY LENS, 3M, 2 FT, L45, TROV 2.0</v>
          </cell>
          <cell r="E745" t="str">
            <v>D</v>
          </cell>
          <cell r="F745" t="str">
            <v>Gasket</v>
          </cell>
          <cell r="G745">
            <v>2</v>
          </cell>
          <cell r="H745">
            <v>2.65</v>
          </cell>
          <cell r="I745" t="str">
            <v>Buy</v>
          </cell>
        </row>
        <row r="746">
          <cell r="A746" t="str">
            <v>ASY-006799-03</v>
          </cell>
          <cell r="B746">
            <v>1</v>
          </cell>
          <cell r="C746" t="str">
            <v>GSK-000122-01</v>
          </cell>
          <cell r="D746" t="str">
            <v>GASKET, DRIVER ENCLOSURE, 3M, 4 FT, TROV 2.0</v>
          </cell>
          <cell r="E746" t="str">
            <v>B</v>
          </cell>
          <cell r="F746" t="str">
            <v>Gasket</v>
          </cell>
          <cell r="G746">
            <v>1</v>
          </cell>
          <cell r="H746">
            <v>2.0299999999999998</v>
          </cell>
          <cell r="I746" t="str">
            <v>Buy</v>
          </cell>
        </row>
        <row r="747">
          <cell r="A747" t="str">
            <v>ASY-006799-03</v>
          </cell>
          <cell r="B747">
            <v>1</v>
          </cell>
          <cell r="C747" t="str">
            <v>HSG-000494-02</v>
          </cell>
          <cell r="D747" t="str">
            <v>HOUSING, TOP, 4 FT, L45, BRONZE, TROV 2.0</v>
          </cell>
          <cell r="E747" t="str">
            <v>E</v>
          </cell>
          <cell r="F747" t="str">
            <v>Housing</v>
          </cell>
          <cell r="G747">
            <v>1</v>
          </cell>
          <cell r="H747">
            <v>0</v>
          </cell>
          <cell r="I747" t="str">
            <v>Buy</v>
          </cell>
        </row>
        <row r="748">
          <cell r="A748" t="str">
            <v>ASY-006799-03</v>
          </cell>
          <cell r="B748">
            <v>1</v>
          </cell>
          <cell r="C748" t="str">
            <v>HSG-000495-02</v>
          </cell>
          <cell r="D748" t="str">
            <v>HOUSING, BOTTOM, 4 FT, BRONZE, TROV 2.0</v>
          </cell>
          <cell r="E748" t="str">
            <v>F</v>
          </cell>
          <cell r="F748" t="str">
            <v>Housing</v>
          </cell>
          <cell r="G748">
            <v>1</v>
          </cell>
          <cell r="H748">
            <v>29.32</v>
          </cell>
          <cell r="I748" t="str">
            <v>Buy</v>
          </cell>
        </row>
        <row r="749">
          <cell r="A749" t="str">
            <v>ASY-006799-03</v>
          </cell>
          <cell r="B749">
            <v>1</v>
          </cell>
          <cell r="C749" t="str">
            <v>LBA-000003-00</v>
          </cell>
          <cell r="D749" t="str">
            <v>Label: TROV 2 P1/P2, Model L45/L60</v>
          </cell>
          <cell r="E749" t="str">
            <v>A</v>
          </cell>
          <cell r="F749" t="str">
            <v>Label BOM</v>
          </cell>
          <cell r="G749">
            <v>1</v>
          </cell>
          <cell r="H749">
            <v>0</v>
          </cell>
          <cell r="I749" t="str">
            <v>Make</v>
          </cell>
        </row>
        <row r="750">
          <cell r="A750" t="str">
            <v>ASY-006799-03</v>
          </cell>
          <cell r="B750">
            <v>2</v>
          </cell>
          <cell r="C750" t="str">
            <v>LBL-000243-00</v>
          </cell>
          <cell r="D750" t="str">
            <v>Blank Product Label: Trov 2 P1/P2, Model L45/L60</v>
          </cell>
          <cell r="E750" t="str">
            <v>A</v>
          </cell>
          <cell r="F750" t="str">
            <v>Label</v>
          </cell>
          <cell r="G750">
            <v>1</v>
          </cell>
          <cell r="H750">
            <v>0.33</v>
          </cell>
          <cell r="I750" t="str">
            <v>Buy</v>
          </cell>
        </row>
        <row r="751">
          <cell r="A751" t="str">
            <v>ASY-006799-03</v>
          </cell>
          <cell r="B751">
            <v>1</v>
          </cell>
          <cell r="C751" t="str">
            <v>PLG-000009-01</v>
          </cell>
          <cell r="D751" t="str">
            <v>Porex Vent, Trov, L50 Exterior</v>
          </cell>
          <cell r="E751" t="str">
            <v>B</v>
          </cell>
          <cell r="F751" t="str">
            <v>Plug</v>
          </cell>
          <cell r="G751">
            <v>2</v>
          </cell>
          <cell r="H751">
            <v>0.17</v>
          </cell>
          <cell r="I751" t="str">
            <v>Buy</v>
          </cell>
        </row>
        <row r="752">
          <cell r="A752" t="str">
            <v>ASY-006799-03</v>
          </cell>
          <cell r="B752">
            <v>1</v>
          </cell>
          <cell r="C752" t="str">
            <v>SCW-000156-00</v>
          </cell>
          <cell r="D752" t="str">
            <v>SCREW, M3 x 0.5 X 8mm, PAND HEAD, PHILLIPS, STEEL</v>
          </cell>
          <cell r="E752" t="str">
            <v>B</v>
          </cell>
          <cell r="F752" t="str">
            <v>Screw</v>
          </cell>
          <cell r="G752">
            <v>6</v>
          </cell>
          <cell r="H752">
            <v>4.4400000000000002E-2</v>
          </cell>
          <cell r="I752" t="str">
            <v>Buy</v>
          </cell>
        </row>
        <row r="753">
          <cell r="A753" t="str">
            <v>ASY-006799-03</v>
          </cell>
          <cell r="B753">
            <v>1</v>
          </cell>
          <cell r="C753" t="str">
            <v>SCW-000483-00</v>
          </cell>
          <cell r="D753" t="str">
            <v>SCREW, PHILIPS FLAT HEAD, M2.5x0.45x5 , 18-8 SST</v>
          </cell>
          <cell r="E753" t="str">
            <v>A</v>
          </cell>
          <cell r="F753" t="str">
            <v>Screw</v>
          </cell>
          <cell r="G753">
            <v>4</v>
          </cell>
          <cell r="H753">
            <v>0.02</v>
          </cell>
          <cell r="I753" t="str">
            <v>Buy</v>
          </cell>
        </row>
        <row r="754">
          <cell r="A754" t="str">
            <v>ASY-006799-03</v>
          </cell>
          <cell r="B754">
            <v>1</v>
          </cell>
          <cell r="C754" t="str">
            <v>SCW-000556-00</v>
          </cell>
          <cell r="D754" t="str">
            <v>SCREW, HEX, SERRATED, #8-32, GROUNDING, TROV 2</v>
          </cell>
          <cell r="E754" t="str">
            <v>A</v>
          </cell>
          <cell r="F754" t="str">
            <v>Screw</v>
          </cell>
          <cell r="G754">
            <v>1</v>
          </cell>
          <cell r="H754">
            <v>0.04</v>
          </cell>
          <cell r="I754" t="str">
            <v>Buy</v>
          </cell>
        </row>
        <row r="755">
          <cell r="A755" t="str">
            <v>ASY-006799-03</v>
          </cell>
          <cell r="B755">
            <v>1</v>
          </cell>
          <cell r="C755" t="str">
            <v>SCW-000567-00</v>
          </cell>
          <cell r="D755" t="str">
            <v>SCREW, M2.5 x 0.45 x 12.0mm LENGTH, PAN HD, PHILLIPS, ZINC-PLATED STEEL</v>
          </cell>
          <cell r="E755" t="str">
            <v>A</v>
          </cell>
          <cell r="F755" t="str">
            <v>Screw</v>
          </cell>
          <cell r="G755">
            <v>4</v>
          </cell>
          <cell r="H755">
            <v>0.06</v>
          </cell>
          <cell r="I755" t="str">
            <v>Buy</v>
          </cell>
        </row>
        <row r="756">
          <cell r="A756" t="str">
            <v>ASY-006799-03</v>
          </cell>
          <cell r="B756">
            <v>1</v>
          </cell>
          <cell r="C756" t="str">
            <v>SCW-000574-00</v>
          </cell>
          <cell r="D756" t="str">
            <v>SCREW, TORX HEAD, 1/4-28x1/2", LOW PROFILE, ALLOY STEEL</v>
          </cell>
          <cell r="E756" t="str">
            <v>A</v>
          </cell>
          <cell r="F756" t="str">
            <v>Screw</v>
          </cell>
          <cell r="G756">
            <v>2</v>
          </cell>
          <cell r="H756">
            <v>0.14000000000000001</v>
          </cell>
          <cell r="I756" t="str">
            <v>Buy</v>
          </cell>
        </row>
        <row r="757">
          <cell r="A757" t="str">
            <v>ASY-006799-03</v>
          </cell>
          <cell r="B757">
            <v>1</v>
          </cell>
          <cell r="C757" t="str">
            <v>SHT-000043-00</v>
          </cell>
          <cell r="D757" t="str">
            <v>INSULATION SHEET, HBA, 4FT,TROV 2</v>
          </cell>
          <cell r="E757" t="str">
            <v>D</v>
          </cell>
          <cell r="F757" t="str">
            <v>Sheet</v>
          </cell>
          <cell r="G757">
            <v>1</v>
          </cell>
          <cell r="H757">
            <v>0.25</v>
          </cell>
          <cell r="I757" t="str">
            <v>Buy</v>
          </cell>
        </row>
        <row r="758">
          <cell r="A758" t="str">
            <v>ASY-006799-03</v>
          </cell>
          <cell r="B758">
            <v>1</v>
          </cell>
          <cell r="C758" t="str">
            <v>SPG-000023-00</v>
          </cell>
          <cell r="D758" t="str">
            <v>SPRING, DISC, STACKED WAVE, TROV 2.0</v>
          </cell>
          <cell r="E758" t="str">
            <v>A</v>
          </cell>
          <cell r="F758" t="str">
            <v>Spring</v>
          </cell>
          <cell r="G758">
            <v>2</v>
          </cell>
          <cell r="H758">
            <v>1.74</v>
          </cell>
          <cell r="I758" t="str">
            <v>Buy</v>
          </cell>
        </row>
        <row r="759">
          <cell r="A759" t="str">
            <v>ASY-006799-03</v>
          </cell>
          <cell r="B759">
            <v>1</v>
          </cell>
          <cell r="C759" t="str">
            <v>TAP-000031-00</v>
          </cell>
          <cell r="D759" t="str">
            <v>3M Electrical Tape 92</v>
          </cell>
          <cell r="E759" t="str">
            <v>A</v>
          </cell>
          <cell r="F759" t="str">
            <v>Tape</v>
          </cell>
          <cell r="G759">
            <v>120</v>
          </cell>
          <cell r="H759">
            <v>1.4E-2</v>
          </cell>
          <cell r="I759" t="str">
            <v>Buy</v>
          </cell>
        </row>
        <row r="760">
          <cell r="A760" t="str">
            <v>ASY-006799-03</v>
          </cell>
          <cell r="B760">
            <v>1</v>
          </cell>
          <cell r="C760" t="str">
            <v>TMP-000028-00</v>
          </cell>
          <cell r="D760" t="str">
            <v>Thermal Pad, LED PCBA, 2 FT, TROV 2</v>
          </cell>
          <cell r="E760" t="str">
            <v>B</v>
          </cell>
          <cell r="F760" t="str">
            <v>Thermal Pad</v>
          </cell>
          <cell r="G760">
            <v>2</v>
          </cell>
          <cell r="H760">
            <v>1.32</v>
          </cell>
          <cell r="I760" t="str">
            <v>Buy</v>
          </cell>
        </row>
        <row r="761">
          <cell r="A761" t="str">
            <v>ASY-006799-03</v>
          </cell>
          <cell r="B761">
            <v>1</v>
          </cell>
          <cell r="C761" t="str">
            <v>TMP-000029-00</v>
          </cell>
          <cell r="D761" t="str">
            <v>Thermal Pad, HBA, TROV 2</v>
          </cell>
          <cell r="E761" t="str">
            <v>B</v>
          </cell>
          <cell r="F761" t="str">
            <v>Thermal Pad</v>
          </cell>
          <cell r="G761">
            <v>2</v>
          </cell>
          <cell r="H761">
            <v>0.14000000000000001</v>
          </cell>
          <cell r="I761" t="str">
            <v>Buy</v>
          </cell>
        </row>
        <row r="762">
          <cell r="A762" t="str">
            <v>ASY-006799-04</v>
          </cell>
          <cell r="B762">
            <v>0</v>
          </cell>
          <cell r="C762" t="str">
            <v>ASY-006799-04</v>
          </cell>
          <cell r="D762" t="str">
            <v>ASSY, MECHANICAL, L45, OUTDOOR, 4 FT, TROV 2.0, CUSTOM FINISH</v>
          </cell>
          <cell r="E762" t="str">
            <v>T</v>
          </cell>
          <cell r="F762" t="str">
            <v>Sub assembly</v>
          </cell>
          <cell r="H762">
            <v>0</v>
          </cell>
          <cell r="I762" t="str">
            <v>Make</v>
          </cell>
        </row>
        <row r="763">
          <cell r="A763" t="str">
            <v>ASY-006799-04</v>
          </cell>
          <cell r="B763">
            <v>1</v>
          </cell>
          <cell r="C763" t="str">
            <v>ACB-000261-00</v>
          </cell>
          <cell r="D763" t="str">
            <v>CABLE, ECOBUS, 24AWG, SHORT, TROV 2</v>
          </cell>
          <cell r="E763" t="str">
            <v>B</v>
          </cell>
          <cell r="F763" t="str">
            <v>Cable</v>
          </cell>
          <cell r="G763">
            <v>1</v>
          </cell>
          <cell r="H763">
            <v>0.76</v>
          </cell>
          <cell r="I763" t="str">
            <v>Buy</v>
          </cell>
        </row>
        <row r="764">
          <cell r="A764" t="str">
            <v>ASY-006799-04</v>
          </cell>
          <cell r="B764">
            <v>1</v>
          </cell>
          <cell r="C764" t="str">
            <v>ACB-000261-01</v>
          </cell>
          <cell r="D764" t="str">
            <v>CABLE, ECOBUS, 24AWG, LONG, TROV 2</v>
          </cell>
          <cell r="E764" t="str">
            <v>B</v>
          </cell>
          <cell r="F764" t="str">
            <v>Cable</v>
          </cell>
          <cell r="G764">
            <v>1</v>
          </cell>
          <cell r="H764">
            <v>0.82</v>
          </cell>
          <cell r="I764" t="str">
            <v>Buy</v>
          </cell>
        </row>
        <row r="765">
          <cell r="A765" t="str">
            <v>ASY-006799-04</v>
          </cell>
          <cell r="B765">
            <v>1</v>
          </cell>
          <cell r="C765" t="str">
            <v>ASY-100008-00</v>
          </cell>
          <cell r="D765" t="str">
            <v>Cable Subassembly, Driver housing, 4ft, Trov 2</v>
          </cell>
          <cell r="E765" t="str">
            <v>A</v>
          </cell>
          <cell r="F765" t="str">
            <v>Sub assembly</v>
          </cell>
          <cell r="G765">
            <v>1</v>
          </cell>
          <cell r="H765">
            <v>0</v>
          </cell>
          <cell r="I765" t="str">
            <v>Make</v>
          </cell>
        </row>
        <row r="766">
          <cell r="A766" t="str">
            <v>ASY-006799-04</v>
          </cell>
          <cell r="B766">
            <v>2</v>
          </cell>
          <cell r="C766" t="str">
            <v>ACB-000272-00</v>
          </cell>
          <cell r="D766" t="str">
            <v>CABLE ASSY, INTRA-FIXTURE, 4FT, TROV 2.0</v>
          </cell>
          <cell r="E766" t="str">
            <v>B</v>
          </cell>
          <cell r="F766" t="str">
            <v>Cable Assembly</v>
          </cell>
          <cell r="G766">
            <v>1</v>
          </cell>
          <cell r="H766">
            <v>20.420000000000002</v>
          </cell>
          <cell r="I766" t="str">
            <v>Buy</v>
          </cell>
        </row>
        <row r="767">
          <cell r="A767" t="str">
            <v>ASY-006799-04</v>
          </cell>
          <cell r="B767">
            <v>3</v>
          </cell>
          <cell r="C767" t="str">
            <v>ACB-000273-00</v>
          </cell>
          <cell r="D767" t="str">
            <v>6 CONDUCTOR CABLE, 3X22AWG, 3X16AWG, AL MYLAR, TROV 2</v>
          </cell>
          <cell r="E767" t="str">
            <v>A</v>
          </cell>
          <cell r="F767" t="str">
            <v>Cable</v>
          </cell>
          <cell r="G767">
            <v>1</v>
          </cell>
          <cell r="H767">
            <v>0</v>
          </cell>
          <cell r="I767" t="str">
            <v>N/A</v>
          </cell>
        </row>
        <row r="768">
          <cell r="A768" t="str">
            <v>ASY-006799-04</v>
          </cell>
          <cell r="B768">
            <v>3</v>
          </cell>
          <cell r="C768" t="str">
            <v>ACB-000274-00</v>
          </cell>
          <cell r="D768" t="str">
            <v>CABLE ASSEMBLY, INTERNAL, DRIVER SIDE, 4FT, TROV 2</v>
          </cell>
          <cell r="E768" t="str">
            <v>A</v>
          </cell>
          <cell r="F768" t="str">
            <v>Cable Assembly</v>
          </cell>
          <cell r="G768">
            <v>1</v>
          </cell>
          <cell r="H768">
            <v>0</v>
          </cell>
          <cell r="I768" t="str">
            <v>N/A</v>
          </cell>
        </row>
        <row r="769">
          <cell r="A769" t="str">
            <v>ASY-006799-04</v>
          </cell>
          <cell r="B769">
            <v>3</v>
          </cell>
          <cell r="C769" t="str">
            <v>CON-000259-00</v>
          </cell>
          <cell r="D769" t="str">
            <v>CONNECTOR, MALE, 6 PIN, TROV 2</v>
          </cell>
          <cell r="E769" t="str">
            <v>B</v>
          </cell>
          <cell r="F769" t="str">
            <v>Connector</v>
          </cell>
          <cell r="G769">
            <v>1</v>
          </cell>
          <cell r="H769">
            <v>0</v>
          </cell>
          <cell r="I769" t="str">
            <v>N/A</v>
          </cell>
        </row>
        <row r="770">
          <cell r="A770" t="str">
            <v>ASY-006799-04</v>
          </cell>
          <cell r="B770">
            <v>3</v>
          </cell>
          <cell r="C770" t="str">
            <v>CON-000260-00</v>
          </cell>
          <cell r="D770" t="str">
            <v>CONNECTOR, FEMALE, 6 PIN, TROV 2</v>
          </cell>
          <cell r="E770" t="str">
            <v>A</v>
          </cell>
          <cell r="F770" t="str">
            <v>Connector</v>
          </cell>
          <cell r="G770">
            <v>1</v>
          </cell>
          <cell r="H770">
            <v>0</v>
          </cell>
          <cell r="I770" t="str">
            <v>N/A</v>
          </cell>
        </row>
        <row r="771">
          <cell r="A771" t="str">
            <v>ASY-006799-04</v>
          </cell>
          <cell r="B771">
            <v>3</v>
          </cell>
          <cell r="C771" t="str">
            <v>HSG-000330-00</v>
          </cell>
          <cell r="D771" t="str">
            <v>DRIVER HOUSING, 4 FT, TROV 2</v>
          </cell>
          <cell r="E771" t="str">
            <v>A</v>
          </cell>
          <cell r="F771" t="str">
            <v>Housing</v>
          </cell>
          <cell r="G771">
            <v>1</v>
          </cell>
          <cell r="H771">
            <v>0</v>
          </cell>
          <cell r="I771" t="str">
            <v>N/A</v>
          </cell>
        </row>
        <row r="772">
          <cell r="A772" t="str">
            <v>ASY-006799-04</v>
          </cell>
          <cell r="B772">
            <v>3</v>
          </cell>
          <cell r="C772" t="str">
            <v>ORG-000060-00</v>
          </cell>
          <cell r="D772" t="str">
            <v>O-RING, CABLE, TROV 2</v>
          </cell>
          <cell r="E772" t="str">
            <v>A</v>
          </cell>
          <cell r="F772" t="str">
            <v>O-Ring</v>
          </cell>
          <cell r="G772">
            <v>1</v>
          </cell>
          <cell r="H772">
            <v>0</v>
          </cell>
          <cell r="I772" t="str">
            <v>N/A</v>
          </cell>
        </row>
        <row r="773">
          <cell r="A773" t="str">
            <v>ASY-006799-04</v>
          </cell>
          <cell r="B773">
            <v>3</v>
          </cell>
          <cell r="C773" t="str">
            <v>SRF-000030-00</v>
          </cell>
          <cell r="D773" t="str">
            <v>STRAIN RELIEF, CABLE, TROV 2</v>
          </cell>
          <cell r="E773" t="str">
            <v>A</v>
          </cell>
          <cell r="F773" t="str">
            <v>Strain Relief</v>
          </cell>
          <cell r="G773">
            <v>1</v>
          </cell>
          <cell r="H773">
            <v>0</v>
          </cell>
          <cell r="I773" t="str">
            <v>N/A</v>
          </cell>
        </row>
        <row r="774">
          <cell r="A774" t="str">
            <v>ASY-006799-04</v>
          </cell>
          <cell r="B774">
            <v>2</v>
          </cell>
          <cell r="C774" t="str">
            <v>BKT-000517-00</v>
          </cell>
          <cell r="D774" t="str">
            <v>BRACKET, ROTATING LOCK, 4 FT, TROV 2.0</v>
          </cell>
          <cell r="E774" t="str">
            <v>B</v>
          </cell>
          <cell r="F774" t="str">
            <v>Bracket</v>
          </cell>
          <cell r="G774">
            <v>1</v>
          </cell>
          <cell r="H774">
            <v>0.9</v>
          </cell>
          <cell r="I774" t="str">
            <v>Buy</v>
          </cell>
        </row>
        <row r="775">
          <cell r="A775" t="str">
            <v>ASY-006799-04</v>
          </cell>
          <cell r="B775">
            <v>2</v>
          </cell>
          <cell r="C775" t="str">
            <v>BKT-000518-00</v>
          </cell>
          <cell r="D775" t="str">
            <v>BRACKET, PANEL MOUNT, 4 FT, TROV 2.0</v>
          </cell>
          <cell r="E775" t="str">
            <v>B</v>
          </cell>
          <cell r="F775" t="str">
            <v>Bracket</v>
          </cell>
          <cell r="G775">
            <v>1</v>
          </cell>
          <cell r="H775">
            <v>0.9</v>
          </cell>
          <cell r="I775" t="str">
            <v>Buy</v>
          </cell>
        </row>
        <row r="776">
          <cell r="A776" t="str">
            <v>ASY-006799-04</v>
          </cell>
          <cell r="B776">
            <v>2</v>
          </cell>
          <cell r="C776" t="str">
            <v>SCW-000509-00</v>
          </cell>
          <cell r="D776" t="str">
            <v>SCREW, SEALING FLAT HEAD, M3x0.5x8MM</v>
          </cell>
          <cell r="E776" t="str">
            <v>B</v>
          </cell>
          <cell r="F776" t="str">
            <v>Screw</v>
          </cell>
          <cell r="G776">
            <v>2</v>
          </cell>
          <cell r="H776">
            <v>0.4</v>
          </cell>
          <cell r="I776" t="str">
            <v>Buy</v>
          </cell>
        </row>
        <row r="777">
          <cell r="A777" t="str">
            <v>ASY-006799-04</v>
          </cell>
          <cell r="B777">
            <v>1</v>
          </cell>
          <cell r="C777" t="str">
            <v>BAS-000021-00</v>
          </cell>
          <cell r="D777" t="str">
            <v>BASE, 4FT, TROV 2.0</v>
          </cell>
          <cell r="E777" t="str">
            <v>F</v>
          </cell>
          <cell r="F777" t="str">
            <v>Base</v>
          </cell>
          <cell r="G777">
            <v>1</v>
          </cell>
          <cell r="H777">
            <v>14.25</v>
          </cell>
          <cell r="I777" t="str">
            <v>Buy</v>
          </cell>
        </row>
        <row r="778">
          <cell r="A778" t="str">
            <v>ASY-006799-04</v>
          </cell>
          <cell r="B778">
            <v>1</v>
          </cell>
          <cell r="C778" t="str">
            <v>BKT-000457-03</v>
          </cell>
          <cell r="D778" t="str">
            <v>BRACKET, MOUNT, LEFT, BLACK, TROV 2.0</v>
          </cell>
          <cell r="E778" t="str">
            <v>C</v>
          </cell>
          <cell r="F778" t="str">
            <v>Bracket</v>
          </cell>
          <cell r="G778">
            <v>1</v>
          </cell>
          <cell r="H778">
            <v>0.99</v>
          </cell>
          <cell r="I778" t="str">
            <v>Buy</v>
          </cell>
        </row>
        <row r="779">
          <cell r="A779" t="str">
            <v>ASY-006799-04</v>
          </cell>
          <cell r="B779">
            <v>1</v>
          </cell>
          <cell r="C779" t="str">
            <v>BKT-000458-03</v>
          </cell>
          <cell r="D779" t="str">
            <v>BRACKET, MOUNT, RIGHT, BLACK, TROV 2.0</v>
          </cell>
          <cell r="E779" t="str">
            <v>C</v>
          </cell>
          <cell r="F779" t="str">
            <v>Bracket</v>
          </cell>
          <cell r="G779">
            <v>1</v>
          </cell>
          <cell r="H779">
            <v>0.99</v>
          </cell>
          <cell r="I779" t="str">
            <v>Buy</v>
          </cell>
        </row>
        <row r="780">
          <cell r="A780" t="str">
            <v>ASY-006799-04</v>
          </cell>
          <cell r="B780">
            <v>1</v>
          </cell>
          <cell r="C780" t="str">
            <v>CVR-000791-0C</v>
          </cell>
          <cell r="D780" t="str">
            <v>END COVER, FC, CUSTOM FINISH, L45, TROV 2.0</v>
          </cell>
          <cell r="E780" t="str">
            <v>E</v>
          </cell>
          <cell r="F780" t="str">
            <v>Cover</v>
          </cell>
          <cell r="G780">
            <v>1</v>
          </cell>
          <cell r="H780">
            <v>0</v>
          </cell>
          <cell r="I780" t="str">
            <v>Buy</v>
          </cell>
        </row>
        <row r="781">
          <cell r="A781" t="str">
            <v>ASY-006799-04</v>
          </cell>
          <cell r="B781">
            <v>1</v>
          </cell>
          <cell r="C781" t="str">
            <v>CVR-000894-0C</v>
          </cell>
          <cell r="D781" t="str">
            <v>END COVER, MC, CUSTOM FINISH, L45, TROV 2.0</v>
          </cell>
          <cell r="E781" t="str">
            <v>C</v>
          </cell>
          <cell r="F781" t="str">
            <v>Cover</v>
          </cell>
          <cell r="G781">
            <v>1</v>
          </cell>
          <cell r="H781">
            <v>0</v>
          </cell>
          <cell r="I781" t="str">
            <v>Buy</v>
          </cell>
        </row>
        <row r="782">
          <cell r="A782" t="str">
            <v>ASY-006799-04</v>
          </cell>
          <cell r="B782">
            <v>1</v>
          </cell>
          <cell r="C782" t="str">
            <v>FOM-000029-00</v>
          </cell>
          <cell r="D782" t="str">
            <v>FOAM, LIGHTBLOCK, ENDCAP, L45, TROV2</v>
          </cell>
          <cell r="E782" t="str">
            <v>A</v>
          </cell>
          <cell r="F782" t="str">
            <v>Foam</v>
          </cell>
          <cell r="G782">
            <v>2</v>
          </cell>
          <cell r="H782">
            <v>0.02</v>
          </cell>
          <cell r="I782" t="str">
            <v>Buy</v>
          </cell>
        </row>
        <row r="783">
          <cell r="A783" t="str">
            <v>ASY-006799-04</v>
          </cell>
          <cell r="B783">
            <v>1</v>
          </cell>
          <cell r="C783" t="str">
            <v>GSK-000114-01</v>
          </cell>
          <cell r="D783" t="str">
            <v>GASKET, TERTIARY LENS, 3M, 2 FT, L45, TROV 2.0</v>
          </cell>
          <cell r="E783" t="str">
            <v>D</v>
          </cell>
          <cell r="F783" t="str">
            <v>Gasket</v>
          </cell>
          <cell r="G783">
            <v>2</v>
          </cell>
          <cell r="H783">
            <v>2.65</v>
          </cell>
          <cell r="I783" t="str">
            <v>Buy</v>
          </cell>
        </row>
        <row r="784">
          <cell r="A784" t="str">
            <v>ASY-006799-04</v>
          </cell>
          <cell r="B784">
            <v>1</v>
          </cell>
          <cell r="C784" t="str">
            <v>GSK-000122-01</v>
          </cell>
          <cell r="D784" t="str">
            <v>GASKET, DRIVER ENCLOSURE, 3M, 4 FT, TROV 2.0</v>
          </cell>
          <cell r="E784" t="str">
            <v>B</v>
          </cell>
          <cell r="F784" t="str">
            <v>Gasket</v>
          </cell>
          <cell r="G784">
            <v>1</v>
          </cell>
          <cell r="H784">
            <v>2.0299999999999998</v>
          </cell>
          <cell r="I784" t="str">
            <v>Buy</v>
          </cell>
        </row>
        <row r="785">
          <cell r="A785" t="str">
            <v>ASY-006799-04</v>
          </cell>
          <cell r="B785">
            <v>1</v>
          </cell>
          <cell r="C785" t="str">
            <v>HSG-000494-0C</v>
          </cell>
          <cell r="D785" t="str">
            <v>HOUSING, TOP, 4 FT, L45, CUSTOM FINISH, TROV 2.0</v>
          </cell>
          <cell r="E785" t="str">
            <v>E</v>
          </cell>
          <cell r="F785" t="str">
            <v>Housing</v>
          </cell>
          <cell r="G785">
            <v>1</v>
          </cell>
          <cell r="H785">
            <v>0</v>
          </cell>
          <cell r="I785" t="str">
            <v>Buy</v>
          </cell>
        </row>
        <row r="786">
          <cell r="A786" t="str">
            <v>ASY-006799-04</v>
          </cell>
          <cell r="B786">
            <v>1</v>
          </cell>
          <cell r="C786" t="str">
            <v>HSG-000495-0C</v>
          </cell>
          <cell r="D786" t="str">
            <v>HOUSING, BOTTOM, 4 FT, CUSTOM FINISH, TROV 2.0</v>
          </cell>
          <cell r="E786" t="str">
            <v>F</v>
          </cell>
          <cell r="F786" t="str">
            <v>Housing</v>
          </cell>
          <cell r="G786">
            <v>1</v>
          </cell>
          <cell r="H786">
            <v>0</v>
          </cell>
          <cell r="I786" t="str">
            <v>Buy</v>
          </cell>
        </row>
        <row r="787">
          <cell r="A787" t="str">
            <v>ASY-006799-04</v>
          </cell>
          <cell r="B787">
            <v>1</v>
          </cell>
          <cell r="C787" t="str">
            <v>LBA-000003-00</v>
          </cell>
          <cell r="D787" t="str">
            <v>Label: TROV 2 P1/P2, Model L45/L60</v>
          </cell>
          <cell r="E787" t="str">
            <v>A</v>
          </cell>
          <cell r="F787" t="str">
            <v>Label BOM</v>
          </cell>
          <cell r="G787">
            <v>1</v>
          </cell>
          <cell r="H787">
            <v>0</v>
          </cell>
          <cell r="I787" t="str">
            <v>Make</v>
          </cell>
        </row>
        <row r="788">
          <cell r="A788" t="str">
            <v>ASY-006799-04</v>
          </cell>
          <cell r="B788">
            <v>2</v>
          </cell>
          <cell r="C788" t="str">
            <v>LBL-000243-00</v>
          </cell>
          <cell r="D788" t="str">
            <v>Blank Product Label: Trov 2 P1/P2, Model L45/L60</v>
          </cell>
          <cell r="E788" t="str">
            <v>A</v>
          </cell>
          <cell r="F788" t="str">
            <v>Label</v>
          </cell>
          <cell r="G788">
            <v>1</v>
          </cell>
          <cell r="H788">
            <v>0.33</v>
          </cell>
          <cell r="I788" t="str">
            <v>Buy</v>
          </cell>
        </row>
        <row r="789">
          <cell r="A789" t="str">
            <v>ASY-006799-04</v>
          </cell>
          <cell r="B789">
            <v>1</v>
          </cell>
          <cell r="C789" t="str">
            <v>PLG-000009-01</v>
          </cell>
          <cell r="D789" t="str">
            <v>Porex Vent, Trov, L50 Exterior</v>
          </cell>
          <cell r="E789" t="str">
            <v>B</v>
          </cell>
          <cell r="F789" t="str">
            <v>Plug</v>
          </cell>
          <cell r="G789">
            <v>2</v>
          </cell>
          <cell r="H789">
            <v>0.17</v>
          </cell>
          <cell r="I789" t="str">
            <v>Buy</v>
          </cell>
        </row>
        <row r="790">
          <cell r="A790" t="str">
            <v>ASY-006799-04</v>
          </cell>
          <cell r="B790">
            <v>1</v>
          </cell>
          <cell r="C790" t="str">
            <v>SCW-000156-00</v>
          </cell>
          <cell r="D790" t="str">
            <v>SCREW, M3 x 0.5 X 8mm, PAND HEAD, PHILLIPS, STEEL</v>
          </cell>
          <cell r="E790" t="str">
            <v>B</v>
          </cell>
          <cell r="F790" t="str">
            <v>Screw</v>
          </cell>
          <cell r="G790">
            <v>6</v>
          </cell>
          <cell r="H790">
            <v>4.4400000000000002E-2</v>
          </cell>
          <cell r="I790" t="str">
            <v>Buy</v>
          </cell>
        </row>
        <row r="791">
          <cell r="A791" t="str">
            <v>ASY-006799-04</v>
          </cell>
          <cell r="B791">
            <v>1</v>
          </cell>
          <cell r="C791" t="str">
            <v>SCW-000483-00</v>
          </cell>
          <cell r="D791" t="str">
            <v>SCREW, PHILIPS FLAT HEAD, M2.5x0.45x5 , 18-8 SST</v>
          </cell>
          <cell r="E791" t="str">
            <v>A</v>
          </cell>
          <cell r="F791" t="str">
            <v>Screw</v>
          </cell>
          <cell r="G791">
            <v>4</v>
          </cell>
          <cell r="H791">
            <v>0.02</v>
          </cell>
          <cell r="I791" t="str">
            <v>Buy</v>
          </cell>
        </row>
        <row r="792">
          <cell r="A792" t="str">
            <v>ASY-006799-04</v>
          </cell>
          <cell r="B792">
            <v>1</v>
          </cell>
          <cell r="C792" t="str">
            <v>SCW-000556-00</v>
          </cell>
          <cell r="D792" t="str">
            <v>SCREW, HEX, SERRATED, #8-32, GROUNDING, TROV 2</v>
          </cell>
          <cell r="E792" t="str">
            <v>A</v>
          </cell>
          <cell r="F792" t="str">
            <v>Screw</v>
          </cell>
          <cell r="G792">
            <v>1</v>
          </cell>
          <cell r="H792">
            <v>0.04</v>
          </cell>
          <cell r="I792" t="str">
            <v>Buy</v>
          </cell>
        </row>
        <row r="793">
          <cell r="A793" t="str">
            <v>ASY-006799-04</v>
          </cell>
          <cell r="B793">
            <v>1</v>
          </cell>
          <cell r="C793" t="str">
            <v>SCW-000567-00</v>
          </cell>
          <cell r="D793" t="str">
            <v>SCREW, M2.5 x 0.45 x 12.0mm LENGTH, PAN HD, PHILLIPS, ZINC-PLATED STEEL</v>
          </cell>
          <cell r="E793" t="str">
            <v>A</v>
          </cell>
          <cell r="F793" t="str">
            <v>Screw</v>
          </cell>
          <cell r="G793">
            <v>4</v>
          </cell>
          <cell r="H793">
            <v>0.06</v>
          </cell>
          <cell r="I793" t="str">
            <v>Buy</v>
          </cell>
        </row>
        <row r="794">
          <cell r="A794" t="str">
            <v>ASY-006799-04</v>
          </cell>
          <cell r="B794">
            <v>1</v>
          </cell>
          <cell r="C794" t="str">
            <v>SCW-000574-00</v>
          </cell>
          <cell r="D794" t="str">
            <v>SCREW, TORX HEAD, 1/4-28x1/2", LOW PROFILE, ALLOY STEEL</v>
          </cell>
          <cell r="E794" t="str">
            <v>A</v>
          </cell>
          <cell r="F794" t="str">
            <v>Screw</v>
          </cell>
          <cell r="G794">
            <v>2</v>
          </cell>
          <cell r="H794">
            <v>0.14000000000000001</v>
          </cell>
          <cell r="I794" t="str">
            <v>Buy</v>
          </cell>
        </row>
        <row r="795">
          <cell r="A795" t="str">
            <v>ASY-006799-04</v>
          </cell>
          <cell r="B795">
            <v>1</v>
          </cell>
          <cell r="C795" t="str">
            <v>SHT-000043-00</v>
          </cell>
          <cell r="D795" t="str">
            <v>INSULATION SHEET, HBA, 4FT,TROV 2</v>
          </cell>
          <cell r="E795" t="str">
            <v>D</v>
          </cell>
          <cell r="F795" t="str">
            <v>Sheet</v>
          </cell>
          <cell r="G795">
            <v>1</v>
          </cell>
          <cell r="H795">
            <v>0.25</v>
          </cell>
          <cell r="I795" t="str">
            <v>Buy</v>
          </cell>
        </row>
        <row r="796">
          <cell r="A796" t="str">
            <v>ASY-006799-04</v>
          </cell>
          <cell r="B796">
            <v>1</v>
          </cell>
          <cell r="C796" t="str">
            <v>SPG-000023-00</v>
          </cell>
          <cell r="D796" t="str">
            <v>SPRING, DISC, STACKED WAVE, TROV 2.0</v>
          </cell>
          <cell r="E796" t="str">
            <v>A</v>
          </cell>
          <cell r="F796" t="str">
            <v>Spring</v>
          </cell>
          <cell r="G796">
            <v>2</v>
          </cell>
          <cell r="H796">
            <v>1.74</v>
          </cell>
          <cell r="I796" t="str">
            <v>Buy</v>
          </cell>
        </row>
        <row r="797">
          <cell r="A797" t="str">
            <v>ASY-006799-04</v>
          </cell>
          <cell r="B797">
            <v>1</v>
          </cell>
          <cell r="C797" t="str">
            <v>TAP-000031-00</v>
          </cell>
          <cell r="D797" t="str">
            <v>3M Electrical Tape 92</v>
          </cell>
          <cell r="E797" t="str">
            <v>A</v>
          </cell>
          <cell r="F797" t="str">
            <v>Tape</v>
          </cell>
          <cell r="G797">
            <v>120</v>
          </cell>
          <cell r="H797">
            <v>1.4E-2</v>
          </cell>
          <cell r="I797" t="str">
            <v>Buy</v>
          </cell>
        </row>
        <row r="798">
          <cell r="A798" t="str">
            <v>ASY-006799-04</v>
          </cell>
          <cell r="B798">
            <v>1</v>
          </cell>
          <cell r="C798" t="str">
            <v>TMP-000028-00</v>
          </cell>
          <cell r="D798" t="str">
            <v>Thermal Pad, LED PCBA, 2 FT, TROV 2</v>
          </cell>
          <cell r="E798" t="str">
            <v>B</v>
          </cell>
          <cell r="F798" t="str">
            <v>Thermal Pad</v>
          </cell>
          <cell r="G798">
            <v>2</v>
          </cell>
          <cell r="H798">
            <v>1.32</v>
          </cell>
          <cell r="I798" t="str">
            <v>Buy</v>
          </cell>
        </row>
        <row r="799">
          <cell r="A799" t="str">
            <v>ASY-006799-04</v>
          </cell>
          <cell r="B799">
            <v>1</v>
          </cell>
          <cell r="C799" t="str">
            <v>TMP-000029-00</v>
          </cell>
          <cell r="D799" t="str">
            <v>Thermal Pad, HBA, TROV 2</v>
          </cell>
          <cell r="E799" t="str">
            <v>B</v>
          </cell>
          <cell r="F799" t="str">
            <v>Thermal Pad</v>
          </cell>
          <cell r="G799">
            <v>2</v>
          </cell>
          <cell r="H799">
            <v>0.14000000000000001</v>
          </cell>
          <cell r="I799" t="str">
            <v>Buy</v>
          </cell>
        </row>
        <row r="800">
          <cell r="A800" t="str">
            <v>ASY-006803-00</v>
          </cell>
          <cell r="B800">
            <v>0</v>
          </cell>
          <cell r="C800" t="str">
            <v>ASY-006803-00</v>
          </cell>
          <cell r="D800" t="str">
            <v>ASSY, TERTIARY LENS, CLEAR, 1 FT, L60, TROV 2.0</v>
          </cell>
          <cell r="E800" t="str">
            <v>A</v>
          </cell>
          <cell r="F800" t="str">
            <v>Sub assembly</v>
          </cell>
          <cell r="H800">
            <v>0</v>
          </cell>
          <cell r="I800" t="str">
            <v>Make</v>
          </cell>
        </row>
        <row r="801">
          <cell r="A801" t="str">
            <v>ASY-006803-00</v>
          </cell>
          <cell r="B801">
            <v>1</v>
          </cell>
          <cell r="C801" t="str">
            <v>OPC-000158-00</v>
          </cell>
          <cell r="D801" t="str">
            <v>LENS, TERTIARY LENS 1 FT, CLEAR, L65, TROV 2.0</v>
          </cell>
          <cell r="E801" t="str">
            <v>B</v>
          </cell>
          <cell r="F801" t="str">
            <v>Optic (Lens)</v>
          </cell>
          <cell r="G801">
            <v>1</v>
          </cell>
          <cell r="H801">
            <v>1.85</v>
          </cell>
          <cell r="I801" t="str">
            <v>Buy</v>
          </cell>
        </row>
        <row r="802">
          <cell r="A802" t="str">
            <v>ASY-006804-00</v>
          </cell>
          <cell r="B802">
            <v>0</v>
          </cell>
          <cell r="C802" t="str">
            <v>ASY-006804-00</v>
          </cell>
          <cell r="D802" t="str">
            <v>ASSY, TERTIARY LENS, FROSTED, 1 FT, L60, TROV 2.0</v>
          </cell>
          <cell r="E802" t="str">
            <v>A</v>
          </cell>
          <cell r="F802" t="str">
            <v>Sub assembly</v>
          </cell>
          <cell r="H802">
            <v>0</v>
          </cell>
          <cell r="I802" t="str">
            <v>Make</v>
          </cell>
        </row>
        <row r="803">
          <cell r="A803" t="str">
            <v>ASY-006804-00</v>
          </cell>
          <cell r="B803">
            <v>1</v>
          </cell>
          <cell r="C803" t="str">
            <v>OPC-000158-01</v>
          </cell>
          <cell r="D803" t="str">
            <v>LENS, TERTIARY LENS 1 FT, FROSTED, L65, TROV 2.0</v>
          </cell>
          <cell r="E803" t="str">
            <v>B</v>
          </cell>
          <cell r="F803" t="str">
            <v>Optic (Lens)</v>
          </cell>
          <cell r="G803">
            <v>1</v>
          </cell>
          <cell r="H803">
            <v>2.0499999999999998</v>
          </cell>
          <cell r="I803" t="str">
            <v>Buy</v>
          </cell>
        </row>
        <row r="804">
          <cell r="A804" t="str">
            <v>ASY-006805-00</v>
          </cell>
          <cell r="B804">
            <v>0</v>
          </cell>
          <cell r="C804" t="str">
            <v>ASY-006805-00</v>
          </cell>
          <cell r="D804" t="str">
            <v>ASSY, TERTIARY LENS, 0x35, 1 FT, L60, TROV 2.0</v>
          </cell>
          <cell r="E804" t="str">
            <v>A</v>
          </cell>
          <cell r="F804" t="str">
            <v>Sub assembly</v>
          </cell>
          <cell r="H804">
            <v>0</v>
          </cell>
          <cell r="I804" t="str">
            <v>Make</v>
          </cell>
        </row>
        <row r="805">
          <cell r="A805" t="str">
            <v>ASY-006805-00</v>
          </cell>
          <cell r="B805">
            <v>1</v>
          </cell>
          <cell r="C805" t="str">
            <v>OPC-000165-01</v>
          </cell>
          <cell r="D805" t="str">
            <v>LENS, TERTIARY LENS 1 FT, 0x35, L65, TROV 2.0</v>
          </cell>
          <cell r="E805" t="str">
            <v>B</v>
          </cell>
          <cell r="F805" t="str">
            <v>Optic (Lens)</v>
          </cell>
          <cell r="G805">
            <v>1</v>
          </cell>
          <cell r="H805">
            <v>1.9</v>
          </cell>
          <cell r="I805" t="str">
            <v>Buy</v>
          </cell>
        </row>
        <row r="806">
          <cell r="A806" t="str">
            <v>ASY-006806-00</v>
          </cell>
          <cell r="B806">
            <v>0</v>
          </cell>
          <cell r="C806" t="str">
            <v>ASY-006806-00</v>
          </cell>
          <cell r="D806" t="str">
            <v>ASSY, TERTIARY LENS, 0x70, 1 FT, L60, TROV 2.0</v>
          </cell>
          <cell r="E806" t="str">
            <v>A</v>
          </cell>
          <cell r="F806" t="str">
            <v>Sub assembly</v>
          </cell>
          <cell r="H806">
            <v>0</v>
          </cell>
          <cell r="I806" t="str">
            <v>Make</v>
          </cell>
        </row>
        <row r="807">
          <cell r="A807" t="str">
            <v>ASY-006806-00</v>
          </cell>
          <cell r="B807">
            <v>1</v>
          </cell>
          <cell r="C807" t="str">
            <v>OPC-000165-03</v>
          </cell>
          <cell r="D807" t="str">
            <v>LENS, TERTIARY LENS 1 FT, 0x70, L65, TROV 2.0</v>
          </cell>
          <cell r="E807" t="str">
            <v>B</v>
          </cell>
          <cell r="F807" t="str">
            <v>Optic (Lens)</v>
          </cell>
          <cell r="G807">
            <v>1</v>
          </cell>
          <cell r="H807">
            <v>1.9</v>
          </cell>
          <cell r="I807" t="str">
            <v>Buy</v>
          </cell>
        </row>
        <row r="808">
          <cell r="A808" t="str">
            <v>ASY-006807-00</v>
          </cell>
          <cell r="B808">
            <v>0</v>
          </cell>
          <cell r="C808" t="str">
            <v>ASY-006807-00</v>
          </cell>
          <cell r="D808" t="str">
            <v>ASSY, TERTIARY LENS, ASYM, 1 FT, L60, TROV 2.0</v>
          </cell>
          <cell r="E808" t="str">
            <v>C</v>
          </cell>
          <cell r="F808" t="str">
            <v>Sub assembly</v>
          </cell>
          <cell r="H808">
            <v>0</v>
          </cell>
          <cell r="I808" t="str">
            <v>Make</v>
          </cell>
        </row>
        <row r="809">
          <cell r="A809" t="str">
            <v>ASY-006807-00</v>
          </cell>
          <cell r="B809">
            <v>1</v>
          </cell>
          <cell r="C809" t="str">
            <v>LBL-000236-00</v>
          </cell>
          <cell r="D809" t="str">
            <v>ASYM SURFACE LABEL, TROV 2, RIGHT</v>
          </cell>
          <cell r="E809" t="str">
            <v>A</v>
          </cell>
          <cell r="F809" t="str">
            <v>Label</v>
          </cell>
          <cell r="G809">
            <v>1</v>
          </cell>
          <cell r="H809">
            <v>7.0000000000000007E-2</v>
          </cell>
          <cell r="I809" t="str">
            <v>Buy</v>
          </cell>
        </row>
        <row r="810">
          <cell r="A810" t="str">
            <v>ASY-006807-00</v>
          </cell>
          <cell r="B810">
            <v>1</v>
          </cell>
          <cell r="C810" t="str">
            <v>LBL-000237-00</v>
          </cell>
          <cell r="D810" t="str">
            <v>ASYM SURFACE LABEL, TROV 2, LEFT</v>
          </cell>
          <cell r="E810" t="str">
            <v>A</v>
          </cell>
          <cell r="F810" t="str">
            <v>Label</v>
          </cell>
          <cell r="G810">
            <v>1</v>
          </cell>
          <cell r="H810">
            <v>7.0000000000000007E-2</v>
          </cell>
          <cell r="I810" t="str">
            <v>Buy</v>
          </cell>
        </row>
        <row r="811">
          <cell r="A811" t="str">
            <v>ASY-006807-00</v>
          </cell>
          <cell r="B811">
            <v>1</v>
          </cell>
          <cell r="C811" t="str">
            <v>OPC-000166-00</v>
          </cell>
          <cell r="D811" t="str">
            <v>LENS, TERTIARY LENS 1 FT, ASYM, L65, TROV 2.0</v>
          </cell>
          <cell r="E811" t="str">
            <v>B</v>
          </cell>
          <cell r="F811" t="str">
            <v>Optic (Lens)</v>
          </cell>
          <cell r="G811">
            <v>1</v>
          </cell>
          <cell r="H811">
            <v>2.2000000000000002</v>
          </cell>
          <cell r="I811" t="str">
            <v>Buy</v>
          </cell>
        </row>
        <row r="812">
          <cell r="A812" t="str">
            <v>ASY-006808-00</v>
          </cell>
          <cell r="B812">
            <v>0</v>
          </cell>
          <cell r="C812" t="str">
            <v>ASY-006808-00</v>
          </cell>
          <cell r="D812" t="str">
            <v>ASSY, TERTIARY LENS, CLEAR, 4 FT, L60, TROV 2.0</v>
          </cell>
          <cell r="E812" t="str">
            <v>A</v>
          </cell>
          <cell r="F812" t="str">
            <v>Sub assembly</v>
          </cell>
          <cell r="H812">
            <v>0</v>
          </cell>
          <cell r="I812" t="str">
            <v>Make</v>
          </cell>
        </row>
        <row r="813">
          <cell r="A813" t="str">
            <v>ASY-006808-00</v>
          </cell>
          <cell r="B813">
            <v>1</v>
          </cell>
          <cell r="C813" t="str">
            <v>OPC-000159-00</v>
          </cell>
          <cell r="D813" t="str">
            <v>LENS, TERTIARY LENS 2 FT, CLEAR, L65, TROV 2.0</v>
          </cell>
          <cell r="E813" t="str">
            <v>B</v>
          </cell>
          <cell r="F813" t="str">
            <v>Optic (Lens)</v>
          </cell>
          <cell r="G813">
            <v>2</v>
          </cell>
          <cell r="H813">
            <v>3.6</v>
          </cell>
          <cell r="I813" t="str">
            <v>Buy</v>
          </cell>
        </row>
        <row r="814">
          <cell r="A814" t="str">
            <v>ASY-006809-00</v>
          </cell>
          <cell r="B814">
            <v>0</v>
          </cell>
          <cell r="C814" t="str">
            <v>ASY-006809-00</v>
          </cell>
          <cell r="D814" t="str">
            <v>ASSY, TERTIARY LENS, FROSTED, 4 FT, L60, TROV 2.0</v>
          </cell>
          <cell r="E814" t="str">
            <v>A</v>
          </cell>
          <cell r="F814" t="str">
            <v>Sub assembly</v>
          </cell>
          <cell r="H814">
            <v>0</v>
          </cell>
          <cell r="I814" t="str">
            <v>Make</v>
          </cell>
        </row>
        <row r="815">
          <cell r="A815" t="str">
            <v>ASY-006809-00</v>
          </cell>
          <cell r="B815">
            <v>1</v>
          </cell>
          <cell r="C815" t="str">
            <v>OPC-000159-01</v>
          </cell>
          <cell r="D815" t="str">
            <v>LENS, TERTIARY LENS 2 FT, FROSTED, L65, TROV 2.0</v>
          </cell>
          <cell r="E815" t="str">
            <v>B</v>
          </cell>
          <cell r="F815" t="str">
            <v>Optic (Lens)</v>
          </cell>
          <cell r="G815">
            <v>2</v>
          </cell>
          <cell r="H815">
            <v>3.22</v>
          </cell>
          <cell r="I815" t="str">
            <v>Buy</v>
          </cell>
        </row>
        <row r="816">
          <cell r="A816" t="str">
            <v>ASY-006810-00</v>
          </cell>
          <cell r="B816">
            <v>0</v>
          </cell>
          <cell r="C816" t="str">
            <v>ASY-006810-00</v>
          </cell>
          <cell r="D816" t="str">
            <v>ASSY, TERTIARY LENS, 0x35, 4 FT, L60, TROV 2.0</v>
          </cell>
          <cell r="E816" t="str">
            <v>A</v>
          </cell>
          <cell r="F816" t="str">
            <v>Sub assembly</v>
          </cell>
          <cell r="H816">
            <v>0</v>
          </cell>
          <cell r="I816" t="str">
            <v>Make</v>
          </cell>
        </row>
        <row r="817">
          <cell r="A817" t="str">
            <v>ASY-006810-00</v>
          </cell>
          <cell r="B817">
            <v>1</v>
          </cell>
          <cell r="C817" t="str">
            <v>OPC-000170-01</v>
          </cell>
          <cell r="D817" t="str">
            <v>LENS, TERTIARY LENS 2 FT, 0x35, L65, TROV 2.0</v>
          </cell>
          <cell r="E817" t="str">
            <v>B</v>
          </cell>
          <cell r="F817" t="str">
            <v>Optic (Lens)</v>
          </cell>
          <cell r="G817">
            <v>2</v>
          </cell>
          <cell r="H817">
            <v>3.52</v>
          </cell>
          <cell r="I817" t="str">
            <v>Buy</v>
          </cell>
        </row>
        <row r="818">
          <cell r="A818" t="str">
            <v>ASY-006811-00</v>
          </cell>
          <cell r="B818">
            <v>0</v>
          </cell>
          <cell r="C818" t="str">
            <v>ASY-006811-00</v>
          </cell>
          <cell r="D818" t="str">
            <v>ASSY, TERTIARY LENS, 0x70, 4 FT, L60, TROV 2.0</v>
          </cell>
          <cell r="E818" t="str">
            <v>A</v>
          </cell>
          <cell r="F818" t="str">
            <v>Sub assembly</v>
          </cell>
          <cell r="H818">
            <v>0</v>
          </cell>
          <cell r="I818" t="str">
            <v>Make</v>
          </cell>
        </row>
        <row r="819">
          <cell r="A819" t="str">
            <v>ASY-006811-00</v>
          </cell>
          <cell r="B819">
            <v>1</v>
          </cell>
          <cell r="C819" t="str">
            <v>OPC-000170-03</v>
          </cell>
          <cell r="D819" t="str">
            <v>LENS, TERTIARY LENS 2 FT, 0x70, L65, TROV 2.0</v>
          </cell>
          <cell r="E819" t="str">
            <v>B</v>
          </cell>
          <cell r="F819" t="str">
            <v>Optic (Lens)</v>
          </cell>
          <cell r="G819">
            <v>2</v>
          </cell>
          <cell r="H819">
            <v>3.5</v>
          </cell>
          <cell r="I819" t="str">
            <v>Buy</v>
          </cell>
        </row>
        <row r="820">
          <cell r="A820" t="str">
            <v>ASY-006812-00</v>
          </cell>
          <cell r="B820">
            <v>0</v>
          </cell>
          <cell r="C820" t="str">
            <v>ASY-006812-00</v>
          </cell>
          <cell r="D820" t="str">
            <v>ASSY, TERTIARY LENS, CLEAR, 1 FT, L45, TROV 2.0</v>
          </cell>
          <cell r="E820" t="str">
            <v>A</v>
          </cell>
          <cell r="F820" t="str">
            <v>Sub assembly</v>
          </cell>
          <cell r="H820">
            <v>0</v>
          </cell>
          <cell r="I820" t="str">
            <v>Make</v>
          </cell>
        </row>
        <row r="821">
          <cell r="A821" t="str">
            <v>ASY-006812-00</v>
          </cell>
          <cell r="B821">
            <v>1</v>
          </cell>
          <cell r="C821" t="str">
            <v>OPC-000160-00</v>
          </cell>
          <cell r="D821" t="str">
            <v>LENS, TERTIARY LENS 1 FT, CLEAR, L45, TROV 2.0</v>
          </cell>
          <cell r="E821" t="str">
            <v>C</v>
          </cell>
          <cell r="F821" t="str">
            <v>Optic (Lens)</v>
          </cell>
          <cell r="G821">
            <v>1</v>
          </cell>
          <cell r="H821">
            <v>1.92</v>
          </cell>
          <cell r="I821" t="str">
            <v>Buy</v>
          </cell>
        </row>
        <row r="822">
          <cell r="A822" t="str">
            <v>ASY-006812-00</v>
          </cell>
          <cell r="B822">
            <v>1</v>
          </cell>
          <cell r="C822" t="str">
            <v>REF-000105-00</v>
          </cell>
          <cell r="D822" t="str">
            <v>REFLECTOR, 1 FT, L45, TROV 2.0</v>
          </cell>
          <cell r="E822" t="str">
            <v>A</v>
          </cell>
          <cell r="F822" t="str">
            <v>Reflector</v>
          </cell>
          <cell r="G822">
            <v>1</v>
          </cell>
          <cell r="H822">
            <v>6.59</v>
          </cell>
          <cell r="I822" t="str">
            <v>Buy</v>
          </cell>
        </row>
        <row r="823">
          <cell r="A823" t="str">
            <v>ASY-006813-00</v>
          </cell>
          <cell r="B823">
            <v>0</v>
          </cell>
          <cell r="C823" t="str">
            <v>ASY-006813-00</v>
          </cell>
          <cell r="D823" t="str">
            <v>ASSY, TERTIARY LENS, CLEAR, 4 FT, L45, TROV 2.0</v>
          </cell>
          <cell r="E823" t="str">
            <v>A</v>
          </cell>
          <cell r="F823" t="str">
            <v>Sub assembly</v>
          </cell>
          <cell r="H823">
            <v>0</v>
          </cell>
          <cell r="I823" t="str">
            <v>Make</v>
          </cell>
        </row>
        <row r="824">
          <cell r="A824" t="str">
            <v>ASY-006813-00</v>
          </cell>
          <cell r="B824">
            <v>1</v>
          </cell>
          <cell r="C824" t="str">
            <v>OPC-000168-00</v>
          </cell>
          <cell r="D824" t="str">
            <v>LENS, TERTIARY LENS 2 FT, CLEAR, L45, TROV 2.0</v>
          </cell>
          <cell r="E824" t="str">
            <v>C</v>
          </cell>
          <cell r="F824" t="str">
            <v>Optic (Lens)</v>
          </cell>
          <cell r="G824">
            <v>2</v>
          </cell>
          <cell r="H824">
            <v>3.22</v>
          </cell>
          <cell r="I824" t="str">
            <v>Buy</v>
          </cell>
        </row>
        <row r="825">
          <cell r="A825" t="str">
            <v>ASY-006813-00</v>
          </cell>
          <cell r="B825">
            <v>1</v>
          </cell>
          <cell r="C825" t="str">
            <v>REF-000106-00</v>
          </cell>
          <cell r="D825" t="str">
            <v>REFLECTOR, 2 FT, L45, TROV 2.0</v>
          </cell>
          <cell r="E825" t="str">
            <v>A</v>
          </cell>
          <cell r="F825" t="str">
            <v>Reflector</v>
          </cell>
          <cell r="G825">
            <v>2</v>
          </cell>
          <cell r="H825">
            <v>4.43</v>
          </cell>
          <cell r="I825" t="str">
            <v>Buy</v>
          </cell>
        </row>
        <row r="826">
          <cell r="A826" t="str">
            <v>ASY-006883-00</v>
          </cell>
          <cell r="B826">
            <v>0</v>
          </cell>
          <cell r="C826" t="str">
            <v>ASY-006883-00</v>
          </cell>
          <cell r="D826" t="str">
            <v>ASSY, MECHANICAL, L60, INDOOR, 1 FT, TROV 2.0, SILVER</v>
          </cell>
          <cell r="E826" t="str">
            <v>D</v>
          </cell>
          <cell r="F826" t="str">
            <v>Sub assembly</v>
          </cell>
          <cell r="H826">
            <v>0</v>
          </cell>
          <cell r="I826" t="str">
            <v>Make</v>
          </cell>
        </row>
        <row r="827">
          <cell r="A827" t="str">
            <v>ASY-006883-00</v>
          </cell>
          <cell r="B827">
            <v>1</v>
          </cell>
          <cell r="C827" t="str">
            <v>ACB-000261-00</v>
          </cell>
          <cell r="D827" t="str">
            <v>CABLE, ECOBUS, 24AWG, SHORT, TROV 2</v>
          </cell>
          <cell r="E827" t="str">
            <v>B</v>
          </cell>
          <cell r="F827" t="str">
            <v>Cable</v>
          </cell>
          <cell r="G827">
            <v>1</v>
          </cell>
          <cell r="H827">
            <v>0.76</v>
          </cell>
          <cell r="I827" t="str">
            <v>Buy</v>
          </cell>
        </row>
        <row r="828">
          <cell r="A828" t="str">
            <v>ASY-006883-00</v>
          </cell>
          <cell r="B828">
            <v>1</v>
          </cell>
          <cell r="C828" t="str">
            <v>ASY-100009-00</v>
          </cell>
          <cell r="D828" t="str">
            <v>Cable Subassembly, Driver housing, 1ft, Trov 2</v>
          </cell>
          <cell r="E828" t="str">
            <v>B</v>
          </cell>
          <cell r="F828" t="str">
            <v>Sub assembly</v>
          </cell>
          <cell r="G828">
            <v>1</v>
          </cell>
          <cell r="H828">
            <v>0</v>
          </cell>
          <cell r="I828" t="str">
            <v>Make</v>
          </cell>
        </row>
        <row r="829">
          <cell r="A829" t="str">
            <v>ASY-006883-00</v>
          </cell>
          <cell r="B829">
            <v>2</v>
          </cell>
          <cell r="C829" t="str">
            <v>ACB-000278-00</v>
          </cell>
          <cell r="D829" t="str">
            <v>CABLE ASSY, INTRA-FIXTURE, 1FT, TROV 2.0</v>
          </cell>
          <cell r="E829" t="str">
            <v>A</v>
          </cell>
          <cell r="F829" t="str">
            <v>Cable Assembly</v>
          </cell>
          <cell r="G829">
            <v>1</v>
          </cell>
          <cell r="H829">
            <v>12.75</v>
          </cell>
          <cell r="I829" t="str">
            <v>Buy</v>
          </cell>
        </row>
        <row r="830">
          <cell r="A830" t="str">
            <v>ASY-006883-00</v>
          </cell>
          <cell r="B830">
            <v>3</v>
          </cell>
          <cell r="C830" t="str">
            <v>ACB-000273-00</v>
          </cell>
          <cell r="D830" t="str">
            <v>6 CONDUCTOR CABLE, 3X22AWG, 3X16AWG, AL MYLAR, TROV 2</v>
          </cell>
          <cell r="E830" t="str">
            <v>A</v>
          </cell>
          <cell r="F830" t="str">
            <v>Cable</v>
          </cell>
          <cell r="G830">
            <v>1</v>
          </cell>
          <cell r="H830">
            <v>0</v>
          </cell>
          <cell r="I830" t="str">
            <v>N/A</v>
          </cell>
        </row>
        <row r="831">
          <cell r="A831" t="str">
            <v>ASY-006883-00</v>
          </cell>
          <cell r="B831">
            <v>3</v>
          </cell>
          <cell r="C831" t="str">
            <v>ACB-000274-01</v>
          </cell>
          <cell r="D831" t="str">
            <v>CABLE ASSEMBLY, INTERNAL, DRIVER SIDE, 1FT, TROV 2</v>
          </cell>
          <cell r="E831" t="str">
            <v>A</v>
          </cell>
          <cell r="F831" t="str">
            <v>Cable Assembly</v>
          </cell>
          <cell r="G831">
            <v>1</v>
          </cell>
          <cell r="H831">
            <v>0</v>
          </cell>
          <cell r="I831" t="str">
            <v>N/A</v>
          </cell>
        </row>
        <row r="832">
          <cell r="A832" t="str">
            <v>ASY-006883-00</v>
          </cell>
          <cell r="B832">
            <v>3</v>
          </cell>
          <cell r="C832" t="str">
            <v>CON-000259-00</v>
          </cell>
          <cell r="D832" t="str">
            <v>CONNECTOR, MALE, 6 PIN, TROV 2</v>
          </cell>
          <cell r="E832" t="str">
            <v>B</v>
          </cell>
          <cell r="F832" t="str">
            <v>Connector</v>
          </cell>
          <cell r="G832">
            <v>1</v>
          </cell>
          <cell r="H832">
            <v>0</v>
          </cell>
          <cell r="I832" t="str">
            <v>N/A</v>
          </cell>
        </row>
        <row r="833">
          <cell r="A833" t="str">
            <v>ASY-006883-00</v>
          </cell>
          <cell r="B833">
            <v>3</v>
          </cell>
          <cell r="C833" t="str">
            <v>CON-000260-00</v>
          </cell>
          <cell r="D833" t="str">
            <v>CONNECTOR, FEMALE, 6 PIN, TROV 2</v>
          </cell>
          <cell r="E833" t="str">
            <v>A</v>
          </cell>
          <cell r="F833" t="str">
            <v>Connector</v>
          </cell>
          <cell r="G833">
            <v>1</v>
          </cell>
          <cell r="H833">
            <v>0</v>
          </cell>
          <cell r="I833" t="str">
            <v>N/A</v>
          </cell>
        </row>
        <row r="834">
          <cell r="A834" t="str">
            <v>ASY-006883-00</v>
          </cell>
          <cell r="B834">
            <v>3</v>
          </cell>
          <cell r="C834" t="str">
            <v>ORG-000060-00</v>
          </cell>
          <cell r="D834" t="str">
            <v>O-RING, CABLE, TROV 2</v>
          </cell>
          <cell r="E834" t="str">
            <v>A</v>
          </cell>
          <cell r="F834" t="str">
            <v>O-Ring</v>
          </cell>
          <cell r="G834">
            <v>1</v>
          </cell>
          <cell r="H834">
            <v>0</v>
          </cell>
          <cell r="I834" t="str">
            <v>N/A</v>
          </cell>
        </row>
        <row r="835">
          <cell r="A835" t="str">
            <v>ASY-006883-00</v>
          </cell>
          <cell r="B835">
            <v>3</v>
          </cell>
          <cell r="C835" t="str">
            <v>SRF-000030-00</v>
          </cell>
          <cell r="D835" t="str">
            <v>STRAIN RELIEF, CABLE, TROV 2</v>
          </cell>
          <cell r="E835" t="str">
            <v>A</v>
          </cell>
          <cell r="F835" t="str">
            <v>Strain Relief</v>
          </cell>
          <cell r="G835">
            <v>1</v>
          </cell>
          <cell r="H835">
            <v>0</v>
          </cell>
          <cell r="I835" t="str">
            <v>N/A</v>
          </cell>
        </row>
        <row r="836">
          <cell r="A836" t="str">
            <v>ASY-006883-00</v>
          </cell>
          <cell r="B836">
            <v>2</v>
          </cell>
          <cell r="C836" t="str">
            <v>HSG-000488-01</v>
          </cell>
          <cell r="D836" t="str">
            <v>HOUSING, PSU, 1 FT, MOLDED HOLE, TROV 2.0</v>
          </cell>
          <cell r="E836" t="str">
            <v>B</v>
          </cell>
          <cell r="F836" t="str">
            <v>Housing</v>
          </cell>
          <cell r="G836">
            <v>1</v>
          </cell>
          <cell r="H836">
            <v>1.17</v>
          </cell>
          <cell r="I836" t="str">
            <v>Buy</v>
          </cell>
        </row>
        <row r="837">
          <cell r="A837" t="str">
            <v>ASY-006883-00</v>
          </cell>
          <cell r="B837">
            <v>2</v>
          </cell>
          <cell r="C837" t="str">
            <v>SCW-000577-00</v>
          </cell>
          <cell r="D837" t="str">
            <v>SCREW, TORX HEAD, LOW PROFILE, M3X8mm, ALLOY STEEL</v>
          </cell>
          <cell r="E837" t="str">
            <v>A</v>
          </cell>
          <cell r="F837" t="str">
            <v>Screw</v>
          </cell>
          <cell r="G837">
            <v>2</v>
          </cell>
          <cell r="H837">
            <v>0.03</v>
          </cell>
          <cell r="I837" t="str">
            <v>Buy</v>
          </cell>
        </row>
        <row r="838">
          <cell r="A838" t="str">
            <v>ASY-006883-00</v>
          </cell>
          <cell r="B838">
            <v>1</v>
          </cell>
          <cell r="C838" t="str">
            <v>BAS-000020-00</v>
          </cell>
          <cell r="D838" t="str">
            <v>BASE, 1FT, TROV 2.0</v>
          </cell>
          <cell r="E838" t="str">
            <v>E</v>
          </cell>
          <cell r="F838" t="str">
            <v>Base</v>
          </cell>
          <cell r="G838">
            <v>1</v>
          </cell>
          <cell r="H838">
            <v>5.8</v>
          </cell>
          <cell r="I838" t="str">
            <v>Buy</v>
          </cell>
        </row>
        <row r="839">
          <cell r="A839" t="str">
            <v>ASY-006883-00</v>
          </cell>
          <cell r="B839">
            <v>1</v>
          </cell>
          <cell r="C839" t="str">
            <v>BKT-000457-03</v>
          </cell>
          <cell r="D839" t="str">
            <v>BRACKET, MOUNT, LEFT, BLACK, TROV 2.0</v>
          </cell>
          <cell r="E839" t="str">
            <v>C</v>
          </cell>
          <cell r="F839" t="str">
            <v>Bracket</v>
          </cell>
          <cell r="G839">
            <v>1</v>
          </cell>
          <cell r="H839">
            <v>0.99</v>
          </cell>
          <cell r="I839" t="str">
            <v>Buy</v>
          </cell>
        </row>
        <row r="840">
          <cell r="A840" t="str">
            <v>ASY-006883-00</v>
          </cell>
          <cell r="B840">
            <v>1</v>
          </cell>
          <cell r="C840" t="str">
            <v>BKT-000458-03</v>
          </cell>
          <cell r="D840" t="str">
            <v>BRACKET, MOUNT, RIGHT, BLACK, TROV 2.0</v>
          </cell>
          <cell r="E840" t="str">
            <v>C</v>
          </cell>
          <cell r="F840" t="str">
            <v>Bracket</v>
          </cell>
          <cell r="G840">
            <v>1</v>
          </cell>
          <cell r="H840">
            <v>0.99</v>
          </cell>
          <cell r="I840" t="str">
            <v>Buy</v>
          </cell>
        </row>
        <row r="841">
          <cell r="A841" t="str">
            <v>ASY-006883-00</v>
          </cell>
          <cell r="B841">
            <v>1</v>
          </cell>
          <cell r="C841" t="str">
            <v>CVR-000789-03</v>
          </cell>
          <cell r="D841" t="str">
            <v>END COVER, FC, BLACK, L60, TROV 2.0</v>
          </cell>
          <cell r="E841" t="str">
            <v>D</v>
          </cell>
          <cell r="F841" t="str">
            <v>Cover</v>
          </cell>
          <cell r="G841">
            <v>1</v>
          </cell>
          <cell r="H841">
            <v>1.0900000000000001</v>
          </cell>
          <cell r="I841" t="str">
            <v>Buy</v>
          </cell>
        </row>
        <row r="842">
          <cell r="A842" t="str">
            <v>ASY-006883-00</v>
          </cell>
          <cell r="B842">
            <v>1</v>
          </cell>
          <cell r="C842" t="str">
            <v>CVR-000893-03</v>
          </cell>
          <cell r="D842" t="str">
            <v>END COVER, MC, BLACK, L60, TROV 2.0</v>
          </cell>
          <cell r="E842" t="str">
            <v>B</v>
          </cell>
          <cell r="F842" t="str">
            <v>Cover</v>
          </cell>
          <cell r="G842">
            <v>1</v>
          </cell>
          <cell r="H842">
            <v>1.0900000000000001</v>
          </cell>
          <cell r="I842" t="str">
            <v>Buy</v>
          </cell>
        </row>
        <row r="843">
          <cell r="A843" t="str">
            <v>ASY-006883-00</v>
          </cell>
          <cell r="B843">
            <v>1</v>
          </cell>
          <cell r="C843" t="str">
            <v>FOM-000028-00</v>
          </cell>
          <cell r="D843" t="str">
            <v>FOAM, LIGHTBLOCK, ENDCAP, L60, TROV2</v>
          </cell>
          <cell r="E843" t="str">
            <v>A</v>
          </cell>
          <cell r="F843" t="str">
            <v>Foam</v>
          </cell>
          <cell r="G843">
            <v>2</v>
          </cell>
          <cell r="H843">
            <v>0.03</v>
          </cell>
          <cell r="I843" t="str">
            <v>Buy</v>
          </cell>
        </row>
        <row r="844">
          <cell r="A844" t="str">
            <v>ASY-006883-00</v>
          </cell>
          <cell r="B844">
            <v>1</v>
          </cell>
          <cell r="C844" t="str">
            <v>GSK-000121-01</v>
          </cell>
          <cell r="D844" t="str">
            <v>GASKET, DRIVER ENCLOSURE, 3M, 1 FT, TROV 2.0</v>
          </cell>
          <cell r="E844" t="str">
            <v>B</v>
          </cell>
          <cell r="F844" t="str">
            <v>Gasket</v>
          </cell>
          <cell r="G844">
            <v>1</v>
          </cell>
          <cell r="H844">
            <v>1.7</v>
          </cell>
          <cell r="I844" t="str">
            <v>Buy</v>
          </cell>
        </row>
        <row r="845">
          <cell r="A845" t="str">
            <v>ASY-006883-00</v>
          </cell>
          <cell r="B845">
            <v>1</v>
          </cell>
          <cell r="C845" t="str">
            <v>GSK-000132-00</v>
          </cell>
          <cell r="D845" t="str">
            <v>GASKET, TERTIARY LENS, 3M, 1 FT, L60, TROV 2.0</v>
          </cell>
          <cell r="E845" t="str">
            <v>B</v>
          </cell>
          <cell r="F845" t="str">
            <v>Gasket</v>
          </cell>
          <cell r="G845">
            <v>1</v>
          </cell>
          <cell r="H845">
            <v>1.96</v>
          </cell>
          <cell r="I845" t="str">
            <v>Buy</v>
          </cell>
        </row>
        <row r="846">
          <cell r="A846" t="str">
            <v>ASY-006883-00</v>
          </cell>
          <cell r="B846">
            <v>1</v>
          </cell>
          <cell r="C846" t="str">
            <v>HSG-000490-01</v>
          </cell>
          <cell r="D846" t="str">
            <v>HOUSING, TOP, 1 FT, L60, SILVER,  TROV 2.0</v>
          </cell>
          <cell r="E846" t="str">
            <v>E</v>
          </cell>
          <cell r="F846" t="str">
            <v>Housing</v>
          </cell>
          <cell r="G846">
            <v>1</v>
          </cell>
          <cell r="H846">
            <v>4.83</v>
          </cell>
          <cell r="I846" t="str">
            <v>Buy</v>
          </cell>
        </row>
        <row r="847">
          <cell r="A847" t="str">
            <v>ASY-006883-00</v>
          </cell>
          <cell r="B847">
            <v>1</v>
          </cell>
          <cell r="C847" t="str">
            <v>HSG-000492-01</v>
          </cell>
          <cell r="D847" t="str">
            <v>HOUSING, BOTTOM, 1 FT, SILVER, TROV 2.0</v>
          </cell>
          <cell r="E847" t="str">
            <v>F</v>
          </cell>
          <cell r="F847" t="str">
            <v>Housing</v>
          </cell>
          <cell r="G847">
            <v>1</v>
          </cell>
          <cell r="H847">
            <v>3.34</v>
          </cell>
          <cell r="I847" t="str">
            <v>Buy</v>
          </cell>
        </row>
        <row r="848">
          <cell r="A848" t="str">
            <v>ASY-006883-00</v>
          </cell>
          <cell r="B848">
            <v>1</v>
          </cell>
          <cell r="C848" t="str">
            <v>LBA-000003-00</v>
          </cell>
          <cell r="D848" t="str">
            <v>Label: TROV 2 P1/P2, Model L45/L60</v>
          </cell>
          <cell r="E848" t="str">
            <v>A</v>
          </cell>
          <cell r="F848" t="str">
            <v>Label BOM</v>
          </cell>
          <cell r="G848">
            <v>1</v>
          </cell>
          <cell r="H848">
            <v>0</v>
          </cell>
          <cell r="I848" t="str">
            <v>Make</v>
          </cell>
        </row>
        <row r="849">
          <cell r="A849" t="str">
            <v>ASY-006883-00</v>
          </cell>
          <cell r="B849">
            <v>2</v>
          </cell>
          <cell r="C849" t="str">
            <v>LBL-000243-00</v>
          </cell>
          <cell r="D849" t="str">
            <v>Blank Product Label: Trov 2 P1/P2, Model L45/L60</v>
          </cell>
          <cell r="E849" t="str">
            <v>A</v>
          </cell>
          <cell r="F849" t="str">
            <v>Label</v>
          </cell>
          <cell r="G849">
            <v>1</v>
          </cell>
          <cell r="H849">
            <v>0.33</v>
          </cell>
          <cell r="I849" t="str">
            <v>Buy</v>
          </cell>
        </row>
        <row r="850">
          <cell r="A850" t="str">
            <v>ASY-006883-00</v>
          </cell>
          <cell r="B850">
            <v>1</v>
          </cell>
          <cell r="C850" t="str">
            <v>PLG-000009-01</v>
          </cell>
          <cell r="D850" t="str">
            <v>Porex Vent, Trov, L50 Exterior</v>
          </cell>
          <cell r="E850" t="str">
            <v>B</v>
          </cell>
          <cell r="F850" t="str">
            <v>Plug</v>
          </cell>
          <cell r="G850">
            <v>1</v>
          </cell>
          <cell r="H850">
            <v>0.17</v>
          </cell>
          <cell r="I850" t="str">
            <v>Buy</v>
          </cell>
        </row>
        <row r="851">
          <cell r="A851" t="str">
            <v>ASY-006883-00</v>
          </cell>
          <cell r="B851">
            <v>1</v>
          </cell>
          <cell r="C851" t="str">
            <v>SCW-000156-00</v>
          </cell>
          <cell r="D851" t="str">
            <v>SCREW, M3 x 0.5 X 8mm, PAND HEAD, PHILLIPS, STEEL</v>
          </cell>
          <cell r="E851" t="str">
            <v>B</v>
          </cell>
          <cell r="F851" t="str">
            <v>Screw</v>
          </cell>
          <cell r="G851">
            <v>2</v>
          </cell>
          <cell r="H851">
            <v>4.4400000000000002E-2</v>
          </cell>
          <cell r="I851" t="str">
            <v>Buy</v>
          </cell>
        </row>
        <row r="852">
          <cell r="A852" t="str">
            <v>ASY-006883-00</v>
          </cell>
          <cell r="B852">
            <v>1</v>
          </cell>
          <cell r="C852" t="str">
            <v>SCW-000483-00</v>
          </cell>
          <cell r="D852" t="str">
            <v>SCREW, PHILIPS FLAT HEAD, M2.5x0.45x5 , 18-8 SST</v>
          </cell>
          <cell r="E852" t="str">
            <v>A</v>
          </cell>
          <cell r="F852" t="str">
            <v>Screw</v>
          </cell>
          <cell r="G852">
            <v>4</v>
          </cell>
          <cell r="H852">
            <v>0.02</v>
          </cell>
          <cell r="I852" t="str">
            <v>Buy</v>
          </cell>
        </row>
        <row r="853">
          <cell r="A853" t="str">
            <v>ASY-006883-00</v>
          </cell>
          <cell r="B853">
            <v>1</v>
          </cell>
          <cell r="C853" t="str">
            <v>SCW-000556-00</v>
          </cell>
          <cell r="D853" t="str">
            <v>SCREW, HEX, SERRATED, #8-32, GROUNDING, TROV 2</v>
          </cell>
          <cell r="E853" t="str">
            <v>A</v>
          </cell>
          <cell r="F853" t="str">
            <v>Screw</v>
          </cell>
          <cell r="G853">
            <v>1</v>
          </cell>
          <cell r="H853">
            <v>0.04</v>
          </cell>
          <cell r="I853" t="str">
            <v>Buy</v>
          </cell>
        </row>
        <row r="854">
          <cell r="A854" t="str">
            <v>ASY-006883-00</v>
          </cell>
          <cell r="B854">
            <v>1</v>
          </cell>
          <cell r="C854" t="str">
            <v>SCW-000574-00</v>
          </cell>
          <cell r="D854" t="str">
            <v>SCREW, TORX HEAD, 1/4-28x1/2", LOW PROFILE, ALLOY STEEL</v>
          </cell>
          <cell r="E854" t="str">
            <v>A</v>
          </cell>
          <cell r="F854" t="str">
            <v>Screw</v>
          </cell>
          <cell r="G854">
            <v>2</v>
          </cell>
          <cell r="H854">
            <v>0.14000000000000001</v>
          </cell>
          <cell r="I854" t="str">
            <v>Buy</v>
          </cell>
        </row>
        <row r="855">
          <cell r="A855" t="str">
            <v>ASY-006883-00</v>
          </cell>
          <cell r="B855">
            <v>1</v>
          </cell>
          <cell r="C855" t="str">
            <v>SHT-000042-00</v>
          </cell>
          <cell r="D855" t="str">
            <v>INSULATION SHEET, MP/LP HBA, TROV 2</v>
          </cell>
          <cell r="E855" t="str">
            <v>D</v>
          </cell>
          <cell r="F855" t="str">
            <v>Sheet</v>
          </cell>
          <cell r="G855">
            <v>1</v>
          </cell>
          <cell r="H855">
            <v>0.16</v>
          </cell>
          <cell r="I855" t="str">
            <v>Buy</v>
          </cell>
        </row>
        <row r="856">
          <cell r="A856" t="str">
            <v>ASY-006883-00</v>
          </cell>
          <cell r="B856">
            <v>1</v>
          </cell>
          <cell r="C856" t="str">
            <v>SPG-000023-00</v>
          </cell>
          <cell r="D856" t="str">
            <v>SPRING, DISC, STACKED WAVE, TROV 2.0</v>
          </cell>
          <cell r="E856" t="str">
            <v>A</v>
          </cell>
          <cell r="F856" t="str">
            <v>Spring</v>
          </cell>
          <cell r="G856">
            <v>2</v>
          </cell>
          <cell r="H856">
            <v>1.74</v>
          </cell>
          <cell r="I856" t="str">
            <v>Buy</v>
          </cell>
        </row>
        <row r="857">
          <cell r="A857" t="str">
            <v>ASY-006883-00</v>
          </cell>
          <cell r="B857">
            <v>1</v>
          </cell>
          <cell r="C857" t="str">
            <v>TAP-000031-00</v>
          </cell>
          <cell r="D857" t="str">
            <v>3M Electrical Tape 92</v>
          </cell>
          <cell r="E857" t="str">
            <v>A</v>
          </cell>
          <cell r="F857" t="str">
            <v>Tape</v>
          </cell>
          <cell r="G857">
            <v>120</v>
          </cell>
          <cell r="H857">
            <v>1.4E-2</v>
          </cell>
          <cell r="I857" t="str">
            <v>Buy</v>
          </cell>
        </row>
        <row r="858">
          <cell r="A858" t="str">
            <v>ASY-006883-00</v>
          </cell>
          <cell r="B858">
            <v>1</v>
          </cell>
          <cell r="C858" t="str">
            <v>TMP-000027-00</v>
          </cell>
          <cell r="D858" t="str">
            <v>Thermal Pad, LED PCBA, 1 FT, TROV 2</v>
          </cell>
          <cell r="E858" t="str">
            <v>B</v>
          </cell>
          <cell r="F858" t="str">
            <v>Thermal Pad</v>
          </cell>
          <cell r="G858">
            <v>1</v>
          </cell>
          <cell r="H858">
            <v>0.72</v>
          </cell>
          <cell r="I858" t="str">
            <v>Buy</v>
          </cell>
        </row>
        <row r="859">
          <cell r="A859" t="str">
            <v>ASY-006883-00</v>
          </cell>
          <cell r="B859">
            <v>1</v>
          </cell>
          <cell r="C859" t="str">
            <v>TMP-000029-00</v>
          </cell>
          <cell r="D859" t="str">
            <v>Thermal Pad, HBA, TROV 2</v>
          </cell>
          <cell r="E859" t="str">
            <v>B</v>
          </cell>
          <cell r="F859" t="str">
            <v>Thermal Pad</v>
          </cell>
          <cell r="G859">
            <v>2</v>
          </cell>
          <cell r="H859">
            <v>0.14000000000000001</v>
          </cell>
          <cell r="I859" t="str">
            <v>Buy</v>
          </cell>
        </row>
        <row r="860">
          <cell r="A860" t="str">
            <v>ASY-006883-01</v>
          </cell>
          <cell r="B860">
            <v>0</v>
          </cell>
          <cell r="C860" t="str">
            <v>ASY-006883-01</v>
          </cell>
          <cell r="D860" t="str">
            <v>ASSY, MECHANICAL, L60, INDOOR, 1 FT, TROV 2.0, BLACK</v>
          </cell>
          <cell r="E860" t="str">
            <v>D</v>
          </cell>
          <cell r="F860" t="str">
            <v>Sub assembly</v>
          </cell>
          <cell r="H860">
            <v>0</v>
          </cell>
          <cell r="I860" t="str">
            <v>Make</v>
          </cell>
        </row>
        <row r="861">
          <cell r="A861" t="str">
            <v>ASY-006883-01</v>
          </cell>
          <cell r="B861">
            <v>1</v>
          </cell>
          <cell r="C861" t="str">
            <v>ACB-000261-00</v>
          </cell>
          <cell r="D861" t="str">
            <v>CABLE, ECOBUS, 24AWG, SHORT, TROV 2</v>
          </cell>
          <cell r="E861" t="str">
            <v>B</v>
          </cell>
          <cell r="F861" t="str">
            <v>Cable</v>
          </cell>
          <cell r="G861">
            <v>1</v>
          </cell>
          <cell r="H861">
            <v>0.76</v>
          </cell>
          <cell r="I861" t="str">
            <v>Buy</v>
          </cell>
        </row>
        <row r="862">
          <cell r="A862" t="str">
            <v>ASY-006883-01</v>
          </cell>
          <cell r="B862">
            <v>1</v>
          </cell>
          <cell r="C862" t="str">
            <v>ASY-100009-00</v>
          </cell>
          <cell r="D862" t="str">
            <v>Cable Subassembly, Driver housing, 1ft, Trov 2</v>
          </cell>
          <cell r="E862" t="str">
            <v>B</v>
          </cell>
          <cell r="F862" t="str">
            <v>Sub assembly</v>
          </cell>
          <cell r="G862">
            <v>1</v>
          </cell>
          <cell r="H862">
            <v>0</v>
          </cell>
          <cell r="I862" t="str">
            <v>Make</v>
          </cell>
        </row>
        <row r="863">
          <cell r="A863" t="str">
            <v>ASY-006883-01</v>
          </cell>
          <cell r="B863">
            <v>2</v>
          </cell>
          <cell r="C863" t="str">
            <v>ACB-000278-00</v>
          </cell>
          <cell r="D863" t="str">
            <v>CABLE ASSY, INTRA-FIXTURE, 1FT, TROV 2.0</v>
          </cell>
          <cell r="E863" t="str">
            <v>A</v>
          </cell>
          <cell r="F863" t="str">
            <v>Cable Assembly</v>
          </cell>
          <cell r="G863">
            <v>1</v>
          </cell>
          <cell r="H863">
            <v>12.75</v>
          </cell>
          <cell r="I863" t="str">
            <v>Buy</v>
          </cell>
        </row>
        <row r="864">
          <cell r="A864" t="str">
            <v>ASY-006883-01</v>
          </cell>
          <cell r="B864">
            <v>3</v>
          </cell>
          <cell r="C864" t="str">
            <v>ACB-000273-00</v>
          </cell>
          <cell r="D864" t="str">
            <v>6 CONDUCTOR CABLE, 3X22AWG, 3X16AWG, AL MYLAR, TROV 2</v>
          </cell>
          <cell r="E864" t="str">
            <v>A</v>
          </cell>
          <cell r="F864" t="str">
            <v>Cable</v>
          </cell>
          <cell r="G864">
            <v>1</v>
          </cell>
          <cell r="H864">
            <v>0</v>
          </cell>
          <cell r="I864" t="str">
            <v>N/A</v>
          </cell>
        </row>
        <row r="865">
          <cell r="A865" t="str">
            <v>ASY-006883-01</v>
          </cell>
          <cell r="B865">
            <v>3</v>
          </cell>
          <cell r="C865" t="str">
            <v>ACB-000274-01</v>
          </cell>
          <cell r="D865" t="str">
            <v>CABLE ASSEMBLY, INTERNAL, DRIVER SIDE, 1FT, TROV 2</v>
          </cell>
          <cell r="E865" t="str">
            <v>A</v>
          </cell>
          <cell r="F865" t="str">
            <v>Cable Assembly</v>
          </cell>
          <cell r="G865">
            <v>1</v>
          </cell>
          <cell r="H865">
            <v>0</v>
          </cell>
          <cell r="I865" t="str">
            <v>N/A</v>
          </cell>
        </row>
        <row r="866">
          <cell r="A866" t="str">
            <v>ASY-006883-01</v>
          </cell>
          <cell r="B866">
            <v>3</v>
          </cell>
          <cell r="C866" t="str">
            <v>CON-000259-00</v>
          </cell>
          <cell r="D866" t="str">
            <v>CONNECTOR, MALE, 6 PIN, TROV 2</v>
          </cell>
          <cell r="E866" t="str">
            <v>B</v>
          </cell>
          <cell r="F866" t="str">
            <v>Connector</v>
          </cell>
          <cell r="G866">
            <v>1</v>
          </cell>
          <cell r="H866">
            <v>0</v>
          </cell>
          <cell r="I866" t="str">
            <v>N/A</v>
          </cell>
        </row>
        <row r="867">
          <cell r="A867" t="str">
            <v>ASY-006883-01</v>
          </cell>
          <cell r="B867">
            <v>3</v>
          </cell>
          <cell r="C867" t="str">
            <v>CON-000260-00</v>
          </cell>
          <cell r="D867" t="str">
            <v>CONNECTOR, FEMALE, 6 PIN, TROV 2</v>
          </cell>
          <cell r="E867" t="str">
            <v>A</v>
          </cell>
          <cell r="F867" t="str">
            <v>Connector</v>
          </cell>
          <cell r="G867">
            <v>1</v>
          </cell>
          <cell r="H867">
            <v>0</v>
          </cell>
          <cell r="I867" t="str">
            <v>N/A</v>
          </cell>
        </row>
        <row r="868">
          <cell r="A868" t="str">
            <v>ASY-006883-01</v>
          </cell>
          <cell r="B868">
            <v>3</v>
          </cell>
          <cell r="C868" t="str">
            <v>ORG-000060-00</v>
          </cell>
          <cell r="D868" t="str">
            <v>O-RING, CABLE, TROV 2</v>
          </cell>
          <cell r="E868" t="str">
            <v>A</v>
          </cell>
          <cell r="F868" t="str">
            <v>O-Ring</v>
          </cell>
          <cell r="G868">
            <v>1</v>
          </cell>
          <cell r="H868">
            <v>0</v>
          </cell>
          <cell r="I868" t="str">
            <v>N/A</v>
          </cell>
        </row>
        <row r="869">
          <cell r="A869" t="str">
            <v>ASY-006883-01</v>
          </cell>
          <cell r="B869">
            <v>3</v>
          </cell>
          <cell r="C869" t="str">
            <v>SRF-000030-00</v>
          </cell>
          <cell r="D869" t="str">
            <v>STRAIN RELIEF, CABLE, TROV 2</v>
          </cell>
          <cell r="E869" t="str">
            <v>A</v>
          </cell>
          <cell r="F869" t="str">
            <v>Strain Relief</v>
          </cell>
          <cell r="G869">
            <v>1</v>
          </cell>
          <cell r="H869">
            <v>0</v>
          </cell>
          <cell r="I869" t="str">
            <v>N/A</v>
          </cell>
        </row>
        <row r="870">
          <cell r="A870" t="str">
            <v>ASY-006883-01</v>
          </cell>
          <cell r="B870">
            <v>2</v>
          </cell>
          <cell r="C870" t="str">
            <v>HSG-000488-01</v>
          </cell>
          <cell r="D870" t="str">
            <v>HOUSING, PSU, 1 FT, MOLDED HOLE, TROV 2.0</v>
          </cell>
          <cell r="E870" t="str">
            <v>B</v>
          </cell>
          <cell r="F870" t="str">
            <v>Housing</v>
          </cell>
          <cell r="G870">
            <v>1</v>
          </cell>
          <cell r="H870">
            <v>1.17</v>
          </cell>
          <cell r="I870" t="str">
            <v>Buy</v>
          </cell>
        </row>
        <row r="871">
          <cell r="A871" t="str">
            <v>ASY-006883-01</v>
          </cell>
          <cell r="B871">
            <v>2</v>
          </cell>
          <cell r="C871" t="str">
            <v>SCW-000577-00</v>
          </cell>
          <cell r="D871" t="str">
            <v>SCREW, TORX HEAD, LOW PROFILE, M3X8mm, ALLOY STEEL</v>
          </cell>
          <cell r="E871" t="str">
            <v>A</v>
          </cell>
          <cell r="F871" t="str">
            <v>Screw</v>
          </cell>
          <cell r="G871">
            <v>2</v>
          </cell>
          <cell r="H871">
            <v>0.03</v>
          </cell>
          <cell r="I871" t="str">
            <v>Buy</v>
          </cell>
        </row>
        <row r="872">
          <cell r="A872" t="str">
            <v>ASY-006883-01</v>
          </cell>
          <cell r="B872">
            <v>1</v>
          </cell>
          <cell r="C872" t="str">
            <v>BAS-000020-00</v>
          </cell>
          <cell r="D872" t="str">
            <v>BASE, 1FT, TROV 2.0</v>
          </cell>
          <cell r="E872" t="str">
            <v>E</v>
          </cell>
          <cell r="F872" t="str">
            <v>Base</v>
          </cell>
          <cell r="G872">
            <v>1</v>
          </cell>
          <cell r="H872">
            <v>5.8</v>
          </cell>
          <cell r="I872" t="str">
            <v>Buy</v>
          </cell>
        </row>
        <row r="873">
          <cell r="A873" t="str">
            <v>ASY-006883-01</v>
          </cell>
          <cell r="B873">
            <v>1</v>
          </cell>
          <cell r="C873" t="str">
            <v>BKT-000457-03</v>
          </cell>
          <cell r="D873" t="str">
            <v>BRACKET, MOUNT, LEFT, BLACK, TROV 2.0</v>
          </cell>
          <cell r="E873" t="str">
            <v>C</v>
          </cell>
          <cell r="F873" t="str">
            <v>Bracket</v>
          </cell>
          <cell r="G873">
            <v>1</v>
          </cell>
          <cell r="H873">
            <v>0.99</v>
          </cell>
          <cell r="I873" t="str">
            <v>Buy</v>
          </cell>
        </row>
        <row r="874">
          <cell r="A874" t="str">
            <v>ASY-006883-01</v>
          </cell>
          <cell r="B874">
            <v>1</v>
          </cell>
          <cell r="C874" t="str">
            <v>BKT-000458-03</v>
          </cell>
          <cell r="D874" t="str">
            <v>BRACKET, MOUNT, RIGHT, BLACK, TROV 2.0</v>
          </cell>
          <cell r="E874" t="str">
            <v>C</v>
          </cell>
          <cell r="F874" t="str">
            <v>Bracket</v>
          </cell>
          <cell r="G874">
            <v>1</v>
          </cell>
          <cell r="H874">
            <v>0.99</v>
          </cell>
          <cell r="I874" t="str">
            <v>Buy</v>
          </cell>
        </row>
        <row r="875">
          <cell r="A875" t="str">
            <v>ASY-006883-01</v>
          </cell>
          <cell r="B875">
            <v>1</v>
          </cell>
          <cell r="C875" t="str">
            <v>CVR-000789-03</v>
          </cell>
          <cell r="D875" t="str">
            <v>END COVER, FC, BLACK, L60, TROV 2.0</v>
          </cell>
          <cell r="E875" t="str">
            <v>D</v>
          </cell>
          <cell r="F875" t="str">
            <v>Cover</v>
          </cell>
          <cell r="G875">
            <v>1</v>
          </cell>
          <cell r="H875">
            <v>1.0900000000000001</v>
          </cell>
          <cell r="I875" t="str">
            <v>Buy</v>
          </cell>
        </row>
        <row r="876">
          <cell r="A876" t="str">
            <v>ASY-006883-01</v>
          </cell>
          <cell r="B876">
            <v>1</v>
          </cell>
          <cell r="C876" t="str">
            <v>CVR-000893-03</v>
          </cell>
          <cell r="D876" t="str">
            <v>END COVER, MC, BLACK, L60, TROV 2.0</v>
          </cell>
          <cell r="E876" t="str">
            <v>B</v>
          </cell>
          <cell r="F876" t="str">
            <v>Cover</v>
          </cell>
          <cell r="G876">
            <v>1</v>
          </cell>
          <cell r="H876">
            <v>1.0900000000000001</v>
          </cell>
          <cell r="I876" t="str">
            <v>Buy</v>
          </cell>
        </row>
        <row r="877">
          <cell r="A877" t="str">
            <v>ASY-006883-01</v>
          </cell>
          <cell r="B877">
            <v>1</v>
          </cell>
          <cell r="C877" t="str">
            <v>FOM-000028-00</v>
          </cell>
          <cell r="D877" t="str">
            <v>FOAM, LIGHTBLOCK, ENDCAP, L60, TROV2</v>
          </cell>
          <cell r="E877" t="str">
            <v>A</v>
          </cell>
          <cell r="F877" t="str">
            <v>Foam</v>
          </cell>
          <cell r="G877">
            <v>2</v>
          </cell>
          <cell r="H877">
            <v>0.03</v>
          </cell>
          <cell r="I877" t="str">
            <v>Buy</v>
          </cell>
        </row>
        <row r="878">
          <cell r="A878" t="str">
            <v>ASY-006883-01</v>
          </cell>
          <cell r="B878">
            <v>1</v>
          </cell>
          <cell r="C878" t="str">
            <v>GSK-000121-01</v>
          </cell>
          <cell r="D878" t="str">
            <v>GASKET, DRIVER ENCLOSURE, 3M, 1 FT, TROV 2.0</v>
          </cell>
          <cell r="E878" t="str">
            <v>B</v>
          </cell>
          <cell r="F878" t="str">
            <v>Gasket</v>
          </cell>
          <cell r="G878">
            <v>1</v>
          </cell>
          <cell r="H878">
            <v>1.7</v>
          </cell>
          <cell r="I878" t="str">
            <v>Buy</v>
          </cell>
        </row>
        <row r="879">
          <cell r="A879" t="str">
            <v>ASY-006883-01</v>
          </cell>
          <cell r="B879">
            <v>1</v>
          </cell>
          <cell r="C879" t="str">
            <v>GSK-000132-00</v>
          </cell>
          <cell r="D879" t="str">
            <v>GASKET, TERTIARY LENS, 3M, 1 FT, L60, TROV 2.0</v>
          </cell>
          <cell r="E879" t="str">
            <v>B</v>
          </cell>
          <cell r="F879" t="str">
            <v>Gasket</v>
          </cell>
          <cell r="G879">
            <v>1</v>
          </cell>
          <cell r="H879">
            <v>1.96</v>
          </cell>
          <cell r="I879" t="str">
            <v>Buy</v>
          </cell>
        </row>
        <row r="880">
          <cell r="A880" t="str">
            <v>ASY-006883-01</v>
          </cell>
          <cell r="B880">
            <v>1</v>
          </cell>
          <cell r="C880" t="str">
            <v>HSG-000490-03</v>
          </cell>
          <cell r="D880" t="str">
            <v>HOUSING, TOP, 1 FT, L60, BLACK, TROV 2.0</v>
          </cell>
          <cell r="E880" t="str">
            <v>E</v>
          </cell>
          <cell r="F880" t="str">
            <v>Housing</v>
          </cell>
          <cell r="G880">
            <v>1</v>
          </cell>
          <cell r="H880">
            <v>4.37</v>
          </cell>
          <cell r="I880" t="str">
            <v>Buy</v>
          </cell>
        </row>
        <row r="881">
          <cell r="A881" t="str">
            <v>ASY-006883-01</v>
          </cell>
          <cell r="B881">
            <v>1</v>
          </cell>
          <cell r="C881" t="str">
            <v>HSG-000492-03</v>
          </cell>
          <cell r="D881" t="str">
            <v>HOUSING, BOTTOM, 1 FT, BLACK, TROV 2.0</v>
          </cell>
          <cell r="E881" t="str">
            <v>F</v>
          </cell>
          <cell r="F881" t="str">
            <v>Housing</v>
          </cell>
          <cell r="G881">
            <v>1</v>
          </cell>
          <cell r="H881">
            <v>3.22</v>
          </cell>
          <cell r="I881" t="str">
            <v>Buy</v>
          </cell>
        </row>
        <row r="882">
          <cell r="A882" t="str">
            <v>ASY-006883-01</v>
          </cell>
          <cell r="B882">
            <v>1</v>
          </cell>
          <cell r="C882" t="str">
            <v>LBA-000003-00</v>
          </cell>
          <cell r="D882" t="str">
            <v>Label: TROV 2 P1/P2, Model L45/L60</v>
          </cell>
          <cell r="E882" t="str">
            <v>A</v>
          </cell>
          <cell r="F882" t="str">
            <v>Label BOM</v>
          </cell>
          <cell r="G882">
            <v>1</v>
          </cell>
          <cell r="H882">
            <v>0</v>
          </cell>
          <cell r="I882" t="str">
            <v>Make</v>
          </cell>
        </row>
        <row r="883">
          <cell r="A883" t="str">
            <v>ASY-006883-01</v>
          </cell>
          <cell r="B883">
            <v>2</v>
          </cell>
          <cell r="C883" t="str">
            <v>LBL-000243-00</v>
          </cell>
          <cell r="D883" t="str">
            <v>Blank Product Label: Trov 2 P1/P2, Model L45/L60</v>
          </cell>
          <cell r="E883" t="str">
            <v>A</v>
          </cell>
          <cell r="F883" t="str">
            <v>Label</v>
          </cell>
          <cell r="G883">
            <v>1</v>
          </cell>
          <cell r="H883">
            <v>0.33</v>
          </cell>
          <cell r="I883" t="str">
            <v>Buy</v>
          </cell>
        </row>
        <row r="884">
          <cell r="A884" t="str">
            <v>ASY-006883-01</v>
          </cell>
          <cell r="B884">
            <v>1</v>
          </cell>
          <cell r="C884" t="str">
            <v>PLG-000009-01</v>
          </cell>
          <cell r="D884" t="str">
            <v>Porex Vent, Trov, L50 Exterior</v>
          </cell>
          <cell r="E884" t="str">
            <v>B</v>
          </cell>
          <cell r="F884" t="str">
            <v>Plug</v>
          </cell>
          <cell r="G884">
            <v>1</v>
          </cell>
          <cell r="H884">
            <v>0.17</v>
          </cell>
          <cell r="I884" t="str">
            <v>Buy</v>
          </cell>
        </row>
        <row r="885">
          <cell r="A885" t="str">
            <v>ASY-006883-01</v>
          </cell>
          <cell r="B885">
            <v>1</v>
          </cell>
          <cell r="C885" t="str">
            <v>SCW-000156-00</v>
          </cell>
          <cell r="D885" t="str">
            <v>SCREW, M3 x 0.5 X 8mm, PAND HEAD, PHILLIPS, STEEL</v>
          </cell>
          <cell r="E885" t="str">
            <v>B</v>
          </cell>
          <cell r="F885" t="str">
            <v>Screw</v>
          </cell>
          <cell r="G885">
            <v>2</v>
          </cell>
          <cell r="H885">
            <v>4.4400000000000002E-2</v>
          </cell>
          <cell r="I885" t="str">
            <v>Buy</v>
          </cell>
        </row>
        <row r="886">
          <cell r="A886" t="str">
            <v>ASY-006883-01</v>
          </cell>
          <cell r="B886">
            <v>1</v>
          </cell>
          <cell r="C886" t="str">
            <v>SCW-000483-00</v>
          </cell>
          <cell r="D886" t="str">
            <v>SCREW, PHILIPS FLAT HEAD, M2.5x0.45x5 , 18-8 SST</v>
          </cell>
          <cell r="E886" t="str">
            <v>A</v>
          </cell>
          <cell r="F886" t="str">
            <v>Screw</v>
          </cell>
          <cell r="G886">
            <v>4</v>
          </cell>
          <cell r="H886">
            <v>0.02</v>
          </cell>
          <cell r="I886" t="str">
            <v>Buy</v>
          </cell>
        </row>
        <row r="887">
          <cell r="A887" t="str">
            <v>ASY-006883-01</v>
          </cell>
          <cell r="B887">
            <v>1</v>
          </cell>
          <cell r="C887" t="str">
            <v>SCW-000556-00</v>
          </cell>
          <cell r="D887" t="str">
            <v>SCREW, HEX, SERRATED, #8-32, GROUNDING, TROV 2</v>
          </cell>
          <cell r="E887" t="str">
            <v>A</v>
          </cell>
          <cell r="F887" t="str">
            <v>Screw</v>
          </cell>
          <cell r="G887">
            <v>1</v>
          </cell>
          <cell r="H887">
            <v>0.04</v>
          </cell>
          <cell r="I887" t="str">
            <v>Buy</v>
          </cell>
        </row>
        <row r="888">
          <cell r="A888" t="str">
            <v>ASY-006883-01</v>
          </cell>
          <cell r="B888">
            <v>1</v>
          </cell>
          <cell r="C888" t="str">
            <v>SCW-000574-00</v>
          </cell>
          <cell r="D888" t="str">
            <v>SCREW, TORX HEAD, 1/4-28x1/2", LOW PROFILE, ALLOY STEEL</v>
          </cell>
          <cell r="E888" t="str">
            <v>A</v>
          </cell>
          <cell r="F888" t="str">
            <v>Screw</v>
          </cell>
          <cell r="G888">
            <v>2</v>
          </cell>
          <cell r="H888">
            <v>0.14000000000000001</v>
          </cell>
          <cell r="I888" t="str">
            <v>Buy</v>
          </cell>
        </row>
        <row r="889">
          <cell r="A889" t="str">
            <v>ASY-006883-01</v>
          </cell>
          <cell r="B889">
            <v>1</v>
          </cell>
          <cell r="C889" t="str">
            <v>SHT-000042-00</v>
          </cell>
          <cell r="D889" t="str">
            <v>INSULATION SHEET, MP/LP HBA, TROV 2</v>
          </cell>
          <cell r="E889" t="str">
            <v>D</v>
          </cell>
          <cell r="F889" t="str">
            <v>Sheet</v>
          </cell>
          <cell r="G889">
            <v>1</v>
          </cell>
          <cell r="H889">
            <v>0.16</v>
          </cell>
          <cell r="I889" t="str">
            <v>Buy</v>
          </cell>
        </row>
        <row r="890">
          <cell r="A890" t="str">
            <v>ASY-006883-01</v>
          </cell>
          <cell r="B890">
            <v>1</v>
          </cell>
          <cell r="C890" t="str">
            <v>SPG-000023-00</v>
          </cell>
          <cell r="D890" t="str">
            <v>SPRING, DISC, STACKED WAVE, TROV 2.0</v>
          </cell>
          <cell r="E890" t="str">
            <v>A</v>
          </cell>
          <cell r="F890" t="str">
            <v>Spring</v>
          </cell>
          <cell r="G890">
            <v>2</v>
          </cell>
          <cell r="H890">
            <v>1.74</v>
          </cell>
          <cell r="I890" t="str">
            <v>Buy</v>
          </cell>
        </row>
        <row r="891">
          <cell r="A891" t="str">
            <v>ASY-006883-01</v>
          </cell>
          <cell r="B891">
            <v>1</v>
          </cell>
          <cell r="C891" t="str">
            <v>TAP-000031-00</v>
          </cell>
          <cell r="D891" t="str">
            <v>3M Electrical Tape 92</v>
          </cell>
          <cell r="E891" t="str">
            <v>A</v>
          </cell>
          <cell r="F891" t="str">
            <v>Tape</v>
          </cell>
          <cell r="G891">
            <v>120</v>
          </cell>
          <cell r="H891">
            <v>1.4E-2</v>
          </cell>
          <cell r="I891" t="str">
            <v>Buy</v>
          </cell>
        </row>
        <row r="892">
          <cell r="A892" t="str">
            <v>ASY-006883-01</v>
          </cell>
          <cell r="B892">
            <v>1</v>
          </cell>
          <cell r="C892" t="str">
            <v>TMP-000027-00</v>
          </cell>
          <cell r="D892" t="str">
            <v>Thermal Pad, LED PCBA, 1 FT, TROV 2</v>
          </cell>
          <cell r="E892" t="str">
            <v>B</v>
          </cell>
          <cell r="F892" t="str">
            <v>Thermal Pad</v>
          </cell>
          <cell r="G892">
            <v>1</v>
          </cell>
          <cell r="H892">
            <v>0.72</v>
          </cell>
          <cell r="I892" t="str">
            <v>Buy</v>
          </cell>
        </row>
        <row r="893">
          <cell r="A893" t="str">
            <v>ASY-006883-01</v>
          </cell>
          <cell r="B893">
            <v>1</v>
          </cell>
          <cell r="C893" t="str">
            <v>TMP-000029-00</v>
          </cell>
          <cell r="D893" t="str">
            <v>Thermal Pad, HBA, TROV 2</v>
          </cell>
          <cell r="E893" t="str">
            <v>B</v>
          </cell>
          <cell r="F893" t="str">
            <v>Thermal Pad</v>
          </cell>
          <cell r="G893">
            <v>2</v>
          </cell>
          <cell r="H893">
            <v>0.14000000000000001</v>
          </cell>
          <cell r="I893" t="str">
            <v>Buy</v>
          </cell>
        </row>
        <row r="894">
          <cell r="A894" t="str">
            <v>ASY-006883-02</v>
          </cell>
          <cell r="B894">
            <v>0</v>
          </cell>
          <cell r="C894" t="str">
            <v>ASY-006883-02</v>
          </cell>
          <cell r="D894" t="str">
            <v>ASSY, MECHANICAL, L60, INDOOR, 1 FT, TROV 2.0, WHITE</v>
          </cell>
          <cell r="E894" t="str">
            <v>D</v>
          </cell>
          <cell r="F894" t="str">
            <v>Sub assembly</v>
          </cell>
          <cell r="H894">
            <v>0</v>
          </cell>
          <cell r="I894" t="str">
            <v>Make</v>
          </cell>
        </row>
        <row r="895">
          <cell r="A895" t="str">
            <v>ASY-006883-02</v>
          </cell>
          <cell r="B895">
            <v>1</v>
          </cell>
          <cell r="C895" t="str">
            <v>ACB-000261-00</v>
          </cell>
          <cell r="D895" t="str">
            <v>CABLE, ECOBUS, 24AWG, SHORT, TROV 2</v>
          </cell>
          <cell r="E895" t="str">
            <v>B</v>
          </cell>
          <cell r="F895" t="str">
            <v>Cable</v>
          </cell>
          <cell r="G895">
            <v>1</v>
          </cell>
          <cell r="H895">
            <v>0.76</v>
          </cell>
          <cell r="I895" t="str">
            <v>Buy</v>
          </cell>
        </row>
        <row r="896">
          <cell r="A896" t="str">
            <v>ASY-006883-02</v>
          </cell>
          <cell r="B896">
            <v>1</v>
          </cell>
          <cell r="C896" t="str">
            <v>ASY-100009-00</v>
          </cell>
          <cell r="D896" t="str">
            <v>Cable Subassembly, Driver housing, 1ft, Trov 2</v>
          </cell>
          <cell r="E896" t="str">
            <v>B</v>
          </cell>
          <cell r="F896" t="str">
            <v>Sub assembly</v>
          </cell>
          <cell r="G896">
            <v>1</v>
          </cell>
          <cell r="H896">
            <v>0</v>
          </cell>
          <cell r="I896" t="str">
            <v>Make</v>
          </cell>
        </row>
        <row r="897">
          <cell r="A897" t="str">
            <v>ASY-006883-02</v>
          </cell>
          <cell r="B897">
            <v>2</v>
          </cell>
          <cell r="C897" t="str">
            <v>ACB-000278-00</v>
          </cell>
          <cell r="D897" t="str">
            <v>CABLE ASSY, INTRA-FIXTURE, 1FT, TROV 2.0</v>
          </cell>
          <cell r="E897" t="str">
            <v>A</v>
          </cell>
          <cell r="F897" t="str">
            <v>Cable Assembly</v>
          </cell>
          <cell r="G897">
            <v>1</v>
          </cell>
          <cell r="H897">
            <v>12.75</v>
          </cell>
          <cell r="I897" t="str">
            <v>Buy</v>
          </cell>
        </row>
        <row r="898">
          <cell r="A898" t="str">
            <v>ASY-006883-02</v>
          </cell>
          <cell r="B898">
            <v>3</v>
          </cell>
          <cell r="C898" t="str">
            <v>ACB-000273-00</v>
          </cell>
          <cell r="D898" t="str">
            <v>6 CONDUCTOR CABLE, 3X22AWG, 3X16AWG, AL MYLAR, TROV 2</v>
          </cell>
          <cell r="E898" t="str">
            <v>A</v>
          </cell>
          <cell r="F898" t="str">
            <v>Cable</v>
          </cell>
          <cell r="G898">
            <v>1</v>
          </cell>
          <cell r="H898">
            <v>0</v>
          </cell>
          <cell r="I898" t="str">
            <v>N/A</v>
          </cell>
        </row>
        <row r="899">
          <cell r="A899" t="str">
            <v>ASY-006883-02</v>
          </cell>
          <cell r="B899">
            <v>3</v>
          </cell>
          <cell r="C899" t="str">
            <v>ACB-000274-01</v>
          </cell>
          <cell r="D899" t="str">
            <v>CABLE ASSEMBLY, INTERNAL, DRIVER SIDE, 1FT, TROV 2</v>
          </cell>
          <cell r="E899" t="str">
            <v>A</v>
          </cell>
          <cell r="F899" t="str">
            <v>Cable Assembly</v>
          </cell>
          <cell r="G899">
            <v>1</v>
          </cell>
          <cell r="H899">
            <v>0</v>
          </cell>
          <cell r="I899" t="str">
            <v>N/A</v>
          </cell>
        </row>
        <row r="900">
          <cell r="A900" t="str">
            <v>ASY-006883-02</v>
          </cell>
          <cell r="B900">
            <v>3</v>
          </cell>
          <cell r="C900" t="str">
            <v>CON-000259-00</v>
          </cell>
          <cell r="D900" t="str">
            <v>CONNECTOR, MALE, 6 PIN, TROV 2</v>
          </cell>
          <cell r="E900" t="str">
            <v>B</v>
          </cell>
          <cell r="F900" t="str">
            <v>Connector</v>
          </cell>
          <cell r="G900">
            <v>1</v>
          </cell>
          <cell r="H900">
            <v>0</v>
          </cell>
          <cell r="I900" t="str">
            <v>N/A</v>
          </cell>
        </row>
        <row r="901">
          <cell r="A901" t="str">
            <v>ASY-006883-02</v>
          </cell>
          <cell r="B901">
            <v>3</v>
          </cell>
          <cell r="C901" t="str">
            <v>CON-000260-00</v>
          </cell>
          <cell r="D901" t="str">
            <v>CONNECTOR, FEMALE, 6 PIN, TROV 2</v>
          </cell>
          <cell r="E901" t="str">
            <v>A</v>
          </cell>
          <cell r="F901" t="str">
            <v>Connector</v>
          </cell>
          <cell r="G901">
            <v>1</v>
          </cell>
          <cell r="H901">
            <v>0</v>
          </cell>
          <cell r="I901" t="str">
            <v>N/A</v>
          </cell>
        </row>
        <row r="902">
          <cell r="A902" t="str">
            <v>ASY-006883-02</v>
          </cell>
          <cell r="B902">
            <v>3</v>
          </cell>
          <cell r="C902" t="str">
            <v>ORG-000060-00</v>
          </cell>
          <cell r="D902" t="str">
            <v>O-RING, CABLE, TROV 2</v>
          </cell>
          <cell r="E902" t="str">
            <v>A</v>
          </cell>
          <cell r="F902" t="str">
            <v>O-Ring</v>
          </cell>
          <cell r="G902">
            <v>1</v>
          </cell>
          <cell r="H902">
            <v>0</v>
          </cell>
          <cell r="I902" t="str">
            <v>N/A</v>
          </cell>
        </row>
        <row r="903">
          <cell r="A903" t="str">
            <v>ASY-006883-02</v>
          </cell>
          <cell r="B903">
            <v>3</v>
          </cell>
          <cell r="C903" t="str">
            <v>SRF-000030-00</v>
          </cell>
          <cell r="D903" t="str">
            <v>STRAIN RELIEF, CABLE, TROV 2</v>
          </cell>
          <cell r="E903" t="str">
            <v>A</v>
          </cell>
          <cell r="F903" t="str">
            <v>Strain Relief</v>
          </cell>
          <cell r="G903">
            <v>1</v>
          </cell>
          <cell r="H903">
            <v>0</v>
          </cell>
          <cell r="I903" t="str">
            <v>N/A</v>
          </cell>
        </row>
        <row r="904">
          <cell r="A904" t="str">
            <v>ASY-006883-02</v>
          </cell>
          <cell r="B904">
            <v>2</v>
          </cell>
          <cell r="C904" t="str">
            <v>HSG-000488-01</v>
          </cell>
          <cell r="D904" t="str">
            <v>HOUSING, PSU, 1 FT, MOLDED HOLE, TROV 2.0</v>
          </cell>
          <cell r="E904" t="str">
            <v>B</v>
          </cell>
          <cell r="F904" t="str">
            <v>Housing</v>
          </cell>
          <cell r="G904">
            <v>1</v>
          </cell>
          <cell r="H904">
            <v>1.17</v>
          </cell>
          <cell r="I904" t="str">
            <v>Buy</v>
          </cell>
        </row>
        <row r="905">
          <cell r="A905" t="str">
            <v>ASY-006883-02</v>
          </cell>
          <cell r="B905">
            <v>2</v>
          </cell>
          <cell r="C905" t="str">
            <v>SCW-000577-00</v>
          </cell>
          <cell r="D905" t="str">
            <v>SCREW, TORX HEAD, LOW PROFILE, M3X8mm, ALLOY STEEL</v>
          </cell>
          <cell r="E905" t="str">
            <v>A</v>
          </cell>
          <cell r="F905" t="str">
            <v>Screw</v>
          </cell>
          <cell r="G905">
            <v>2</v>
          </cell>
          <cell r="H905">
            <v>0.03</v>
          </cell>
          <cell r="I905" t="str">
            <v>Buy</v>
          </cell>
        </row>
        <row r="906">
          <cell r="A906" t="str">
            <v>ASY-006883-02</v>
          </cell>
          <cell r="B906">
            <v>1</v>
          </cell>
          <cell r="C906" t="str">
            <v>BAS-000020-00</v>
          </cell>
          <cell r="D906" t="str">
            <v>BASE, 1FT, TROV 2.0</v>
          </cell>
          <cell r="E906" t="str">
            <v>E</v>
          </cell>
          <cell r="F906" t="str">
            <v>Base</v>
          </cell>
          <cell r="G906">
            <v>1</v>
          </cell>
          <cell r="H906">
            <v>5.8</v>
          </cell>
          <cell r="I906" t="str">
            <v>Buy</v>
          </cell>
        </row>
        <row r="907">
          <cell r="A907" t="str">
            <v>ASY-006883-02</v>
          </cell>
          <cell r="B907">
            <v>1</v>
          </cell>
          <cell r="C907" t="str">
            <v>BKT-000457-03</v>
          </cell>
          <cell r="D907" t="str">
            <v>BRACKET, MOUNT, LEFT, BLACK, TROV 2.0</v>
          </cell>
          <cell r="E907" t="str">
            <v>C</v>
          </cell>
          <cell r="F907" t="str">
            <v>Bracket</v>
          </cell>
          <cell r="G907">
            <v>1</v>
          </cell>
          <cell r="H907">
            <v>0.99</v>
          </cell>
          <cell r="I907" t="str">
            <v>Buy</v>
          </cell>
        </row>
        <row r="908">
          <cell r="A908" t="str">
            <v>ASY-006883-02</v>
          </cell>
          <cell r="B908">
            <v>1</v>
          </cell>
          <cell r="C908" t="str">
            <v>BKT-000458-03</v>
          </cell>
          <cell r="D908" t="str">
            <v>BRACKET, MOUNT, RIGHT, BLACK, TROV 2.0</v>
          </cell>
          <cell r="E908" t="str">
            <v>C</v>
          </cell>
          <cell r="F908" t="str">
            <v>Bracket</v>
          </cell>
          <cell r="G908">
            <v>1</v>
          </cell>
          <cell r="H908">
            <v>0.99</v>
          </cell>
          <cell r="I908" t="str">
            <v>Buy</v>
          </cell>
        </row>
        <row r="909">
          <cell r="A909" t="str">
            <v>ASY-006883-02</v>
          </cell>
          <cell r="B909">
            <v>1</v>
          </cell>
          <cell r="C909" t="str">
            <v>CVR-000789-04</v>
          </cell>
          <cell r="D909" t="str">
            <v>END COVER, FC, WHITE, L60, TROV 2.0</v>
          </cell>
          <cell r="E909" t="str">
            <v>D</v>
          </cell>
          <cell r="F909" t="str">
            <v>Cover</v>
          </cell>
          <cell r="G909">
            <v>1</v>
          </cell>
          <cell r="H909">
            <v>0</v>
          </cell>
          <cell r="I909" t="str">
            <v>Buy</v>
          </cell>
        </row>
        <row r="910">
          <cell r="A910" t="str">
            <v>ASY-006883-02</v>
          </cell>
          <cell r="B910">
            <v>1</v>
          </cell>
          <cell r="C910" t="str">
            <v>CVR-000893-04</v>
          </cell>
          <cell r="D910" t="str">
            <v>END COVER, MC, WHITE, L60, TROV 2.0</v>
          </cell>
          <cell r="E910" t="str">
            <v>B</v>
          </cell>
          <cell r="F910" t="str">
            <v>Cover</v>
          </cell>
          <cell r="G910">
            <v>1</v>
          </cell>
          <cell r="H910">
            <v>1.0900000000000001</v>
          </cell>
          <cell r="I910" t="str">
            <v>Buy</v>
          </cell>
        </row>
        <row r="911">
          <cell r="A911" t="str">
            <v>ASY-006883-02</v>
          </cell>
          <cell r="B911">
            <v>1</v>
          </cell>
          <cell r="C911" t="str">
            <v>FOM-000028-00</v>
          </cell>
          <cell r="D911" t="str">
            <v>FOAM, LIGHTBLOCK, ENDCAP, L60, TROV2</v>
          </cell>
          <cell r="E911" t="str">
            <v>A</v>
          </cell>
          <cell r="F911" t="str">
            <v>Foam</v>
          </cell>
          <cell r="G911">
            <v>2</v>
          </cell>
          <cell r="H911">
            <v>0.03</v>
          </cell>
          <cell r="I911" t="str">
            <v>Buy</v>
          </cell>
        </row>
        <row r="912">
          <cell r="A912" t="str">
            <v>ASY-006883-02</v>
          </cell>
          <cell r="B912">
            <v>1</v>
          </cell>
          <cell r="C912" t="str">
            <v>GSK-000121-01</v>
          </cell>
          <cell r="D912" t="str">
            <v>GASKET, DRIVER ENCLOSURE, 3M, 1 FT, TROV 2.0</v>
          </cell>
          <cell r="E912" t="str">
            <v>B</v>
          </cell>
          <cell r="F912" t="str">
            <v>Gasket</v>
          </cell>
          <cell r="G912">
            <v>1</v>
          </cell>
          <cell r="H912">
            <v>1.7</v>
          </cell>
          <cell r="I912" t="str">
            <v>Buy</v>
          </cell>
        </row>
        <row r="913">
          <cell r="A913" t="str">
            <v>ASY-006883-02</v>
          </cell>
          <cell r="B913">
            <v>1</v>
          </cell>
          <cell r="C913" t="str">
            <v>GSK-000132-00</v>
          </cell>
          <cell r="D913" t="str">
            <v>GASKET, TERTIARY LENS, 3M, 1 FT, L60, TROV 2.0</v>
          </cell>
          <cell r="E913" t="str">
            <v>B</v>
          </cell>
          <cell r="F913" t="str">
            <v>Gasket</v>
          </cell>
          <cell r="G913">
            <v>1</v>
          </cell>
          <cell r="H913">
            <v>1.96</v>
          </cell>
          <cell r="I913" t="str">
            <v>Buy</v>
          </cell>
        </row>
        <row r="914">
          <cell r="A914" t="str">
            <v>ASY-006883-02</v>
          </cell>
          <cell r="B914">
            <v>1</v>
          </cell>
          <cell r="C914" t="str">
            <v>HSG-000490-04</v>
          </cell>
          <cell r="D914" t="str">
            <v>HOUSING, TOP, 1 FT, L60, WHITE, TROV 2.0</v>
          </cell>
          <cell r="E914" t="str">
            <v>E</v>
          </cell>
          <cell r="F914" t="str">
            <v>Housing</v>
          </cell>
          <cell r="G914">
            <v>1</v>
          </cell>
          <cell r="H914">
            <v>4.57</v>
          </cell>
          <cell r="I914" t="str">
            <v>Buy</v>
          </cell>
        </row>
        <row r="915">
          <cell r="A915" t="str">
            <v>ASY-006883-02</v>
          </cell>
          <cell r="B915">
            <v>1</v>
          </cell>
          <cell r="C915" t="str">
            <v>HSG-000492-04</v>
          </cell>
          <cell r="D915" t="str">
            <v>HOUSING, BOTTOM, 1 FT, WHITE, TROV 2.0</v>
          </cell>
          <cell r="E915" t="str">
            <v>F</v>
          </cell>
          <cell r="F915" t="str">
            <v>Housing</v>
          </cell>
          <cell r="G915">
            <v>1</v>
          </cell>
          <cell r="H915">
            <v>3.34</v>
          </cell>
          <cell r="I915" t="str">
            <v>Buy</v>
          </cell>
        </row>
        <row r="916">
          <cell r="A916" t="str">
            <v>ASY-006883-02</v>
          </cell>
          <cell r="B916">
            <v>1</v>
          </cell>
          <cell r="C916" t="str">
            <v>LBA-000003-00</v>
          </cell>
          <cell r="D916" t="str">
            <v>Label: TROV 2 P1/P2, Model L45/L60</v>
          </cell>
          <cell r="E916" t="str">
            <v>A</v>
          </cell>
          <cell r="F916" t="str">
            <v>Label BOM</v>
          </cell>
          <cell r="G916">
            <v>1</v>
          </cell>
          <cell r="H916">
            <v>0</v>
          </cell>
          <cell r="I916" t="str">
            <v>Make</v>
          </cell>
        </row>
        <row r="917">
          <cell r="A917" t="str">
            <v>ASY-006883-02</v>
          </cell>
          <cell r="B917">
            <v>2</v>
          </cell>
          <cell r="C917" t="str">
            <v>LBL-000243-00</v>
          </cell>
          <cell r="D917" t="str">
            <v>Blank Product Label: Trov 2 P1/P2, Model L45/L60</v>
          </cell>
          <cell r="E917" t="str">
            <v>A</v>
          </cell>
          <cell r="F917" t="str">
            <v>Label</v>
          </cell>
          <cell r="G917">
            <v>1</v>
          </cell>
          <cell r="H917">
            <v>0.33</v>
          </cell>
          <cell r="I917" t="str">
            <v>Buy</v>
          </cell>
        </row>
        <row r="918">
          <cell r="A918" t="str">
            <v>ASY-006883-02</v>
          </cell>
          <cell r="B918">
            <v>1</v>
          </cell>
          <cell r="C918" t="str">
            <v>PLG-000009-01</v>
          </cell>
          <cell r="D918" t="str">
            <v>Porex Vent, Trov, L50 Exterior</v>
          </cell>
          <cell r="E918" t="str">
            <v>B</v>
          </cell>
          <cell r="F918" t="str">
            <v>Plug</v>
          </cell>
          <cell r="G918">
            <v>1</v>
          </cell>
          <cell r="H918">
            <v>0.17</v>
          </cell>
          <cell r="I918" t="str">
            <v>Buy</v>
          </cell>
        </row>
        <row r="919">
          <cell r="A919" t="str">
            <v>ASY-006883-02</v>
          </cell>
          <cell r="B919">
            <v>1</v>
          </cell>
          <cell r="C919" t="str">
            <v>SCW-000156-00</v>
          </cell>
          <cell r="D919" t="str">
            <v>SCREW, M3 x 0.5 X 8mm, PAND HEAD, PHILLIPS, STEEL</v>
          </cell>
          <cell r="E919" t="str">
            <v>B</v>
          </cell>
          <cell r="F919" t="str">
            <v>Screw</v>
          </cell>
          <cell r="G919">
            <v>2</v>
          </cell>
          <cell r="H919">
            <v>4.4400000000000002E-2</v>
          </cell>
          <cell r="I919" t="str">
            <v>Buy</v>
          </cell>
        </row>
        <row r="920">
          <cell r="A920" t="str">
            <v>ASY-006883-02</v>
          </cell>
          <cell r="B920">
            <v>1</v>
          </cell>
          <cell r="C920" t="str">
            <v>SCW-000483-00</v>
          </cell>
          <cell r="D920" t="str">
            <v>SCREW, PHILIPS FLAT HEAD, M2.5x0.45x5 , 18-8 SST</v>
          </cell>
          <cell r="E920" t="str">
            <v>A</v>
          </cell>
          <cell r="F920" t="str">
            <v>Screw</v>
          </cell>
          <cell r="G920">
            <v>4</v>
          </cell>
          <cell r="H920">
            <v>0.02</v>
          </cell>
          <cell r="I920" t="str">
            <v>Buy</v>
          </cell>
        </row>
        <row r="921">
          <cell r="A921" t="str">
            <v>ASY-006883-02</v>
          </cell>
          <cell r="B921">
            <v>1</v>
          </cell>
          <cell r="C921" t="str">
            <v>SCW-000556-00</v>
          </cell>
          <cell r="D921" t="str">
            <v>SCREW, HEX, SERRATED, #8-32, GROUNDING, TROV 2</v>
          </cell>
          <cell r="E921" t="str">
            <v>A</v>
          </cell>
          <cell r="F921" t="str">
            <v>Screw</v>
          </cell>
          <cell r="G921">
            <v>1</v>
          </cell>
          <cell r="H921">
            <v>0.04</v>
          </cell>
          <cell r="I921" t="str">
            <v>Buy</v>
          </cell>
        </row>
        <row r="922">
          <cell r="A922" t="str">
            <v>ASY-006883-02</v>
          </cell>
          <cell r="B922">
            <v>1</v>
          </cell>
          <cell r="C922" t="str">
            <v>SCW-000574-00</v>
          </cell>
          <cell r="D922" t="str">
            <v>SCREW, TORX HEAD, 1/4-28x1/2", LOW PROFILE, ALLOY STEEL</v>
          </cell>
          <cell r="E922" t="str">
            <v>A</v>
          </cell>
          <cell r="F922" t="str">
            <v>Screw</v>
          </cell>
          <cell r="G922">
            <v>2</v>
          </cell>
          <cell r="H922">
            <v>0.14000000000000001</v>
          </cell>
          <cell r="I922" t="str">
            <v>Buy</v>
          </cell>
        </row>
        <row r="923">
          <cell r="A923" t="str">
            <v>ASY-006883-02</v>
          </cell>
          <cell r="B923">
            <v>1</v>
          </cell>
          <cell r="C923" t="str">
            <v>SHT-000042-00</v>
          </cell>
          <cell r="D923" t="str">
            <v>INSULATION SHEET, MP/LP HBA, TROV 2</v>
          </cell>
          <cell r="E923" t="str">
            <v>D</v>
          </cell>
          <cell r="F923" t="str">
            <v>Sheet</v>
          </cell>
          <cell r="G923">
            <v>1</v>
          </cell>
          <cell r="H923">
            <v>0.16</v>
          </cell>
          <cell r="I923" t="str">
            <v>Buy</v>
          </cell>
        </row>
        <row r="924">
          <cell r="A924" t="str">
            <v>ASY-006883-02</v>
          </cell>
          <cell r="B924">
            <v>1</v>
          </cell>
          <cell r="C924" t="str">
            <v>SPG-000023-00</v>
          </cell>
          <cell r="D924" t="str">
            <v>SPRING, DISC, STACKED WAVE, TROV 2.0</v>
          </cell>
          <cell r="E924" t="str">
            <v>A</v>
          </cell>
          <cell r="F924" t="str">
            <v>Spring</v>
          </cell>
          <cell r="G924">
            <v>2</v>
          </cell>
          <cell r="H924">
            <v>1.74</v>
          </cell>
          <cell r="I924" t="str">
            <v>Buy</v>
          </cell>
        </row>
        <row r="925">
          <cell r="A925" t="str">
            <v>ASY-006883-02</v>
          </cell>
          <cell r="B925">
            <v>1</v>
          </cell>
          <cell r="C925" t="str">
            <v>TAP-000031-00</v>
          </cell>
          <cell r="D925" t="str">
            <v>3M Electrical Tape 92</v>
          </cell>
          <cell r="E925" t="str">
            <v>A</v>
          </cell>
          <cell r="F925" t="str">
            <v>Tape</v>
          </cell>
          <cell r="G925">
            <v>120</v>
          </cell>
          <cell r="H925">
            <v>1.4E-2</v>
          </cell>
          <cell r="I925" t="str">
            <v>Buy</v>
          </cell>
        </row>
        <row r="926">
          <cell r="A926" t="str">
            <v>ASY-006883-02</v>
          </cell>
          <cell r="B926">
            <v>1</v>
          </cell>
          <cell r="C926" t="str">
            <v>TMP-000027-00</v>
          </cell>
          <cell r="D926" t="str">
            <v>Thermal Pad, LED PCBA, 1 FT, TROV 2</v>
          </cell>
          <cell r="E926" t="str">
            <v>B</v>
          </cell>
          <cell r="F926" t="str">
            <v>Thermal Pad</v>
          </cell>
          <cell r="G926">
            <v>1</v>
          </cell>
          <cell r="H926">
            <v>0.72</v>
          </cell>
          <cell r="I926" t="str">
            <v>Buy</v>
          </cell>
        </row>
        <row r="927">
          <cell r="A927" t="str">
            <v>ASY-006883-02</v>
          </cell>
          <cell r="B927">
            <v>1</v>
          </cell>
          <cell r="C927" t="str">
            <v>TMP-000029-00</v>
          </cell>
          <cell r="D927" t="str">
            <v>Thermal Pad, HBA, TROV 2</v>
          </cell>
          <cell r="E927" t="str">
            <v>B</v>
          </cell>
          <cell r="F927" t="str">
            <v>Thermal Pad</v>
          </cell>
          <cell r="G927">
            <v>2</v>
          </cell>
          <cell r="H927">
            <v>0.14000000000000001</v>
          </cell>
          <cell r="I927" t="str">
            <v>Buy</v>
          </cell>
        </row>
        <row r="928">
          <cell r="A928" t="str">
            <v>ASY-006883-03</v>
          </cell>
          <cell r="B928">
            <v>0</v>
          </cell>
          <cell r="C928" t="str">
            <v>ASY-006883-03</v>
          </cell>
          <cell r="D928" t="str">
            <v>ASSY, MECHANICAL, L60, INDOOR, 1 FT, TROV 2.0, BRONZE</v>
          </cell>
          <cell r="E928" t="str">
            <v>D</v>
          </cell>
          <cell r="F928" t="str">
            <v>Sub assembly</v>
          </cell>
          <cell r="H928">
            <v>0</v>
          </cell>
          <cell r="I928" t="str">
            <v>Make</v>
          </cell>
        </row>
        <row r="929">
          <cell r="A929" t="str">
            <v>ASY-006883-03</v>
          </cell>
          <cell r="B929">
            <v>1</v>
          </cell>
          <cell r="C929" t="str">
            <v>ACB-000261-00</v>
          </cell>
          <cell r="D929" t="str">
            <v>CABLE, ECOBUS, 24AWG, SHORT, TROV 2</v>
          </cell>
          <cell r="E929" t="str">
            <v>B</v>
          </cell>
          <cell r="F929" t="str">
            <v>Cable</v>
          </cell>
          <cell r="G929">
            <v>1</v>
          </cell>
          <cell r="H929">
            <v>0.76</v>
          </cell>
          <cell r="I929" t="str">
            <v>Buy</v>
          </cell>
        </row>
        <row r="930">
          <cell r="A930" t="str">
            <v>ASY-006883-03</v>
          </cell>
          <cell r="B930">
            <v>1</v>
          </cell>
          <cell r="C930" t="str">
            <v>ASY-100009-00</v>
          </cell>
          <cell r="D930" t="str">
            <v>Cable Subassembly, Driver housing, 1ft, Trov 2</v>
          </cell>
          <cell r="E930" t="str">
            <v>B</v>
          </cell>
          <cell r="F930" t="str">
            <v>Sub assembly</v>
          </cell>
          <cell r="G930">
            <v>1</v>
          </cell>
          <cell r="H930">
            <v>0</v>
          </cell>
          <cell r="I930" t="str">
            <v>Make</v>
          </cell>
        </row>
        <row r="931">
          <cell r="A931" t="str">
            <v>ASY-006883-03</v>
          </cell>
          <cell r="B931">
            <v>2</v>
          </cell>
          <cell r="C931" t="str">
            <v>ACB-000278-00</v>
          </cell>
          <cell r="D931" t="str">
            <v>CABLE ASSY, INTRA-FIXTURE, 1FT, TROV 2.0</v>
          </cell>
          <cell r="E931" t="str">
            <v>A</v>
          </cell>
          <cell r="F931" t="str">
            <v>Cable Assembly</v>
          </cell>
          <cell r="G931">
            <v>1</v>
          </cell>
          <cell r="H931">
            <v>12.75</v>
          </cell>
          <cell r="I931" t="str">
            <v>Buy</v>
          </cell>
        </row>
        <row r="932">
          <cell r="A932" t="str">
            <v>ASY-006883-03</v>
          </cell>
          <cell r="B932">
            <v>3</v>
          </cell>
          <cell r="C932" t="str">
            <v>ACB-000273-00</v>
          </cell>
          <cell r="D932" t="str">
            <v>6 CONDUCTOR CABLE, 3X22AWG, 3X16AWG, AL MYLAR, TROV 2</v>
          </cell>
          <cell r="E932" t="str">
            <v>A</v>
          </cell>
          <cell r="F932" t="str">
            <v>Cable</v>
          </cell>
          <cell r="G932">
            <v>1</v>
          </cell>
          <cell r="H932">
            <v>0</v>
          </cell>
          <cell r="I932" t="str">
            <v>N/A</v>
          </cell>
        </row>
        <row r="933">
          <cell r="A933" t="str">
            <v>ASY-006883-03</v>
          </cell>
          <cell r="B933">
            <v>3</v>
          </cell>
          <cell r="C933" t="str">
            <v>ACB-000274-01</v>
          </cell>
          <cell r="D933" t="str">
            <v>CABLE ASSEMBLY, INTERNAL, DRIVER SIDE, 1FT, TROV 2</v>
          </cell>
          <cell r="E933" t="str">
            <v>A</v>
          </cell>
          <cell r="F933" t="str">
            <v>Cable Assembly</v>
          </cell>
          <cell r="G933">
            <v>1</v>
          </cell>
          <cell r="H933">
            <v>0</v>
          </cell>
          <cell r="I933" t="str">
            <v>N/A</v>
          </cell>
        </row>
        <row r="934">
          <cell r="A934" t="str">
            <v>ASY-006883-03</v>
          </cell>
          <cell r="B934">
            <v>3</v>
          </cell>
          <cell r="C934" t="str">
            <v>CON-000259-00</v>
          </cell>
          <cell r="D934" t="str">
            <v>CONNECTOR, MALE, 6 PIN, TROV 2</v>
          </cell>
          <cell r="E934" t="str">
            <v>B</v>
          </cell>
          <cell r="F934" t="str">
            <v>Connector</v>
          </cell>
          <cell r="G934">
            <v>1</v>
          </cell>
          <cell r="H934">
            <v>0</v>
          </cell>
          <cell r="I934" t="str">
            <v>N/A</v>
          </cell>
        </row>
        <row r="935">
          <cell r="A935" t="str">
            <v>ASY-006883-03</v>
          </cell>
          <cell r="B935">
            <v>3</v>
          </cell>
          <cell r="C935" t="str">
            <v>CON-000260-00</v>
          </cell>
          <cell r="D935" t="str">
            <v>CONNECTOR, FEMALE, 6 PIN, TROV 2</v>
          </cell>
          <cell r="E935" t="str">
            <v>A</v>
          </cell>
          <cell r="F935" t="str">
            <v>Connector</v>
          </cell>
          <cell r="G935">
            <v>1</v>
          </cell>
          <cell r="H935">
            <v>0</v>
          </cell>
          <cell r="I935" t="str">
            <v>N/A</v>
          </cell>
        </row>
        <row r="936">
          <cell r="A936" t="str">
            <v>ASY-006883-03</v>
          </cell>
          <cell r="B936">
            <v>3</v>
          </cell>
          <cell r="C936" t="str">
            <v>ORG-000060-00</v>
          </cell>
          <cell r="D936" t="str">
            <v>O-RING, CABLE, TROV 2</v>
          </cell>
          <cell r="E936" t="str">
            <v>A</v>
          </cell>
          <cell r="F936" t="str">
            <v>O-Ring</v>
          </cell>
          <cell r="G936">
            <v>1</v>
          </cell>
          <cell r="H936">
            <v>0</v>
          </cell>
          <cell r="I936" t="str">
            <v>N/A</v>
          </cell>
        </row>
        <row r="937">
          <cell r="A937" t="str">
            <v>ASY-006883-03</v>
          </cell>
          <cell r="B937">
            <v>3</v>
          </cell>
          <cell r="C937" t="str">
            <v>SRF-000030-00</v>
          </cell>
          <cell r="D937" t="str">
            <v>STRAIN RELIEF, CABLE, TROV 2</v>
          </cell>
          <cell r="E937" t="str">
            <v>A</v>
          </cell>
          <cell r="F937" t="str">
            <v>Strain Relief</v>
          </cell>
          <cell r="G937">
            <v>1</v>
          </cell>
          <cell r="H937">
            <v>0</v>
          </cell>
          <cell r="I937" t="str">
            <v>N/A</v>
          </cell>
        </row>
        <row r="938">
          <cell r="A938" t="str">
            <v>ASY-006883-03</v>
          </cell>
          <cell r="B938">
            <v>2</v>
          </cell>
          <cell r="C938" t="str">
            <v>HSG-000488-01</v>
          </cell>
          <cell r="D938" t="str">
            <v>HOUSING, PSU, 1 FT, MOLDED HOLE, TROV 2.0</v>
          </cell>
          <cell r="E938" t="str">
            <v>B</v>
          </cell>
          <cell r="F938" t="str">
            <v>Housing</v>
          </cell>
          <cell r="G938">
            <v>1</v>
          </cell>
          <cell r="H938">
            <v>1.17</v>
          </cell>
          <cell r="I938" t="str">
            <v>Buy</v>
          </cell>
        </row>
        <row r="939">
          <cell r="A939" t="str">
            <v>ASY-006883-03</v>
          </cell>
          <cell r="B939">
            <v>2</v>
          </cell>
          <cell r="C939" t="str">
            <v>SCW-000577-00</v>
          </cell>
          <cell r="D939" t="str">
            <v>SCREW, TORX HEAD, LOW PROFILE, M3X8mm, ALLOY STEEL</v>
          </cell>
          <cell r="E939" t="str">
            <v>A</v>
          </cell>
          <cell r="F939" t="str">
            <v>Screw</v>
          </cell>
          <cell r="G939">
            <v>2</v>
          </cell>
          <cell r="H939">
            <v>0.03</v>
          </cell>
          <cell r="I939" t="str">
            <v>Buy</v>
          </cell>
        </row>
        <row r="940">
          <cell r="A940" t="str">
            <v>ASY-006883-03</v>
          </cell>
          <cell r="B940">
            <v>1</v>
          </cell>
          <cell r="C940" t="str">
            <v>BAS-000020-00</v>
          </cell>
          <cell r="D940" t="str">
            <v>BASE, 1FT, TROV 2.0</v>
          </cell>
          <cell r="E940" t="str">
            <v>E</v>
          </cell>
          <cell r="F940" t="str">
            <v>Base</v>
          </cell>
          <cell r="G940">
            <v>1</v>
          </cell>
          <cell r="H940">
            <v>5.8</v>
          </cell>
          <cell r="I940" t="str">
            <v>Buy</v>
          </cell>
        </row>
        <row r="941">
          <cell r="A941" t="str">
            <v>ASY-006883-03</v>
          </cell>
          <cell r="B941">
            <v>1</v>
          </cell>
          <cell r="C941" t="str">
            <v>BKT-000457-03</v>
          </cell>
          <cell r="D941" t="str">
            <v>BRACKET, MOUNT, LEFT, BLACK, TROV 2.0</v>
          </cell>
          <cell r="E941" t="str">
            <v>C</v>
          </cell>
          <cell r="F941" t="str">
            <v>Bracket</v>
          </cell>
          <cell r="G941">
            <v>1</v>
          </cell>
          <cell r="H941">
            <v>0.99</v>
          </cell>
          <cell r="I941" t="str">
            <v>Buy</v>
          </cell>
        </row>
        <row r="942">
          <cell r="A942" t="str">
            <v>ASY-006883-03</v>
          </cell>
          <cell r="B942">
            <v>1</v>
          </cell>
          <cell r="C942" t="str">
            <v>BKT-000458-03</v>
          </cell>
          <cell r="D942" t="str">
            <v>BRACKET, MOUNT, RIGHT, BLACK, TROV 2.0</v>
          </cell>
          <cell r="E942" t="str">
            <v>C</v>
          </cell>
          <cell r="F942" t="str">
            <v>Bracket</v>
          </cell>
          <cell r="G942">
            <v>1</v>
          </cell>
          <cell r="H942">
            <v>0.99</v>
          </cell>
          <cell r="I942" t="str">
            <v>Buy</v>
          </cell>
        </row>
        <row r="943">
          <cell r="A943" t="str">
            <v>ASY-006883-03</v>
          </cell>
          <cell r="B943">
            <v>1</v>
          </cell>
          <cell r="C943" t="str">
            <v>CVR-000789-02</v>
          </cell>
          <cell r="D943" t="str">
            <v>END COVER, FC, BRONZE, L60, TROV 2.0</v>
          </cell>
          <cell r="E943" t="str">
            <v>D</v>
          </cell>
          <cell r="F943" t="str">
            <v>Cover</v>
          </cell>
          <cell r="G943">
            <v>1</v>
          </cell>
          <cell r="H943">
            <v>2.09</v>
          </cell>
          <cell r="I943" t="str">
            <v>Buy</v>
          </cell>
        </row>
        <row r="944">
          <cell r="A944" t="str">
            <v>ASY-006883-03</v>
          </cell>
          <cell r="B944">
            <v>1</v>
          </cell>
          <cell r="C944" t="str">
            <v>CVR-000893-02</v>
          </cell>
          <cell r="D944" t="str">
            <v>END COVER, MC, BRONZE, L60, TROV 2.0</v>
          </cell>
          <cell r="E944" t="str">
            <v>B</v>
          </cell>
          <cell r="F944" t="str">
            <v>Cover</v>
          </cell>
          <cell r="G944">
            <v>1</v>
          </cell>
          <cell r="H944">
            <v>7.5</v>
          </cell>
          <cell r="I944" t="str">
            <v>Buy</v>
          </cell>
        </row>
        <row r="945">
          <cell r="A945" t="str">
            <v>ASY-006883-03</v>
          </cell>
          <cell r="B945">
            <v>1</v>
          </cell>
          <cell r="C945" t="str">
            <v>FOM-000028-00</v>
          </cell>
          <cell r="D945" t="str">
            <v>FOAM, LIGHTBLOCK, ENDCAP, L60, TROV2</v>
          </cell>
          <cell r="E945" t="str">
            <v>A</v>
          </cell>
          <cell r="F945" t="str">
            <v>Foam</v>
          </cell>
          <cell r="G945">
            <v>2</v>
          </cell>
          <cell r="H945">
            <v>0.03</v>
          </cell>
          <cell r="I945" t="str">
            <v>Buy</v>
          </cell>
        </row>
        <row r="946">
          <cell r="A946" t="str">
            <v>ASY-006883-03</v>
          </cell>
          <cell r="B946">
            <v>1</v>
          </cell>
          <cell r="C946" t="str">
            <v>GSK-000121-01</v>
          </cell>
          <cell r="D946" t="str">
            <v>GASKET, DRIVER ENCLOSURE, 3M, 1 FT, TROV 2.0</v>
          </cell>
          <cell r="E946" t="str">
            <v>B</v>
          </cell>
          <cell r="F946" t="str">
            <v>Gasket</v>
          </cell>
          <cell r="G946">
            <v>1</v>
          </cell>
          <cell r="H946">
            <v>1.7</v>
          </cell>
          <cell r="I946" t="str">
            <v>Buy</v>
          </cell>
        </row>
        <row r="947">
          <cell r="A947" t="str">
            <v>ASY-006883-03</v>
          </cell>
          <cell r="B947">
            <v>1</v>
          </cell>
          <cell r="C947" t="str">
            <v>GSK-000132-00</v>
          </cell>
          <cell r="D947" t="str">
            <v>GASKET, TERTIARY LENS, 3M, 1 FT, L60, TROV 2.0</v>
          </cell>
          <cell r="E947" t="str">
            <v>B</v>
          </cell>
          <cell r="F947" t="str">
            <v>Gasket</v>
          </cell>
          <cell r="G947">
            <v>1</v>
          </cell>
          <cell r="H947">
            <v>1.96</v>
          </cell>
          <cell r="I947" t="str">
            <v>Buy</v>
          </cell>
        </row>
        <row r="948">
          <cell r="A948" t="str">
            <v>ASY-006883-03</v>
          </cell>
          <cell r="B948">
            <v>1</v>
          </cell>
          <cell r="C948" t="str">
            <v>HSG-000490-02</v>
          </cell>
          <cell r="D948" t="str">
            <v>HOUSING, TOP, 1 FT, L60, BRONZE, TROV 2.0</v>
          </cell>
          <cell r="E948" t="str">
            <v>E</v>
          </cell>
          <cell r="F948" t="str">
            <v>Housing</v>
          </cell>
          <cell r="G948">
            <v>1</v>
          </cell>
          <cell r="H948">
            <v>0</v>
          </cell>
          <cell r="I948" t="str">
            <v>Buy</v>
          </cell>
        </row>
        <row r="949">
          <cell r="A949" t="str">
            <v>ASY-006883-03</v>
          </cell>
          <cell r="B949">
            <v>1</v>
          </cell>
          <cell r="C949" t="str">
            <v>HSG-000492-02</v>
          </cell>
          <cell r="D949" t="str">
            <v>HOUSING, BOTTOM, 1 FT, BRONZE, TROV 2.0</v>
          </cell>
          <cell r="E949" t="str">
            <v>F</v>
          </cell>
          <cell r="F949" t="str">
            <v>Housing</v>
          </cell>
          <cell r="G949">
            <v>1</v>
          </cell>
          <cell r="H949">
            <v>3.34</v>
          </cell>
          <cell r="I949" t="str">
            <v>Buy</v>
          </cell>
        </row>
        <row r="950">
          <cell r="A950" t="str">
            <v>ASY-006883-03</v>
          </cell>
          <cell r="B950">
            <v>1</v>
          </cell>
          <cell r="C950" t="str">
            <v>LBA-000003-00</v>
          </cell>
          <cell r="D950" t="str">
            <v>Label: TROV 2 P1/P2, Model L45/L60</v>
          </cell>
          <cell r="E950" t="str">
            <v>A</v>
          </cell>
          <cell r="F950" t="str">
            <v>Label BOM</v>
          </cell>
          <cell r="G950">
            <v>1</v>
          </cell>
          <cell r="H950">
            <v>0</v>
          </cell>
          <cell r="I950" t="str">
            <v>Make</v>
          </cell>
        </row>
        <row r="951">
          <cell r="A951" t="str">
            <v>ASY-006883-03</v>
          </cell>
          <cell r="B951">
            <v>2</v>
          </cell>
          <cell r="C951" t="str">
            <v>LBL-000243-00</v>
          </cell>
          <cell r="D951" t="str">
            <v>Blank Product Label: Trov 2 P1/P2, Model L45/L60</v>
          </cell>
          <cell r="E951" t="str">
            <v>A</v>
          </cell>
          <cell r="F951" t="str">
            <v>Label</v>
          </cell>
          <cell r="G951">
            <v>1</v>
          </cell>
          <cell r="H951">
            <v>0.33</v>
          </cell>
          <cell r="I951" t="str">
            <v>Buy</v>
          </cell>
        </row>
        <row r="952">
          <cell r="A952" t="str">
            <v>ASY-006883-03</v>
          </cell>
          <cell r="B952">
            <v>1</v>
          </cell>
          <cell r="C952" t="str">
            <v>PLG-000009-01</v>
          </cell>
          <cell r="D952" t="str">
            <v>Porex Vent, Trov, L50 Exterior</v>
          </cell>
          <cell r="E952" t="str">
            <v>B</v>
          </cell>
          <cell r="F952" t="str">
            <v>Plug</v>
          </cell>
          <cell r="G952">
            <v>1</v>
          </cell>
          <cell r="H952">
            <v>0.17</v>
          </cell>
          <cell r="I952" t="str">
            <v>Buy</v>
          </cell>
        </row>
        <row r="953">
          <cell r="A953" t="str">
            <v>ASY-006883-03</v>
          </cell>
          <cell r="B953">
            <v>1</v>
          </cell>
          <cell r="C953" t="str">
            <v>SCW-000156-00</v>
          </cell>
          <cell r="D953" t="str">
            <v>SCREW, M3 x 0.5 X 8mm, PAND HEAD, PHILLIPS, STEEL</v>
          </cell>
          <cell r="E953" t="str">
            <v>B</v>
          </cell>
          <cell r="F953" t="str">
            <v>Screw</v>
          </cell>
          <cell r="G953">
            <v>2</v>
          </cell>
          <cell r="H953">
            <v>4.4400000000000002E-2</v>
          </cell>
          <cell r="I953" t="str">
            <v>Buy</v>
          </cell>
        </row>
        <row r="954">
          <cell r="A954" t="str">
            <v>ASY-006883-03</v>
          </cell>
          <cell r="B954">
            <v>1</v>
          </cell>
          <cell r="C954" t="str">
            <v>SCW-000483-00</v>
          </cell>
          <cell r="D954" t="str">
            <v>SCREW, PHILIPS FLAT HEAD, M2.5x0.45x5 , 18-8 SST</v>
          </cell>
          <cell r="E954" t="str">
            <v>A</v>
          </cell>
          <cell r="F954" t="str">
            <v>Screw</v>
          </cell>
          <cell r="G954">
            <v>4</v>
          </cell>
          <cell r="H954">
            <v>0.02</v>
          </cell>
          <cell r="I954" t="str">
            <v>Buy</v>
          </cell>
        </row>
        <row r="955">
          <cell r="A955" t="str">
            <v>ASY-006883-03</v>
          </cell>
          <cell r="B955">
            <v>1</v>
          </cell>
          <cell r="C955" t="str">
            <v>SCW-000556-00</v>
          </cell>
          <cell r="D955" t="str">
            <v>SCREW, HEX, SERRATED, #8-32, GROUNDING, TROV 2</v>
          </cell>
          <cell r="E955" t="str">
            <v>A</v>
          </cell>
          <cell r="F955" t="str">
            <v>Screw</v>
          </cell>
          <cell r="G955">
            <v>1</v>
          </cell>
          <cell r="H955">
            <v>0.04</v>
          </cell>
          <cell r="I955" t="str">
            <v>Buy</v>
          </cell>
        </row>
        <row r="956">
          <cell r="A956" t="str">
            <v>ASY-006883-03</v>
          </cell>
          <cell r="B956">
            <v>1</v>
          </cell>
          <cell r="C956" t="str">
            <v>SCW-000574-00</v>
          </cell>
          <cell r="D956" t="str">
            <v>SCREW, TORX HEAD, 1/4-28x1/2", LOW PROFILE, ALLOY STEEL</v>
          </cell>
          <cell r="E956" t="str">
            <v>A</v>
          </cell>
          <cell r="F956" t="str">
            <v>Screw</v>
          </cell>
          <cell r="G956">
            <v>2</v>
          </cell>
          <cell r="H956">
            <v>0.14000000000000001</v>
          </cell>
          <cell r="I956" t="str">
            <v>Buy</v>
          </cell>
        </row>
        <row r="957">
          <cell r="A957" t="str">
            <v>ASY-006883-03</v>
          </cell>
          <cell r="B957">
            <v>1</v>
          </cell>
          <cell r="C957" t="str">
            <v>SHT-000042-00</v>
          </cell>
          <cell r="D957" t="str">
            <v>INSULATION SHEET, MP/LP HBA, TROV 2</v>
          </cell>
          <cell r="E957" t="str">
            <v>D</v>
          </cell>
          <cell r="F957" t="str">
            <v>Sheet</v>
          </cell>
          <cell r="G957">
            <v>1</v>
          </cell>
          <cell r="H957">
            <v>0.16</v>
          </cell>
          <cell r="I957" t="str">
            <v>Buy</v>
          </cell>
        </row>
        <row r="958">
          <cell r="A958" t="str">
            <v>ASY-006883-03</v>
          </cell>
          <cell r="B958">
            <v>1</v>
          </cell>
          <cell r="C958" t="str">
            <v>SPG-000023-00</v>
          </cell>
          <cell r="D958" t="str">
            <v>SPRING, DISC, STACKED WAVE, TROV 2.0</v>
          </cell>
          <cell r="E958" t="str">
            <v>A</v>
          </cell>
          <cell r="F958" t="str">
            <v>Spring</v>
          </cell>
          <cell r="G958">
            <v>2</v>
          </cell>
          <cell r="H958">
            <v>1.74</v>
          </cell>
          <cell r="I958" t="str">
            <v>Buy</v>
          </cell>
        </row>
        <row r="959">
          <cell r="A959" t="str">
            <v>ASY-006883-03</v>
          </cell>
          <cell r="B959">
            <v>1</v>
          </cell>
          <cell r="C959" t="str">
            <v>TAP-000031-00</v>
          </cell>
          <cell r="D959" t="str">
            <v>3M Electrical Tape 92</v>
          </cell>
          <cell r="E959" t="str">
            <v>A</v>
          </cell>
          <cell r="F959" t="str">
            <v>Tape</v>
          </cell>
          <cell r="G959">
            <v>120</v>
          </cell>
          <cell r="H959">
            <v>1.4E-2</v>
          </cell>
          <cell r="I959" t="str">
            <v>Buy</v>
          </cell>
        </row>
        <row r="960">
          <cell r="A960" t="str">
            <v>ASY-006883-03</v>
          </cell>
          <cell r="B960">
            <v>1</v>
          </cell>
          <cell r="C960" t="str">
            <v>TMP-000027-00</v>
          </cell>
          <cell r="D960" t="str">
            <v>Thermal Pad, LED PCBA, 1 FT, TROV 2</v>
          </cell>
          <cell r="E960" t="str">
            <v>B</v>
          </cell>
          <cell r="F960" t="str">
            <v>Thermal Pad</v>
          </cell>
          <cell r="G960">
            <v>1</v>
          </cell>
          <cell r="H960">
            <v>0.72</v>
          </cell>
          <cell r="I960" t="str">
            <v>Buy</v>
          </cell>
        </row>
        <row r="961">
          <cell r="A961" t="str">
            <v>ASY-006883-03</v>
          </cell>
          <cell r="B961">
            <v>1</v>
          </cell>
          <cell r="C961" t="str">
            <v>TMP-000029-00</v>
          </cell>
          <cell r="D961" t="str">
            <v>Thermal Pad, HBA, TROV 2</v>
          </cell>
          <cell r="E961" t="str">
            <v>B</v>
          </cell>
          <cell r="F961" t="str">
            <v>Thermal Pad</v>
          </cell>
          <cell r="G961">
            <v>2</v>
          </cell>
          <cell r="H961">
            <v>0.14000000000000001</v>
          </cell>
          <cell r="I961" t="str">
            <v>Buy</v>
          </cell>
        </row>
        <row r="962">
          <cell r="A962" t="str">
            <v>ASY-006883-04</v>
          </cell>
          <cell r="B962">
            <v>0</v>
          </cell>
          <cell r="C962" t="str">
            <v>ASY-006883-04</v>
          </cell>
          <cell r="D962" t="str">
            <v>ASSY, MECHANICAL, L60, INDOOR, 1 FT, TROV 2.0, CUSTOM FINISH</v>
          </cell>
          <cell r="E962" t="str">
            <v>G</v>
          </cell>
          <cell r="F962" t="str">
            <v>Sub assembly</v>
          </cell>
          <cell r="H962">
            <v>0</v>
          </cell>
          <cell r="I962" t="str">
            <v>Make</v>
          </cell>
        </row>
        <row r="963">
          <cell r="A963" t="str">
            <v>ASY-006883-04</v>
          </cell>
          <cell r="B963">
            <v>1</v>
          </cell>
          <cell r="C963" t="str">
            <v>ACB-000261-00</v>
          </cell>
          <cell r="D963" t="str">
            <v>CABLE, ECOBUS, 24AWG, SHORT, TROV 2</v>
          </cell>
          <cell r="E963" t="str">
            <v>B</v>
          </cell>
          <cell r="F963" t="str">
            <v>Cable</v>
          </cell>
          <cell r="G963">
            <v>1</v>
          </cell>
          <cell r="H963">
            <v>0.76</v>
          </cell>
          <cell r="I963" t="str">
            <v>Buy</v>
          </cell>
        </row>
        <row r="964">
          <cell r="A964" t="str">
            <v>ASY-006883-04</v>
          </cell>
          <cell r="B964">
            <v>1</v>
          </cell>
          <cell r="C964" t="str">
            <v>ASY-100009-00</v>
          </cell>
          <cell r="D964" t="str">
            <v>Cable Subassembly, Driver housing, 1ft, Trov 2</v>
          </cell>
          <cell r="E964" t="str">
            <v>B</v>
          </cell>
          <cell r="F964" t="str">
            <v>Sub assembly</v>
          </cell>
          <cell r="G964">
            <v>1</v>
          </cell>
          <cell r="H964">
            <v>0</v>
          </cell>
          <cell r="I964" t="str">
            <v>Make</v>
          </cell>
        </row>
        <row r="965">
          <cell r="A965" t="str">
            <v>ASY-006883-04</v>
          </cell>
          <cell r="B965">
            <v>2</v>
          </cell>
          <cell r="C965" t="str">
            <v>ACB-000278-00</v>
          </cell>
          <cell r="D965" t="str">
            <v>CABLE ASSY, INTRA-FIXTURE, 1FT, TROV 2.0</v>
          </cell>
          <cell r="E965" t="str">
            <v>A</v>
          </cell>
          <cell r="F965" t="str">
            <v>Cable Assembly</v>
          </cell>
          <cell r="G965">
            <v>1</v>
          </cell>
          <cell r="H965">
            <v>12.75</v>
          </cell>
          <cell r="I965" t="str">
            <v>Buy</v>
          </cell>
        </row>
        <row r="966">
          <cell r="A966" t="str">
            <v>ASY-006883-04</v>
          </cell>
          <cell r="B966">
            <v>3</v>
          </cell>
          <cell r="C966" t="str">
            <v>ACB-000273-00</v>
          </cell>
          <cell r="D966" t="str">
            <v>6 CONDUCTOR CABLE, 3X22AWG, 3X16AWG, AL MYLAR, TROV 2</v>
          </cell>
          <cell r="E966" t="str">
            <v>A</v>
          </cell>
          <cell r="F966" t="str">
            <v>Cable</v>
          </cell>
          <cell r="G966">
            <v>1</v>
          </cell>
          <cell r="H966">
            <v>0</v>
          </cell>
          <cell r="I966" t="str">
            <v>N/A</v>
          </cell>
        </row>
        <row r="967">
          <cell r="A967" t="str">
            <v>ASY-006883-04</v>
          </cell>
          <cell r="B967">
            <v>3</v>
          </cell>
          <cell r="C967" t="str">
            <v>ACB-000274-01</v>
          </cell>
          <cell r="D967" t="str">
            <v>CABLE ASSEMBLY, INTERNAL, DRIVER SIDE, 1FT, TROV 2</v>
          </cell>
          <cell r="E967" t="str">
            <v>A</v>
          </cell>
          <cell r="F967" t="str">
            <v>Cable Assembly</v>
          </cell>
          <cell r="G967">
            <v>1</v>
          </cell>
          <cell r="H967">
            <v>0</v>
          </cell>
          <cell r="I967" t="str">
            <v>N/A</v>
          </cell>
        </row>
        <row r="968">
          <cell r="A968" t="str">
            <v>ASY-006883-04</v>
          </cell>
          <cell r="B968">
            <v>3</v>
          </cell>
          <cell r="C968" t="str">
            <v>CON-000259-00</v>
          </cell>
          <cell r="D968" t="str">
            <v>CONNECTOR, MALE, 6 PIN, TROV 2</v>
          </cell>
          <cell r="E968" t="str">
            <v>B</v>
          </cell>
          <cell r="F968" t="str">
            <v>Connector</v>
          </cell>
          <cell r="G968">
            <v>1</v>
          </cell>
          <cell r="H968">
            <v>0</v>
          </cell>
          <cell r="I968" t="str">
            <v>N/A</v>
          </cell>
        </row>
        <row r="969">
          <cell r="A969" t="str">
            <v>ASY-006883-04</v>
          </cell>
          <cell r="B969">
            <v>3</v>
          </cell>
          <cell r="C969" t="str">
            <v>CON-000260-00</v>
          </cell>
          <cell r="D969" t="str">
            <v>CONNECTOR, FEMALE, 6 PIN, TROV 2</v>
          </cell>
          <cell r="E969" t="str">
            <v>A</v>
          </cell>
          <cell r="F969" t="str">
            <v>Connector</v>
          </cell>
          <cell r="G969">
            <v>1</v>
          </cell>
          <cell r="H969">
            <v>0</v>
          </cell>
          <cell r="I969" t="str">
            <v>N/A</v>
          </cell>
        </row>
        <row r="970">
          <cell r="A970" t="str">
            <v>ASY-006883-04</v>
          </cell>
          <cell r="B970">
            <v>3</v>
          </cell>
          <cell r="C970" t="str">
            <v>ORG-000060-00</v>
          </cell>
          <cell r="D970" t="str">
            <v>O-RING, CABLE, TROV 2</v>
          </cell>
          <cell r="E970" t="str">
            <v>A</v>
          </cell>
          <cell r="F970" t="str">
            <v>O-Ring</v>
          </cell>
          <cell r="G970">
            <v>1</v>
          </cell>
          <cell r="H970">
            <v>0</v>
          </cell>
          <cell r="I970" t="str">
            <v>N/A</v>
          </cell>
        </row>
        <row r="971">
          <cell r="A971" t="str">
            <v>ASY-006883-04</v>
          </cell>
          <cell r="B971">
            <v>3</v>
          </cell>
          <cell r="C971" t="str">
            <v>SRF-000030-00</v>
          </cell>
          <cell r="D971" t="str">
            <v>STRAIN RELIEF, CABLE, TROV 2</v>
          </cell>
          <cell r="E971" t="str">
            <v>A</v>
          </cell>
          <cell r="F971" t="str">
            <v>Strain Relief</v>
          </cell>
          <cell r="G971">
            <v>1</v>
          </cell>
          <cell r="H971">
            <v>0</v>
          </cell>
          <cell r="I971" t="str">
            <v>N/A</v>
          </cell>
        </row>
        <row r="972">
          <cell r="A972" t="str">
            <v>ASY-006883-04</v>
          </cell>
          <cell r="B972">
            <v>2</v>
          </cell>
          <cell r="C972" t="str">
            <v>HSG-000488-01</v>
          </cell>
          <cell r="D972" t="str">
            <v>HOUSING, PSU, 1 FT, MOLDED HOLE, TROV 2.0</v>
          </cell>
          <cell r="E972" t="str">
            <v>B</v>
          </cell>
          <cell r="F972" t="str">
            <v>Housing</v>
          </cell>
          <cell r="G972">
            <v>1</v>
          </cell>
          <cell r="H972">
            <v>1.17</v>
          </cell>
          <cell r="I972" t="str">
            <v>Buy</v>
          </cell>
        </row>
        <row r="973">
          <cell r="A973" t="str">
            <v>ASY-006883-04</v>
          </cell>
          <cell r="B973">
            <v>2</v>
          </cell>
          <cell r="C973" t="str">
            <v>SCW-000577-00</v>
          </cell>
          <cell r="D973" t="str">
            <v>SCREW, TORX HEAD, LOW PROFILE, M3X8mm, ALLOY STEEL</v>
          </cell>
          <cell r="E973" t="str">
            <v>A</v>
          </cell>
          <cell r="F973" t="str">
            <v>Screw</v>
          </cell>
          <cell r="G973">
            <v>2</v>
          </cell>
          <cell r="H973">
            <v>0.03</v>
          </cell>
          <cell r="I973" t="str">
            <v>Buy</v>
          </cell>
        </row>
        <row r="974">
          <cell r="A974" t="str">
            <v>ASY-006883-04</v>
          </cell>
          <cell r="B974">
            <v>1</v>
          </cell>
          <cell r="C974" t="str">
            <v>BAS-000020-00</v>
          </cell>
          <cell r="D974" t="str">
            <v>BASE, 1FT, TROV 2.0</v>
          </cell>
          <cell r="E974" t="str">
            <v>E</v>
          </cell>
          <cell r="F974" t="str">
            <v>Base</v>
          </cell>
          <cell r="G974">
            <v>1</v>
          </cell>
          <cell r="H974">
            <v>5.8</v>
          </cell>
          <cell r="I974" t="str">
            <v>Buy</v>
          </cell>
        </row>
        <row r="975">
          <cell r="A975" t="str">
            <v>ASY-006883-04</v>
          </cell>
          <cell r="B975">
            <v>1</v>
          </cell>
          <cell r="C975" t="str">
            <v>BKT-000457-03</v>
          </cell>
          <cell r="D975" t="str">
            <v>BRACKET, MOUNT, LEFT, BLACK, TROV 2.0</v>
          </cell>
          <cell r="E975" t="str">
            <v>C</v>
          </cell>
          <cell r="F975" t="str">
            <v>Bracket</v>
          </cell>
          <cell r="G975">
            <v>1</v>
          </cell>
          <cell r="H975">
            <v>0.99</v>
          </cell>
          <cell r="I975" t="str">
            <v>Buy</v>
          </cell>
        </row>
        <row r="976">
          <cell r="A976" t="str">
            <v>ASY-006883-04</v>
          </cell>
          <cell r="B976">
            <v>1</v>
          </cell>
          <cell r="C976" t="str">
            <v>BKT-000458-03</v>
          </cell>
          <cell r="D976" t="str">
            <v>BRACKET, MOUNT, RIGHT, BLACK, TROV 2.0</v>
          </cell>
          <cell r="E976" t="str">
            <v>C</v>
          </cell>
          <cell r="F976" t="str">
            <v>Bracket</v>
          </cell>
          <cell r="G976">
            <v>1</v>
          </cell>
          <cell r="H976">
            <v>0.99</v>
          </cell>
          <cell r="I976" t="str">
            <v>Buy</v>
          </cell>
        </row>
        <row r="977">
          <cell r="A977" t="str">
            <v>ASY-006883-04</v>
          </cell>
          <cell r="B977">
            <v>1</v>
          </cell>
          <cell r="C977" t="str">
            <v>CVR-000789-0C</v>
          </cell>
          <cell r="D977" t="str">
            <v>END COVER, FC, CUSTOM FINISH, L60, TROV 2.0</v>
          </cell>
          <cell r="E977" t="str">
            <v>E</v>
          </cell>
          <cell r="F977" t="str">
            <v>Cover</v>
          </cell>
          <cell r="G977">
            <v>1</v>
          </cell>
          <cell r="H977">
            <v>0.01</v>
          </cell>
          <cell r="I977" t="str">
            <v>Buy</v>
          </cell>
        </row>
        <row r="978">
          <cell r="A978" t="str">
            <v>ASY-006883-04</v>
          </cell>
          <cell r="B978">
            <v>1</v>
          </cell>
          <cell r="C978" t="str">
            <v>CVR-000893-0C</v>
          </cell>
          <cell r="D978" t="str">
            <v>END COVER, MC, CUSTOM FINISH, L60, TROV 2.0</v>
          </cell>
          <cell r="E978" t="str">
            <v>C</v>
          </cell>
          <cell r="F978" t="str">
            <v>Cover</v>
          </cell>
          <cell r="G978">
            <v>1</v>
          </cell>
          <cell r="H978">
            <v>0</v>
          </cell>
          <cell r="I978" t="str">
            <v>Buy</v>
          </cell>
        </row>
        <row r="979">
          <cell r="A979" t="str">
            <v>ASY-006883-04</v>
          </cell>
          <cell r="B979">
            <v>1</v>
          </cell>
          <cell r="C979" t="str">
            <v>FOM-000028-00</v>
          </cell>
          <cell r="D979" t="str">
            <v>FOAM, LIGHTBLOCK, ENDCAP, L60, TROV2</v>
          </cell>
          <cell r="E979" t="str">
            <v>A</v>
          </cell>
          <cell r="F979" t="str">
            <v>Foam</v>
          </cell>
          <cell r="G979">
            <v>2</v>
          </cell>
          <cell r="H979">
            <v>0.03</v>
          </cell>
          <cell r="I979" t="str">
            <v>Buy</v>
          </cell>
        </row>
        <row r="980">
          <cell r="A980" t="str">
            <v>ASY-006883-04</v>
          </cell>
          <cell r="B980">
            <v>1</v>
          </cell>
          <cell r="C980" t="str">
            <v>GSK-000121-01</v>
          </cell>
          <cell r="D980" t="str">
            <v>GASKET, DRIVER ENCLOSURE, 3M, 1 FT, TROV 2.0</v>
          </cell>
          <cell r="E980" t="str">
            <v>B</v>
          </cell>
          <cell r="F980" t="str">
            <v>Gasket</v>
          </cell>
          <cell r="G980">
            <v>1</v>
          </cell>
          <cell r="H980">
            <v>1.7</v>
          </cell>
          <cell r="I980" t="str">
            <v>Buy</v>
          </cell>
        </row>
        <row r="981">
          <cell r="A981" t="str">
            <v>ASY-006883-04</v>
          </cell>
          <cell r="B981">
            <v>1</v>
          </cell>
          <cell r="C981" t="str">
            <v>GSK-000132-00</v>
          </cell>
          <cell r="D981" t="str">
            <v>GASKET, TERTIARY LENS, 3M, 1 FT, L60, TROV 2.0</v>
          </cell>
          <cell r="E981" t="str">
            <v>B</v>
          </cell>
          <cell r="F981" t="str">
            <v>Gasket</v>
          </cell>
          <cell r="G981">
            <v>1</v>
          </cell>
          <cell r="H981">
            <v>1.96</v>
          </cell>
          <cell r="I981" t="str">
            <v>Buy</v>
          </cell>
        </row>
        <row r="982">
          <cell r="A982" t="str">
            <v>ASY-006883-04</v>
          </cell>
          <cell r="B982">
            <v>1</v>
          </cell>
          <cell r="C982" t="str">
            <v>HSG-000490-0C</v>
          </cell>
          <cell r="D982" t="str">
            <v>HOUSING, TOP, 1 FT, L60, CUSTOM FINISH, TROV 2.0</v>
          </cell>
          <cell r="E982" t="str">
            <v>E</v>
          </cell>
          <cell r="F982" t="str">
            <v>Housing</v>
          </cell>
          <cell r="G982">
            <v>1</v>
          </cell>
          <cell r="H982">
            <v>0</v>
          </cell>
          <cell r="I982" t="str">
            <v>Buy</v>
          </cell>
        </row>
        <row r="983">
          <cell r="A983" t="str">
            <v>ASY-006883-04</v>
          </cell>
          <cell r="B983">
            <v>1</v>
          </cell>
          <cell r="C983" t="str">
            <v>HSG-000492-0C</v>
          </cell>
          <cell r="D983" t="str">
            <v>HOUSING, BOTTOM, 1 FT, CUSTOM FINISH, TROV 2.0</v>
          </cell>
          <cell r="E983" t="str">
            <v>F</v>
          </cell>
          <cell r="F983" t="str">
            <v>Housing</v>
          </cell>
          <cell r="G983">
            <v>1</v>
          </cell>
          <cell r="H983">
            <v>3.34</v>
          </cell>
          <cell r="I983" t="str">
            <v>Buy</v>
          </cell>
        </row>
        <row r="984">
          <cell r="A984" t="str">
            <v>ASY-006883-04</v>
          </cell>
          <cell r="B984">
            <v>1</v>
          </cell>
          <cell r="C984" t="str">
            <v>LBA-000003-00</v>
          </cell>
          <cell r="D984" t="str">
            <v>Label: TROV 2 P1/P2, Model L45/L60</v>
          </cell>
          <cell r="E984" t="str">
            <v>A</v>
          </cell>
          <cell r="F984" t="str">
            <v>Label BOM</v>
          </cell>
          <cell r="G984">
            <v>1</v>
          </cell>
          <cell r="H984">
            <v>0</v>
          </cell>
          <cell r="I984" t="str">
            <v>Make</v>
          </cell>
        </row>
        <row r="985">
          <cell r="A985" t="str">
            <v>ASY-006883-04</v>
          </cell>
          <cell r="B985">
            <v>2</v>
          </cell>
          <cell r="C985" t="str">
            <v>LBL-000243-00</v>
          </cell>
          <cell r="D985" t="str">
            <v>Blank Product Label: Trov 2 P1/P2, Model L45/L60</v>
          </cell>
          <cell r="E985" t="str">
            <v>A</v>
          </cell>
          <cell r="F985" t="str">
            <v>Label</v>
          </cell>
          <cell r="G985">
            <v>1</v>
          </cell>
          <cell r="H985">
            <v>0.33</v>
          </cell>
          <cell r="I985" t="str">
            <v>Buy</v>
          </cell>
        </row>
        <row r="986">
          <cell r="A986" t="str">
            <v>ASY-006883-04</v>
          </cell>
          <cell r="B986">
            <v>1</v>
          </cell>
          <cell r="C986" t="str">
            <v>PLG-000009-01</v>
          </cell>
          <cell r="D986" t="str">
            <v>Porex Vent, Trov, L50 Exterior</v>
          </cell>
          <cell r="E986" t="str">
            <v>B</v>
          </cell>
          <cell r="F986" t="str">
            <v>Plug</v>
          </cell>
          <cell r="G986">
            <v>1</v>
          </cell>
          <cell r="H986">
            <v>0.17</v>
          </cell>
          <cell r="I986" t="str">
            <v>Buy</v>
          </cell>
        </row>
        <row r="987">
          <cell r="A987" t="str">
            <v>ASY-006883-04</v>
          </cell>
          <cell r="B987">
            <v>1</v>
          </cell>
          <cell r="C987" t="str">
            <v>SCW-000156-00</v>
          </cell>
          <cell r="D987" t="str">
            <v>SCREW, M3 x 0.5 X 8mm, PAND HEAD, PHILLIPS, STEEL</v>
          </cell>
          <cell r="E987" t="str">
            <v>B</v>
          </cell>
          <cell r="F987" t="str">
            <v>Screw</v>
          </cell>
          <cell r="G987">
            <v>2</v>
          </cell>
          <cell r="H987">
            <v>4.4400000000000002E-2</v>
          </cell>
          <cell r="I987" t="str">
            <v>Buy</v>
          </cell>
        </row>
        <row r="988">
          <cell r="A988" t="str">
            <v>ASY-006883-04</v>
          </cell>
          <cell r="B988">
            <v>1</v>
          </cell>
          <cell r="C988" t="str">
            <v>SCW-000483-00</v>
          </cell>
          <cell r="D988" t="str">
            <v>SCREW, PHILIPS FLAT HEAD, M2.5x0.45x5 , 18-8 SST</v>
          </cell>
          <cell r="E988" t="str">
            <v>A</v>
          </cell>
          <cell r="F988" t="str">
            <v>Screw</v>
          </cell>
          <cell r="G988">
            <v>4</v>
          </cell>
          <cell r="H988">
            <v>0.02</v>
          </cell>
          <cell r="I988" t="str">
            <v>Buy</v>
          </cell>
        </row>
        <row r="989">
          <cell r="A989" t="str">
            <v>ASY-006883-04</v>
          </cell>
          <cell r="B989">
            <v>1</v>
          </cell>
          <cell r="C989" t="str">
            <v>SCW-000556-00</v>
          </cell>
          <cell r="D989" t="str">
            <v>SCREW, HEX, SERRATED, #8-32, GROUNDING, TROV 2</v>
          </cell>
          <cell r="E989" t="str">
            <v>A</v>
          </cell>
          <cell r="F989" t="str">
            <v>Screw</v>
          </cell>
          <cell r="G989">
            <v>1</v>
          </cell>
          <cell r="H989">
            <v>0.04</v>
          </cell>
          <cell r="I989" t="str">
            <v>Buy</v>
          </cell>
        </row>
        <row r="990">
          <cell r="A990" t="str">
            <v>ASY-006883-04</v>
          </cell>
          <cell r="B990">
            <v>1</v>
          </cell>
          <cell r="C990" t="str">
            <v>SCW-000574-00</v>
          </cell>
          <cell r="D990" t="str">
            <v>SCREW, TORX HEAD, 1/4-28x1/2", LOW PROFILE, ALLOY STEEL</v>
          </cell>
          <cell r="E990" t="str">
            <v>A</v>
          </cell>
          <cell r="F990" t="str">
            <v>Screw</v>
          </cell>
          <cell r="G990">
            <v>2</v>
          </cell>
          <cell r="H990">
            <v>0.14000000000000001</v>
          </cell>
          <cell r="I990" t="str">
            <v>Buy</v>
          </cell>
        </row>
        <row r="991">
          <cell r="A991" t="str">
            <v>ASY-006883-04</v>
          </cell>
          <cell r="B991">
            <v>1</v>
          </cell>
          <cell r="C991" t="str">
            <v>SHT-000042-00</v>
          </cell>
          <cell r="D991" t="str">
            <v>INSULATION SHEET, MP/LP HBA, TROV 2</v>
          </cell>
          <cell r="E991" t="str">
            <v>D</v>
          </cell>
          <cell r="F991" t="str">
            <v>Sheet</v>
          </cell>
          <cell r="G991">
            <v>1</v>
          </cell>
          <cell r="H991">
            <v>0.16</v>
          </cell>
          <cell r="I991" t="str">
            <v>Buy</v>
          </cell>
        </row>
        <row r="992">
          <cell r="A992" t="str">
            <v>ASY-006883-04</v>
          </cell>
          <cell r="B992">
            <v>1</v>
          </cell>
          <cell r="C992" t="str">
            <v>SPG-000023-00</v>
          </cell>
          <cell r="D992" t="str">
            <v>SPRING, DISC, STACKED WAVE, TROV 2.0</v>
          </cell>
          <cell r="E992" t="str">
            <v>A</v>
          </cell>
          <cell r="F992" t="str">
            <v>Spring</v>
          </cell>
          <cell r="G992">
            <v>2</v>
          </cell>
          <cell r="H992">
            <v>1.74</v>
          </cell>
          <cell r="I992" t="str">
            <v>Buy</v>
          </cell>
        </row>
        <row r="993">
          <cell r="A993" t="str">
            <v>ASY-006883-04</v>
          </cell>
          <cell r="B993">
            <v>1</v>
          </cell>
          <cell r="C993" t="str">
            <v>TAP-000031-00</v>
          </cell>
          <cell r="D993" t="str">
            <v>3M Electrical Tape 92</v>
          </cell>
          <cell r="E993" t="str">
            <v>A</v>
          </cell>
          <cell r="F993" t="str">
            <v>Tape</v>
          </cell>
          <cell r="G993">
            <v>120</v>
          </cell>
          <cell r="H993">
            <v>1.4E-2</v>
          </cell>
          <cell r="I993" t="str">
            <v>Buy</v>
          </cell>
        </row>
        <row r="994">
          <cell r="A994" t="str">
            <v>ASY-006883-04</v>
          </cell>
          <cell r="B994">
            <v>1</v>
          </cell>
          <cell r="C994" t="str">
            <v>TMP-000027-00</v>
          </cell>
          <cell r="D994" t="str">
            <v>Thermal Pad, LED PCBA, 1 FT, TROV 2</v>
          </cell>
          <cell r="E994" t="str">
            <v>B</v>
          </cell>
          <cell r="F994" t="str">
            <v>Thermal Pad</v>
          </cell>
          <cell r="G994">
            <v>1</v>
          </cell>
          <cell r="H994">
            <v>0.72</v>
          </cell>
          <cell r="I994" t="str">
            <v>Buy</v>
          </cell>
        </row>
        <row r="995">
          <cell r="A995" t="str">
            <v>ASY-006883-04</v>
          </cell>
          <cell r="B995">
            <v>1</v>
          </cell>
          <cell r="C995" t="str">
            <v>TMP-000029-00</v>
          </cell>
          <cell r="D995" t="str">
            <v>Thermal Pad, HBA, TROV 2</v>
          </cell>
          <cell r="E995" t="str">
            <v>B</v>
          </cell>
          <cell r="F995" t="str">
            <v>Thermal Pad</v>
          </cell>
          <cell r="G995">
            <v>2</v>
          </cell>
          <cell r="H995">
            <v>0.14000000000000001</v>
          </cell>
          <cell r="I995" t="str">
            <v>Buy</v>
          </cell>
        </row>
        <row r="996">
          <cell r="A996" t="str">
            <v>ASY-006884-00</v>
          </cell>
          <cell r="B996">
            <v>0</v>
          </cell>
          <cell r="C996" t="str">
            <v>ASY-006884-00</v>
          </cell>
          <cell r="D996" t="str">
            <v>ASSY, MECHANICAL, L60, INDOOR, 4 FT, TROV 2.0, SILVER</v>
          </cell>
          <cell r="E996" t="str">
            <v>G</v>
          </cell>
          <cell r="F996" t="str">
            <v>Sub assembly</v>
          </cell>
          <cell r="H996">
            <v>0</v>
          </cell>
          <cell r="I996" t="str">
            <v>Make</v>
          </cell>
        </row>
        <row r="997">
          <cell r="A997" t="str">
            <v>ASY-006884-00</v>
          </cell>
          <cell r="B997">
            <v>1</v>
          </cell>
          <cell r="C997" t="str">
            <v>ACB-000261-00</v>
          </cell>
          <cell r="D997" t="str">
            <v>CABLE, ECOBUS, 24AWG, SHORT, TROV 2</v>
          </cell>
          <cell r="E997" t="str">
            <v>B</v>
          </cell>
          <cell r="F997" t="str">
            <v>Cable</v>
          </cell>
          <cell r="G997">
            <v>1</v>
          </cell>
          <cell r="H997">
            <v>0.76</v>
          </cell>
          <cell r="I997" t="str">
            <v>Buy</v>
          </cell>
        </row>
        <row r="998">
          <cell r="A998" t="str">
            <v>ASY-006884-00</v>
          </cell>
          <cell r="B998">
            <v>1</v>
          </cell>
          <cell r="C998" t="str">
            <v>ACB-000261-01</v>
          </cell>
          <cell r="D998" t="str">
            <v>CABLE, ECOBUS, 24AWG, LONG, TROV 2</v>
          </cell>
          <cell r="E998" t="str">
            <v>B</v>
          </cell>
          <cell r="F998" t="str">
            <v>Cable</v>
          </cell>
          <cell r="G998">
            <v>1</v>
          </cell>
          <cell r="H998">
            <v>0.82</v>
          </cell>
          <cell r="I998" t="str">
            <v>Buy</v>
          </cell>
        </row>
        <row r="999">
          <cell r="A999" t="str">
            <v>ASY-006884-00</v>
          </cell>
          <cell r="B999">
            <v>1</v>
          </cell>
          <cell r="C999" t="str">
            <v>ASY-100008-00</v>
          </cell>
          <cell r="D999" t="str">
            <v>Cable Subassembly, Driver housing, 4ft, Trov 2</v>
          </cell>
          <cell r="E999" t="str">
            <v>A</v>
          </cell>
          <cell r="F999" t="str">
            <v>Sub assembly</v>
          </cell>
          <cell r="G999">
            <v>1</v>
          </cell>
          <cell r="H999">
            <v>0</v>
          </cell>
          <cell r="I999" t="str">
            <v>Make</v>
          </cell>
        </row>
        <row r="1000">
          <cell r="A1000" t="str">
            <v>ASY-006884-00</v>
          </cell>
          <cell r="B1000">
            <v>2</v>
          </cell>
          <cell r="C1000" t="str">
            <v>ACB-000272-00</v>
          </cell>
          <cell r="D1000" t="str">
            <v>CABLE ASSY, INTRA-FIXTURE, 4FT, TROV 2.0</v>
          </cell>
          <cell r="E1000" t="str">
            <v>B</v>
          </cell>
          <cell r="F1000" t="str">
            <v>Cable Assembly</v>
          </cell>
          <cell r="G1000">
            <v>1</v>
          </cell>
          <cell r="H1000">
            <v>20.420000000000002</v>
          </cell>
          <cell r="I1000" t="str">
            <v>Buy</v>
          </cell>
        </row>
        <row r="1001">
          <cell r="A1001" t="str">
            <v>ASY-006884-00</v>
          </cell>
          <cell r="B1001">
            <v>3</v>
          </cell>
          <cell r="C1001" t="str">
            <v>ACB-000273-00</v>
          </cell>
          <cell r="D1001" t="str">
            <v>6 CONDUCTOR CABLE, 3X22AWG, 3X16AWG, AL MYLAR, TROV 2</v>
          </cell>
          <cell r="E1001" t="str">
            <v>A</v>
          </cell>
          <cell r="F1001" t="str">
            <v>Cable</v>
          </cell>
          <cell r="G1001">
            <v>1</v>
          </cell>
          <cell r="H1001">
            <v>0</v>
          </cell>
          <cell r="I1001" t="str">
            <v>N/A</v>
          </cell>
        </row>
        <row r="1002">
          <cell r="A1002" t="str">
            <v>ASY-006884-00</v>
          </cell>
          <cell r="B1002">
            <v>3</v>
          </cell>
          <cell r="C1002" t="str">
            <v>ACB-000274-00</v>
          </cell>
          <cell r="D1002" t="str">
            <v>CABLE ASSEMBLY, INTERNAL, DRIVER SIDE, 4FT, TROV 2</v>
          </cell>
          <cell r="E1002" t="str">
            <v>A</v>
          </cell>
          <cell r="F1002" t="str">
            <v>Cable Assembly</v>
          </cell>
          <cell r="G1002">
            <v>1</v>
          </cell>
          <cell r="H1002">
            <v>0</v>
          </cell>
          <cell r="I1002" t="str">
            <v>N/A</v>
          </cell>
        </row>
        <row r="1003">
          <cell r="A1003" t="str">
            <v>ASY-006884-00</v>
          </cell>
          <cell r="B1003">
            <v>3</v>
          </cell>
          <cell r="C1003" t="str">
            <v>CON-000259-00</v>
          </cell>
          <cell r="D1003" t="str">
            <v>CONNECTOR, MALE, 6 PIN, TROV 2</v>
          </cell>
          <cell r="E1003" t="str">
            <v>B</v>
          </cell>
          <cell r="F1003" t="str">
            <v>Connector</v>
          </cell>
          <cell r="G1003">
            <v>1</v>
          </cell>
          <cell r="H1003">
            <v>0</v>
          </cell>
          <cell r="I1003" t="str">
            <v>N/A</v>
          </cell>
        </row>
        <row r="1004">
          <cell r="A1004" t="str">
            <v>ASY-006884-00</v>
          </cell>
          <cell r="B1004">
            <v>3</v>
          </cell>
          <cell r="C1004" t="str">
            <v>CON-000260-00</v>
          </cell>
          <cell r="D1004" t="str">
            <v>CONNECTOR, FEMALE, 6 PIN, TROV 2</v>
          </cell>
          <cell r="E1004" t="str">
            <v>A</v>
          </cell>
          <cell r="F1004" t="str">
            <v>Connector</v>
          </cell>
          <cell r="G1004">
            <v>1</v>
          </cell>
          <cell r="H1004">
            <v>0</v>
          </cell>
          <cell r="I1004" t="str">
            <v>N/A</v>
          </cell>
        </row>
        <row r="1005">
          <cell r="A1005" t="str">
            <v>ASY-006884-00</v>
          </cell>
          <cell r="B1005">
            <v>3</v>
          </cell>
          <cell r="C1005" t="str">
            <v>HSG-000330-00</v>
          </cell>
          <cell r="D1005" t="str">
            <v>DRIVER HOUSING, 4 FT, TROV 2</v>
          </cell>
          <cell r="E1005" t="str">
            <v>A</v>
          </cell>
          <cell r="F1005" t="str">
            <v>Housing</v>
          </cell>
          <cell r="G1005">
            <v>1</v>
          </cell>
          <cell r="H1005">
            <v>0</v>
          </cell>
          <cell r="I1005" t="str">
            <v>N/A</v>
          </cell>
        </row>
        <row r="1006">
          <cell r="A1006" t="str">
            <v>ASY-006884-00</v>
          </cell>
          <cell r="B1006">
            <v>3</v>
          </cell>
          <cell r="C1006" t="str">
            <v>ORG-000060-00</v>
          </cell>
          <cell r="D1006" t="str">
            <v>O-RING, CABLE, TROV 2</v>
          </cell>
          <cell r="E1006" t="str">
            <v>A</v>
          </cell>
          <cell r="F1006" t="str">
            <v>O-Ring</v>
          </cell>
          <cell r="G1006">
            <v>1</v>
          </cell>
          <cell r="H1006">
            <v>0</v>
          </cell>
          <cell r="I1006" t="str">
            <v>N/A</v>
          </cell>
        </row>
        <row r="1007">
          <cell r="A1007" t="str">
            <v>ASY-006884-00</v>
          </cell>
          <cell r="B1007">
            <v>3</v>
          </cell>
          <cell r="C1007" t="str">
            <v>SRF-000030-00</v>
          </cell>
          <cell r="D1007" t="str">
            <v>STRAIN RELIEF, CABLE, TROV 2</v>
          </cell>
          <cell r="E1007" t="str">
            <v>A</v>
          </cell>
          <cell r="F1007" t="str">
            <v>Strain Relief</v>
          </cell>
          <cell r="G1007">
            <v>1</v>
          </cell>
          <cell r="H1007">
            <v>0</v>
          </cell>
          <cell r="I1007" t="str">
            <v>N/A</v>
          </cell>
        </row>
        <row r="1008">
          <cell r="A1008" t="str">
            <v>ASY-006884-00</v>
          </cell>
          <cell r="B1008">
            <v>2</v>
          </cell>
          <cell r="C1008" t="str">
            <v>BKT-000517-00</v>
          </cell>
          <cell r="D1008" t="str">
            <v>BRACKET, ROTATING LOCK, 4 FT, TROV 2.0</v>
          </cell>
          <cell r="E1008" t="str">
            <v>B</v>
          </cell>
          <cell r="F1008" t="str">
            <v>Bracket</v>
          </cell>
          <cell r="G1008">
            <v>1</v>
          </cell>
          <cell r="H1008">
            <v>0.9</v>
          </cell>
          <cell r="I1008" t="str">
            <v>Buy</v>
          </cell>
        </row>
        <row r="1009">
          <cell r="A1009" t="str">
            <v>ASY-006884-00</v>
          </cell>
          <cell r="B1009">
            <v>2</v>
          </cell>
          <cell r="C1009" t="str">
            <v>BKT-000518-00</v>
          </cell>
          <cell r="D1009" t="str">
            <v>BRACKET, PANEL MOUNT, 4 FT, TROV 2.0</v>
          </cell>
          <cell r="E1009" t="str">
            <v>B</v>
          </cell>
          <cell r="F1009" t="str">
            <v>Bracket</v>
          </cell>
          <cell r="G1009">
            <v>1</v>
          </cell>
          <cell r="H1009">
            <v>0.9</v>
          </cell>
          <cell r="I1009" t="str">
            <v>Buy</v>
          </cell>
        </row>
        <row r="1010">
          <cell r="A1010" t="str">
            <v>ASY-006884-00</v>
          </cell>
          <cell r="B1010">
            <v>2</v>
          </cell>
          <cell r="C1010" t="str">
            <v>SCW-000509-00</v>
          </cell>
          <cell r="D1010" t="str">
            <v>SCREW, SEALING FLAT HEAD, M3x0.5x8MM</v>
          </cell>
          <cell r="E1010" t="str">
            <v>B</v>
          </cell>
          <cell r="F1010" t="str">
            <v>Screw</v>
          </cell>
          <cell r="G1010">
            <v>2</v>
          </cell>
          <cell r="H1010">
            <v>0.4</v>
          </cell>
          <cell r="I1010" t="str">
            <v>Buy</v>
          </cell>
        </row>
        <row r="1011">
          <cell r="A1011" t="str">
            <v>ASY-006884-00</v>
          </cell>
          <cell r="B1011">
            <v>1</v>
          </cell>
          <cell r="C1011" t="str">
            <v>BAS-000021-00</v>
          </cell>
          <cell r="D1011" t="str">
            <v>BASE, 4FT, TROV 2.0</v>
          </cell>
          <cell r="E1011" t="str">
            <v>F</v>
          </cell>
          <cell r="F1011" t="str">
            <v>Base</v>
          </cell>
          <cell r="G1011">
            <v>1</v>
          </cell>
          <cell r="H1011">
            <v>14.25</v>
          </cell>
          <cell r="I1011" t="str">
            <v>Buy</v>
          </cell>
        </row>
        <row r="1012">
          <cell r="A1012" t="str">
            <v>ASY-006884-00</v>
          </cell>
          <cell r="B1012">
            <v>1</v>
          </cell>
          <cell r="C1012" t="str">
            <v>BKT-000457-03</v>
          </cell>
          <cell r="D1012" t="str">
            <v>BRACKET, MOUNT, LEFT, BLACK, TROV 2.0</v>
          </cell>
          <cell r="E1012" t="str">
            <v>C</v>
          </cell>
          <cell r="F1012" t="str">
            <v>Bracket</v>
          </cell>
          <cell r="G1012">
            <v>1</v>
          </cell>
          <cell r="H1012">
            <v>0.99</v>
          </cell>
          <cell r="I1012" t="str">
            <v>Buy</v>
          </cell>
        </row>
        <row r="1013">
          <cell r="A1013" t="str">
            <v>ASY-006884-00</v>
          </cell>
          <cell r="B1013">
            <v>1</v>
          </cell>
          <cell r="C1013" t="str">
            <v>BKT-000458-03</v>
          </cell>
          <cell r="D1013" t="str">
            <v>BRACKET, MOUNT, RIGHT, BLACK, TROV 2.0</v>
          </cell>
          <cell r="E1013" t="str">
            <v>C</v>
          </cell>
          <cell r="F1013" t="str">
            <v>Bracket</v>
          </cell>
          <cell r="G1013">
            <v>1</v>
          </cell>
          <cell r="H1013">
            <v>0.99</v>
          </cell>
          <cell r="I1013" t="str">
            <v>Buy</v>
          </cell>
        </row>
        <row r="1014">
          <cell r="A1014" t="str">
            <v>ASY-006884-00</v>
          </cell>
          <cell r="B1014">
            <v>1</v>
          </cell>
          <cell r="C1014" t="str">
            <v>CVR-000789-03</v>
          </cell>
          <cell r="D1014" t="str">
            <v>END COVER, FC, BLACK, L60, TROV 2.0</v>
          </cell>
          <cell r="E1014" t="str">
            <v>D</v>
          </cell>
          <cell r="F1014" t="str">
            <v>Cover</v>
          </cell>
          <cell r="G1014">
            <v>1</v>
          </cell>
          <cell r="H1014">
            <v>1.0900000000000001</v>
          </cell>
          <cell r="I1014" t="str">
            <v>Buy</v>
          </cell>
        </row>
        <row r="1015">
          <cell r="A1015" t="str">
            <v>ASY-006884-00</v>
          </cell>
          <cell r="B1015">
            <v>1</v>
          </cell>
          <cell r="C1015" t="str">
            <v>CVR-000893-03</v>
          </cell>
          <cell r="D1015" t="str">
            <v>END COVER, MC, BLACK, L60, TROV 2.0</v>
          </cell>
          <cell r="E1015" t="str">
            <v>B</v>
          </cell>
          <cell r="F1015" t="str">
            <v>Cover</v>
          </cell>
          <cell r="G1015">
            <v>1</v>
          </cell>
          <cell r="H1015">
            <v>1.0900000000000001</v>
          </cell>
          <cell r="I1015" t="str">
            <v>Buy</v>
          </cell>
        </row>
        <row r="1016">
          <cell r="A1016" t="str">
            <v>ASY-006884-00</v>
          </cell>
          <cell r="B1016">
            <v>1</v>
          </cell>
          <cell r="C1016" t="str">
            <v>FOM-000028-00</v>
          </cell>
          <cell r="D1016" t="str">
            <v>FOAM, LIGHTBLOCK, ENDCAP, L60, TROV2</v>
          </cell>
          <cell r="E1016" t="str">
            <v>A</v>
          </cell>
          <cell r="F1016" t="str">
            <v>Foam</v>
          </cell>
          <cell r="G1016">
            <v>2</v>
          </cell>
          <cell r="H1016">
            <v>0.03</v>
          </cell>
          <cell r="I1016" t="str">
            <v>Buy</v>
          </cell>
        </row>
        <row r="1017">
          <cell r="A1017" t="str">
            <v>ASY-006884-00</v>
          </cell>
          <cell r="B1017">
            <v>1</v>
          </cell>
          <cell r="C1017" t="str">
            <v>GSK-000122-01</v>
          </cell>
          <cell r="D1017" t="str">
            <v>GASKET, DRIVER ENCLOSURE, 3M, 4 FT, TROV 2.0</v>
          </cell>
          <cell r="E1017" t="str">
            <v>B</v>
          </cell>
          <cell r="F1017" t="str">
            <v>Gasket</v>
          </cell>
          <cell r="G1017">
            <v>1</v>
          </cell>
          <cell r="H1017">
            <v>2.0299999999999998</v>
          </cell>
          <cell r="I1017" t="str">
            <v>Buy</v>
          </cell>
        </row>
        <row r="1018">
          <cell r="A1018" t="str">
            <v>ASY-006884-00</v>
          </cell>
          <cell r="B1018">
            <v>1</v>
          </cell>
          <cell r="C1018" t="str">
            <v>GSK-000133-00</v>
          </cell>
          <cell r="D1018" t="str">
            <v>GASKET, TERTIARY LENS, 3M, 2 FT, L60, TROV 2.0</v>
          </cell>
          <cell r="E1018" t="str">
            <v>B</v>
          </cell>
          <cell r="F1018" t="str">
            <v>Gasket</v>
          </cell>
          <cell r="G1018">
            <v>2</v>
          </cell>
          <cell r="H1018">
            <v>6</v>
          </cell>
          <cell r="I1018" t="str">
            <v>Buy</v>
          </cell>
        </row>
        <row r="1019">
          <cell r="A1019" t="str">
            <v>ASY-006884-00</v>
          </cell>
          <cell r="B1019">
            <v>1</v>
          </cell>
          <cell r="C1019" t="str">
            <v>HSG-000493-01</v>
          </cell>
          <cell r="D1019" t="str">
            <v>HOUSING, TOP, 4 FT, L60, SILVER, TROV 2.0</v>
          </cell>
          <cell r="E1019" t="str">
            <v>E</v>
          </cell>
          <cell r="F1019" t="str">
            <v>Housing</v>
          </cell>
          <cell r="G1019">
            <v>1</v>
          </cell>
          <cell r="H1019">
            <v>38.619999999999997</v>
          </cell>
          <cell r="I1019" t="str">
            <v>Buy</v>
          </cell>
        </row>
        <row r="1020">
          <cell r="A1020" t="str">
            <v>ASY-006884-00</v>
          </cell>
          <cell r="B1020">
            <v>1</v>
          </cell>
          <cell r="C1020" t="str">
            <v>HSG-000495-01</v>
          </cell>
          <cell r="D1020" t="str">
            <v>HOUSING, BOTTOM, 4 FT, SILVER, TROV 2.0</v>
          </cell>
          <cell r="E1020" t="str">
            <v>F</v>
          </cell>
          <cell r="F1020" t="str">
            <v>Housing</v>
          </cell>
          <cell r="G1020">
            <v>1</v>
          </cell>
          <cell r="H1020">
            <v>32.49</v>
          </cell>
          <cell r="I1020" t="str">
            <v>Buy</v>
          </cell>
        </row>
        <row r="1021">
          <cell r="A1021" t="str">
            <v>ASY-006884-00</v>
          </cell>
          <cell r="B1021">
            <v>1</v>
          </cell>
          <cell r="C1021" t="str">
            <v>LBA-000003-00</v>
          </cell>
          <cell r="D1021" t="str">
            <v>Label: TROV 2 P1/P2, Model L45/L60</v>
          </cell>
          <cell r="E1021" t="str">
            <v>A</v>
          </cell>
          <cell r="F1021" t="str">
            <v>Label BOM</v>
          </cell>
          <cell r="G1021">
            <v>1</v>
          </cell>
          <cell r="H1021">
            <v>0</v>
          </cell>
          <cell r="I1021" t="str">
            <v>Make</v>
          </cell>
        </row>
        <row r="1022">
          <cell r="A1022" t="str">
            <v>ASY-006884-00</v>
          </cell>
          <cell r="B1022">
            <v>2</v>
          </cell>
          <cell r="C1022" t="str">
            <v>LBL-000243-00</v>
          </cell>
          <cell r="D1022" t="str">
            <v>Blank Product Label: Trov 2 P1/P2, Model L45/L60</v>
          </cell>
          <cell r="E1022" t="str">
            <v>A</v>
          </cell>
          <cell r="F1022" t="str">
            <v>Label</v>
          </cell>
          <cell r="G1022">
            <v>1</v>
          </cell>
          <cell r="H1022">
            <v>0.33</v>
          </cell>
          <cell r="I1022" t="str">
            <v>Buy</v>
          </cell>
        </row>
        <row r="1023">
          <cell r="A1023" t="str">
            <v>ASY-006884-00</v>
          </cell>
          <cell r="B1023">
            <v>1</v>
          </cell>
          <cell r="C1023" t="str">
            <v>PLG-000009-01</v>
          </cell>
          <cell r="D1023" t="str">
            <v>Porex Vent, Trov, L50 Exterior</v>
          </cell>
          <cell r="E1023" t="str">
            <v>B</v>
          </cell>
          <cell r="F1023" t="str">
            <v>Plug</v>
          </cell>
          <cell r="G1023">
            <v>2</v>
          </cell>
          <cell r="H1023">
            <v>0.17</v>
          </cell>
          <cell r="I1023" t="str">
            <v>Buy</v>
          </cell>
        </row>
        <row r="1024">
          <cell r="A1024" t="str">
            <v>ASY-006884-00</v>
          </cell>
          <cell r="B1024">
            <v>1</v>
          </cell>
          <cell r="C1024" t="str">
            <v>SCW-000156-00</v>
          </cell>
          <cell r="D1024" t="str">
            <v>SCREW, M3 x 0.5 X 8mm, PAND HEAD, PHILLIPS, STEEL</v>
          </cell>
          <cell r="E1024" t="str">
            <v>B</v>
          </cell>
          <cell r="F1024" t="str">
            <v>Screw</v>
          </cell>
          <cell r="G1024">
            <v>6</v>
          </cell>
          <cell r="H1024">
            <v>4.4400000000000002E-2</v>
          </cell>
          <cell r="I1024" t="str">
            <v>Buy</v>
          </cell>
        </row>
        <row r="1025">
          <cell r="A1025" t="str">
            <v>ASY-006884-00</v>
          </cell>
          <cell r="B1025">
            <v>1</v>
          </cell>
          <cell r="C1025" t="str">
            <v>SCW-000483-00</v>
          </cell>
          <cell r="D1025" t="str">
            <v>SCREW, PHILIPS FLAT HEAD, M2.5x0.45x5 , 18-8 SST</v>
          </cell>
          <cell r="E1025" t="str">
            <v>A</v>
          </cell>
          <cell r="F1025" t="str">
            <v>Screw</v>
          </cell>
          <cell r="G1025">
            <v>4</v>
          </cell>
          <cell r="H1025">
            <v>0.02</v>
          </cell>
          <cell r="I1025" t="str">
            <v>Buy</v>
          </cell>
        </row>
        <row r="1026">
          <cell r="A1026" t="str">
            <v>ASY-006884-00</v>
          </cell>
          <cell r="B1026">
            <v>1</v>
          </cell>
          <cell r="C1026" t="str">
            <v>SCW-000556-00</v>
          </cell>
          <cell r="D1026" t="str">
            <v>SCREW, HEX, SERRATED, #8-32, GROUNDING, TROV 2</v>
          </cell>
          <cell r="E1026" t="str">
            <v>A</v>
          </cell>
          <cell r="F1026" t="str">
            <v>Screw</v>
          </cell>
          <cell r="G1026">
            <v>1</v>
          </cell>
          <cell r="H1026">
            <v>0.04</v>
          </cell>
          <cell r="I1026" t="str">
            <v>Buy</v>
          </cell>
        </row>
        <row r="1027">
          <cell r="A1027" t="str">
            <v>ASY-006884-00</v>
          </cell>
          <cell r="B1027">
            <v>1</v>
          </cell>
          <cell r="C1027" t="str">
            <v>SCW-000567-00</v>
          </cell>
          <cell r="D1027" t="str">
            <v>SCREW, M2.5 x 0.45 x 12.0mm LENGTH, PAN HD, PHILLIPS, ZINC-PLATED STEEL</v>
          </cell>
          <cell r="E1027" t="str">
            <v>A</v>
          </cell>
          <cell r="F1027" t="str">
            <v>Screw</v>
          </cell>
          <cell r="G1027">
            <v>4</v>
          </cell>
          <cell r="H1027">
            <v>0.06</v>
          </cell>
          <cell r="I1027" t="str">
            <v>Buy</v>
          </cell>
        </row>
        <row r="1028">
          <cell r="A1028" t="str">
            <v>ASY-006884-00</v>
          </cell>
          <cell r="B1028">
            <v>1</v>
          </cell>
          <cell r="C1028" t="str">
            <v>SCW-000574-00</v>
          </cell>
          <cell r="D1028" t="str">
            <v>SCREW, TORX HEAD, 1/4-28x1/2", LOW PROFILE, ALLOY STEEL</v>
          </cell>
          <cell r="E1028" t="str">
            <v>A</v>
          </cell>
          <cell r="F1028" t="str">
            <v>Screw</v>
          </cell>
          <cell r="G1028">
            <v>2</v>
          </cell>
          <cell r="H1028">
            <v>0.14000000000000001</v>
          </cell>
          <cell r="I1028" t="str">
            <v>Buy</v>
          </cell>
        </row>
        <row r="1029">
          <cell r="A1029" t="str">
            <v>ASY-006884-00</v>
          </cell>
          <cell r="B1029">
            <v>1</v>
          </cell>
          <cell r="C1029" t="str">
            <v>SHT-000043-00</v>
          </cell>
          <cell r="D1029" t="str">
            <v>INSULATION SHEET, HBA, 4FT,TROV 2</v>
          </cell>
          <cell r="E1029" t="str">
            <v>D</v>
          </cell>
          <cell r="F1029" t="str">
            <v>Sheet</v>
          </cell>
          <cell r="G1029">
            <v>1</v>
          </cell>
          <cell r="H1029">
            <v>0.25</v>
          </cell>
          <cell r="I1029" t="str">
            <v>Buy</v>
          </cell>
        </row>
        <row r="1030">
          <cell r="A1030" t="str">
            <v>ASY-006884-00</v>
          </cell>
          <cell r="B1030">
            <v>1</v>
          </cell>
          <cell r="C1030" t="str">
            <v>SPG-000023-00</v>
          </cell>
          <cell r="D1030" t="str">
            <v>SPRING, DISC, STACKED WAVE, TROV 2.0</v>
          </cell>
          <cell r="E1030" t="str">
            <v>A</v>
          </cell>
          <cell r="F1030" t="str">
            <v>Spring</v>
          </cell>
          <cell r="G1030">
            <v>2</v>
          </cell>
          <cell r="H1030">
            <v>1.74</v>
          </cell>
          <cell r="I1030" t="str">
            <v>Buy</v>
          </cell>
        </row>
        <row r="1031">
          <cell r="A1031" t="str">
            <v>ASY-006884-00</v>
          </cell>
          <cell r="B1031">
            <v>1</v>
          </cell>
          <cell r="C1031" t="str">
            <v>TAP-000031-00</v>
          </cell>
          <cell r="D1031" t="str">
            <v>3M Electrical Tape 92</v>
          </cell>
          <cell r="E1031" t="str">
            <v>A</v>
          </cell>
          <cell r="F1031" t="str">
            <v>Tape</v>
          </cell>
          <cell r="G1031">
            <v>120</v>
          </cell>
          <cell r="H1031">
            <v>1.4E-2</v>
          </cell>
          <cell r="I1031" t="str">
            <v>Buy</v>
          </cell>
        </row>
        <row r="1032">
          <cell r="A1032" t="str">
            <v>ASY-006884-00</v>
          </cell>
          <cell r="B1032">
            <v>1</v>
          </cell>
          <cell r="C1032" t="str">
            <v>TMP-000028-00</v>
          </cell>
          <cell r="D1032" t="str">
            <v>Thermal Pad, LED PCBA, 2 FT, TROV 2</v>
          </cell>
          <cell r="E1032" t="str">
            <v>B</v>
          </cell>
          <cell r="F1032" t="str">
            <v>Thermal Pad</v>
          </cell>
          <cell r="G1032">
            <v>2</v>
          </cell>
          <cell r="H1032">
            <v>1.32</v>
          </cell>
          <cell r="I1032" t="str">
            <v>Buy</v>
          </cell>
        </row>
        <row r="1033">
          <cell r="A1033" t="str">
            <v>ASY-006884-00</v>
          </cell>
          <cell r="B1033">
            <v>1</v>
          </cell>
          <cell r="C1033" t="str">
            <v>TMP-000029-00</v>
          </cell>
          <cell r="D1033" t="str">
            <v>Thermal Pad, HBA, TROV 2</v>
          </cell>
          <cell r="E1033" t="str">
            <v>B</v>
          </cell>
          <cell r="F1033" t="str">
            <v>Thermal Pad</v>
          </cell>
          <cell r="G1033">
            <v>2</v>
          </cell>
          <cell r="H1033">
            <v>0.14000000000000001</v>
          </cell>
          <cell r="I1033" t="str">
            <v>Buy</v>
          </cell>
        </row>
        <row r="1034">
          <cell r="A1034" t="str">
            <v>ASY-006884-01</v>
          </cell>
          <cell r="B1034">
            <v>0</v>
          </cell>
          <cell r="C1034" t="str">
            <v>ASY-006884-01</v>
          </cell>
          <cell r="D1034" t="str">
            <v>ASSY, MECHANICAL, L60, INDOOR, 4 FT, TROV 2.0, BLACK</v>
          </cell>
          <cell r="E1034" t="str">
            <v>G</v>
          </cell>
          <cell r="F1034" t="str">
            <v>Sub assembly</v>
          </cell>
          <cell r="H1034">
            <v>0</v>
          </cell>
          <cell r="I1034" t="str">
            <v>Make</v>
          </cell>
        </row>
        <row r="1035">
          <cell r="A1035" t="str">
            <v>ASY-006884-01</v>
          </cell>
          <cell r="B1035">
            <v>1</v>
          </cell>
          <cell r="C1035" t="str">
            <v>ACB-000261-00</v>
          </cell>
          <cell r="D1035" t="str">
            <v>CABLE, ECOBUS, 24AWG, SHORT, TROV 2</v>
          </cell>
          <cell r="E1035" t="str">
            <v>B</v>
          </cell>
          <cell r="F1035" t="str">
            <v>Cable</v>
          </cell>
          <cell r="G1035">
            <v>1</v>
          </cell>
          <cell r="H1035">
            <v>0.76</v>
          </cell>
          <cell r="I1035" t="str">
            <v>Buy</v>
          </cell>
        </row>
        <row r="1036">
          <cell r="A1036" t="str">
            <v>ASY-006884-01</v>
          </cell>
          <cell r="B1036">
            <v>1</v>
          </cell>
          <cell r="C1036" t="str">
            <v>ACB-000261-01</v>
          </cell>
          <cell r="D1036" t="str">
            <v>CABLE, ECOBUS, 24AWG, LONG, TROV 2</v>
          </cell>
          <cell r="E1036" t="str">
            <v>B</v>
          </cell>
          <cell r="F1036" t="str">
            <v>Cable</v>
          </cell>
          <cell r="G1036">
            <v>1</v>
          </cell>
          <cell r="H1036">
            <v>0.82</v>
          </cell>
          <cell r="I1036" t="str">
            <v>Buy</v>
          </cell>
        </row>
        <row r="1037">
          <cell r="A1037" t="str">
            <v>ASY-006884-01</v>
          </cell>
          <cell r="B1037">
            <v>1</v>
          </cell>
          <cell r="C1037" t="str">
            <v>ASY-100008-00</v>
          </cell>
          <cell r="D1037" t="str">
            <v>Cable Subassembly, Driver housing, 4ft, Trov 2</v>
          </cell>
          <cell r="E1037" t="str">
            <v>A</v>
          </cell>
          <cell r="F1037" t="str">
            <v>Sub assembly</v>
          </cell>
          <cell r="G1037">
            <v>1</v>
          </cell>
          <cell r="H1037">
            <v>0</v>
          </cell>
          <cell r="I1037" t="str">
            <v>Make</v>
          </cell>
        </row>
        <row r="1038">
          <cell r="A1038" t="str">
            <v>ASY-006884-01</v>
          </cell>
          <cell r="B1038">
            <v>2</v>
          </cell>
          <cell r="C1038" t="str">
            <v>ACB-000272-00</v>
          </cell>
          <cell r="D1038" t="str">
            <v>CABLE ASSY, INTRA-FIXTURE, 4FT, TROV 2.0</v>
          </cell>
          <cell r="E1038" t="str">
            <v>B</v>
          </cell>
          <cell r="F1038" t="str">
            <v>Cable Assembly</v>
          </cell>
          <cell r="G1038">
            <v>1</v>
          </cell>
          <cell r="H1038">
            <v>20.420000000000002</v>
          </cell>
          <cell r="I1038" t="str">
            <v>Buy</v>
          </cell>
        </row>
        <row r="1039">
          <cell r="A1039" t="str">
            <v>ASY-006884-01</v>
          </cell>
          <cell r="B1039">
            <v>3</v>
          </cell>
          <cell r="C1039" t="str">
            <v>ACB-000273-00</v>
          </cell>
          <cell r="D1039" t="str">
            <v>6 CONDUCTOR CABLE, 3X22AWG, 3X16AWG, AL MYLAR, TROV 2</v>
          </cell>
          <cell r="E1039" t="str">
            <v>A</v>
          </cell>
          <cell r="F1039" t="str">
            <v>Cable</v>
          </cell>
          <cell r="G1039">
            <v>1</v>
          </cell>
          <cell r="H1039">
            <v>0</v>
          </cell>
          <cell r="I1039" t="str">
            <v>N/A</v>
          </cell>
        </row>
        <row r="1040">
          <cell r="A1040" t="str">
            <v>ASY-006884-01</v>
          </cell>
          <cell r="B1040">
            <v>3</v>
          </cell>
          <cell r="C1040" t="str">
            <v>ACB-000274-00</v>
          </cell>
          <cell r="D1040" t="str">
            <v>CABLE ASSEMBLY, INTERNAL, DRIVER SIDE, 4FT, TROV 2</v>
          </cell>
          <cell r="E1040" t="str">
            <v>A</v>
          </cell>
          <cell r="F1040" t="str">
            <v>Cable Assembly</v>
          </cell>
          <cell r="G1040">
            <v>1</v>
          </cell>
          <cell r="H1040">
            <v>0</v>
          </cell>
          <cell r="I1040" t="str">
            <v>N/A</v>
          </cell>
        </row>
        <row r="1041">
          <cell r="A1041" t="str">
            <v>ASY-006884-01</v>
          </cell>
          <cell r="B1041">
            <v>3</v>
          </cell>
          <cell r="C1041" t="str">
            <v>CON-000259-00</v>
          </cell>
          <cell r="D1041" t="str">
            <v>CONNECTOR, MALE, 6 PIN, TROV 2</v>
          </cell>
          <cell r="E1041" t="str">
            <v>B</v>
          </cell>
          <cell r="F1041" t="str">
            <v>Connector</v>
          </cell>
          <cell r="G1041">
            <v>1</v>
          </cell>
          <cell r="H1041">
            <v>0</v>
          </cell>
          <cell r="I1041" t="str">
            <v>N/A</v>
          </cell>
        </row>
        <row r="1042">
          <cell r="A1042" t="str">
            <v>ASY-006884-01</v>
          </cell>
          <cell r="B1042">
            <v>3</v>
          </cell>
          <cell r="C1042" t="str">
            <v>CON-000260-00</v>
          </cell>
          <cell r="D1042" t="str">
            <v>CONNECTOR, FEMALE, 6 PIN, TROV 2</v>
          </cell>
          <cell r="E1042" t="str">
            <v>A</v>
          </cell>
          <cell r="F1042" t="str">
            <v>Connector</v>
          </cell>
          <cell r="G1042">
            <v>1</v>
          </cell>
          <cell r="H1042">
            <v>0</v>
          </cell>
          <cell r="I1042" t="str">
            <v>N/A</v>
          </cell>
        </row>
        <row r="1043">
          <cell r="A1043" t="str">
            <v>ASY-006884-01</v>
          </cell>
          <cell r="B1043">
            <v>3</v>
          </cell>
          <cell r="C1043" t="str">
            <v>HSG-000330-00</v>
          </cell>
          <cell r="D1043" t="str">
            <v>DRIVER HOUSING, 4 FT, TROV 2</v>
          </cell>
          <cell r="E1043" t="str">
            <v>A</v>
          </cell>
          <cell r="F1043" t="str">
            <v>Housing</v>
          </cell>
          <cell r="G1043">
            <v>1</v>
          </cell>
          <cell r="H1043">
            <v>0</v>
          </cell>
          <cell r="I1043" t="str">
            <v>N/A</v>
          </cell>
        </row>
        <row r="1044">
          <cell r="A1044" t="str">
            <v>ASY-006884-01</v>
          </cell>
          <cell r="B1044">
            <v>3</v>
          </cell>
          <cell r="C1044" t="str">
            <v>ORG-000060-00</v>
          </cell>
          <cell r="D1044" t="str">
            <v>O-RING, CABLE, TROV 2</v>
          </cell>
          <cell r="E1044" t="str">
            <v>A</v>
          </cell>
          <cell r="F1044" t="str">
            <v>O-Ring</v>
          </cell>
          <cell r="G1044">
            <v>1</v>
          </cell>
          <cell r="H1044">
            <v>0</v>
          </cell>
          <cell r="I1044" t="str">
            <v>N/A</v>
          </cell>
        </row>
        <row r="1045">
          <cell r="A1045" t="str">
            <v>ASY-006884-01</v>
          </cell>
          <cell r="B1045">
            <v>3</v>
          </cell>
          <cell r="C1045" t="str">
            <v>SRF-000030-00</v>
          </cell>
          <cell r="D1045" t="str">
            <v>STRAIN RELIEF, CABLE, TROV 2</v>
          </cell>
          <cell r="E1045" t="str">
            <v>A</v>
          </cell>
          <cell r="F1045" t="str">
            <v>Strain Relief</v>
          </cell>
          <cell r="G1045">
            <v>1</v>
          </cell>
          <cell r="H1045">
            <v>0</v>
          </cell>
          <cell r="I1045" t="str">
            <v>N/A</v>
          </cell>
        </row>
        <row r="1046">
          <cell r="A1046" t="str">
            <v>ASY-006884-01</v>
          </cell>
          <cell r="B1046">
            <v>2</v>
          </cell>
          <cell r="C1046" t="str">
            <v>BKT-000517-00</v>
          </cell>
          <cell r="D1046" t="str">
            <v>BRACKET, ROTATING LOCK, 4 FT, TROV 2.0</v>
          </cell>
          <cell r="E1046" t="str">
            <v>B</v>
          </cell>
          <cell r="F1046" t="str">
            <v>Bracket</v>
          </cell>
          <cell r="G1046">
            <v>1</v>
          </cell>
          <cell r="H1046">
            <v>0.9</v>
          </cell>
          <cell r="I1046" t="str">
            <v>Buy</v>
          </cell>
        </row>
        <row r="1047">
          <cell r="A1047" t="str">
            <v>ASY-006884-01</v>
          </cell>
          <cell r="B1047">
            <v>2</v>
          </cell>
          <cell r="C1047" t="str">
            <v>BKT-000518-00</v>
          </cell>
          <cell r="D1047" t="str">
            <v>BRACKET, PANEL MOUNT, 4 FT, TROV 2.0</v>
          </cell>
          <cell r="E1047" t="str">
            <v>B</v>
          </cell>
          <cell r="F1047" t="str">
            <v>Bracket</v>
          </cell>
          <cell r="G1047">
            <v>1</v>
          </cell>
          <cell r="H1047">
            <v>0.9</v>
          </cell>
          <cell r="I1047" t="str">
            <v>Buy</v>
          </cell>
        </row>
        <row r="1048">
          <cell r="A1048" t="str">
            <v>ASY-006884-01</v>
          </cell>
          <cell r="B1048">
            <v>2</v>
          </cell>
          <cell r="C1048" t="str">
            <v>SCW-000509-00</v>
          </cell>
          <cell r="D1048" t="str">
            <v>SCREW, SEALING FLAT HEAD, M3x0.5x8MM</v>
          </cell>
          <cell r="E1048" t="str">
            <v>B</v>
          </cell>
          <cell r="F1048" t="str">
            <v>Screw</v>
          </cell>
          <cell r="G1048">
            <v>2</v>
          </cell>
          <cell r="H1048">
            <v>0.4</v>
          </cell>
          <cell r="I1048" t="str">
            <v>Buy</v>
          </cell>
        </row>
        <row r="1049">
          <cell r="A1049" t="str">
            <v>ASY-006884-01</v>
          </cell>
          <cell r="B1049">
            <v>1</v>
          </cell>
          <cell r="C1049" t="str">
            <v>BAS-000021-00</v>
          </cell>
          <cell r="D1049" t="str">
            <v>BASE, 4FT, TROV 2.0</v>
          </cell>
          <cell r="E1049" t="str">
            <v>F</v>
          </cell>
          <cell r="F1049" t="str">
            <v>Base</v>
          </cell>
          <cell r="G1049">
            <v>1</v>
          </cell>
          <cell r="H1049">
            <v>14.25</v>
          </cell>
          <cell r="I1049" t="str">
            <v>Buy</v>
          </cell>
        </row>
        <row r="1050">
          <cell r="A1050" t="str">
            <v>ASY-006884-01</v>
          </cell>
          <cell r="B1050">
            <v>1</v>
          </cell>
          <cell r="C1050" t="str">
            <v>BKT-000457-03</v>
          </cell>
          <cell r="D1050" t="str">
            <v>BRACKET, MOUNT, LEFT, BLACK, TROV 2.0</v>
          </cell>
          <cell r="E1050" t="str">
            <v>C</v>
          </cell>
          <cell r="F1050" t="str">
            <v>Bracket</v>
          </cell>
          <cell r="G1050">
            <v>1</v>
          </cell>
          <cell r="H1050">
            <v>0.99</v>
          </cell>
          <cell r="I1050" t="str">
            <v>Buy</v>
          </cell>
        </row>
        <row r="1051">
          <cell r="A1051" t="str">
            <v>ASY-006884-01</v>
          </cell>
          <cell r="B1051">
            <v>1</v>
          </cell>
          <cell r="C1051" t="str">
            <v>BKT-000458-03</v>
          </cell>
          <cell r="D1051" t="str">
            <v>BRACKET, MOUNT, RIGHT, BLACK, TROV 2.0</v>
          </cell>
          <cell r="E1051" t="str">
            <v>C</v>
          </cell>
          <cell r="F1051" t="str">
            <v>Bracket</v>
          </cell>
          <cell r="G1051">
            <v>1</v>
          </cell>
          <cell r="H1051">
            <v>0.99</v>
          </cell>
          <cell r="I1051" t="str">
            <v>Buy</v>
          </cell>
        </row>
        <row r="1052">
          <cell r="A1052" t="str">
            <v>ASY-006884-01</v>
          </cell>
          <cell r="B1052">
            <v>1</v>
          </cell>
          <cell r="C1052" t="str">
            <v>CVR-000789-03</v>
          </cell>
          <cell r="D1052" t="str">
            <v>END COVER, FC, BLACK, L60, TROV 2.0</v>
          </cell>
          <cell r="E1052" t="str">
            <v>D</v>
          </cell>
          <cell r="F1052" t="str">
            <v>Cover</v>
          </cell>
          <cell r="G1052">
            <v>1</v>
          </cell>
          <cell r="H1052">
            <v>1.0900000000000001</v>
          </cell>
          <cell r="I1052" t="str">
            <v>Buy</v>
          </cell>
        </row>
        <row r="1053">
          <cell r="A1053" t="str">
            <v>ASY-006884-01</v>
          </cell>
          <cell r="B1053">
            <v>1</v>
          </cell>
          <cell r="C1053" t="str">
            <v>CVR-000893-03</v>
          </cell>
          <cell r="D1053" t="str">
            <v>END COVER, MC, BLACK, L60, TROV 2.0</v>
          </cell>
          <cell r="E1053" t="str">
            <v>B</v>
          </cell>
          <cell r="F1053" t="str">
            <v>Cover</v>
          </cell>
          <cell r="G1053">
            <v>1</v>
          </cell>
          <cell r="H1053">
            <v>1.0900000000000001</v>
          </cell>
          <cell r="I1053" t="str">
            <v>Buy</v>
          </cell>
        </row>
        <row r="1054">
          <cell r="A1054" t="str">
            <v>ASY-006884-01</v>
          </cell>
          <cell r="B1054">
            <v>1</v>
          </cell>
          <cell r="C1054" t="str">
            <v>FOM-000028-00</v>
          </cell>
          <cell r="D1054" t="str">
            <v>FOAM, LIGHTBLOCK, ENDCAP, L60, TROV2</v>
          </cell>
          <cell r="E1054" t="str">
            <v>A</v>
          </cell>
          <cell r="F1054" t="str">
            <v>Foam</v>
          </cell>
          <cell r="G1054">
            <v>2</v>
          </cell>
          <cell r="H1054">
            <v>0.03</v>
          </cell>
          <cell r="I1054" t="str">
            <v>Buy</v>
          </cell>
        </row>
        <row r="1055">
          <cell r="A1055" t="str">
            <v>ASY-006884-01</v>
          </cell>
          <cell r="B1055">
            <v>1</v>
          </cell>
          <cell r="C1055" t="str">
            <v>GSK-000122-01</v>
          </cell>
          <cell r="D1055" t="str">
            <v>GASKET, DRIVER ENCLOSURE, 3M, 4 FT, TROV 2.0</v>
          </cell>
          <cell r="E1055" t="str">
            <v>B</v>
          </cell>
          <cell r="F1055" t="str">
            <v>Gasket</v>
          </cell>
          <cell r="G1055">
            <v>1</v>
          </cell>
          <cell r="H1055">
            <v>2.0299999999999998</v>
          </cell>
          <cell r="I1055" t="str">
            <v>Buy</v>
          </cell>
        </row>
        <row r="1056">
          <cell r="A1056" t="str">
            <v>ASY-006884-01</v>
          </cell>
          <cell r="B1056">
            <v>1</v>
          </cell>
          <cell r="C1056" t="str">
            <v>GSK-000133-00</v>
          </cell>
          <cell r="D1056" t="str">
            <v>GASKET, TERTIARY LENS, 3M, 2 FT, L60, TROV 2.0</v>
          </cell>
          <cell r="E1056" t="str">
            <v>B</v>
          </cell>
          <cell r="F1056" t="str">
            <v>Gasket</v>
          </cell>
          <cell r="G1056">
            <v>2</v>
          </cell>
          <cell r="H1056">
            <v>6</v>
          </cell>
          <cell r="I1056" t="str">
            <v>Buy</v>
          </cell>
        </row>
        <row r="1057">
          <cell r="A1057" t="str">
            <v>ASY-006884-01</v>
          </cell>
          <cell r="B1057">
            <v>1</v>
          </cell>
          <cell r="C1057" t="str">
            <v>HSG-000493-03</v>
          </cell>
          <cell r="D1057" t="str">
            <v>HOUSING, TOP, 4 FT, L60, BLACK, TROV 2.0</v>
          </cell>
          <cell r="E1057" t="str">
            <v>E</v>
          </cell>
          <cell r="F1057" t="str">
            <v>Housing</v>
          </cell>
          <cell r="G1057">
            <v>1</v>
          </cell>
          <cell r="H1057">
            <v>15.06</v>
          </cell>
          <cell r="I1057" t="str">
            <v>Buy</v>
          </cell>
        </row>
        <row r="1058">
          <cell r="A1058" t="str">
            <v>ASY-006884-01</v>
          </cell>
          <cell r="B1058">
            <v>1</v>
          </cell>
          <cell r="C1058" t="str">
            <v>HSG-000495-03</v>
          </cell>
          <cell r="D1058" t="str">
            <v>HOUSING, BOTTOM, 4 FT, BLACK, TROV 2.0</v>
          </cell>
          <cell r="E1058" t="str">
            <v>F</v>
          </cell>
          <cell r="F1058" t="str">
            <v>Housing</v>
          </cell>
          <cell r="G1058">
            <v>1</v>
          </cell>
          <cell r="H1058">
            <v>13.73</v>
          </cell>
          <cell r="I1058" t="str">
            <v>Buy</v>
          </cell>
        </row>
        <row r="1059">
          <cell r="A1059" t="str">
            <v>ASY-006884-01</v>
          </cell>
          <cell r="B1059">
            <v>1</v>
          </cell>
          <cell r="C1059" t="str">
            <v>LBA-000003-00</v>
          </cell>
          <cell r="D1059" t="str">
            <v>Label: TROV 2 P1/P2, Model L45/L60</v>
          </cell>
          <cell r="E1059" t="str">
            <v>A</v>
          </cell>
          <cell r="F1059" t="str">
            <v>Label BOM</v>
          </cell>
          <cell r="G1059">
            <v>1</v>
          </cell>
          <cell r="H1059">
            <v>0</v>
          </cell>
          <cell r="I1059" t="str">
            <v>Make</v>
          </cell>
        </row>
        <row r="1060">
          <cell r="A1060" t="str">
            <v>ASY-006884-01</v>
          </cell>
          <cell r="B1060">
            <v>2</v>
          </cell>
          <cell r="C1060" t="str">
            <v>LBL-000243-00</v>
          </cell>
          <cell r="D1060" t="str">
            <v>Blank Product Label: Trov 2 P1/P2, Model L45/L60</v>
          </cell>
          <cell r="E1060" t="str">
            <v>A</v>
          </cell>
          <cell r="F1060" t="str">
            <v>Label</v>
          </cell>
          <cell r="G1060">
            <v>1</v>
          </cell>
          <cell r="H1060">
            <v>0.33</v>
          </cell>
          <cell r="I1060" t="str">
            <v>Buy</v>
          </cell>
        </row>
        <row r="1061">
          <cell r="A1061" t="str">
            <v>ASY-006884-01</v>
          </cell>
          <cell r="B1061">
            <v>1</v>
          </cell>
          <cell r="C1061" t="str">
            <v>PLG-000009-01</v>
          </cell>
          <cell r="D1061" t="str">
            <v>Porex Vent, Trov, L50 Exterior</v>
          </cell>
          <cell r="E1061" t="str">
            <v>B</v>
          </cell>
          <cell r="F1061" t="str">
            <v>Plug</v>
          </cell>
          <cell r="G1061">
            <v>2</v>
          </cell>
          <cell r="H1061">
            <v>0.17</v>
          </cell>
          <cell r="I1061" t="str">
            <v>Buy</v>
          </cell>
        </row>
        <row r="1062">
          <cell r="A1062" t="str">
            <v>ASY-006884-01</v>
          </cell>
          <cell r="B1062">
            <v>1</v>
          </cell>
          <cell r="C1062" t="str">
            <v>SCW-000156-00</v>
          </cell>
          <cell r="D1062" t="str">
            <v>SCREW, M3 x 0.5 X 8mm, PAND HEAD, PHILLIPS, STEEL</v>
          </cell>
          <cell r="E1062" t="str">
            <v>B</v>
          </cell>
          <cell r="F1062" t="str">
            <v>Screw</v>
          </cell>
          <cell r="G1062">
            <v>6</v>
          </cell>
          <cell r="H1062">
            <v>4.4400000000000002E-2</v>
          </cell>
          <cell r="I1062" t="str">
            <v>Buy</v>
          </cell>
        </row>
        <row r="1063">
          <cell r="A1063" t="str">
            <v>ASY-006884-01</v>
          </cell>
          <cell r="B1063">
            <v>1</v>
          </cell>
          <cell r="C1063" t="str">
            <v>SCW-000483-00</v>
          </cell>
          <cell r="D1063" t="str">
            <v>SCREW, PHILIPS FLAT HEAD, M2.5x0.45x5 , 18-8 SST</v>
          </cell>
          <cell r="E1063" t="str">
            <v>A</v>
          </cell>
          <cell r="F1063" t="str">
            <v>Screw</v>
          </cell>
          <cell r="G1063">
            <v>4</v>
          </cell>
          <cell r="H1063">
            <v>0.02</v>
          </cell>
          <cell r="I1063" t="str">
            <v>Buy</v>
          </cell>
        </row>
        <row r="1064">
          <cell r="A1064" t="str">
            <v>ASY-006884-01</v>
          </cell>
          <cell r="B1064">
            <v>1</v>
          </cell>
          <cell r="C1064" t="str">
            <v>SCW-000556-00</v>
          </cell>
          <cell r="D1064" t="str">
            <v>SCREW, HEX, SERRATED, #8-32, GROUNDING, TROV 2</v>
          </cell>
          <cell r="E1064" t="str">
            <v>A</v>
          </cell>
          <cell r="F1064" t="str">
            <v>Screw</v>
          </cell>
          <cell r="G1064">
            <v>1</v>
          </cell>
          <cell r="H1064">
            <v>0.04</v>
          </cell>
          <cell r="I1064" t="str">
            <v>Buy</v>
          </cell>
        </row>
        <row r="1065">
          <cell r="A1065" t="str">
            <v>ASY-006884-01</v>
          </cell>
          <cell r="B1065">
            <v>1</v>
          </cell>
          <cell r="C1065" t="str">
            <v>SCW-000567-00</v>
          </cell>
          <cell r="D1065" t="str">
            <v>SCREW, M2.5 x 0.45 x 12.0mm LENGTH, PAN HD, PHILLIPS, ZINC-PLATED STEEL</v>
          </cell>
          <cell r="E1065" t="str">
            <v>A</v>
          </cell>
          <cell r="F1065" t="str">
            <v>Screw</v>
          </cell>
          <cell r="G1065">
            <v>4</v>
          </cell>
          <cell r="H1065">
            <v>0.06</v>
          </cell>
          <cell r="I1065" t="str">
            <v>Buy</v>
          </cell>
        </row>
        <row r="1066">
          <cell r="A1066" t="str">
            <v>ASY-006884-01</v>
          </cell>
          <cell r="B1066">
            <v>1</v>
          </cell>
          <cell r="C1066" t="str">
            <v>SCW-000574-00</v>
          </cell>
          <cell r="D1066" t="str">
            <v>SCREW, TORX HEAD, 1/4-28x1/2", LOW PROFILE, ALLOY STEEL</v>
          </cell>
          <cell r="E1066" t="str">
            <v>A</v>
          </cell>
          <cell r="F1066" t="str">
            <v>Screw</v>
          </cell>
          <cell r="G1066">
            <v>2</v>
          </cell>
          <cell r="H1066">
            <v>0.14000000000000001</v>
          </cell>
          <cell r="I1066" t="str">
            <v>Buy</v>
          </cell>
        </row>
        <row r="1067">
          <cell r="A1067" t="str">
            <v>ASY-006884-01</v>
          </cell>
          <cell r="B1067">
            <v>1</v>
          </cell>
          <cell r="C1067" t="str">
            <v>SHT-000043-00</v>
          </cell>
          <cell r="D1067" t="str">
            <v>INSULATION SHEET, HBA, 4FT,TROV 2</v>
          </cell>
          <cell r="E1067" t="str">
            <v>D</v>
          </cell>
          <cell r="F1067" t="str">
            <v>Sheet</v>
          </cell>
          <cell r="G1067">
            <v>1</v>
          </cell>
          <cell r="H1067">
            <v>0.25</v>
          </cell>
          <cell r="I1067" t="str">
            <v>Buy</v>
          </cell>
        </row>
        <row r="1068">
          <cell r="A1068" t="str">
            <v>ASY-006884-01</v>
          </cell>
          <cell r="B1068">
            <v>1</v>
          </cell>
          <cell r="C1068" t="str">
            <v>SPG-000023-00</v>
          </cell>
          <cell r="D1068" t="str">
            <v>SPRING, DISC, STACKED WAVE, TROV 2.0</v>
          </cell>
          <cell r="E1068" t="str">
            <v>A</v>
          </cell>
          <cell r="F1068" t="str">
            <v>Spring</v>
          </cell>
          <cell r="G1068">
            <v>2</v>
          </cell>
          <cell r="H1068">
            <v>1.74</v>
          </cell>
          <cell r="I1068" t="str">
            <v>Buy</v>
          </cell>
        </row>
        <row r="1069">
          <cell r="A1069" t="str">
            <v>ASY-006884-01</v>
          </cell>
          <cell r="B1069">
            <v>1</v>
          </cell>
          <cell r="C1069" t="str">
            <v>TAP-000031-00</v>
          </cell>
          <cell r="D1069" t="str">
            <v>3M Electrical Tape 92</v>
          </cell>
          <cell r="E1069" t="str">
            <v>A</v>
          </cell>
          <cell r="F1069" t="str">
            <v>Tape</v>
          </cell>
          <cell r="G1069">
            <v>120</v>
          </cell>
          <cell r="H1069">
            <v>1.4E-2</v>
          </cell>
          <cell r="I1069" t="str">
            <v>Buy</v>
          </cell>
        </row>
        <row r="1070">
          <cell r="A1070" t="str">
            <v>ASY-006884-01</v>
          </cell>
          <cell r="B1070">
            <v>1</v>
          </cell>
          <cell r="C1070" t="str">
            <v>TMP-000028-00</v>
          </cell>
          <cell r="D1070" t="str">
            <v>Thermal Pad, LED PCBA, 2 FT, TROV 2</v>
          </cell>
          <cell r="E1070" t="str">
            <v>B</v>
          </cell>
          <cell r="F1070" t="str">
            <v>Thermal Pad</v>
          </cell>
          <cell r="G1070">
            <v>2</v>
          </cell>
          <cell r="H1070">
            <v>1.32</v>
          </cell>
          <cell r="I1070" t="str">
            <v>Buy</v>
          </cell>
        </row>
        <row r="1071">
          <cell r="A1071" t="str">
            <v>ASY-006884-01</v>
          </cell>
          <cell r="B1071">
            <v>1</v>
          </cell>
          <cell r="C1071" t="str">
            <v>TMP-000029-00</v>
          </cell>
          <cell r="D1071" t="str">
            <v>Thermal Pad, HBA, TROV 2</v>
          </cell>
          <cell r="E1071" t="str">
            <v>B</v>
          </cell>
          <cell r="F1071" t="str">
            <v>Thermal Pad</v>
          </cell>
          <cell r="G1071">
            <v>2</v>
          </cell>
          <cell r="H1071">
            <v>0.14000000000000001</v>
          </cell>
          <cell r="I1071" t="str">
            <v>Buy</v>
          </cell>
        </row>
        <row r="1072">
          <cell r="A1072" t="str">
            <v>ASY-006884-02</v>
          </cell>
          <cell r="B1072">
            <v>0</v>
          </cell>
          <cell r="C1072" t="str">
            <v>ASY-006884-02</v>
          </cell>
          <cell r="D1072" t="str">
            <v>ASSY, MECHANICAL, L60, INDOOR, 4 FT, TROV 2.0, WHITE</v>
          </cell>
          <cell r="E1072" t="str">
            <v>G</v>
          </cell>
          <cell r="F1072" t="str">
            <v>Sub assembly</v>
          </cell>
          <cell r="H1072">
            <v>0</v>
          </cell>
          <cell r="I1072" t="str">
            <v>Make</v>
          </cell>
        </row>
        <row r="1073">
          <cell r="A1073" t="str">
            <v>ASY-006884-02</v>
          </cell>
          <cell r="B1073">
            <v>1</v>
          </cell>
          <cell r="C1073" t="str">
            <v>ACB-000261-00</v>
          </cell>
          <cell r="D1073" t="str">
            <v>CABLE, ECOBUS, 24AWG, SHORT, TROV 2</v>
          </cell>
          <cell r="E1073" t="str">
            <v>B</v>
          </cell>
          <cell r="F1073" t="str">
            <v>Cable</v>
          </cell>
          <cell r="G1073">
            <v>1</v>
          </cell>
          <cell r="H1073">
            <v>0.76</v>
          </cell>
          <cell r="I1073" t="str">
            <v>Buy</v>
          </cell>
        </row>
        <row r="1074">
          <cell r="A1074" t="str">
            <v>ASY-006884-02</v>
          </cell>
          <cell r="B1074">
            <v>1</v>
          </cell>
          <cell r="C1074" t="str">
            <v>ACB-000261-01</v>
          </cell>
          <cell r="D1074" t="str">
            <v>CABLE, ECOBUS, 24AWG, LONG, TROV 2</v>
          </cell>
          <cell r="E1074" t="str">
            <v>B</v>
          </cell>
          <cell r="F1074" t="str">
            <v>Cable</v>
          </cell>
          <cell r="G1074">
            <v>1</v>
          </cell>
          <cell r="H1074">
            <v>0.82</v>
          </cell>
          <cell r="I1074" t="str">
            <v>Buy</v>
          </cell>
        </row>
        <row r="1075">
          <cell r="A1075" t="str">
            <v>ASY-006884-02</v>
          </cell>
          <cell r="B1075">
            <v>1</v>
          </cell>
          <cell r="C1075" t="str">
            <v>ASY-100008-00</v>
          </cell>
          <cell r="D1075" t="str">
            <v>Cable Subassembly, Driver housing, 4ft, Trov 2</v>
          </cell>
          <cell r="E1075" t="str">
            <v>A</v>
          </cell>
          <cell r="F1075" t="str">
            <v>Sub assembly</v>
          </cell>
          <cell r="G1075">
            <v>1</v>
          </cell>
          <cell r="H1075">
            <v>0</v>
          </cell>
          <cell r="I1075" t="str">
            <v>Make</v>
          </cell>
        </row>
        <row r="1076">
          <cell r="A1076" t="str">
            <v>ASY-006884-02</v>
          </cell>
          <cell r="B1076">
            <v>2</v>
          </cell>
          <cell r="C1076" t="str">
            <v>ACB-000272-00</v>
          </cell>
          <cell r="D1076" t="str">
            <v>CABLE ASSY, INTRA-FIXTURE, 4FT, TROV 2.0</v>
          </cell>
          <cell r="E1076" t="str">
            <v>B</v>
          </cell>
          <cell r="F1076" t="str">
            <v>Cable Assembly</v>
          </cell>
          <cell r="G1076">
            <v>1</v>
          </cell>
          <cell r="H1076">
            <v>20.420000000000002</v>
          </cell>
          <cell r="I1076" t="str">
            <v>Buy</v>
          </cell>
        </row>
        <row r="1077">
          <cell r="A1077" t="str">
            <v>ASY-006884-02</v>
          </cell>
          <cell r="B1077">
            <v>3</v>
          </cell>
          <cell r="C1077" t="str">
            <v>ACB-000273-00</v>
          </cell>
          <cell r="D1077" t="str">
            <v>6 CONDUCTOR CABLE, 3X22AWG, 3X16AWG, AL MYLAR, TROV 2</v>
          </cell>
          <cell r="E1077" t="str">
            <v>A</v>
          </cell>
          <cell r="F1077" t="str">
            <v>Cable</v>
          </cell>
          <cell r="G1077">
            <v>1</v>
          </cell>
          <cell r="H1077">
            <v>0</v>
          </cell>
          <cell r="I1077" t="str">
            <v>N/A</v>
          </cell>
        </row>
        <row r="1078">
          <cell r="A1078" t="str">
            <v>ASY-006884-02</v>
          </cell>
          <cell r="B1078">
            <v>3</v>
          </cell>
          <cell r="C1078" t="str">
            <v>ACB-000274-00</v>
          </cell>
          <cell r="D1078" t="str">
            <v>CABLE ASSEMBLY, INTERNAL, DRIVER SIDE, 4FT, TROV 2</v>
          </cell>
          <cell r="E1078" t="str">
            <v>A</v>
          </cell>
          <cell r="F1078" t="str">
            <v>Cable Assembly</v>
          </cell>
          <cell r="G1078">
            <v>1</v>
          </cell>
          <cell r="H1078">
            <v>0</v>
          </cell>
          <cell r="I1078" t="str">
            <v>N/A</v>
          </cell>
        </row>
        <row r="1079">
          <cell r="A1079" t="str">
            <v>ASY-006884-02</v>
          </cell>
          <cell r="B1079">
            <v>3</v>
          </cell>
          <cell r="C1079" t="str">
            <v>CON-000259-00</v>
          </cell>
          <cell r="D1079" t="str">
            <v>CONNECTOR, MALE, 6 PIN, TROV 2</v>
          </cell>
          <cell r="E1079" t="str">
            <v>B</v>
          </cell>
          <cell r="F1079" t="str">
            <v>Connector</v>
          </cell>
          <cell r="G1079">
            <v>1</v>
          </cell>
          <cell r="H1079">
            <v>0</v>
          </cell>
          <cell r="I1079" t="str">
            <v>N/A</v>
          </cell>
        </row>
        <row r="1080">
          <cell r="A1080" t="str">
            <v>ASY-006884-02</v>
          </cell>
          <cell r="B1080">
            <v>3</v>
          </cell>
          <cell r="C1080" t="str">
            <v>CON-000260-00</v>
          </cell>
          <cell r="D1080" t="str">
            <v>CONNECTOR, FEMALE, 6 PIN, TROV 2</v>
          </cell>
          <cell r="E1080" t="str">
            <v>A</v>
          </cell>
          <cell r="F1080" t="str">
            <v>Connector</v>
          </cell>
          <cell r="G1080">
            <v>1</v>
          </cell>
          <cell r="H1080">
            <v>0</v>
          </cell>
          <cell r="I1080" t="str">
            <v>N/A</v>
          </cell>
        </row>
        <row r="1081">
          <cell r="A1081" t="str">
            <v>ASY-006884-02</v>
          </cell>
          <cell r="B1081">
            <v>3</v>
          </cell>
          <cell r="C1081" t="str">
            <v>HSG-000330-00</v>
          </cell>
          <cell r="D1081" t="str">
            <v>DRIVER HOUSING, 4 FT, TROV 2</v>
          </cell>
          <cell r="E1081" t="str">
            <v>A</v>
          </cell>
          <cell r="F1081" t="str">
            <v>Housing</v>
          </cell>
          <cell r="G1081">
            <v>1</v>
          </cell>
          <cell r="H1081">
            <v>0</v>
          </cell>
          <cell r="I1081" t="str">
            <v>N/A</v>
          </cell>
        </row>
        <row r="1082">
          <cell r="A1082" t="str">
            <v>ASY-006884-02</v>
          </cell>
          <cell r="B1082">
            <v>3</v>
          </cell>
          <cell r="C1082" t="str">
            <v>ORG-000060-00</v>
          </cell>
          <cell r="D1082" t="str">
            <v>O-RING, CABLE, TROV 2</v>
          </cell>
          <cell r="E1082" t="str">
            <v>A</v>
          </cell>
          <cell r="F1082" t="str">
            <v>O-Ring</v>
          </cell>
          <cell r="G1082">
            <v>1</v>
          </cell>
          <cell r="H1082">
            <v>0</v>
          </cell>
          <cell r="I1082" t="str">
            <v>N/A</v>
          </cell>
        </row>
        <row r="1083">
          <cell r="A1083" t="str">
            <v>ASY-006884-02</v>
          </cell>
          <cell r="B1083">
            <v>3</v>
          </cell>
          <cell r="C1083" t="str">
            <v>SRF-000030-00</v>
          </cell>
          <cell r="D1083" t="str">
            <v>STRAIN RELIEF, CABLE, TROV 2</v>
          </cell>
          <cell r="E1083" t="str">
            <v>A</v>
          </cell>
          <cell r="F1083" t="str">
            <v>Strain Relief</v>
          </cell>
          <cell r="G1083">
            <v>1</v>
          </cell>
          <cell r="H1083">
            <v>0</v>
          </cell>
          <cell r="I1083" t="str">
            <v>N/A</v>
          </cell>
        </row>
        <row r="1084">
          <cell r="A1084" t="str">
            <v>ASY-006884-02</v>
          </cell>
          <cell r="B1084">
            <v>2</v>
          </cell>
          <cell r="C1084" t="str">
            <v>BKT-000517-00</v>
          </cell>
          <cell r="D1084" t="str">
            <v>BRACKET, ROTATING LOCK, 4 FT, TROV 2.0</v>
          </cell>
          <cell r="E1084" t="str">
            <v>B</v>
          </cell>
          <cell r="F1084" t="str">
            <v>Bracket</v>
          </cell>
          <cell r="G1084">
            <v>1</v>
          </cell>
          <cell r="H1084">
            <v>0.9</v>
          </cell>
          <cell r="I1084" t="str">
            <v>Buy</v>
          </cell>
        </row>
        <row r="1085">
          <cell r="A1085" t="str">
            <v>ASY-006884-02</v>
          </cell>
          <cell r="B1085">
            <v>2</v>
          </cell>
          <cell r="C1085" t="str">
            <v>BKT-000518-00</v>
          </cell>
          <cell r="D1085" t="str">
            <v>BRACKET, PANEL MOUNT, 4 FT, TROV 2.0</v>
          </cell>
          <cell r="E1085" t="str">
            <v>B</v>
          </cell>
          <cell r="F1085" t="str">
            <v>Bracket</v>
          </cell>
          <cell r="G1085">
            <v>1</v>
          </cell>
          <cell r="H1085">
            <v>0.9</v>
          </cell>
          <cell r="I1085" t="str">
            <v>Buy</v>
          </cell>
        </row>
        <row r="1086">
          <cell r="A1086" t="str">
            <v>ASY-006884-02</v>
          </cell>
          <cell r="B1086">
            <v>2</v>
          </cell>
          <cell r="C1086" t="str">
            <v>SCW-000509-00</v>
          </cell>
          <cell r="D1086" t="str">
            <v>SCREW, SEALING FLAT HEAD, M3x0.5x8MM</v>
          </cell>
          <cell r="E1086" t="str">
            <v>B</v>
          </cell>
          <cell r="F1086" t="str">
            <v>Screw</v>
          </cell>
          <cell r="G1086">
            <v>2</v>
          </cell>
          <cell r="H1086">
            <v>0.4</v>
          </cell>
          <cell r="I1086" t="str">
            <v>Buy</v>
          </cell>
        </row>
        <row r="1087">
          <cell r="A1087" t="str">
            <v>ASY-006884-02</v>
          </cell>
          <cell r="B1087">
            <v>1</v>
          </cell>
          <cell r="C1087" t="str">
            <v>BAS-000021-00</v>
          </cell>
          <cell r="D1087" t="str">
            <v>BASE, 4FT, TROV 2.0</v>
          </cell>
          <cell r="E1087" t="str">
            <v>F</v>
          </cell>
          <cell r="F1087" t="str">
            <v>Base</v>
          </cell>
          <cell r="G1087">
            <v>1</v>
          </cell>
          <cell r="H1087">
            <v>14.25</v>
          </cell>
          <cell r="I1087" t="str">
            <v>Buy</v>
          </cell>
        </row>
        <row r="1088">
          <cell r="A1088" t="str">
            <v>ASY-006884-02</v>
          </cell>
          <cell r="B1088">
            <v>1</v>
          </cell>
          <cell r="C1088" t="str">
            <v>BKT-000457-03</v>
          </cell>
          <cell r="D1088" t="str">
            <v>BRACKET, MOUNT, LEFT, BLACK, TROV 2.0</v>
          </cell>
          <cell r="E1088" t="str">
            <v>C</v>
          </cell>
          <cell r="F1088" t="str">
            <v>Bracket</v>
          </cell>
          <cell r="G1088">
            <v>1</v>
          </cell>
          <cell r="H1088">
            <v>0.99</v>
          </cell>
          <cell r="I1088" t="str">
            <v>Buy</v>
          </cell>
        </row>
        <row r="1089">
          <cell r="A1089" t="str">
            <v>ASY-006884-02</v>
          </cell>
          <cell r="B1089">
            <v>1</v>
          </cell>
          <cell r="C1089" t="str">
            <v>BKT-000458-03</v>
          </cell>
          <cell r="D1089" t="str">
            <v>BRACKET, MOUNT, RIGHT, BLACK, TROV 2.0</v>
          </cell>
          <cell r="E1089" t="str">
            <v>C</v>
          </cell>
          <cell r="F1089" t="str">
            <v>Bracket</v>
          </cell>
          <cell r="G1089">
            <v>1</v>
          </cell>
          <cell r="H1089">
            <v>0.99</v>
          </cell>
          <cell r="I1089" t="str">
            <v>Buy</v>
          </cell>
        </row>
        <row r="1090">
          <cell r="A1090" t="str">
            <v>ASY-006884-02</v>
          </cell>
          <cell r="B1090">
            <v>1</v>
          </cell>
          <cell r="C1090" t="str">
            <v>CVR-000789-04</v>
          </cell>
          <cell r="D1090" t="str">
            <v>END COVER, FC, WHITE, L60, TROV 2.0</v>
          </cell>
          <cell r="E1090" t="str">
            <v>D</v>
          </cell>
          <cell r="F1090" t="str">
            <v>Cover</v>
          </cell>
          <cell r="G1090">
            <v>1</v>
          </cell>
          <cell r="H1090">
            <v>0</v>
          </cell>
          <cell r="I1090" t="str">
            <v>Buy</v>
          </cell>
        </row>
        <row r="1091">
          <cell r="A1091" t="str">
            <v>ASY-006884-02</v>
          </cell>
          <cell r="B1091">
            <v>1</v>
          </cell>
          <cell r="C1091" t="str">
            <v>CVR-000893-04</v>
          </cell>
          <cell r="D1091" t="str">
            <v>END COVER, MC, WHITE, L60, TROV 2.0</v>
          </cell>
          <cell r="E1091" t="str">
            <v>B</v>
          </cell>
          <cell r="F1091" t="str">
            <v>Cover</v>
          </cell>
          <cell r="G1091">
            <v>1</v>
          </cell>
          <cell r="H1091">
            <v>1.0900000000000001</v>
          </cell>
          <cell r="I1091" t="str">
            <v>Buy</v>
          </cell>
        </row>
        <row r="1092">
          <cell r="A1092" t="str">
            <v>ASY-006884-02</v>
          </cell>
          <cell r="B1092">
            <v>1</v>
          </cell>
          <cell r="C1092" t="str">
            <v>FOM-000028-00</v>
          </cell>
          <cell r="D1092" t="str">
            <v>FOAM, LIGHTBLOCK, ENDCAP, L60, TROV2</v>
          </cell>
          <cell r="E1092" t="str">
            <v>A</v>
          </cell>
          <cell r="F1092" t="str">
            <v>Foam</v>
          </cell>
          <cell r="G1092">
            <v>2</v>
          </cell>
          <cell r="H1092">
            <v>0.03</v>
          </cell>
          <cell r="I1092" t="str">
            <v>Buy</v>
          </cell>
        </row>
        <row r="1093">
          <cell r="A1093" t="str">
            <v>ASY-006884-02</v>
          </cell>
          <cell r="B1093">
            <v>1</v>
          </cell>
          <cell r="C1093" t="str">
            <v>GSK-000122-01</v>
          </cell>
          <cell r="D1093" t="str">
            <v>GASKET, DRIVER ENCLOSURE, 3M, 4 FT, TROV 2.0</v>
          </cell>
          <cell r="E1093" t="str">
            <v>B</v>
          </cell>
          <cell r="F1093" t="str">
            <v>Gasket</v>
          </cell>
          <cell r="G1093">
            <v>1</v>
          </cell>
          <cell r="H1093">
            <v>2.0299999999999998</v>
          </cell>
          <cell r="I1093" t="str">
            <v>Buy</v>
          </cell>
        </row>
        <row r="1094">
          <cell r="A1094" t="str">
            <v>ASY-006884-02</v>
          </cell>
          <cell r="B1094">
            <v>1</v>
          </cell>
          <cell r="C1094" t="str">
            <v>GSK-000133-00</v>
          </cell>
          <cell r="D1094" t="str">
            <v>GASKET, TERTIARY LENS, 3M, 2 FT, L60, TROV 2.0</v>
          </cell>
          <cell r="E1094" t="str">
            <v>B</v>
          </cell>
          <cell r="F1094" t="str">
            <v>Gasket</v>
          </cell>
          <cell r="G1094">
            <v>2</v>
          </cell>
          <cell r="H1094">
            <v>6</v>
          </cell>
          <cell r="I1094" t="str">
            <v>Buy</v>
          </cell>
        </row>
        <row r="1095">
          <cell r="A1095" t="str">
            <v>ASY-006884-02</v>
          </cell>
          <cell r="B1095">
            <v>1</v>
          </cell>
          <cell r="C1095" t="str">
            <v>HSG-000493-04</v>
          </cell>
          <cell r="D1095" t="str">
            <v>HOUSING, TOP, 4 FT, L60, WHITE, TROV 2.0</v>
          </cell>
          <cell r="E1095" t="str">
            <v>E</v>
          </cell>
          <cell r="F1095" t="str">
            <v>Housing</v>
          </cell>
          <cell r="G1095">
            <v>1</v>
          </cell>
          <cell r="H1095">
            <v>15.06</v>
          </cell>
          <cell r="I1095" t="str">
            <v>Buy</v>
          </cell>
        </row>
        <row r="1096">
          <cell r="A1096" t="str">
            <v>ASY-006884-02</v>
          </cell>
          <cell r="B1096">
            <v>1</v>
          </cell>
          <cell r="C1096" t="str">
            <v>HSG-000495-04</v>
          </cell>
          <cell r="D1096" t="str">
            <v>HOUSING, BOTTOM, 4 FT, WHITE, TROV 2.0</v>
          </cell>
          <cell r="E1096" t="str">
            <v>F</v>
          </cell>
          <cell r="F1096" t="str">
            <v>Housing</v>
          </cell>
          <cell r="G1096">
            <v>1</v>
          </cell>
          <cell r="H1096">
            <v>13.18</v>
          </cell>
          <cell r="I1096" t="str">
            <v>Buy</v>
          </cell>
        </row>
        <row r="1097">
          <cell r="A1097" t="str">
            <v>ASY-006884-02</v>
          </cell>
          <cell r="B1097">
            <v>1</v>
          </cell>
          <cell r="C1097" t="str">
            <v>LBA-000003-00</v>
          </cell>
          <cell r="D1097" t="str">
            <v>Label: TROV 2 P1/P2, Model L45/L60</v>
          </cell>
          <cell r="E1097" t="str">
            <v>A</v>
          </cell>
          <cell r="F1097" t="str">
            <v>Label BOM</v>
          </cell>
          <cell r="G1097">
            <v>1</v>
          </cell>
          <cell r="H1097">
            <v>0</v>
          </cell>
          <cell r="I1097" t="str">
            <v>Make</v>
          </cell>
        </row>
        <row r="1098">
          <cell r="A1098" t="str">
            <v>ASY-006884-02</v>
          </cell>
          <cell r="B1098">
            <v>2</v>
          </cell>
          <cell r="C1098" t="str">
            <v>LBL-000243-00</v>
          </cell>
          <cell r="D1098" t="str">
            <v>Blank Product Label: Trov 2 P1/P2, Model L45/L60</v>
          </cell>
          <cell r="E1098" t="str">
            <v>A</v>
          </cell>
          <cell r="F1098" t="str">
            <v>Label</v>
          </cell>
          <cell r="G1098">
            <v>1</v>
          </cell>
          <cell r="H1098">
            <v>0.33</v>
          </cell>
          <cell r="I1098" t="str">
            <v>Buy</v>
          </cell>
        </row>
        <row r="1099">
          <cell r="A1099" t="str">
            <v>ASY-006884-02</v>
          </cell>
          <cell r="B1099">
            <v>1</v>
          </cell>
          <cell r="C1099" t="str">
            <v>PLG-000009-01</v>
          </cell>
          <cell r="D1099" t="str">
            <v>Porex Vent, Trov, L50 Exterior</v>
          </cell>
          <cell r="E1099" t="str">
            <v>B</v>
          </cell>
          <cell r="F1099" t="str">
            <v>Plug</v>
          </cell>
          <cell r="G1099">
            <v>2</v>
          </cell>
          <cell r="H1099">
            <v>0.17</v>
          </cell>
          <cell r="I1099" t="str">
            <v>Buy</v>
          </cell>
        </row>
        <row r="1100">
          <cell r="A1100" t="str">
            <v>ASY-006884-02</v>
          </cell>
          <cell r="B1100">
            <v>1</v>
          </cell>
          <cell r="C1100" t="str">
            <v>SCW-000156-00</v>
          </cell>
          <cell r="D1100" t="str">
            <v>SCREW, M3 x 0.5 X 8mm, PAND HEAD, PHILLIPS, STEEL</v>
          </cell>
          <cell r="E1100" t="str">
            <v>B</v>
          </cell>
          <cell r="F1100" t="str">
            <v>Screw</v>
          </cell>
          <cell r="G1100">
            <v>6</v>
          </cell>
          <cell r="H1100">
            <v>4.4400000000000002E-2</v>
          </cell>
          <cell r="I1100" t="str">
            <v>Buy</v>
          </cell>
        </row>
        <row r="1101">
          <cell r="A1101" t="str">
            <v>ASY-006884-02</v>
          </cell>
          <cell r="B1101">
            <v>1</v>
          </cell>
          <cell r="C1101" t="str">
            <v>SCW-000483-00</v>
          </cell>
          <cell r="D1101" t="str">
            <v>SCREW, PHILIPS FLAT HEAD, M2.5x0.45x5 , 18-8 SST</v>
          </cell>
          <cell r="E1101" t="str">
            <v>A</v>
          </cell>
          <cell r="F1101" t="str">
            <v>Screw</v>
          </cell>
          <cell r="G1101">
            <v>4</v>
          </cell>
          <cell r="H1101">
            <v>0.02</v>
          </cell>
          <cell r="I1101" t="str">
            <v>Buy</v>
          </cell>
        </row>
        <row r="1102">
          <cell r="A1102" t="str">
            <v>ASY-006884-02</v>
          </cell>
          <cell r="B1102">
            <v>1</v>
          </cell>
          <cell r="C1102" t="str">
            <v>SCW-000556-00</v>
          </cell>
          <cell r="D1102" t="str">
            <v>SCREW, HEX, SERRATED, #8-32, GROUNDING, TROV 2</v>
          </cell>
          <cell r="E1102" t="str">
            <v>A</v>
          </cell>
          <cell r="F1102" t="str">
            <v>Screw</v>
          </cell>
          <cell r="G1102">
            <v>1</v>
          </cell>
          <cell r="H1102">
            <v>0.04</v>
          </cell>
          <cell r="I1102" t="str">
            <v>Buy</v>
          </cell>
        </row>
        <row r="1103">
          <cell r="A1103" t="str">
            <v>ASY-006884-02</v>
          </cell>
          <cell r="B1103">
            <v>1</v>
          </cell>
          <cell r="C1103" t="str">
            <v>SCW-000567-00</v>
          </cell>
          <cell r="D1103" t="str">
            <v>SCREW, M2.5 x 0.45 x 12.0mm LENGTH, PAN HD, PHILLIPS, ZINC-PLATED STEEL</v>
          </cell>
          <cell r="E1103" t="str">
            <v>A</v>
          </cell>
          <cell r="F1103" t="str">
            <v>Screw</v>
          </cell>
          <cell r="G1103">
            <v>4</v>
          </cell>
          <cell r="H1103">
            <v>0.06</v>
          </cell>
          <cell r="I1103" t="str">
            <v>Buy</v>
          </cell>
        </row>
        <row r="1104">
          <cell r="A1104" t="str">
            <v>ASY-006884-02</v>
          </cell>
          <cell r="B1104">
            <v>1</v>
          </cell>
          <cell r="C1104" t="str">
            <v>SCW-000574-00</v>
          </cell>
          <cell r="D1104" t="str">
            <v>SCREW, TORX HEAD, 1/4-28x1/2", LOW PROFILE, ALLOY STEEL</v>
          </cell>
          <cell r="E1104" t="str">
            <v>A</v>
          </cell>
          <cell r="F1104" t="str">
            <v>Screw</v>
          </cell>
          <cell r="G1104">
            <v>2</v>
          </cell>
          <cell r="H1104">
            <v>0.14000000000000001</v>
          </cell>
          <cell r="I1104" t="str">
            <v>Buy</v>
          </cell>
        </row>
        <row r="1105">
          <cell r="A1105" t="str">
            <v>ASY-006884-02</v>
          </cell>
          <cell r="B1105">
            <v>1</v>
          </cell>
          <cell r="C1105" t="str">
            <v>SHT-000043-00</v>
          </cell>
          <cell r="D1105" t="str">
            <v>INSULATION SHEET, HBA, 4FT,TROV 2</v>
          </cell>
          <cell r="E1105" t="str">
            <v>D</v>
          </cell>
          <cell r="F1105" t="str">
            <v>Sheet</v>
          </cell>
          <cell r="G1105">
            <v>1</v>
          </cell>
          <cell r="H1105">
            <v>0.25</v>
          </cell>
          <cell r="I1105" t="str">
            <v>Buy</v>
          </cell>
        </row>
        <row r="1106">
          <cell r="A1106" t="str">
            <v>ASY-006884-02</v>
          </cell>
          <cell r="B1106">
            <v>1</v>
          </cell>
          <cell r="C1106" t="str">
            <v>SPG-000023-00</v>
          </cell>
          <cell r="D1106" t="str">
            <v>SPRING, DISC, STACKED WAVE, TROV 2.0</v>
          </cell>
          <cell r="E1106" t="str">
            <v>A</v>
          </cell>
          <cell r="F1106" t="str">
            <v>Spring</v>
          </cell>
          <cell r="G1106">
            <v>2</v>
          </cell>
          <cell r="H1106">
            <v>1.74</v>
          </cell>
          <cell r="I1106" t="str">
            <v>Buy</v>
          </cell>
        </row>
        <row r="1107">
          <cell r="A1107" t="str">
            <v>ASY-006884-02</v>
          </cell>
          <cell r="B1107">
            <v>1</v>
          </cell>
          <cell r="C1107" t="str">
            <v>TAP-000031-00</v>
          </cell>
          <cell r="D1107" t="str">
            <v>3M Electrical Tape 92</v>
          </cell>
          <cell r="E1107" t="str">
            <v>A</v>
          </cell>
          <cell r="F1107" t="str">
            <v>Tape</v>
          </cell>
          <cell r="G1107">
            <v>120</v>
          </cell>
          <cell r="H1107">
            <v>1.4E-2</v>
          </cell>
          <cell r="I1107" t="str">
            <v>Buy</v>
          </cell>
        </row>
        <row r="1108">
          <cell r="A1108" t="str">
            <v>ASY-006884-02</v>
          </cell>
          <cell r="B1108">
            <v>1</v>
          </cell>
          <cell r="C1108" t="str">
            <v>TMP-000028-00</v>
          </cell>
          <cell r="D1108" t="str">
            <v>Thermal Pad, LED PCBA, 2 FT, TROV 2</v>
          </cell>
          <cell r="E1108" t="str">
            <v>B</v>
          </cell>
          <cell r="F1108" t="str">
            <v>Thermal Pad</v>
          </cell>
          <cell r="G1108">
            <v>2</v>
          </cell>
          <cell r="H1108">
            <v>1.32</v>
          </cell>
          <cell r="I1108" t="str">
            <v>Buy</v>
          </cell>
        </row>
        <row r="1109">
          <cell r="A1109" t="str">
            <v>ASY-006884-02</v>
          </cell>
          <cell r="B1109">
            <v>1</v>
          </cell>
          <cell r="C1109" t="str">
            <v>TMP-000029-00</v>
          </cell>
          <cell r="D1109" t="str">
            <v>Thermal Pad, HBA, TROV 2</v>
          </cell>
          <cell r="E1109" t="str">
            <v>B</v>
          </cell>
          <cell r="F1109" t="str">
            <v>Thermal Pad</v>
          </cell>
          <cell r="G1109">
            <v>2</v>
          </cell>
          <cell r="H1109">
            <v>0.14000000000000001</v>
          </cell>
          <cell r="I1109" t="str">
            <v>Buy</v>
          </cell>
        </row>
        <row r="1110">
          <cell r="A1110" t="str">
            <v>ASY-006884-03</v>
          </cell>
          <cell r="B1110">
            <v>0</v>
          </cell>
          <cell r="C1110" t="str">
            <v>ASY-006884-03</v>
          </cell>
          <cell r="D1110" t="str">
            <v>ASSY, MECHANICAL, L60, INDOOR, 4 FT, TROV 2.0, BRONZE</v>
          </cell>
          <cell r="E1110" t="str">
            <v>G</v>
          </cell>
          <cell r="F1110" t="str">
            <v>Sub assembly</v>
          </cell>
          <cell r="H1110">
            <v>0</v>
          </cell>
          <cell r="I1110" t="str">
            <v>Make</v>
          </cell>
        </row>
        <row r="1111">
          <cell r="A1111" t="str">
            <v>ASY-006884-03</v>
          </cell>
          <cell r="B1111">
            <v>1</v>
          </cell>
          <cell r="C1111" t="str">
            <v>ACB-000261-00</v>
          </cell>
          <cell r="D1111" t="str">
            <v>CABLE, ECOBUS, 24AWG, SHORT, TROV 2</v>
          </cell>
          <cell r="E1111" t="str">
            <v>B</v>
          </cell>
          <cell r="F1111" t="str">
            <v>Cable</v>
          </cell>
          <cell r="G1111">
            <v>1</v>
          </cell>
          <cell r="H1111">
            <v>0.76</v>
          </cell>
          <cell r="I1111" t="str">
            <v>Buy</v>
          </cell>
        </row>
        <row r="1112">
          <cell r="A1112" t="str">
            <v>ASY-006884-03</v>
          </cell>
          <cell r="B1112">
            <v>1</v>
          </cell>
          <cell r="C1112" t="str">
            <v>ACB-000261-01</v>
          </cell>
          <cell r="D1112" t="str">
            <v>CABLE, ECOBUS, 24AWG, LONG, TROV 2</v>
          </cell>
          <cell r="E1112" t="str">
            <v>B</v>
          </cell>
          <cell r="F1112" t="str">
            <v>Cable</v>
          </cell>
          <cell r="G1112">
            <v>1</v>
          </cell>
          <cell r="H1112">
            <v>0.82</v>
          </cell>
          <cell r="I1112" t="str">
            <v>Buy</v>
          </cell>
        </row>
        <row r="1113">
          <cell r="A1113" t="str">
            <v>ASY-006884-03</v>
          </cell>
          <cell r="B1113">
            <v>1</v>
          </cell>
          <cell r="C1113" t="str">
            <v>ASY-100008-00</v>
          </cell>
          <cell r="D1113" t="str">
            <v>Cable Subassembly, Driver housing, 4ft, Trov 2</v>
          </cell>
          <cell r="E1113" t="str">
            <v>A</v>
          </cell>
          <cell r="F1113" t="str">
            <v>Sub assembly</v>
          </cell>
          <cell r="G1113">
            <v>1</v>
          </cell>
          <cell r="H1113">
            <v>0</v>
          </cell>
          <cell r="I1113" t="str">
            <v>Make</v>
          </cell>
        </row>
        <row r="1114">
          <cell r="A1114" t="str">
            <v>ASY-006884-03</v>
          </cell>
          <cell r="B1114">
            <v>2</v>
          </cell>
          <cell r="C1114" t="str">
            <v>ACB-000272-00</v>
          </cell>
          <cell r="D1114" t="str">
            <v>CABLE ASSY, INTRA-FIXTURE, 4FT, TROV 2.0</v>
          </cell>
          <cell r="E1114" t="str">
            <v>B</v>
          </cell>
          <cell r="F1114" t="str">
            <v>Cable Assembly</v>
          </cell>
          <cell r="G1114">
            <v>1</v>
          </cell>
          <cell r="H1114">
            <v>20.420000000000002</v>
          </cell>
          <cell r="I1114" t="str">
            <v>Buy</v>
          </cell>
        </row>
        <row r="1115">
          <cell r="A1115" t="str">
            <v>ASY-006884-03</v>
          </cell>
          <cell r="B1115">
            <v>3</v>
          </cell>
          <cell r="C1115" t="str">
            <v>ACB-000273-00</v>
          </cell>
          <cell r="D1115" t="str">
            <v>6 CONDUCTOR CABLE, 3X22AWG, 3X16AWG, AL MYLAR, TROV 2</v>
          </cell>
          <cell r="E1115" t="str">
            <v>A</v>
          </cell>
          <cell r="F1115" t="str">
            <v>Cable</v>
          </cell>
          <cell r="G1115">
            <v>1</v>
          </cell>
          <cell r="H1115">
            <v>0</v>
          </cell>
          <cell r="I1115" t="str">
            <v>N/A</v>
          </cell>
        </row>
        <row r="1116">
          <cell r="A1116" t="str">
            <v>ASY-006884-03</v>
          </cell>
          <cell r="B1116">
            <v>3</v>
          </cell>
          <cell r="C1116" t="str">
            <v>ACB-000274-00</v>
          </cell>
          <cell r="D1116" t="str">
            <v>CABLE ASSEMBLY, INTERNAL, DRIVER SIDE, 4FT, TROV 2</v>
          </cell>
          <cell r="E1116" t="str">
            <v>A</v>
          </cell>
          <cell r="F1116" t="str">
            <v>Cable Assembly</v>
          </cell>
          <cell r="G1116">
            <v>1</v>
          </cell>
          <cell r="H1116">
            <v>0</v>
          </cell>
          <cell r="I1116" t="str">
            <v>N/A</v>
          </cell>
        </row>
        <row r="1117">
          <cell r="A1117" t="str">
            <v>ASY-006884-03</v>
          </cell>
          <cell r="B1117">
            <v>3</v>
          </cell>
          <cell r="C1117" t="str">
            <v>CON-000259-00</v>
          </cell>
          <cell r="D1117" t="str">
            <v>CONNECTOR, MALE, 6 PIN, TROV 2</v>
          </cell>
          <cell r="E1117" t="str">
            <v>B</v>
          </cell>
          <cell r="F1117" t="str">
            <v>Connector</v>
          </cell>
          <cell r="G1117">
            <v>1</v>
          </cell>
          <cell r="H1117">
            <v>0</v>
          </cell>
          <cell r="I1117" t="str">
            <v>N/A</v>
          </cell>
        </row>
        <row r="1118">
          <cell r="A1118" t="str">
            <v>ASY-006884-03</v>
          </cell>
          <cell r="B1118">
            <v>3</v>
          </cell>
          <cell r="C1118" t="str">
            <v>CON-000260-00</v>
          </cell>
          <cell r="D1118" t="str">
            <v>CONNECTOR, FEMALE, 6 PIN, TROV 2</v>
          </cell>
          <cell r="E1118" t="str">
            <v>A</v>
          </cell>
          <cell r="F1118" t="str">
            <v>Connector</v>
          </cell>
          <cell r="G1118">
            <v>1</v>
          </cell>
          <cell r="H1118">
            <v>0</v>
          </cell>
          <cell r="I1118" t="str">
            <v>N/A</v>
          </cell>
        </row>
        <row r="1119">
          <cell r="A1119" t="str">
            <v>ASY-006884-03</v>
          </cell>
          <cell r="B1119">
            <v>3</v>
          </cell>
          <cell r="C1119" t="str">
            <v>HSG-000330-00</v>
          </cell>
          <cell r="D1119" t="str">
            <v>DRIVER HOUSING, 4 FT, TROV 2</v>
          </cell>
          <cell r="E1119" t="str">
            <v>A</v>
          </cell>
          <cell r="F1119" t="str">
            <v>Housing</v>
          </cell>
          <cell r="G1119">
            <v>1</v>
          </cell>
          <cell r="H1119">
            <v>0</v>
          </cell>
          <cell r="I1119" t="str">
            <v>N/A</v>
          </cell>
        </row>
        <row r="1120">
          <cell r="A1120" t="str">
            <v>ASY-006884-03</v>
          </cell>
          <cell r="B1120">
            <v>3</v>
          </cell>
          <cell r="C1120" t="str">
            <v>ORG-000060-00</v>
          </cell>
          <cell r="D1120" t="str">
            <v>O-RING, CABLE, TROV 2</v>
          </cell>
          <cell r="E1120" t="str">
            <v>A</v>
          </cell>
          <cell r="F1120" t="str">
            <v>O-Ring</v>
          </cell>
          <cell r="G1120">
            <v>1</v>
          </cell>
          <cell r="H1120">
            <v>0</v>
          </cell>
          <cell r="I1120" t="str">
            <v>N/A</v>
          </cell>
        </row>
        <row r="1121">
          <cell r="A1121" t="str">
            <v>ASY-006884-03</v>
          </cell>
          <cell r="B1121">
            <v>3</v>
          </cell>
          <cell r="C1121" t="str">
            <v>SRF-000030-00</v>
          </cell>
          <cell r="D1121" t="str">
            <v>STRAIN RELIEF, CABLE, TROV 2</v>
          </cell>
          <cell r="E1121" t="str">
            <v>A</v>
          </cell>
          <cell r="F1121" t="str">
            <v>Strain Relief</v>
          </cell>
          <cell r="G1121">
            <v>1</v>
          </cell>
          <cell r="H1121">
            <v>0</v>
          </cell>
          <cell r="I1121" t="str">
            <v>N/A</v>
          </cell>
        </row>
        <row r="1122">
          <cell r="A1122" t="str">
            <v>ASY-006884-03</v>
          </cell>
          <cell r="B1122">
            <v>2</v>
          </cell>
          <cell r="C1122" t="str">
            <v>BKT-000517-00</v>
          </cell>
          <cell r="D1122" t="str">
            <v>BRACKET, ROTATING LOCK, 4 FT, TROV 2.0</v>
          </cell>
          <cell r="E1122" t="str">
            <v>B</v>
          </cell>
          <cell r="F1122" t="str">
            <v>Bracket</v>
          </cell>
          <cell r="G1122">
            <v>1</v>
          </cell>
          <cell r="H1122">
            <v>0.9</v>
          </cell>
          <cell r="I1122" t="str">
            <v>Buy</v>
          </cell>
        </row>
        <row r="1123">
          <cell r="A1123" t="str">
            <v>ASY-006884-03</v>
          </cell>
          <cell r="B1123">
            <v>2</v>
          </cell>
          <cell r="C1123" t="str">
            <v>BKT-000518-00</v>
          </cell>
          <cell r="D1123" t="str">
            <v>BRACKET, PANEL MOUNT, 4 FT, TROV 2.0</v>
          </cell>
          <cell r="E1123" t="str">
            <v>B</v>
          </cell>
          <cell r="F1123" t="str">
            <v>Bracket</v>
          </cell>
          <cell r="G1123">
            <v>1</v>
          </cell>
          <cell r="H1123">
            <v>0.9</v>
          </cell>
          <cell r="I1123" t="str">
            <v>Buy</v>
          </cell>
        </row>
        <row r="1124">
          <cell r="A1124" t="str">
            <v>ASY-006884-03</v>
          </cell>
          <cell r="B1124">
            <v>2</v>
          </cell>
          <cell r="C1124" t="str">
            <v>SCW-000509-00</v>
          </cell>
          <cell r="D1124" t="str">
            <v>SCREW, SEALING FLAT HEAD, M3x0.5x8MM</v>
          </cell>
          <cell r="E1124" t="str">
            <v>B</v>
          </cell>
          <cell r="F1124" t="str">
            <v>Screw</v>
          </cell>
          <cell r="G1124">
            <v>2</v>
          </cell>
          <cell r="H1124">
            <v>0.4</v>
          </cell>
          <cell r="I1124" t="str">
            <v>Buy</v>
          </cell>
        </row>
        <row r="1125">
          <cell r="A1125" t="str">
            <v>ASY-006884-03</v>
          </cell>
          <cell r="B1125">
            <v>1</v>
          </cell>
          <cell r="C1125" t="str">
            <v>BAS-000021-00</v>
          </cell>
          <cell r="D1125" t="str">
            <v>BASE, 4FT, TROV 2.0</v>
          </cell>
          <cell r="E1125" t="str">
            <v>F</v>
          </cell>
          <cell r="F1125" t="str">
            <v>Base</v>
          </cell>
          <cell r="G1125">
            <v>1</v>
          </cell>
          <cell r="H1125">
            <v>14.25</v>
          </cell>
          <cell r="I1125" t="str">
            <v>Buy</v>
          </cell>
        </row>
        <row r="1126">
          <cell r="A1126" t="str">
            <v>ASY-006884-03</v>
          </cell>
          <cell r="B1126">
            <v>1</v>
          </cell>
          <cell r="C1126" t="str">
            <v>BKT-000457-03</v>
          </cell>
          <cell r="D1126" t="str">
            <v>BRACKET, MOUNT, LEFT, BLACK, TROV 2.0</v>
          </cell>
          <cell r="E1126" t="str">
            <v>C</v>
          </cell>
          <cell r="F1126" t="str">
            <v>Bracket</v>
          </cell>
          <cell r="G1126">
            <v>1</v>
          </cell>
          <cell r="H1126">
            <v>0.99</v>
          </cell>
          <cell r="I1126" t="str">
            <v>Buy</v>
          </cell>
        </row>
        <row r="1127">
          <cell r="A1127" t="str">
            <v>ASY-006884-03</v>
          </cell>
          <cell r="B1127">
            <v>1</v>
          </cell>
          <cell r="C1127" t="str">
            <v>BKT-000458-03</v>
          </cell>
          <cell r="D1127" t="str">
            <v>BRACKET, MOUNT, RIGHT, BLACK, TROV 2.0</v>
          </cell>
          <cell r="E1127" t="str">
            <v>C</v>
          </cell>
          <cell r="F1127" t="str">
            <v>Bracket</v>
          </cell>
          <cell r="G1127">
            <v>1</v>
          </cell>
          <cell r="H1127">
            <v>0.99</v>
          </cell>
          <cell r="I1127" t="str">
            <v>Buy</v>
          </cell>
        </row>
        <row r="1128">
          <cell r="A1128" t="str">
            <v>ASY-006884-03</v>
          </cell>
          <cell r="B1128">
            <v>1</v>
          </cell>
          <cell r="C1128" t="str">
            <v>CVR-000789-02</v>
          </cell>
          <cell r="D1128" t="str">
            <v>END COVER, FC, BRONZE, L60, TROV 2.0</v>
          </cell>
          <cell r="E1128" t="str">
            <v>D</v>
          </cell>
          <cell r="F1128" t="str">
            <v>Cover</v>
          </cell>
          <cell r="G1128">
            <v>1</v>
          </cell>
          <cell r="H1128">
            <v>2.09</v>
          </cell>
          <cell r="I1128" t="str">
            <v>Buy</v>
          </cell>
        </row>
        <row r="1129">
          <cell r="A1129" t="str">
            <v>ASY-006884-03</v>
          </cell>
          <cell r="B1129">
            <v>1</v>
          </cell>
          <cell r="C1129" t="str">
            <v>CVR-000893-02</v>
          </cell>
          <cell r="D1129" t="str">
            <v>END COVER, MC, BRONZE, L60, TROV 2.0</v>
          </cell>
          <cell r="E1129" t="str">
            <v>B</v>
          </cell>
          <cell r="F1129" t="str">
            <v>Cover</v>
          </cell>
          <cell r="G1129">
            <v>1</v>
          </cell>
          <cell r="H1129">
            <v>7.5</v>
          </cell>
          <cell r="I1129" t="str">
            <v>Buy</v>
          </cell>
        </row>
        <row r="1130">
          <cell r="A1130" t="str">
            <v>ASY-006884-03</v>
          </cell>
          <cell r="B1130">
            <v>1</v>
          </cell>
          <cell r="C1130" t="str">
            <v>FOM-000028-00</v>
          </cell>
          <cell r="D1130" t="str">
            <v>FOAM, LIGHTBLOCK, ENDCAP, L60, TROV2</v>
          </cell>
          <cell r="E1130" t="str">
            <v>A</v>
          </cell>
          <cell r="F1130" t="str">
            <v>Foam</v>
          </cell>
          <cell r="G1130">
            <v>2</v>
          </cell>
          <cell r="H1130">
            <v>0.03</v>
          </cell>
          <cell r="I1130" t="str">
            <v>Buy</v>
          </cell>
        </row>
        <row r="1131">
          <cell r="A1131" t="str">
            <v>ASY-006884-03</v>
          </cell>
          <cell r="B1131">
            <v>1</v>
          </cell>
          <cell r="C1131" t="str">
            <v>GSK-000122-01</v>
          </cell>
          <cell r="D1131" t="str">
            <v>GASKET, DRIVER ENCLOSURE, 3M, 4 FT, TROV 2.0</v>
          </cell>
          <cell r="E1131" t="str">
            <v>B</v>
          </cell>
          <cell r="F1131" t="str">
            <v>Gasket</v>
          </cell>
          <cell r="G1131">
            <v>1</v>
          </cell>
          <cell r="H1131">
            <v>2.0299999999999998</v>
          </cell>
          <cell r="I1131" t="str">
            <v>Buy</v>
          </cell>
        </row>
        <row r="1132">
          <cell r="A1132" t="str">
            <v>ASY-006884-03</v>
          </cell>
          <cell r="B1132">
            <v>1</v>
          </cell>
          <cell r="C1132" t="str">
            <v>GSK-000133-00</v>
          </cell>
          <cell r="D1132" t="str">
            <v>GASKET, TERTIARY LENS, 3M, 2 FT, L60, TROV 2.0</v>
          </cell>
          <cell r="E1132" t="str">
            <v>B</v>
          </cell>
          <cell r="F1132" t="str">
            <v>Gasket</v>
          </cell>
          <cell r="G1132">
            <v>2</v>
          </cell>
          <cell r="H1132">
            <v>6</v>
          </cell>
          <cell r="I1132" t="str">
            <v>Buy</v>
          </cell>
        </row>
        <row r="1133">
          <cell r="A1133" t="str">
            <v>ASY-006884-03</v>
          </cell>
          <cell r="B1133">
            <v>1</v>
          </cell>
          <cell r="C1133" t="str">
            <v>HSG-000493-02</v>
          </cell>
          <cell r="D1133" t="str">
            <v>HOUSING, TOP, 4 FT, L60, BRONZE, TROV 2.0</v>
          </cell>
          <cell r="E1133" t="str">
            <v>E</v>
          </cell>
          <cell r="F1133" t="str">
            <v>Housing</v>
          </cell>
          <cell r="G1133">
            <v>1</v>
          </cell>
          <cell r="H1133">
            <v>15.06</v>
          </cell>
          <cell r="I1133" t="str">
            <v>Buy</v>
          </cell>
        </row>
        <row r="1134">
          <cell r="A1134" t="str">
            <v>ASY-006884-03</v>
          </cell>
          <cell r="B1134">
            <v>1</v>
          </cell>
          <cell r="C1134" t="str">
            <v>HSG-000495-02</v>
          </cell>
          <cell r="D1134" t="str">
            <v>HOUSING, BOTTOM, 4 FT, BRONZE, TROV 2.0</v>
          </cell>
          <cell r="E1134" t="str">
            <v>F</v>
          </cell>
          <cell r="F1134" t="str">
            <v>Housing</v>
          </cell>
          <cell r="G1134">
            <v>1</v>
          </cell>
          <cell r="H1134">
            <v>29.32</v>
          </cell>
          <cell r="I1134" t="str">
            <v>Buy</v>
          </cell>
        </row>
        <row r="1135">
          <cell r="A1135" t="str">
            <v>ASY-006884-03</v>
          </cell>
          <cell r="B1135">
            <v>1</v>
          </cell>
          <cell r="C1135" t="str">
            <v>LBA-000003-00</v>
          </cell>
          <cell r="D1135" t="str">
            <v>Label: TROV 2 P1/P2, Model L45/L60</v>
          </cell>
          <cell r="E1135" t="str">
            <v>A</v>
          </cell>
          <cell r="F1135" t="str">
            <v>Label BOM</v>
          </cell>
          <cell r="G1135">
            <v>1</v>
          </cell>
          <cell r="H1135">
            <v>0</v>
          </cell>
          <cell r="I1135" t="str">
            <v>Make</v>
          </cell>
        </row>
        <row r="1136">
          <cell r="A1136" t="str">
            <v>ASY-006884-03</v>
          </cell>
          <cell r="B1136">
            <v>2</v>
          </cell>
          <cell r="C1136" t="str">
            <v>LBL-000243-00</v>
          </cell>
          <cell r="D1136" t="str">
            <v>Blank Product Label: Trov 2 P1/P2, Model L45/L60</v>
          </cell>
          <cell r="E1136" t="str">
            <v>A</v>
          </cell>
          <cell r="F1136" t="str">
            <v>Label</v>
          </cell>
          <cell r="G1136">
            <v>1</v>
          </cell>
          <cell r="H1136">
            <v>0.33</v>
          </cell>
          <cell r="I1136" t="str">
            <v>Buy</v>
          </cell>
        </row>
        <row r="1137">
          <cell r="A1137" t="str">
            <v>ASY-006884-03</v>
          </cell>
          <cell r="B1137">
            <v>1</v>
          </cell>
          <cell r="C1137" t="str">
            <v>PLG-000009-01</v>
          </cell>
          <cell r="D1137" t="str">
            <v>Porex Vent, Trov, L50 Exterior</v>
          </cell>
          <cell r="E1137" t="str">
            <v>B</v>
          </cell>
          <cell r="F1137" t="str">
            <v>Plug</v>
          </cell>
          <cell r="G1137">
            <v>2</v>
          </cell>
          <cell r="H1137">
            <v>0.17</v>
          </cell>
          <cell r="I1137" t="str">
            <v>Buy</v>
          </cell>
        </row>
        <row r="1138">
          <cell r="A1138" t="str">
            <v>ASY-006884-03</v>
          </cell>
          <cell r="B1138">
            <v>1</v>
          </cell>
          <cell r="C1138" t="str">
            <v>SCW-000156-00</v>
          </cell>
          <cell r="D1138" t="str">
            <v>SCREW, M3 x 0.5 X 8mm, PAND HEAD, PHILLIPS, STEEL</v>
          </cell>
          <cell r="E1138" t="str">
            <v>B</v>
          </cell>
          <cell r="F1138" t="str">
            <v>Screw</v>
          </cell>
          <cell r="G1138">
            <v>6</v>
          </cell>
          <cell r="H1138">
            <v>4.4400000000000002E-2</v>
          </cell>
          <cell r="I1138" t="str">
            <v>Buy</v>
          </cell>
        </row>
        <row r="1139">
          <cell r="A1139" t="str">
            <v>ASY-006884-03</v>
          </cell>
          <cell r="B1139">
            <v>1</v>
          </cell>
          <cell r="C1139" t="str">
            <v>SCW-000483-00</v>
          </cell>
          <cell r="D1139" t="str">
            <v>SCREW, PHILIPS FLAT HEAD, M2.5x0.45x5 , 18-8 SST</v>
          </cell>
          <cell r="E1139" t="str">
            <v>A</v>
          </cell>
          <cell r="F1139" t="str">
            <v>Screw</v>
          </cell>
          <cell r="G1139">
            <v>4</v>
          </cell>
          <cell r="H1139">
            <v>0.02</v>
          </cell>
          <cell r="I1139" t="str">
            <v>Buy</v>
          </cell>
        </row>
        <row r="1140">
          <cell r="A1140" t="str">
            <v>ASY-006884-03</v>
          </cell>
          <cell r="B1140">
            <v>1</v>
          </cell>
          <cell r="C1140" t="str">
            <v>SCW-000556-00</v>
          </cell>
          <cell r="D1140" t="str">
            <v>SCREW, HEX, SERRATED, #8-32, GROUNDING, TROV 2</v>
          </cell>
          <cell r="E1140" t="str">
            <v>A</v>
          </cell>
          <cell r="F1140" t="str">
            <v>Screw</v>
          </cell>
          <cell r="G1140">
            <v>1</v>
          </cell>
          <cell r="H1140">
            <v>0.04</v>
          </cell>
          <cell r="I1140" t="str">
            <v>Buy</v>
          </cell>
        </row>
        <row r="1141">
          <cell r="A1141" t="str">
            <v>ASY-006884-03</v>
          </cell>
          <cell r="B1141">
            <v>1</v>
          </cell>
          <cell r="C1141" t="str">
            <v>SCW-000567-00</v>
          </cell>
          <cell r="D1141" t="str">
            <v>SCREW, M2.5 x 0.45 x 12.0mm LENGTH, PAN HD, PHILLIPS, ZINC-PLATED STEEL</v>
          </cell>
          <cell r="E1141" t="str">
            <v>A</v>
          </cell>
          <cell r="F1141" t="str">
            <v>Screw</v>
          </cell>
          <cell r="G1141">
            <v>4</v>
          </cell>
          <cell r="H1141">
            <v>0.06</v>
          </cell>
          <cell r="I1141" t="str">
            <v>Buy</v>
          </cell>
        </row>
        <row r="1142">
          <cell r="A1142" t="str">
            <v>ASY-006884-03</v>
          </cell>
          <cell r="B1142">
            <v>1</v>
          </cell>
          <cell r="C1142" t="str">
            <v>SCW-000574-00</v>
          </cell>
          <cell r="D1142" t="str">
            <v>SCREW, TORX HEAD, 1/4-28x1/2", LOW PROFILE, ALLOY STEEL</v>
          </cell>
          <cell r="E1142" t="str">
            <v>A</v>
          </cell>
          <cell r="F1142" t="str">
            <v>Screw</v>
          </cell>
          <cell r="G1142">
            <v>2</v>
          </cell>
          <cell r="H1142">
            <v>0.14000000000000001</v>
          </cell>
          <cell r="I1142" t="str">
            <v>Buy</v>
          </cell>
        </row>
        <row r="1143">
          <cell r="A1143" t="str">
            <v>ASY-006884-03</v>
          </cell>
          <cell r="B1143">
            <v>1</v>
          </cell>
          <cell r="C1143" t="str">
            <v>SHT-000043-00</v>
          </cell>
          <cell r="D1143" t="str">
            <v>INSULATION SHEET, HBA, 4FT,TROV 2</v>
          </cell>
          <cell r="E1143" t="str">
            <v>D</v>
          </cell>
          <cell r="F1143" t="str">
            <v>Sheet</v>
          </cell>
          <cell r="G1143">
            <v>1</v>
          </cell>
          <cell r="H1143">
            <v>0.25</v>
          </cell>
          <cell r="I1143" t="str">
            <v>Buy</v>
          </cell>
        </row>
        <row r="1144">
          <cell r="A1144" t="str">
            <v>ASY-006884-03</v>
          </cell>
          <cell r="B1144">
            <v>1</v>
          </cell>
          <cell r="C1144" t="str">
            <v>SPG-000023-00</v>
          </cell>
          <cell r="D1144" t="str">
            <v>SPRING, DISC, STACKED WAVE, TROV 2.0</v>
          </cell>
          <cell r="E1144" t="str">
            <v>A</v>
          </cell>
          <cell r="F1144" t="str">
            <v>Spring</v>
          </cell>
          <cell r="G1144">
            <v>2</v>
          </cell>
          <cell r="H1144">
            <v>1.74</v>
          </cell>
          <cell r="I1144" t="str">
            <v>Buy</v>
          </cell>
        </row>
        <row r="1145">
          <cell r="A1145" t="str">
            <v>ASY-006884-03</v>
          </cell>
          <cell r="B1145">
            <v>1</v>
          </cell>
          <cell r="C1145" t="str">
            <v>TAP-000031-00</v>
          </cell>
          <cell r="D1145" t="str">
            <v>3M Electrical Tape 92</v>
          </cell>
          <cell r="E1145" t="str">
            <v>A</v>
          </cell>
          <cell r="F1145" t="str">
            <v>Tape</v>
          </cell>
          <cell r="G1145">
            <v>120</v>
          </cell>
          <cell r="H1145">
            <v>1.4E-2</v>
          </cell>
          <cell r="I1145" t="str">
            <v>Buy</v>
          </cell>
        </row>
        <row r="1146">
          <cell r="A1146" t="str">
            <v>ASY-006884-03</v>
          </cell>
          <cell r="B1146">
            <v>1</v>
          </cell>
          <cell r="C1146" t="str">
            <v>TMP-000028-00</v>
          </cell>
          <cell r="D1146" t="str">
            <v>Thermal Pad, LED PCBA, 2 FT, TROV 2</v>
          </cell>
          <cell r="E1146" t="str">
            <v>B</v>
          </cell>
          <cell r="F1146" t="str">
            <v>Thermal Pad</v>
          </cell>
          <cell r="G1146">
            <v>2</v>
          </cell>
          <cell r="H1146">
            <v>1.32</v>
          </cell>
          <cell r="I1146" t="str">
            <v>Buy</v>
          </cell>
        </row>
        <row r="1147">
          <cell r="A1147" t="str">
            <v>ASY-006884-03</v>
          </cell>
          <cell r="B1147">
            <v>1</v>
          </cell>
          <cell r="C1147" t="str">
            <v>TMP-000029-00</v>
          </cell>
          <cell r="D1147" t="str">
            <v>Thermal Pad, HBA, TROV 2</v>
          </cell>
          <cell r="E1147" t="str">
            <v>B</v>
          </cell>
          <cell r="F1147" t="str">
            <v>Thermal Pad</v>
          </cell>
          <cell r="G1147">
            <v>2</v>
          </cell>
          <cell r="H1147">
            <v>0.14000000000000001</v>
          </cell>
          <cell r="I1147" t="str">
            <v>Buy</v>
          </cell>
        </row>
        <row r="1148">
          <cell r="A1148" t="str">
            <v>ASY-006884-04</v>
          </cell>
          <cell r="B1148">
            <v>0</v>
          </cell>
          <cell r="C1148" t="str">
            <v>ASY-006884-04</v>
          </cell>
          <cell r="D1148" t="str">
            <v>ASSY, MECHANICAL, L60, INDOOR, 4 FT, TROV 2.0, CUSTOM FINISH</v>
          </cell>
          <cell r="E1148" t="str">
            <v>K</v>
          </cell>
          <cell r="F1148" t="str">
            <v>Sub assembly</v>
          </cell>
          <cell r="H1148">
            <v>0</v>
          </cell>
          <cell r="I1148" t="str">
            <v>Make</v>
          </cell>
        </row>
        <row r="1149">
          <cell r="A1149" t="str">
            <v>ASY-006884-04</v>
          </cell>
          <cell r="B1149">
            <v>1</v>
          </cell>
          <cell r="C1149" t="str">
            <v>ACB-000261-00</v>
          </cell>
          <cell r="D1149" t="str">
            <v>CABLE, ECOBUS, 24AWG, SHORT, TROV 2</v>
          </cell>
          <cell r="E1149" t="str">
            <v>B</v>
          </cell>
          <cell r="F1149" t="str">
            <v>Cable</v>
          </cell>
          <cell r="G1149">
            <v>1</v>
          </cell>
          <cell r="H1149">
            <v>0.76</v>
          </cell>
          <cell r="I1149" t="str">
            <v>Buy</v>
          </cell>
        </row>
        <row r="1150">
          <cell r="A1150" t="str">
            <v>ASY-006884-04</v>
          </cell>
          <cell r="B1150">
            <v>1</v>
          </cell>
          <cell r="C1150" t="str">
            <v>ACB-000261-01</v>
          </cell>
          <cell r="D1150" t="str">
            <v>CABLE, ECOBUS, 24AWG, LONG, TROV 2</v>
          </cell>
          <cell r="E1150" t="str">
            <v>B</v>
          </cell>
          <cell r="F1150" t="str">
            <v>Cable</v>
          </cell>
          <cell r="G1150">
            <v>1</v>
          </cell>
          <cell r="H1150">
            <v>0.82</v>
          </cell>
          <cell r="I1150" t="str">
            <v>Buy</v>
          </cell>
        </row>
        <row r="1151">
          <cell r="A1151" t="str">
            <v>ASY-006884-04</v>
          </cell>
          <cell r="B1151">
            <v>1</v>
          </cell>
          <cell r="C1151" t="str">
            <v>ASY-100008-00</v>
          </cell>
          <cell r="D1151" t="str">
            <v>Cable Subassembly, Driver housing, 4ft, Trov 2</v>
          </cell>
          <cell r="E1151" t="str">
            <v>A</v>
          </cell>
          <cell r="F1151" t="str">
            <v>Sub assembly</v>
          </cell>
          <cell r="G1151">
            <v>1</v>
          </cell>
          <cell r="H1151">
            <v>0</v>
          </cell>
          <cell r="I1151" t="str">
            <v>Make</v>
          </cell>
        </row>
        <row r="1152">
          <cell r="A1152" t="str">
            <v>ASY-006884-04</v>
          </cell>
          <cell r="B1152">
            <v>2</v>
          </cell>
          <cell r="C1152" t="str">
            <v>ACB-000272-00</v>
          </cell>
          <cell r="D1152" t="str">
            <v>CABLE ASSY, INTRA-FIXTURE, 4FT, TROV 2.0</v>
          </cell>
          <cell r="E1152" t="str">
            <v>B</v>
          </cell>
          <cell r="F1152" t="str">
            <v>Cable Assembly</v>
          </cell>
          <cell r="G1152">
            <v>1</v>
          </cell>
          <cell r="H1152">
            <v>20.420000000000002</v>
          </cell>
          <cell r="I1152" t="str">
            <v>Buy</v>
          </cell>
        </row>
        <row r="1153">
          <cell r="A1153" t="str">
            <v>ASY-006884-04</v>
          </cell>
          <cell r="B1153">
            <v>3</v>
          </cell>
          <cell r="C1153" t="str">
            <v>ACB-000273-00</v>
          </cell>
          <cell r="D1153" t="str">
            <v>6 CONDUCTOR CABLE, 3X22AWG, 3X16AWG, AL MYLAR, TROV 2</v>
          </cell>
          <cell r="E1153" t="str">
            <v>A</v>
          </cell>
          <cell r="F1153" t="str">
            <v>Cable</v>
          </cell>
          <cell r="G1153">
            <v>1</v>
          </cell>
          <cell r="H1153">
            <v>0</v>
          </cell>
          <cell r="I1153" t="str">
            <v>N/A</v>
          </cell>
        </row>
        <row r="1154">
          <cell r="A1154" t="str">
            <v>ASY-006884-04</v>
          </cell>
          <cell r="B1154">
            <v>3</v>
          </cell>
          <cell r="C1154" t="str">
            <v>ACB-000274-00</v>
          </cell>
          <cell r="D1154" t="str">
            <v>CABLE ASSEMBLY, INTERNAL, DRIVER SIDE, 4FT, TROV 2</v>
          </cell>
          <cell r="E1154" t="str">
            <v>A</v>
          </cell>
          <cell r="F1154" t="str">
            <v>Cable Assembly</v>
          </cell>
          <cell r="G1154">
            <v>1</v>
          </cell>
          <cell r="H1154">
            <v>0</v>
          </cell>
          <cell r="I1154" t="str">
            <v>N/A</v>
          </cell>
        </row>
        <row r="1155">
          <cell r="A1155" t="str">
            <v>ASY-006884-04</v>
          </cell>
          <cell r="B1155">
            <v>3</v>
          </cell>
          <cell r="C1155" t="str">
            <v>CON-000259-00</v>
          </cell>
          <cell r="D1155" t="str">
            <v>CONNECTOR, MALE, 6 PIN, TROV 2</v>
          </cell>
          <cell r="E1155" t="str">
            <v>B</v>
          </cell>
          <cell r="F1155" t="str">
            <v>Connector</v>
          </cell>
          <cell r="G1155">
            <v>1</v>
          </cell>
          <cell r="H1155">
            <v>0</v>
          </cell>
          <cell r="I1155" t="str">
            <v>N/A</v>
          </cell>
        </row>
        <row r="1156">
          <cell r="A1156" t="str">
            <v>ASY-006884-04</v>
          </cell>
          <cell r="B1156">
            <v>3</v>
          </cell>
          <cell r="C1156" t="str">
            <v>CON-000260-00</v>
          </cell>
          <cell r="D1156" t="str">
            <v>CONNECTOR, FEMALE, 6 PIN, TROV 2</v>
          </cell>
          <cell r="E1156" t="str">
            <v>A</v>
          </cell>
          <cell r="F1156" t="str">
            <v>Connector</v>
          </cell>
          <cell r="G1156">
            <v>1</v>
          </cell>
          <cell r="H1156">
            <v>0</v>
          </cell>
          <cell r="I1156" t="str">
            <v>N/A</v>
          </cell>
        </row>
        <row r="1157">
          <cell r="A1157" t="str">
            <v>ASY-006884-04</v>
          </cell>
          <cell r="B1157">
            <v>3</v>
          </cell>
          <cell r="C1157" t="str">
            <v>HSG-000330-00</v>
          </cell>
          <cell r="D1157" t="str">
            <v>DRIVER HOUSING, 4 FT, TROV 2</v>
          </cell>
          <cell r="E1157" t="str">
            <v>A</v>
          </cell>
          <cell r="F1157" t="str">
            <v>Housing</v>
          </cell>
          <cell r="G1157">
            <v>1</v>
          </cell>
          <cell r="H1157">
            <v>0</v>
          </cell>
          <cell r="I1157" t="str">
            <v>N/A</v>
          </cell>
        </row>
        <row r="1158">
          <cell r="A1158" t="str">
            <v>ASY-006884-04</v>
          </cell>
          <cell r="B1158">
            <v>3</v>
          </cell>
          <cell r="C1158" t="str">
            <v>ORG-000060-00</v>
          </cell>
          <cell r="D1158" t="str">
            <v>O-RING, CABLE, TROV 2</v>
          </cell>
          <cell r="E1158" t="str">
            <v>A</v>
          </cell>
          <cell r="F1158" t="str">
            <v>O-Ring</v>
          </cell>
          <cell r="G1158">
            <v>1</v>
          </cell>
          <cell r="H1158">
            <v>0</v>
          </cell>
          <cell r="I1158" t="str">
            <v>N/A</v>
          </cell>
        </row>
        <row r="1159">
          <cell r="A1159" t="str">
            <v>ASY-006884-04</v>
          </cell>
          <cell r="B1159">
            <v>3</v>
          </cell>
          <cell r="C1159" t="str">
            <v>SRF-000030-00</v>
          </cell>
          <cell r="D1159" t="str">
            <v>STRAIN RELIEF, CABLE, TROV 2</v>
          </cell>
          <cell r="E1159" t="str">
            <v>A</v>
          </cell>
          <cell r="F1159" t="str">
            <v>Strain Relief</v>
          </cell>
          <cell r="G1159">
            <v>1</v>
          </cell>
          <cell r="H1159">
            <v>0</v>
          </cell>
          <cell r="I1159" t="str">
            <v>N/A</v>
          </cell>
        </row>
        <row r="1160">
          <cell r="A1160" t="str">
            <v>ASY-006884-04</v>
          </cell>
          <cell r="B1160">
            <v>2</v>
          </cell>
          <cell r="C1160" t="str">
            <v>BKT-000517-00</v>
          </cell>
          <cell r="D1160" t="str">
            <v>BRACKET, ROTATING LOCK, 4 FT, TROV 2.0</v>
          </cell>
          <cell r="E1160" t="str">
            <v>B</v>
          </cell>
          <cell r="F1160" t="str">
            <v>Bracket</v>
          </cell>
          <cell r="G1160">
            <v>1</v>
          </cell>
          <cell r="H1160">
            <v>0.9</v>
          </cell>
          <cell r="I1160" t="str">
            <v>Buy</v>
          </cell>
        </row>
        <row r="1161">
          <cell r="A1161" t="str">
            <v>ASY-006884-04</v>
          </cell>
          <cell r="B1161">
            <v>2</v>
          </cell>
          <cell r="C1161" t="str">
            <v>BKT-000518-00</v>
          </cell>
          <cell r="D1161" t="str">
            <v>BRACKET, PANEL MOUNT, 4 FT, TROV 2.0</v>
          </cell>
          <cell r="E1161" t="str">
            <v>B</v>
          </cell>
          <cell r="F1161" t="str">
            <v>Bracket</v>
          </cell>
          <cell r="G1161">
            <v>1</v>
          </cell>
          <cell r="H1161">
            <v>0.9</v>
          </cell>
          <cell r="I1161" t="str">
            <v>Buy</v>
          </cell>
        </row>
        <row r="1162">
          <cell r="A1162" t="str">
            <v>ASY-006884-04</v>
          </cell>
          <cell r="B1162">
            <v>2</v>
          </cell>
          <cell r="C1162" t="str">
            <v>SCW-000509-00</v>
          </cell>
          <cell r="D1162" t="str">
            <v>SCREW, SEALING FLAT HEAD, M3x0.5x8MM</v>
          </cell>
          <cell r="E1162" t="str">
            <v>B</v>
          </cell>
          <cell r="F1162" t="str">
            <v>Screw</v>
          </cell>
          <cell r="G1162">
            <v>2</v>
          </cell>
          <cell r="H1162">
            <v>0.4</v>
          </cell>
          <cell r="I1162" t="str">
            <v>Buy</v>
          </cell>
        </row>
        <row r="1163">
          <cell r="A1163" t="str">
            <v>ASY-006884-04</v>
          </cell>
          <cell r="B1163">
            <v>1</v>
          </cell>
          <cell r="C1163" t="str">
            <v>BAS-000021-00</v>
          </cell>
          <cell r="D1163" t="str">
            <v>BASE, 4FT, TROV 2.0</v>
          </cell>
          <cell r="E1163" t="str">
            <v>F</v>
          </cell>
          <cell r="F1163" t="str">
            <v>Base</v>
          </cell>
          <cell r="G1163">
            <v>1</v>
          </cell>
          <cell r="H1163">
            <v>14.25</v>
          </cell>
          <cell r="I1163" t="str">
            <v>Buy</v>
          </cell>
        </row>
        <row r="1164">
          <cell r="A1164" t="str">
            <v>ASY-006884-04</v>
          </cell>
          <cell r="B1164">
            <v>1</v>
          </cell>
          <cell r="C1164" t="str">
            <v>BKT-000457-03</v>
          </cell>
          <cell r="D1164" t="str">
            <v>BRACKET, MOUNT, LEFT, BLACK, TROV 2.0</v>
          </cell>
          <cell r="E1164" t="str">
            <v>C</v>
          </cell>
          <cell r="F1164" t="str">
            <v>Bracket</v>
          </cell>
          <cell r="G1164">
            <v>1</v>
          </cell>
          <cell r="H1164">
            <v>0.99</v>
          </cell>
          <cell r="I1164" t="str">
            <v>Buy</v>
          </cell>
        </row>
        <row r="1165">
          <cell r="A1165" t="str">
            <v>ASY-006884-04</v>
          </cell>
          <cell r="B1165">
            <v>1</v>
          </cell>
          <cell r="C1165" t="str">
            <v>BKT-000458-03</v>
          </cell>
          <cell r="D1165" t="str">
            <v>BRACKET, MOUNT, RIGHT, BLACK, TROV 2.0</v>
          </cell>
          <cell r="E1165" t="str">
            <v>C</v>
          </cell>
          <cell r="F1165" t="str">
            <v>Bracket</v>
          </cell>
          <cell r="G1165">
            <v>1</v>
          </cell>
          <cell r="H1165">
            <v>0.99</v>
          </cell>
          <cell r="I1165" t="str">
            <v>Buy</v>
          </cell>
        </row>
        <row r="1166">
          <cell r="A1166" t="str">
            <v>ASY-006884-04</v>
          </cell>
          <cell r="B1166">
            <v>1</v>
          </cell>
          <cell r="C1166" t="str">
            <v>CVR-000789-0C</v>
          </cell>
          <cell r="D1166" t="str">
            <v>END COVER, FC, CUSTOM FINISH, L60, TROV 2.0</v>
          </cell>
          <cell r="E1166" t="str">
            <v>E</v>
          </cell>
          <cell r="F1166" t="str">
            <v>Cover</v>
          </cell>
          <cell r="G1166">
            <v>1</v>
          </cell>
          <cell r="H1166">
            <v>0.01</v>
          </cell>
          <cell r="I1166" t="str">
            <v>Buy</v>
          </cell>
        </row>
        <row r="1167">
          <cell r="A1167" t="str">
            <v>ASY-006884-04</v>
          </cell>
          <cell r="B1167">
            <v>1</v>
          </cell>
          <cell r="C1167" t="str">
            <v>CVR-000893-0C</v>
          </cell>
          <cell r="D1167" t="str">
            <v>END COVER, MC, CUSTOM FINISH, L60, TROV 2.0</v>
          </cell>
          <cell r="E1167" t="str">
            <v>C</v>
          </cell>
          <cell r="F1167" t="str">
            <v>Cover</v>
          </cell>
          <cell r="G1167">
            <v>1</v>
          </cell>
          <cell r="H1167">
            <v>0</v>
          </cell>
          <cell r="I1167" t="str">
            <v>Buy</v>
          </cell>
        </row>
        <row r="1168">
          <cell r="A1168" t="str">
            <v>ASY-006884-04</v>
          </cell>
          <cell r="B1168">
            <v>1</v>
          </cell>
          <cell r="C1168" t="str">
            <v>FOM-000028-00</v>
          </cell>
          <cell r="D1168" t="str">
            <v>FOAM, LIGHTBLOCK, ENDCAP, L60, TROV2</v>
          </cell>
          <cell r="E1168" t="str">
            <v>A</v>
          </cell>
          <cell r="F1168" t="str">
            <v>Foam</v>
          </cell>
          <cell r="G1168">
            <v>2</v>
          </cell>
          <cell r="H1168">
            <v>0.03</v>
          </cell>
          <cell r="I1168" t="str">
            <v>Buy</v>
          </cell>
        </row>
        <row r="1169">
          <cell r="A1169" t="str">
            <v>ASY-006884-04</v>
          </cell>
          <cell r="B1169">
            <v>1</v>
          </cell>
          <cell r="C1169" t="str">
            <v>GSK-000122-01</v>
          </cell>
          <cell r="D1169" t="str">
            <v>GASKET, DRIVER ENCLOSURE, 3M, 4 FT, TROV 2.0</v>
          </cell>
          <cell r="E1169" t="str">
            <v>B</v>
          </cell>
          <cell r="F1169" t="str">
            <v>Gasket</v>
          </cell>
          <cell r="G1169">
            <v>1</v>
          </cell>
          <cell r="H1169">
            <v>2.0299999999999998</v>
          </cell>
          <cell r="I1169" t="str">
            <v>Buy</v>
          </cell>
        </row>
        <row r="1170">
          <cell r="A1170" t="str">
            <v>ASY-006884-04</v>
          </cell>
          <cell r="B1170">
            <v>1</v>
          </cell>
          <cell r="C1170" t="str">
            <v>GSK-000133-00</v>
          </cell>
          <cell r="D1170" t="str">
            <v>GASKET, TERTIARY LENS, 3M, 2 FT, L60, TROV 2.0</v>
          </cell>
          <cell r="E1170" t="str">
            <v>B</v>
          </cell>
          <cell r="F1170" t="str">
            <v>Gasket</v>
          </cell>
          <cell r="G1170">
            <v>2</v>
          </cell>
          <cell r="H1170">
            <v>6</v>
          </cell>
          <cell r="I1170" t="str">
            <v>Buy</v>
          </cell>
        </row>
        <row r="1171">
          <cell r="A1171" t="str">
            <v>ASY-006884-04</v>
          </cell>
          <cell r="B1171">
            <v>1</v>
          </cell>
          <cell r="C1171" t="str">
            <v>HSG-000493-0C</v>
          </cell>
          <cell r="D1171" t="str">
            <v>HOUSING, TOP, 4 FT, L60, CUSTOM FINISH, TROV 2.0</v>
          </cell>
          <cell r="E1171" t="str">
            <v>E</v>
          </cell>
          <cell r="F1171" t="str">
            <v>Housing</v>
          </cell>
          <cell r="G1171">
            <v>1</v>
          </cell>
          <cell r="H1171">
            <v>0</v>
          </cell>
          <cell r="I1171" t="str">
            <v>Buy</v>
          </cell>
        </row>
        <row r="1172">
          <cell r="A1172" t="str">
            <v>ASY-006884-04</v>
          </cell>
          <cell r="B1172">
            <v>1</v>
          </cell>
          <cell r="C1172" t="str">
            <v>HSG-000495-0C</v>
          </cell>
          <cell r="D1172" t="str">
            <v>HOUSING, BOTTOM, 4 FT, CUSTOM FINISH, TROV 2.0</v>
          </cell>
          <cell r="E1172" t="str">
            <v>F</v>
          </cell>
          <cell r="F1172" t="str">
            <v>Housing</v>
          </cell>
          <cell r="G1172">
            <v>1</v>
          </cell>
          <cell r="H1172">
            <v>0</v>
          </cell>
          <cell r="I1172" t="str">
            <v>Buy</v>
          </cell>
        </row>
        <row r="1173">
          <cell r="A1173" t="str">
            <v>ASY-006884-04</v>
          </cell>
          <cell r="B1173">
            <v>1</v>
          </cell>
          <cell r="C1173" t="str">
            <v>LBA-000003-00</v>
          </cell>
          <cell r="D1173" t="str">
            <v>Label: TROV 2 P1/P2, Model L45/L60</v>
          </cell>
          <cell r="E1173" t="str">
            <v>A</v>
          </cell>
          <cell r="F1173" t="str">
            <v>Label BOM</v>
          </cell>
          <cell r="G1173">
            <v>1</v>
          </cell>
          <cell r="H1173">
            <v>0</v>
          </cell>
          <cell r="I1173" t="str">
            <v>Make</v>
          </cell>
        </row>
        <row r="1174">
          <cell r="A1174" t="str">
            <v>ASY-006884-04</v>
          </cell>
          <cell r="B1174">
            <v>2</v>
          </cell>
          <cell r="C1174" t="str">
            <v>LBL-000243-00</v>
          </cell>
          <cell r="D1174" t="str">
            <v>Blank Product Label: Trov 2 P1/P2, Model L45/L60</v>
          </cell>
          <cell r="E1174" t="str">
            <v>A</v>
          </cell>
          <cell r="F1174" t="str">
            <v>Label</v>
          </cell>
          <cell r="G1174">
            <v>1</v>
          </cell>
          <cell r="H1174">
            <v>0.33</v>
          </cell>
          <cell r="I1174" t="str">
            <v>Buy</v>
          </cell>
        </row>
        <row r="1175">
          <cell r="A1175" t="str">
            <v>ASY-006884-04</v>
          </cell>
          <cell r="B1175">
            <v>1</v>
          </cell>
          <cell r="C1175" t="str">
            <v>PLG-000009-01</v>
          </cell>
          <cell r="D1175" t="str">
            <v>Porex Vent, Trov, L50 Exterior</v>
          </cell>
          <cell r="E1175" t="str">
            <v>B</v>
          </cell>
          <cell r="F1175" t="str">
            <v>Plug</v>
          </cell>
          <cell r="G1175">
            <v>2</v>
          </cell>
          <cell r="H1175">
            <v>0.17</v>
          </cell>
          <cell r="I1175" t="str">
            <v>Buy</v>
          </cell>
        </row>
        <row r="1176">
          <cell r="A1176" t="str">
            <v>ASY-006884-04</v>
          </cell>
          <cell r="B1176">
            <v>1</v>
          </cell>
          <cell r="C1176" t="str">
            <v>SCW-000156-00</v>
          </cell>
          <cell r="D1176" t="str">
            <v>SCREW, M3 x 0.5 X 8mm, PAND HEAD, PHILLIPS, STEEL</v>
          </cell>
          <cell r="E1176" t="str">
            <v>B</v>
          </cell>
          <cell r="F1176" t="str">
            <v>Screw</v>
          </cell>
          <cell r="G1176">
            <v>6</v>
          </cell>
          <cell r="H1176">
            <v>4.4400000000000002E-2</v>
          </cell>
          <cell r="I1176" t="str">
            <v>Buy</v>
          </cell>
        </row>
        <row r="1177">
          <cell r="A1177" t="str">
            <v>ASY-006884-04</v>
          </cell>
          <cell r="B1177">
            <v>1</v>
          </cell>
          <cell r="C1177" t="str">
            <v>SCW-000483-00</v>
          </cell>
          <cell r="D1177" t="str">
            <v>SCREW, PHILIPS FLAT HEAD, M2.5x0.45x5 , 18-8 SST</v>
          </cell>
          <cell r="E1177" t="str">
            <v>A</v>
          </cell>
          <cell r="F1177" t="str">
            <v>Screw</v>
          </cell>
          <cell r="G1177">
            <v>4</v>
          </cell>
          <cell r="H1177">
            <v>0.02</v>
          </cell>
          <cell r="I1177" t="str">
            <v>Buy</v>
          </cell>
        </row>
        <row r="1178">
          <cell r="A1178" t="str">
            <v>ASY-006884-04</v>
          </cell>
          <cell r="B1178">
            <v>1</v>
          </cell>
          <cell r="C1178" t="str">
            <v>SCW-000556-00</v>
          </cell>
          <cell r="D1178" t="str">
            <v>SCREW, HEX, SERRATED, #8-32, GROUNDING, TROV 2</v>
          </cell>
          <cell r="E1178" t="str">
            <v>A</v>
          </cell>
          <cell r="F1178" t="str">
            <v>Screw</v>
          </cell>
          <cell r="G1178">
            <v>1</v>
          </cell>
          <cell r="H1178">
            <v>0.04</v>
          </cell>
          <cell r="I1178" t="str">
            <v>Buy</v>
          </cell>
        </row>
        <row r="1179">
          <cell r="A1179" t="str">
            <v>ASY-006884-04</v>
          </cell>
          <cell r="B1179">
            <v>1</v>
          </cell>
          <cell r="C1179" t="str">
            <v>SCW-000567-00</v>
          </cell>
          <cell r="D1179" t="str">
            <v>SCREW, M2.5 x 0.45 x 12.0mm LENGTH, PAN HD, PHILLIPS, ZINC-PLATED STEEL</v>
          </cell>
          <cell r="E1179" t="str">
            <v>A</v>
          </cell>
          <cell r="F1179" t="str">
            <v>Screw</v>
          </cell>
          <cell r="G1179">
            <v>4</v>
          </cell>
          <cell r="H1179">
            <v>0.06</v>
          </cell>
          <cell r="I1179" t="str">
            <v>Buy</v>
          </cell>
        </row>
        <row r="1180">
          <cell r="A1180" t="str">
            <v>ASY-006884-04</v>
          </cell>
          <cell r="B1180">
            <v>1</v>
          </cell>
          <cell r="C1180" t="str">
            <v>SCW-000574-00</v>
          </cell>
          <cell r="D1180" t="str">
            <v>SCREW, TORX HEAD, 1/4-28x1/2", LOW PROFILE, ALLOY STEEL</v>
          </cell>
          <cell r="E1180" t="str">
            <v>A</v>
          </cell>
          <cell r="F1180" t="str">
            <v>Screw</v>
          </cell>
          <cell r="G1180">
            <v>2</v>
          </cell>
          <cell r="H1180">
            <v>0.14000000000000001</v>
          </cell>
          <cell r="I1180" t="str">
            <v>Buy</v>
          </cell>
        </row>
        <row r="1181">
          <cell r="A1181" t="str">
            <v>ASY-006884-04</v>
          </cell>
          <cell r="B1181">
            <v>1</v>
          </cell>
          <cell r="C1181" t="str">
            <v>SHT-000043-00</v>
          </cell>
          <cell r="D1181" t="str">
            <v>INSULATION SHEET, HBA, 4FT,TROV 2</v>
          </cell>
          <cell r="E1181" t="str">
            <v>D</v>
          </cell>
          <cell r="F1181" t="str">
            <v>Sheet</v>
          </cell>
          <cell r="G1181">
            <v>1</v>
          </cell>
          <cell r="H1181">
            <v>0.25</v>
          </cell>
          <cell r="I1181" t="str">
            <v>Buy</v>
          </cell>
        </row>
        <row r="1182">
          <cell r="A1182" t="str">
            <v>ASY-006884-04</v>
          </cell>
          <cell r="B1182">
            <v>1</v>
          </cell>
          <cell r="C1182" t="str">
            <v>SPG-000023-00</v>
          </cell>
          <cell r="D1182" t="str">
            <v>SPRING, DISC, STACKED WAVE, TROV 2.0</v>
          </cell>
          <cell r="E1182" t="str">
            <v>A</v>
          </cell>
          <cell r="F1182" t="str">
            <v>Spring</v>
          </cell>
          <cell r="G1182">
            <v>2</v>
          </cell>
          <cell r="H1182">
            <v>1.74</v>
          </cell>
          <cell r="I1182" t="str">
            <v>Buy</v>
          </cell>
        </row>
        <row r="1183">
          <cell r="A1183" t="str">
            <v>ASY-006884-04</v>
          </cell>
          <cell r="B1183">
            <v>1</v>
          </cell>
          <cell r="C1183" t="str">
            <v>TAP-000031-00</v>
          </cell>
          <cell r="D1183" t="str">
            <v>3M Electrical Tape 92</v>
          </cell>
          <cell r="E1183" t="str">
            <v>A</v>
          </cell>
          <cell r="F1183" t="str">
            <v>Tape</v>
          </cell>
          <cell r="G1183">
            <v>120</v>
          </cell>
          <cell r="H1183">
            <v>1.4E-2</v>
          </cell>
          <cell r="I1183" t="str">
            <v>Buy</v>
          </cell>
        </row>
        <row r="1184">
          <cell r="A1184" t="str">
            <v>ASY-006884-04</v>
          </cell>
          <cell r="B1184">
            <v>1</v>
          </cell>
          <cell r="C1184" t="str">
            <v>TMP-000028-00</v>
          </cell>
          <cell r="D1184" t="str">
            <v>Thermal Pad, LED PCBA, 2 FT, TROV 2</v>
          </cell>
          <cell r="E1184" t="str">
            <v>B</v>
          </cell>
          <cell r="F1184" t="str">
            <v>Thermal Pad</v>
          </cell>
          <cell r="G1184">
            <v>2</v>
          </cell>
          <cell r="H1184">
            <v>1.32</v>
          </cell>
          <cell r="I1184" t="str">
            <v>Buy</v>
          </cell>
        </row>
        <row r="1185">
          <cell r="A1185" t="str">
            <v>ASY-006884-04</v>
          </cell>
          <cell r="B1185">
            <v>1</v>
          </cell>
          <cell r="C1185" t="str">
            <v>TMP-000029-00</v>
          </cell>
          <cell r="D1185" t="str">
            <v>Thermal Pad, HBA, TROV 2</v>
          </cell>
          <cell r="E1185" t="str">
            <v>B</v>
          </cell>
          <cell r="F1185" t="str">
            <v>Thermal Pad</v>
          </cell>
          <cell r="G1185">
            <v>2</v>
          </cell>
          <cell r="H1185">
            <v>0.14000000000000001</v>
          </cell>
          <cell r="I1185" t="str">
            <v>Buy</v>
          </cell>
        </row>
        <row r="1186">
          <cell r="A1186" t="str">
            <v>ASY-006885-00</v>
          </cell>
          <cell r="B1186">
            <v>0</v>
          </cell>
          <cell r="C1186" t="str">
            <v>ASY-006885-00</v>
          </cell>
          <cell r="D1186" t="str">
            <v>ASSY, MECHANICAL, L45, INDOOR, 1 FT, TROV 2.0, SILVER</v>
          </cell>
          <cell r="E1186" t="str">
            <v>D</v>
          </cell>
          <cell r="F1186" t="str">
            <v>Sub assembly</v>
          </cell>
          <cell r="H1186">
            <v>0</v>
          </cell>
          <cell r="I1186" t="str">
            <v>Make</v>
          </cell>
        </row>
        <row r="1187">
          <cell r="A1187" t="str">
            <v>ASY-006885-00</v>
          </cell>
          <cell r="B1187">
            <v>1</v>
          </cell>
          <cell r="C1187" t="str">
            <v>ACB-000261-00</v>
          </cell>
          <cell r="D1187" t="str">
            <v>CABLE, ECOBUS, 24AWG, SHORT, TROV 2</v>
          </cell>
          <cell r="E1187" t="str">
            <v>B</v>
          </cell>
          <cell r="F1187" t="str">
            <v>Cable</v>
          </cell>
          <cell r="G1187">
            <v>1</v>
          </cell>
          <cell r="H1187">
            <v>0.76</v>
          </cell>
          <cell r="I1187" t="str">
            <v>Buy</v>
          </cell>
        </row>
        <row r="1188">
          <cell r="A1188" t="str">
            <v>ASY-006885-00</v>
          </cell>
          <cell r="B1188">
            <v>1</v>
          </cell>
          <cell r="C1188" t="str">
            <v>ASY-100009-00</v>
          </cell>
          <cell r="D1188" t="str">
            <v>Cable Subassembly, Driver housing, 1ft, Trov 2</v>
          </cell>
          <cell r="E1188" t="str">
            <v>B</v>
          </cell>
          <cell r="F1188" t="str">
            <v>Sub assembly</v>
          </cell>
          <cell r="G1188">
            <v>1</v>
          </cell>
          <cell r="H1188">
            <v>0</v>
          </cell>
          <cell r="I1188" t="str">
            <v>Make</v>
          </cell>
        </row>
        <row r="1189">
          <cell r="A1189" t="str">
            <v>ASY-006885-00</v>
          </cell>
          <cell r="B1189">
            <v>2</v>
          </cell>
          <cell r="C1189" t="str">
            <v>ACB-000278-00</v>
          </cell>
          <cell r="D1189" t="str">
            <v>CABLE ASSY, INTRA-FIXTURE, 1FT, TROV 2.0</v>
          </cell>
          <cell r="E1189" t="str">
            <v>A</v>
          </cell>
          <cell r="F1189" t="str">
            <v>Cable Assembly</v>
          </cell>
          <cell r="G1189">
            <v>1</v>
          </cell>
          <cell r="H1189">
            <v>12.75</v>
          </cell>
          <cell r="I1189" t="str">
            <v>Buy</v>
          </cell>
        </row>
        <row r="1190">
          <cell r="A1190" t="str">
            <v>ASY-006885-00</v>
          </cell>
          <cell r="B1190">
            <v>3</v>
          </cell>
          <cell r="C1190" t="str">
            <v>ACB-000273-00</v>
          </cell>
          <cell r="D1190" t="str">
            <v>6 CONDUCTOR CABLE, 3X22AWG, 3X16AWG, AL MYLAR, TROV 2</v>
          </cell>
          <cell r="E1190" t="str">
            <v>A</v>
          </cell>
          <cell r="F1190" t="str">
            <v>Cable</v>
          </cell>
          <cell r="G1190">
            <v>1</v>
          </cell>
          <cell r="H1190">
            <v>0</v>
          </cell>
          <cell r="I1190" t="str">
            <v>N/A</v>
          </cell>
        </row>
        <row r="1191">
          <cell r="A1191" t="str">
            <v>ASY-006885-00</v>
          </cell>
          <cell r="B1191">
            <v>3</v>
          </cell>
          <cell r="C1191" t="str">
            <v>ACB-000274-01</v>
          </cell>
          <cell r="D1191" t="str">
            <v>CABLE ASSEMBLY, INTERNAL, DRIVER SIDE, 1FT, TROV 2</v>
          </cell>
          <cell r="E1191" t="str">
            <v>A</v>
          </cell>
          <cell r="F1191" t="str">
            <v>Cable Assembly</v>
          </cell>
          <cell r="G1191">
            <v>1</v>
          </cell>
          <cell r="H1191">
            <v>0</v>
          </cell>
          <cell r="I1191" t="str">
            <v>N/A</v>
          </cell>
        </row>
        <row r="1192">
          <cell r="A1192" t="str">
            <v>ASY-006885-00</v>
          </cell>
          <cell r="B1192">
            <v>3</v>
          </cell>
          <cell r="C1192" t="str">
            <v>CON-000259-00</v>
          </cell>
          <cell r="D1192" t="str">
            <v>CONNECTOR, MALE, 6 PIN, TROV 2</v>
          </cell>
          <cell r="E1192" t="str">
            <v>B</v>
          </cell>
          <cell r="F1192" t="str">
            <v>Connector</v>
          </cell>
          <cell r="G1192">
            <v>1</v>
          </cell>
          <cell r="H1192">
            <v>0</v>
          </cell>
          <cell r="I1192" t="str">
            <v>N/A</v>
          </cell>
        </row>
        <row r="1193">
          <cell r="A1193" t="str">
            <v>ASY-006885-00</v>
          </cell>
          <cell r="B1193">
            <v>3</v>
          </cell>
          <cell r="C1193" t="str">
            <v>CON-000260-00</v>
          </cell>
          <cell r="D1193" t="str">
            <v>CONNECTOR, FEMALE, 6 PIN, TROV 2</v>
          </cell>
          <cell r="E1193" t="str">
            <v>A</v>
          </cell>
          <cell r="F1193" t="str">
            <v>Connector</v>
          </cell>
          <cell r="G1193">
            <v>1</v>
          </cell>
          <cell r="H1193">
            <v>0</v>
          </cell>
          <cell r="I1193" t="str">
            <v>N/A</v>
          </cell>
        </row>
        <row r="1194">
          <cell r="A1194" t="str">
            <v>ASY-006885-00</v>
          </cell>
          <cell r="B1194">
            <v>3</v>
          </cell>
          <cell r="C1194" t="str">
            <v>ORG-000060-00</v>
          </cell>
          <cell r="D1194" t="str">
            <v>O-RING, CABLE, TROV 2</v>
          </cell>
          <cell r="E1194" t="str">
            <v>A</v>
          </cell>
          <cell r="F1194" t="str">
            <v>O-Ring</v>
          </cell>
          <cell r="G1194">
            <v>1</v>
          </cell>
          <cell r="H1194">
            <v>0</v>
          </cell>
          <cell r="I1194" t="str">
            <v>N/A</v>
          </cell>
        </row>
        <row r="1195">
          <cell r="A1195" t="str">
            <v>ASY-006885-00</v>
          </cell>
          <cell r="B1195">
            <v>3</v>
          </cell>
          <cell r="C1195" t="str">
            <v>SRF-000030-00</v>
          </cell>
          <cell r="D1195" t="str">
            <v>STRAIN RELIEF, CABLE, TROV 2</v>
          </cell>
          <cell r="E1195" t="str">
            <v>A</v>
          </cell>
          <cell r="F1195" t="str">
            <v>Strain Relief</v>
          </cell>
          <cell r="G1195">
            <v>1</v>
          </cell>
          <cell r="H1195">
            <v>0</v>
          </cell>
          <cell r="I1195" t="str">
            <v>N/A</v>
          </cell>
        </row>
        <row r="1196">
          <cell r="A1196" t="str">
            <v>ASY-006885-00</v>
          </cell>
          <cell r="B1196">
            <v>2</v>
          </cell>
          <cell r="C1196" t="str">
            <v>HSG-000488-01</v>
          </cell>
          <cell r="D1196" t="str">
            <v>HOUSING, PSU, 1 FT, MOLDED HOLE, TROV 2.0</v>
          </cell>
          <cell r="E1196" t="str">
            <v>B</v>
          </cell>
          <cell r="F1196" t="str">
            <v>Housing</v>
          </cell>
          <cell r="G1196">
            <v>1</v>
          </cell>
          <cell r="H1196">
            <v>1.17</v>
          </cell>
          <cell r="I1196" t="str">
            <v>Buy</v>
          </cell>
        </row>
        <row r="1197">
          <cell r="A1197" t="str">
            <v>ASY-006885-00</v>
          </cell>
          <cell r="B1197">
            <v>2</v>
          </cell>
          <cell r="C1197" t="str">
            <v>SCW-000577-00</v>
          </cell>
          <cell r="D1197" t="str">
            <v>SCREW, TORX HEAD, LOW PROFILE, M3X8mm, ALLOY STEEL</v>
          </cell>
          <cell r="E1197" t="str">
            <v>A</v>
          </cell>
          <cell r="F1197" t="str">
            <v>Screw</v>
          </cell>
          <cell r="G1197">
            <v>2</v>
          </cell>
          <cell r="H1197">
            <v>0.03</v>
          </cell>
          <cell r="I1197" t="str">
            <v>Buy</v>
          </cell>
        </row>
        <row r="1198">
          <cell r="A1198" t="str">
            <v>ASY-006885-00</v>
          </cell>
          <cell r="B1198">
            <v>1</v>
          </cell>
          <cell r="C1198" t="str">
            <v>BAS-000020-00</v>
          </cell>
          <cell r="D1198" t="str">
            <v>BASE, 1FT, TROV 2.0</v>
          </cell>
          <cell r="E1198" t="str">
            <v>E</v>
          </cell>
          <cell r="F1198" t="str">
            <v>Base</v>
          </cell>
          <cell r="G1198">
            <v>1</v>
          </cell>
          <cell r="H1198">
            <v>5.8</v>
          </cell>
          <cell r="I1198" t="str">
            <v>Buy</v>
          </cell>
        </row>
        <row r="1199">
          <cell r="A1199" t="str">
            <v>ASY-006885-00</v>
          </cell>
          <cell r="B1199">
            <v>1</v>
          </cell>
          <cell r="C1199" t="str">
            <v>BKT-000457-03</v>
          </cell>
          <cell r="D1199" t="str">
            <v>BRACKET, MOUNT, LEFT, BLACK, TROV 2.0</v>
          </cell>
          <cell r="E1199" t="str">
            <v>C</v>
          </cell>
          <cell r="F1199" t="str">
            <v>Bracket</v>
          </cell>
          <cell r="G1199">
            <v>1</v>
          </cell>
          <cell r="H1199">
            <v>0.99</v>
          </cell>
          <cell r="I1199" t="str">
            <v>Buy</v>
          </cell>
        </row>
        <row r="1200">
          <cell r="A1200" t="str">
            <v>ASY-006885-00</v>
          </cell>
          <cell r="B1200">
            <v>1</v>
          </cell>
          <cell r="C1200" t="str">
            <v>BKT-000458-03</v>
          </cell>
          <cell r="D1200" t="str">
            <v>BRACKET, MOUNT, RIGHT, BLACK, TROV 2.0</v>
          </cell>
          <cell r="E1200" t="str">
            <v>C</v>
          </cell>
          <cell r="F1200" t="str">
            <v>Bracket</v>
          </cell>
          <cell r="G1200">
            <v>1</v>
          </cell>
          <cell r="H1200">
            <v>0.99</v>
          </cell>
          <cell r="I1200" t="str">
            <v>Buy</v>
          </cell>
        </row>
        <row r="1201">
          <cell r="A1201" t="str">
            <v>ASY-006885-00</v>
          </cell>
          <cell r="B1201">
            <v>1</v>
          </cell>
          <cell r="C1201" t="str">
            <v>CVR-000791-03</v>
          </cell>
          <cell r="D1201" t="str">
            <v>END COVER, FC, BLACK, L45, TROV 2.0</v>
          </cell>
          <cell r="E1201" t="str">
            <v>D</v>
          </cell>
          <cell r="F1201" t="str">
            <v>Cover</v>
          </cell>
          <cell r="G1201">
            <v>1</v>
          </cell>
          <cell r="H1201">
            <v>1.07</v>
          </cell>
          <cell r="I1201" t="str">
            <v>Buy</v>
          </cell>
        </row>
        <row r="1202">
          <cell r="A1202" t="str">
            <v>ASY-006885-00</v>
          </cell>
          <cell r="B1202">
            <v>1</v>
          </cell>
          <cell r="C1202" t="str">
            <v>CVR-000894-03</v>
          </cell>
          <cell r="D1202" t="str">
            <v>END COVER, MC, BLACK, L45, TROV 2.0</v>
          </cell>
          <cell r="E1202" t="str">
            <v>B</v>
          </cell>
          <cell r="F1202" t="str">
            <v>Cover</v>
          </cell>
          <cell r="G1202">
            <v>1</v>
          </cell>
          <cell r="H1202">
            <v>1.07</v>
          </cell>
          <cell r="I1202" t="str">
            <v>Buy</v>
          </cell>
        </row>
        <row r="1203">
          <cell r="A1203" t="str">
            <v>ASY-006885-00</v>
          </cell>
          <cell r="B1203">
            <v>1</v>
          </cell>
          <cell r="C1203" t="str">
            <v>FOM-000029-00</v>
          </cell>
          <cell r="D1203" t="str">
            <v>FOAM, LIGHTBLOCK, ENDCAP, L45, TROV2</v>
          </cell>
          <cell r="E1203" t="str">
            <v>A</v>
          </cell>
          <cell r="F1203" t="str">
            <v>Foam</v>
          </cell>
          <cell r="G1203">
            <v>2</v>
          </cell>
          <cell r="H1203">
            <v>0.02</v>
          </cell>
          <cell r="I1203" t="str">
            <v>Buy</v>
          </cell>
        </row>
        <row r="1204">
          <cell r="A1204" t="str">
            <v>ASY-006885-00</v>
          </cell>
          <cell r="B1204">
            <v>1</v>
          </cell>
          <cell r="C1204" t="str">
            <v>GSK-000112-01</v>
          </cell>
          <cell r="D1204" t="str">
            <v>GASKET, TERTIARY LENS, 3M, 1 FT, L45, TROV 2.0</v>
          </cell>
          <cell r="E1204" t="str">
            <v>D</v>
          </cell>
          <cell r="F1204" t="str">
            <v>Gasket</v>
          </cell>
          <cell r="G1204">
            <v>1</v>
          </cell>
          <cell r="H1204">
            <v>1.75</v>
          </cell>
          <cell r="I1204" t="str">
            <v>Buy</v>
          </cell>
        </row>
        <row r="1205">
          <cell r="A1205" t="str">
            <v>ASY-006885-00</v>
          </cell>
          <cell r="B1205">
            <v>1</v>
          </cell>
          <cell r="C1205" t="str">
            <v>GSK-000121-01</v>
          </cell>
          <cell r="D1205" t="str">
            <v>GASKET, DRIVER ENCLOSURE, 3M, 1 FT, TROV 2.0</v>
          </cell>
          <cell r="E1205" t="str">
            <v>B</v>
          </cell>
          <cell r="F1205" t="str">
            <v>Gasket</v>
          </cell>
          <cell r="G1205">
            <v>1</v>
          </cell>
          <cell r="H1205">
            <v>1.7</v>
          </cell>
          <cell r="I1205" t="str">
            <v>Buy</v>
          </cell>
        </row>
        <row r="1206">
          <cell r="A1206" t="str">
            <v>ASY-006885-00</v>
          </cell>
          <cell r="B1206">
            <v>1</v>
          </cell>
          <cell r="C1206" t="str">
            <v>HSG-000491-01</v>
          </cell>
          <cell r="D1206" t="str">
            <v>HOUSING, TOP, 1 FT,  L45, SILVER,  TROV 2.0</v>
          </cell>
          <cell r="E1206" t="str">
            <v>E</v>
          </cell>
          <cell r="F1206" t="str">
            <v>Housing</v>
          </cell>
          <cell r="G1206">
            <v>1</v>
          </cell>
          <cell r="H1206">
            <v>4.3499999999999996</v>
          </cell>
          <cell r="I1206" t="str">
            <v>Buy</v>
          </cell>
        </row>
        <row r="1207">
          <cell r="A1207" t="str">
            <v>ASY-006885-00</v>
          </cell>
          <cell r="B1207">
            <v>1</v>
          </cell>
          <cell r="C1207" t="str">
            <v>HSG-000492-01</v>
          </cell>
          <cell r="D1207" t="str">
            <v>HOUSING, BOTTOM, 1 FT, SILVER, TROV 2.0</v>
          </cell>
          <cell r="E1207" t="str">
            <v>F</v>
          </cell>
          <cell r="F1207" t="str">
            <v>Housing</v>
          </cell>
          <cell r="G1207">
            <v>1</v>
          </cell>
          <cell r="H1207">
            <v>3.34</v>
          </cell>
          <cell r="I1207" t="str">
            <v>Buy</v>
          </cell>
        </row>
        <row r="1208">
          <cell r="A1208" t="str">
            <v>ASY-006885-00</v>
          </cell>
          <cell r="B1208">
            <v>1</v>
          </cell>
          <cell r="C1208" t="str">
            <v>LBA-000003-00</v>
          </cell>
          <cell r="D1208" t="str">
            <v>Label: TROV 2 P1/P2, Model L45/L60</v>
          </cell>
          <cell r="E1208" t="str">
            <v>A</v>
          </cell>
          <cell r="F1208" t="str">
            <v>Label BOM</v>
          </cell>
          <cell r="G1208">
            <v>1</v>
          </cell>
          <cell r="H1208">
            <v>0</v>
          </cell>
          <cell r="I1208" t="str">
            <v>Make</v>
          </cell>
        </row>
        <row r="1209">
          <cell r="A1209" t="str">
            <v>ASY-006885-00</v>
          </cell>
          <cell r="B1209">
            <v>2</v>
          </cell>
          <cell r="C1209" t="str">
            <v>LBL-000243-00</v>
          </cell>
          <cell r="D1209" t="str">
            <v>Blank Product Label: Trov 2 P1/P2, Model L45/L60</v>
          </cell>
          <cell r="E1209" t="str">
            <v>A</v>
          </cell>
          <cell r="F1209" t="str">
            <v>Label</v>
          </cell>
          <cell r="G1209">
            <v>1</v>
          </cell>
          <cell r="H1209">
            <v>0.33</v>
          </cell>
          <cell r="I1209" t="str">
            <v>Buy</v>
          </cell>
        </row>
        <row r="1210">
          <cell r="A1210" t="str">
            <v>ASY-006885-00</v>
          </cell>
          <cell r="B1210">
            <v>1</v>
          </cell>
          <cell r="C1210" t="str">
            <v>PLG-000009-01</v>
          </cell>
          <cell r="D1210" t="str">
            <v>Porex Vent, Trov, L50 Exterior</v>
          </cell>
          <cell r="E1210" t="str">
            <v>B</v>
          </cell>
          <cell r="F1210" t="str">
            <v>Plug</v>
          </cell>
          <cell r="G1210">
            <v>1</v>
          </cell>
          <cell r="H1210">
            <v>0.17</v>
          </cell>
          <cell r="I1210" t="str">
            <v>Buy</v>
          </cell>
        </row>
        <row r="1211">
          <cell r="A1211" t="str">
            <v>ASY-006885-00</v>
          </cell>
          <cell r="B1211">
            <v>1</v>
          </cell>
          <cell r="C1211" t="str">
            <v>SCW-000156-00</v>
          </cell>
          <cell r="D1211" t="str">
            <v>SCREW, M3 x 0.5 X 8mm, PAND HEAD, PHILLIPS, STEEL</v>
          </cell>
          <cell r="E1211" t="str">
            <v>B</v>
          </cell>
          <cell r="F1211" t="str">
            <v>Screw</v>
          </cell>
          <cell r="G1211">
            <v>2</v>
          </cell>
          <cell r="H1211">
            <v>4.4400000000000002E-2</v>
          </cell>
          <cell r="I1211" t="str">
            <v>Buy</v>
          </cell>
        </row>
        <row r="1212">
          <cell r="A1212" t="str">
            <v>ASY-006885-00</v>
          </cell>
          <cell r="B1212">
            <v>1</v>
          </cell>
          <cell r="C1212" t="str">
            <v>SCW-000483-00</v>
          </cell>
          <cell r="D1212" t="str">
            <v>SCREW, PHILIPS FLAT HEAD, M2.5x0.45x5 , 18-8 SST</v>
          </cell>
          <cell r="E1212" t="str">
            <v>A</v>
          </cell>
          <cell r="F1212" t="str">
            <v>Screw</v>
          </cell>
          <cell r="G1212">
            <v>4</v>
          </cell>
          <cell r="H1212">
            <v>0.02</v>
          </cell>
          <cell r="I1212" t="str">
            <v>Buy</v>
          </cell>
        </row>
        <row r="1213">
          <cell r="A1213" t="str">
            <v>ASY-006885-00</v>
          </cell>
          <cell r="B1213">
            <v>1</v>
          </cell>
          <cell r="C1213" t="str">
            <v>SCW-000556-00</v>
          </cell>
          <cell r="D1213" t="str">
            <v>SCREW, HEX, SERRATED, #8-32, GROUNDING, TROV 2</v>
          </cell>
          <cell r="E1213" t="str">
            <v>A</v>
          </cell>
          <cell r="F1213" t="str">
            <v>Screw</v>
          </cell>
          <cell r="G1213">
            <v>1</v>
          </cell>
          <cell r="H1213">
            <v>0.04</v>
          </cell>
          <cell r="I1213" t="str">
            <v>Buy</v>
          </cell>
        </row>
        <row r="1214">
          <cell r="A1214" t="str">
            <v>ASY-006885-00</v>
          </cell>
          <cell r="B1214">
            <v>1</v>
          </cell>
          <cell r="C1214" t="str">
            <v>SCW-000574-00</v>
          </cell>
          <cell r="D1214" t="str">
            <v>SCREW, TORX HEAD, 1/4-28x1/2", LOW PROFILE, ALLOY STEEL</v>
          </cell>
          <cell r="E1214" t="str">
            <v>A</v>
          </cell>
          <cell r="F1214" t="str">
            <v>Screw</v>
          </cell>
          <cell r="G1214">
            <v>2</v>
          </cell>
          <cell r="H1214">
            <v>0.14000000000000001</v>
          </cell>
          <cell r="I1214" t="str">
            <v>Buy</v>
          </cell>
        </row>
        <row r="1215">
          <cell r="A1215" t="str">
            <v>ASY-006885-00</v>
          </cell>
          <cell r="B1215">
            <v>1</v>
          </cell>
          <cell r="C1215" t="str">
            <v>SHT-000042-00</v>
          </cell>
          <cell r="D1215" t="str">
            <v>INSULATION SHEET, MP/LP HBA, TROV 2</v>
          </cell>
          <cell r="E1215" t="str">
            <v>D</v>
          </cell>
          <cell r="F1215" t="str">
            <v>Sheet</v>
          </cell>
          <cell r="G1215">
            <v>1</v>
          </cell>
          <cell r="H1215">
            <v>0.16</v>
          </cell>
          <cell r="I1215" t="str">
            <v>Buy</v>
          </cell>
        </row>
        <row r="1216">
          <cell r="A1216" t="str">
            <v>ASY-006885-00</v>
          </cell>
          <cell r="B1216">
            <v>1</v>
          </cell>
          <cell r="C1216" t="str">
            <v>SPG-000023-00</v>
          </cell>
          <cell r="D1216" t="str">
            <v>SPRING, DISC, STACKED WAVE, TROV 2.0</v>
          </cell>
          <cell r="E1216" t="str">
            <v>A</v>
          </cell>
          <cell r="F1216" t="str">
            <v>Spring</v>
          </cell>
          <cell r="G1216">
            <v>2</v>
          </cell>
          <cell r="H1216">
            <v>1.74</v>
          </cell>
          <cell r="I1216" t="str">
            <v>Buy</v>
          </cell>
        </row>
        <row r="1217">
          <cell r="A1217" t="str">
            <v>ASY-006885-00</v>
          </cell>
          <cell r="B1217">
            <v>1</v>
          </cell>
          <cell r="C1217" t="str">
            <v>TAP-000031-00</v>
          </cell>
          <cell r="D1217" t="str">
            <v>3M Electrical Tape 92</v>
          </cell>
          <cell r="E1217" t="str">
            <v>A</v>
          </cell>
          <cell r="F1217" t="str">
            <v>Tape</v>
          </cell>
          <cell r="G1217">
            <v>120</v>
          </cell>
          <cell r="H1217">
            <v>1.4E-2</v>
          </cell>
          <cell r="I1217" t="str">
            <v>Buy</v>
          </cell>
        </row>
        <row r="1218">
          <cell r="A1218" t="str">
            <v>ASY-006885-00</v>
          </cell>
          <cell r="B1218">
            <v>1</v>
          </cell>
          <cell r="C1218" t="str">
            <v>TMP-000027-00</v>
          </cell>
          <cell r="D1218" t="str">
            <v>Thermal Pad, LED PCBA, 1 FT, TROV 2</v>
          </cell>
          <cell r="E1218" t="str">
            <v>B</v>
          </cell>
          <cell r="F1218" t="str">
            <v>Thermal Pad</v>
          </cell>
          <cell r="G1218">
            <v>1</v>
          </cell>
          <cell r="H1218">
            <v>0.72</v>
          </cell>
          <cell r="I1218" t="str">
            <v>Buy</v>
          </cell>
        </row>
        <row r="1219">
          <cell r="A1219" t="str">
            <v>ASY-006885-00</v>
          </cell>
          <cell r="B1219">
            <v>1</v>
          </cell>
          <cell r="C1219" t="str">
            <v>TMP-000029-00</v>
          </cell>
          <cell r="D1219" t="str">
            <v>Thermal Pad, HBA, TROV 2</v>
          </cell>
          <cell r="E1219" t="str">
            <v>B</v>
          </cell>
          <cell r="F1219" t="str">
            <v>Thermal Pad</v>
          </cell>
          <cell r="G1219">
            <v>2</v>
          </cell>
          <cell r="H1219">
            <v>0.14000000000000001</v>
          </cell>
          <cell r="I1219" t="str">
            <v>Buy</v>
          </cell>
        </row>
        <row r="1220">
          <cell r="A1220" t="str">
            <v>ASY-006885-01</v>
          </cell>
          <cell r="B1220">
            <v>0</v>
          </cell>
          <cell r="C1220" t="str">
            <v>ASY-006885-01</v>
          </cell>
          <cell r="D1220" t="str">
            <v>ASSY, MECHANICAL, L45, INDOOR, 1 FT, TROV 2.0, BLACK</v>
          </cell>
          <cell r="E1220" t="str">
            <v>D</v>
          </cell>
          <cell r="F1220" t="str">
            <v>Sub assembly</v>
          </cell>
          <cell r="H1220">
            <v>0</v>
          </cell>
          <cell r="I1220" t="str">
            <v>Make</v>
          </cell>
        </row>
        <row r="1221">
          <cell r="A1221" t="str">
            <v>ASY-006885-01</v>
          </cell>
          <cell r="B1221">
            <v>1</v>
          </cell>
          <cell r="C1221" t="str">
            <v>ACB-000261-00</v>
          </cell>
          <cell r="D1221" t="str">
            <v>CABLE, ECOBUS, 24AWG, SHORT, TROV 2</v>
          </cell>
          <cell r="E1221" t="str">
            <v>B</v>
          </cell>
          <cell r="F1221" t="str">
            <v>Cable</v>
          </cell>
          <cell r="G1221">
            <v>1</v>
          </cell>
          <cell r="H1221">
            <v>0.76</v>
          </cell>
          <cell r="I1221" t="str">
            <v>Buy</v>
          </cell>
        </row>
        <row r="1222">
          <cell r="A1222" t="str">
            <v>ASY-006885-01</v>
          </cell>
          <cell r="B1222">
            <v>1</v>
          </cell>
          <cell r="C1222" t="str">
            <v>ASY-100009-00</v>
          </cell>
          <cell r="D1222" t="str">
            <v>Cable Subassembly, Driver housing, 1ft, Trov 2</v>
          </cell>
          <cell r="E1222" t="str">
            <v>B</v>
          </cell>
          <cell r="F1222" t="str">
            <v>Sub assembly</v>
          </cell>
          <cell r="G1222">
            <v>1</v>
          </cell>
          <cell r="H1222">
            <v>0</v>
          </cell>
          <cell r="I1222" t="str">
            <v>Make</v>
          </cell>
        </row>
        <row r="1223">
          <cell r="A1223" t="str">
            <v>ASY-006885-01</v>
          </cell>
          <cell r="B1223">
            <v>2</v>
          </cell>
          <cell r="C1223" t="str">
            <v>ACB-000278-00</v>
          </cell>
          <cell r="D1223" t="str">
            <v>CABLE ASSY, INTRA-FIXTURE, 1FT, TROV 2.0</v>
          </cell>
          <cell r="E1223" t="str">
            <v>A</v>
          </cell>
          <cell r="F1223" t="str">
            <v>Cable Assembly</v>
          </cell>
          <cell r="G1223">
            <v>1</v>
          </cell>
          <cell r="H1223">
            <v>12.75</v>
          </cell>
          <cell r="I1223" t="str">
            <v>Buy</v>
          </cell>
        </row>
        <row r="1224">
          <cell r="A1224" t="str">
            <v>ASY-006885-01</v>
          </cell>
          <cell r="B1224">
            <v>3</v>
          </cell>
          <cell r="C1224" t="str">
            <v>ACB-000273-00</v>
          </cell>
          <cell r="D1224" t="str">
            <v>6 CONDUCTOR CABLE, 3X22AWG, 3X16AWG, AL MYLAR, TROV 2</v>
          </cell>
          <cell r="E1224" t="str">
            <v>A</v>
          </cell>
          <cell r="F1224" t="str">
            <v>Cable</v>
          </cell>
          <cell r="G1224">
            <v>1</v>
          </cell>
          <cell r="H1224">
            <v>0</v>
          </cell>
          <cell r="I1224" t="str">
            <v>N/A</v>
          </cell>
        </row>
        <row r="1225">
          <cell r="A1225" t="str">
            <v>ASY-006885-01</v>
          </cell>
          <cell r="B1225">
            <v>3</v>
          </cell>
          <cell r="C1225" t="str">
            <v>ACB-000274-01</v>
          </cell>
          <cell r="D1225" t="str">
            <v>CABLE ASSEMBLY, INTERNAL, DRIVER SIDE, 1FT, TROV 2</v>
          </cell>
          <cell r="E1225" t="str">
            <v>A</v>
          </cell>
          <cell r="F1225" t="str">
            <v>Cable Assembly</v>
          </cell>
          <cell r="G1225">
            <v>1</v>
          </cell>
          <cell r="H1225">
            <v>0</v>
          </cell>
          <cell r="I1225" t="str">
            <v>N/A</v>
          </cell>
        </row>
        <row r="1226">
          <cell r="A1226" t="str">
            <v>ASY-006885-01</v>
          </cell>
          <cell r="B1226">
            <v>3</v>
          </cell>
          <cell r="C1226" t="str">
            <v>CON-000259-00</v>
          </cell>
          <cell r="D1226" t="str">
            <v>CONNECTOR, MALE, 6 PIN, TROV 2</v>
          </cell>
          <cell r="E1226" t="str">
            <v>B</v>
          </cell>
          <cell r="F1226" t="str">
            <v>Connector</v>
          </cell>
          <cell r="G1226">
            <v>1</v>
          </cell>
          <cell r="H1226">
            <v>0</v>
          </cell>
          <cell r="I1226" t="str">
            <v>N/A</v>
          </cell>
        </row>
        <row r="1227">
          <cell r="A1227" t="str">
            <v>ASY-006885-01</v>
          </cell>
          <cell r="B1227">
            <v>3</v>
          </cell>
          <cell r="C1227" t="str">
            <v>CON-000260-00</v>
          </cell>
          <cell r="D1227" t="str">
            <v>CONNECTOR, FEMALE, 6 PIN, TROV 2</v>
          </cell>
          <cell r="E1227" t="str">
            <v>A</v>
          </cell>
          <cell r="F1227" t="str">
            <v>Connector</v>
          </cell>
          <cell r="G1227">
            <v>1</v>
          </cell>
          <cell r="H1227">
            <v>0</v>
          </cell>
          <cell r="I1227" t="str">
            <v>N/A</v>
          </cell>
        </row>
        <row r="1228">
          <cell r="A1228" t="str">
            <v>ASY-006885-01</v>
          </cell>
          <cell r="B1228">
            <v>3</v>
          </cell>
          <cell r="C1228" t="str">
            <v>ORG-000060-00</v>
          </cell>
          <cell r="D1228" t="str">
            <v>O-RING, CABLE, TROV 2</v>
          </cell>
          <cell r="E1228" t="str">
            <v>A</v>
          </cell>
          <cell r="F1228" t="str">
            <v>O-Ring</v>
          </cell>
          <cell r="G1228">
            <v>1</v>
          </cell>
          <cell r="H1228">
            <v>0</v>
          </cell>
          <cell r="I1228" t="str">
            <v>N/A</v>
          </cell>
        </row>
        <row r="1229">
          <cell r="A1229" t="str">
            <v>ASY-006885-01</v>
          </cell>
          <cell r="B1229">
            <v>3</v>
          </cell>
          <cell r="C1229" t="str">
            <v>SRF-000030-00</v>
          </cell>
          <cell r="D1229" t="str">
            <v>STRAIN RELIEF, CABLE, TROV 2</v>
          </cell>
          <cell r="E1229" t="str">
            <v>A</v>
          </cell>
          <cell r="F1229" t="str">
            <v>Strain Relief</v>
          </cell>
          <cell r="G1229">
            <v>1</v>
          </cell>
          <cell r="H1229">
            <v>0</v>
          </cell>
          <cell r="I1229" t="str">
            <v>N/A</v>
          </cell>
        </row>
        <row r="1230">
          <cell r="A1230" t="str">
            <v>ASY-006885-01</v>
          </cell>
          <cell r="B1230">
            <v>2</v>
          </cell>
          <cell r="C1230" t="str">
            <v>HSG-000488-01</v>
          </cell>
          <cell r="D1230" t="str">
            <v>HOUSING, PSU, 1 FT, MOLDED HOLE, TROV 2.0</v>
          </cell>
          <cell r="E1230" t="str">
            <v>B</v>
          </cell>
          <cell r="F1230" t="str">
            <v>Housing</v>
          </cell>
          <cell r="G1230">
            <v>1</v>
          </cell>
          <cell r="H1230">
            <v>1.17</v>
          </cell>
          <cell r="I1230" t="str">
            <v>Buy</v>
          </cell>
        </row>
        <row r="1231">
          <cell r="A1231" t="str">
            <v>ASY-006885-01</v>
          </cell>
          <cell r="B1231">
            <v>2</v>
          </cell>
          <cell r="C1231" t="str">
            <v>SCW-000577-00</v>
          </cell>
          <cell r="D1231" t="str">
            <v>SCREW, TORX HEAD, LOW PROFILE, M3X8mm, ALLOY STEEL</v>
          </cell>
          <cell r="E1231" t="str">
            <v>A</v>
          </cell>
          <cell r="F1231" t="str">
            <v>Screw</v>
          </cell>
          <cell r="G1231">
            <v>2</v>
          </cell>
          <cell r="H1231">
            <v>0.03</v>
          </cell>
          <cell r="I1231" t="str">
            <v>Buy</v>
          </cell>
        </row>
        <row r="1232">
          <cell r="A1232" t="str">
            <v>ASY-006885-01</v>
          </cell>
          <cell r="B1232">
            <v>1</v>
          </cell>
          <cell r="C1232" t="str">
            <v>BAS-000020-00</v>
          </cell>
          <cell r="D1232" t="str">
            <v>BASE, 1FT, TROV 2.0</v>
          </cell>
          <cell r="E1232" t="str">
            <v>E</v>
          </cell>
          <cell r="F1232" t="str">
            <v>Base</v>
          </cell>
          <cell r="G1232">
            <v>1</v>
          </cell>
          <cell r="H1232">
            <v>5.8</v>
          </cell>
          <cell r="I1232" t="str">
            <v>Buy</v>
          </cell>
        </row>
        <row r="1233">
          <cell r="A1233" t="str">
            <v>ASY-006885-01</v>
          </cell>
          <cell r="B1233">
            <v>1</v>
          </cell>
          <cell r="C1233" t="str">
            <v>BKT-000457-03</v>
          </cell>
          <cell r="D1233" t="str">
            <v>BRACKET, MOUNT, LEFT, BLACK, TROV 2.0</v>
          </cell>
          <cell r="E1233" t="str">
            <v>C</v>
          </cell>
          <cell r="F1233" t="str">
            <v>Bracket</v>
          </cell>
          <cell r="G1233">
            <v>1</v>
          </cell>
          <cell r="H1233">
            <v>0.99</v>
          </cell>
          <cell r="I1233" t="str">
            <v>Buy</v>
          </cell>
        </row>
        <row r="1234">
          <cell r="A1234" t="str">
            <v>ASY-006885-01</v>
          </cell>
          <cell r="B1234">
            <v>1</v>
          </cell>
          <cell r="C1234" t="str">
            <v>BKT-000458-03</v>
          </cell>
          <cell r="D1234" t="str">
            <v>BRACKET, MOUNT, RIGHT, BLACK, TROV 2.0</v>
          </cell>
          <cell r="E1234" t="str">
            <v>C</v>
          </cell>
          <cell r="F1234" t="str">
            <v>Bracket</v>
          </cell>
          <cell r="G1234">
            <v>1</v>
          </cell>
          <cell r="H1234">
            <v>0.99</v>
          </cell>
          <cell r="I1234" t="str">
            <v>Buy</v>
          </cell>
        </row>
        <row r="1235">
          <cell r="A1235" t="str">
            <v>ASY-006885-01</v>
          </cell>
          <cell r="B1235">
            <v>1</v>
          </cell>
          <cell r="C1235" t="str">
            <v>CVR-000791-03</v>
          </cell>
          <cell r="D1235" t="str">
            <v>END COVER, FC, BLACK, L45, TROV 2.0</v>
          </cell>
          <cell r="E1235" t="str">
            <v>D</v>
          </cell>
          <cell r="F1235" t="str">
            <v>Cover</v>
          </cell>
          <cell r="G1235">
            <v>1</v>
          </cell>
          <cell r="H1235">
            <v>1.07</v>
          </cell>
          <cell r="I1235" t="str">
            <v>Buy</v>
          </cell>
        </row>
        <row r="1236">
          <cell r="A1236" t="str">
            <v>ASY-006885-01</v>
          </cell>
          <cell r="B1236">
            <v>1</v>
          </cell>
          <cell r="C1236" t="str">
            <v>CVR-000894-03</v>
          </cell>
          <cell r="D1236" t="str">
            <v>END COVER, MC, BLACK, L45, TROV 2.0</v>
          </cell>
          <cell r="E1236" t="str">
            <v>B</v>
          </cell>
          <cell r="F1236" t="str">
            <v>Cover</v>
          </cell>
          <cell r="G1236">
            <v>1</v>
          </cell>
          <cell r="H1236">
            <v>1.07</v>
          </cell>
          <cell r="I1236" t="str">
            <v>Buy</v>
          </cell>
        </row>
        <row r="1237">
          <cell r="A1237" t="str">
            <v>ASY-006885-01</v>
          </cell>
          <cell r="B1237">
            <v>1</v>
          </cell>
          <cell r="C1237" t="str">
            <v>FOM-000029-00</v>
          </cell>
          <cell r="D1237" t="str">
            <v>FOAM, LIGHTBLOCK, ENDCAP, L45, TROV2</v>
          </cell>
          <cell r="E1237" t="str">
            <v>A</v>
          </cell>
          <cell r="F1237" t="str">
            <v>Foam</v>
          </cell>
          <cell r="G1237">
            <v>2</v>
          </cell>
          <cell r="H1237">
            <v>0.02</v>
          </cell>
          <cell r="I1237" t="str">
            <v>Buy</v>
          </cell>
        </row>
        <row r="1238">
          <cell r="A1238" t="str">
            <v>ASY-006885-01</v>
          </cell>
          <cell r="B1238">
            <v>1</v>
          </cell>
          <cell r="C1238" t="str">
            <v>GSK-000112-01</v>
          </cell>
          <cell r="D1238" t="str">
            <v>GASKET, TERTIARY LENS, 3M, 1 FT, L45, TROV 2.0</v>
          </cell>
          <cell r="E1238" t="str">
            <v>D</v>
          </cell>
          <cell r="F1238" t="str">
            <v>Gasket</v>
          </cell>
          <cell r="G1238">
            <v>1</v>
          </cell>
          <cell r="H1238">
            <v>1.75</v>
          </cell>
          <cell r="I1238" t="str">
            <v>Buy</v>
          </cell>
        </row>
        <row r="1239">
          <cell r="A1239" t="str">
            <v>ASY-006885-01</v>
          </cell>
          <cell r="B1239">
            <v>1</v>
          </cell>
          <cell r="C1239" t="str">
            <v>GSK-000121-01</v>
          </cell>
          <cell r="D1239" t="str">
            <v>GASKET, DRIVER ENCLOSURE, 3M, 1 FT, TROV 2.0</v>
          </cell>
          <cell r="E1239" t="str">
            <v>B</v>
          </cell>
          <cell r="F1239" t="str">
            <v>Gasket</v>
          </cell>
          <cell r="G1239">
            <v>1</v>
          </cell>
          <cell r="H1239">
            <v>1.7</v>
          </cell>
          <cell r="I1239" t="str">
            <v>Buy</v>
          </cell>
        </row>
        <row r="1240">
          <cell r="A1240" t="str">
            <v>ASY-006885-01</v>
          </cell>
          <cell r="B1240">
            <v>1</v>
          </cell>
          <cell r="C1240" t="str">
            <v>HSG-000491-03</v>
          </cell>
          <cell r="D1240" t="str">
            <v>HOUSING, TOP, 1 FT, L45, BLACK, TROV 2.0</v>
          </cell>
          <cell r="E1240" t="str">
            <v>E</v>
          </cell>
          <cell r="F1240" t="str">
            <v>Housing</v>
          </cell>
          <cell r="G1240">
            <v>1</v>
          </cell>
          <cell r="H1240">
            <v>4.3499999999999996</v>
          </cell>
          <cell r="I1240" t="str">
            <v>Buy</v>
          </cell>
        </row>
        <row r="1241">
          <cell r="A1241" t="str">
            <v>ASY-006885-01</v>
          </cell>
          <cell r="B1241">
            <v>1</v>
          </cell>
          <cell r="C1241" t="str">
            <v>HSG-000492-03</v>
          </cell>
          <cell r="D1241" t="str">
            <v>HOUSING, BOTTOM, 1 FT, BLACK, TROV 2.0</v>
          </cell>
          <cell r="E1241" t="str">
            <v>F</v>
          </cell>
          <cell r="F1241" t="str">
            <v>Housing</v>
          </cell>
          <cell r="G1241">
            <v>1</v>
          </cell>
          <cell r="H1241">
            <v>3.22</v>
          </cell>
          <cell r="I1241" t="str">
            <v>Buy</v>
          </cell>
        </row>
        <row r="1242">
          <cell r="A1242" t="str">
            <v>ASY-006885-01</v>
          </cell>
          <cell r="B1242">
            <v>1</v>
          </cell>
          <cell r="C1242" t="str">
            <v>LBA-000003-00</v>
          </cell>
          <cell r="D1242" t="str">
            <v>Label: TROV 2 P1/P2, Model L45/L60</v>
          </cell>
          <cell r="E1242" t="str">
            <v>A</v>
          </cell>
          <cell r="F1242" t="str">
            <v>Label BOM</v>
          </cell>
          <cell r="G1242">
            <v>1</v>
          </cell>
          <cell r="H1242">
            <v>0</v>
          </cell>
          <cell r="I1242" t="str">
            <v>Make</v>
          </cell>
        </row>
        <row r="1243">
          <cell r="A1243" t="str">
            <v>ASY-006885-01</v>
          </cell>
          <cell r="B1243">
            <v>2</v>
          </cell>
          <cell r="C1243" t="str">
            <v>LBL-000243-00</v>
          </cell>
          <cell r="D1243" t="str">
            <v>Blank Product Label: Trov 2 P1/P2, Model L45/L60</v>
          </cell>
          <cell r="E1243" t="str">
            <v>A</v>
          </cell>
          <cell r="F1243" t="str">
            <v>Label</v>
          </cell>
          <cell r="G1243">
            <v>1</v>
          </cell>
          <cell r="H1243">
            <v>0.33</v>
          </cell>
          <cell r="I1243" t="str">
            <v>Buy</v>
          </cell>
        </row>
        <row r="1244">
          <cell r="A1244" t="str">
            <v>ASY-006885-01</v>
          </cell>
          <cell r="B1244">
            <v>1</v>
          </cell>
          <cell r="C1244" t="str">
            <v>PLG-000009-01</v>
          </cell>
          <cell r="D1244" t="str">
            <v>Porex Vent, Trov, L50 Exterior</v>
          </cell>
          <cell r="E1244" t="str">
            <v>B</v>
          </cell>
          <cell r="F1244" t="str">
            <v>Plug</v>
          </cell>
          <cell r="G1244">
            <v>1</v>
          </cell>
          <cell r="H1244">
            <v>0.17</v>
          </cell>
          <cell r="I1244" t="str">
            <v>Buy</v>
          </cell>
        </row>
        <row r="1245">
          <cell r="A1245" t="str">
            <v>ASY-006885-01</v>
          </cell>
          <cell r="B1245">
            <v>1</v>
          </cell>
          <cell r="C1245" t="str">
            <v>SCW-000156-00</v>
          </cell>
          <cell r="D1245" t="str">
            <v>SCREW, M3 x 0.5 X 8mm, PAND HEAD, PHILLIPS, STEEL</v>
          </cell>
          <cell r="E1245" t="str">
            <v>B</v>
          </cell>
          <cell r="F1245" t="str">
            <v>Screw</v>
          </cell>
          <cell r="G1245">
            <v>2</v>
          </cell>
          <cell r="H1245">
            <v>4.4400000000000002E-2</v>
          </cell>
          <cell r="I1245" t="str">
            <v>Buy</v>
          </cell>
        </row>
        <row r="1246">
          <cell r="A1246" t="str">
            <v>ASY-006885-01</v>
          </cell>
          <cell r="B1246">
            <v>1</v>
          </cell>
          <cell r="C1246" t="str">
            <v>SCW-000483-00</v>
          </cell>
          <cell r="D1246" t="str">
            <v>SCREW, PHILIPS FLAT HEAD, M2.5x0.45x5 , 18-8 SST</v>
          </cell>
          <cell r="E1246" t="str">
            <v>A</v>
          </cell>
          <cell r="F1246" t="str">
            <v>Screw</v>
          </cell>
          <cell r="G1246">
            <v>4</v>
          </cell>
          <cell r="H1246">
            <v>0.02</v>
          </cell>
          <cell r="I1246" t="str">
            <v>Buy</v>
          </cell>
        </row>
        <row r="1247">
          <cell r="A1247" t="str">
            <v>ASY-006885-01</v>
          </cell>
          <cell r="B1247">
            <v>1</v>
          </cell>
          <cell r="C1247" t="str">
            <v>SCW-000556-00</v>
          </cell>
          <cell r="D1247" t="str">
            <v>SCREW, HEX, SERRATED, #8-32, GROUNDING, TROV 2</v>
          </cell>
          <cell r="E1247" t="str">
            <v>A</v>
          </cell>
          <cell r="F1247" t="str">
            <v>Screw</v>
          </cell>
          <cell r="G1247">
            <v>1</v>
          </cell>
          <cell r="H1247">
            <v>0.04</v>
          </cell>
          <cell r="I1247" t="str">
            <v>Buy</v>
          </cell>
        </row>
        <row r="1248">
          <cell r="A1248" t="str">
            <v>ASY-006885-01</v>
          </cell>
          <cell r="B1248">
            <v>1</v>
          </cell>
          <cell r="C1248" t="str">
            <v>SCW-000574-00</v>
          </cell>
          <cell r="D1248" t="str">
            <v>SCREW, TORX HEAD, 1/4-28x1/2", LOW PROFILE, ALLOY STEEL</v>
          </cell>
          <cell r="E1248" t="str">
            <v>A</v>
          </cell>
          <cell r="F1248" t="str">
            <v>Screw</v>
          </cell>
          <cell r="G1248">
            <v>2</v>
          </cell>
          <cell r="H1248">
            <v>0.14000000000000001</v>
          </cell>
          <cell r="I1248" t="str">
            <v>Buy</v>
          </cell>
        </row>
        <row r="1249">
          <cell r="A1249" t="str">
            <v>ASY-006885-01</v>
          </cell>
          <cell r="B1249">
            <v>1</v>
          </cell>
          <cell r="C1249" t="str">
            <v>SHT-000042-00</v>
          </cell>
          <cell r="D1249" t="str">
            <v>INSULATION SHEET, MP/LP HBA, TROV 2</v>
          </cell>
          <cell r="E1249" t="str">
            <v>D</v>
          </cell>
          <cell r="F1249" t="str">
            <v>Sheet</v>
          </cell>
          <cell r="G1249">
            <v>1</v>
          </cell>
          <cell r="H1249">
            <v>0.16</v>
          </cell>
          <cell r="I1249" t="str">
            <v>Buy</v>
          </cell>
        </row>
        <row r="1250">
          <cell r="A1250" t="str">
            <v>ASY-006885-01</v>
          </cell>
          <cell r="B1250">
            <v>1</v>
          </cell>
          <cell r="C1250" t="str">
            <v>SPG-000023-00</v>
          </cell>
          <cell r="D1250" t="str">
            <v>SPRING, DISC, STACKED WAVE, TROV 2.0</v>
          </cell>
          <cell r="E1250" t="str">
            <v>A</v>
          </cell>
          <cell r="F1250" t="str">
            <v>Spring</v>
          </cell>
          <cell r="G1250">
            <v>2</v>
          </cell>
          <cell r="H1250">
            <v>1.74</v>
          </cell>
          <cell r="I1250" t="str">
            <v>Buy</v>
          </cell>
        </row>
        <row r="1251">
          <cell r="A1251" t="str">
            <v>ASY-006885-01</v>
          </cell>
          <cell r="B1251">
            <v>1</v>
          </cell>
          <cell r="C1251" t="str">
            <v>TAP-000031-00</v>
          </cell>
          <cell r="D1251" t="str">
            <v>3M Electrical Tape 92</v>
          </cell>
          <cell r="E1251" t="str">
            <v>A</v>
          </cell>
          <cell r="F1251" t="str">
            <v>Tape</v>
          </cell>
          <cell r="G1251">
            <v>120</v>
          </cell>
          <cell r="H1251">
            <v>1.4E-2</v>
          </cell>
          <cell r="I1251" t="str">
            <v>Buy</v>
          </cell>
        </row>
        <row r="1252">
          <cell r="A1252" t="str">
            <v>ASY-006885-01</v>
          </cell>
          <cell r="B1252">
            <v>1</v>
          </cell>
          <cell r="C1252" t="str">
            <v>TMP-000027-00</v>
          </cell>
          <cell r="D1252" t="str">
            <v>Thermal Pad, LED PCBA, 1 FT, TROV 2</v>
          </cell>
          <cell r="E1252" t="str">
            <v>B</v>
          </cell>
          <cell r="F1252" t="str">
            <v>Thermal Pad</v>
          </cell>
          <cell r="G1252">
            <v>1</v>
          </cell>
          <cell r="H1252">
            <v>0.72</v>
          </cell>
          <cell r="I1252" t="str">
            <v>Buy</v>
          </cell>
        </row>
        <row r="1253">
          <cell r="A1253" t="str">
            <v>ASY-006885-01</v>
          </cell>
          <cell r="B1253">
            <v>1</v>
          </cell>
          <cell r="C1253" t="str">
            <v>TMP-000029-00</v>
          </cell>
          <cell r="D1253" t="str">
            <v>Thermal Pad, HBA, TROV 2</v>
          </cell>
          <cell r="E1253" t="str">
            <v>B</v>
          </cell>
          <cell r="F1253" t="str">
            <v>Thermal Pad</v>
          </cell>
          <cell r="G1253">
            <v>2</v>
          </cell>
          <cell r="H1253">
            <v>0.14000000000000001</v>
          </cell>
          <cell r="I1253" t="str">
            <v>Buy</v>
          </cell>
        </row>
        <row r="1254">
          <cell r="A1254" t="str">
            <v>ASY-006885-02</v>
          </cell>
          <cell r="B1254">
            <v>0</v>
          </cell>
          <cell r="C1254" t="str">
            <v>ASY-006885-02</v>
          </cell>
          <cell r="D1254" t="str">
            <v>ASSY, MECHANICAL, L45, INDOOR, 1 FT, TROV 2.0, WHITE</v>
          </cell>
          <cell r="E1254" t="str">
            <v>D</v>
          </cell>
          <cell r="F1254" t="str">
            <v>Sub assembly</v>
          </cell>
          <cell r="H1254">
            <v>0</v>
          </cell>
          <cell r="I1254" t="str">
            <v>Make</v>
          </cell>
        </row>
        <row r="1255">
          <cell r="A1255" t="str">
            <v>ASY-006885-02</v>
          </cell>
          <cell r="B1255">
            <v>1</v>
          </cell>
          <cell r="C1255" t="str">
            <v>ACB-000261-00</v>
          </cell>
          <cell r="D1255" t="str">
            <v>CABLE, ECOBUS, 24AWG, SHORT, TROV 2</v>
          </cell>
          <cell r="E1255" t="str">
            <v>B</v>
          </cell>
          <cell r="F1255" t="str">
            <v>Cable</v>
          </cell>
          <cell r="G1255">
            <v>1</v>
          </cell>
          <cell r="H1255">
            <v>0.76</v>
          </cell>
          <cell r="I1255" t="str">
            <v>Buy</v>
          </cell>
        </row>
        <row r="1256">
          <cell r="A1256" t="str">
            <v>ASY-006885-02</v>
          </cell>
          <cell r="B1256">
            <v>1</v>
          </cell>
          <cell r="C1256" t="str">
            <v>ASY-100009-00</v>
          </cell>
          <cell r="D1256" t="str">
            <v>Cable Subassembly, Driver housing, 1ft, Trov 2</v>
          </cell>
          <cell r="E1256" t="str">
            <v>B</v>
          </cell>
          <cell r="F1256" t="str">
            <v>Sub assembly</v>
          </cell>
          <cell r="G1256">
            <v>1</v>
          </cell>
          <cell r="H1256">
            <v>0</v>
          </cell>
          <cell r="I1256" t="str">
            <v>Make</v>
          </cell>
        </row>
        <row r="1257">
          <cell r="A1257" t="str">
            <v>ASY-006885-02</v>
          </cell>
          <cell r="B1257">
            <v>2</v>
          </cell>
          <cell r="C1257" t="str">
            <v>ACB-000278-00</v>
          </cell>
          <cell r="D1257" t="str">
            <v>CABLE ASSY, INTRA-FIXTURE, 1FT, TROV 2.0</v>
          </cell>
          <cell r="E1257" t="str">
            <v>A</v>
          </cell>
          <cell r="F1257" t="str">
            <v>Cable Assembly</v>
          </cell>
          <cell r="G1257">
            <v>1</v>
          </cell>
          <cell r="H1257">
            <v>12.75</v>
          </cell>
          <cell r="I1257" t="str">
            <v>Buy</v>
          </cell>
        </row>
        <row r="1258">
          <cell r="A1258" t="str">
            <v>ASY-006885-02</v>
          </cell>
          <cell r="B1258">
            <v>3</v>
          </cell>
          <cell r="C1258" t="str">
            <v>ACB-000273-00</v>
          </cell>
          <cell r="D1258" t="str">
            <v>6 CONDUCTOR CABLE, 3X22AWG, 3X16AWG, AL MYLAR, TROV 2</v>
          </cell>
          <cell r="E1258" t="str">
            <v>A</v>
          </cell>
          <cell r="F1258" t="str">
            <v>Cable</v>
          </cell>
          <cell r="G1258">
            <v>1</v>
          </cell>
          <cell r="H1258">
            <v>0</v>
          </cell>
          <cell r="I1258" t="str">
            <v>N/A</v>
          </cell>
        </row>
        <row r="1259">
          <cell r="A1259" t="str">
            <v>ASY-006885-02</v>
          </cell>
          <cell r="B1259">
            <v>3</v>
          </cell>
          <cell r="C1259" t="str">
            <v>ACB-000274-01</v>
          </cell>
          <cell r="D1259" t="str">
            <v>CABLE ASSEMBLY, INTERNAL, DRIVER SIDE, 1FT, TROV 2</v>
          </cell>
          <cell r="E1259" t="str">
            <v>A</v>
          </cell>
          <cell r="F1259" t="str">
            <v>Cable Assembly</v>
          </cell>
          <cell r="G1259">
            <v>1</v>
          </cell>
          <cell r="H1259">
            <v>0</v>
          </cell>
          <cell r="I1259" t="str">
            <v>N/A</v>
          </cell>
        </row>
        <row r="1260">
          <cell r="A1260" t="str">
            <v>ASY-006885-02</v>
          </cell>
          <cell r="B1260">
            <v>3</v>
          </cell>
          <cell r="C1260" t="str">
            <v>CON-000259-00</v>
          </cell>
          <cell r="D1260" t="str">
            <v>CONNECTOR, MALE, 6 PIN, TROV 2</v>
          </cell>
          <cell r="E1260" t="str">
            <v>B</v>
          </cell>
          <cell r="F1260" t="str">
            <v>Connector</v>
          </cell>
          <cell r="G1260">
            <v>1</v>
          </cell>
          <cell r="H1260">
            <v>0</v>
          </cell>
          <cell r="I1260" t="str">
            <v>N/A</v>
          </cell>
        </row>
        <row r="1261">
          <cell r="A1261" t="str">
            <v>ASY-006885-02</v>
          </cell>
          <cell r="B1261">
            <v>3</v>
          </cell>
          <cell r="C1261" t="str">
            <v>CON-000260-00</v>
          </cell>
          <cell r="D1261" t="str">
            <v>CONNECTOR, FEMALE, 6 PIN, TROV 2</v>
          </cell>
          <cell r="E1261" t="str">
            <v>A</v>
          </cell>
          <cell r="F1261" t="str">
            <v>Connector</v>
          </cell>
          <cell r="G1261">
            <v>1</v>
          </cell>
          <cell r="H1261">
            <v>0</v>
          </cell>
          <cell r="I1261" t="str">
            <v>N/A</v>
          </cell>
        </row>
        <row r="1262">
          <cell r="A1262" t="str">
            <v>ASY-006885-02</v>
          </cell>
          <cell r="B1262">
            <v>3</v>
          </cell>
          <cell r="C1262" t="str">
            <v>ORG-000060-00</v>
          </cell>
          <cell r="D1262" t="str">
            <v>O-RING, CABLE, TROV 2</v>
          </cell>
          <cell r="E1262" t="str">
            <v>A</v>
          </cell>
          <cell r="F1262" t="str">
            <v>O-Ring</v>
          </cell>
          <cell r="G1262">
            <v>1</v>
          </cell>
          <cell r="H1262">
            <v>0</v>
          </cell>
          <cell r="I1262" t="str">
            <v>N/A</v>
          </cell>
        </row>
        <row r="1263">
          <cell r="A1263" t="str">
            <v>ASY-006885-02</v>
          </cell>
          <cell r="B1263">
            <v>3</v>
          </cell>
          <cell r="C1263" t="str">
            <v>SRF-000030-00</v>
          </cell>
          <cell r="D1263" t="str">
            <v>STRAIN RELIEF, CABLE, TROV 2</v>
          </cell>
          <cell r="E1263" t="str">
            <v>A</v>
          </cell>
          <cell r="F1263" t="str">
            <v>Strain Relief</v>
          </cell>
          <cell r="G1263">
            <v>1</v>
          </cell>
          <cell r="H1263">
            <v>0</v>
          </cell>
          <cell r="I1263" t="str">
            <v>N/A</v>
          </cell>
        </row>
        <row r="1264">
          <cell r="A1264" t="str">
            <v>ASY-006885-02</v>
          </cell>
          <cell r="B1264">
            <v>2</v>
          </cell>
          <cell r="C1264" t="str">
            <v>HSG-000488-01</v>
          </cell>
          <cell r="D1264" t="str">
            <v>HOUSING, PSU, 1 FT, MOLDED HOLE, TROV 2.0</v>
          </cell>
          <cell r="E1264" t="str">
            <v>B</v>
          </cell>
          <cell r="F1264" t="str">
            <v>Housing</v>
          </cell>
          <cell r="G1264">
            <v>1</v>
          </cell>
          <cell r="H1264">
            <v>1.17</v>
          </cell>
          <cell r="I1264" t="str">
            <v>Buy</v>
          </cell>
        </row>
        <row r="1265">
          <cell r="A1265" t="str">
            <v>ASY-006885-02</v>
          </cell>
          <cell r="B1265">
            <v>2</v>
          </cell>
          <cell r="C1265" t="str">
            <v>SCW-000577-00</v>
          </cell>
          <cell r="D1265" t="str">
            <v>SCREW, TORX HEAD, LOW PROFILE, M3X8mm, ALLOY STEEL</v>
          </cell>
          <cell r="E1265" t="str">
            <v>A</v>
          </cell>
          <cell r="F1265" t="str">
            <v>Screw</v>
          </cell>
          <cell r="G1265">
            <v>2</v>
          </cell>
          <cell r="H1265">
            <v>0.03</v>
          </cell>
          <cell r="I1265" t="str">
            <v>Buy</v>
          </cell>
        </row>
        <row r="1266">
          <cell r="A1266" t="str">
            <v>ASY-006885-02</v>
          </cell>
          <cell r="B1266">
            <v>1</v>
          </cell>
          <cell r="C1266" t="str">
            <v>BAS-000020-00</v>
          </cell>
          <cell r="D1266" t="str">
            <v>BASE, 1FT, TROV 2.0</v>
          </cell>
          <cell r="E1266" t="str">
            <v>E</v>
          </cell>
          <cell r="F1266" t="str">
            <v>Base</v>
          </cell>
          <cell r="G1266">
            <v>1</v>
          </cell>
          <cell r="H1266">
            <v>5.8</v>
          </cell>
          <cell r="I1266" t="str">
            <v>Buy</v>
          </cell>
        </row>
        <row r="1267">
          <cell r="A1267" t="str">
            <v>ASY-006885-02</v>
          </cell>
          <cell r="B1267">
            <v>1</v>
          </cell>
          <cell r="C1267" t="str">
            <v>BKT-000457-03</v>
          </cell>
          <cell r="D1267" t="str">
            <v>BRACKET, MOUNT, LEFT, BLACK, TROV 2.0</v>
          </cell>
          <cell r="E1267" t="str">
            <v>C</v>
          </cell>
          <cell r="F1267" t="str">
            <v>Bracket</v>
          </cell>
          <cell r="G1267">
            <v>1</v>
          </cell>
          <cell r="H1267">
            <v>0.99</v>
          </cell>
          <cell r="I1267" t="str">
            <v>Buy</v>
          </cell>
        </row>
        <row r="1268">
          <cell r="A1268" t="str">
            <v>ASY-006885-02</v>
          </cell>
          <cell r="B1268">
            <v>1</v>
          </cell>
          <cell r="C1268" t="str">
            <v>BKT-000458-03</v>
          </cell>
          <cell r="D1268" t="str">
            <v>BRACKET, MOUNT, RIGHT, BLACK, TROV 2.0</v>
          </cell>
          <cell r="E1268" t="str">
            <v>C</v>
          </cell>
          <cell r="F1268" t="str">
            <v>Bracket</v>
          </cell>
          <cell r="G1268">
            <v>1</v>
          </cell>
          <cell r="H1268">
            <v>0.99</v>
          </cell>
          <cell r="I1268" t="str">
            <v>Buy</v>
          </cell>
        </row>
        <row r="1269">
          <cell r="A1269" t="str">
            <v>ASY-006885-02</v>
          </cell>
          <cell r="B1269">
            <v>1</v>
          </cell>
          <cell r="C1269" t="str">
            <v>CVR-000791-04</v>
          </cell>
          <cell r="D1269" t="str">
            <v>END COVER, FC, WHITE, L45, TROV 2.0</v>
          </cell>
          <cell r="E1269" t="str">
            <v>D</v>
          </cell>
          <cell r="F1269" t="str">
            <v>Cover</v>
          </cell>
          <cell r="G1269">
            <v>1</v>
          </cell>
          <cell r="H1269">
            <v>1.07</v>
          </cell>
          <cell r="I1269" t="str">
            <v>Buy</v>
          </cell>
        </row>
        <row r="1270">
          <cell r="A1270" t="str">
            <v>ASY-006885-02</v>
          </cell>
          <cell r="B1270">
            <v>1</v>
          </cell>
          <cell r="C1270" t="str">
            <v>CVR-000894-04</v>
          </cell>
          <cell r="D1270" t="str">
            <v>END COVER, MC, WHITE, L45, TROV 2.0</v>
          </cell>
          <cell r="E1270" t="str">
            <v>B</v>
          </cell>
          <cell r="F1270" t="str">
            <v>Cover</v>
          </cell>
          <cell r="G1270">
            <v>1</v>
          </cell>
          <cell r="H1270">
            <v>1.07</v>
          </cell>
          <cell r="I1270" t="str">
            <v>Buy</v>
          </cell>
        </row>
        <row r="1271">
          <cell r="A1271" t="str">
            <v>ASY-006885-02</v>
          </cell>
          <cell r="B1271">
            <v>1</v>
          </cell>
          <cell r="C1271" t="str">
            <v>FOM-000029-00</v>
          </cell>
          <cell r="D1271" t="str">
            <v>FOAM, LIGHTBLOCK, ENDCAP, L45, TROV2</v>
          </cell>
          <cell r="E1271" t="str">
            <v>A</v>
          </cell>
          <cell r="F1271" t="str">
            <v>Foam</v>
          </cell>
          <cell r="G1271">
            <v>2</v>
          </cell>
          <cell r="H1271">
            <v>0.02</v>
          </cell>
          <cell r="I1271" t="str">
            <v>Buy</v>
          </cell>
        </row>
        <row r="1272">
          <cell r="A1272" t="str">
            <v>ASY-006885-02</v>
          </cell>
          <cell r="B1272">
            <v>1</v>
          </cell>
          <cell r="C1272" t="str">
            <v>GSK-000112-01</v>
          </cell>
          <cell r="D1272" t="str">
            <v>GASKET, TERTIARY LENS, 3M, 1 FT, L45, TROV 2.0</v>
          </cell>
          <cell r="E1272" t="str">
            <v>D</v>
          </cell>
          <cell r="F1272" t="str">
            <v>Gasket</v>
          </cell>
          <cell r="G1272">
            <v>1</v>
          </cell>
          <cell r="H1272">
            <v>1.75</v>
          </cell>
          <cell r="I1272" t="str">
            <v>Buy</v>
          </cell>
        </row>
        <row r="1273">
          <cell r="A1273" t="str">
            <v>ASY-006885-02</v>
          </cell>
          <cell r="B1273">
            <v>1</v>
          </cell>
          <cell r="C1273" t="str">
            <v>GSK-000121-01</v>
          </cell>
          <cell r="D1273" t="str">
            <v>GASKET, DRIVER ENCLOSURE, 3M, 1 FT, TROV 2.0</v>
          </cell>
          <cell r="E1273" t="str">
            <v>B</v>
          </cell>
          <cell r="F1273" t="str">
            <v>Gasket</v>
          </cell>
          <cell r="G1273">
            <v>1</v>
          </cell>
          <cell r="H1273">
            <v>1.7</v>
          </cell>
          <cell r="I1273" t="str">
            <v>Buy</v>
          </cell>
        </row>
        <row r="1274">
          <cell r="A1274" t="str">
            <v>ASY-006885-02</v>
          </cell>
          <cell r="B1274">
            <v>1</v>
          </cell>
          <cell r="C1274" t="str">
            <v>HSG-000491-04</v>
          </cell>
          <cell r="D1274" t="str">
            <v>HOUSING, TOP, 1 FT, L45, WHITE, TROV 2.0</v>
          </cell>
          <cell r="E1274" t="str">
            <v>E</v>
          </cell>
          <cell r="F1274" t="str">
            <v>Housing</v>
          </cell>
          <cell r="G1274">
            <v>1</v>
          </cell>
          <cell r="H1274">
            <v>4.2</v>
          </cell>
          <cell r="I1274" t="str">
            <v>Buy</v>
          </cell>
        </row>
        <row r="1275">
          <cell r="A1275" t="str">
            <v>ASY-006885-02</v>
          </cell>
          <cell r="B1275">
            <v>1</v>
          </cell>
          <cell r="C1275" t="str">
            <v>HSG-000492-04</v>
          </cell>
          <cell r="D1275" t="str">
            <v>HOUSING, BOTTOM, 1 FT, WHITE, TROV 2.0</v>
          </cell>
          <cell r="E1275" t="str">
            <v>F</v>
          </cell>
          <cell r="F1275" t="str">
            <v>Housing</v>
          </cell>
          <cell r="G1275">
            <v>1</v>
          </cell>
          <cell r="H1275">
            <v>3.34</v>
          </cell>
          <cell r="I1275" t="str">
            <v>Buy</v>
          </cell>
        </row>
        <row r="1276">
          <cell r="A1276" t="str">
            <v>ASY-006885-02</v>
          </cell>
          <cell r="B1276">
            <v>1</v>
          </cell>
          <cell r="C1276" t="str">
            <v>LBA-000003-00</v>
          </cell>
          <cell r="D1276" t="str">
            <v>Label: TROV 2 P1/P2, Model L45/L60</v>
          </cell>
          <cell r="E1276" t="str">
            <v>A</v>
          </cell>
          <cell r="F1276" t="str">
            <v>Label BOM</v>
          </cell>
          <cell r="G1276">
            <v>1</v>
          </cell>
          <cell r="H1276">
            <v>0</v>
          </cell>
          <cell r="I1276" t="str">
            <v>Make</v>
          </cell>
        </row>
        <row r="1277">
          <cell r="A1277" t="str">
            <v>ASY-006885-02</v>
          </cell>
          <cell r="B1277">
            <v>2</v>
          </cell>
          <cell r="C1277" t="str">
            <v>LBL-000243-00</v>
          </cell>
          <cell r="D1277" t="str">
            <v>Blank Product Label: Trov 2 P1/P2, Model L45/L60</v>
          </cell>
          <cell r="E1277" t="str">
            <v>A</v>
          </cell>
          <cell r="F1277" t="str">
            <v>Label</v>
          </cell>
          <cell r="G1277">
            <v>1</v>
          </cell>
          <cell r="H1277">
            <v>0.33</v>
          </cell>
          <cell r="I1277" t="str">
            <v>Buy</v>
          </cell>
        </row>
        <row r="1278">
          <cell r="A1278" t="str">
            <v>ASY-006885-02</v>
          </cell>
          <cell r="B1278">
            <v>1</v>
          </cell>
          <cell r="C1278" t="str">
            <v>PLG-000009-01</v>
          </cell>
          <cell r="D1278" t="str">
            <v>Porex Vent, Trov, L50 Exterior</v>
          </cell>
          <cell r="E1278" t="str">
            <v>B</v>
          </cell>
          <cell r="F1278" t="str">
            <v>Plug</v>
          </cell>
          <cell r="G1278">
            <v>1</v>
          </cell>
          <cell r="H1278">
            <v>0.17</v>
          </cell>
          <cell r="I1278" t="str">
            <v>Buy</v>
          </cell>
        </row>
        <row r="1279">
          <cell r="A1279" t="str">
            <v>ASY-006885-02</v>
          </cell>
          <cell r="B1279">
            <v>1</v>
          </cell>
          <cell r="C1279" t="str">
            <v>SCW-000156-00</v>
          </cell>
          <cell r="D1279" t="str">
            <v>SCREW, M3 x 0.5 X 8mm, PAND HEAD, PHILLIPS, STEEL</v>
          </cell>
          <cell r="E1279" t="str">
            <v>B</v>
          </cell>
          <cell r="F1279" t="str">
            <v>Screw</v>
          </cell>
          <cell r="G1279">
            <v>2</v>
          </cell>
          <cell r="H1279">
            <v>4.4400000000000002E-2</v>
          </cell>
          <cell r="I1279" t="str">
            <v>Buy</v>
          </cell>
        </row>
        <row r="1280">
          <cell r="A1280" t="str">
            <v>ASY-006885-02</v>
          </cell>
          <cell r="B1280">
            <v>1</v>
          </cell>
          <cell r="C1280" t="str">
            <v>SCW-000483-00</v>
          </cell>
          <cell r="D1280" t="str">
            <v>SCREW, PHILIPS FLAT HEAD, M2.5x0.45x5 , 18-8 SST</v>
          </cell>
          <cell r="E1280" t="str">
            <v>A</v>
          </cell>
          <cell r="F1280" t="str">
            <v>Screw</v>
          </cell>
          <cell r="G1280">
            <v>4</v>
          </cell>
          <cell r="H1280">
            <v>0.02</v>
          </cell>
          <cell r="I1280" t="str">
            <v>Buy</v>
          </cell>
        </row>
        <row r="1281">
          <cell r="A1281" t="str">
            <v>ASY-006885-02</v>
          </cell>
          <cell r="B1281">
            <v>1</v>
          </cell>
          <cell r="C1281" t="str">
            <v>SCW-000556-00</v>
          </cell>
          <cell r="D1281" t="str">
            <v>SCREW, HEX, SERRATED, #8-32, GROUNDING, TROV 2</v>
          </cell>
          <cell r="E1281" t="str">
            <v>A</v>
          </cell>
          <cell r="F1281" t="str">
            <v>Screw</v>
          </cell>
          <cell r="G1281">
            <v>1</v>
          </cell>
          <cell r="H1281">
            <v>0.04</v>
          </cell>
          <cell r="I1281" t="str">
            <v>Buy</v>
          </cell>
        </row>
        <row r="1282">
          <cell r="A1282" t="str">
            <v>ASY-006885-02</v>
          </cell>
          <cell r="B1282">
            <v>1</v>
          </cell>
          <cell r="C1282" t="str">
            <v>SCW-000574-00</v>
          </cell>
          <cell r="D1282" t="str">
            <v>SCREW, TORX HEAD, 1/4-28x1/2", LOW PROFILE, ALLOY STEEL</v>
          </cell>
          <cell r="E1282" t="str">
            <v>A</v>
          </cell>
          <cell r="F1282" t="str">
            <v>Screw</v>
          </cell>
          <cell r="G1282">
            <v>2</v>
          </cell>
          <cell r="H1282">
            <v>0.14000000000000001</v>
          </cell>
          <cell r="I1282" t="str">
            <v>Buy</v>
          </cell>
        </row>
        <row r="1283">
          <cell r="A1283" t="str">
            <v>ASY-006885-02</v>
          </cell>
          <cell r="B1283">
            <v>1</v>
          </cell>
          <cell r="C1283" t="str">
            <v>SHT-000042-00</v>
          </cell>
          <cell r="D1283" t="str">
            <v>INSULATION SHEET, MP/LP HBA, TROV 2</v>
          </cell>
          <cell r="E1283" t="str">
            <v>D</v>
          </cell>
          <cell r="F1283" t="str">
            <v>Sheet</v>
          </cell>
          <cell r="G1283">
            <v>1</v>
          </cell>
          <cell r="H1283">
            <v>0.16</v>
          </cell>
          <cell r="I1283" t="str">
            <v>Buy</v>
          </cell>
        </row>
        <row r="1284">
          <cell r="A1284" t="str">
            <v>ASY-006885-02</v>
          </cell>
          <cell r="B1284">
            <v>1</v>
          </cell>
          <cell r="C1284" t="str">
            <v>SPG-000023-00</v>
          </cell>
          <cell r="D1284" t="str">
            <v>SPRING, DISC, STACKED WAVE, TROV 2.0</v>
          </cell>
          <cell r="E1284" t="str">
            <v>A</v>
          </cell>
          <cell r="F1284" t="str">
            <v>Spring</v>
          </cell>
          <cell r="G1284">
            <v>2</v>
          </cell>
          <cell r="H1284">
            <v>1.74</v>
          </cell>
          <cell r="I1284" t="str">
            <v>Buy</v>
          </cell>
        </row>
        <row r="1285">
          <cell r="A1285" t="str">
            <v>ASY-006885-02</v>
          </cell>
          <cell r="B1285">
            <v>1</v>
          </cell>
          <cell r="C1285" t="str">
            <v>TAP-000031-00</v>
          </cell>
          <cell r="D1285" t="str">
            <v>3M Electrical Tape 92</v>
          </cell>
          <cell r="E1285" t="str">
            <v>A</v>
          </cell>
          <cell r="F1285" t="str">
            <v>Tape</v>
          </cell>
          <cell r="G1285">
            <v>120</v>
          </cell>
          <cell r="H1285">
            <v>1.4E-2</v>
          </cell>
          <cell r="I1285" t="str">
            <v>Buy</v>
          </cell>
        </row>
        <row r="1286">
          <cell r="A1286" t="str">
            <v>ASY-006885-02</v>
          </cell>
          <cell r="B1286">
            <v>1</v>
          </cell>
          <cell r="C1286" t="str">
            <v>TMP-000027-00</v>
          </cell>
          <cell r="D1286" t="str">
            <v>Thermal Pad, LED PCBA, 1 FT, TROV 2</v>
          </cell>
          <cell r="E1286" t="str">
            <v>B</v>
          </cell>
          <cell r="F1286" t="str">
            <v>Thermal Pad</v>
          </cell>
          <cell r="G1286">
            <v>1</v>
          </cell>
          <cell r="H1286">
            <v>0.72</v>
          </cell>
          <cell r="I1286" t="str">
            <v>Buy</v>
          </cell>
        </row>
        <row r="1287">
          <cell r="A1287" t="str">
            <v>ASY-006885-02</v>
          </cell>
          <cell r="B1287">
            <v>1</v>
          </cell>
          <cell r="C1287" t="str">
            <v>TMP-000029-00</v>
          </cell>
          <cell r="D1287" t="str">
            <v>Thermal Pad, HBA, TROV 2</v>
          </cell>
          <cell r="E1287" t="str">
            <v>B</v>
          </cell>
          <cell r="F1287" t="str">
            <v>Thermal Pad</v>
          </cell>
          <cell r="G1287">
            <v>2</v>
          </cell>
          <cell r="H1287">
            <v>0.14000000000000001</v>
          </cell>
          <cell r="I1287" t="str">
            <v>Buy</v>
          </cell>
        </row>
        <row r="1288">
          <cell r="A1288" t="str">
            <v>ASY-006885-03</v>
          </cell>
          <cell r="B1288">
            <v>0</v>
          </cell>
          <cell r="C1288" t="str">
            <v>ASY-006885-03</v>
          </cell>
          <cell r="D1288" t="str">
            <v>ASSY, MECHANICAL, L45, INDOOR, 1 FT, TROV 2.0, BRONZE</v>
          </cell>
          <cell r="E1288" t="str">
            <v>D</v>
          </cell>
          <cell r="F1288" t="str">
            <v>Sub assembly</v>
          </cell>
          <cell r="H1288">
            <v>0</v>
          </cell>
          <cell r="I1288" t="str">
            <v>Make</v>
          </cell>
        </row>
        <row r="1289">
          <cell r="A1289" t="str">
            <v>ASY-006885-03</v>
          </cell>
          <cell r="B1289">
            <v>1</v>
          </cell>
          <cell r="C1289" t="str">
            <v>ACB-000261-00</v>
          </cell>
          <cell r="D1289" t="str">
            <v>CABLE, ECOBUS, 24AWG, SHORT, TROV 2</v>
          </cell>
          <cell r="E1289" t="str">
            <v>B</v>
          </cell>
          <cell r="F1289" t="str">
            <v>Cable</v>
          </cell>
          <cell r="G1289">
            <v>1</v>
          </cell>
          <cell r="H1289">
            <v>0.76</v>
          </cell>
          <cell r="I1289" t="str">
            <v>Buy</v>
          </cell>
        </row>
        <row r="1290">
          <cell r="A1290" t="str">
            <v>ASY-006885-03</v>
          </cell>
          <cell r="B1290">
            <v>1</v>
          </cell>
          <cell r="C1290" t="str">
            <v>ASY-100009-00</v>
          </cell>
          <cell r="D1290" t="str">
            <v>Cable Subassembly, Driver housing, 1ft, Trov 2</v>
          </cell>
          <cell r="E1290" t="str">
            <v>B</v>
          </cell>
          <cell r="F1290" t="str">
            <v>Sub assembly</v>
          </cell>
          <cell r="G1290">
            <v>1</v>
          </cell>
          <cell r="H1290">
            <v>0</v>
          </cell>
          <cell r="I1290" t="str">
            <v>Make</v>
          </cell>
        </row>
        <row r="1291">
          <cell r="A1291" t="str">
            <v>ASY-006885-03</v>
          </cell>
          <cell r="B1291">
            <v>2</v>
          </cell>
          <cell r="C1291" t="str">
            <v>ACB-000278-00</v>
          </cell>
          <cell r="D1291" t="str">
            <v>CABLE ASSY, INTRA-FIXTURE, 1FT, TROV 2.0</v>
          </cell>
          <cell r="E1291" t="str">
            <v>A</v>
          </cell>
          <cell r="F1291" t="str">
            <v>Cable Assembly</v>
          </cell>
          <cell r="G1291">
            <v>1</v>
          </cell>
          <cell r="H1291">
            <v>12.75</v>
          </cell>
          <cell r="I1291" t="str">
            <v>Buy</v>
          </cell>
        </row>
        <row r="1292">
          <cell r="A1292" t="str">
            <v>ASY-006885-03</v>
          </cell>
          <cell r="B1292">
            <v>3</v>
          </cell>
          <cell r="C1292" t="str">
            <v>ACB-000273-00</v>
          </cell>
          <cell r="D1292" t="str">
            <v>6 CONDUCTOR CABLE, 3X22AWG, 3X16AWG, AL MYLAR, TROV 2</v>
          </cell>
          <cell r="E1292" t="str">
            <v>A</v>
          </cell>
          <cell r="F1292" t="str">
            <v>Cable</v>
          </cell>
          <cell r="G1292">
            <v>1</v>
          </cell>
          <cell r="H1292">
            <v>0</v>
          </cell>
          <cell r="I1292" t="str">
            <v>N/A</v>
          </cell>
        </row>
        <row r="1293">
          <cell r="A1293" t="str">
            <v>ASY-006885-03</v>
          </cell>
          <cell r="B1293">
            <v>3</v>
          </cell>
          <cell r="C1293" t="str">
            <v>ACB-000274-01</v>
          </cell>
          <cell r="D1293" t="str">
            <v>CABLE ASSEMBLY, INTERNAL, DRIVER SIDE, 1FT, TROV 2</v>
          </cell>
          <cell r="E1293" t="str">
            <v>A</v>
          </cell>
          <cell r="F1293" t="str">
            <v>Cable Assembly</v>
          </cell>
          <cell r="G1293">
            <v>1</v>
          </cell>
          <cell r="H1293">
            <v>0</v>
          </cell>
          <cell r="I1293" t="str">
            <v>N/A</v>
          </cell>
        </row>
        <row r="1294">
          <cell r="A1294" t="str">
            <v>ASY-006885-03</v>
          </cell>
          <cell r="B1294">
            <v>3</v>
          </cell>
          <cell r="C1294" t="str">
            <v>CON-000259-00</v>
          </cell>
          <cell r="D1294" t="str">
            <v>CONNECTOR, MALE, 6 PIN, TROV 2</v>
          </cell>
          <cell r="E1294" t="str">
            <v>B</v>
          </cell>
          <cell r="F1294" t="str">
            <v>Connector</v>
          </cell>
          <cell r="G1294">
            <v>1</v>
          </cell>
          <cell r="H1294">
            <v>0</v>
          </cell>
          <cell r="I1294" t="str">
            <v>N/A</v>
          </cell>
        </row>
        <row r="1295">
          <cell r="A1295" t="str">
            <v>ASY-006885-03</v>
          </cell>
          <cell r="B1295">
            <v>3</v>
          </cell>
          <cell r="C1295" t="str">
            <v>CON-000260-00</v>
          </cell>
          <cell r="D1295" t="str">
            <v>CONNECTOR, FEMALE, 6 PIN, TROV 2</v>
          </cell>
          <cell r="E1295" t="str">
            <v>A</v>
          </cell>
          <cell r="F1295" t="str">
            <v>Connector</v>
          </cell>
          <cell r="G1295">
            <v>1</v>
          </cell>
          <cell r="H1295">
            <v>0</v>
          </cell>
          <cell r="I1295" t="str">
            <v>N/A</v>
          </cell>
        </row>
        <row r="1296">
          <cell r="A1296" t="str">
            <v>ASY-006885-03</v>
          </cell>
          <cell r="B1296">
            <v>3</v>
          </cell>
          <cell r="C1296" t="str">
            <v>ORG-000060-00</v>
          </cell>
          <cell r="D1296" t="str">
            <v>O-RING, CABLE, TROV 2</v>
          </cell>
          <cell r="E1296" t="str">
            <v>A</v>
          </cell>
          <cell r="F1296" t="str">
            <v>O-Ring</v>
          </cell>
          <cell r="G1296">
            <v>1</v>
          </cell>
          <cell r="H1296">
            <v>0</v>
          </cell>
          <cell r="I1296" t="str">
            <v>N/A</v>
          </cell>
        </row>
        <row r="1297">
          <cell r="A1297" t="str">
            <v>ASY-006885-03</v>
          </cell>
          <cell r="B1297">
            <v>3</v>
          </cell>
          <cell r="C1297" t="str">
            <v>SRF-000030-00</v>
          </cell>
          <cell r="D1297" t="str">
            <v>STRAIN RELIEF, CABLE, TROV 2</v>
          </cell>
          <cell r="E1297" t="str">
            <v>A</v>
          </cell>
          <cell r="F1297" t="str">
            <v>Strain Relief</v>
          </cell>
          <cell r="G1297">
            <v>1</v>
          </cell>
          <cell r="H1297">
            <v>0</v>
          </cell>
          <cell r="I1297" t="str">
            <v>N/A</v>
          </cell>
        </row>
        <row r="1298">
          <cell r="A1298" t="str">
            <v>ASY-006885-03</v>
          </cell>
          <cell r="B1298">
            <v>2</v>
          </cell>
          <cell r="C1298" t="str">
            <v>HSG-000488-01</v>
          </cell>
          <cell r="D1298" t="str">
            <v>HOUSING, PSU, 1 FT, MOLDED HOLE, TROV 2.0</v>
          </cell>
          <cell r="E1298" t="str">
            <v>B</v>
          </cell>
          <cell r="F1298" t="str">
            <v>Housing</v>
          </cell>
          <cell r="G1298">
            <v>1</v>
          </cell>
          <cell r="H1298">
            <v>1.17</v>
          </cell>
          <cell r="I1298" t="str">
            <v>Buy</v>
          </cell>
        </row>
        <row r="1299">
          <cell r="A1299" t="str">
            <v>ASY-006885-03</v>
          </cell>
          <cell r="B1299">
            <v>2</v>
          </cell>
          <cell r="C1299" t="str">
            <v>SCW-000577-00</v>
          </cell>
          <cell r="D1299" t="str">
            <v>SCREW, TORX HEAD, LOW PROFILE, M3X8mm, ALLOY STEEL</v>
          </cell>
          <cell r="E1299" t="str">
            <v>A</v>
          </cell>
          <cell r="F1299" t="str">
            <v>Screw</v>
          </cell>
          <cell r="G1299">
            <v>2</v>
          </cell>
          <cell r="H1299">
            <v>0.03</v>
          </cell>
          <cell r="I1299" t="str">
            <v>Buy</v>
          </cell>
        </row>
        <row r="1300">
          <cell r="A1300" t="str">
            <v>ASY-006885-03</v>
          </cell>
          <cell r="B1300">
            <v>1</v>
          </cell>
          <cell r="C1300" t="str">
            <v>BAS-000020-00</v>
          </cell>
          <cell r="D1300" t="str">
            <v>BASE, 1FT, TROV 2.0</v>
          </cell>
          <cell r="E1300" t="str">
            <v>E</v>
          </cell>
          <cell r="F1300" t="str">
            <v>Base</v>
          </cell>
          <cell r="G1300">
            <v>1</v>
          </cell>
          <cell r="H1300">
            <v>5.8</v>
          </cell>
          <cell r="I1300" t="str">
            <v>Buy</v>
          </cell>
        </row>
        <row r="1301">
          <cell r="A1301" t="str">
            <v>ASY-006885-03</v>
          </cell>
          <cell r="B1301">
            <v>1</v>
          </cell>
          <cell r="C1301" t="str">
            <v>BKT-000457-03</v>
          </cell>
          <cell r="D1301" t="str">
            <v>BRACKET, MOUNT, LEFT, BLACK, TROV 2.0</v>
          </cell>
          <cell r="E1301" t="str">
            <v>C</v>
          </cell>
          <cell r="F1301" t="str">
            <v>Bracket</v>
          </cell>
          <cell r="G1301">
            <v>1</v>
          </cell>
          <cell r="H1301">
            <v>0.99</v>
          </cell>
          <cell r="I1301" t="str">
            <v>Buy</v>
          </cell>
        </row>
        <row r="1302">
          <cell r="A1302" t="str">
            <v>ASY-006885-03</v>
          </cell>
          <cell r="B1302">
            <v>1</v>
          </cell>
          <cell r="C1302" t="str">
            <v>BKT-000458-03</v>
          </cell>
          <cell r="D1302" t="str">
            <v>BRACKET, MOUNT, RIGHT, BLACK, TROV 2.0</v>
          </cell>
          <cell r="E1302" t="str">
            <v>C</v>
          </cell>
          <cell r="F1302" t="str">
            <v>Bracket</v>
          </cell>
          <cell r="G1302">
            <v>1</v>
          </cell>
          <cell r="H1302">
            <v>0.99</v>
          </cell>
          <cell r="I1302" t="str">
            <v>Buy</v>
          </cell>
        </row>
        <row r="1303">
          <cell r="A1303" t="str">
            <v>ASY-006885-03</v>
          </cell>
          <cell r="B1303">
            <v>1</v>
          </cell>
          <cell r="C1303" t="str">
            <v>CVR-000791-02</v>
          </cell>
          <cell r="D1303" t="str">
            <v>END COVER, FC, BRONZE, L45, TROV 2.0</v>
          </cell>
          <cell r="E1303" t="str">
            <v>D</v>
          </cell>
          <cell r="F1303" t="str">
            <v>Cover</v>
          </cell>
          <cell r="G1303">
            <v>1</v>
          </cell>
          <cell r="H1303">
            <v>1.07</v>
          </cell>
          <cell r="I1303" t="str">
            <v>Buy</v>
          </cell>
        </row>
        <row r="1304">
          <cell r="A1304" t="str">
            <v>ASY-006885-03</v>
          </cell>
          <cell r="B1304">
            <v>1</v>
          </cell>
          <cell r="C1304" t="str">
            <v>CVR-000894-02</v>
          </cell>
          <cell r="D1304" t="str">
            <v>END COVER, MC, BRONZE, L45, TROV 2.0</v>
          </cell>
          <cell r="E1304" t="str">
            <v>B</v>
          </cell>
          <cell r="F1304" t="str">
            <v>Cover</v>
          </cell>
          <cell r="G1304">
            <v>1</v>
          </cell>
          <cell r="H1304">
            <v>1.07</v>
          </cell>
          <cell r="I1304" t="str">
            <v>Buy</v>
          </cell>
        </row>
        <row r="1305">
          <cell r="A1305" t="str">
            <v>ASY-006885-03</v>
          </cell>
          <cell r="B1305">
            <v>1</v>
          </cell>
          <cell r="C1305" t="str">
            <v>FOM-000029-00</v>
          </cell>
          <cell r="D1305" t="str">
            <v>FOAM, LIGHTBLOCK, ENDCAP, L45, TROV2</v>
          </cell>
          <cell r="E1305" t="str">
            <v>A</v>
          </cell>
          <cell r="F1305" t="str">
            <v>Foam</v>
          </cell>
          <cell r="G1305">
            <v>2</v>
          </cell>
          <cell r="H1305">
            <v>0.02</v>
          </cell>
          <cell r="I1305" t="str">
            <v>Buy</v>
          </cell>
        </row>
        <row r="1306">
          <cell r="A1306" t="str">
            <v>ASY-006885-03</v>
          </cell>
          <cell r="B1306">
            <v>1</v>
          </cell>
          <cell r="C1306" t="str">
            <v>GSK-000112-01</v>
          </cell>
          <cell r="D1306" t="str">
            <v>GASKET, TERTIARY LENS, 3M, 1 FT, L45, TROV 2.0</v>
          </cell>
          <cell r="E1306" t="str">
            <v>D</v>
          </cell>
          <cell r="F1306" t="str">
            <v>Gasket</v>
          </cell>
          <cell r="G1306">
            <v>1</v>
          </cell>
          <cell r="H1306">
            <v>1.75</v>
          </cell>
          <cell r="I1306" t="str">
            <v>Buy</v>
          </cell>
        </row>
        <row r="1307">
          <cell r="A1307" t="str">
            <v>ASY-006885-03</v>
          </cell>
          <cell r="B1307">
            <v>1</v>
          </cell>
          <cell r="C1307" t="str">
            <v>GSK-000121-01</v>
          </cell>
          <cell r="D1307" t="str">
            <v>GASKET, DRIVER ENCLOSURE, 3M, 1 FT, TROV 2.0</v>
          </cell>
          <cell r="E1307" t="str">
            <v>B</v>
          </cell>
          <cell r="F1307" t="str">
            <v>Gasket</v>
          </cell>
          <cell r="G1307">
            <v>1</v>
          </cell>
          <cell r="H1307">
            <v>1.7</v>
          </cell>
          <cell r="I1307" t="str">
            <v>Buy</v>
          </cell>
        </row>
        <row r="1308">
          <cell r="A1308" t="str">
            <v>ASY-006885-03</v>
          </cell>
          <cell r="B1308">
            <v>1</v>
          </cell>
          <cell r="C1308" t="str">
            <v>HSG-000491-02</v>
          </cell>
          <cell r="D1308" t="str">
            <v>HOUSING, TOP, 1 FT, L45, BRONZE, TROV 2.0</v>
          </cell>
          <cell r="E1308" t="str">
            <v>E</v>
          </cell>
          <cell r="F1308" t="str">
            <v>Housing</v>
          </cell>
          <cell r="G1308">
            <v>1</v>
          </cell>
          <cell r="H1308">
            <v>0</v>
          </cell>
          <cell r="I1308" t="str">
            <v>Buy</v>
          </cell>
        </row>
        <row r="1309">
          <cell r="A1309" t="str">
            <v>ASY-006885-03</v>
          </cell>
          <cell r="B1309">
            <v>1</v>
          </cell>
          <cell r="C1309" t="str">
            <v>HSG-000492-02</v>
          </cell>
          <cell r="D1309" t="str">
            <v>HOUSING, BOTTOM, 1 FT, BRONZE, TROV 2.0</v>
          </cell>
          <cell r="E1309" t="str">
            <v>F</v>
          </cell>
          <cell r="F1309" t="str">
            <v>Housing</v>
          </cell>
          <cell r="G1309">
            <v>1</v>
          </cell>
          <cell r="H1309">
            <v>3.34</v>
          </cell>
          <cell r="I1309" t="str">
            <v>Buy</v>
          </cell>
        </row>
        <row r="1310">
          <cell r="A1310" t="str">
            <v>ASY-006885-03</v>
          </cell>
          <cell r="B1310">
            <v>1</v>
          </cell>
          <cell r="C1310" t="str">
            <v>LBA-000003-00</v>
          </cell>
          <cell r="D1310" t="str">
            <v>Label: TROV 2 P1/P2, Model L45/L60</v>
          </cell>
          <cell r="E1310" t="str">
            <v>A</v>
          </cell>
          <cell r="F1310" t="str">
            <v>Label BOM</v>
          </cell>
          <cell r="G1310">
            <v>1</v>
          </cell>
          <cell r="H1310">
            <v>0</v>
          </cell>
          <cell r="I1310" t="str">
            <v>Make</v>
          </cell>
        </row>
        <row r="1311">
          <cell r="A1311" t="str">
            <v>ASY-006885-03</v>
          </cell>
          <cell r="B1311">
            <v>2</v>
          </cell>
          <cell r="C1311" t="str">
            <v>LBL-000243-00</v>
          </cell>
          <cell r="D1311" t="str">
            <v>Blank Product Label: Trov 2 P1/P2, Model L45/L60</v>
          </cell>
          <cell r="E1311" t="str">
            <v>A</v>
          </cell>
          <cell r="F1311" t="str">
            <v>Label</v>
          </cell>
          <cell r="G1311">
            <v>1</v>
          </cell>
          <cell r="H1311">
            <v>0.33</v>
          </cell>
          <cell r="I1311" t="str">
            <v>Buy</v>
          </cell>
        </row>
        <row r="1312">
          <cell r="A1312" t="str">
            <v>ASY-006885-03</v>
          </cell>
          <cell r="B1312">
            <v>1</v>
          </cell>
          <cell r="C1312" t="str">
            <v>PLG-000009-01</v>
          </cell>
          <cell r="D1312" t="str">
            <v>Porex Vent, Trov, L50 Exterior</v>
          </cell>
          <cell r="E1312" t="str">
            <v>B</v>
          </cell>
          <cell r="F1312" t="str">
            <v>Plug</v>
          </cell>
          <cell r="G1312">
            <v>1</v>
          </cell>
          <cell r="H1312">
            <v>0.17</v>
          </cell>
          <cell r="I1312" t="str">
            <v>Buy</v>
          </cell>
        </row>
        <row r="1313">
          <cell r="A1313" t="str">
            <v>ASY-006885-03</v>
          </cell>
          <cell r="B1313">
            <v>1</v>
          </cell>
          <cell r="C1313" t="str">
            <v>SCW-000156-00</v>
          </cell>
          <cell r="D1313" t="str">
            <v>SCREW, M3 x 0.5 X 8mm, PAND HEAD, PHILLIPS, STEEL</v>
          </cell>
          <cell r="E1313" t="str">
            <v>B</v>
          </cell>
          <cell r="F1313" t="str">
            <v>Screw</v>
          </cell>
          <cell r="G1313">
            <v>2</v>
          </cell>
          <cell r="H1313">
            <v>4.4400000000000002E-2</v>
          </cell>
          <cell r="I1313" t="str">
            <v>Buy</v>
          </cell>
        </row>
        <row r="1314">
          <cell r="A1314" t="str">
            <v>ASY-006885-03</v>
          </cell>
          <cell r="B1314">
            <v>1</v>
          </cell>
          <cell r="C1314" t="str">
            <v>SCW-000483-00</v>
          </cell>
          <cell r="D1314" t="str">
            <v>SCREW, PHILIPS FLAT HEAD, M2.5x0.45x5 , 18-8 SST</v>
          </cell>
          <cell r="E1314" t="str">
            <v>A</v>
          </cell>
          <cell r="F1314" t="str">
            <v>Screw</v>
          </cell>
          <cell r="G1314">
            <v>4</v>
          </cell>
          <cell r="H1314">
            <v>0.02</v>
          </cell>
          <cell r="I1314" t="str">
            <v>Buy</v>
          </cell>
        </row>
        <row r="1315">
          <cell r="A1315" t="str">
            <v>ASY-006885-03</v>
          </cell>
          <cell r="B1315">
            <v>1</v>
          </cell>
          <cell r="C1315" t="str">
            <v>SCW-000556-00</v>
          </cell>
          <cell r="D1315" t="str">
            <v>SCREW, HEX, SERRATED, #8-32, GROUNDING, TROV 2</v>
          </cell>
          <cell r="E1315" t="str">
            <v>A</v>
          </cell>
          <cell r="F1315" t="str">
            <v>Screw</v>
          </cell>
          <cell r="G1315">
            <v>1</v>
          </cell>
          <cell r="H1315">
            <v>0.04</v>
          </cell>
          <cell r="I1315" t="str">
            <v>Buy</v>
          </cell>
        </row>
        <row r="1316">
          <cell r="A1316" t="str">
            <v>ASY-006885-03</v>
          </cell>
          <cell r="B1316">
            <v>1</v>
          </cell>
          <cell r="C1316" t="str">
            <v>SCW-000574-00</v>
          </cell>
          <cell r="D1316" t="str">
            <v>SCREW, TORX HEAD, 1/4-28x1/2", LOW PROFILE, ALLOY STEEL</v>
          </cell>
          <cell r="E1316" t="str">
            <v>A</v>
          </cell>
          <cell r="F1316" t="str">
            <v>Screw</v>
          </cell>
          <cell r="G1316">
            <v>2</v>
          </cell>
          <cell r="H1316">
            <v>0.14000000000000001</v>
          </cell>
          <cell r="I1316" t="str">
            <v>Buy</v>
          </cell>
        </row>
        <row r="1317">
          <cell r="A1317" t="str">
            <v>ASY-006885-03</v>
          </cell>
          <cell r="B1317">
            <v>1</v>
          </cell>
          <cell r="C1317" t="str">
            <v>SHT-000042-00</v>
          </cell>
          <cell r="D1317" t="str">
            <v>INSULATION SHEET, MP/LP HBA, TROV 2</v>
          </cell>
          <cell r="E1317" t="str">
            <v>D</v>
          </cell>
          <cell r="F1317" t="str">
            <v>Sheet</v>
          </cell>
          <cell r="G1317">
            <v>1</v>
          </cell>
          <cell r="H1317">
            <v>0.16</v>
          </cell>
          <cell r="I1317" t="str">
            <v>Buy</v>
          </cell>
        </row>
        <row r="1318">
          <cell r="A1318" t="str">
            <v>ASY-006885-03</v>
          </cell>
          <cell r="B1318">
            <v>1</v>
          </cell>
          <cell r="C1318" t="str">
            <v>SPG-000023-00</v>
          </cell>
          <cell r="D1318" t="str">
            <v>SPRING, DISC, STACKED WAVE, TROV 2.0</v>
          </cell>
          <cell r="E1318" t="str">
            <v>A</v>
          </cell>
          <cell r="F1318" t="str">
            <v>Spring</v>
          </cell>
          <cell r="G1318">
            <v>2</v>
          </cell>
          <cell r="H1318">
            <v>1.74</v>
          </cell>
          <cell r="I1318" t="str">
            <v>Buy</v>
          </cell>
        </row>
        <row r="1319">
          <cell r="A1319" t="str">
            <v>ASY-006885-03</v>
          </cell>
          <cell r="B1319">
            <v>1</v>
          </cell>
          <cell r="C1319" t="str">
            <v>TAP-000031-00</v>
          </cell>
          <cell r="D1319" t="str">
            <v>3M Electrical Tape 92</v>
          </cell>
          <cell r="E1319" t="str">
            <v>A</v>
          </cell>
          <cell r="F1319" t="str">
            <v>Tape</v>
          </cell>
          <cell r="G1319">
            <v>120</v>
          </cell>
          <cell r="H1319">
            <v>1.4E-2</v>
          </cell>
          <cell r="I1319" t="str">
            <v>Buy</v>
          </cell>
        </row>
        <row r="1320">
          <cell r="A1320" t="str">
            <v>ASY-006885-03</v>
          </cell>
          <cell r="B1320">
            <v>1</v>
          </cell>
          <cell r="C1320" t="str">
            <v>TMP-000027-00</v>
          </cell>
          <cell r="D1320" t="str">
            <v>Thermal Pad, LED PCBA, 1 FT, TROV 2</v>
          </cell>
          <cell r="E1320" t="str">
            <v>B</v>
          </cell>
          <cell r="F1320" t="str">
            <v>Thermal Pad</v>
          </cell>
          <cell r="G1320">
            <v>1</v>
          </cell>
          <cell r="H1320">
            <v>0.72</v>
          </cell>
          <cell r="I1320" t="str">
            <v>Buy</v>
          </cell>
        </row>
        <row r="1321">
          <cell r="A1321" t="str">
            <v>ASY-006885-03</v>
          </cell>
          <cell r="B1321">
            <v>1</v>
          </cell>
          <cell r="C1321" t="str">
            <v>TMP-000029-00</v>
          </cell>
          <cell r="D1321" t="str">
            <v>Thermal Pad, HBA, TROV 2</v>
          </cell>
          <cell r="E1321" t="str">
            <v>B</v>
          </cell>
          <cell r="F1321" t="str">
            <v>Thermal Pad</v>
          </cell>
          <cell r="G1321">
            <v>2</v>
          </cell>
          <cell r="H1321">
            <v>0.14000000000000001</v>
          </cell>
          <cell r="I1321" t="str">
            <v>Buy</v>
          </cell>
        </row>
        <row r="1322">
          <cell r="A1322" t="str">
            <v>ASY-006885-04</v>
          </cell>
          <cell r="B1322">
            <v>0</v>
          </cell>
          <cell r="C1322" t="str">
            <v>ASY-006885-04</v>
          </cell>
          <cell r="D1322" t="str">
            <v>ASSY, MECHANICAL, L45, INDOOR, 1 FT, TROV 2.0, CUSTOM FINISH</v>
          </cell>
          <cell r="E1322" t="str">
            <v>G</v>
          </cell>
          <cell r="F1322" t="str">
            <v>Sub assembly</v>
          </cell>
          <cell r="H1322">
            <v>0</v>
          </cell>
          <cell r="I1322" t="str">
            <v>Make</v>
          </cell>
        </row>
        <row r="1323">
          <cell r="A1323" t="str">
            <v>ASY-006885-04</v>
          </cell>
          <cell r="B1323">
            <v>1</v>
          </cell>
          <cell r="C1323" t="str">
            <v>ACB-000261-00</v>
          </cell>
          <cell r="D1323" t="str">
            <v>CABLE, ECOBUS, 24AWG, SHORT, TROV 2</v>
          </cell>
          <cell r="E1323" t="str">
            <v>B</v>
          </cell>
          <cell r="F1323" t="str">
            <v>Cable</v>
          </cell>
          <cell r="G1323">
            <v>1</v>
          </cell>
          <cell r="H1323">
            <v>0.76</v>
          </cell>
          <cell r="I1323" t="str">
            <v>Buy</v>
          </cell>
        </row>
        <row r="1324">
          <cell r="A1324" t="str">
            <v>ASY-006885-04</v>
          </cell>
          <cell r="B1324">
            <v>1</v>
          </cell>
          <cell r="C1324" t="str">
            <v>ASY-100009-00</v>
          </cell>
          <cell r="D1324" t="str">
            <v>Cable Subassembly, Driver housing, 1ft, Trov 2</v>
          </cell>
          <cell r="E1324" t="str">
            <v>B</v>
          </cell>
          <cell r="F1324" t="str">
            <v>Sub assembly</v>
          </cell>
          <cell r="G1324">
            <v>1</v>
          </cell>
          <cell r="H1324">
            <v>0</v>
          </cell>
          <cell r="I1324" t="str">
            <v>Make</v>
          </cell>
        </row>
        <row r="1325">
          <cell r="A1325" t="str">
            <v>ASY-006885-04</v>
          </cell>
          <cell r="B1325">
            <v>2</v>
          </cell>
          <cell r="C1325" t="str">
            <v>ACB-000278-00</v>
          </cell>
          <cell r="D1325" t="str">
            <v>CABLE ASSY, INTRA-FIXTURE, 1FT, TROV 2.0</v>
          </cell>
          <cell r="E1325" t="str">
            <v>A</v>
          </cell>
          <cell r="F1325" t="str">
            <v>Cable Assembly</v>
          </cell>
          <cell r="G1325">
            <v>1</v>
          </cell>
          <cell r="H1325">
            <v>12.75</v>
          </cell>
          <cell r="I1325" t="str">
            <v>Buy</v>
          </cell>
        </row>
        <row r="1326">
          <cell r="A1326" t="str">
            <v>ASY-006885-04</v>
          </cell>
          <cell r="B1326">
            <v>3</v>
          </cell>
          <cell r="C1326" t="str">
            <v>ACB-000273-00</v>
          </cell>
          <cell r="D1326" t="str">
            <v>6 CONDUCTOR CABLE, 3X22AWG, 3X16AWG, AL MYLAR, TROV 2</v>
          </cell>
          <cell r="E1326" t="str">
            <v>A</v>
          </cell>
          <cell r="F1326" t="str">
            <v>Cable</v>
          </cell>
          <cell r="G1326">
            <v>1</v>
          </cell>
          <cell r="H1326">
            <v>0</v>
          </cell>
          <cell r="I1326" t="str">
            <v>N/A</v>
          </cell>
        </row>
        <row r="1327">
          <cell r="A1327" t="str">
            <v>ASY-006885-04</v>
          </cell>
          <cell r="B1327">
            <v>3</v>
          </cell>
          <cell r="C1327" t="str">
            <v>ACB-000274-01</v>
          </cell>
          <cell r="D1327" t="str">
            <v>CABLE ASSEMBLY, INTERNAL, DRIVER SIDE, 1FT, TROV 2</v>
          </cell>
          <cell r="E1327" t="str">
            <v>A</v>
          </cell>
          <cell r="F1327" t="str">
            <v>Cable Assembly</v>
          </cell>
          <cell r="G1327">
            <v>1</v>
          </cell>
          <cell r="H1327">
            <v>0</v>
          </cell>
          <cell r="I1327" t="str">
            <v>N/A</v>
          </cell>
        </row>
        <row r="1328">
          <cell r="A1328" t="str">
            <v>ASY-006885-04</v>
          </cell>
          <cell r="B1328">
            <v>3</v>
          </cell>
          <cell r="C1328" t="str">
            <v>CON-000259-00</v>
          </cell>
          <cell r="D1328" t="str">
            <v>CONNECTOR, MALE, 6 PIN, TROV 2</v>
          </cell>
          <cell r="E1328" t="str">
            <v>B</v>
          </cell>
          <cell r="F1328" t="str">
            <v>Connector</v>
          </cell>
          <cell r="G1328">
            <v>1</v>
          </cell>
          <cell r="H1328">
            <v>0</v>
          </cell>
          <cell r="I1328" t="str">
            <v>N/A</v>
          </cell>
        </row>
        <row r="1329">
          <cell r="A1329" t="str">
            <v>ASY-006885-04</v>
          </cell>
          <cell r="B1329">
            <v>3</v>
          </cell>
          <cell r="C1329" t="str">
            <v>CON-000260-00</v>
          </cell>
          <cell r="D1329" t="str">
            <v>CONNECTOR, FEMALE, 6 PIN, TROV 2</v>
          </cell>
          <cell r="E1329" t="str">
            <v>A</v>
          </cell>
          <cell r="F1329" t="str">
            <v>Connector</v>
          </cell>
          <cell r="G1329">
            <v>1</v>
          </cell>
          <cell r="H1329">
            <v>0</v>
          </cell>
          <cell r="I1329" t="str">
            <v>N/A</v>
          </cell>
        </row>
        <row r="1330">
          <cell r="A1330" t="str">
            <v>ASY-006885-04</v>
          </cell>
          <cell r="B1330">
            <v>3</v>
          </cell>
          <cell r="C1330" t="str">
            <v>ORG-000060-00</v>
          </cell>
          <cell r="D1330" t="str">
            <v>O-RING, CABLE, TROV 2</v>
          </cell>
          <cell r="E1330" t="str">
            <v>A</v>
          </cell>
          <cell r="F1330" t="str">
            <v>O-Ring</v>
          </cell>
          <cell r="G1330">
            <v>1</v>
          </cell>
          <cell r="H1330">
            <v>0</v>
          </cell>
          <cell r="I1330" t="str">
            <v>N/A</v>
          </cell>
        </row>
        <row r="1331">
          <cell r="A1331" t="str">
            <v>ASY-006885-04</v>
          </cell>
          <cell r="B1331">
            <v>3</v>
          </cell>
          <cell r="C1331" t="str">
            <v>SRF-000030-00</v>
          </cell>
          <cell r="D1331" t="str">
            <v>STRAIN RELIEF, CABLE, TROV 2</v>
          </cell>
          <cell r="E1331" t="str">
            <v>A</v>
          </cell>
          <cell r="F1331" t="str">
            <v>Strain Relief</v>
          </cell>
          <cell r="G1331">
            <v>1</v>
          </cell>
          <cell r="H1331">
            <v>0</v>
          </cell>
          <cell r="I1331" t="str">
            <v>N/A</v>
          </cell>
        </row>
        <row r="1332">
          <cell r="A1332" t="str">
            <v>ASY-006885-04</v>
          </cell>
          <cell r="B1332">
            <v>2</v>
          </cell>
          <cell r="C1332" t="str">
            <v>HSG-000488-01</v>
          </cell>
          <cell r="D1332" t="str">
            <v>HOUSING, PSU, 1 FT, MOLDED HOLE, TROV 2.0</v>
          </cell>
          <cell r="E1332" t="str">
            <v>B</v>
          </cell>
          <cell r="F1332" t="str">
            <v>Housing</v>
          </cell>
          <cell r="G1332">
            <v>1</v>
          </cell>
          <cell r="H1332">
            <v>1.17</v>
          </cell>
          <cell r="I1332" t="str">
            <v>Buy</v>
          </cell>
        </row>
        <row r="1333">
          <cell r="A1333" t="str">
            <v>ASY-006885-04</v>
          </cell>
          <cell r="B1333">
            <v>2</v>
          </cell>
          <cell r="C1333" t="str">
            <v>SCW-000577-00</v>
          </cell>
          <cell r="D1333" t="str">
            <v>SCREW, TORX HEAD, LOW PROFILE, M3X8mm, ALLOY STEEL</v>
          </cell>
          <cell r="E1333" t="str">
            <v>A</v>
          </cell>
          <cell r="F1333" t="str">
            <v>Screw</v>
          </cell>
          <cell r="G1333">
            <v>2</v>
          </cell>
          <cell r="H1333">
            <v>0.03</v>
          </cell>
          <cell r="I1333" t="str">
            <v>Buy</v>
          </cell>
        </row>
        <row r="1334">
          <cell r="A1334" t="str">
            <v>ASY-006885-04</v>
          </cell>
          <cell r="B1334">
            <v>1</v>
          </cell>
          <cell r="C1334" t="str">
            <v>BAS-000020-00</v>
          </cell>
          <cell r="D1334" t="str">
            <v>BASE, 1FT, TROV 2.0</v>
          </cell>
          <cell r="E1334" t="str">
            <v>E</v>
          </cell>
          <cell r="F1334" t="str">
            <v>Base</v>
          </cell>
          <cell r="G1334">
            <v>1</v>
          </cell>
          <cell r="H1334">
            <v>5.8</v>
          </cell>
          <cell r="I1334" t="str">
            <v>Buy</v>
          </cell>
        </row>
        <row r="1335">
          <cell r="A1335" t="str">
            <v>ASY-006885-04</v>
          </cell>
          <cell r="B1335">
            <v>1</v>
          </cell>
          <cell r="C1335" t="str">
            <v>BKT-000457-03</v>
          </cell>
          <cell r="D1335" t="str">
            <v>BRACKET, MOUNT, LEFT, BLACK, TROV 2.0</v>
          </cell>
          <cell r="E1335" t="str">
            <v>C</v>
          </cell>
          <cell r="F1335" t="str">
            <v>Bracket</v>
          </cell>
          <cell r="G1335">
            <v>1</v>
          </cell>
          <cell r="H1335">
            <v>0.99</v>
          </cell>
          <cell r="I1335" t="str">
            <v>Buy</v>
          </cell>
        </row>
        <row r="1336">
          <cell r="A1336" t="str">
            <v>ASY-006885-04</v>
          </cell>
          <cell r="B1336">
            <v>1</v>
          </cell>
          <cell r="C1336" t="str">
            <v>BKT-000458-03</v>
          </cell>
          <cell r="D1336" t="str">
            <v>BRACKET, MOUNT, RIGHT, BLACK, TROV 2.0</v>
          </cell>
          <cell r="E1336" t="str">
            <v>C</v>
          </cell>
          <cell r="F1336" t="str">
            <v>Bracket</v>
          </cell>
          <cell r="G1336">
            <v>1</v>
          </cell>
          <cell r="H1336">
            <v>0.99</v>
          </cell>
          <cell r="I1336" t="str">
            <v>Buy</v>
          </cell>
        </row>
        <row r="1337">
          <cell r="A1337" t="str">
            <v>ASY-006885-04</v>
          </cell>
          <cell r="B1337">
            <v>1</v>
          </cell>
          <cell r="C1337" t="str">
            <v>CVR-000791-0C</v>
          </cell>
          <cell r="D1337" t="str">
            <v>END COVER, FC, CUSTOM FINISH, L45, TROV 2.0</v>
          </cell>
          <cell r="E1337" t="str">
            <v>E</v>
          </cell>
          <cell r="F1337" t="str">
            <v>Cover</v>
          </cell>
          <cell r="G1337">
            <v>1</v>
          </cell>
          <cell r="H1337">
            <v>0</v>
          </cell>
          <cell r="I1337" t="str">
            <v>Buy</v>
          </cell>
        </row>
        <row r="1338">
          <cell r="A1338" t="str">
            <v>ASY-006885-04</v>
          </cell>
          <cell r="B1338">
            <v>1</v>
          </cell>
          <cell r="C1338" t="str">
            <v>CVR-000894-0C</v>
          </cell>
          <cell r="D1338" t="str">
            <v>END COVER, MC, CUSTOM FINISH, L45, TROV 2.0</v>
          </cell>
          <cell r="E1338" t="str">
            <v>C</v>
          </cell>
          <cell r="F1338" t="str">
            <v>Cover</v>
          </cell>
          <cell r="G1338">
            <v>1</v>
          </cell>
          <cell r="H1338">
            <v>0</v>
          </cell>
          <cell r="I1338" t="str">
            <v>Buy</v>
          </cell>
        </row>
        <row r="1339">
          <cell r="A1339" t="str">
            <v>ASY-006885-04</v>
          </cell>
          <cell r="B1339">
            <v>1</v>
          </cell>
          <cell r="C1339" t="str">
            <v>FOM-000029-00</v>
          </cell>
          <cell r="D1339" t="str">
            <v>FOAM, LIGHTBLOCK, ENDCAP, L45, TROV2</v>
          </cell>
          <cell r="E1339" t="str">
            <v>A</v>
          </cell>
          <cell r="F1339" t="str">
            <v>Foam</v>
          </cell>
          <cell r="G1339">
            <v>2</v>
          </cell>
          <cell r="H1339">
            <v>0.02</v>
          </cell>
          <cell r="I1339" t="str">
            <v>Buy</v>
          </cell>
        </row>
        <row r="1340">
          <cell r="A1340" t="str">
            <v>ASY-006885-04</v>
          </cell>
          <cell r="B1340">
            <v>1</v>
          </cell>
          <cell r="C1340" t="str">
            <v>GSK-000112-01</v>
          </cell>
          <cell r="D1340" t="str">
            <v>GASKET, TERTIARY LENS, 3M, 1 FT, L45, TROV 2.0</v>
          </cell>
          <cell r="E1340" t="str">
            <v>D</v>
          </cell>
          <cell r="F1340" t="str">
            <v>Gasket</v>
          </cell>
          <cell r="G1340">
            <v>1</v>
          </cell>
          <cell r="H1340">
            <v>1.75</v>
          </cell>
          <cell r="I1340" t="str">
            <v>Buy</v>
          </cell>
        </row>
        <row r="1341">
          <cell r="A1341" t="str">
            <v>ASY-006885-04</v>
          </cell>
          <cell r="B1341">
            <v>1</v>
          </cell>
          <cell r="C1341" t="str">
            <v>GSK-000121-01</v>
          </cell>
          <cell r="D1341" t="str">
            <v>GASKET, DRIVER ENCLOSURE, 3M, 1 FT, TROV 2.0</v>
          </cell>
          <cell r="E1341" t="str">
            <v>B</v>
          </cell>
          <cell r="F1341" t="str">
            <v>Gasket</v>
          </cell>
          <cell r="G1341">
            <v>1</v>
          </cell>
          <cell r="H1341">
            <v>1.7</v>
          </cell>
          <cell r="I1341" t="str">
            <v>Buy</v>
          </cell>
        </row>
        <row r="1342">
          <cell r="A1342" t="str">
            <v>ASY-006885-04</v>
          </cell>
          <cell r="B1342">
            <v>1</v>
          </cell>
          <cell r="C1342" t="str">
            <v>HSG-000491-0C</v>
          </cell>
          <cell r="D1342" t="str">
            <v>HOUSING, TOP, 1 FT, L45, CUSTOM FINISH, TROV 2.0</v>
          </cell>
          <cell r="E1342" t="str">
            <v>E</v>
          </cell>
          <cell r="F1342" t="str">
            <v>Housing</v>
          </cell>
          <cell r="G1342">
            <v>1</v>
          </cell>
          <cell r="H1342">
            <v>0</v>
          </cell>
          <cell r="I1342" t="str">
            <v>Buy</v>
          </cell>
        </row>
        <row r="1343">
          <cell r="A1343" t="str">
            <v>ASY-006885-04</v>
          </cell>
          <cell r="B1343">
            <v>1</v>
          </cell>
          <cell r="C1343" t="str">
            <v>HSG-000492-0C</v>
          </cell>
          <cell r="D1343" t="str">
            <v>HOUSING, BOTTOM, 1 FT, CUSTOM FINISH, TROV 2.0</v>
          </cell>
          <cell r="E1343" t="str">
            <v>F</v>
          </cell>
          <cell r="F1343" t="str">
            <v>Housing</v>
          </cell>
          <cell r="G1343">
            <v>1</v>
          </cell>
          <cell r="H1343">
            <v>3.34</v>
          </cell>
          <cell r="I1343" t="str">
            <v>Buy</v>
          </cell>
        </row>
        <row r="1344">
          <cell r="A1344" t="str">
            <v>ASY-006885-04</v>
          </cell>
          <cell r="B1344">
            <v>1</v>
          </cell>
          <cell r="C1344" t="str">
            <v>LBA-000003-00</v>
          </cell>
          <cell r="D1344" t="str">
            <v>Label: TROV 2 P1/P2, Model L45/L60</v>
          </cell>
          <cell r="E1344" t="str">
            <v>A</v>
          </cell>
          <cell r="F1344" t="str">
            <v>Label BOM</v>
          </cell>
          <cell r="G1344">
            <v>1</v>
          </cell>
          <cell r="H1344">
            <v>0</v>
          </cell>
          <cell r="I1344" t="str">
            <v>Make</v>
          </cell>
        </row>
        <row r="1345">
          <cell r="A1345" t="str">
            <v>ASY-006885-04</v>
          </cell>
          <cell r="B1345">
            <v>2</v>
          </cell>
          <cell r="C1345" t="str">
            <v>LBL-000243-00</v>
          </cell>
          <cell r="D1345" t="str">
            <v>Blank Product Label: Trov 2 P1/P2, Model L45/L60</v>
          </cell>
          <cell r="E1345" t="str">
            <v>A</v>
          </cell>
          <cell r="F1345" t="str">
            <v>Label</v>
          </cell>
          <cell r="G1345">
            <v>1</v>
          </cell>
          <cell r="H1345">
            <v>0.33</v>
          </cell>
          <cell r="I1345" t="str">
            <v>Buy</v>
          </cell>
        </row>
        <row r="1346">
          <cell r="A1346" t="str">
            <v>ASY-006885-04</v>
          </cell>
          <cell r="B1346">
            <v>1</v>
          </cell>
          <cell r="C1346" t="str">
            <v>PLG-000009-01</v>
          </cell>
          <cell r="D1346" t="str">
            <v>Porex Vent, Trov, L50 Exterior</v>
          </cell>
          <cell r="E1346" t="str">
            <v>B</v>
          </cell>
          <cell r="F1346" t="str">
            <v>Plug</v>
          </cell>
          <cell r="G1346">
            <v>1</v>
          </cell>
          <cell r="H1346">
            <v>0.17</v>
          </cell>
          <cell r="I1346" t="str">
            <v>Buy</v>
          </cell>
        </row>
        <row r="1347">
          <cell r="A1347" t="str">
            <v>ASY-006885-04</v>
          </cell>
          <cell r="B1347">
            <v>1</v>
          </cell>
          <cell r="C1347" t="str">
            <v>SCW-000156-00</v>
          </cell>
          <cell r="D1347" t="str">
            <v>SCREW, M3 x 0.5 X 8mm, PAND HEAD, PHILLIPS, STEEL</v>
          </cell>
          <cell r="E1347" t="str">
            <v>B</v>
          </cell>
          <cell r="F1347" t="str">
            <v>Screw</v>
          </cell>
          <cell r="G1347">
            <v>2</v>
          </cell>
          <cell r="H1347">
            <v>4.4400000000000002E-2</v>
          </cell>
          <cell r="I1347" t="str">
            <v>Buy</v>
          </cell>
        </row>
        <row r="1348">
          <cell r="A1348" t="str">
            <v>ASY-006885-04</v>
          </cell>
          <cell r="B1348">
            <v>1</v>
          </cell>
          <cell r="C1348" t="str">
            <v>SCW-000483-00</v>
          </cell>
          <cell r="D1348" t="str">
            <v>SCREW, PHILIPS FLAT HEAD, M2.5x0.45x5 , 18-8 SST</v>
          </cell>
          <cell r="E1348" t="str">
            <v>A</v>
          </cell>
          <cell r="F1348" t="str">
            <v>Screw</v>
          </cell>
          <cell r="G1348">
            <v>4</v>
          </cell>
          <cell r="H1348">
            <v>0.02</v>
          </cell>
          <cell r="I1348" t="str">
            <v>Buy</v>
          </cell>
        </row>
        <row r="1349">
          <cell r="A1349" t="str">
            <v>ASY-006885-04</v>
          </cell>
          <cell r="B1349">
            <v>1</v>
          </cell>
          <cell r="C1349" t="str">
            <v>SCW-000556-00</v>
          </cell>
          <cell r="D1349" t="str">
            <v>SCREW, HEX, SERRATED, #8-32, GROUNDING, TROV 2</v>
          </cell>
          <cell r="E1349" t="str">
            <v>A</v>
          </cell>
          <cell r="F1349" t="str">
            <v>Screw</v>
          </cell>
          <cell r="G1349">
            <v>1</v>
          </cell>
          <cell r="H1349">
            <v>0.04</v>
          </cell>
          <cell r="I1349" t="str">
            <v>Buy</v>
          </cell>
        </row>
        <row r="1350">
          <cell r="A1350" t="str">
            <v>ASY-006885-04</v>
          </cell>
          <cell r="B1350">
            <v>1</v>
          </cell>
          <cell r="C1350" t="str">
            <v>SCW-000574-00</v>
          </cell>
          <cell r="D1350" t="str">
            <v>SCREW, TORX HEAD, 1/4-28x1/2", LOW PROFILE, ALLOY STEEL</v>
          </cell>
          <cell r="E1350" t="str">
            <v>A</v>
          </cell>
          <cell r="F1350" t="str">
            <v>Screw</v>
          </cell>
          <cell r="G1350">
            <v>2</v>
          </cell>
          <cell r="H1350">
            <v>0.14000000000000001</v>
          </cell>
          <cell r="I1350" t="str">
            <v>Buy</v>
          </cell>
        </row>
        <row r="1351">
          <cell r="A1351" t="str">
            <v>ASY-006885-04</v>
          </cell>
          <cell r="B1351">
            <v>1</v>
          </cell>
          <cell r="C1351" t="str">
            <v>SHT-000042-00</v>
          </cell>
          <cell r="D1351" t="str">
            <v>INSULATION SHEET, MP/LP HBA, TROV 2</v>
          </cell>
          <cell r="E1351" t="str">
            <v>D</v>
          </cell>
          <cell r="F1351" t="str">
            <v>Sheet</v>
          </cell>
          <cell r="G1351">
            <v>1</v>
          </cell>
          <cell r="H1351">
            <v>0.16</v>
          </cell>
          <cell r="I1351" t="str">
            <v>Buy</v>
          </cell>
        </row>
        <row r="1352">
          <cell r="A1352" t="str">
            <v>ASY-006885-04</v>
          </cell>
          <cell r="B1352">
            <v>1</v>
          </cell>
          <cell r="C1352" t="str">
            <v>SPG-000023-00</v>
          </cell>
          <cell r="D1352" t="str">
            <v>SPRING, DISC, STACKED WAVE, TROV 2.0</v>
          </cell>
          <cell r="E1352" t="str">
            <v>A</v>
          </cell>
          <cell r="F1352" t="str">
            <v>Spring</v>
          </cell>
          <cell r="G1352">
            <v>2</v>
          </cell>
          <cell r="H1352">
            <v>1.74</v>
          </cell>
          <cell r="I1352" t="str">
            <v>Buy</v>
          </cell>
        </row>
        <row r="1353">
          <cell r="A1353" t="str">
            <v>ASY-006885-04</v>
          </cell>
          <cell r="B1353">
            <v>1</v>
          </cell>
          <cell r="C1353" t="str">
            <v>TAP-000031-00</v>
          </cell>
          <cell r="D1353" t="str">
            <v>3M Electrical Tape 92</v>
          </cell>
          <cell r="E1353" t="str">
            <v>A</v>
          </cell>
          <cell r="F1353" t="str">
            <v>Tape</v>
          </cell>
          <cell r="G1353">
            <v>120</v>
          </cell>
          <cell r="H1353">
            <v>1.4E-2</v>
          </cell>
          <cell r="I1353" t="str">
            <v>Buy</v>
          </cell>
        </row>
        <row r="1354">
          <cell r="A1354" t="str">
            <v>ASY-006885-04</v>
          </cell>
          <cell r="B1354">
            <v>1</v>
          </cell>
          <cell r="C1354" t="str">
            <v>TMP-000027-00</v>
          </cell>
          <cell r="D1354" t="str">
            <v>Thermal Pad, LED PCBA, 1 FT, TROV 2</v>
          </cell>
          <cell r="E1354" t="str">
            <v>B</v>
          </cell>
          <cell r="F1354" t="str">
            <v>Thermal Pad</v>
          </cell>
          <cell r="G1354">
            <v>1</v>
          </cell>
          <cell r="H1354">
            <v>0.72</v>
          </cell>
          <cell r="I1354" t="str">
            <v>Buy</v>
          </cell>
        </row>
        <row r="1355">
          <cell r="A1355" t="str">
            <v>ASY-006885-04</v>
          </cell>
          <cell r="B1355">
            <v>1</v>
          </cell>
          <cell r="C1355" t="str">
            <v>TMP-000029-00</v>
          </cell>
          <cell r="D1355" t="str">
            <v>Thermal Pad, HBA, TROV 2</v>
          </cell>
          <cell r="E1355" t="str">
            <v>B</v>
          </cell>
          <cell r="F1355" t="str">
            <v>Thermal Pad</v>
          </cell>
          <cell r="G1355">
            <v>2</v>
          </cell>
          <cell r="H1355">
            <v>0.14000000000000001</v>
          </cell>
          <cell r="I1355" t="str">
            <v>Buy</v>
          </cell>
        </row>
        <row r="1356">
          <cell r="A1356" t="str">
            <v>ASY-006886-00</v>
          </cell>
          <cell r="B1356">
            <v>0</v>
          </cell>
          <cell r="C1356" t="str">
            <v>ASY-006886-00</v>
          </cell>
          <cell r="D1356" t="str">
            <v>ASSY, MECHANICAL, L45, INDOOR, 4 FT, TROV 2.0, SILVER</v>
          </cell>
          <cell r="E1356" t="str">
            <v>F</v>
          </cell>
          <cell r="F1356" t="str">
            <v>Sub assembly</v>
          </cell>
          <cell r="H1356">
            <v>0</v>
          </cell>
          <cell r="I1356" t="str">
            <v>Make</v>
          </cell>
        </row>
        <row r="1357">
          <cell r="A1357" t="str">
            <v>ASY-006886-00</v>
          </cell>
          <cell r="B1357">
            <v>1</v>
          </cell>
          <cell r="C1357" t="str">
            <v>ACB-000261-00</v>
          </cell>
          <cell r="D1357" t="str">
            <v>CABLE, ECOBUS, 24AWG, SHORT, TROV 2</v>
          </cell>
          <cell r="E1357" t="str">
            <v>B</v>
          </cell>
          <cell r="F1357" t="str">
            <v>Cable</v>
          </cell>
          <cell r="G1357">
            <v>1</v>
          </cell>
          <cell r="H1357">
            <v>0.76</v>
          </cell>
          <cell r="I1357" t="str">
            <v>Buy</v>
          </cell>
        </row>
        <row r="1358">
          <cell r="A1358" t="str">
            <v>ASY-006886-00</v>
          </cell>
          <cell r="B1358">
            <v>1</v>
          </cell>
          <cell r="C1358" t="str">
            <v>ACB-000261-01</v>
          </cell>
          <cell r="D1358" t="str">
            <v>CABLE, ECOBUS, 24AWG, LONG, TROV 2</v>
          </cell>
          <cell r="E1358" t="str">
            <v>B</v>
          </cell>
          <cell r="F1358" t="str">
            <v>Cable</v>
          </cell>
          <cell r="G1358">
            <v>1</v>
          </cell>
          <cell r="H1358">
            <v>0.82</v>
          </cell>
          <cell r="I1358" t="str">
            <v>Buy</v>
          </cell>
        </row>
        <row r="1359">
          <cell r="A1359" t="str">
            <v>ASY-006886-00</v>
          </cell>
          <cell r="B1359">
            <v>1</v>
          </cell>
          <cell r="C1359" t="str">
            <v>ASY-100008-00</v>
          </cell>
          <cell r="D1359" t="str">
            <v>Cable Subassembly, Driver housing, 4ft, Trov 2</v>
          </cell>
          <cell r="E1359" t="str">
            <v>A</v>
          </cell>
          <cell r="F1359" t="str">
            <v>Sub assembly</v>
          </cell>
          <cell r="G1359">
            <v>1</v>
          </cell>
          <cell r="H1359">
            <v>0</v>
          </cell>
          <cell r="I1359" t="str">
            <v>Make</v>
          </cell>
        </row>
        <row r="1360">
          <cell r="A1360" t="str">
            <v>ASY-006886-00</v>
          </cell>
          <cell r="B1360">
            <v>2</v>
          </cell>
          <cell r="C1360" t="str">
            <v>ACB-000272-00</v>
          </cell>
          <cell r="D1360" t="str">
            <v>CABLE ASSY, INTRA-FIXTURE, 4FT, TROV 2.0</v>
          </cell>
          <cell r="E1360" t="str">
            <v>B</v>
          </cell>
          <cell r="F1360" t="str">
            <v>Cable Assembly</v>
          </cell>
          <cell r="G1360">
            <v>1</v>
          </cell>
          <cell r="H1360">
            <v>20.420000000000002</v>
          </cell>
          <cell r="I1360" t="str">
            <v>Buy</v>
          </cell>
        </row>
        <row r="1361">
          <cell r="A1361" t="str">
            <v>ASY-006886-00</v>
          </cell>
          <cell r="B1361">
            <v>3</v>
          </cell>
          <cell r="C1361" t="str">
            <v>ACB-000273-00</v>
          </cell>
          <cell r="D1361" t="str">
            <v>6 CONDUCTOR CABLE, 3X22AWG, 3X16AWG, AL MYLAR, TROV 2</v>
          </cell>
          <cell r="E1361" t="str">
            <v>A</v>
          </cell>
          <cell r="F1361" t="str">
            <v>Cable</v>
          </cell>
          <cell r="G1361">
            <v>1</v>
          </cell>
          <cell r="H1361">
            <v>0</v>
          </cell>
          <cell r="I1361" t="str">
            <v>N/A</v>
          </cell>
        </row>
        <row r="1362">
          <cell r="A1362" t="str">
            <v>ASY-006886-00</v>
          </cell>
          <cell r="B1362">
            <v>3</v>
          </cell>
          <cell r="C1362" t="str">
            <v>ACB-000274-00</v>
          </cell>
          <cell r="D1362" t="str">
            <v>CABLE ASSEMBLY, INTERNAL, DRIVER SIDE, 4FT, TROV 2</v>
          </cell>
          <cell r="E1362" t="str">
            <v>A</v>
          </cell>
          <cell r="F1362" t="str">
            <v>Cable Assembly</v>
          </cell>
          <cell r="G1362">
            <v>1</v>
          </cell>
          <cell r="H1362">
            <v>0</v>
          </cell>
          <cell r="I1362" t="str">
            <v>N/A</v>
          </cell>
        </row>
        <row r="1363">
          <cell r="A1363" t="str">
            <v>ASY-006886-00</v>
          </cell>
          <cell r="B1363">
            <v>3</v>
          </cell>
          <cell r="C1363" t="str">
            <v>CON-000259-00</v>
          </cell>
          <cell r="D1363" t="str">
            <v>CONNECTOR, MALE, 6 PIN, TROV 2</v>
          </cell>
          <cell r="E1363" t="str">
            <v>B</v>
          </cell>
          <cell r="F1363" t="str">
            <v>Connector</v>
          </cell>
          <cell r="G1363">
            <v>1</v>
          </cell>
          <cell r="H1363">
            <v>0</v>
          </cell>
          <cell r="I1363" t="str">
            <v>N/A</v>
          </cell>
        </row>
        <row r="1364">
          <cell r="A1364" t="str">
            <v>ASY-006886-00</v>
          </cell>
          <cell r="B1364">
            <v>3</v>
          </cell>
          <cell r="C1364" t="str">
            <v>CON-000260-00</v>
          </cell>
          <cell r="D1364" t="str">
            <v>CONNECTOR, FEMALE, 6 PIN, TROV 2</v>
          </cell>
          <cell r="E1364" t="str">
            <v>A</v>
          </cell>
          <cell r="F1364" t="str">
            <v>Connector</v>
          </cell>
          <cell r="G1364">
            <v>1</v>
          </cell>
          <cell r="H1364">
            <v>0</v>
          </cell>
          <cell r="I1364" t="str">
            <v>N/A</v>
          </cell>
        </row>
        <row r="1365">
          <cell r="A1365" t="str">
            <v>ASY-006886-00</v>
          </cell>
          <cell r="B1365">
            <v>3</v>
          </cell>
          <cell r="C1365" t="str">
            <v>HSG-000330-00</v>
          </cell>
          <cell r="D1365" t="str">
            <v>DRIVER HOUSING, 4 FT, TROV 2</v>
          </cell>
          <cell r="E1365" t="str">
            <v>A</v>
          </cell>
          <cell r="F1365" t="str">
            <v>Housing</v>
          </cell>
          <cell r="G1365">
            <v>1</v>
          </cell>
          <cell r="H1365">
            <v>0</v>
          </cell>
          <cell r="I1365" t="str">
            <v>N/A</v>
          </cell>
        </row>
        <row r="1366">
          <cell r="A1366" t="str">
            <v>ASY-006886-00</v>
          </cell>
          <cell r="B1366">
            <v>3</v>
          </cell>
          <cell r="C1366" t="str">
            <v>ORG-000060-00</v>
          </cell>
          <cell r="D1366" t="str">
            <v>O-RING, CABLE, TROV 2</v>
          </cell>
          <cell r="E1366" t="str">
            <v>A</v>
          </cell>
          <cell r="F1366" t="str">
            <v>O-Ring</v>
          </cell>
          <cell r="G1366">
            <v>1</v>
          </cell>
          <cell r="H1366">
            <v>0</v>
          </cell>
          <cell r="I1366" t="str">
            <v>N/A</v>
          </cell>
        </row>
        <row r="1367">
          <cell r="A1367" t="str">
            <v>ASY-006886-00</v>
          </cell>
          <cell r="B1367">
            <v>3</v>
          </cell>
          <cell r="C1367" t="str">
            <v>SRF-000030-00</v>
          </cell>
          <cell r="D1367" t="str">
            <v>STRAIN RELIEF, CABLE, TROV 2</v>
          </cell>
          <cell r="E1367" t="str">
            <v>A</v>
          </cell>
          <cell r="F1367" t="str">
            <v>Strain Relief</v>
          </cell>
          <cell r="G1367">
            <v>1</v>
          </cell>
          <cell r="H1367">
            <v>0</v>
          </cell>
          <cell r="I1367" t="str">
            <v>N/A</v>
          </cell>
        </row>
        <row r="1368">
          <cell r="A1368" t="str">
            <v>ASY-006886-00</v>
          </cell>
          <cell r="B1368">
            <v>2</v>
          </cell>
          <cell r="C1368" t="str">
            <v>BKT-000517-00</v>
          </cell>
          <cell r="D1368" t="str">
            <v>BRACKET, ROTATING LOCK, 4 FT, TROV 2.0</v>
          </cell>
          <cell r="E1368" t="str">
            <v>B</v>
          </cell>
          <cell r="F1368" t="str">
            <v>Bracket</v>
          </cell>
          <cell r="G1368">
            <v>1</v>
          </cell>
          <cell r="H1368">
            <v>0.9</v>
          </cell>
          <cell r="I1368" t="str">
            <v>Buy</v>
          </cell>
        </row>
        <row r="1369">
          <cell r="A1369" t="str">
            <v>ASY-006886-00</v>
          </cell>
          <cell r="B1369">
            <v>2</v>
          </cell>
          <cell r="C1369" t="str">
            <v>BKT-000518-00</v>
          </cell>
          <cell r="D1369" t="str">
            <v>BRACKET, PANEL MOUNT, 4 FT, TROV 2.0</v>
          </cell>
          <cell r="E1369" t="str">
            <v>B</v>
          </cell>
          <cell r="F1369" t="str">
            <v>Bracket</v>
          </cell>
          <cell r="G1369">
            <v>1</v>
          </cell>
          <cell r="H1369">
            <v>0.9</v>
          </cell>
          <cell r="I1369" t="str">
            <v>Buy</v>
          </cell>
        </row>
        <row r="1370">
          <cell r="A1370" t="str">
            <v>ASY-006886-00</v>
          </cell>
          <cell r="B1370">
            <v>2</v>
          </cell>
          <cell r="C1370" t="str">
            <v>SCW-000509-00</v>
          </cell>
          <cell r="D1370" t="str">
            <v>SCREW, SEALING FLAT HEAD, M3x0.5x8MM</v>
          </cell>
          <cell r="E1370" t="str">
            <v>B</v>
          </cell>
          <cell r="F1370" t="str">
            <v>Screw</v>
          </cell>
          <cell r="G1370">
            <v>2</v>
          </cell>
          <cell r="H1370">
            <v>0.4</v>
          </cell>
          <cell r="I1370" t="str">
            <v>Buy</v>
          </cell>
        </row>
        <row r="1371">
          <cell r="A1371" t="str">
            <v>ASY-006886-00</v>
          </cell>
          <cell r="B1371">
            <v>1</v>
          </cell>
          <cell r="C1371" t="str">
            <v>BAS-000021-00</v>
          </cell>
          <cell r="D1371" t="str">
            <v>BASE, 4FT, TROV 2.0</v>
          </cell>
          <cell r="E1371" t="str">
            <v>F</v>
          </cell>
          <cell r="F1371" t="str">
            <v>Base</v>
          </cell>
          <cell r="G1371">
            <v>1</v>
          </cell>
          <cell r="H1371">
            <v>14.25</v>
          </cell>
          <cell r="I1371" t="str">
            <v>Buy</v>
          </cell>
        </row>
        <row r="1372">
          <cell r="A1372" t="str">
            <v>ASY-006886-00</v>
          </cell>
          <cell r="B1372">
            <v>1</v>
          </cell>
          <cell r="C1372" t="str">
            <v>BKT-000457-03</v>
          </cell>
          <cell r="D1372" t="str">
            <v>BRACKET, MOUNT, LEFT, BLACK, TROV 2.0</v>
          </cell>
          <cell r="E1372" t="str">
            <v>C</v>
          </cell>
          <cell r="F1372" t="str">
            <v>Bracket</v>
          </cell>
          <cell r="G1372">
            <v>1</v>
          </cell>
          <cell r="H1372">
            <v>0.99</v>
          </cell>
          <cell r="I1372" t="str">
            <v>Buy</v>
          </cell>
        </row>
        <row r="1373">
          <cell r="A1373" t="str">
            <v>ASY-006886-00</v>
          </cell>
          <cell r="B1373">
            <v>1</v>
          </cell>
          <cell r="C1373" t="str">
            <v>BKT-000458-03</v>
          </cell>
          <cell r="D1373" t="str">
            <v>BRACKET, MOUNT, RIGHT, BLACK, TROV 2.0</v>
          </cell>
          <cell r="E1373" t="str">
            <v>C</v>
          </cell>
          <cell r="F1373" t="str">
            <v>Bracket</v>
          </cell>
          <cell r="G1373">
            <v>1</v>
          </cell>
          <cell r="H1373">
            <v>0.99</v>
          </cell>
          <cell r="I1373" t="str">
            <v>Buy</v>
          </cell>
        </row>
        <row r="1374">
          <cell r="A1374" t="str">
            <v>ASY-006886-00</v>
          </cell>
          <cell r="B1374">
            <v>1</v>
          </cell>
          <cell r="C1374" t="str">
            <v>CVR-000791-03</v>
          </cell>
          <cell r="D1374" t="str">
            <v>END COVER, FC, BLACK, L45, TROV 2.0</v>
          </cell>
          <cell r="E1374" t="str">
            <v>D</v>
          </cell>
          <cell r="F1374" t="str">
            <v>Cover</v>
          </cell>
          <cell r="G1374">
            <v>1</v>
          </cell>
          <cell r="H1374">
            <v>1.07</v>
          </cell>
          <cell r="I1374" t="str">
            <v>Buy</v>
          </cell>
        </row>
        <row r="1375">
          <cell r="A1375" t="str">
            <v>ASY-006886-00</v>
          </cell>
          <cell r="B1375">
            <v>1</v>
          </cell>
          <cell r="C1375" t="str">
            <v>CVR-000894-03</v>
          </cell>
          <cell r="D1375" t="str">
            <v>END COVER, MC, BLACK, L45, TROV 2.0</v>
          </cell>
          <cell r="E1375" t="str">
            <v>B</v>
          </cell>
          <cell r="F1375" t="str">
            <v>Cover</v>
          </cell>
          <cell r="G1375">
            <v>1</v>
          </cell>
          <cell r="H1375">
            <v>1.07</v>
          </cell>
          <cell r="I1375" t="str">
            <v>Buy</v>
          </cell>
        </row>
        <row r="1376">
          <cell r="A1376" t="str">
            <v>ASY-006886-00</v>
          </cell>
          <cell r="B1376">
            <v>1</v>
          </cell>
          <cell r="C1376" t="str">
            <v>FOM-000029-00</v>
          </cell>
          <cell r="D1376" t="str">
            <v>FOAM, LIGHTBLOCK, ENDCAP, L45, TROV2</v>
          </cell>
          <cell r="E1376" t="str">
            <v>A</v>
          </cell>
          <cell r="F1376" t="str">
            <v>Foam</v>
          </cell>
          <cell r="G1376">
            <v>2</v>
          </cell>
          <cell r="H1376">
            <v>0.02</v>
          </cell>
          <cell r="I1376" t="str">
            <v>Buy</v>
          </cell>
        </row>
        <row r="1377">
          <cell r="A1377" t="str">
            <v>ASY-006886-00</v>
          </cell>
          <cell r="B1377">
            <v>1</v>
          </cell>
          <cell r="C1377" t="str">
            <v>GSK-000114-01</v>
          </cell>
          <cell r="D1377" t="str">
            <v>GASKET, TERTIARY LENS, 3M, 2 FT, L45, TROV 2.0</v>
          </cell>
          <cell r="E1377" t="str">
            <v>D</v>
          </cell>
          <cell r="F1377" t="str">
            <v>Gasket</v>
          </cell>
          <cell r="G1377">
            <v>2</v>
          </cell>
          <cell r="H1377">
            <v>2.65</v>
          </cell>
          <cell r="I1377" t="str">
            <v>Buy</v>
          </cell>
        </row>
        <row r="1378">
          <cell r="A1378" t="str">
            <v>ASY-006886-00</v>
          </cell>
          <cell r="B1378">
            <v>1</v>
          </cell>
          <cell r="C1378" t="str">
            <v>GSK-000122-01</v>
          </cell>
          <cell r="D1378" t="str">
            <v>GASKET, DRIVER ENCLOSURE, 3M, 4 FT, TROV 2.0</v>
          </cell>
          <cell r="E1378" t="str">
            <v>B</v>
          </cell>
          <cell r="F1378" t="str">
            <v>Gasket</v>
          </cell>
          <cell r="G1378">
            <v>1</v>
          </cell>
          <cell r="H1378">
            <v>2.0299999999999998</v>
          </cell>
          <cell r="I1378" t="str">
            <v>Buy</v>
          </cell>
        </row>
        <row r="1379">
          <cell r="A1379" t="str">
            <v>ASY-006886-00</v>
          </cell>
          <cell r="B1379">
            <v>1</v>
          </cell>
          <cell r="C1379" t="str">
            <v>HSG-000494-01</v>
          </cell>
          <cell r="D1379" t="str">
            <v>HOUSING, TOP, 4 FT, L45, SILVER, TROV 2.0</v>
          </cell>
          <cell r="E1379" t="str">
            <v>E</v>
          </cell>
          <cell r="F1379" t="str">
            <v>Housing</v>
          </cell>
          <cell r="G1379">
            <v>1</v>
          </cell>
          <cell r="H1379">
            <v>14.25</v>
          </cell>
          <cell r="I1379" t="str">
            <v>Buy</v>
          </cell>
        </row>
        <row r="1380">
          <cell r="A1380" t="str">
            <v>ASY-006886-00</v>
          </cell>
          <cell r="B1380">
            <v>1</v>
          </cell>
          <cell r="C1380" t="str">
            <v>HSG-000495-01</v>
          </cell>
          <cell r="D1380" t="str">
            <v>HOUSING, BOTTOM, 4 FT, SILVER, TROV 2.0</v>
          </cell>
          <cell r="E1380" t="str">
            <v>F</v>
          </cell>
          <cell r="F1380" t="str">
            <v>Housing</v>
          </cell>
          <cell r="G1380">
            <v>1</v>
          </cell>
          <cell r="H1380">
            <v>32.49</v>
          </cell>
          <cell r="I1380" t="str">
            <v>Buy</v>
          </cell>
        </row>
        <row r="1381">
          <cell r="A1381" t="str">
            <v>ASY-006886-00</v>
          </cell>
          <cell r="B1381">
            <v>1</v>
          </cell>
          <cell r="C1381" t="str">
            <v>LBA-000003-00</v>
          </cell>
          <cell r="D1381" t="str">
            <v>Label: TROV 2 P1/P2, Model L45/L60</v>
          </cell>
          <cell r="E1381" t="str">
            <v>A</v>
          </cell>
          <cell r="F1381" t="str">
            <v>Label BOM</v>
          </cell>
          <cell r="G1381">
            <v>1</v>
          </cell>
          <cell r="H1381">
            <v>0</v>
          </cell>
          <cell r="I1381" t="str">
            <v>Make</v>
          </cell>
        </row>
        <row r="1382">
          <cell r="A1382" t="str">
            <v>ASY-006886-00</v>
          </cell>
          <cell r="B1382">
            <v>2</v>
          </cell>
          <cell r="C1382" t="str">
            <v>LBL-000243-00</v>
          </cell>
          <cell r="D1382" t="str">
            <v>Blank Product Label: Trov 2 P1/P2, Model L45/L60</v>
          </cell>
          <cell r="E1382" t="str">
            <v>A</v>
          </cell>
          <cell r="F1382" t="str">
            <v>Label</v>
          </cell>
          <cell r="G1382">
            <v>1</v>
          </cell>
          <cell r="H1382">
            <v>0.33</v>
          </cell>
          <cell r="I1382" t="str">
            <v>Buy</v>
          </cell>
        </row>
        <row r="1383">
          <cell r="A1383" t="str">
            <v>ASY-006886-00</v>
          </cell>
          <cell r="B1383">
            <v>1</v>
          </cell>
          <cell r="C1383" t="str">
            <v>PLG-000009-01</v>
          </cell>
          <cell r="D1383" t="str">
            <v>Porex Vent, Trov, L50 Exterior</v>
          </cell>
          <cell r="E1383" t="str">
            <v>B</v>
          </cell>
          <cell r="F1383" t="str">
            <v>Plug</v>
          </cell>
          <cell r="G1383">
            <v>2</v>
          </cell>
          <cell r="H1383">
            <v>0.17</v>
          </cell>
          <cell r="I1383" t="str">
            <v>Buy</v>
          </cell>
        </row>
        <row r="1384">
          <cell r="A1384" t="str">
            <v>ASY-006886-00</v>
          </cell>
          <cell r="B1384">
            <v>1</v>
          </cell>
          <cell r="C1384" t="str">
            <v>SCW-000156-00</v>
          </cell>
          <cell r="D1384" t="str">
            <v>SCREW, M3 x 0.5 X 8mm, PAND HEAD, PHILLIPS, STEEL</v>
          </cell>
          <cell r="E1384" t="str">
            <v>B</v>
          </cell>
          <cell r="F1384" t="str">
            <v>Screw</v>
          </cell>
          <cell r="G1384">
            <v>6</v>
          </cell>
          <cell r="H1384">
            <v>4.4400000000000002E-2</v>
          </cell>
          <cell r="I1384" t="str">
            <v>Buy</v>
          </cell>
        </row>
        <row r="1385">
          <cell r="A1385" t="str">
            <v>ASY-006886-00</v>
          </cell>
          <cell r="B1385">
            <v>1</v>
          </cell>
          <cell r="C1385" t="str">
            <v>SCW-000483-00</v>
          </cell>
          <cell r="D1385" t="str">
            <v>SCREW, PHILIPS FLAT HEAD, M2.5x0.45x5 , 18-8 SST</v>
          </cell>
          <cell r="E1385" t="str">
            <v>A</v>
          </cell>
          <cell r="F1385" t="str">
            <v>Screw</v>
          </cell>
          <cell r="G1385">
            <v>4</v>
          </cell>
          <cell r="H1385">
            <v>0.02</v>
          </cell>
          <cell r="I1385" t="str">
            <v>Buy</v>
          </cell>
        </row>
        <row r="1386">
          <cell r="A1386" t="str">
            <v>ASY-006886-00</v>
          </cell>
          <cell r="B1386">
            <v>1</v>
          </cell>
          <cell r="C1386" t="str">
            <v>SCW-000556-00</v>
          </cell>
          <cell r="D1386" t="str">
            <v>SCREW, HEX, SERRATED, #8-32, GROUNDING, TROV 2</v>
          </cell>
          <cell r="E1386" t="str">
            <v>A</v>
          </cell>
          <cell r="F1386" t="str">
            <v>Screw</v>
          </cell>
          <cell r="G1386">
            <v>1</v>
          </cell>
          <cell r="H1386">
            <v>0.04</v>
          </cell>
          <cell r="I1386" t="str">
            <v>Buy</v>
          </cell>
        </row>
        <row r="1387">
          <cell r="A1387" t="str">
            <v>ASY-006886-00</v>
          </cell>
          <cell r="B1387">
            <v>1</v>
          </cell>
          <cell r="C1387" t="str">
            <v>SCW-000567-00</v>
          </cell>
          <cell r="D1387" t="str">
            <v>SCREW, M2.5 x 0.45 x 12.0mm LENGTH, PAN HD, PHILLIPS, ZINC-PLATED STEEL</v>
          </cell>
          <cell r="E1387" t="str">
            <v>A</v>
          </cell>
          <cell r="F1387" t="str">
            <v>Screw</v>
          </cell>
          <cell r="G1387">
            <v>4</v>
          </cell>
          <cell r="H1387">
            <v>0.06</v>
          </cell>
          <cell r="I1387" t="str">
            <v>Buy</v>
          </cell>
        </row>
        <row r="1388">
          <cell r="A1388" t="str">
            <v>ASY-006886-00</v>
          </cell>
          <cell r="B1388">
            <v>1</v>
          </cell>
          <cell r="C1388" t="str">
            <v>SCW-000574-00</v>
          </cell>
          <cell r="D1388" t="str">
            <v>SCREW, TORX HEAD, 1/4-28x1/2", LOW PROFILE, ALLOY STEEL</v>
          </cell>
          <cell r="E1388" t="str">
            <v>A</v>
          </cell>
          <cell r="F1388" t="str">
            <v>Screw</v>
          </cell>
          <cell r="G1388">
            <v>2</v>
          </cell>
          <cell r="H1388">
            <v>0.14000000000000001</v>
          </cell>
          <cell r="I1388" t="str">
            <v>Buy</v>
          </cell>
        </row>
        <row r="1389">
          <cell r="A1389" t="str">
            <v>ASY-006886-00</v>
          </cell>
          <cell r="B1389">
            <v>1</v>
          </cell>
          <cell r="C1389" t="str">
            <v>SHT-000043-00</v>
          </cell>
          <cell r="D1389" t="str">
            <v>INSULATION SHEET, HBA, 4FT,TROV 2</v>
          </cell>
          <cell r="E1389" t="str">
            <v>D</v>
          </cell>
          <cell r="F1389" t="str">
            <v>Sheet</v>
          </cell>
          <cell r="G1389">
            <v>1</v>
          </cell>
          <cell r="H1389">
            <v>0.25</v>
          </cell>
          <cell r="I1389" t="str">
            <v>Buy</v>
          </cell>
        </row>
        <row r="1390">
          <cell r="A1390" t="str">
            <v>ASY-006886-00</v>
          </cell>
          <cell r="B1390">
            <v>1</v>
          </cell>
          <cell r="C1390" t="str">
            <v>SPG-000023-00</v>
          </cell>
          <cell r="D1390" t="str">
            <v>SPRING, DISC, STACKED WAVE, TROV 2.0</v>
          </cell>
          <cell r="E1390" t="str">
            <v>A</v>
          </cell>
          <cell r="F1390" t="str">
            <v>Spring</v>
          </cell>
          <cell r="G1390">
            <v>2</v>
          </cell>
          <cell r="H1390">
            <v>1.74</v>
          </cell>
          <cell r="I1390" t="str">
            <v>Buy</v>
          </cell>
        </row>
        <row r="1391">
          <cell r="A1391" t="str">
            <v>ASY-006886-00</v>
          </cell>
          <cell r="B1391">
            <v>1</v>
          </cell>
          <cell r="C1391" t="str">
            <v>TAP-000031-00</v>
          </cell>
          <cell r="D1391" t="str">
            <v>3M Electrical Tape 92</v>
          </cell>
          <cell r="E1391" t="str">
            <v>A</v>
          </cell>
          <cell r="F1391" t="str">
            <v>Tape</v>
          </cell>
          <cell r="G1391">
            <v>120</v>
          </cell>
          <cell r="H1391">
            <v>1.4E-2</v>
          </cell>
          <cell r="I1391" t="str">
            <v>Buy</v>
          </cell>
        </row>
        <row r="1392">
          <cell r="A1392" t="str">
            <v>ASY-006886-00</v>
          </cell>
          <cell r="B1392">
            <v>1</v>
          </cell>
          <cell r="C1392" t="str">
            <v>TMP-000028-00</v>
          </cell>
          <cell r="D1392" t="str">
            <v>Thermal Pad, LED PCBA, 2 FT, TROV 2</v>
          </cell>
          <cell r="E1392" t="str">
            <v>B</v>
          </cell>
          <cell r="F1392" t="str">
            <v>Thermal Pad</v>
          </cell>
          <cell r="G1392">
            <v>2</v>
          </cell>
          <cell r="H1392">
            <v>1.32</v>
          </cell>
          <cell r="I1392" t="str">
            <v>Buy</v>
          </cell>
        </row>
        <row r="1393">
          <cell r="A1393" t="str">
            <v>ASY-006886-00</v>
          </cell>
          <cell r="B1393">
            <v>1</v>
          </cell>
          <cell r="C1393" t="str">
            <v>TMP-000029-00</v>
          </cell>
          <cell r="D1393" t="str">
            <v>Thermal Pad, HBA, TROV 2</v>
          </cell>
          <cell r="E1393" t="str">
            <v>B</v>
          </cell>
          <cell r="F1393" t="str">
            <v>Thermal Pad</v>
          </cell>
          <cell r="G1393">
            <v>2</v>
          </cell>
          <cell r="H1393">
            <v>0.14000000000000001</v>
          </cell>
          <cell r="I1393" t="str">
            <v>Buy</v>
          </cell>
        </row>
        <row r="1394">
          <cell r="A1394" t="str">
            <v>ASY-006886-01</v>
          </cell>
          <cell r="B1394">
            <v>0</v>
          </cell>
          <cell r="C1394" t="str">
            <v>ASY-006886-01</v>
          </cell>
          <cell r="D1394" t="str">
            <v>ASSY, MECHANICAL, L45, INDOOR, 4 FT, TROV 2.0, BLACK</v>
          </cell>
          <cell r="E1394" t="str">
            <v>F</v>
          </cell>
          <cell r="F1394" t="str">
            <v>Sub assembly</v>
          </cell>
          <cell r="H1394">
            <v>0</v>
          </cell>
          <cell r="I1394" t="str">
            <v>Make</v>
          </cell>
        </row>
        <row r="1395">
          <cell r="A1395" t="str">
            <v>ASY-006886-01</v>
          </cell>
          <cell r="B1395">
            <v>1</v>
          </cell>
          <cell r="C1395" t="str">
            <v>ACB-000261-00</v>
          </cell>
          <cell r="D1395" t="str">
            <v>CABLE, ECOBUS, 24AWG, SHORT, TROV 2</v>
          </cell>
          <cell r="E1395" t="str">
            <v>B</v>
          </cell>
          <cell r="F1395" t="str">
            <v>Cable</v>
          </cell>
          <cell r="G1395">
            <v>1</v>
          </cell>
          <cell r="H1395">
            <v>0.76</v>
          </cell>
          <cell r="I1395" t="str">
            <v>Buy</v>
          </cell>
        </row>
        <row r="1396">
          <cell r="A1396" t="str">
            <v>ASY-006886-01</v>
          </cell>
          <cell r="B1396">
            <v>1</v>
          </cell>
          <cell r="C1396" t="str">
            <v>ACB-000261-01</v>
          </cell>
          <cell r="D1396" t="str">
            <v>CABLE, ECOBUS, 24AWG, LONG, TROV 2</v>
          </cell>
          <cell r="E1396" t="str">
            <v>B</v>
          </cell>
          <cell r="F1396" t="str">
            <v>Cable</v>
          </cell>
          <cell r="G1396">
            <v>1</v>
          </cell>
          <cell r="H1396">
            <v>0.82</v>
          </cell>
          <cell r="I1396" t="str">
            <v>Buy</v>
          </cell>
        </row>
        <row r="1397">
          <cell r="A1397" t="str">
            <v>ASY-006886-01</v>
          </cell>
          <cell r="B1397">
            <v>1</v>
          </cell>
          <cell r="C1397" t="str">
            <v>ASY-100008-00</v>
          </cell>
          <cell r="D1397" t="str">
            <v>Cable Subassembly, Driver housing, 4ft, Trov 2</v>
          </cell>
          <cell r="E1397" t="str">
            <v>A</v>
          </cell>
          <cell r="F1397" t="str">
            <v>Sub assembly</v>
          </cell>
          <cell r="G1397">
            <v>1</v>
          </cell>
          <cell r="H1397">
            <v>0</v>
          </cell>
          <cell r="I1397" t="str">
            <v>Make</v>
          </cell>
        </row>
        <row r="1398">
          <cell r="A1398" t="str">
            <v>ASY-006886-01</v>
          </cell>
          <cell r="B1398">
            <v>2</v>
          </cell>
          <cell r="C1398" t="str">
            <v>ACB-000272-00</v>
          </cell>
          <cell r="D1398" t="str">
            <v>CABLE ASSY, INTRA-FIXTURE, 4FT, TROV 2.0</v>
          </cell>
          <cell r="E1398" t="str">
            <v>B</v>
          </cell>
          <cell r="F1398" t="str">
            <v>Cable Assembly</v>
          </cell>
          <cell r="G1398">
            <v>1</v>
          </cell>
          <cell r="H1398">
            <v>20.420000000000002</v>
          </cell>
          <cell r="I1398" t="str">
            <v>Buy</v>
          </cell>
        </row>
        <row r="1399">
          <cell r="A1399" t="str">
            <v>ASY-006886-01</v>
          </cell>
          <cell r="B1399">
            <v>3</v>
          </cell>
          <cell r="C1399" t="str">
            <v>ACB-000273-00</v>
          </cell>
          <cell r="D1399" t="str">
            <v>6 CONDUCTOR CABLE, 3X22AWG, 3X16AWG, AL MYLAR, TROV 2</v>
          </cell>
          <cell r="E1399" t="str">
            <v>A</v>
          </cell>
          <cell r="F1399" t="str">
            <v>Cable</v>
          </cell>
          <cell r="G1399">
            <v>1</v>
          </cell>
          <cell r="H1399">
            <v>0</v>
          </cell>
          <cell r="I1399" t="str">
            <v>N/A</v>
          </cell>
        </row>
        <row r="1400">
          <cell r="A1400" t="str">
            <v>ASY-006886-01</v>
          </cell>
          <cell r="B1400">
            <v>3</v>
          </cell>
          <cell r="C1400" t="str">
            <v>ACB-000274-00</v>
          </cell>
          <cell r="D1400" t="str">
            <v>CABLE ASSEMBLY, INTERNAL, DRIVER SIDE, 4FT, TROV 2</v>
          </cell>
          <cell r="E1400" t="str">
            <v>A</v>
          </cell>
          <cell r="F1400" t="str">
            <v>Cable Assembly</v>
          </cell>
          <cell r="G1400">
            <v>1</v>
          </cell>
          <cell r="H1400">
            <v>0</v>
          </cell>
          <cell r="I1400" t="str">
            <v>N/A</v>
          </cell>
        </row>
        <row r="1401">
          <cell r="A1401" t="str">
            <v>ASY-006886-01</v>
          </cell>
          <cell r="B1401">
            <v>3</v>
          </cell>
          <cell r="C1401" t="str">
            <v>CON-000259-00</v>
          </cell>
          <cell r="D1401" t="str">
            <v>CONNECTOR, MALE, 6 PIN, TROV 2</v>
          </cell>
          <cell r="E1401" t="str">
            <v>B</v>
          </cell>
          <cell r="F1401" t="str">
            <v>Connector</v>
          </cell>
          <cell r="G1401">
            <v>1</v>
          </cell>
          <cell r="H1401">
            <v>0</v>
          </cell>
          <cell r="I1401" t="str">
            <v>N/A</v>
          </cell>
        </row>
        <row r="1402">
          <cell r="A1402" t="str">
            <v>ASY-006886-01</v>
          </cell>
          <cell r="B1402">
            <v>3</v>
          </cell>
          <cell r="C1402" t="str">
            <v>CON-000260-00</v>
          </cell>
          <cell r="D1402" t="str">
            <v>CONNECTOR, FEMALE, 6 PIN, TROV 2</v>
          </cell>
          <cell r="E1402" t="str">
            <v>A</v>
          </cell>
          <cell r="F1402" t="str">
            <v>Connector</v>
          </cell>
          <cell r="G1402">
            <v>1</v>
          </cell>
          <cell r="H1402">
            <v>0</v>
          </cell>
          <cell r="I1402" t="str">
            <v>N/A</v>
          </cell>
        </row>
        <row r="1403">
          <cell r="A1403" t="str">
            <v>ASY-006886-01</v>
          </cell>
          <cell r="B1403">
            <v>3</v>
          </cell>
          <cell r="C1403" t="str">
            <v>HSG-000330-00</v>
          </cell>
          <cell r="D1403" t="str">
            <v>DRIVER HOUSING, 4 FT, TROV 2</v>
          </cell>
          <cell r="E1403" t="str">
            <v>A</v>
          </cell>
          <cell r="F1403" t="str">
            <v>Housing</v>
          </cell>
          <cell r="G1403">
            <v>1</v>
          </cell>
          <cell r="H1403">
            <v>0</v>
          </cell>
          <cell r="I1403" t="str">
            <v>N/A</v>
          </cell>
        </row>
        <row r="1404">
          <cell r="A1404" t="str">
            <v>ASY-006886-01</v>
          </cell>
          <cell r="B1404">
            <v>3</v>
          </cell>
          <cell r="C1404" t="str">
            <v>ORG-000060-00</v>
          </cell>
          <cell r="D1404" t="str">
            <v>O-RING, CABLE, TROV 2</v>
          </cell>
          <cell r="E1404" t="str">
            <v>A</v>
          </cell>
          <cell r="F1404" t="str">
            <v>O-Ring</v>
          </cell>
          <cell r="G1404">
            <v>1</v>
          </cell>
          <cell r="H1404">
            <v>0</v>
          </cell>
          <cell r="I1404" t="str">
            <v>N/A</v>
          </cell>
        </row>
        <row r="1405">
          <cell r="A1405" t="str">
            <v>ASY-006886-01</v>
          </cell>
          <cell r="B1405">
            <v>3</v>
          </cell>
          <cell r="C1405" t="str">
            <v>SRF-000030-00</v>
          </cell>
          <cell r="D1405" t="str">
            <v>STRAIN RELIEF, CABLE, TROV 2</v>
          </cell>
          <cell r="E1405" t="str">
            <v>A</v>
          </cell>
          <cell r="F1405" t="str">
            <v>Strain Relief</v>
          </cell>
          <cell r="G1405">
            <v>1</v>
          </cell>
          <cell r="H1405">
            <v>0</v>
          </cell>
          <cell r="I1405" t="str">
            <v>N/A</v>
          </cell>
        </row>
        <row r="1406">
          <cell r="A1406" t="str">
            <v>ASY-006886-01</v>
          </cell>
          <cell r="B1406">
            <v>2</v>
          </cell>
          <cell r="C1406" t="str">
            <v>BKT-000517-00</v>
          </cell>
          <cell r="D1406" t="str">
            <v>BRACKET, ROTATING LOCK, 4 FT, TROV 2.0</v>
          </cell>
          <cell r="E1406" t="str">
            <v>B</v>
          </cell>
          <cell r="F1406" t="str">
            <v>Bracket</v>
          </cell>
          <cell r="G1406">
            <v>1</v>
          </cell>
          <cell r="H1406">
            <v>0.9</v>
          </cell>
          <cell r="I1406" t="str">
            <v>Buy</v>
          </cell>
        </row>
        <row r="1407">
          <cell r="A1407" t="str">
            <v>ASY-006886-01</v>
          </cell>
          <cell r="B1407">
            <v>2</v>
          </cell>
          <cell r="C1407" t="str">
            <v>BKT-000518-00</v>
          </cell>
          <cell r="D1407" t="str">
            <v>BRACKET, PANEL MOUNT, 4 FT, TROV 2.0</v>
          </cell>
          <cell r="E1407" t="str">
            <v>B</v>
          </cell>
          <cell r="F1407" t="str">
            <v>Bracket</v>
          </cell>
          <cell r="G1407">
            <v>1</v>
          </cell>
          <cell r="H1407">
            <v>0.9</v>
          </cell>
          <cell r="I1407" t="str">
            <v>Buy</v>
          </cell>
        </row>
        <row r="1408">
          <cell r="A1408" t="str">
            <v>ASY-006886-01</v>
          </cell>
          <cell r="B1408">
            <v>2</v>
          </cell>
          <cell r="C1408" t="str">
            <v>SCW-000509-00</v>
          </cell>
          <cell r="D1408" t="str">
            <v>SCREW, SEALING FLAT HEAD, M3x0.5x8MM</v>
          </cell>
          <cell r="E1408" t="str">
            <v>B</v>
          </cell>
          <cell r="F1408" t="str">
            <v>Screw</v>
          </cell>
          <cell r="G1408">
            <v>2</v>
          </cell>
          <cell r="H1408">
            <v>0.4</v>
          </cell>
          <cell r="I1408" t="str">
            <v>Buy</v>
          </cell>
        </row>
        <row r="1409">
          <cell r="A1409" t="str">
            <v>ASY-006886-01</v>
          </cell>
          <cell r="B1409">
            <v>1</v>
          </cell>
          <cell r="C1409" t="str">
            <v>BAS-000021-00</v>
          </cell>
          <cell r="D1409" t="str">
            <v>BASE, 4FT, TROV 2.0</v>
          </cell>
          <cell r="E1409" t="str">
            <v>F</v>
          </cell>
          <cell r="F1409" t="str">
            <v>Base</v>
          </cell>
          <cell r="G1409">
            <v>1</v>
          </cell>
          <cell r="H1409">
            <v>14.25</v>
          </cell>
          <cell r="I1409" t="str">
            <v>Buy</v>
          </cell>
        </row>
        <row r="1410">
          <cell r="A1410" t="str">
            <v>ASY-006886-01</v>
          </cell>
          <cell r="B1410">
            <v>1</v>
          </cell>
          <cell r="C1410" t="str">
            <v>BKT-000457-03</v>
          </cell>
          <cell r="D1410" t="str">
            <v>BRACKET, MOUNT, LEFT, BLACK, TROV 2.0</v>
          </cell>
          <cell r="E1410" t="str">
            <v>C</v>
          </cell>
          <cell r="F1410" t="str">
            <v>Bracket</v>
          </cell>
          <cell r="G1410">
            <v>1</v>
          </cell>
          <cell r="H1410">
            <v>0.99</v>
          </cell>
          <cell r="I1410" t="str">
            <v>Buy</v>
          </cell>
        </row>
        <row r="1411">
          <cell r="A1411" t="str">
            <v>ASY-006886-01</v>
          </cell>
          <cell r="B1411">
            <v>1</v>
          </cell>
          <cell r="C1411" t="str">
            <v>BKT-000458-03</v>
          </cell>
          <cell r="D1411" t="str">
            <v>BRACKET, MOUNT, RIGHT, BLACK, TROV 2.0</v>
          </cell>
          <cell r="E1411" t="str">
            <v>C</v>
          </cell>
          <cell r="F1411" t="str">
            <v>Bracket</v>
          </cell>
          <cell r="G1411">
            <v>1</v>
          </cell>
          <cell r="H1411">
            <v>0.99</v>
          </cell>
          <cell r="I1411" t="str">
            <v>Buy</v>
          </cell>
        </row>
        <row r="1412">
          <cell r="A1412" t="str">
            <v>ASY-006886-01</v>
          </cell>
          <cell r="B1412">
            <v>1</v>
          </cell>
          <cell r="C1412" t="str">
            <v>CVR-000791-03</v>
          </cell>
          <cell r="D1412" t="str">
            <v>END COVER, FC, BLACK, L45, TROV 2.0</v>
          </cell>
          <cell r="E1412" t="str">
            <v>D</v>
          </cell>
          <cell r="F1412" t="str">
            <v>Cover</v>
          </cell>
          <cell r="G1412">
            <v>1</v>
          </cell>
          <cell r="H1412">
            <v>1.07</v>
          </cell>
          <cell r="I1412" t="str">
            <v>Buy</v>
          </cell>
        </row>
        <row r="1413">
          <cell r="A1413" t="str">
            <v>ASY-006886-01</v>
          </cell>
          <cell r="B1413">
            <v>1</v>
          </cell>
          <cell r="C1413" t="str">
            <v>CVR-000894-03</v>
          </cell>
          <cell r="D1413" t="str">
            <v>END COVER, MC, BLACK, L45, TROV 2.0</v>
          </cell>
          <cell r="E1413" t="str">
            <v>B</v>
          </cell>
          <cell r="F1413" t="str">
            <v>Cover</v>
          </cell>
          <cell r="G1413">
            <v>1</v>
          </cell>
          <cell r="H1413">
            <v>1.07</v>
          </cell>
          <cell r="I1413" t="str">
            <v>Buy</v>
          </cell>
        </row>
        <row r="1414">
          <cell r="A1414" t="str">
            <v>ASY-006886-01</v>
          </cell>
          <cell r="B1414">
            <v>1</v>
          </cell>
          <cell r="C1414" t="str">
            <v>FOM-000029-00</v>
          </cell>
          <cell r="D1414" t="str">
            <v>FOAM, LIGHTBLOCK, ENDCAP, L45, TROV2</v>
          </cell>
          <cell r="E1414" t="str">
            <v>A</v>
          </cell>
          <cell r="F1414" t="str">
            <v>Foam</v>
          </cell>
          <cell r="G1414">
            <v>2</v>
          </cell>
          <cell r="H1414">
            <v>0.02</v>
          </cell>
          <cell r="I1414" t="str">
            <v>Buy</v>
          </cell>
        </row>
        <row r="1415">
          <cell r="A1415" t="str">
            <v>ASY-006886-01</v>
          </cell>
          <cell r="B1415">
            <v>1</v>
          </cell>
          <cell r="C1415" t="str">
            <v>GSK-000114-01</v>
          </cell>
          <cell r="D1415" t="str">
            <v>GASKET, TERTIARY LENS, 3M, 2 FT, L45, TROV 2.0</v>
          </cell>
          <cell r="E1415" t="str">
            <v>D</v>
          </cell>
          <cell r="F1415" t="str">
            <v>Gasket</v>
          </cell>
          <cell r="G1415">
            <v>2</v>
          </cell>
          <cell r="H1415">
            <v>2.65</v>
          </cell>
          <cell r="I1415" t="str">
            <v>Buy</v>
          </cell>
        </row>
        <row r="1416">
          <cell r="A1416" t="str">
            <v>ASY-006886-01</v>
          </cell>
          <cell r="B1416">
            <v>1</v>
          </cell>
          <cell r="C1416" t="str">
            <v>GSK-000122-01</v>
          </cell>
          <cell r="D1416" t="str">
            <v>GASKET, DRIVER ENCLOSURE, 3M, 4 FT, TROV 2.0</v>
          </cell>
          <cell r="E1416" t="str">
            <v>B</v>
          </cell>
          <cell r="F1416" t="str">
            <v>Gasket</v>
          </cell>
          <cell r="G1416">
            <v>1</v>
          </cell>
          <cell r="H1416">
            <v>2.0299999999999998</v>
          </cell>
          <cell r="I1416" t="str">
            <v>Buy</v>
          </cell>
        </row>
        <row r="1417">
          <cell r="A1417" t="str">
            <v>ASY-006886-01</v>
          </cell>
          <cell r="B1417">
            <v>1</v>
          </cell>
          <cell r="C1417" t="str">
            <v>HSG-000494-03</v>
          </cell>
          <cell r="D1417" t="str">
            <v>HOUSING, TOP, 4 FT, L45, BLACK, TROV 2.0</v>
          </cell>
          <cell r="E1417" t="str">
            <v>E</v>
          </cell>
          <cell r="F1417" t="str">
            <v>Housing</v>
          </cell>
          <cell r="G1417">
            <v>1</v>
          </cell>
          <cell r="H1417">
            <v>14.25</v>
          </cell>
          <cell r="I1417" t="str">
            <v>Buy</v>
          </cell>
        </row>
        <row r="1418">
          <cell r="A1418" t="str">
            <v>ASY-006886-01</v>
          </cell>
          <cell r="B1418">
            <v>1</v>
          </cell>
          <cell r="C1418" t="str">
            <v>HSG-000495-03</v>
          </cell>
          <cell r="D1418" t="str">
            <v>HOUSING, BOTTOM, 4 FT, BLACK, TROV 2.0</v>
          </cell>
          <cell r="E1418" t="str">
            <v>F</v>
          </cell>
          <cell r="F1418" t="str">
            <v>Housing</v>
          </cell>
          <cell r="G1418">
            <v>1</v>
          </cell>
          <cell r="H1418">
            <v>13.73</v>
          </cell>
          <cell r="I1418" t="str">
            <v>Buy</v>
          </cell>
        </row>
        <row r="1419">
          <cell r="A1419" t="str">
            <v>ASY-006886-01</v>
          </cell>
          <cell r="B1419">
            <v>1</v>
          </cell>
          <cell r="C1419" t="str">
            <v>LBA-000003-00</v>
          </cell>
          <cell r="D1419" t="str">
            <v>Label: TROV 2 P1/P2, Model L45/L60</v>
          </cell>
          <cell r="E1419" t="str">
            <v>A</v>
          </cell>
          <cell r="F1419" t="str">
            <v>Label BOM</v>
          </cell>
          <cell r="G1419">
            <v>1</v>
          </cell>
          <cell r="H1419">
            <v>0</v>
          </cell>
          <cell r="I1419" t="str">
            <v>Make</v>
          </cell>
        </row>
        <row r="1420">
          <cell r="A1420" t="str">
            <v>ASY-006886-01</v>
          </cell>
          <cell r="B1420">
            <v>2</v>
          </cell>
          <cell r="C1420" t="str">
            <v>LBL-000243-00</v>
          </cell>
          <cell r="D1420" t="str">
            <v>Blank Product Label: Trov 2 P1/P2, Model L45/L60</v>
          </cell>
          <cell r="E1420" t="str">
            <v>A</v>
          </cell>
          <cell r="F1420" t="str">
            <v>Label</v>
          </cell>
          <cell r="G1420">
            <v>1</v>
          </cell>
          <cell r="H1420">
            <v>0.33</v>
          </cell>
          <cell r="I1420" t="str">
            <v>Buy</v>
          </cell>
        </row>
        <row r="1421">
          <cell r="A1421" t="str">
            <v>ASY-006886-01</v>
          </cell>
          <cell r="B1421">
            <v>1</v>
          </cell>
          <cell r="C1421" t="str">
            <v>PLG-000009-01</v>
          </cell>
          <cell r="D1421" t="str">
            <v>Porex Vent, Trov, L50 Exterior</v>
          </cell>
          <cell r="E1421" t="str">
            <v>B</v>
          </cell>
          <cell r="F1421" t="str">
            <v>Plug</v>
          </cell>
          <cell r="G1421">
            <v>2</v>
          </cell>
          <cell r="H1421">
            <v>0.17</v>
          </cell>
          <cell r="I1421" t="str">
            <v>Buy</v>
          </cell>
        </row>
        <row r="1422">
          <cell r="A1422" t="str">
            <v>ASY-006886-01</v>
          </cell>
          <cell r="B1422">
            <v>1</v>
          </cell>
          <cell r="C1422" t="str">
            <v>SCW-000156-00</v>
          </cell>
          <cell r="D1422" t="str">
            <v>SCREW, M3 x 0.5 X 8mm, PAND HEAD, PHILLIPS, STEEL</v>
          </cell>
          <cell r="E1422" t="str">
            <v>B</v>
          </cell>
          <cell r="F1422" t="str">
            <v>Screw</v>
          </cell>
          <cell r="G1422">
            <v>6</v>
          </cell>
          <cell r="H1422">
            <v>4.4400000000000002E-2</v>
          </cell>
          <cell r="I1422" t="str">
            <v>Buy</v>
          </cell>
        </row>
        <row r="1423">
          <cell r="A1423" t="str">
            <v>ASY-006886-01</v>
          </cell>
          <cell r="B1423">
            <v>1</v>
          </cell>
          <cell r="C1423" t="str">
            <v>SCW-000483-00</v>
          </cell>
          <cell r="D1423" t="str">
            <v>SCREW, PHILIPS FLAT HEAD, M2.5x0.45x5 , 18-8 SST</v>
          </cell>
          <cell r="E1423" t="str">
            <v>A</v>
          </cell>
          <cell r="F1423" t="str">
            <v>Screw</v>
          </cell>
          <cell r="G1423">
            <v>4</v>
          </cell>
          <cell r="H1423">
            <v>0.02</v>
          </cell>
          <cell r="I1423" t="str">
            <v>Buy</v>
          </cell>
        </row>
        <row r="1424">
          <cell r="A1424" t="str">
            <v>ASY-006886-01</v>
          </cell>
          <cell r="B1424">
            <v>1</v>
          </cell>
          <cell r="C1424" t="str">
            <v>SCW-000556-00</v>
          </cell>
          <cell r="D1424" t="str">
            <v>SCREW, HEX, SERRATED, #8-32, GROUNDING, TROV 2</v>
          </cell>
          <cell r="E1424" t="str">
            <v>A</v>
          </cell>
          <cell r="F1424" t="str">
            <v>Screw</v>
          </cell>
          <cell r="G1424">
            <v>1</v>
          </cell>
          <cell r="H1424">
            <v>0.04</v>
          </cell>
          <cell r="I1424" t="str">
            <v>Buy</v>
          </cell>
        </row>
        <row r="1425">
          <cell r="A1425" t="str">
            <v>ASY-006886-01</v>
          </cell>
          <cell r="B1425">
            <v>1</v>
          </cell>
          <cell r="C1425" t="str">
            <v>SCW-000567-00</v>
          </cell>
          <cell r="D1425" t="str">
            <v>SCREW, M2.5 x 0.45 x 12.0mm LENGTH, PAN HD, PHILLIPS, ZINC-PLATED STEEL</v>
          </cell>
          <cell r="E1425" t="str">
            <v>A</v>
          </cell>
          <cell r="F1425" t="str">
            <v>Screw</v>
          </cell>
          <cell r="G1425">
            <v>4</v>
          </cell>
          <cell r="H1425">
            <v>0.06</v>
          </cell>
          <cell r="I1425" t="str">
            <v>Buy</v>
          </cell>
        </row>
        <row r="1426">
          <cell r="A1426" t="str">
            <v>ASY-006886-01</v>
          </cell>
          <cell r="B1426">
            <v>1</v>
          </cell>
          <cell r="C1426" t="str">
            <v>SCW-000574-00</v>
          </cell>
          <cell r="D1426" t="str">
            <v>SCREW, TORX HEAD, 1/4-28x1/2", LOW PROFILE, ALLOY STEEL</v>
          </cell>
          <cell r="E1426" t="str">
            <v>A</v>
          </cell>
          <cell r="F1426" t="str">
            <v>Screw</v>
          </cell>
          <cell r="G1426">
            <v>2</v>
          </cell>
          <cell r="H1426">
            <v>0.14000000000000001</v>
          </cell>
          <cell r="I1426" t="str">
            <v>Buy</v>
          </cell>
        </row>
        <row r="1427">
          <cell r="A1427" t="str">
            <v>ASY-006886-01</v>
          </cell>
          <cell r="B1427">
            <v>1</v>
          </cell>
          <cell r="C1427" t="str">
            <v>SHT-000043-00</v>
          </cell>
          <cell r="D1427" t="str">
            <v>INSULATION SHEET, HBA, 4FT,TROV 2</v>
          </cell>
          <cell r="E1427" t="str">
            <v>D</v>
          </cell>
          <cell r="F1427" t="str">
            <v>Sheet</v>
          </cell>
          <cell r="G1427">
            <v>1</v>
          </cell>
          <cell r="H1427">
            <v>0.25</v>
          </cell>
          <cell r="I1427" t="str">
            <v>Buy</v>
          </cell>
        </row>
        <row r="1428">
          <cell r="A1428" t="str">
            <v>ASY-006886-01</v>
          </cell>
          <cell r="B1428">
            <v>1</v>
          </cell>
          <cell r="C1428" t="str">
            <v>SPG-000023-00</v>
          </cell>
          <cell r="D1428" t="str">
            <v>SPRING, DISC, STACKED WAVE, TROV 2.0</v>
          </cell>
          <cell r="E1428" t="str">
            <v>A</v>
          </cell>
          <cell r="F1428" t="str">
            <v>Spring</v>
          </cell>
          <cell r="G1428">
            <v>2</v>
          </cell>
          <cell r="H1428">
            <v>1.74</v>
          </cell>
          <cell r="I1428" t="str">
            <v>Buy</v>
          </cell>
        </row>
        <row r="1429">
          <cell r="A1429" t="str">
            <v>ASY-006886-01</v>
          </cell>
          <cell r="B1429">
            <v>1</v>
          </cell>
          <cell r="C1429" t="str">
            <v>TAP-000031-00</v>
          </cell>
          <cell r="D1429" t="str">
            <v>3M Electrical Tape 92</v>
          </cell>
          <cell r="E1429" t="str">
            <v>A</v>
          </cell>
          <cell r="F1429" t="str">
            <v>Tape</v>
          </cell>
          <cell r="G1429">
            <v>120</v>
          </cell>
          <cell r="H1429">
            <v>1.4E-2</v>
          </cell>
          <cell r="I1429" t="str">
            <v>Buy</v>
          </cell>
        </row>
        <row r="1430">
          <cell r="A1430" t="str">
            <v>ASY-006886-01</v>
          </cell>
          <cell r="B1430">
            <v>1</v>
          </cell>
          <cell r="C1430" t="str">
            <v>TMP-000028-00</v>
          </cell>
          <cell r="D1430" t="str">
            <v>Thermal Pad, LED PCBA, 2 FT, TROV 2</v>
          </cell>
          <cell r="E1430" t="str">
            <v>B</v>
          </cell>
          <cell r="F1430" t="str">
            <v>Thermal Pad</v>
          </cell>
          <cell r="G1430">
            <v>2</v>
          </cell>
          <cell r="H1430">
            <v>1.32</v>
          </cell>
          <cell r="I1430" t="str">
            <v>Buy</v>
          </cell>
        </row>
        <row r="1431">
          <cell r="A1431" t="str">
            <v>ASY-006886-01</v>
          </cell>
          <cell r="B1431">
            <v>1</v>
          </cell>
          <cell r="C1431" t="str">
            <v>TMP-000029-00</v>
          </cell>
          <cell r="D1431" t="str">
            <v>Thermal Pad, HBA, TROV 2</v>
          </cell>
          <cell r="E1431" t="str">
            <v>B</v>
          </cell>
          <cell r="F1431" t="str">
            <v>Thermal Pad</v>
          </cell>
          <cell r="G1431">
            <v>2</v>
          </cell>
          <cell r="H1431">
            <v>0.14000000000000001</v>
          </cell>
          <cell r="I1431" t="str">
            <v>Buy</v>
          </cell>
        </row>
        <row r="1432">
          <cell r="A1432" t="str">
            <v>ASY-006886-02</v>
          </cell>
          <cell r="B1432">
            <v>0</v>
          </cell>
          <cell r="C1432" t="str">
            <v>ASY-006886-02</v>
          </cell>
          <cell r="D1432" t="str">
            <v>ASSY, MECHANICAL, L45, INDOOR, 4 FT, TROV 2.0, WHITE</v>
          </cell>
          <cell r="E1432" t="str">
            <v>F</v>
          </cell>
          <cell r="F1432" t="str">
            <v>Sub assembly</v>
          </cell>
          <cell r="H1432">
            <v>0</v>
          </cell>
          <cell r="I1432" t="str">
            <v>Make</v>
          </cell>
        </row>
        <row r="1433">
          <cell r="A1433" t="str">
            <v>ASY-006886-02</v>
          </cell>
          <cell r="B1433">
            <v>1</v>
          </cell>
          <cell r="C1433" t="str">
            <v>ACB-000261-00</v>
          </cell>
          <cell r="D1433" t="str">
            <v>CABLE, ECOBUS, 24AWG, SHORT, TROV 2</v>
          </cell>
          <cell r="E1433" t="str">
            <v>B</v>
          </cell>
          <cell r="F1433" t="str">
            <v>Cable</v>
          </cell>
          <cell r="G1433">
            <v>1</v>
          </cell>
          <cell r="H1433">
            <v>0.76</v>
          </cell>
          <cell r="I1433" t="str">
            <v>Buy</v>
          </cell>
        </row>
        <row r="1434">
          <cell r="A1434" t="str">
            <v>ASY-006886-02</v>
          </cell>
          <cell r="B1434">
            <v>1</v>
          </cell>
          <cell r="C1434" t="str">
            <v>ACB-000261-01</v>
          </cell>
          <cell r="D1434" t="str">
            <v>CABLE, ECOBUS, 24AWG, LONG, TROV 2</v>
          </cell>
          <cell r="E1434" t="str">
            <v>B</v>
          </cell>
          <cell r="F1434" t="str">
            <v>Cable</v>
          </cell>
          <cell r="G1434">
            <v>1</v>
          </cell>
          <cell r="H1434">
            <v>0.82</v>
          </cell>
          <cell r="I1434" t="str">
            <v>Buy</v>
          </cell>
        </row>
        <row r="1435">
          <cell r="A1435" t="str">
            <v>ASY-006886-02</v>
          </cell>
          <cell r="B1435">
            <v>1</v>
          </cell>
          <cell r="C1435" t="str">
            <v>ASY-100008-00</v>
          </cell>
          <cell r="D1435" t="str">
            <v>Cable Subassembly, Driver housing, 4ft, Trov 2</v>
          </cell>
          <cell r="E1435" t="str">
            <v>A</v>
          </cell>
          <cell r="F1435" t="str">
            <v>Sub assembly</v>
          </cell>
          <cell r="G1435">
            <v>1</v>
          </cell>
          <cell r="H1435">
            <v>0</v>
          </cell>
          <cell r="I1435" t="str">
            <v>Make</v>
          </cell>
        </row>
        <row r="1436">
          <cell r="A1436" t="str">
            <v>ASY-006886-02</v>
          </cell>
          <cell r="B1436">
            <v>2</v>
          </cell>
          <cell r="C1436" t="str">
            <v>ACB-000272-00</v>
          </cell>
          <cell r="D1436" t="str">
            <v>CABLE ASSY, INTRA-FIXTURE, 4FT, TROV 2.0</v>
          </cell>
          <cell r="E1436" t="str">
            <v>B</v>
          </cell>
          <cell r="F1436" t="str">
            <v>Cable Assembly</v>
          </cell>
          <cell r="G1436">
            <v>1</v>
          </cell>
          <cell r="H1436">
            <v>20.420000000000002</v>
          </cell>
          <cell r="I1436" t="str">
            <v>Buy</v>
          </cell>
        </row>
        <row r="1437">
          <cell r="A1437" t="str">
            <v>ASY-006886-02</v>
          </cell>
          <cell r="B1437">
            <v>3</v>
          </cell>
          <cell r="C1437" t="str">
            <v>ACB-000273-00</v>
          </cell>
          <cell r="D1437" t="str">
            <v>6 CONDUCTOR CABLE, 3X22AWG, 3X16AWG, AL MYLAR, TROV 2</v>
          </cell>
          <cell r="E1437" t="str">
            <v>A</v>
          </cell>
          <cell r="F1437" t="str">
            <v>Cable</v>
          </cell>
          <cell r="G1437">
            <v>1</v>
          </cell>
          <cell r="H1437">
            <v>0</v>
          </cell>
          <cell r="I1437" t="str">
            <v>N/A</v>
          </cell>
        </row>
        <row r="1438">
          <cell r="A1438" t="str">
            <v>ASY-006886-02</v>
          </cell>
          <cell r="B1438">
            <v>3</v>
          </cell>
          <cell r="C1438" t="str">
            <v>ACB-000274-00</v>
          </cell>
          <cell r="D1438" t="str">
            <v>CABLE ASSEMBLY, INTERNAL, DRIVER SIDE, 4FT, TROV 2</v>
          </cell>
          <cell r="E1438" t="str">
            <v>A</v>
          </cell>
          <cell r="F1438" t="str">
            <v>Cable Assembly</v>
          </cell>
          <cell r="G1438">
            <v>1</v>
          </cell>
          <cell r="H1438">
            <v>0</v>
          </cell>
          <cell r="I1438" t="str">
            <v>N/A</v>
          </cell>
        </row>
        <row r="1439">
          <cell r="A1439" t="str">
            <v>ASY-006886-02</v>
          </cell>
          <cell r="B1439">
            <v>3</v>
          </cell>
          <cell r="C1439" t="str">
            <v>CON-000259-00</v>
          </cell>
          <cell r="D1439" t="str">
            <v>CONNECTOR, MALE, 6 PIN, TROV 2</v>
          </cell>
          <cell r="E1439" t="str">
            <v>B</v>
          </cell>
          <cell r="F1439" t="str">
            <v>Connector</v>
          </cell>
          <cell r="G1439">
            <v>1</v>
          </cell>
          <cell r="H1439">
            <v>0</v>
          </cell>
          <cell r="I1439" t="str">
            <v>N/A</v>
          </cell>
        </row>
        <row r="1440">
          <cell r="A1440" t="str">
            <v>ASY-006886-02</v>
          </cell>
          <cell r="B1440">
            <v>3</v>
          </cell>
          <cell r="C1440" t="str">
            <v>CON-000260-00</v>
          </cell>
          <cell r="D1440" t="str">
            <v>CONNECTOR, FEMALE, 6 PIN, TROV 2</v>
          </cell>
          <cell r="E1440" t="str">
            <v>A</v>
          </cell>
          <cell r="F1440" t="str">
            <v>Connector</v>
          </cell>
          <cell r="G1440">
            <v>1</v>
          </cell>
          <cell r="H1440">
            <v>0</v>
          </cell>
          <cell r="I1440" t="str">
            <v>N/A</v>
          </cell>
        </row>
        <row r="1441">
          <cell r="A1441" t="str">
            <v>ASY-006886-02</v>
          </cell>
          <cell r="B1441">
            <v>3</v>
          </cell>
          <cell r="C1441" t="str">
            <v>HSG-000330-00</v>
          </cell>
          <cell r="D1441" t="str">
            <v>DRIVER HOUSING, 4 FT, TROV 2</v>
          </cell>
          <cell r="E1441" t="str">
            <v>A</v>
          </cell>
          <cell r="F1441" t="str">
            <v>Housing</v>
          </cell>
          <cell r="G1441">
            <v>1</v>
          </cell>
          <cell r="H1441">
            <v>0</v>
          </cell>
          <cell r="I1441" t="str">
            <v>N/A</v>
          </cell>
        </row>
        <row r="1442">
          <cell r="A1442" t="str">
            <v>ASY-006886-02</v>
          </cell>
          <cell r="B1442">
            <v>3</v>
          </cell>
          <cell r="C1442" t="str">
            <v>ORG-000060-00</v>
          </cell>
          <cell r="D1442" t="str">
            <v>O-RING, CABLE, TROV 2</v>
          </cell>
          <cell r="E1442" t="str">
            <v>A</v>
          </cell>
          <cell r="F1442" t="str">
            <v>O-Ring</v>
          </cell>
          <cell r="G1442">
            <v>1</v>
          </cell>
          <cell r="H1442">
            <v>0</v>
          </cell>
          <cell r="I1442" t="str">
            <v>N/A</v>
          </cell>
        </row>
        <row r="1443">
          <cell r="A1443" t="str">
            <v>ASY-006886-02</v>
          </cell>
          <cell r="B1443">
            <v>3</v>
          </cell>
          <cell r="C1443" t="str">
            <v>SRF-000030-00</v>
          </cell>
          <cell r="D1443" t="str">
            <v>STRAIN RELIEF, CABLE, TROV 2</v>
          </cell>
          <cell r="E1443" t="str">
            <v>A</v>
          </cell>
          <cell r="F1443" t="str">
            <v>Strain Relief</v>
          </cell>
          <cell r="G1443">
            <v>1</v>
          </cell>
          <cell r="H1443">
            <v>0</v>
          </cell>
          <cell r="I1443" t="str">
            <v>N/A</v>
          </cell>
        </row>
        <row r="1444">
          <cell r="A1444" t="str">
            <v>ASY-006886-02</v>
          </cell>
          <cell r="B1444">
            <v>2</v>
          </cell>
          <cell r="C1444" t="str">
            <v>BKT-000517-00</v>
          </cell>
          <cell r="D1444" t="str">
            <v>BRACKET, ROTATING LOCK, 4 FT, TROV 2.0</v>
          </cell>
          <cell r="E1444" t="str">
            <v>B</v>
          </cell>
          <cell r="F1444" t="str">
            <v>Bracket</v>
          </cell>
          <cell r="G1444">
            <v>1</v>
          </cell>
          <cell r="H1444">
            <v>0.9</v>
          </cell>
          <cell r="I1444" t="str">
            <v>Buy</v>
          </cell>
        </row>
        <row r="1445">
          <cell r="A1445" t="str">
            <v>ASY-006886-02</v>
          </cell>
          <cell r="B1445">
            <v>2</v>
          </cell>
          <cell r="C1445" t="str">
            <v>BKT-000518-00</v>
          </cell>
          <cell r="D1445" t="str">
            <v>BRACKET, PANEL MOUNT, 4 FT, TROV 2.0</v>
          </cell>
          <cell r="E1445" t="str">
            <v>B</v>
          </cell>
          <cell r="F1445" t="str">
            <v>Bracket</v>
          </cell>
          <cell r="G1445">
            <v>1</v>
          </cell>
          <cell r="H1445">
            <v>0.9</v>
          </cell>
          <cell r="I1445" t="str">
            <v>Buy</v>
          </cell>
        </row>
        <row r="1446">
          <cell r="A1446" t="str">
            <v>ASY-006886-02</v>
          </cell>
          <cell r="B1446">
            <v>2</v>
          </cell>
          <cell r="C1446" t="str">
            <v>SCW-000509-00</v>
          </cell>
          <cell r="D1446" t="str">
            <v>SCREW, SEALING FLAT HEAD, M3x0.5x8MM</v>
          </cell>
          <cell r="E1446" t="str">
            <v>B</v>
          </cell>
          <cell r="F1446" t="str">
            <v>Screw</v>
          </cell>
          <cell r="G1446">
            <v>2</v>
          </cell>
          <cell r="H1446">
            <v>0.4</v>
          </cell>
          <cell r="I1446" t="str">
            <v>Buy</v>
          </cell>
        </row>
        <row r="1447">
          <cell r="A1447" t="str">
            <v>ASY-006886-02</v>
          </cell>
          <cell r="B1447">
            <v>1</v>
          </cell>
          <cell r="C1447" t="str">
            <v>BAS-000021-00</v>
          </cell>
          <cell r="D1447" t="str">
            <v>BASE, 4FT, TROV 2.0</v>
          </cell>
          <cell r="E1447" t="str">
            <v>F</v>
          </cell>
          <cell r="F1447" t="str">
            <v>Base</v>
          </cell>
          <cell r="G1447">
            <v>1</v>
          </cell>
          <cell r="H1447">
            <v>14.25</v>
          </cell>
          <cell r="I1447" t="str">
            <v>Buy</v>
          </cell>
        </row>
        <row r="1448">
          <cell r="A1448" t="str">
            <v>ASY-006886-02</v>
          </cell>
          <cell r="B1448">
            <v>1</v>
          </cell>
          <cell r="C1448" t="str">
            <v>BKT-000457-03</v>
          </cell>
          <cell r="D1448" t="str">
            <v>BRACKET, MOUNT, LEFT, BLACK, TROV 2.0</v>
          </cell>
          <cell r="E1448" t="str">
            <v>C</v>
          </cell>
          <cell r="F1448" t="str">
            <v>Bracket</v>
          </cell>
          <cell r="G1448">
            <v>1</v>
          </cell>
          <cell r="H1448">
            <v>0.99</v>
          </cell>
          <cell r="I1448" t="str">
            <v>Buy</v>
          </cell>
        </row>
        <row r="1449">
          <cell r="A1449" t="str">
            <v>ASY-006886-02</v>
          </cell>
          <cell r="B1449">
            <v>1</v>
          </cell>
          <cell r="C1449" t="str">
            <v>BKT-000458-03</v>
          </cell>
          <cell r="D1449" t="str">
            <v>BRACKET, MOUNT, RIGHT, BLACK, TROV 2.0</v>
          </cell>
          <cell r="E1449" t="str">
            <v>C</v>
          </cell>
          <cell r="F1449" t="str">
            <v>Bracket</v>
          </cell>
          <cell r="G1449">
            <v>1</v>
          </cell>
          <cell r="H1449">
            <v>0.99</v>
          </cell>
          <cell r="I1449" t="str">
            <v>Buy</v>
          </cell>
        </row>
        <row r="1450">
          <cell r="A1450" t="str">
            <v>ASY-006886-02</v>
          </cell>
          <cell r="B1450">
            <v>1</v>
          </cell>
          <cell r="C1450" t="str">
            <v>CVR-000791-04</v>
          </cell>
          <cell r="D1450" t="str">
            <v>END COVER, FC, WHITE, L45, TROV 2.0</v>
          </cell>
          <cell r="E1450" t="str">
            <v>D</v>
          </cell>
          <cell r="F1450" t="str">
            <v>Cover</v>
          </cell>
          <cell r="G1450">
            <v>1</v>
          </cell>
          <cell r="H1450">
            <v>1.07</v>
          </cell>
          <cell r="I1450" t="str">
            <v>Buy</v>
          </cell>
        </row>
        <row r="1451">
          <cell r="A1451" t="str">
            <v>ASY-006886-02</v>
          </cell>
          <cell r="B1451">
            <v>1</v>
          </cell>
          <cell r="C1451" t="str">
            <v>CVR-000894-04</v>
          </cell>
          <cell r="D1451" t="str">
            <v>END COVER, MC, WHITE, L45, TROV 2.0</v>
          </cell>
          <cell r="E1451" t="str">
            <v>B</v>
          </cell>
          <cell r="F1451" t="str">
            <v>Cover</v>
          </cell>
          <cell r="G1451">
            <v>1</v>
          </cell>
          <cell r="H1451">
            <v>1.07</v>
          </cell>
          <cell r="I1451" t="str">
            <v>Buy</v>
          </cell>
        </row>
        <row r="1452">
          <cell r="A1452" t="str">
            <v>ASY-006886-02</v>
          </cell>
          <cell r="B1452">
            <v>1</v>
          </cell>
          <cell r="C1452" t="str">
            <v>FOM-000029-00</v>
          </cell>
          <cell r="D1452" t="str">
            <v>FOAM, LIGHTBLOCK, ENDCAP, L45, TROV2</v>
          </cell>
          <cell r="E1452" t="str">
            <v>A</v>
          </cell>
          <cell r="F1452" t="str">
            <v>Foam</v>
          </cell>
          <cell r="G1452">
            <v>2</v>
          </cell>
          <cell r="H1452">
            <v>0.02</v>
          </cell>
          <cell r="I1452" t="str">
            <v>Buy</v>
          </cell>
        </row>
        <row r="1453">
          <cell r="A1453" t="str">
            <v>ASY-006886-02</v>
          </cell>
          <cell r="B1453">
            <v>1</v>
          </cell>
          <cell r="C1453" t="str">
            <v>GSK-000114-01</v>
          </cell>
          <cell r="D1453" t="str">
            <v>GASKET, TERTIARY LENS, 3M, 2 FT, L45, TROV 2.0</v>
          </cell>
          <cell r="E1453" t="str">
            <v>D</v>
          </cell>
          <cell r="F1453" t="str">
            <v>Gasket</v>
          </cell>
          <cell r="G1453">
            <v>2</v>
          </cell>
          <cell r="H1453">
            <v>2.65</v>
          </cell>
          <cell r="I1453" t="str">
            <v>Buy</v>
          </cell>
        </row>
        <row r="1454">
          <cell r="A1454" t="str">
            <v>ASY-006886-02</v>
          </cell>
          <cell r="B1454">
            <v>1</v>
          </cell>
          <cell r="C1454" t="str">
            <v>GSK-000122-01</v>
          </cell>
          <cell r="D1454" t="str">
            <v>GASKET, DRIVER ENCLOSURE, 3M, 4 FT, TROV 2.0</v>
          </cell>
          <cell r="E1454" t="str">
            <v>B</v>
          </cell>
          <cell r="F1454" t="str">
            <v>Gasket</v>
          </cell>
          <cell r="G1454">
            <v>1</v>
          </cell>
          <cell r="H1454">
            <v>2.0299999999999998</v>
          </cell>
          <cell r="I1454" t="str">
            <v>Buy</v>
          </cell>
        </row>
        <row r="1455">
          <cell r="A1455" t="str">
            <v>ASY-006886-02</v>
          </cell>
          <cell r="B1455">
            <v>1</v>
          </cell>
          <cell r="C1455" t="str">
            <v>HSG-000494-04</v>
          </cell>
          <cell r="D1455" t="str">
            <v>HOUSING, TOP, 4 FT, L45, WHITE, TROV 2.0</v>
          </cell>
          <cell r="E1455" t="str">
            <v>E</v>
          </cell>
          <cell r="F1455" t="str">
            <v>Housing</v>
          </cell>
          <cell r="G1455">
            <v>1</v>
          </cell>
          <cell r="H1455">
            <v>14.25</v>
          </cell>
          <cell r="I1455" t="str">
            <v>Buy</v>
          </cell>
        </row>
        <row r="1456">
          <cell r="A1456" t="str">
            <v>ASY-006886-02</v>
          </cell>
          <cell r="B1456">
            <v>1</v>
          </cell>
          <cell r="C1456" t="str">
            <v>HSG-000495-04</v>
          </cell>
          <cell r="D1456" t="str">
            <v>HOUSING, BOTTOM, 4 FT, WHITE, TROV 2.0</v>
          </cell>
          <cell r="E1456" t="str">
            <v>F</v>
          </cell>
          <cell r="F1456" t="str">
            <v>Housing</v>
          </cell>
          <cell r="G1456">
            <v>1</v>
          </cell>
          <cell r="H1456">
            <v>13.18</v>
          </cell>
          <cell r="I1456" t="str">
            <v>Buy</v>
          </cell>
        </row>
        <row r="1457">
          <cell r="A1457" t="str">
            <v>ASY-006886-02</v>
          </cell>
          <cell r="B1457">
            <v>1</v>
          </cell>
          <cell r="C1457" t="str">
            <v>LBA-000003-00</v>
          </cell>
          <cell r="D1457" t="str">
            <v>Label: TROV 2 P1/P2, Model L45/L60</v>
          </cell>
          <cell r="E1457" t="str">
            <v>A</v>
          </cell>
          <cell r="F1457" t="str">
            <v>Label BOM</v>
          </cell>
          <cell r="G1457">
            <v>1</v>
          </cell>
          <cell r="H1457">
            <v>0</v>
          </cell>
          <cell r="I1457" t="str">
            <v>Make</v>
          </cell>
        </row>
        <row r="1458">
          <cell r="A1458" t="str">
            <v>ASY-006886-02</v>
          </cell>
          <cell r="B1458">
            <v>2</v>
          </cell>
          <cell r="C1458" t="str">
            <v>LBL-000243-00</v>
          </cell>
          <cell r="D1458" t="str">
            <v>Blank Product Label: Trov 2 P1/P2, Model L45/L60</v>
          </cell>
          <cell r="E1458" t="str">
            <v>A</v>
          </cell>
          <cell r="F1458" t="str">
            <v>Label</v>
          </cell>
          <cell r="G1458">
            <v>1</v>
          </cell>
          <cell r="H1458">
            <v>0.33</v>
          </cell>
          <cell r="I1458" t="str">
            <v>Buy</v>
          </cell>
        </row>
        <row r="1459">
          <cell r="A1459" t="str">
            <v>ASY-006886-02</v>
          </cell>
          <cell r="B1459">
            <v>1</v>
          </cell>
          <cell r="C1459" t="str">
            <v>PLG-000009-01</v>
          </cell>
          <cell r="D1459" t="str">
            <v>Porex Vent, Trov, L50 Exterior</v>
          </cell>
          <cell r="E1459" t="str">
            <v>B</v>
          </cell>
          <cell r="F1459" t="str">
            <v>Plug</v>
          </cell>
          <cell r="G1459">
            <v>2</v>
          </cell>
          <cell r="H1459">
            <v>0.17</v>
          </cell>
          <cell r="I1459" t="str">
            <v>Buy</v>
          </cell>
        </row>
        <row r="1460">
          <cell r="A1460" t="str">
            <v>ASY-006886-02</v>
          </cell>
          <cell r="B1460">
            <v>1</v>
          </cell>
          <cell r="C1460" t="str">
            <v>SCW-000156-00</v>
          </cell>
          <cell r="D1460" t="str">
            <v>SCREW, M3 x 0.5 X 8mm, PAND HEAD, PHILLIPS, STEEL</v>
          </cell>
          <cell r="E1460" t="str">
            <v>B</v>
          </cell>
          <cell r="F1460" t="str">
            <v>Screw</v>
          </cell>
          <cell r="G1460">
            <v>6</v>
          </cell>
          <cell r="H1460">
            <v>4.4400000000000002E-2</v>
          </cell>
          <cell r="I1460" t="str">
            <v>Buy</v>
          </cell>
        </row>
        <row r="1461">
          <cell r="A1461" t="str">
            <v>ASY-006886-02</v>
          </cell>
          <cell r="B1461">
            <v>1</v>
          </cell>
          <cell r="C1461" t="str">
            <v>SCW-000483-00</v>
          </cell>
          <cell r="D1461" t="str">
            <v>SCREW, PHILIPS FLAT HEAD, M2.5x0.45x5 , 18-8 SST</v>
          </cell>
          <cell r="E1461" t="str">
            <v>A</v>
          </cell>
          <cell r="F1461" t="str">
            <v>Screw</v>
          </cell>
          <cell r="G1461">
            <v>4</v>
          </cell>
          <cell r="H1461">
            <v>0.02</v>
          </cell>
          <cell r="I1461" t="str">
            <v>Buy</v>
          </cell>
        </row>
        <row r="1462">
          <cell r="A1462" t="str">
            <v>ASY-006886-02</v>
          </cell>
          <cell r="B1462">
            <v>1</v>
          </cell>
          <cell r="C1462" t="str">
            <v>SCW-000556-00</v>
          </cell>
          <cell r="D1462" t="str">
            <v>SCREW, HEX, SERRATED, #8-32, GROUNDING, TROV 2</v>
          </cell>
          <cell r="E1462" t="str">
            <v>A</v>
          </cell>
          <cell r="F1462" t="str">
            <v>Screw</v>
          </cell>
          <cell r="G1462">
            <v>1</v>
          </cell>
          <cell r="H1462">
            <v>0.04</v>
          </cell>
          <cell r="I1462" t="str">
            <v>Buy</v>
          </cell>
        </row>
        <row r="1463">
          <cell r="A1463" t="str">
            <v>ASY-006886-02</v>
          </cell>
          <cell r="B1463">
            <v>1</v>
          </cell>
          <cell r="C1463" t="str">
            <v>SCW-000567-00</v>
          </cell>
          <cell r="D1463" t="str">
            <v>SCREW, M2.5 x 0.45 x 12.0mm LENGTH, PAN HD, PHILLIPS, ZINC-PLATED STEEL</v>
          </cell>
          <cell r="E1463" t="str">
            <v>A</v>
          </cell>
          <cell r="F1463" t="str">
            <v>Screw</v>
          </cell>
          <cell r="G1463">
            <v>4</v>
          </cell>
          <cell r="H1463">
            <v>0.06</v>
          </cell>
          <cell r="I1463" t="str">
            <v>Buy</v>
          </cell>
        </row>
        <row r="1464">
          <cell r="A1464" t="str">
            <v>ASY-006886-02</v>
          </cell>
          <cell r="B1464">
            <v>1</v>
          </cell>
          <cell r="C1464" t="str">
            <v>SCW-000574-00</v>
          </cell>
          <cell r="D1464" t="str">
            <v>SCREW, TORX HEAD, 1/4-28x1/2", LOW PROFILE, ALLOY STEEL</v>
          </cell>
          <cell r="E1464" t="str">
            <v>A</v>
          </cell>
          <cell r="F1464" t="str">
            <v>Screw</v>
          </cell>
          <cell r="G1464">
            <v>2</v>
          </cell>
          <cell r="H1464">
            <v>0.14000000000000001</v>
          </cell>
          <cell r="I1464" t="str">
            <v>Buy</v>
          </cell>
        </row>
        <row r="1465">
          <cell r="A1465" t="str">
            <v>ASY-006886-02</v>
          </cell>
          <cell r="B1465">
            <v>1</v>
          </cell>
          <cell r="C1465" t="str">
            <v>SHT-000043-00</v>
          </cell>
          <cell r="D1465" t="str">
            <v>INSULATION SHEET, HBA, 4FT,TROV 2</v>
          </cell>
          <cell r="E1465" t="str">
            <v>D</v>
          </cell>
          <cell r="F1465" t="str">
            <v>Sheet</v>
          </cell>
          <cell r="G1465">
            <v>1</v>
          </cell>
          <cell r="H1465">
            <v>0.25</v>
          </cell>
          <cell r="I1465" t="str">
            <v>Buy</v>
          </cell>
        </row>
        <row r="1466">
          <cell r="A1466" t="str">
            <v>ASY-006886-02</v>
          </cell>
          <cell r="B1466">
            <v>1</v>
          </cell>
          <cell r="C1466" t="str">
            <v>SPG-000023-00</v>
          </cell>
          <cell r="D1466" t="str">
            <v>SPRING, DISC, STACKED WAVE, TROV 2.0</v>
          </cell>
          <cell r="E1466" t="str">
            <v>A</v>
          </cell>
          <cell r="F1466" t="str">
            <v>Spring</v>
          </cell>
          <cell r="G1466">
            <v>2</v>
          </cell>
          <cell r="H1466">
            <v>1.74</v>
          </cell>
          <cell r="I1466" t="str">
            <v>Buy</v>
          </cell>
        </row>
        <row r="1467">
          <cell r="A1467" t="str">
            <v>ASY-006886-02</v>
          </cell>
          <cell r="B1467">
            <v>1</v>
          </cell>
          <cell r="C1467" t="str">
            <v>TAP-000031-00</v>
          </cell>
          <cell r="D1467" t="str">
            <v>3M Electrical Tape 92</v>
          </cell>
          <cell r="E1467" t="str">
            <v>A</v>
          </cell>
          <cell r="F1467" t="str">
            <v>Tape</v>
          </cell>
          <cell r="G1467">
            <v>120</v>
          </cell>
          <cell r="H1467">
            <v>1.4E-2</v>
          </cell>
          <cell r="I1467" t="str">
            <v>Buy</v>
          </cell>
        </row>
        <row r="1468">
          <cell r="A1468" t="str">
            <v>ASY-006886-02</v>
          </cell>
          <cell r="B1468">
            <v>1</v>
          </cell>
          <cell r="C1468" t="str">
            <v>TMP-000028-00</v>
          </cell>
          <cell r="D1468" t="str">
            <v>Thermal Pad, LED PCBA, 2 FT, TROV 2</v>
          </cell>
          <cell r="E1468" t="str">
            <v>B</v>
          </cell>
          <cell r="F1468" t="str">
            <v>Thermal Pad</v>
          </cell>
          <cell r="G1468">
            <v>2</v>
          </cell>
          <cell r="H1468">
            <v>1.32</v>
          </cell>
          <cell r="I1468" t="str">
            <v>Buy</v>
          </cell>
        </row>
        <row r="1469">
          <cell r="A1469" t="str">
            <v>ASY-006886-02</v>
          </cell>
          <cell r="B1469">
            <v>1</v>
          </cell>
          <cell r="C1469" t="str">
            <v>TMP-000029-00</v>
          </cell>
          <cell r="D1469" t="str">
            <v>Thermal Pad, HBA, TROV 2</v>
          </cell>
          <cell r="E1469" t="str">
            <v>B</v>
          </cell>
          <cell r="F1469" t="str">
            <v>Thermal Pad</v>
          </cell>
          <cell r="G1469">
            <v>2</v>
          </cell>
          <cell r="H1469">
            <v>0.14000000000000001</v>
          </cell>
          <cell r="I1469" t="str">
            <v>Buy</v>
          </cell>
        </row>
        <row r="1470">
          <cell r="A1470" t="str">
            <v>ASY-006886-03</v>
          </cell>
          <cell r="B1470">
            <v>0</v>
          </cell>
          <cell r="C1470" t="str">
            <v>ASY-006886-03</v>
          </cell>
          <cell r="D1470" t="str">
            <v>ASSY, MECHANICAL, L45, INDOOR, 4 FT, TROV 2.0, BRONZE</v>
          </cell>
          <cell r="E1470" t="str">
            <v>F</v>
          </cell>
          <cell r="F1470" t="str">
            <v>Sub assembly</v>
          </cell>
          <cell r="H1470">
            <v>0</v>
          </cell>
          <cell r="I1470" t="str">
            <v>Make</v>
          </cell>
        </row>
        <row r="1471">
          <cell r="A1471" t="str">
            <v>ASY-006886-03</v>
          </cell>
          <cell r="B1471">
            <v>1</v>
          </cell>
          <cell r="C1471" t="str">
            <v>ACB-000261-00</v>
          </cell>
          <cell r="D1471" t="str">
            <v>CABLE, ECOBUS, 24AWG, SHORT, TROV 2</v>
          </cell>
          <cell r="E1471" t="str">
            <v>B</v>
          </cell>
          <cell r="F1471" t="str">
            <v>Cable</v>
          </cell>
          <cell r="G1471">
            <v>1</v>
          </cell>
          <cell r="H1471">
            <v>0.76</v>
          </cell>
          <cell r="I1471" t="str">
            <v>Buy</v>
          </cell>
        </row>
        <row r="1472">
          <cell r="A1472" t="str">
            <v>ASY-006886-03</v>
          </cell>
          <cell r="B1472">
            <v>1</v>
          </cell>
          <cell r="C1472" t="str">
            <v>ACB-000261-01</v>
          </cell>
          <cell r="D1472" t="str">
            <v>CABLE, ECOBUS, 24AWG, LONG, TROV 2</v>
          </cell>
          <cell r="E1472" t="str">
            <v>B</v>
          </cell>
          <cell r="F1472" t="str">
            <v>Cable</v>
          </cell>
          <cell r="G1472">
            <v>1</v>
          </cell>
          <cell r="H1472">
            <v>0.82</v>
          </cell>
          <cell r="I1472" t="str">
            <v>Buy</v>
          </cell>
        </row>
        <row r="1473">
          <cell r="A1473" t="str">
            <v>ASY-006886-03</v>
          </cell>
          <cell r="B1473">
            <v>1</v>
          </cell>
          <cell r="C1473" t="str">
            <v>ASY-100008-00</v>
          </cell>
          <cell r="D1473" t="str">
            <v>Cable Subassembly, Driver housing, 4ft, Trov 2</v>
          </cell>
          <cell r="E1473" t="str">
            <v>A</v>
          </cell>
          <cell r="F1473" t="str">
            <v>Sub assembly</v>
          </cell>
          <cell r="G1473">
            <v>1</v>
          </cell>
          <cell r="H1473">
            <v>0</v>
          </cell>
          <cell r="I1473" t="str">
            <v>Make</v>
          </cell>
        </row>
        <row r="1474">
          <cell r="A1474" t="str">
            <v>ASY-006886-03</v>
          </cell>
          <cell r="B1474">
            <v>2</v>
          </cell>
          <cell r="C1474" t="str">
            <v>ACB-000272-00</v>
          </cell>
          <cell r="D1474" t="str">
            <v>CABLE ASSY, INTRA-FIXTURE, 4FT, TROV 2.0</v>
          </cell>
          <cell r="E1474" t="str">
            <v>B</v>
          </cell>
          <cell r="F1474" t="str">
            <v>Cable Assembly</v>
          </cell>
          <cell r="G1474">
            <v>1</v>
          </cell>
          <cell r="H1474">
            <v>20.420000000000002</v>
          </cell>
          <cell r="I1474" t="str">
            <v>Buy</v>
          </cell>
        </row>
        <row r="1475">
          <cell r="A1475" t="str">
            <v>ASY-006886-03</v>
          </cell>
          <cell r="B1475">
            <v>3</v>
          </cell>
          <cell r="C1475" t="str">
            <v>ACB-000273-00</v>
          </cell>
          <cell r="D1475" t="str">
            <v>6 CONDUCTOR CABLE, 3X22AWG, 3X16AWG, AL MYLAR, TROV 2</v>
          </cell>
          <cell r="E1475" t="str">
            <v>A</v>
          </cell>
          <cell r="F1475" t="str">
            <v>Cable</v>
          </cell>
          <cell r="G1475">
            <v>1</v>
          </cell>
          <cell r="H1475">
            <v>0</v>
          </cell>
          <cell r="I1475" t="str">
            <v>N/A</v>
          </cell>
        </row>
        <row r="1476">
          <cell r="A1476" t="str">
            <v>ASY-006886-03</v>
          </cell>
          <cell r="B1476">
            <v>3</v>
          </cell>
          <cell r="C1476" t="str">
            <v>ACB-000274-00</v>
          </cell>
          <cell r="D1476" t="str">
            <v>CABLE ASSEMBLY, INTERNAL, DRIVER SIDE, 4FT, TROV 2</v>
          </cell>
          <cell r="E1476" t="str">
            <v>A</v>
          </cell>
          <cell r="F1476" t="str">
            <v>Cable Assembly</v>
          </cell>
          <cell r="G1476">
            <v>1</v>
          </cell>
          <cell r="H1476">
            <v>0</v>
          </cell>
          <cell r="I1476" t="str">
            <v>N/A</v>
          </cell>
        </row>
        <row r="1477">
          <cell r="A1477" t="str">
            <v>ASY-006886-03</v>
          </cell>
          <cell r="B1477">
            <v>3</v>
          </cell>
          <cell r="C1477" t="str">
            <v>CON-000259-00</v>
          </cell>
          <cell r="D1477" t="str">
            <v>CONNECTOR, MALE, 6 PIN, TROV 2</v>
          </cell>
          <cell r="E1477" t="str">
            <v>B</v>
          </cell>
          <cell r="F1477" t="str">
            <v>Connector</v>
          </cell>
          <cell r="G1477">
            <v>1</v>
          </cell>
          <cell r="H1477">
            <v>0</v>
          </cell>
          <cell r="I1477" t="str">
            <v>N/A</v>
          </cell>
        </row>
        <row r="1478">
          <cell r="A1478" t="str">
            <v>ASY-006886-03</v>
          </cell>
          <cell r="B1478">
            <v>3</v>
          </cell>
          <cell r="C1478" t="str">
            <v>CON-000260-00</v>
          </cell>
          <cell r="D1478" t="str">
            <v>CONNECTOR, FEMALE, 6 PIN, TROV 2</v>
          </cell>
          <cell r="E1478" t="str">
            <v>A</v>
          </cell>
          <cell r="F1478" t="str">
            <v>Connector</v>
          </cell>
          <cell r="G1478">
            <v>1</v>
          </cell>
          <cell r="H1478">
            <v>0</v>
          </cell>
          <cell r="I1478" t="str">
            <v>N/A</v>
          </cell>
        </row>
        <row r="1479">
          <cell r="A1479" t="str">
            <v>ASY-006886-03</v>
          </cell>
          <cell r="B1479">
            <v>3</v>
          </cell>
          <cell r="C1479" t="str">
            <v>HSG-000330-00</v>
          </cell>
          <cell r="D1479" t="str">
            <v>DRIVER HOUSING, 4 FT, TROV 2</v>
          </cell>
          <cell r="E1479" t="str">
            <v>A</v>
          </cell>
          <cell r="F1479" t="str">
            <v>Housing</v>
          </cell>
          <cell r="G1479">
            <v>1</v>
          </cell>
          <cell r="H1479">
            <v>0</v>
          </cell>
          <cell r="I1479" t="str">
            <v>N/A</v>
          </cell>
        </row>
        <row r="1480">
          <cell r="A1480" t="str">
            <v>ASY-006886-03</v>
          </cell>
          <cell r="B1480">
            <v>3</v>
          </cell>
          <cell r="C1480" t="str">
            <v>ORG-000060-00</v>
          </cell>
          <cell r="D1480" t="str">
            <v>O-RING, CABLE, TROV 2</v>
          </cell>
          <cell r="E1480" t="str">
            <v>A</v>
          </cell>
          <cell r="F1480" t="str">
            <v>O-Ring</v>
          </cell>
          <cell r="G1480">
            <v>1</v>
          </cell>
          <cell r="H1480">
            <v>0</v>
          </cell>
          <cell r="I1480" t="str">
            <v>N/A</v>
          </cell>
        </row>
        <row r="1481">
          <cell r="A1481" t="str">
            <v>ASY-006886-03</v>
          </cell>
          <cell r="B1481">
            <v>3</v>
          </cell>
          <cell r="C1481" t="str">
            <v>SRF-000030-00</v>
          </cell>
          <cell r="D1481" t="str">
            <v>STRAIN RELIEF, CABLE, TROV 2</v>
          </cell>
          <cell r="E1481" t="str">
            <v>A</v>
          </cell>
          <cell r="F1481" t="str">
            <v>Strain Relief</v>
          </cell>
          <cell r="G1481">
            <v>1</v>
          </cell>
          <cell r="H1481">
            <v>0</v>
          </cell>
          <cell r="I1481" t="str">
            <v>N/A</v>
          </cell>
        </row>
        <row r="1482">
          <cell r="A1482" t="str">
            <v>ASY-006886-03</v>
          </cell>
          <cell r="B1482">
            <v>2</v>
          </cell>
          <cell r="C1482" t="str">
            <v>BKT-000517-00</v>
          </cell>
          <cell r="D1482" t="str">
            <v>BRACKET, ROTATING LOCK, 4 FT, TROV 2.0</v>
          </cell>
          <cell r="E1482" t="str">
            <v>B</v>
          </cell>
          <cell r="F1482" t="str">
            <v>Bracket</v>
          </cell>
          <cell r="G1482">
            <v>1</v>
          </cell>
          <cell r="H1482">
            <v>0.9</v>
          </cell>
          <cell r="I1482" t="str">
            <v>Buy</v>
          </cell>
        </row>
        <row r="1483">
          <cell r="A1483" t="str">
            <v>ASY-006886-03</v>
          </cell>
          <cell r="B1483">
            <v>2</v>
          </cell>
          <cell r="C1483" t="str">
            <v>BKT-000518-00</v>
          </cell>
          <cell r="D1483" t="str">
            <v>BRACKET, PANEL MOUNT, 4 FT, TROV 2.0</v>
          </cell>
          <cell r="E1483" t="str">
            <v>B</v>
          </cell>
          <cell r="F1483" t="str">
            <v>Bracket</v>
          </cell>
          <cell r="G1483">
            <v>1</v>
          </cell>
          <cell r="H1483">
            <v>0.9</v>
          </cell>
          <cell r="I1483" t="str">
            <v>Buy</v>
          </cell>
        </row>
        <row r="1484">
          <cell r="A1484" t="str">
            <v>ASY-006886-03</v>
          </cell>
          <cell r="B1484">
            <v>2</v>
          </cell>
          <cell r="C1484" t="str">
            <v>SCW-000509-00</v>
          </cell>
          <cell r="D1484" t="str">
            <v>SCREW, SEALING FLAT HEAD, M3x0.5x8MM</v>
          </cell>
          <cell r="E1484" t="str">
            <v>B</v>
          </cell>
          <cell r="F1484" t="str">
            <v>Screw</v>
          </cell>
          <cell r="G1484">
            <v>2</v>
          </cell>
          <cell r="H1484">
            <v>0.4</v>
          </cell>
          <cell r="I1484" t="str">
            <v>Buy</v>
          </cell>
        </row>
        <row r="1485">
          <cell r="A1485" t="str">
            <v>ASY-006886-03</v>
          </cell>
          <cell r="B1485">
            <v>1</v>
          </cell>
          <cell r="C1485" t="str">
            <v>BAS-000021-00</v>
          </cell>
          <cell r="D1485" t="str">
            <v>BASE, 4FT, TROV 2.0</v>
          </cell>
          <cell r="E1485" t="str">
            <v>F</v>
          </cell>
          <cell r="F1485" t="str">
            <v>Base</v>
          </cell>
          <cell r="G1485">
            <v>1</v>
          </cell>
          <cell r="H1485">
            <v>14.25</v>
          </cell>
          <cell r="I1485" t="str">
            <v>Buy</v>
          </cell>
        </row>
        <row r="1486">
          <cell r="A1486" t="str">
            <v>ASY-006886-03</v>
          </cell>
          <cell r="B1486">
            <v>1</v>
          </cell>
          <cell r="C1486" t="str">
            <v>BKT-000457-03</v>
          </cell>
          <cell r="D1486" t="str">
            <v>BRACKET, MOUNT, LEFT, BLACK, TROV 2.0</v>
          </cell>
          <cell r="E1486" t="str">
            <v>C</v>
          </cell>
          <cell r="F1486" t="str">
            <v>Bracket</v>
          </cell>
          <cell r="G1486">
            <v>1</v>
          </cell>
          <cell r="H1486">
            <v>0.99</v>
          </cell>
          <cell r="I1486" t="str">
            <v>Buy</v>
          </cell>
        </row>
        <row r="1487">
          <cell r="A1487" t="str">
            <v>ASY-006886-03</v>
          </cell>
          <cell r="B1487">
            <v>1</v>
          </cell>
          <cell r="C1487" t="str">
            <v>BKT-000458-03</v>
          </cell>
          <cell r="D1487" t="str">
            <v>BRACKET, MOUNT, RIGHT, BLACK, TROV 2.0</v>
          </cell>
          <cell r="E1487" t="str">
            <v>C</v>
          </cell>
          <cell r="F1487" t="str">
            <v>Bracket</v>
          </cell>
          <cell r="G1487">
            <v>1</v>
          </cell>
          <cell r="H1487">
            <v>0.99</v>
          </cell>
          <cell r="I1487" t="str">
            <v>Buy</v>
          </cell>
        </row>
        <row r="1488">
          <cell r="A1488" t="str">
            <v>ASY-006886-03</v>
          </cell>
          <cell r="B1488">
            <v>1</v>
          </cell>
          <cell r="C1488" t="str">
            <v>CVR-000791-02</v>
          </cell>
          <cell r="D1488" t="str">
            <v>END COVER, FC, BRONZE, L45, TROV 2.0</v>
          </cell>
          <cell r="E1488" t="str">
            <v>D</v>
          </cell>
          <cell r="F1488" t="str">
            <v>Cover</v>
          </cell>
          <cell r="G1488">
            <v>1</v>
          </cell>
          <cell r="H1488">
            <v>1.07</v>
          </cell>
          <cell r="I1488" t="str">
            <v>Buy</v>
          </cell>
        </row>
        <row r="1489">
          <cell r="A1489" t="str">
            <v>ASY-006886-03</v>
          </cell>
          <cell r="B1489">
            <v>1</v>
          </cell>
          <cell r="C1489" t="str">
            <v>CVR-000894-02</v>
          </cell>
          <cell r="D1489" t="str">
            <v>END COVER, MC, BRONZE, L45, TROV 2.0</v>
          </cell>
          <cell r="E1489" t="str">
            <v>B</v>
          </cell>
          <cell r="F1489" t="str">
            <v>Cover</v>
          </cell>
          <cell r="G1489">
            <v>1</v>
          </cell>
          <cell r="H1489">
            <v>1.07</v>
          </cell>
          <cell r="I1489" t="str">
            <v>Buy</v>
          </cell>
        </row>
        <row r="1490">
          <cell r="A1490" t="str">
            <v>ASY-006886-03</v>
          </cell>
          <cell r="B1490">
            <v>1</v>
          </cell>
          <cell r="C1490" t="str">
            <v>FOM-000029-00</v>
          </cell>
          <cell r="D1490" t="str">
            <v>FOAM, LIGHTBLOCK, ENDCAP, L45, TROV2</v>
          </cell>
          <cell r="E1490" t="str">
            <v>A</v>
          </cell>
          <cell r="F1490" t="str">
            <v>Foam</v>
          </cell>
          <cell r="G1490">
            <v>2</v>
          </cell>
          <cell r="H1490">
            <v>0.02</v>
          </cell>
          <cell r="I1490" t="str">
            <v>Buy</v>
          </cell>
        </row>
        <row r="1491">
          <cell r="A1491" t="str">
            <v>ASY-006886-03</v>
          </cell>
          <cell r="B1491">
            <v>1</v>
          </cell>
          <cell r="C1491" t="str">
            <v>GSK-000114-01</v>
          </cell>
          <cell r="D1491" t="str">
            <v>GASKET, TERTIARY LENS, 3M, 2 FT, L45, TROV 2.0</v>
          </cell>
          <cell r="E1491" t="str">
            <v>D</v>
          </cell>
          <cell r="F1491" t="str">
            <v>Gasket</v>
          </cell>
          <cell r="G1491">
            <v>2</v>
          </cell>
          <cell r="H1491">
            <v>2.65</v>
          </cell>
          <cell r="I1491" t="str">
            <v>Buy</v>
          </cell>
        </row>
        <row r="1492">
          <cell r="A1492" t="str">
            <v>ASY-006886-03</v>
          </cell>
          <cell r="B1492">
            <v>1</v>
          </cell>
          <cell r="C1492" t="str">
            <v>GSK-000122-01</v>
          </cell>
          <cell r="D1492" t="str">
            <v>GASKET, DRIVER ENCLOSURE, 3M, 4 FT, TROV 2.0</v>
          </cell>
          <cell r="E1492" t="str">
            <v>B</v>
          </cell>
          <cell r="F1492" t="str">
            <v>Gasket</v>
          </cell>
          <cell r="G1492">
            <v>1</v>
          </cell>
          <cell r="H1492">
            <v>2.0299999999999998</v>
          </cell>
          <cell r="I1492" t="str">
            <v>Buy</v>
          </cell>
        </row>
        <row r="1493">
          <cell r="A1493" t="str">
            <v>ASY-006886-03</v>
          </cell>
          <cell r="B1493">
            <v>1</v>
          </cell>
          <cell r="C1493" t="str">
            <v>HSG-000494-02</v>
          </cell>
          <cell r="D1493" t="str">
            <v>HOUSING, TOP, 4 FT, L45, BRONZE, TROV 2.0</v>
          </cell>
          <cell r="E1493" t="str">
            <v>E</v>
          </cell>
          <cell r="F1493" t="str">
            <v>Housing</v>
          </cell>
          <cell r="G1493">
            <v>1</v>
          </cell>
          <cell r="H1493">
            <v>0</v>
          </cell>
          <cell r="I1493" t="str">
            <v>Buy</v>
          </cell>
        </row>
        <row r="1494">
          <cell r="A1494" t="str">
            <v>ASY-006886-03</v>
          </cell>
          <cell r="B1494">
            <v>1</v>
          </cell>
          <cell r="C1494" t="str">
            <v>HSG-000495-02</v>
          </cell>
          <cell r="D1494" t="str">
            <v>HOUSING, BOTTOM, 4 FT, BRONZE, TROV 2.0</v>
          </cell>
          <cell r="E1494" t="str">
            <v>F</v>
          </cell>
          <cell r="F1494" t="str">
            <v>Housing</v>
          </cell>
          <cell r="G1494">
            <v>1</v>
          </cell>
          <cell r="H1494">
            <v>29.32</v>
          </cell>
          <cell r="I1494" t="str">
            <v>Buy</v>
          </cell>
        </row>
        <row r="1495">
          <cell r="A1495" t="str">
            <v>ASY-006886-03</v>
          </cell>
          <cell r="B1495">
            <v>1</v>
          </cell>
          <cell r="C1495" t="str">
            <v>LBA-000003-00</v>
          </cell>
          <cell r="D1495" t="str">
            <v>Label: TROV 2 P1/P2, Model L45/L60</v>
          </cell>
          <cell r="E1495" t="str">
            <v>A</v>
          </cell>
          <cell r="F1495" t="str">
            <v>Label BOM</v>
          </cell>
          <cell r="G1495">
            <v>1</v>
          </cell>
          <cell r="H1495">
            <v>0</v>
          </cell>
          <cell r="I1495" t="str">
            <v>Make</v>
          </cell>
        </row>
        <row r="1496">
          <cell r="A1496" t="str">
            <v>ASY-006886-03</v>
          </cell>
          <cell r="B1496">
            <v>2</v>
          </cell>
          <cell r="C1496" t="str">
            <v>LBL-000243-00</v>
          </cell>
          <cell r="D1496" t="str">
            <v>Blank Product Label: Trov 2 P1/P2, Model L45/L60</v>
          </cell>
          <cell r="E1496" t="str">
            <v>A</v>
          </cell>
          <cell r="F1496" t="str">
            <v>Label</v>
          </cell>
          <cell r="G1496">
            <v>1</v>
          </cell>
          <cell r="H1496">
            <v>0.33</v>
          </cell>
          <cell r="I1496" t="str">
            <v>Buy</v>
          </cell>
        </row>
        <row r="1497">
          <cell r="A1497" t="str">
            <v>ASY-006886-03</v>
          </cell>
          <cell r="B1497">
            <v>1</v>
          </cell>
          <cell r="C1497" t="str">
            <v>PLG-000009-01</v>
          </cell>
          <cell r="D1497" t="str">
            <v>Porex Vent, Trov, L50 Exterior</v>
          </cell>
          <cell r="E1497" t="str">
            <v>B</v>
          </cell>
          <cell r="F1497" t="str">
            <v>Plug</v>
          </cell>
          <cell r="G1497">
            <v>2</v>
          </cell>
          <cell r="H1497">
            <v>0.17</v>
          </cell>
          <cell r="I1497" t="str">
            <v>Buy</v>
          </cell>
        </row>
        <row r="1498">
          <cell r="A1498" t="str">
            <v>ASY-006886-03</v>
          </cell>
          <cell r="B1498">
            <v>1</v>
          </cell>
          <cell r="C1498" t="str">
            <v>SCW-000156-00</v>
          </cell>
          <cell r="D1498" t="str">
            <v>SCREW, M3 x 0.5 X 8mm, PAND HEAD, PHILLIPS, STEEL</v>
          </cell>
          <cell r="E1498" t="str">
            <v>B</v>
          </cell>
          <cell r="F1498" t="str">
            <v>Screw</v>
          </cell>
          <cell r="G1498">
            <v>6</v>
          </cell>
          <cell r="H1498">
            <v>4.4400000000000002E-2</v>
          </cell>
          <cell r="I1498" t="str">
            <v>Buy</v>
          </cell>
        </row>
        <row r="1499">
          <cell r="A1499" t="str">
            <v>ASY-006886-03</v>
          </cell>
          <cell r="B1499">
            <v>1</v>
          </cell>
          <cell r="C1499" t="str">
            <v>SCW-000483-00</v>
          </cell>
          <cell r="D1499" t="str">
            <v>SCREW, PHILIPS FLAT HEAD, M2.5x0.45x5 , 18-8 SST</v>
          </cell>
          <cell r="E1499" t="str">
            <v>A</v>
          </cell>
          <cell r="F1499" t="str">
            <v>Screw</v>
          </cell>
          <cell r="G1499">
            <v>4</v>
          </cell>
          <cell r="H1499">
            <v>0.02</v>
          </cell>
          <cell r="I1499" t="str">
            <v>Buy</v>
          </cell>
        </row>
        <row r="1500">
          <cell r="A1500" t="str">
            <v>ASY-006886-03</v>
          </cell>
          <cell r="B1500">
            <v>1</v>
          </cell>
          <cell r="C1500" t="str">
            <v>SCW-000556-00</v>
          </cell>
          <cell r="D1500" t="str">
            <v>SCREW, HEX, SERRATED, #8-32, GROUNDING, TROV 2</v>
          </cell>
          <cell r="E1500" t="str">
            <v>A</v>
          </cell>
          <cell r="F1500" t="str">
            <v>Screw</v>
          </cell>
          <cell r="G1500">
            <v>1</v>
          </cell>
          <cell r="H1500">
            <v>0.04</v>
          </cell>
          <cell r="I1500" t="str">
            <v>Buy</v>
          </cell>
        </row>
        <row r="1501">
          <cell r="A1501" t="str">
            <v>ASY-006886-03</v>
          </cell>
          <cell r="B1501">
            <v>1</v>
          </cell>
          <cell r="C1501" t="str">
            <v>SCW-000567-00</v>
          </cell>
          <cell r="D1501" t="str">
            <v>SCREW, M2.5 x 0.45 x 12.0mm LENGTH, PAN HD, PHILLIPS, ZINC-PLATED STEEL</v>
          </cell>
          <cell r="E1501" t="str">
            <v>A</v>
          </cell>
          <cell r="F1501" t="str">
            <v>Screw</v>
          </cell>
          <cell r="G1501">
            <v>4</v>
          </cell>
          <cell r="H1501">
            <v>0.06</v>
          </cell>
          <cell r="I1501" t="str">
            <v>Buy</v>
          </cell>
        </row>
        <row r="1502">
          <cell r="A1502" t="str">
            <v>ASY-006886-03</v>
          </cell>
          <cell r="B1502">
            <v>1</v>
          </cell>
          <cell r="C1502" t="str">
            <v>SCW-000574-00</v>
          </cell>
          <cell r="D1502" t="str">
            <v>SCREW, TORX HEAD, 1/4-28x1/2", LOW PROFILE, ALLOY STEEL</v>
          </cell>
          <cell r="E1502" t="str">
            <v>A</v>
          </cell>
          <cell r="F1502" t="str">
            <v>Screw</v>
          </cell>
          <cell r="G1502">
            <v>2</v>
          </cell>
          <cell r="H1502">
            <v>0.14000000000000001</v>
          </cell>
          <cell r="I1502" t="str">
            <v>Buy</v>
          </cell>
        </row>
        <row r="1503">
          <cell r="A1503" t="str">
            <v>ASY-006886-03</v>
          </cell>
          <cell r="B1503">
            <v>1</v>
          </cell>
          <cell r="C1503" t="str">
            <v>SHT-000043-00</v>
          </cell>
          <cell r="D1503" t="str">
            <v>INSULATION SHEET, HBA, 4FT,TROV 2</v>
          </cell>
          <cell r="E1503" t="str">
            <v>D</v>
          </cell>
          <cell r="F1503" t="str">
            <v>Sheet</v>
          </cell>
          <cell r="G1503">
            <v>1</v>
          </cell>
          <cell r="H1503">
            <v>0.25</v>
          </cell>
          <cell r="I1503" t="str">
            <v>Buy</v>
          </cell>
        </row>
        <row r="1504">
          <cell r="A1504" t="str">
            <v>ASY-006886-03</v>
          </cell>
          <cell r="B1504">
            <v>1</v>
          </cell>
          <cell r="C1504" t="str">
            <v>SPG-000023-00</v>
          </cell>
          <cell r="D1504" t="str">
            <v>SPRING, DISC, STACKED WAVE, TROV 2.0</v>
          </cell>
          <cell r="E1504" t="str">
            <v>A</v>
          </cell>
          <cell r="F1504" t="str">
            <v>Spring</v>
          </cell>
          <cell r="G1504">
            <v>2</v>
          </cell>
          <cell r="H1504">
            <v>1.74</v>
          </cell>
          <cell r="I1504" t="str">
            <v>Buy</v>
          </cell>
        </row>
        <row r="1505">
          <cell r="A1505" t="str">
            <v>ASY-006886-03</v>
          </cell>
          <cell r="B1505">
            <v>1</v>
          </cell>
          <cell r="C1505" t="str">
            <v>TAP-000031-00</v>
          </cell>
          <cell r="D1505" t="str">
            <v>3M Electrical Tape 92</v>
          </cell>
          <cell r="E1505" t="str">
            <v>A</v>
          </cell>
          <cell r="F1505" t="str">
            <v>Tape</v>
          </cell>
          <cell r="G1505">
            <v>120</v>
          </cell>
          <cell r="H1505">
            <v>1.4E-2</v>
          </cell>
          <cell r="I1505" t="str">
            <v>Buy</v>
          </cell>
        </row>
        <row r="1506">
          <cell r="A1506" t="str">
            <v>ASY-006886-03</v>
          </cell>
          <cell r="B1506">
            <v>1</v>
          </cell>
          <cell r="C1506" t="str">
            <v>TMP-000028-00</v>
          </cell>
          <cell r="D1506" t="str">
            <v>Thermal Pad, LED PCBA, 2 FT, TROV 2</v>
          </cell>
          <cell r="E1506" t="str">
            <v>B</v>
          </cell>
          <cell r="F1506" t="str">
            <v>Thermal Pad</v>
          </cell>
          <cell r="G1506">
            <v>2</v>
          </cell>
          <cell r="H1506">
            <v>1.32</v>
          </cell>
          <cell r="I1506" t="str">
            <v>Buy</v>
          </cell>
        </row>
        <row r="1507">
          <cell r="A1507" t="str">
            <v>ASY-006886-03</v>
          </cell>
          <cell r="B1507">
            <v>1</v>
          </cell>
          <cell r="C1507" t="str">
            <v>TMP-000029-00</v>
          </cell>
          <cell r="D1507" t="str">
            <v>Thermal Pad, HBA, TROV 2</v>
          </cell>
          <cell r="E1507" t="str">
            <v>B</v>
          </cell>
          <cell r="F1507" t="str">
            <v>Thermal Pad</v>
          </cell>
          <cell r="G1507">
            <v>2</v>
          </cell>
          <cell r="H1507">
            <v>0.14000000000000001</v>
          </cell>
          <cell r="I1507" t="str">
            <v>Buy</v>
          </cell>
        </row>
        <row r="1508">
          <cell r="A1508" t="str">
            <v>ASY-006886-04</v>
          </cell>
          <cell r="B1508">
            <v>0</v>
          </cell>
          <cell r="C1508" t="str">
            <v>ASY-006886-04</v>
          </cell>
          <cell r="D1508" t="str">
            <v>ASSY, MECHANICAL, L45, INDOOR, 4 FT, TROV 2.0, CUSTOM FINISH</v>
          </cell>
          <cell r="E1508" t="str">
            <v>J</v>
          </cell>
          <cell r="F1508" t="str">
            <v>Sub assembly</v>
          </cell>
          <cell r="H1508">
            <v>0</v>
          </cell>
          <cell r="I1508" t="str">
            <v>Make</v>
          </cell>
        </row>
        <row r="1509">
          <cell r="A1509" t="str">
            <v>ASY-006886-04</v>
          </cell>
          <cell r="B1509">
            <v>1</v>
          </cell>
          <cell r="C1509" t="str">
            <v>ACB-000261-00</v>
          </cell>
          <cell r="D1509" t="str">
            <v>CABLE, ECOBUS, 24AWG, SHORT, TROV 2</v>
          </cell>
          <cell r="E1509" t="str">
            <v>B</v>
          </cell>
          <cell r="F1509" t="str">
            <v>Cable</v>
          </cell>
          <cell r="G1509">
            <v>1</v>
          </cell>
          <cell r="H1509">
            <v>0.76</v>
          </cell>
          <cell r="I1509" t="str">
            <v>Buy</v>
          </cell>
        </row>
        <row r="1510">
          <cell r="A1510" t="str">
            <v>ASY-006886-04</v>
          </cell>
          <cell r="B1510">
            <v>1</v>
          </cell>
          <cell r="C1510" t="str">
            <v>ACB-000261-01</v>
          </cell>
          <cell r="D1510" t="str">
            <v>CABLE, ECOBUS, 24AWG, LONG, TROV 2</v>
          </cell>
          <cell r="E1510" t="str">
            <v>B</v>
          </cell>
          <cell r="F1510" t="str">
            <v>Cable</v>
          </cell>
          <cell r="G1510">
            <v>1</v>
          </cell>
          <cell r="H1510">
            <v>0.82</v>
          </cell>
          <cell r="I1510" t="str">
            <v>Buy</v>
          </cell>
        </row>
        <row r="1511">
          <cell r="A1511" t="str">
            <v>ASY-006886-04</v>
          </cell>
          <cell r="B1511">
            <v>1</v>
          </cell>
          <cell r="C1511" t="str">
            <v>ASY-100008-00</v>
          </cell>
          <cell r="D1511" t="str">
            <v>Cable Subassembly, Driver housing, 4ft, Trov 2</v>
          </cell>
          <cell r="E1511" t="str">
            <v>A</v>
          </cell>
          <cell r="F1511" t="str">
            <v>Sub assembly</v>
          </cell>
          <cell r="G1511">
            <v>1</v>
          </cell>
          <cell r="H1511">
            <v>0</v>
          </cell>
          <cell r="I1511" t="str">
            <v>Make</v>
          </cell>
        </row>
        <row r="1512">
          <cell r="A1512" t="str">
            <v>ASY-006886-04</v>
          </cell>
          <cell r="B1512">
            <v>2</v>
          </cell>
          <cell r="C1512" t="str">
            <v>ACB-000272-00</v>
          </cell>
          <cell r="D1512" t="str">
            <v>CABLE ASSY, INTRA-FIXTURE, 4FT, TROV 2.0</v>
          </cell>
          <cell r="E1512" t="str">
            <v>B</v>
          </cell>
          <cell r="F1512" t="str">
            <v>Cable Assembly</v>
          </cell>
          <cell r="G1512">
            <v>1</v>
          </cell>
          <cell r="H1512">
            <v>20.420000000000002</v>
          </cell>
          <cell r="I1512" t="str">
            <v>Buy</v>
          </cell>
        </row>
        <row r="1513">
          <cell r="A1513" t="str">
            <v>ASY-006886-04</v>
          </cell>
          <cell r="B1513">
            <v>3</v>
          </cell>
          <cell r="C1513" t="str">
            <v>ACB-000273-00</v>
          </cell>
          <cell r="D1513" t="str">
            <v>6 CONDUCTOR CABLE, 3X22AWG, 3X16AWG, AL MYLAR, TROV 2</v>
          </cell>
          <cell r="E1513" t="str">
            <v>A</v>
          </cell>
          <cell r="F1513" t="str">
            <v>Cable</v>
          </cell>
          <cell r="G1513">
            <v>1</v>
          </cell>
          <cell r="H1513">
            <v>0</v>
          </cell>
          <cell r="I1513" t="str">
            <v>N/A</v>
          </cell>
        </row>
        <row r="1514">
          <cell r="A1514" t="str">
            <v>ASY-006886-04</v>
          </cell>
          <cell r="B1514">
            <v>3</v>
          </cell>
          <cell r="C1514" t="str">
            <v>ACB-000274-00</v>
          </cell>
          <cell r="D1514" t="str">
            <v>CABLE ASSEMBLY, INTERNAL, DRIVER SIDE, 4FT, TROV 2</v>
          </cell>
          <cell r="E1514" t="str">
            <v>A</v>
          </cell>
          <cell r="F1514" t="str">
            <v>Cable Assembly</v>
          </cell>
          <cell r="G1514">
            <v>1</v>
          </cell>
          <cell r="H1514">
            <v>0</v>
          </cell>
          <cell r="I1514" t="str">
            <v>N/A</v>
          </cell>
        </row>
        <row r="1515">
          <cell r="A1515" t="str">
            <v>ASY-006886-04</v>
          </cell>
          <cell r="B1515">
            <v>3</v>
          </cell>
          <cell r="C1515" t="str">
            <v>CON-000259-00</v>
          </cell>
          <cell r="D1515" t="str">
            <v>CONNECTOR, MALE, 6 PIN, TROV 2</v>
          </cell>
          <cell r="E1515" t="str">
            <v>B</v>
          </cell>
          <cell r="F1515" t="str">
            <v>Connector</v>
          </cell>
          <cell r="G1515">
            <v>1</v>
          </cell>
          <cell r="H1515">
            <v>0</v>
          </cell>
          <cell r="I1515" t="str">
            <v>N/A</v>
          </cell>
        </row>
        <row r="1516">
          <cell r="A1516" t="str">
            <v>ASY-006886-04</v>
          </cell>
          <cell r="B1516">
            <v>3</v>
          </cell>
          <cell r="C1516" t="str">
            <v>CON-000260-00</v>
          </cell>
          <cell r="D1516" t="str">
            <v>CONNECTOR, FEMALE, 6 PIN, TROV 2</v>
          </cell>
          <cell r="E1516" t="str">
            <v>A</v>
          </cell>
          <cell r="F1516" t="str">
            <v>Connector</v>
          </cell>
          <cell r="G1516">
            <v>1</v>
          </cell>
          <cell r="H1516">
            <v>0</v>
          </cell>
          <cell r="I1516" t="str">
            <v>N/A</v>
          </cell>
        </row>
        <row r="1517">
          <cell r="A1517" t="str">
            <v>ASY-006886-04</v>
          </cell>
          <cell r="B1517">
            <v>3</v>
          </cell>
          <cell r="C1517" t="str">
            <v>HSG-000330-00</v>
          </cell>
          <cell r="D1517" t="str">
            <v>DRIVER HOUSING, 4 FT, TROV 2</v>
          </cell>
          <cell r="E1517" t="str">
            <v>A</v>
          </cell>
          <cell r="F1517" t="str">
            <v>Housing</v>
          </cell>
          <cell r="G1517">
            <v>1</v>
          </cell>
          <cell r="H1517">
            <v>0</v>
          </cell>
          <cell r="I1517" t="str">
            <v>N/A</v>
          </cell>
        </row>
        <row r="1518">
          <cell r="A1518" t="str">
            <v>ASY-006886-04</v>
          </cell>
          <cell r="B1518">
            <v>3</v>
          </cell>
          <cell r="C1518" t="str">
            <v>ORG-000060-00</v>
          </cell>
          <cell r="D1518" t="str">
            <v>O-RING, CABLE, TROV 2</v>
          </cell>
          <cell r="E1518" t="str">
            <v>A</v>
          </cell>
          <cell r="F1518" t="str">
            <v>O-Ring</v>
          </cell>
          <cell r="G1518">
            <v>1</v>
          </cell>
          <cell r="H1518">
            <v>0</v>
          </cell>
          <cell r="I1518" t="str">
            <v>N/A</v>
          </cell>
        </row>
        <row r="1519">
          <cell r="A1519" t="str">
            <v>ASY-006886-04</v>
          </cell>
          <cell r="B1519">
            <v>3</v>
          </cell>
          <cell r="C1519" t="str">
            <v>SRF-000030-00</v>
          </cell>
          <cell r="D1519" t="str">
            <v>STRAIN RELIEF, CABLE, TROV 2</v>
          </cell>
          <cell r="E1519" t="str">
            <v>A</v>
          </cell>
          <cell r="F1519" t="str">
            <v>Strain Relief</v>
          </cell>
          <cell r="G1519">
            <v>1</v>
          </cell>
          <cell r="H1519">
            <v>0</v>
          </cell>
          <cell r="I1519" t="str">
            <v>N/A</v>
          </cell>
        </row>
        <row r="1520">
          <cell r="A1520" t="str">
            <v>ASY-006886-04</v>
          </cell>
          <cell r="B1520">
            <v>2</v>
          </cell>
          <cell r="C1520" t="str">
            <v>BKT-000517-00</v>
          </cell>
          <cell r="D1520" t="str">
            <v>BRACKET, ROTATING LOCK, 4 FT, TROV 2.0</v>
          </cell>
          <cell r="E1520" t="str">
            <v>B</v>
          </cell>
          <cell r="F1520" t="str">
            <v>Bracket</v>
          </cell>
          <cell r="G1520">
            <v>1</v>
          </cell>
          <cell r="H1520">
            <v>0.9</v>
          </cell>
          <cell r="I1520" t="str">
            <v>Buy</v>
          </cell>
        </row>
        <row r="1521">
          <cell r="A1521" t="str">
            <v>ASY-006886-04</v>
          </cell>
          <cell r="B1521">
            <v>2</v>
          </cell>
          <cell r="C1521" t="str">
            <v>BKT-000518-00</v>
          </cell>
          <cell r="D1521" t="str">
            <v>BRACKET, PANEL MOUNT, 4 FT, TROV 2.0</v>
          </cell>
          <cell r="E1521" t="str">
            <v>B</v>
          </cell>
          <cell r="F1521" t="str">
            <v>Bracket</v>
          </cell>
          <cell r="G1521">
            <v>1</v>
          </cell>
          <cell r="H1521">
            <v>0.9</v>
          </cell>
          <cell r="I1521" t="str">
            <v>Buy</v>
          </cell>
        </row>
        <row r="1522">
          <cell r="A1522" t="str">
            <v>ASY-006886-04</v>
          </cell>
          <cell r="B1522">
            <v>2</v>
          </cell>
          <cell r="C1522" t="str">
            <v>SCW-000509-00</v>
          </cell>
          <cell r="D1522" t="str">
            <v>SCREW, SEALING FLAT HEAD, M3x0.5x8MM</v>
          </cell>
          <cell r="E1522" t="str">
            <v>B</v>
          </cell>
          <cell r="F1522" t="str">
            <v>Screw</v>
          </cell>
          <cell r="G1522">
            <v>2</v>
          </cell>
          <cell r="H1522">
            <v>0.4</v>
          </cell>
          <cell r="I1522" t="str">
            <v>Buy</v>
          </cell>
        </row>
        <row r="1523">
          <cell r="A1523" t="str">
            <v>ASY-006886-04</v>
          </cell>
          <cell r="B1523">
            <v>1</v>
          </cell>
          <cell r="C1523" t="str">
            <v>BAS-000021-00</v>
          </cell>
          <cell r="D1523" t="str">
            <v>BASE, 4FT, TROV 2.0</v>
          </cell>
          <cell r="E1523" t="str">
            <v>F</v>
          </cell>
          <cell r="F1523" t="str">
            <v>Base</v>
          </cell>
          <cell r="G1523">
            <v>1</v>
          </cell>
          <cell r="H1523">
            <v>14.25</v>
          </cell>
          <cell r="I1523" t="str">
            <v>Buy</v>
          </cell>
        </row>
        <row r="1524">
          <cell r="A1524" t="str">
            <v>ASY-006886-04</v>
          </cell>
          <cell r="B1524">
            <v>1</v>
          </cell>
          <cell r="C1524" t="str">
            <v>BKT-000457-03</v>
          </cell>
          <cell r="D1524" t="str">
            <v>BRACKET, MOUNT, LEFT, BLACK, TROV 2.0</v>
          </cell>
          <cell r="E1524" t="str">
            <v>C</v>
          </cell>
          <cell r="F1524" t="str">
            <v>Bracket</v>
          </cell>
          <cell r="G1524">
            <v>1</v>
          </cell>
          <cell r="H1524">
            <v>0.99</v>
          </cell>
          <cell r="I1524" t="str">
            <v>Buy</v>
          </cell>
        </row>
        <row r="1525">
          <cell r="A1525" t="str">
            <v>ASY-006886-04</v>
          </cell>
          <cell r="B1525">
            <v>1</v>
          </cell>
          <cell r="C1525" t="str">
            <v>BKT-000458-03</v>
          </cell>
          <cell r="D1525" t="str">
            <v>BRACKET, MOUNT, RIGHT, BLACK, TROV 2.0</v>
          </cell>
          <cell r="E1525" t="str">
            <v>C</v>
          </cell>
          <cell r="F1525" t="str">
            <v>Bracket</v>
          </cell>
          <cell r="G1525">
            <v>1</v>
          </cell>
          <cell r="H1525">
            <v>0.99</v>
          </cell>
          <cell r="I1525" t="str">
            <v>Buy</v>
          </cell>
        </row>
        <row r="1526">
          <cell r="A1526" t="str">
            <v>ASY-006886-04</v>
          </cell>
          <cell r="B1526">
            <v>1</v>
          </cell>
          <cell r="C1526" t="str">
            <v>CVR-000791-0C</v>
          </cell>
          <cell r="D1526" t="str">
            <v>END COVER, FC, CUSTOM FINISH, L45, TROV 2.0</v>
          </cell>
          <cell r="E1526" t="str">
            <v>E</v>
          </cell>
          <cell r="F1526" t="str">
            <v>Cover</v>
          </cell>
          <cell r="G1526">
            <v>1</v>
          </cell>
          <cell r="H1526">
            <v>0</v>
          </cell>
          <cell r="I1526" t="str">
            <v>Buy</v>
          </cell>
        </row>
        <row r="1527">
          <cell r="A1527" t="str">
            <v>ASY-006886-04</v>
          </cell>
          <cell r="B1527">
            <v>1</v>
          </cell>
          <cell r="C1527" t="str">
            <v>CVR-000894-0C</v>
          </cell>
          <cell r="D1527" t="str">
            <v>END COVER, MC, CUSTOM FINISH, L45, TROV 2.0</v>
          </cell>
          <cell r="E1527" t="str">
            <v>C</v>
          </cell>
          <cell r="F1527" t="str">
            <v>Cover</v>
          </cell>
          <cell r="G1527">
            <v>1</v>
          </cell>
          <cell r="H1527">
            <v>0</v>
          </cell>
          <cell r="I1527" t="str">
            <v>Buy</v>
          </cell>
        </row>
        <row r="1528">
          <cell r="A1528" t="str">
            <v>ASY-006886-04</v>
          </cell>
          <cell r="B1528">
            <v>1</v>
          </cell>
          <cell r="C1528" t="str">
            <v>FOM-000029-00</v>
          </cell>
          <cell r="D1528" t="str">
            <v>FOAM, LIGHTBLOCK, ENDCAP, L45, TROV2</v>
          </cell>
          <cell r="E1528" t="str">
            <v>A</v>
          </cell>
          <cell r="F1528" t="str">
            <v>Foam</v>
          </cell>
          <cell r="G1528">
            <v>2</v>
          </cell>
          <cell r="H1528">
            <v>0.02</v>
          </cell>
          <cell r="I1528" t="str">
            <v>Buy</v>
          </cell>
        </row>
        <row r="1529">
          <cell r="A1529" t="str">
            <v>ASY-006886-04</v>
          </cell>
          <cell r="B1529">
            <v>1</v>
          </cell>
          <cell r="C1529" t="str">
            <v>GSK-000114-01</v>
          </cell>
          <cell r="D1529" t="str">
            <v>GASKET, TERTIARY LENS, 3M, 2 FT, L45, TROV 2.0</v>
          </cell>
          <cell r="E1529" t="str">
            <v>D</v>
          </cell>
          <cell r="F1529" t="str">
            <v>Gasket</v>
          </cell>
          <cell r="G1529">
            <v>2</v>
          </cell>
          <cell r="H1529">
            <v>2.65</v>
          </cell>
          <cell r="I1529" t="str">
            <v>Buy</v>
          </cell>
        </row>
        <row r="1530">
          <cell r="A1530" t="str">
            <v>ASY-006886-04</v>
          </cell>
          <cell r="B1530">
            <v>1</v>
          </cell>
          <cell r="C1530" t="str">
            <v>GSK-000122-01</v>
          </cell>
          <cell r="D1530" t="str">
            <v>GASKET, DRIVER ENCLOSURE, 3M, 4 FT, TROV 2.0</v>
          </cell>
          <cell r="E1530" t="str">
            <v>B</v>
          </cell>
          <cell r="F1530" t="str">
            <v>Gasket</v>
          </cell>
          <cell r="G1530">
            <v>1</v>
          </cell>
          <cell r="H1530">
            <v>2.0299999999999998</v>
          </cell>
          <cell r="I1530" t="str">
            <v>Buy</v>
          </cell>
        </row>
        <row r="1531">
          <cell r="A1531" t="str">
            <v>ASY-006886-04</v>
          </cell>
          <cell r="B1531">
            <v>1</v>
          </cell>
          <cell r="C1531" t="str">
            <v>HSG-000494-0C</v>
          </cell>
          <cell r="D1531" t="str">
            <v>HOUSING, TOP, 4 FT, L45, CUSTOM FINISH, TROV 2.0</v>
          </cell>
          <cell r="E1531" t="str">
            <v>E</v>
          </cell>
          <cell r="F1531" t="str">
            <v>Housing</v>
          </cell>
          <cell r="G1531">
            <v>1</v>
          </cell>
          <cell r="H1531">
            <v>0</v>
          </cell>
          <cell r="I1531" t="str">
            <v>Buy</v>
          </cell>
        </row>
        <row r="1532">
          <cell r="A1532" t="str">
            <v>ASY-006886-04</v>
          </cell>
          <cell r="B1532">
            <v>1</v>
          </cell>
          <cell r="C1532" t="str">
            <v>HSG-000495-0C</v>
          </cell>
          <cell r="D1532" t="str">
            <v>HOUSING, BOTTOM, 4 FT, CUSTOM FINISH, TROV 2.0</v>
          </cell>
          <cell r="E1532" t="str">
            <v>F</v>
          </cell>
          <cell r="F1532" t="str">
            <v>Housing</v>
          </cell>
          <cell r="G1532">
            <v>1</v>
          </cell>
          <cell r="H1532">
            <v>0</v>
          </cell>
          <cell r="I1532" t="str">
            <v>Buy</v>
          </cell>
        </row>
        <row r="1533">
          <cell r="A1533" t="str">
            <v>ASY-006886-04</v>
          </cell>
          <cell r="B1533">
            <v>1</v>
          </cell>
          <cell r="C1533" t="str">
            <v>LBA-000003-00</v>
          </cell>
          <cell r="D1533" t="str">
            <v>Label: TROV 2 P1/P2, Model L45/L60</v>
          </cell>
          <cell r="E1533" t="str">
            <v>A</v>
          </cell>
          <cell r="F1533" t="str">
            <v>Label BOM</v>
          </cell>
          <cell r="G1533">
            <v>1</v>
          </cell>
          <cell r="H1533">
            <v>0</v>
          </cell>
          <cell r="I1533" t="str">
            <v>Make</v>
          </cell>
        </row>
        <row r="1534">
          <cell r="A1534" t="str">
            <v>ASY-006886-04</v>
          </cell>
          <cell r="B1534">
            <v>2</v>
          </cell>
          <cell r="C1534" t="str">
            <v>LBL-000243-00</v>
          </cell>
          <cell r="D1534" t="str">
            <v>Blank Product Label: Trov 2 P1/P2, Model L45/L60</v>
          </cell>
          <cell r="E1534" t="str">
            <v>A</v>
          </cell>
          <cell r="F1534" t="str">
            <v>Label</v>
          </cell>
          <cell r="G1534">
            <v>1</v>
          </cell>
          <cell r="H1534">
            <v>0.33</v>
          </cell>
          <cell r="I1534" t="str">
            <v>Buy</v>
          </cell>
        </row>
        <row r="1535">
          <cell r="A1535" t="str">
            <v>ASY-006886-04</v>
          </cell>
          <cell r="B1535">
            <v>1</v>
          </cell>
          <cell r="C1535" t="str">
            <v>PLG-000009-01</v>
          </cell>
          <cell r="D1535" t="str">
            <v>Porex Vent, Trov, L50 Exterior</v>
          </cell>
          <cell r="E1535" t="str">
            <v>B</v>
          </cell>
          <cell r="F1535" t="str">
            <v>Plug</v>
          </cell>
          <cell r="G1535">
            <v>2</v>
          </cell>
          <cell r="H1535">
            <v>0.17</v>
          </cell>
          <cell r="I1535" t="str">
            <v>Buy</v>
          </cell>
        </row>
        <row r="1536">
          <cell r="A1536" t="str">
            <v>ASY-006886-04</v>
          </cell>
          <cell r="B1536">
            <v>1</v>
          </cell>
          <cell r="C1536" t="str">
            <v>SCW-000156-00</v>
          </cell>
          <cell r="D1536" t="str">
            <v>SCREW, M3 x 0.5 X 8mm, PAND HEAD, PHILLIPS, STEEL</v>
          </cell>
          <cell r="E1536" t="str">
            <v>B</v>
          </cell>
          <cell r="F1536" t="str">
            <v>Screw</v>
          </cell>
          <cell r="G1536">
            <v>6</v>
          </cell>
          <cell r="H1536">
            <v>4.4400000000000002E-2</v>
          </cell>
          <cell r="I1536" t="str">
            <v>Buy</v>
          </cell>
        </row>
        <row r="1537">
          <cell r="A1537" t="str">
            <v>ASY-006886-04</v>
          </cell>
          <cell r="B1537">
            <v>1</v>
          </cell>
          <cell r="C1537" t="str">
            <v>SCW-000483-00</v>
          </cell>
          <cell r="D1537" t="str">
            <v>SCREW, PHILIPS FLAT HEAD, M2.5x0.45x5 , 18-8 SST</v>
          </cell>
          <cell r="E1537" t="str">
            <v>A</v>
          </cell>
          <cell r="F1537" t="str">
            <v>Screw</v>
          </cell>
          <cell r="G1537">
            <v>4</v>
          </cell>
          <cell r="H1537">
            <v>0.02</v>
          </cell>
          <cell r="I1537" t="str">
            <v>Buy</v>
          </cell>
        </row>
        <row r="1538">
          <cell r="A1538" t="str">
            <v>ASY-006886-04</v>
          </cell>
          <cell r="B1538">
            <v>1</v>
          </cell>
          <cell r="C1538" t="str">
            <v>SCW-000556-00</v>
          </cell>
          <cell r="D1538" t="str">
            <v>SCREW, HEX, SERRATED, #8-32, GROUNDING, TROV 2</v>
          </cell>
          <cell r="E1538" t="str">
            <v>A</v>
          </cell>
          <cell r="F1538" t="str">
            <v>Screw</v>
          </cell>
          <cell r="G1538">
            <v>1</v>
          </cell>
          <cell r="H1538">
            <v>0.04</v>
          </cell>
          <cell r="I1538" t="str">
            <v>Buy</v>
          </cell>
        </row>
        <row r="1539">
          <cell r="A1539" t="str">
            <v>ASY-006886-04</v>
          </cell>
          <cell r="B1539">
            <v>1</v>
          </cell>
          <cell r="C1539" t="str">
            <v>SCW-000567-00</v>
          </cell>
          <cell r="D1539" t="str">
            <v>SCREW, M2.5 x 0.45 x 12.0mm LENGTH, PAN HD, PHILLIPS, ZINC-PLATED STEEL</v>
          </cell>
          <cell r="E1539" t="str">
            <v>A</v>
          </cell>
          <cell r="F1539" t="str">
            <v>Screw</v>
          </cell>
          <cell r="G1539">
            <v>4</v>
          </cell>
          <cell r="H1539">
            <v>0.06</v>
          </cell>
          <cell r="I1539" t="str">
            <v>Buy</v>
          </cell>
        </row>
        <row r="1540">
          <cell r="A1540" t="str">
            <v>ASY-006886-04</v>
          </cell>
          <cell r="B1540">
            <v>1</v>
          </cell>
          <cell r="C1540" t="str">
            <v>SCW-000574-00</v>
          </cell>
          <cell r="D1540" t="str">
            <v>SCREW, TORX HEAD, 1/4-28x1/2", LOW PROFILE, ALLOY STEEL</v>
          </cell>
          <cell r="E1540" t="str">
            <v>A</v>
          </cell>
          <cell r="F1540" t="str">
            <v>Screw</v>
          </cell>
          <cell r="G1540">
            <v>2</v>
          </cell>
          <cell r="H1540">
            <v>0.14000000000000001</v>
          </cell>
          <cell r="I1540" t="str">
            <v>Buy</v>
          </cell>
        </row>
        <row r="1541">
          <cell r="A1541" t="str">
            <v>ASY-006886-04</v>
          </cell>
          <cell r="B1541">
            <v>1</v>
          </cell>
          <cell r="C1541" t="str">
            <v>SHT-000043-00</v>
          </cell>
          <cell r="D1541" t="str">
            <v>INSULATION SHEET, HBA, 4FT,TROV 2</v>
          </cell>
          <cell r="E1541" t="str">
            <v>D</v>
          </cell>
          <cell r="F1541" t="str">
            <v>Sheet</v>
          </cell>
          <cell r="G1541">
            <v>1</v>
          </cell>
          <cell r="H1541">
            <v>0.25</v>
          </cell>
          <cell r="I1541" t="str">
            <v>Buy</v>
          </cell>
        </row>
        <row r="1542">
          <cell r="A1542" t="str">
            <v>ASY-006886-04</v>
          </cell>
          <cell r="B1542">
            <v>1</v>
          </cell>
          <cell r="C1542" t="str">
            <v>SPG-000023-00</v>
          </cell>
          <cell r="D1542" t="str">
            <v>SPRING, DISC, STACKED WAVE, TROV 2.0</v>
          </cell>
          <cell r="E1542" t="str">
            <v>A</v>
          </cell>
          <cell r="F1542" t="str">
            <v>Spring</v>
          </cell>
          <cell r="G1542">
            <v>2</v>
          </cell>
          <cell r="H1542">
            <v>1.74</v>
          </cell>
          <cell r="I1542" t="str">
            <v>Buy</v>
          </cell>
        </row>
        <row r="1543">
          <cell r="A1543" t="str">
            <v>ASY-006886-04</v>
          </cell>
          <cell r="B1543">
            <v>1</v>
          </cell>
          <cell r="C1543" t="str">
            <v>TAP-000031-00</v>
          </cell>
          <cell r="D1543" t="str">
            <v>3M Electrical Tape 92</v>
          </cell>
          <cell r="E1543" t="str">
            <v>A</v>
          </cell>
          <cell r="F1543" t="str">
            <v>Tape</v>
          </cell>
          <cell r="G1543">
            <v>120</v>
          </cell>
          <cell r="H1543">
            <v>1.4E-2</v>
          </cell>
          <cell r="I1543" t="str">
            <v>Buy</v>
          </cell>
        </row>
        <row r="1544">
          <cell r="A1544" t="str">
            <v>ASY-006886-04</v>
          </cell>
          <cell r="B1544">
            <v>1</v>
          </cell>
          <cell r="C1544" t="str">
            <v>TMP-000028-00</v>
          </cell>
          <cell r="D1544" t="str">
            <v>Thermal Pad, LED PCBA, 2 FT, TROV 2</v>
          </cell>
          <cell r="E1544" t="str">
            <v>B</v>
          </cell>
          <cell r="F1544" t="str">
            <v>Thermal Pad</v>
          </cell>
          <cell r="G1544">
            <v>2</v>
          </cell>
          <cell r="H1544">
            <v>1.32</v>
          </cell>
          <cell r="I1544" t="str">
            <v>Buy</v>
          </cell>
        </row>
        <row r="1545">
          <cell r="A1545" t="str">
            <v>ASY-006886-04</v>
          </cell>
          <cell r="B1545">
            <v>1</v>
          </cell>
          <cell r="C1545" t="str">
            <v>TMP-000029-00</v>
          </cell>
          <cell r="D1545" t="str">
            <v>Thermal Pad, HBA, TROV 2</v>
          </cell>
          <cell r="E1545" t="str">
            <v>B</v>
          </cell>
          <cell r="F1545" t="str">
            <v>Thermal Pad</v>
          </cell>
          <cell r="G1545">
            <v>2</v>
          </cell>
          <cell r="H1545">
            <v>0.14000000000000001</v>
          </cell>
          <cell r="I1545" t="str">
            <v>Buy</v>
          </cell>
        </row>
        <row r="1546">
          <cell r="A1546" t="str">
            <v>APG-000220-00</v>
          </cell>
          <cell r="B1546">
            <v>0</v>
          </cell>
          <cell r="C1546" t="str">
            <v>APG-000220-00</v>
          </cell>
          <cell r="D1546" t="str">
            <v>PACKAGE ASSY, L45, 1FT, TROV 2</v>
          </cell>
          <cell r="E1546" t="str">
            <v>B</v>
          </cell>
          <cell r="F1546" t="str">
            <v>Packaging Assembly</v>
          </cell>
          <cell r="H1546">
            <v>0</v>
          </cell>
          <cell r="I1546" t="str">
            <v>Make</v>
          </cell>
        </row>
        <row r="1547">
          <cell r="A1547" t="str">
            <v>APG-000220-00</v>
          </cell>
          <cell r="B1547">
            <v>1</v>
          </cell>
          <cell r="C1547" t="str">
            <v>BOX-000145-00</v>
          </cell>
          <cell r="D1547" t="str">
            <v>Trov L45 1ft Unit Box</v>
          </cell>
          <cell r="E1547" t="str">
            <v>B</v>
          </cell>
          <cell r="F1547" t="str">
            <v>Box</v>
          </cell>
          <cell r="G1547">
            <v>1</v>
          </cell>
          <cell r="H1547">
            <v>0.88</v>
          </cell>
          <cell r="I1547" t="str">
            <v>Buy</v>
          </cell>
        </row>
        <row r="1548">
          <cell r="A1548" t="str">
            <v>APG-000220-00</v>
          </cell>
          <cell r="B1548">
            <v>1</v>
          </cell>
          <cell r="C1548" t="str">
            <v>CTN-000081-00</v>
          </cell>
          <cell r="D1548" t="str">
            <v>Trov L45 1ft Master Box</v>
          </cell>
          <cell r="E1548" t="str">
            <v>A</v>
          </cell>
          <cell r="F1548" t="str">
            <v>Box</v>
          </cell>
          <cell r="G1548">
            <v>8.3000000000000004E-2</v>
          </cell>
          <cell r="H1548">
            <v>3.17</v>
          </cell>
          <cell r="I1548" t="str">
            <v>Buy</v>
          </cell>
        </row>
        <row r="1549">
          <cell r="A1549" t="str">
            <v>APG-000220-00</v>
          </cell>
          <cell r="B1549">
            <v>1</v>
          </cell>
          <cell r="C1549" t="str">
            <v>LBL-000044-00</v>
          </cell>
          <cell r="D1549" t="str">
            <v>Label, TROV/T2P1/T2P2, Unit Box</v>
          </cell>
          <cell r="E1549" t="str">
            <v>F</v>
          </cell>
          <cell r="F1549" t="str">
            <v>Label</v>
          </cell>
          <cell r="G1549">
            <v>1</v>
          </cell>
          <cell r="H1549">
            <v>0.02</v>
          </cell>
          <cell r="I1549" t="str">
            <v>Buy</v>
          </cell>
        </row>
        <row r="1550">
          <cell r="A1550" t="str">
            <v>APG-000220-00</v>
          </cell>
          <cell r="B1550">
            <v>1</v>
          </cell>
          <cell r="C1550" t="str">
            <v>LBL-000051-00</v>
          </cell>
          <cell r="D1550" t="str">
            <v>Label, TROV/T2P1/T2P2 Carton Box</v>
          </cell>
          <cell r="E1550" t="str">
            <v>D</v>
          </cell>
          <cell r="F1550" t="str">
            <v>Label</v>
          </cell>
          <cell r="G1550">
            <v>8.3000000000000004E-2</v>
          </cell>
          <cell r="H1550">
            <v>8.7599999999999997E-2</v>
          </cell>
          <cell r="I1550" t="str">
            <v>Buy</v>
          </cell>
        </row>
        <row r="1551">
          <cell r="A1551" t="str">
            <v>APG-000220-00</v>
          </cell>
          <cell r="B1551">
            <v>1</v>
          </cell>
          <cell r="C1551" t="str">
            <v>LBL-000104-00</v>
          </cell>
          <cell r="D1551" t="str">
            <v>Master Carton Label</v>
          </cell>
          <cell r="E1551" t="str">
            <v>A</v>
          </cell>
          <cell r="F1551" t="str">
            <v>Label</v>
          </cell>
          <cell r="G1551">
            <v>8.3000000000000004E-2</v>
          </cell>
          <cell r="H1551">
            <v>0.01</v>
          </cell>
          <cell r="I1551" t="str">
            <v>Buy</v>
          </cell>
        </row>
        <row r="1552">
          <cell r="A1552" t="str">
            <v>APG-000220-00</v>
          </cell>
          <cell r="B1552">
            <v>1</v>
          </cell>
          <cell r="C1552" t="str">
            <v>MNL-000159-00</v>
          </cell>
          <cell r="D1552" t="str">
            <v>IG: TROV 2.0 L45 Interior-Exterior Fixture</v>
          </cell>
          <cell r="E1552" t="str">
            <v>D</v>
          </cell>
          <cell r="F1552" t="str">
            <v>Manual, Installation Guide</v>
          </cell>
          <cell r="G1552">
            <v>1</v>
          </cell>
          <cell r="H1552">
            <v>0.6</v>
          </cell>
          <cell r="I1552" t="str">
            <v>N/A</v>
          </cell>
        </row>
        <row r="1553">
          <cell r="A1553" t="str">
            <v>APG-000220-00</v>
          </cell>
          <cell r="B1553">
            <v>1</v>
          </cell>
          <cell r="C1553" t="str">
            <v>PBG-000017-00</v>
          </cell>
          <cell r="D1553" t="str">
            <v>Foam Bag, trov 1ft</v>
          </cell>
          <cell r="E1553" t="str">
            <v>F</v>
          </cell>
          <cell r="F1553" t="str">
            <v>Polybag</v>
          </cell>
          <cell r="G1553">
            <v>1</v>
          </cell>
          <cell r="H1553">
            <v>0.09</v>
          </cell>
          <cell r="I1553" t="str">
            <v>Buy</v>
          </cell>
        </row>
        <row r="1554">
          <cell r="A1554" t="str">
            <v>APG-000221-00</v>
          </cell>
          <cell r="B1554">
            <v>0</v>
          </cell>
          <cell r="C1554" t="str">
            <v>APG-000221-00</v>
          </cell>
          <cell r="D1554" t="str">
            <v>PACKAGE ASSY, L45, 4FT, TROV 2</v>
          </cell>
          <cell r="E1554" t="str">
            <v>B</v>
          </cell>
          <cell r="F1554" t="str">
            <v>Packaging Assembly</v>
          </cell>
          <cell r="H1554">
            <v>0</v>
          </cell>
          <cell r="I1554" t="str">
            <v>Make</v>
          </cell>
        </row>
        <row r="1555">
          <cell r="A1555" t="str">
            <v>APG-000221-00</v>
          </cell>
          <cell r="B1555">
            <v>1</v>
          </cell>
          <cell r="C1555" t="str">
            <v>BOX-000146-00</v>
          </cell>
          <cell r="D1555" t="str">
            <v>Trov L45 4ft Unit Box</v>
          </cell>
          <cell r="E1555" t="str">
            <v>B</v>
          </cell>
          <cell r="F1555" t="str">
            <v>Box</v>
          </cell>
          <cell r="G1555">
            <v>1</v>
          </cell>
          <cell r="H1555">
            <v>1.71</v>
          </cell>
          <cell r="I1555" t="str">
            <v>Buy</v>
          </cell>
        </row>
        <row r="1556">
          <cell r="A1556" t="str">
            <v>APG-000221-00</v>
          </cell>
          <cell r="B1556">
            <v>1</v>
          </cell>
          <cell r="C1556" t="str">
            <v>CTN-000082-00</v>
          </cell>
          <cell r="D1556" t="str">
            <v>Trov L45 4ft Master Box</v>
          </cell>
          <cell r="E1556" t="str">
            <v>A</v>
          </cell>
          <cell r="F1556" t="str">
            <v>Box</v>
          </cell>
          <cell r="G1556">
            <v>8.3000000000000004E-2</v>
          </cell>
          <cell r="H1556">
            <v>5.2</v>
          </cell>
          <cell r="I1556" t="str">
            <v>Buy</v>
          </cell>
        </row>
        <row r="1557">
          <cell r="A1557" t="str">
            <v>APG-000221-00</v>
          </cell>
          <cell r="B1557">
            <v>1</v>
          </cell>
          <cell r="C1557" t="str">
            <v>LBL-000044-00</v>
          </cell>
          <cell r="D1557" t="str">
            <v>Label, TROV/T2P1/T2P2, Unit Box</v>
          </cell>
          <cell r="E1557" t="str">
            <v>F</v>
          </cell>
          <cell r="F1557" t="str">
            <v>Label</v>
          </cell>
          <cell r="G1557">
            <v>1</v>
          </cell>
          <cell r="H1557">
            <v>0.02</v>
          </cell>
          <cell r="I1557" t="str">
            <v>Buy</v>
          </cell>
        </row>
        <row r="1558">
          <cell r="A1558" t="str">
            <v>APG-000221-00</v>
          </cell>
          <cell r="B1558">
            <v>1</v>
          </cell>
          <cell r="C1558" t="str">
            <v>LBL-000051-00</v>
          </cell>
          <cell r="D1558" t="str">
            <v>Label, TROV/T2P1/T2P2 Carton Box</v>
          </cell>
          <cell r="E1558" t="str">
            <v>D</v>
          </cell>
          <cell r="F1558" t="str">
            <v>Label</v>
          </cell>
          <cell r="G1558">
            <v>8.3000000000000004E-2</v>
          </cell>
          <cell r="H1558">
            <v>8.7599999999999997E-2</v>
          </cell>
          <cell r="I1558" t="str">
            <v>Buy</v>
          </cell>
        </row>
        <row r="1559">
          <cell r="A1559" t="str">
            <v>APG-000221-00</v>
          </cell>
          <cell r="B1559">
            <v>1</v>
          </cell>
          <cell r="C1559" t="str">
            <v>LBL-000104-00</v>
          </cell>
          <cell r="D1559" t="str">
            <v>Master Carton Label</v>
          </cell>
          <cell r="E1559" t="str">
            <v>A</v>
          </cell>
          <cell r="F1559" t="str">
            <v>Label</v>
          </cell>
          <cell r="G1559">
            <v>8.3000000000000004E-2</v>
          </cell>
          <cell r="H1559">
            <v>0.01</v>
          </cell>
          <cell r="I1559" t="str">
            <v>Buy</v>
          </cell>
        </row>
        <row r="1560">
          <cell r="A1560" t="str">
            <v>APG-000221-00</v>
          </cell>
          <cell r="B1560">
            <v>1</v>
          </cell>
          <cell r="C1560" t="str">
            <v>MNL-000159-00</v>
          </cell>
          <cell r="D1560" t="str">
            <v>IG: TROV 2.0 L45 Interior-Exterior Fixture</v>
          </cell>
          <cell r="E1560" t="str">
            <v>D</v>
          </cell>
          <cell r="F1560" t="str">
            <v>Manual, Installation Guide</v>
          </cell>
          <cell r="G1560">
            <v>1</v>
          </cell>
          <cell r="H1560">
            <v>0.6</v>
          </cell>
          <cell r="I1560" t="str">
            <v>N/A</v>
          </cell>
        </row>
        <row r="1561">
          <cell r="A1561" t="str">
            <v>APG-000221-00</v>
          </cell>
          <cell r="B1561">
            <v>1</v>
          </cell>
          <cell r="C1561" t="str">
            <v>PBG-000018-00</v>
          </cell>
          <cell r="D1561" t="str">
            <v>Foam Bag, trov 4ft</v>
          </cell>
          <cell r="E1561" t="str">
            <v>F</v>
          </cell>
          <cell r="F1561" t="str">
            <v>Polybag</v>
          </cell>
          <cell r="G1561">
            <v>1</v>
          </cell>
          <cell r="H1561">
            <v>0.1089</v>
          </cell>
          <cell r="I1561" t="str">
            <v>Buy</v>
          </cell>
        </row>
        <row r="1562">
          <cell r="A1562" t="str">
            <v>APG-000222-00</v>
          </cell>
          <cell r="B1562">
            <v>0</v>
          </cell>
          <cell r="C1562" t="str">
            <v>APG-000222-00</v>
          </cell>
          <cell r="D1562" t="str">
            <v>PACKAGE ASSY, L60, 1FT, TROV 2</v>
          </cell>
          <cell r="E1562" t="str">
            <v>C</v>
          </cell>
          <cell r="F1562" t="str">
            <v>Packaging Assembly</v>
          </cell>
          <cell r="H1562">
            <v>0</v>
          </cell>
          <cell r="I1562" t="str">
            <v>Make</v>
          </cell>
        </row>
        <row r="1563">
          <cell r="A1563" t="str">
            <v>APG-000222-00</v>
          </cell>
          <cell r="B1563">
            <v>1</v>
          </cell>
          <cell r="C1563" t="str">
            <v>BOX-000147-00</v>
          </cell>
          <cell r="D1563" t="str">
            <v>Trov L60 1ft Unit Box</v>
          </cell>
          <cell r="E1563" t="str">
            <v>B</v>
          </cell>
          <cell r="F1563" t="str">
            <v>Box</v>
          </cell>
          <cell r="G1563">
            <v>1</v>
          </cell>
          <cell r="H1563">
            <v>0.73</v>
          </cell>
          <cell r="I1563" t="str">
            <v>Buy</v>
          </cell>
        </row>
        <row r="1564">
          <cell r="A1564" t="str">
            <v>APG-000222-00</v>
          </cell>
          <cell r="B1564">
            <v>1</v>
          </cell>
          <cell r="C1564" t="str">
            <v>CTN-000083-00</v>
          </cell>
          <cell r="D1564" t="str">
            <v>Trov L60 1ft Master Box</v>
          </cell>
          <cell r="E1564" t="str">
            <v>A</v>
          </cell>
          <cell r="F1564" t="str">
            <v>Box</v>
          </cell>
          <cell r="G1564">
            <v>8.3000000000000004E-2</v>
          </cell>
          <cell r="H1564">
            <v>3.36</v>
          </cell>
          <cell r="I1564" t="str">
            <v>Buy</v>
          </cell>
        </row>
        <row r="1565">
          <cell r="A1565" t="str">
            <v>APG-000222-00</v>
          </cell>
          <cell r="B1565">
            <v>1</v>
          </cell>
          <cell r="C1565" t="str">
            <v>LBL-000044-00</v>
          </cell>
          <cell r="D1565" t="str">
            <v>Label, TROV/T2P1/T2P2, Unit Box</v>
          </cell>
          <cell r="E1565" t="str">
            <v>F</v>
          </cell>
          <cell r="F1565" t="str">
            <v>Label</v>
          </cell>
          <cell r="G1565">
            <v>1</v>
          </cell>
          <cell r="H1565">
            <v>0.02</v>
          </cell>
          <cell r="I1565" t="str">
            <v>Buy</v>
          </cell>
        </row>
        <row r="1566">
          <cell r="A1566" t="str">
            <v>APG-000222-00</v>
          </cell>
          <cell r="B1566">
            <v>1</v>
          </cell>
          <cell r="C1566" t="str">
            <v>LBL-000051-00</v>
          </cell>
          <cell r="D1566" t="str">
            <v>Label, TROV/T2P1/T2P2 Carton Box</v>
          </cell>
          <cell r="E1566" t="str">
            <v>D</v>
          </cell>
          <cell r="F1566" t="str">
            <v>Label</v>
          </cell>
          <cell r="G1566">
            <v>8.3000000000000004E-2</v>
          </cell>
          <cell r="H1566">
            <v>8.7599999999999997E-2</v>
          </cell>
          <cell r="I1566" t="str">
            <v>Buy</v>
          </cell>
        </row>
        <row r="1567">
          <cell r="A1567" t="str">
            <v>APG-000222-00</v>
          </cell>
          <cell r="B1567">
            <v>1</v>
          </cell>
          <cell r="C1567" t="str">
            <v>LBL-000104-00</v>
          </cell>
          <cell r="D1567" t="str">
            <v>Master Carton Label</v>
          </cell>
          <cell r="E1567" t="str">
            <v>A</v>
          </cell>
          <cell r="F1567" t="str">
            <v>Label</v>
          </cell>
          <cell r="G1567">
            <v>8.3000000000000004E-2</v>
          </cell>
          <cell r="H1567">
            <v>0.01</v>
          </cell>
          <cell r="I1567" t="str">
            <v>Buy</v>
          </cell>
        </row>
        <row r="1568">
          <cell r="A1568" t="str">
            <v>APG-000222-00</v>
          </cell>
          <cell r="B1568">
            <v>1</v>
          </cell>
          <cell r="C1568" t="str">
            <v>MNL-000160-00</v>
          </cell>
          <cell r="D1568" t="str">
            <v>IG: TROV 2.0 L60 Interior-Exterior Fixture</v>
          </cell>
          <cell r="E1568" t="str">
            <v>D</v>
          </cell>
          <cell r="F1568" t="str">
            <v>Manual, Installation Guide</v>
          </cell>
          <cell r="G1568">
            <v>1</v>
          </cell>
          <cell r="H1568">
            <v>0.6</v>
          </cell>
          <cell r="I1568" t="str">
            <v>N/A</v>
          </cell>
        </row>
        <row r="1569">
          <cell r="A1569" t="str">
            <v>APG-000222-00</v>
          </cell>
          <cell r="B1569">
            <v>1</v>
          </cell>
          <cell r="C1569" t="str">
            <v>PBG-000027-00</v>
          </cell>
          <cell r="D1569" t="str">
            <v>Polybag cuttable, Size 2, 6”x500’</v>
          </cell>
          <cell r="E1569" t="str">
            <v>D</v>
          </cell>
          <cell r="F1569" t="str">
            <v>Polybag</v>
          </cell>
          <cell r="G1569">
            <v>1</v>
          </cell>
          <cell r="H1569">
            <v>0.54</v>
          </cell>
          <cell r="I1569" t="str">
            <v>Buy</v>
          </cell>
        </row>
        <row r="1570">
          <cell r="A1570" t="str">
            <v>APG-000223-00</v>
          </cell>
          <cell r="B1570">
            <v>0</v>
          </cell>
          <cell r="C1570" t="str">
            <v>APG-000223-00</v>
          </cell>
          <cell r="D1570" t="str">
            <v>PACKAGE ASSY, L60, 4FT, TROV 2</v>
          </cell>
          <cell r="E1570" t="str">
            <v>C</v>
          </cell>
          <cell r="F1570" t="str">
            <v>Packaging Assembly</v>
          </cell>
          <cell r="H1570">
            <v>0</v>
          </cell>
          <cell r="I1570" t="str">
            <v>Make</v>
          </cell>
        </row>
        <row r="1571">
          <cell r="A1571" t="str">
            <v>APG-000223-00</v>
          </cell>
          <cell r="B1571">
            <v>1</v>
          </cell>
          <cell r="C1571" t="str">
            <v>BOX-000148-00</v>
          </cell>
          <cell r="D1571" t="str">
            <v>Trov L60 4ft Unit Box</v>
          </cell>
          <cell r="E1571" t="str">
            <v>B</v>
          </cell>
          <cell r="F1571" t="str">
            <v>Box</v>
          </cell>
          <cell r="G1571">
            <v>1</v>
          </cell>
          <cell r="H1571">
            <v>1.8</v>
          </cell>
          <cell r="I1571" t="str">
            <v>Buy</v>
          </cell>
        </row>
        <row r="1572">
          <cell r="A1572" t="str">
            <v>APG-000223-00</v>
          </cell>
          <cell r="B1572">
            <v>1</v>
          </cell>
          <cell r="C1572" t="str">
            <v>CTN-000084-00</v>
          </cell>
          <cell r="D1572" t="str">
            <v>Trov L60 4ft Master Box</v>
          </cell>
          <cell r="E1572" t="str">
            <v>A</v>
          </cell>
          <cell r="F1572" t="str">
            <v>Box</v>
          </cell>
          <cell r="G1572">
            <v>8.3000000000000004E-2</v>
          </cell>
          <cell r="H1572">
            <v>5.93</v>
          </cell>
          <cell r="I1572" t="str">
            <v>Buy</v>
          </cell>
        </row>
        <row r="1573">
          <cell r="A1573" t="str">
            <v>APG-000223-00</v>
          </cell>
          <cell r="B1573">
            <v>1</v>
          </cell>
          <cell r="C1573" t="str">
            <v>LBL-000044-00</v>
          </cell>
          <cell r="D1573" t="str">
            <v>Label, TROV/T2P1/T2P2, Unit Box</v>
          </cell>
          <cell r="E1573" t="str">
            <v>F</v>
          </cell>
          <cell r="F1573" t="str">
            <v>Label</v>
          </cell>
          <cell r="G1573">
            <v>1</v>
          </cell>
          <cell r="H1573">
            <v>0.02</v>
          </cell>
          <cell r="I1573" t="str">
            <v>Buy</v>
          </cell>
        </row>
        <row r="1574">
          <cell r="A1574" t="str">
            <v>APG-000223-00</v>
          </cell>
          <cell r="B1574">
            <v>1</v>
          </cell>
          <cell r="C1574" t="str">
            <v>LBL-000051-00</v>
          </cell>
          <cell r="D1574" t="str">
            <v>Label, TROV/T2P1/T2P2 Carton Box</v>
          </cell>
          <cell r="E1574" t="str">
            <v>D</v>
          </cell>
          <cell r="F1574" t="str">
            <v>Label</v>
          </cell>
          <cell r="G1574">
            <v>8.3000000000000004E-2</v>
          </cell>
          <cell r="H1574">
            <v>8.7599999999999997E-2</v>
          </cell>
          <cell r="I1574" t="str">
            <v>Buy</v>
          </cell>
        </row>
        <row r="1575">
          <cell r="A1575" t="str">
            <v>APG-000223-00</v>
          </cell>
          <cell r="B1575">
            <v>1</v>
          </cell>
          <cell r="C1575" t="str">
            <v>LBL-000104-00</v>
          </cell>
          <cell r="D1575" t="str">
            <v>Master Carton Label</v>
          </cell>
          <cell r="E1575" t="str">
            <v>A</v>
          </cell>
          <cell r="F1575" t="str">
            <v>Label</v>
          </cell>
          <cell r="G1575">
            <v>8.3000000000000004E-2</v>
          </cell>
          <cell r="H1575">
            <v>0.01</v>
          </cell>
          <cell r="I1575" t="str">
            <v>Buy</v>
          </cell>
        </row>
        <row r="1576">
          <cell r="A1576" t="str">
            <v>APG-000223-00</v>
          </cell>
          <cell r="B1576">
            <v>1</v>
          </cell>
          <cell r="C1576" t="str">
            <v>MNL-000160-00</v>
          </cell>
          <cell r="D1576" t="str">
            <v>IG: TROV 2.0 L60 Interior-Exterior Fixture</v>
          </cell>
          <cell r="E1576" t="str">
            <v>D</v>
          </cell>
          <cell r="F1576" t="str">
            <v>Manual, Installation Guide</v>
          </cell>
          <cell r="G1576">
            <v>1</v>
          </cell>
          <cell r="H1576">
            <v>0.6</v>
          </cell>
          <cell r="I1576" t="str">
            <v>N/A</v>
          </cell>
        </row>
        <row r="1577">
          <cell r="A1577" t="str">
            <v>APG-000223-00</v>
          </cell>
          <cell r="B1577">
            <v>1</v>
          </cell>
          <cell r="C1577" t="str">
            <v>PBG-000027-00</v>
          </cell>
          <cell r="D1577" t="str">
            <v>Polybag cuttable, Size 2, 6”x500’</v>
          </cell>
          <cell r="E1577" t="str">
            <v>D</v>
          </cell>
          <cell r="F1577" t="str">
            <v>Polybag</v>
          </cell>
          <cell r="G1577">
            <v>4</v>
          </cell>
          <cell r="H1577">
            <v>0.54</v>
          </cell>
          <cell r="I1577" t="str">
            <v>Buy</v>
          </cell>
        </row>
        <row r="1578">
          <cell r="A1578" t="str">
            <v>ASY-100011-01</v>
          </cell>
          <cell r="B1578">
            <v>0</v>
          </cell>
          <cell r="C1578" t="str">
            <v>ASY-100011-01</v>
          </cell>
          <cell r="D1578" t="str">
            <v>ASSY, MECHANICAL, L60, INDOOR, 1 FT, TROV2P2, DYNAMIC, SILVER</v>
          </cell>
          <cell r="E1578" t="str">
            <v>A</v>
          </cell>
          <cell r="F1578" t="str">
            <v>Sub assembly</v>
          </cell>
          <cell r="H1578">
            <v>0</v>
          </cell>
          <cell r="I1578" t="str">
            <v>Make</v>
          </cell>
        </row>
        <row r="1579">
          <cell r="A1579" t="str">
            <v>ASY-100011-01</v>
          </cell>
          <cell r="B1579">
            <v>1</v>
          </cell>
          <cell r="C1579" t="str">
            <v>ACB-000275-00</v>
          </cell>
          <cell r="D1579" t="str">
            <v>CABLE, CANBUS, SHORT, TROV 2</v>
          </cell>
          <cell r="E1579" t="str">
            <v>A</v>
          </cell>
          <cell r="F1579" t="str">
            <v>Cable</v>
          </cell>
          <cell r="G1579">
            <v>1</v>
          </cell>
          <cell r="H1579">
            <v>0.7</v>
          </cell>
          <cell r="I1579" t="str">
            <v>Buy</v>
          </cell>
        </row>
        <row r="1580">
          <cell r="A1580" t="str">
            <v>ASY-100011-01</v>
          </cell>
          <cell r="B1580">
            <v>1</v>
          </cell>
          <cell r="C1580" t="str">
            <v>ASY-100009-00</v>
          </cell>
          <cell r="D1580" t="str">
            <v>Cable Subassembly, Driver housing, 1ft, Trov 2</v>
          </cell>
          <cell r="E1580" t="str">
            <v>B</v>
          </cell>
          <cell r="F1580" t="str">
            <v>Sub assembly</v>
          </cell>
          <cell r="G1580">
            <v>1</v>
          </cell>
          <cell r="H1580">
            <v>0</v>
          </cell>
          <cell r="I1580" t="str">
            <v>Make</v>
          </cell>
        </row>
        <row r="1581">
          <cell r="A1581" t="str">
            <v>ASY-100011-01</v>
          </cell>
          <cell r="B1581">
            <v>2</v>
          </cell>
          <cell r="C1581" t="str">
            <v>ACB-000278-00</v>
          </cell>
          <cell r="D1581" t="str">
            <v>CABLE ASSY, INTRA-FIXTURE, 1FT, TROV 2.0</v>
          </cell>
          <cell r="E1581" t="str">
            <v>A</v>
          </cell>
          <cell r="F1581" t="str">
            <v>Cable Assembly</v>
          </cell>
          <cell r="G1581">
            <v>1</v>
          </cell>
          <cell r="H1581">
            <v>12.75</v>
          </cell>
          <cell r="I1581" t="str">
            <v>Buy</v>
          </cell>
        </row>
        <row r="1582">
          <cell r="A1582" t="str">
            <v>ASY-100011-01</v>
          </cell>
          <cell r="B1582">
            <v>3</v>
          </cell>
          <cell r="C1582" t="str">
            <v>ACB-000273-00</v>
          </cell>
          <cell r="D1582" t="str">
            <v>6 CONDUCTOR CABLE, 3X22AWG, 3X16AWG, AL MYLAR, TROV 2</v>
          </cell>
          <cell r="E1582" t="str">
            <v>A</v>
          </cell>
          <cell r="F1582" t="str">
            <v>Cable</v>
          </cell>
          <cell r="G1582">
            <v>1</v>
          </cell>
          <cell r="H1582">
            <v>0</v>
          </cell>
          <cell r="I1582" t="str">
            <v>N/A</v>
          </cell>
        </row>
        <row r="1583">
          <cell r="A1583" t="str">
            <v>ASY-100011-01</v>
          </cell>
          <cell r="B1583">
            <v>3</v>
          </cell>
          <cell r="C1583" t="str">
            <v>ACB-000274-01</v>
          </cell>
          <cell r="D1583" t="str">
            <v>CABLE ASSEMBLY, INTERNAL, DRIVER SIDE, 1FT, TROV 2</v>
          </cell>
          <cell r="E1583" t="str">
            <v>A</v>
          </cell>
          <cell r="F1583" t="str">
            <v>Cable Assembly</v>
          </cell>
          <cell r="G1583">
            <v>1</v>
          </cell>
          <cell r="H1583">
            <v>0</v>
          </cell>
          <cell r="I1583" t="str">
            <v>N/A</v>
          </cell>
        </row>
        <row r="1584">
          <cell r="A1584" t="str">
            <v>ASY-100011-01</v>
          </cell>
          <cell r="B1584">
            <v>3</v>
          </cell>
          <cell r="C1584" t="str">
            <v>CON-000259-00</v>
          </cell>
          <cell r="D1584" t="str">
            <v>CONNECTOR, MALE, 6 PIN, TROV 2</v>
          </cell>
          <cell r="E1584" t="str">
            <v>B</v>
          </cell>
          <cell r="F1584" t="str">
            <v>Connector</v>
          </cell>
          <cell r="G1584">
            <v>1</v>
          </cell>
          <cell r="H1584">
            <v>0</v>
          </cell>
          <cell r="I1584" t="str">
            <v>N/A</v>
          </cell>
        </row>
        <row r="1585">
          <cell r="A1585" t="str">
            <v>ASY-100011-01</v>
          </cell>
          <cell r="B1585">
            <v>3</v>
          </cell>
          <cell r="C1585" t="str">
            <v>CON-000260-00</v>
          </cell>
          <cell r="D1585" t="str">
            <v>CONNECTOR, FEMALE, 6 PIN, TROV 2</v>
          </cell>
          <cell r="E1585" t="str">
            <v>A</v>
          </cell>
          <cell r="F1585" t="str">
            <v>Connector</v>
          </cell>
          <cell r="G1585">
            <v>1</v>
          </cell>
          <cell r="H1585">
            <v>0</v>
          </cell>
          <cell r="I1585" t="str">
            <v>N/A</v>
          </cell>
        </row>
        <row r="1586">
          <cell r="A1586" t="str">
            <v>ASY-100011-01</v>
          </cell>
          <cell r="B1586">
            <v>3</v>
          </cell>
          <cell r="C1586" t="str">
            <v>ORG-000060-00</v>
          </cell>
          <cell r="D1586" t="str">
            <v>O-RING, CABLE, TROV 2</v>
          </cell>
          <cell r="E1586" t="str">
            <v>A</v>
          </cell>
          <cell r="F1586" t="str">
            <v>O-Ring</v>
          </cell>
          <cell r="G1586">
            <v>1</v>
          </cell>
          <cell r="H1586">
            <v>0</v>
          </cell>
          <cell r="I1586" t="str">
            <v>N/A</v>
          </cell>
        </row>
        <row r="1587">
          <cell r="A1587" t="str">
            <v>ASY-100011-01</v>
          </cell>
          <cell r="B1587">
            <v>3</v>
          </cell>
          <cell r="C1587" t="str">
            <v>SRF-000030-00</v>
          </cell>
          <cell r="D1587" t="str">
            <v>STRAIN RELIEF, CABLE, TROV 2</v>
          </cell>
          <cell r="E1587" t="str">
            <v>A</v>
          </cell>
          <cell r="F1587" t="str">
            <v>Strain Relief</v>
          </cell>
          <cell r="G1587">
            <v>1</v>
          </cell>
          <cell r="H1587">
            <v>0</v>
          </cell>
          <cell r="I1587" t="str">
            <v>N/A</v>
          </cell>
        </row>
        <row r="1588">
          <cell r="A1588" t="str">
            <v>ASY-100011-01</v>
          </cell>
          <cell r="B1588">
            <v>2</v>
          </cell>
          <cell r="C1588" t="str">
            <v>HSG-000488-01</v>
          </cell>
          <cell r="D1588" t="str">
            <v>HOUSING, PSU, 1 FT, MOLDED HOLE, TROV 2.0</v>
          </cell>
          <cell r="E1588" t="str">
            <v>B</v>
          </cell>
          <cell r="F1588" t="str">
            <v>Housing</v>
          </cell>
          <cell r="G1588">
            <v>1</v>
          </cell>
          <cell r="H1588">
            <v>1.17</v>
          </cell>
          <cell r="I1588" t="str">
            <v>Buy</v>
          </cell>
        </row>
        <row r="1589">
          <cell r="A1589" t="str">
            <v>ASY-100011-01</v>
          </cell>
          <cell r="B1589">
            <v>2</v>
          </cell>
          <cell r="C1589" t="str">
            <v>SCW-000577-00</v>
          </cell>
          <cell r="D1589" t="str">
            <v>SCREW, TORX HEAD, LOW PROFILE, M3X8mm, ALLOY STEEL</v>
          </cell>
          <cell r="E1589" t="str">
            <v>A</v>
          </cell>
          <cell r="F1589" t="str">
            <v>Screw</v>
          </cell>
          <cell r="G1589">
            <v>2</v>
          </cell>
          <cell r="H1589">
            <v>0.03</v>
          </cell>
          <cell r="I1589" t="str">
            <v>Buy</v>
          </cell>
        </row>
        <row r="1590">
          <cell r="A1590" t="str">
            <v>ASY-100011-01</v>
          </cell>
          <cell r="B1590">
            <v>1</v>
          </cell>
          <cell r="C1590" t="str">
            <v>BAS-000020-00</v>
          </cell>
          <cell r="D1590" t="str">
            <v>BASE, 1FT, TROV 2.0</v>
          </cell>
          <cell r="E1590" t="str">
            <v>E</v>
          </cell>
          <cell r="F1590" t="str">
            <v>Base</v>
          </cell>
          <cell r="G1590">
            <v>1</v>
          </cell>
          <cell r="H1590">
            <v>5.8</v>
          </cell>
          <cell r="I1590" t="str">
            <v>Buy</v>
          </cell>
        </row>
        <row r="1591">
          <cell r="A1591" t="str">
            <v>ASY-100011-01</v>
          </cell>
          <cell r="B1591">
            <v>1</v>
          </cell>
          <cell r="C1591" t="str">
            <v>BKT-000457-03</v>
          </cell>
          <cell r="D1591" t="str">
            <v>BRACKET, MOUNT, LEFT, BLACK, TROV 2.0</v>
          </cell>
          <cell r="E1591" t="str">
            <v>C</v>
          </cell>
          <cell r="F1591" t="str">
            <v>Bracket</v>
          </cell>
          <cell r="G1591">
            <v>1</v>
          </cell>
          <cell r="H1591">
            <v>0.99</v>
          </cell>
          <cell r="I1591" t="str">
            <v>Buy</v>
          </cell>
        </row>
        <row r="1592">
          <cell r="A1592" t="str">
            <v>ASY-100011-01</v>
          </cell>
          <cell r="B1592">
            <v>1</v>
          </cell>
          <cell r="C1592" t="str">
            <v>BKT-000458-03</v>
          </cell>
          <cell r="D1592" t="str">
            <v>BRACKET, MOUNT, RIGHT, BLACK, TROV 2.0</v>
          </cell>
          <cell r="E1592" t="str">
            <v>C</v>
          </cell>
          <cell r="F1592" t="str">
            <v>Bracket</v>
          </cell>
          <cell r="G1592">
            <v>1</v>
          </cell>
          <cell r="H1592">
            <v>0.99</v>
          </cell>
          <cell r="I1592" t="str">
            <v>Buy</v>
          </cell>
        </row>
        <row r="1593">
          <cell r="A1593" t="str">
            <v>ASY-100011-01</v>
          </cell>
          <cell r="B1593">
            <v>1</v>
          </cell>
          <cell r="C1593" t="str">
            <v>CVR-000789-03</v>
          </cell>
          <cell r="D1593" t="str">
            <v>END COVER, FC, BLACK, L60, TROV 2.0</v>
          </cell>
          <cell r="E1593" t="str">
            <v>D</v>
          </cell>
          <cell r="F1593" t="str">
            <v>Cover</v>
          </cell>
          <cell r="G1593">
            <v>1</v>
          </cell>
          <cell r="H1593">
            <v>1.0900000000000001</v>
          </cell>
          <cell r="I1593" t="str">
            <v>Buy</v>
          </cell>
        </row>
        <row r="1594">
          <cell r="A1594" t="str">
            <v>ASY-100011-01</v>
          </cell>
          <cell r="B1594">
            <v>1</v>
          </cell>
          <cell r="C1594" t="str">
            <v>CVR-000893-03</v>
          </cell>
          <cell r="D1594" t="str">
            <v>END COVER, MC, BLACK, L60, TROV 2.0</v>
          </cell>
          <cell r="E1594" t="str">
            <v>B</v>
          </cell>
          <cell r="F1594" t="str">
            <v>Cover</v>
          </cell>
          <cell r="G1594">
            <v>1</v>
          </cell>
          <cell r="H1594">
            <v>1.0900000000000001</v>
          </cell>
          <cell r="I1594" t="str">
            <v>Buy</v>
          </cell>
        </row>
        <row r="1595">
          <cell r="A1595" t="str">
            <v>ASY-100011-01</v>
          </cell>
          <cell r="B1595">
            <v>1</v>
          </cell>
          <cell r="C1595" t="str">
            <v>FOM-000028-00</v>
          </cell>
          <cell r="D1595" t="str">
            <v>FOAM, LIGHTBLOCK, ENDCAP, L60, TROV2</v>
          </cell>
          <cell r="E1595" t="str">
            <v>A</v>
          </cell>
          <cell r="F1595" t="str">
            <v>Foam</v>
          </cell>
          <cell r="G1595">
            <v>2</v>
          </cell>
          <cell r="H1595">
            <v>0.03</v>
          </cell>
          <cell r="I1595" t="str">
            <v>Buy</v>
          </cell>
        </row>
        <row r="1596">
          <cell r="A1596" t="str">
            <v>ASY-100011-01</v>
          </cell>
          <cell r="B1596">
            <v>1</v>
          </cell>
          <cell r="C1596" t="str">
            <v>GSK-000121-01</v>
          </cell>
          <cell r="D1596" t="str">
            <v>GASKET, DRIVER ENCLOSURE, 3M, 1 FT, TROV 2.0</v>
          </cell>
          <cell r="E1596" t="str">
            <v>B</v>
          </cell>
          <cell r="F1596" t="str">
            <v>Gasket</v>
          </cell>
          <cell r="G1596">
            <v>1</v>
          </cell>
          <cell r="H1596">
            <v>1.7</v>
          </cell>
          <cell r="I1596" t="str">
            <v>Buy</v>
          </cell>
        </row>
        <row r="1597">
          <cell r="A1597" t="str">
            <v>ASY-100011-01</v>
          </cell>
          <cell r="B1597">
            <v>1</v>
          </cell>
          <cell r="C1597" t="str">
            <v>GSK-000132-00</v>
          </cell>
          <cell r="D1597" t="str">
            <v>GASKET, TERTIARY LENS, 3M, 1 FT, L60, TROV 2.0</v>
          </cell>
          <cell r="E1597" t="str">
            <v>B</v>
          </cell>
          <cell r="F1597" t="str">
            <v>Gasket</v>
          </cell>
          <cell r="G1597">
            <v>1</v>
          </cell>
          <cell r="H1597">
            <v>1.96</v>
          </cell>
          <cell r="I1597" t="str">
            <v>Buy</v>
          </cell>
        </row>
        <row r="1598">
          <cell r="A1598" t="str">
            <v>ASY-100011-01</v>
          </cell>
          <cell r="B1598">
            <v>1</v>
          </cell>
          <cell r="C1598" t="str">
            <v>HSG-000490-01</v>
          </cell>
          <cell r="D1598" t="str">
            <v>HOUSING, TOP, 1 FT, L60, SILVER,  TROV 2.0</v>
          </cell>
          <cell r="E1598" t="str">
            <v>E</v>
          </cell>
          <cell r="F1598" t="str">
            <v>Housing</v>
          </cell>
          <cell r="G1598">
            <v>1</v>
          </cell>
          <cell r="H1598">
            <v>4.83</v>
          </cell>
          <cell r="I1598" t="str">
            <v>Buy</v>
          </cell>
        </row>
        <row r="1599">
          <cell r="A1599" t="str">
            <v>ASY-100011-01</v>
          </cell>
          <cell r="B1599">
            <v>1</v>
          </cell>
          <cell r="C1599" t="str">
            <v>HSG-000492-01</v>
          </cell>
          <cell r="D1599" t="str">
            <v>HOUSING, BOTTOM, 1 FT, SILVER, TROV 2.0</v>
          </cell>
          <cell r="E1599" t="str">
            <v>F</v>
          </cell>
          <cell r="F1599" t="str">
            <v>Housing</v>
          </cell>
          <cell r="G1599">
            <v>1</v>
          </cell>
          <cell r="H1599">
            <v>3.34</v>
          </cell>
          <cell r="I1599" t="str">
            <v>Buy</v>
          </cell>
        </row>
        <row r="1600">
          <cell r="A1600" t="str">
            <v>ASY-100011-01</v>
          </cell>
          <cell r="B1600">
            <v>1</v>
          </cell>
          <cell r="C1600" t="str">
            <v>LBA-000003-00</v>
          </cell>
          <cell r="D1600" t="str">
            <v>Label: TROV 2 P1/P2, Model L45/L60</v>
          </cell>
          <cell r="E1600" t="str">
            <v>A</v>
          </cell>
          <cell r="F1600" t="str">
            <v>Label BOM</v>
          </cell>
          <cell r="G1600">
            <v>1</v>
          </cell>
          <cell r="H1600">
            <v>0</v>
          </cell>
          <cell r="I1600" t="str">
            <v>Make</v>
          </cell>
        </row>
        <row r="1601">
          <cell r="A1601" t="str">
            <v>ASY-100011-01</v>
          </cell>
          <cell r="B1601">
            <v>2</v>
          </cell>
          <cell r="C1601" t="str">
            <v>LBL-000243-00</v>
          </cell>
          <cell r="D1601" t="str">
            <v>Blank Product Label: Trov 2 P1/P2, Model L45/L60</v>
          </cell>
          <cell r="E1601" t="str">
            <v>A</v>
          </cell>
          <cell r="F1601" t="str">
            <v>Label</v>
          </cell>
          <cell r="G1601">
            <v>1</v>
          </cell>
          <cell r="H1601">
            <v>0.33</v>
          </cell>
          <cell r="I1601" t="str">
            <v>Buy</v>
          </cell>
        </row>
        <row r="1602">
          <cell r="A1602" t="str">
            <v>ASY-100011-01</v>
          </cell>
          <cell r="B1602">
            <v>1</v>
          </cell>
          <cell r="C1602" t="str">
            <v>PLG-000009-01</v>
          </cell>
          <cell r="D1602" t="str">
            <v>Porex Vent, Trov, L50 Exterior</v>
          </cell>
          <cell r="E1602" t="str">
            <v>B</v>
          </cell>
          <cell r="F1602" t="str">
            <v>Plug</v>
          </cell>
          <cell r="G1602">
            <v>1</v>
          </cell>
          <cell r="H1602">
            <v>0.17</v>
          </cell>
          <cell r="I1602" t="str">
            <v>Buy</v>
          </cell>
        </row>
        <row r="1603">
          <cell r="A1603" t="str">
            <v>ASY-100011-01</v>
          </cell>
          <cell r="B1603">
            <v>1</v>
          </cell>
          <cell r="C1603" t="str">
            <v>SCW-000156-00</v>
          </cell>
          <cell r="D1603" t="str">
            <v>SCREW, M3 x 0.5 X 8mm, PAND HEAD, PHILLIPS, STEEL</v>
          </cell>
          <cell r="E1603" t="str">
            <v>B</v>
          </cell>
          <cell r="F1603" t="str">
            <v>Screw</v>
          </cell>
          <cell r="G1603">
            <v>2</v>
          </cell>
          <cell r="H1603">
            <v>4.4400000000000002E-2</v>
          </cell>
          <cell r="I1603" t="str">
            <v>Buy</v>
          </cell>
        </row>
        <row r="1604">
          <cell r="A1604" t="str">
            <v>ASY-100011-01</v>
          </cell>
          <cell r="B1604">
            <v>1</v>
          </cell>
          <cell r="C1604" t="str">
            <v>SCW-000483-00</v>
          </cell>
          <cell r="D1604" t="str">
            <v>SCREW, PHILIPS FLAT HEAD, M2.5x0.45x5 , 18-8 SST</v>
          </cell>
          <cell r="E1604" t="str">
            <v>A</v>
          </cell>
          <cell r="F1604" t="str">
            <v>Screw</v>
          </cell>
          <cell r="G1604">
            <v>4</v>
          </cell>
          <cell r="H1604">
            <v>0.02</v>
          </cell>
          <cell r="I1604" t="str">
            <v>Buy</v>
          </cell>
        </row>
        <row r="1605">
          <cell r="A1605" t="str">
            <v>ASY-100011-01</v>
          </cell>
          <cell r="B1605">
            <v>1</v>
          </cell>
          <cell r="C1605" t="str">
            <v>SCW-000556-00</v>
          </cell>
          <cell r="D1605" t="str">
            <v>SCREW, HEX, SERRATED, #8-32, GROUNDING, TROV 2</v>
          </cell>
          <cell r="E1605" t="str">
            <v>A</v>
          </cell>
          <cell r="F1605" t="str">
            <v>Screw</v>
          </cell>
          <cell r="G1605">
            <v>1</v>
          </cell>
          <cell r="H1605">
            <v>0.04</v>
          </cell>
          <cell r="I1605" t="str">
            <v>Buy</v>
          </cell>
        </row>
        <row r="1606">
          <cell r="A1606" t="str">
            <v>ASY-100011-01</v>
          </cell>
          <cell r="B1606">
            <v>1</v>
          </cell>
          <cell r="C1606" t="str">
            <v>SCW-000574-00</v>
          </cell>
          <cell r="D1606" t="str">
            <v>SCREW, TORX HEAD, 1/4-28x1/2", LOW PROFILE, ALLOY STEEL</v>
          </cell>
          <cell r="E1606" t="str">
            <v>A</v>
          </cell>
          <cell r="F1606" t="str">
            <v>Screw</v>
          </cell>
          <cell r="G1606">
            <v>2</v>
          </cell>
          <cell r="H1606">
            <v>0.14000000000000001</v>
          </cell>
          <cell r="I1606" t="str">
            <v>Buy</v>
          </cell>
        </row>
        <row r="1607">
          <cell r="A1607" t="str">
            <v>ASY-100011-01</v>
          </cell>
          <cell r="B1607">
            <v>1</v>
          </cell>
          <cell r="C1607" t="str">
            <v>SHT-000042-00</v>
          </cell>
          <cell r="D1607" t="str">
            <v>INSULATION SHEET, MP/LP HBA, TROV 2</v>
          </cell>
          <cell r="E1607" t="str">
            <v>D</v>
          </cell>
          <cell r="F1607" t="str">
            <v>Sheet</v>
          </cell>
          <cell r="G1607">
            <v>1</v>
          </cell>
          <cell r="H1607">
            <v>0.16</v>
          </cell>
          <cell r="I1607" t="str">
            <v>Buy</v>
          </cell>
        </row>
        <row r="1608">
          <cell r="A1608" t="str">
            <v>ASY-100011-01</v>
          </cell>
          <cell r="B1608">
            <v>1</v>
          </cell>
          <cell r="C1608" t="str">
            <v>SPG-000023-00</v>
          </cell>
          <cell r="D1608" t="str">
            <v>SPRING, DISC, STACKED WAVE, TROV 2.0</v>
          </cell>
          <cell r="E1608" t="str">
            <v>A</v>
          </cell>
          <cell r="F1608" t="str">
            <v>Spring</v>
          </cell>
          <cell r="G1608">
            <v>2</v>
          </cell>
          <cell r="H1608">
            <v>1.74</v>
          </cell>
          <cell r="I1608" t="str">
            <v>Buy</v>
          </cell>
        </row>
        <row r="1609">
          <cell r="A1609" t="str">
            <v>ASY-100011-01</v>
          </cell>
          <cell r="B1609">
            <v>1</v>
          </cell>
          <cell r="C1609" t="str">
            <v>TAP-000031-00</v>
          </cell>
          <cell r="D1609" t="str">
            <v>3M Electrical Tape 92</v>
          </cell>
          <cell r="E1609" t="str">
            <v>A</v>
          </cell>
          <cell r="F1609" t="str">
            <v>Tape</v>
          </cell>
          <cell r="G1609">
            <v>120</v>
          </cell>
          <cell r="H1609">
            <v>1.4E-2</v>
          </cell>
          <cell r="I1609" t="str">
            <v>Buy</v>
          </cell>
        </row>
        <row r="1610">
          <cell r="A1610" t="str">
            <v>ASY-100011-01</v>
          </cell>
          <cell r="B1610">
            <v>1</v>
          </cell>
          <cell r="C1610" t="str">
            <v>TMP-000027-00</v>
          </cell>
          <cell r="D1610" t="str">
            <v>Thermal Pad, LED PCBA, 1 FT, TROV 2</v>
          </cell>
          <cell r="E1610" t="str">
            <v>B</v>
          </cell>
          <cell r="F1610" t="str">
            <v>Thermal Pad</v>
          </cell>
          <cell r="G1610">
            <v>1</v>
          </cell>
          <cell r="H1610">
            <v>0.72</v>
          </cell>
          <cell r="I1610" t="str">
            <v>Buy</v>
          </cell>
        </row>
        <row r="1611">
          <cell r="A1611" t="str">
            <v>ASY-100011-01</v>
          </cell>
          <cell r="B1611">
            <v>1</v>
          </cell>
          <cell r="C1611" t="str">
            <v>TMP-000029-00</v>
          </cell>
          <cell r="D1611" t="str">
            <v>Thermal Pad, HBA, TROV 2</v>
          </cell>
          <cell r="E1611" t="str">
            <v>B</v>
          </cell>
          <cell r="F1611" t="str">
            <v>Thermal Pad</v>
          </cell>
          <cell r="G1611">
            <v>2</v>
          </cell>
          <cell r="H1611">
            <v>0.14000000000000001</v>
          </cell>
          <cell r="I1611" t="str">
            <v>Buy</v>
          </cell>
        </row>
        <row r="1612">
          <cell r="A1612" t="str">
            <v>ASY-100011-01</v>
          </cell>
          <cell r="B1612">
            <v>1</v>
          </cell>
          <cell r="C1612" t="str">
            <v>TMP-000032-00</v>
          </cell>
          <cell r="D1612" t="str">
            <v>Thermal Pad, HBA, TROV 2</v>
          </cell>
          <cell r="E1612" t="str">
            <v>A</v>
          </cell>
          <cell r="F1612" t="str">
            <v>Thermal Pad</v>
          </cell>
          <cell r="G1612">
            <v>1</v>
          </cell>
          <cell r="H1612">
            <v>0.03</v>
          </cell>
          <cell r="I1612" t="str">
            <v>Buy</v>
          </cell>
        </row>
        <row r="1613">
          <cell r="A1613" t="str">
            <v>ASY-100011-02</v>
          </cell>
          <cell r="B1613">
            <v>0</v>
          </cell>
          <cell r="C1613" t="str">
            <v>ASY-100011-02</v>
          </cell>
          <cell r="D1613" t="str">
            <v>ASSY, MECHANICAL, L60, INDOOR, 1 FT, TROV2P2, DYNAMIC, BRONZE</v>
          </cell>
          <cell r="E1613" t="str">
            <v>A</v>
          </cell>
          <cell r="F1613" t="str">
            <v>Sub assembly</v>
          </cell>
          <cell r="H1613">
            <v>0</v>
          </cell>
          <cell r="I1613" t="str">
            <v>Make</v>
          </cell>
        </row>
        <row r="1614">
          <cell r="A1614" t="str">
            <v>ASY-100011-02</v>
          </cell>
          <cell r="B1614">
            <v>1</v>
          </cell>
          <cell r="C1614" t="str">
            <v>ACB-000275-00</v>
          </cell>
          <cell r="D1614" t="str">
            <v>CABLE, CANBUS, SHORT, TROV 2</v>
          </cell>
          <cell r="E1614" t="str">
            <v>A</v>
          </cell>
          <cell r="F1614" t="str">
            <v>Cable</v>
          </cell>
          <cell r="G1614">
            <v>1</v>
          </cell>
          <cell r="H1614">
            <v>0.7</v>
          </cell>
          <cell r="I1614" t="str">
            <v>Buy</v>
          </cell>
        </row>
        <row r="1615">
          <cell r="A1615" t="str">
            <v>ASY-100011-02</v>
          </cell>
          <cell r="B1615">
            <v>1</v>
          </cell>
          <cell r="C1615" t="str">
            <v>ASY-100009-00</v>
          </cell>
          <cell r="D1615" t="str">
            <v>Cable Subassembly, Driver housing, 1ft, Trov 2</v>
          </cell>
          <cell r="E1615" t="str">
            <v>B</v>
          </cell>
          <cell r="F1615" t="str">
            <v>Sub assembly</v>
          </cell>
          <cell r="G1615">
            <v>1</v>
          </cell>
          <cell r="H1615">
            <v>0</v>
          </cell>
          <cell r="I1615" t="str">
            <v>Make</v>
          </cell>
        </row>
        <row r="1616">
          <cell r="A1616" t="str">
            <v>ASY-100011-02</v>
          </cell>
          <cell r="B1616">
            <v>2</v>
          </cell>
          <cell r="C1616" t="str">
            <v>ACB-000278-00</v>
          </cell>
          <cell r="D1616" t="str">
            <v>CABLE ASSY, INTRA-FIXTURE, 1FT, TROV 2.0</v>
          </cell>
          <cell r="E1616" t="str">
            <v>A</v>
          </cell>
          <cell r="F1616" t="str">
            <v>Cable Assembly</v>
          </cell>
          <cell r="G1616">
            <v>1</v>
          </cell>
          <cell r="H1616">
            <v>12.75</v>
          </cell>
          <cell r="I1616" t="str">
            <v>Buy</v>
          </cell>
        </row>
        <row r="1617">
          <cell r="A1617" t="str">
            <v>ASY-100011-02</v>
          </cell>
          <cell r="B1617">
            <v>3</v>
          </cell>
          <cell r="C1617" t="str">
            <v>ACB-000273-00</v>
          </cell>
          <cell r="D1617" t="str">
            <v>6 CONDUCTOR CABLE, 3X22AWG, 3X16AWG, AL MYLAR, TROV 2</v>
          </cell>
          <cell r="E1617" t="str">
            <v>A</v>
          </cell>
          <cell r="F1617" t="str">
            <v>Cable</v>
          </cell>
          <cell r="G1617">
            <v>1</v>
          </cell>
          <cell r="H1617">
            <v>0</v>
          </cell>
          <cell r="I1617" t="str">
            <v>N/A</v>
          </cell>
        </row>
        <row r="1618">
          <cell r="A1618" t="str">
            <v>ASY-100011-02</v>
          </cell>
          <cell r="B1618">
            <v>3</v>
          </cell>
          <cell r="C1618" t="str">
            <v>ACB-000274-01</v>
          </cell>
          <cell r="D1618" t="str">
            <v>CABLE ASSEMBLY, INTERNAL, DRIVER SIDE, 1FT, TROV 2</v>
          </cell>
          <cell r="E1618" t="str">
            <v>A</v>
          </cell>
          <cell r="F1618" t="str">
            <v>Cable Assembly</v>
          </cell>
          <cell r="G1618">
            <v>1</v>
          </cell>
          <cell r="H1618">
            <v>0</v>
          </cell>
          <cell r="I1618" t="str">
            <v>N/A</v>
          </cell>
        </row>
        <row r="1619">
          <cell r="A1619" t="str">
            <v>ASY-100011-02</v>
          </cell>
          <cell r="B1619">
            <v>3</v>
          </cell>
          <cell r="C1619" t="str">
            <v>CON-000259-00</v>
          </cell>
          <cell r="D1619" t="str">
            <v>CONNECTOR, MALE, 6 PIN, TROV 2</v>
          </cell>
          <cell r="E1619" t="str">
            <v>B</v>
          </cell>
          <cell r="F1619" t="str">
            <v>Connector</v>
          </cell>
          <cell r="G1619">
            <v>1</v>
          </cell>
          <cell r="H1619">
            <v>0</v>
          </cell>
          <cell r="I1619" t="str">
            <v>N/A</v>
          </cell>
        </row>
        <row r="1620">
          <cell r="A1620" t="str">
            <v>ASY-100011-02</v>
          </cell>
          <cell r="B1620">
            <v>3</v>
          </cell>
          <cell r="C1620" t="str">
            <v>CON-000260-00</v>
          </cell>
          <cell r="D1620" t="str">
            <v>CONNECTOR, FEMALE, 6 PIN, TROV 2</v>
          </cell>
          <cell r="E1620" t="str">
            <v>A</v>
          </cell>
          <cell r="F1620" t="str">
            <v>Connector</v>
          </cell>
          <cell r="G1620">
            <v>1</v>
          </cell>
          <cell r="H1620">
            <v>0</v>
          </cell>
          <cell r="I1620" t="str">
            <v>N/A</v>
          </cell>
        </row>
        <row r="1621">
          <cell r="A1621" t="str">
            <v>ASY-100011-02</v>
          </cell>
          <cell r="B1621">
            <v>3</v>
          </cell>
          <cell r="C1621" t="str">
            <v>ORG-000060-00</v>
          </cell>
          <cell r="D1621" t="str">
            <v>O-RING, CABLE, TROV 2</v>
          </cell>
          <cell r="E1621" t="str">
            <v>A</v>
          </cell>
          <cell r="F1621" t="str">
            <v>O-Ring</v>
          </cell>
          <cell r="G1621">
            <v>1</v>
          </cell>
          <cell r="H1621">
            <v>0</v>
          </cell>
          <cell r="I1621" t="str">
            <v>N/A</v>
          </cell>
        </row>
        <row r="1622">
          <cell r="A1622" t="str">
            <v>ASY-100011-02</v>
          </cell>
          <cell r="B1622">
            <v>3</v>
          </cell>
          <cell r="C1622" t="str">
            <v>SRF-000030-00</v>
          </cell>
          <cell r="D1622" t="str">
            <v>STRAIN RELIEF, CABLE, TROV 2</v>
          </cell>
          <cell r="E1622" t="str">
            <v>A</v>
          </cell>
          <cell r="F1622" t="str">
            <v>Strain Relief</v>
          </cell>
          <cell r="G1622">
            <v>1</v>
          </cell>
          <cell r="H1622">
            <v>0</v>
          </cell>
          <cell r="I1622" t="str">
            <v>N/A</v>
          </cell>
        </row>
        <row r="1623">
          <cell r="A1623" t="str">
            <v>ASY-100011-02</v>
          </cell>
          <cell r="B1623">
            <v>2</v>
          </cell>
          <cell r="C1623" t="str">
            <v>HSG-000488-01</v>
          </cell>
          <cell r="D1623" t="str">
            <v>HOUSING, PSU, 1 FT, MOLDED HOLE, TROV 2.0</v>
          </cell>
          <cell r="E1623" t="str">
            <v>B</v>
          </cell>
          <cell r="F1623" t="str">
            <v>Housing</v>
          </cell>
          <cell r="G1623">
            <v>1</v>
          </cell>
          <cell r="H1623">
            <v>1.17</v>
          </cell>
          <cell r="I1623" t="str">
            <v>Buy</v>
          </cell>
        </row>
        <row r="1624">
          <cell r="A1624" t="str">
            <v>ASY-100011-02</v>
          </cell>
          <cell r="B1624">
            <v>2</v>
          </cell>
          <cell r="C1624" t="str">
            <v>SCW-000577-00</v>
          </cell>
          <cell r="D1624" t="str">
            <v>SCREW, TORX HEAD, LOW PROFILE, M3X8mm, ALLOY STEEL</v>
          </cell>
          <cell r="E1624" t="str">
            <v>A</v>
          </cell>
          <cell r="F1624" t="str">
            <v>Screw</v>
          </cell>
          <cell r="G1624">
            <v>2</v>
          </cell>
          <cell r="H1624">
            <v>0.03</v>
          </cell>
          <cell r="I1624" t="str">
            <v>Buy</v>
          </cell>
        </row>
        <row r="1625">
          <cell r="A1625" t="str">
            <v>ASY-100011-02</v>
          </cell>
          <cell r="B1625">
            <v>1</v>
          </cell>
          <cell r="C1625" t="str">
            <v>BAS-000020-00</v>
          </cell>
          <cell r="D1625" t="str">
            <v>BASE, 1FT, TROV 2.0</v>
          </cell>
          <cell r="E1625" t="str">
            <v>E</v>
          </cell>
          <cell r="F1625" t="str">
            <v>Base</v>
          </cell>
          <cell r="G1625">
            <v>1</v>
          </cell>
          <cell r="H1625">
            <v>5.8</v>
          </cell>
          <cell r="I1625" t="str">
            <v>Buy</v>
          </cell>
        </row>
        <row r="1626">
          <cell r="A1626" t="str">
            <v>ASY-100011-02</v>
          </cell>
          <cell r="B1626">
            <v>1</v>
          </cell>
          <cell r="C1626" t="str">
            <v>BKT-000457-03</v>
          </cell>
          <cell r="D1626" t="str">
            <v>BRACKET, MOUNT, LEFT, BLACK, TROV 2.0</v>
          </cell>
          <cell r="E1626" t="str">
            <v>C</v>
          </cell>
          <cell r="F1626" t="str">
            <v>Bracket</v>
          </cell>
          <cell r="G1626">
            <v>1</v>
          </cell>
          <cell r="H1626">
            <v>0.99</v>
          </cell>
          <cell r="I1626" t="str">
            <v>Buy</v>
          </cell>
        </row>
        <row r="1627">
          <cell r="A1627" t="str">
            <v>ASY-100011-02</v>
          </cell>
          <cell r="B1627">
            <v>1</v>
          </cell>
          <cell r="C1627" t="str">
            <v>BKT-000458-03</v>
          </cell>
          <cell r="D1627" t="str">
            <v>BRACKET, MOUNT, RIGHT, BLACK, TROV 2.0</v>
          </cell>
          <cell r="E1627" t="str">
            <v>C</v>
          </cell>
          <cell r="F1627" t="str">
            <v>Bracket</v>
          </cell>
          <cell r="G1627">
            <v>1</v>
          </cell>
          <cell r="H1627">
            <v>0.99</v>
          </cell>
          <cell r="I1627" t="str">
            <v>Buy</v>
          </cell>
        </row>
        <row r="1628">
          <cell r="A1628" t="str">
            <v>ASY-100011-02</v>
          </cell>
          <cell r="B1628">
            <v>1</v>
          </cell>
          <cell r="C1628" t="str">
            <v>CVR-000789-02</v>
          </cell>
          <cell r="D1628" t="str">
            <v>END COVER, FC, BRONZE, L60, TROV 2.0</v>
          </cell>
          <cell r="E1628" t="str">
            <v>D</v>
          </cell>
          <cell r="F1628" t="str">
            <v>Cover</v>
          </cell>
          <cell r="G1628">
            <v>1</v>
          </cell>
          <cell r="H1628">
            <v>2.09</v>
          </cell>
          <cell r="I1628" t="str">
            <v>Buy</v>
          </cell>
        </row>
        <row r="1629">
          <cell r="A1629" t="str">
            <v>ASY-100011-02</v>
          </cell>
          <cell r="B1629">
            <v>1</v>
          </cell>
          <cell r="C1629" t="str">
            <v>CVR-000893-02</v>
          </cell>
          <cell r="D1629" t="str">
            <v>END COVER, MC, BRONZE, L60, TROV 2.0</v>
          </cell>
          <cell r="E1629" t="str">
            <v>B</v>
          </cell>
          <cell r="F1629" t="str">
            <v>Cover</v>
          </cell>
          <cell r="G1629">
            <v>1</v>
          </cell>
          <cell r="H1629">
            <v>7.5</v>
          </cell>
          <cell r="I1629" t="str">
            <v>Buy</v>
          </cell>
        </row>
        <row r="1630">
          <cell r="A1630" t="str">
            <v>ASY-100011-02</v>
          </cell>
          <cell r="B1630">
            <v>1</v>
          </cell>
          <cell r="C1630" t="str">
            <v>FOM-000028-00</v>
          </cell>
          <cell r="D1630" t="str">
            <v>FOAM, LIGHTBLOCK, ENDCAP, L60, TROV2</v>
          </cell>
          <cell r="E1630" t="str">
            <v>A</v>
          </cell>
          <cell r="F1630" t="str">
            <v>Foam</v>
          </cell>
          <cell r="G1630">
            <v>2</v>
          </cell>
          <cell r="H1630">
            <v>0.03</v>
          </cell>
          <cell r="I1630" t="str">
            <v>Buy</v>
          </cell>
        </row>
        <row r="1631">
          <cell r="A1631" t="str">
            <v>ASY-100011-02</v>
          </cell>
          <cell r="B1631">
            <v>1</v>
          </cell>
          <cell r="C1631" t="str">
            <v>GSK-000121-01</v>
          </cell>
          <cell r="D1631" t="str">
            <v>GASKET, DRIVER ENCLOSURE, 3M, 1 FT, TROV 2.0</v>
          </cell>
          <cell r="E1631" t="str">
            <v>B</v>
          </cell>
          <cell r="F1631" t="str">
            <v>Gasket</v>
          </cell>
          <cell r="G1631">
            <v>1</v>
          </cell>
          <cell r="H1631">
            <v>1.7</v>
          </cell>
          <cell r="I1631" t="str">
            <v>Buy</v>
          </cell>
        </row>
        <row r="1632">
          <cell r="A1632" t="str">
            <v>ASY-100011-02</v>
          </cell>
          <cell r="B1632">
            <v>1</v>
          </cell>
          <cell r="C1632" t="str">
            <v>GSK-000132-00</v>
          </cell>
          <cell r="D1632" t="str">
            <v>GASKET, TERTIARY LENS, 3M, 1 FT, L60, TROV 2.0</v>
          </cell>
          <cell r="E1632" t="str">
            <v>B</v>
          </cell>
          <cell r="F1632" t="str">
            <v>Gasket</v>
          </cell>
          <cell r="G1632">
            <v>1</v>
          </cell>
          <cell r="H1632">
            <v>1.96</v>
          </cell>
          <cell r="I1632" t="str">
            <v>Buy</v>
          </cell>
        </row>
        <row r="1633">
          <cell r="A1633" t="str">
            <v>ASY-100011-02</v>
          </cell>
          <cell r="B1633">
            <v>1</v>
          </cell>
          <cell r="C1633" t="str">
            <v>HSG-000490-02</v>
          </cell>
          <cell r="D1633" t="str">
            <v>HOUSING, TOP, 1 FT, L60, BRONZE, TROV 2.0</v>
          </cell>
          <cell r="E1633" t="str">
            <v>E</v>
          </cell>
          <cell r="F1633" t="str">
            <v>Housing</v>
          </cell>
          <cell r="G1633">
            <v>1</v>
          </cell>
          <cell r="H1633">
            <v>0</v>
          </cell>
          <cell r="I1633" t="str">
            <v>Buy</v>
          </cell>
        </row>
        <row r="1634">
          <cell r="A1634" t="str">
            <v>ASY-100011-02</v>
          </cell>
          <cell r="B1634">
            <v>1</v>
          </cell>
          <cell r="C1634" t="str">
            <v>HSG-000492-02</v>
          </cell>
          <cell r="D1634" t="str">
            <v>HOUSING, BOTTOM, 1 FT, BRONZE, TROV 2.0</v>
          </cell>
          <cell r="E1634" t="str">
            <v>F</v>
          </cell>
          <cell r="F1634" t="str">
            <v>Housing</v>
          </cell>
          <cell r="G1634">
            <v>1</v>
          </cell>
          <cell r="H1634">
            <v>3.34</v>
          </cell>
          <cell r="I1634" t="str">
            <v>Buy</v>
          </cell>
        </row>
        <row r="1635">
          <cell r="A1635" t="str">
            <v>ASY-100011-02</v>
          </cell>
          <cell r="B1635">
            <v>1</v>
          </cell>
          <cell r="C1635" t="str">
            <v>LBA-000003-00</v>
          </cell>
          <cell r="D1635" t="str">
            <v>Label: TROV 2 P1/P2, Model L45/L60</v>
          </cell>
          <cell r="E1635" t="str">
            <v>A</v>
          </cell>
          <cell r="F1635" t="str">
            <v>Label BOM</v>
          </cell>
          <cell r="G1635">
            <v>1</v>
          </cell>
          <cell r="H1635">
            <v>0</v>
          </cell>
          <cell r="I1635" t="str">
            <v>Make</v>
          </cell>
        </row>
        <row r="1636">
          <cell r="A1636" t="str">
            <v>ASY-100011-02</v>
          </cell>
          <cell r="B1636">
            <v>2</v>
          </cell>
          <cell r="C1636" t="str">
            <v>LBL-000243-00</v>
          </cell>
          <cell r="D1636" t="str">
            <v>Blank Product Label: Trov 2 P1/P2, Model L45/L60</v>
          </cell>
          <cell r="E1636" t="str">
            <v>A</v>
          </cell>
          <cell r="F1636" t="str">
            <v>Label</v>
          </cell>
          <cell r="G1636">
            <v>1</v>
          </cell>
          <cell r="H1636">
            <v>0.33</v>
          </cell>
          <cell r="I1636" t="str">
            <v>Buy</v>
          </cell>
        </row>
        <row r="1637">
          <cell r="A1637" t="str">
            <v>ASY-100011-02</v>
          </cell>
          <cell r="B1637">
            <v>1</v>
          </cell>
          <cell r="C1637" t="str">
            <v>PLG-000009-01</v>
          </cell>
          <cell r="D1637" t="str">
            <v>Porex Vent, Trov, L50 Exterior</v>
          </cell>
          <cell r="E1637" t="str">
            <v>B</v>
          </cell>
          <cell r="F1637" t="str">
            <v>Plug</v>
          </cell>
          <cell r="G1637">
            <v>1</v>
          </cell>
          <cell r="H1637">
            <v>0.17</v>
          </cell>
          <cell r="I1637" t="str">
            <v>Buy</v>
          </cell>
        </row>
        <row r="1638">
          <cell r="A1638" t="str">
            <v>ASY-100011-02</v>
          </cell>
          <cell r="B1638">
            <v>1</v>
          </cell>
          <cell r="C1638" t="str">
            <v>SCW-000156-00</v>
          </cell>
          <cell r="D1638" t="str">
            <v>SCREW, M3 x 0.5 X 8mm, PAND HEAD, PHILLIPS, STEEL</v>
          </cell>
          <cell r="E1638" t="str">
            <v>B</v>
          </cell>
          <cell r="F1638" t="str">
            <v>Screw</v>
          </cell>
          <cell r="G1638">
            <v>2</v>
          </cell>
          <cell r="H1638">
            <v>4.4400000000000002E-2</v>
          </cell>
          <cell r="I1638" t="str">
            <v>Buy</v>
          </cell>
        </row>
        <row r="1639">
          <cell r="A1639" t="str">
            <v>ASY-100011-02</v>
          </cell>
          <cell r="B1639">
            <v>1</v>
          </cell>
          <cell r="C1639" t="str">
            <v>SCW-000483-00</v>
          </cell>
          <cell r="D1639" t="str">
            <v>SCREW, PHILIPS FLAT HEAD, M2.5x0.45x5 , 18-8 SST</v>
          </cell>
          <cell r="E1639" t="str">
            <v>A</v>
          </cell>
          <cell r="F1639" t="str">
            <v>Screw</v>
          </cell>
          <cell r="G1639">
            <v>4</v>
          </cell>
          <cell r="H1639">
            <v>0.02</v>
          </cell>
          <cell r="I1639" t="str">
            <v>Buy</v>
          </cell>
        </row>
        <row r="1640">
          <cell r="A1640" t="str">
            <v>ASY-100011-02</v>
          </cell>
          <cell r="B1640">
            <v>1</v>
          </cell>
          <cell r="C1640" t="str">
            <v>SCW-000556-00</v>
          </cell>
          <cell r="D1640" t="str">
            <v>SCREW, HEX, SERRATED, #8-32, GROUNDING, TROV 2</v>
          </cell>
          <cell r="E1640" t="str">
            <v>A</v>
          </cell>
          <cell r="F1640" t="str">
            <v>Screw</v>
          </cell>
          <cell r="G1640">
            <v>1</v>
          </cell>
          <cell r="H1640">
            <v>0.04</v>
          </cell>
          <cell r="I1640" t="str">
            <v>Buy</v>
          </cell>
        </row>
        <row r="1641">
          <cell r="A1641" t="str">
            <v>ASY-100011-02</v>
          </cell>
          <cell r="B1641">
            <v>1</v>
          </cell>
          <cell r="C1641" t="str">
            <v>SCW-000574-00</v>
          </cell>
          <cell r="D1641" t="str">
            <v>SCREW, TORX HEAD, 1/4-28x1/2", LOW PROFILE, ALLOY STEEL</v>
          </cell>
          <cell r="E1641" t="str">
            <v>A</v>
          </cell>
          <cell r="F1641" t="str">
            <v>Screw</v>
          </cell>
          <cell r="G1641">
            <v>2</v>
          </cell>
          <cell r="H1641">
            <v>0.14000000000000001</v>
          </cell>
          <cell r="I1641" t="str">
            <v>Buy</v>
          </cell>
        </row>
        <row r="1642">
          <cell r="A1642" t="str">
            <v>ASY-100011-02</v>
          </cell>
          <cell r="B1642">
            <v>1</v>
          </cell>
          <cell r="C1642" t="str">
            <v>SHT-000042-00</v>
          </cell>
          <cell r="D1642" t="str">
            <v>INSULATION SHEET, MP/LP HBA, TROV 2</v>
          </cell>
          <cell r="E1642" t="str">
            <v>D</v>
          </cell>
          <cell r="F1642" t="str">
            <v>Sheet</v>
          </cell>
          <cell r="G1642">
            <v>1</v>
          </cell>
          <cell r="H1642">
            <v>0.16</v>
          </cell>
          <cell r="I1642" t="str">
            <v>Buy</v>
          </cell>
        </row>
        <row r="1643">
          <cell r="A1643" t="str">
            <v>ASY-100011-02</v>
          </cell>
          <cell r="B1643">
            <v>1</v>
          </cell>
          <cell r="C1643" t="str">
            <v>SPG-000023-00</v>
          </cell>
          <cell r="D1643" t="str">
            <v>SPRING, DISC, STACKED WAVE, TROV 2.0</v>
          </cell>
          <cell r="E1643" t="str">
            <v>A</v>
          </cell>
          <cell r="F1643" t="str">
            <v>Spring</v>
          </cell>
          <cell r="G1643">
            <v>2</v>
          </cell>
          <cell r="H1643">
            <v>1.74</v>
          </cell>
          <cell r="I1643" t="str">
            <v>Buy</v>
          </cell>
        </row>
        <row r="1644">
          <cell r="A1644" t="str">
            <v>ASY-100011-02</v>
          </cell>
          <cell r="B1644">
            <v>1</v>
          </cell>
          <cell r="C1644" t="str">
            <v>TAP-000031-00</v>
          </cell>
          <cell r="D1644" t="str">
            <v>3M Electrical Tape 92</v>
          </cell>
          <cell r="E1644" t="str">
            <v>A</v>
          </cell>
          <cell r="F1644" t="str">
            <v>Tape</v>
          </cell>
          <cell r="G1644">
            <v>120</v>
          </cell>
          <cell r="H1644">
            <v>1.4E-2</v>
          </cell>
          <cell r="I1644" t="str">
            <v>Buy</v>
          </cell>
        </row>
        <row r="1645">
          <cell r="A1645" t="str">
            <v>ASY-100011-02</v>
          </cell>
          <cell r="B1645">
            <v>1</v>
          </cell>
          <cell r="C1645" t="str">
            <v>TMP-000027-00</v>
          </cell>
          <cell r="D1645" t="str">
            <v>Thermal Pad, LED PCBA, 1 FT, TROV 2</v>
          </cell>
          <cell r="E1645" t="str">
            <v>B</v>
          </cell>
          <cell r="F1645" t="str">
            <v>Thermal Pad</v>
          </cell>
          <cell r="G1645">
            <v>1</v>
          </cell>
          <cell r="H1645">
            <v>0.72</v>
          </cell>
          <cell r="I1645" t="str">
            <v>Buy</v>
          </cell>
        </row>
        <row r="1646">
          <cell r="A1646" t="str">
            <v>ASY-100011-02</v>
          </cell>
          <cell r="B1646">
            <v>1</v>
          </cell>
          <cell r="C1646" t="str">
            <v>TMP-000029-00</v>
          </cell>
          <cell r="D1646" t="str">
            <v>Thermal Pad, HBA, TROV 2</v>
          </cell>
          <cell r="E1646" t="str">
            <v>B</v>
          </cell>
          <cell r="F1646" t="str">
            <v>Thermal Pad</v>
          </cell>
          <cell r="G1646">
            <v>2</v>
          </cell>
          <cell r="H1646">
            <v>0.14000000000000001</v>
          </cell>
          <cell r="I1646" t="str">
            <v>Buy</v>
          </cell>
        </row>
        <row r="1647">
          <cell r="A1647" t="str">
            <v>ASY-100011-02</v>
          </cell>
          <cell r="B1647">
            <v>1</v>
          </cell>
          <cell r="C1647" t="str">
            <v>TMP-000032-00</v>
          </cell>
          <cell r="D1647" t="str">
            <v>Thermal Pad, HBA, TROV 2</v>
          </cell>
          <cell r="E1647" t="str">
            <v>A</v>
          </cell>
          <cell r="F1647" t="str">
            <v>Thermal Pad</v>
          </cell>
          <cell r="G1647">
            <v>1</v>
          </cell>
          <cell r="H1647">
            <v>0.03</v>
          </cell>
          <cell r="I1647" t="str">
            <v>Buy</v>
          </cell>
        </row>
        <row r="1648">
          <cell r="A1648" t="str">
            <v>ASY-100011-03</v>
          </cell>
          <cell r="B1648">
            <v>0</v>
          </cell>
          <cell r="C1648" t="str">
            <v>ASY-100011-03</v>
          </cell>
          <cell r="D1648" t="str">
            <v>ASSY, MECHANICAL, L60, INDOOR, 1 FT, TROV2P2, DYNAMIC, BLACK</v>
          </cell>
          <cell r="E1648" t="str">
            <v>A</v>
          </cell>
          <cell r="F1648" t="str">
            <v>Sub assembly</v>
          </cell>
          <cell r="H1648">
            <v>0</v>
          </cell>
          <cell r="I1648" t="str">
            <v>Make</v>
          </cell>
        </row>
        <row r="1649">
          <cell r="A1649" t="str">
            <v>ASY-100011-03</v>
          </cell>
          <cell r="B1649">
            <v>1</v>
          </cell>
          <cell r="C1649" t="str">
            <v>ACB-000275-00</v>
          </cell>
          <cell r="D1649" t="str">
            <v>CABLE, CANBUS, SHORT, TROV 2</v>
          </cell>
          <cell r="E1649" t="str">
            <v>A</v>
          </cell>
          <cell r="F1649" t="str">
            <v>Cable</v>
          </cell>
          <cell r="G1649">
            <v>1</v>
          </cell>
          <cell r="H1649">
            <v>0.7</v>
          </cell>
          <cell r="I1649" t="str">
            <v>Buy</v>
          </cell>
        </row>
        <row r="1650">
          <cell r="A1650" t="str">
            <v>ASY-100011-03</v>
          </cell>
          <cell r="B1650">
            <v>1</v>
          </cell>
          <cell r="C1650" t="str">
            <v>ASY-100009-00</v>
          </cell>
          <cell r="D1650" t="str">
            <v>Cable Subassembly, Driver housing, 1ft, Trov 2</v>
          </cell>
          <cell r="E1650" t="str">
            <v>B</v>
          </cell>
          <cell r="F1650" t="str">
            <v>Sub assembly</v>
          </cell>
          <cell r="G1650">
            <v>1</v>
          </cell>
          <cell r="H1650">
            <v>0</v>
          </cell>
          <cell r="I1650" t="str">
            <v>Make</v>
          </cell>
        </row>
        <row r="1651">
          <cell r="A1651" t="str">
            <v>ASY-100011-03</v>
          </cell>
          <cell r="B1651">
            <v>2</v>
          </cell>
          <cell r="C1651" t="str">
            <v>ACB-000278-00</v>
          </cell>
          <cell r="D1651" t="str">
            <v>CABLE ASSY, INTRA-FIXTURE, 1FT, TROV 2.0</v>
          </cell>
          <cell r="E1651" t="str">
            <v>A</v>
          </cell>
          <cell r="F1651" t="str">
            <v>Cable Assembly</v>
          </cell>
          <cell r="G1651">
            <v>1</v>
          </cell>
          <cell r="H1651">
            <v>12.75</v>
          </cell>
          <cell r="I1651" t="str">
            <v>Buy</v>
          </cell>
        </row>
        <row r="1652">
          <cell r="A1652" t="str">
            <v>ASY-100011-03</v>
          </cell>
          <cell r="B1652">
            <v>3</v>
          </cell>
          <cell r="C1652" t="str">
            <v>ACB-000273-00</v>
          </cell>
          <cell r="D1652" t="str">
            <v>6 CONDUCTOR CABLE, 3X22AWG, 3X16AWG, AL MYLAR, TROV 2</v>
          </cell>
          <cell r="E1652" t="str">
            <v>A</v>
          </cell>
          <cell r="F1652" t="str">
            <v>Cable</v>
          </cell>
          <cell r="G1652">
            <v>1</v>
          </cell>
          <cell r="H1652">
            <v>0</v>
          </cell>
          <cell r="I1652" t="str">
            <v>N/A</v>
          </cell>
        </row>
        <row r="1653">
          <cell r="A1653" t="str">
            <v>ASY-100011-03</v>
          </cell>
          <cell r="B1653">
            <v>3</v>
          </cell>
          <cell r="C1653" t="str">
            <v>ACB-000274-01</v>
          </cell>
          <cell r="D1653" t="str">
            <v>CABLE ASSEMBLY, INTERNAL, DRIVER SIDE, 1FT, TROV 2</v>
          </cell>
          <cell r="E1653" t="str">
            <v>A</v>
          </cell>
          <cell r="F1653" t="str">
            <v>Cable Assembly</v>
          </cell>
          <cell r="G1653">
            <v>1</v>
          </cell>
          <cell r="H1653">
            <v>0</v>
          </cell>
          <cell r="I1653" t="str">
            <v>N/A</v>
          </cell>
        </row>
        <row r="1654">
          <cell r="A1654" t="str">
            <v>ASY-100011-03</v>
          </cell>
          <cell r="B1654">
            <v>3</v>
          </cell>
          <cell r="C1654" t="str">
            <v>CON-000259-00</v>
          </cell>
          <cell r="D1654" t="str">
            <v>CONNECTOR, MALE, 6 PIN, TROV 2</v>
          </cell>
          <cell r="E1654" t="str">
            <v>B</v>
          </cell>
          <cell r="F1654" t="str">
            <v>Connector</v>
          </cell>
          <cell r="G1654">
            <v>1</v>
          </cell>
          <cell r="H1654">
            <v>0</v>
          </cell>
          <cell r="I1654" t="str">
            <v>N/A</v>
          </cell>
        </row>
        <row r="1655">
          <cell r="A1655" t="str">
            <v>ASY-100011-03</v>
          </cell>
          <cell r="B1655">
            <v>3</v>
          </cell>
          <cell r="C1655" t="str">
            <v>CON-000260-00</v>
          </cell>
          <cell r="D1655" t="str">
            <v>CONNECTOR, FEMALE, 6 PIN, TROV 2</v>
          </cell>
          <cell r="E1655" t="str">
            <v>A</v>
          </cell>
          <cell r="F1655" t="str">
            <v>Connector</v>
          </cell>
          <cell r="G1655">
            <v>1</v>
          </cell>
          <cell r="H1655">
            <v>0</v>
          </cell>
          <cell r="I1655" t="str">
            <v>N/A</v>
          </cell>
        </row>
        <row r="1656">
          <cell r="A1656" t="str">
            <v>ASY-100011-03</v>
          </cell>
          <cell r="B1656">
            <v>3</v>
          </cell>
          <cell r="C1656" t="str">
            <v>ORG-000060-00</v>
          </cell>
          <cell r="D1656" t="str">
            <v>O-RING, CABLE, TROV 2</v>
          </cell>
          <cell r="E1656" t="str">
            <v>A</v>
          </cell>
          <cell r="F1656" t="str">
            <v>O-Ring</v>
          </cell>
          <cell r="G1656">
            <v>1</v>
          </cell>
          <cell r="H1656">
            <v>0</v>
          </cell>
          <cell r="I1656" t="str">
            <v>N/A</v>
          </cell>
        </row>
        <row r="1657">
          <cell r="A1657" t="str">
            <v>ASY-100011-03</v>
          </cell>
          <cell r="B1657">
            <v>3</v>
          </cell>
          <cell r="C1657" t="str">
            <v>SRF-000030-00</v>
          </cell>
          <cell r="D1657" t="str">
            <v>STRAIN RELIEF, CABLE, TROV 2</v>
          </cell>
          <cell r="E1657" t="str">
            <v>A</v>
          </cell>
          <cell r="F1657" t="str">
            <v>Strain Relief</v>
          </cell>
          <cell r="G1657">
            <v>1</v>
          </cell>
          <cell r="H1657">
            <v>0</v>
          </cell>
          <cell r="I1657" t="str">
            <v>N/A</v>
          </cell>
        </row>
        <row r="1658">
          <cell r="A1658" t="str">
            <v>ASY-100011-03</v>
          </cell>
          <cell r="B1658">
            <v>2</v>
          </cell>
          <cell r="C1658" t="str">
            <v>HSG-000488-01</v>
          </cell>
          <cell r="D1658" t="str">
            <v>HOUSING, PSU, 1 FT, MOLDED HOLE, TROV 2.0</v>
          </cell>
          <cell r="E1658" t="str">
            <v>B</v>
          </cell>
          <cell r="F1658" t="str">
            <v>Housing</v>
          </cell>
          <cell r="G1658">
            <v>1</v>
          </cell>
          <cell r="H1658">
            <v>1.17</v>
          </cell>
          <cell r="I1658" t="str">
            <v>Buy</v>
          </cell>
        </row>
        <row r="1659">
          <cell r="A1659" t="str">
            <v>ASY-100011-03</v>
          </cell>
          <cell r="B1659">
            <v>2</v>
          </cell>
          <cell r="C1659" t="str">
            <v>SCW-000577-00</v>
          </cell>
          <cell r="D1659" t="str">
            <v>SCREW, TORX HEAD, LOW PROFILE, M3X8mm, ALLOY STEEL</v>
          </cell>
          <cell r="E1659" t="str">
            <v>A</v>
          </cell>
          <cell r="F1659" t="str">
            <v>Screw</v>
          </cell>
          <cell r="G1659">
            <v>2</v>
          </cell>
          <cell r="H1659">
            <v>0.03</v>
          </cell>
          <cell r="I1659" t="str">
            <v>Buy</v>
          </cell>
        </row>
        <row r="1660">
          <cell r="A1660" t="str">
            <v>ASY-100011-03</v>
          </cell>
          <cell r="B1660">
            <v>1</v>
          </cell>
          <cell r="C1660" t="str">
            <v>BAS-000020-00</v>
          </cell>
          <cell r="D1660" t="str">
            <v>BASE, 1FT, TROV 2.0</v>
          </cell>
          <cell r="E1660" t="str">
            <v>E</v>
          </cell>
          <cell r="F1660" t="str">
            <v>Base</v>
          </cell>
          <cell r="G1660">
            <v>1</v>
          </cell>
          <cell r="H1660">
            <v>5.8</v>
          </cell>
          <cell r="I1660" t="str">
            <v>Buy</v>
          </cell>
        </row>
        <row r="1661">
          <cell r="A1661" t="str">
            <v>ASY-100011-03</v>
          </cell>
          <cell r="B1661">
            <v>1</v>
          </cell>
          <cell r="C1661" t="str">
            <v>BKT-000457-03</v>
          </cell>
          <cell r="D1661" t="str">
            <v>BRACKET, MOUNT, LEFT, BLACK, TROV 2.0</v>
          </cell>
          <cell r="E1661" t="str">
            <v>C</v>
          </cell>
          <cell r="F1661" t="str">
            <v>Bracket</v>
          </cell>
          <cell r="G1661">
            <v>1</v>
          </cell>
          <cell r="H1661">
            <v>0.99</v>
          </cell>
          <cell r="I1661" t="str">
            <v>Buy</v>
          </cell>
        </row>
        <row r="1662">
          <cell r="A1662" t="str">
            <v>ASY-100011-03</v>
          </cell>
          <cell r="B1662">
            <v>1</v>
          </cell>
          <cell r="C1662" t="str">
            <v>BKT-000458-03</v>
          </cell>
          <cell r="D1662" t="str">
            <v>BRACKET, MOUNT, RIGHT, BLACK, TROV 2.0</v>
          </cell>
          <cell r="E1662" t="str">
            <v>C</v>
          </cell>
          <cell r="F1662" t="str">
            <v>Bracket</v>
          </cell>
          <cell r="G1662">
            <v>1</v>
          </cell>
          <cell r="H1662">
            <v>0.99</v>
          </cell>
          <cell r="I1662" t="str">
            <v>Buy</v>
          </cell>
        </row>
        <row r="1663">
          <cell r="A1663" t="str">
            <v>ASY-100011-03</v>
          </cell>
          <cell r="B1663">
            <v>1</v>
          </cell>
          <cell r="C1663" t="str">
            <v>CVR-000789-03</v>
          </cell>
          <cell r="D1663" t="str">
            <v>END COVER, FC, BLACK, L60, TROV 2.0</v>
          </cell>
          <cell r="E1663" t="str">
            <v>D</v>
          </cell>
          <cell r="F1663" t="str">
            <v>Cover</v>
          </cell>
          <cell r="G1663">
            <v>1</v>
          </cell>
          <cell r="H1663">
            <v>1.0900000000000001</v>
          </cell>
          <cell r="I1663" t="str">
            <v>Buy</v>
          </cell>
        </row>
        <row r="1664">
          <cell r="A1664" t="str">
            <v>ASY-100011-03</v>
          </cell>
          <cell r="B1664">
            <v>1</v>
          </cell>
          <cell r="C1664" t="str">
            <v>CVR-000893-03</v>
          </cell>
          <cell r="D1664" t="str">
            <v>END COVER, MC, BLACK, L60, TROV 2.0</v>
          </cell>
          <cell r="E1664" t="str">
            <v>B</v>
          </cell>
          <cell r="F1664" t="str">
            <v>Cover</v>
          </cell>
          <cell r="G1664">
            <v>1</v>
          </cell>
          <cell r="H1664">
            <v>1.0900000000000001</v>
          </cell>
          <cell r="I1664" t="str">
            <v>Buy</v>
          </cell>
        </row>
        <row r="1665">
          <cell r="A1665" t="str">
            <v>ASY-100011-03</v>
          </cell>
          <cell r="B1665">
            <v>1</v>
          </cell>
          <cell r="C1665" t="str">
            <v>FOM-000028-00</v>
          </cell>
          <cell r="D1665" t="str">
            <v>FOAM, LIGHTBLOCK, ENDCAP, L60, TROV2</v>
          </cell>
          <cell r="E1665" t="str">
            <v>A</v>
          </cell>
          <cell r="F1665" t="str">
            <v>Foam</v>
          </cell>
          <cell r="G1665">
            <v>2</v>
          </cell>
          <cell r="H1665">
            <v>0.03</v>
          </cell>
          <cell r="I1665" t="str">
            <v>Buy</v>
          </cell>
        </row>
        <row r="1666">
          <cell r="A1666" t="str">
            <v>ASY-100011-03</v>
          </cell>
          <cell r="B1666">
            <v>1</v>
          </cell>
          <cell r="C1666" t="str">
            <v>GSK-000121-01</v>
          </cell>
          <cell r="D1666" t="str">
            <v>GASKET, DRIVER ENCLOSURE, 3M, 1 FT, TROV 2.0</v>
          </cell>
          <cell r="E1666" t="str">
            <v>B</v>
          </cell>
          <cell r="F1666" t="str">
            <v>Gasket</v>
          </cell>
          <cell r="G1666">
            <v>1</v>
          </cell>
          <cell r="H1666">
            <v>1.7</v>
          </cell>
          <cell r="I1666" t="str">
            <v>Buy</v>
          </cell>
        </row>
        <row r="1667">
          <cell r="A1667" t="str">
            <v>ASY-100011-03</v>
          </cell>
          <cell r="B1667">
            <v>1</v>
          </cell>
          <cell r="C1667" t="str">
            <v>GSK-000132-00</v>
          </cell>
          <cell r="D1667" t="str">
            <v>GASKET, TERTIARY LENS, 3M, 1 FT, L60, TROV 2.0</v>
          </cell>
          <cell r="E1667" t="str">
            <v>B</v>
          </cell>
          <cell r="F1667" t="str">
            <v>Gasket</v>
          </cell>
          <cell r="G1667">
            <v>1</v>
          </cell>
          <cell r="H1667">
            <v>1.96</v>
          </cell>
          <cell r="I1667" t="str">
            <v>Buy</v>
          </cell>
        </row>
        <row r="1668">
          <cell r="A1668" t="str">
            <v>ASY-100011-03</v>
          </cell>
          <cell r="B1668">
            <v>1</v>
          </cell>
          <cell r="C1668" t="str">
            <v>HSG-000490-03</v>
          </cell>
          <cell r="D1668" t="str">
            <v>HOUSING, TOP, 1 FT, L60, BLACK, TROV 2.0</v>
          </cell>
          <cell r="E1668" t="str">
            <v>E</v>
          </cell>
          <cell r="F1668" t="str">
            <v>Housing</v>
          </cell>
          <cell r="G1668">
            <v>1</v>
          </cell>
          <cell r="H1668">
            <v>4.37</v>
          </cell>
          <cell r="I1668" t="str">
            <v>Buy</v>
          </cell>
        </row>
        <row r="1669">
          <cell r="A1669" t="str">
            <v>ASY-100011-03</v>
          </cell>
          <cell r="B1669">
            <v>1</v>
          </cell>
          <cell r="C1669" t="str">
            <v>HSG-000492-03</v>
          </cell>
          <cell r="D1669" t="str">
            <v>HOUSING, BOTTOM, 1 FT, BLACK, TROV 2.0</v>
          </cell>
          <cell r="E1669" t="str">
            <v>F</v>
          </cell>
          <cell r="F1669" t="str">
            <v>Housing</v>
          </cell>
          <cell r="G1669">
            <v>1</v>
          </cell>
          <cell r="H1669">
            <v>3.22</v>
          </cell>
          <cell r="I1669" t="str">
            <v>Buy</v>
          </cell>
        </row>
        <row r="1670">
          <cell r="A1670" t="str">
            <v>ASY-100011-03</v>
          </cell>
          <cell r="B1670">
            <v>1</v>
          </cell>
          <cell r="C1670" t="str">
            <v>LBA-000003-00</v>
          </cell>
          <cell r="D1670" t="str">
            <v>Label: TROV 2 P1/P2, Model L45/L60</v>
          </cell>
          <cell r="E1670" t="str">
            <v>A</v>
          </cell>
          <cell r="F1670" t="str">
            <v>Label BOM</v>
          </cell>
          <cell r="G1670">
            <v>1</v>
          </cell>
          <cell r="H1670">
            <v>0</v>
          </cell>
          <cell r="I1670" t="str">
            <v>Make</v>
          </cell>
        </row>
        <row r="1671">
          <cell r="A1671" t="str">
            <v>ASY-100011-03</v>
          </cell>
          <cell r="B1671">
            <v>2</v>
          </cell>
          <cell r="C1671" t="str">
            <v>LBL-000243-00</v>
          </cell>
          <cell r="D1671" t="str">
            <v>Blank Product Label: Trov 2 P1/P2, Model L45/L60</v>
          </cell>
          <cell r="E1671" t="str">
            <v>A</v>
          </cell>
          <cell r="F1671" t="str">
            <v>Label</v>
          </cell>
          <cell r="G1671">
            <v>1</v>
          </cell>
          <cell r="H1671">
            <v>0.33</v>
          </cell>
          <cell r="I1671" t="str">
            <v>Buy</v>
          </cell>
        </row>
        <row r="1672">
          <cell r="A1672" t="str">
            <v>ASY-100011-03</v>
          </cell>
          <cell r="B1672">
            <v>1</v>
          </cell>
          <cell r="C1672" t="str">
            <v>PLG-000009-01</v>
          </cell>
          <cell r="D1672" t="str">
            <v>Porex Vent, Trov, L50 Exterior</v>
          </cell>
          <cell r="E1672" t="str">
            <v>B</v>
          </cell>
          <cell r="F1672" t="str">
            <v>Plug</v>
          </cell>
          <cell r="G1672">
            <v>1</v>
          </cell>
          <cell r="H1672">
            <v>0.17</v>
          </cell>
          <cell r="I1672" t="str">
            <v>Buy</v>
          </cell>
        </row>
        <row r="1673">
          <cell r="A1673" t="str">
            <v>ASY-100011-03</v>
          </cell>
          <cell r="B1673">
            <v>1</v>
          </cell>
          <cell r="C1673" t="str">
            <v>SCW-000156-00</v>
          </cell>
          <cell r="D1673" t="str">
            <v>SCREW, M3 x 0.5 X 8mm, PAND HEAD, PHILLIPS, STEEL</v>
          </cell>
          <cell r="E1673" t="str">
            <v>B</v>
          </cell>
          <cell r="F1673" t="str">
            <v>Screw</v>
          </cell>
          <cell r="G1673">
            <v>2</v>
          </cell>
          <cell r="H1673">
            <v>4.4400000000000002E-2</v>
          </cell>
          <cell r="I1673" t="str">
            <v>Buy</v>
          </cell>
        </row>
        <row r="1674">
          <cell r="A1674" t="str">
            <v>ASY-100011-03</v>
          </cell>
          <cell r="B1674">
            <v>1</v>
          </cell>
          <cell r="C1674" t="str">
            <v>SCW-000483-00</v>
          </cell>
          <cell r="D1674" t="str">
            <v>SCREW, PHILIPS FLAT HEAD, M2.5x0.45x5 , 18-8 SST</v>
          </cell>
          <cell r="E1674" t="str">
            <v>A</v>
          </cell>
          <cell r="F1674" t="str">
            <v>Screw</v>
          </cell>
          <cell r="G1674">
            <v>4</v>
          </cell>
          <cell r="H1674">
            <v>0.02</v>
          </cell>
          <cell r="I1674" t="str">
            <v>Buy</v>
          </cell>
        </row>
        <row r="1675">
          <cell r="A1675" t="str">
            <v>ASY-100011-03</v>
          </cell>
          <cell r="B1675">
            <v>1</v>
          </cell>
          <cell r="C1675" t="str">
            <v>SCW-000556-00</v>
          </cell>
          <cell r="D1675" t="str">
            <v>SCREW, HEX, SERRATED, #8-32, GROUNDING, TROV 2</v>
          </cell>
          <cell r="E1675" t="str">
            <v>A</v>
          </cell>
          <cell r="F1675" t="str">
            <v>Screw</v>
          </cell>
          <cell r="G1675">
            <v>1</v>
          </cell>
          <cell r="H1675">
            <v>0.04</v>
          </cell>
          <cell r="I1675" t="str">
            <v>Buy</v>
          </cell>
        </row>
        <row r="1676">
          <cell r="A1676" t="str">
            <v>ASY-100011-03</v>
          </cell>
          <cell r="B1676">
            <v>1</v>
          </cell>
          <cell r="C1676" t="str">
            <v>SCW-000574-00</v>
          </cell>
          <cell r="D1676" t="str">
            <v>SCREW, TORX HEAD, 1/4-28x1/2", LOW PROFILE, ALLOY STEEL</v>
          </cell>
          <cell r="E1676" t="str">
            <v>A</v>
          </cell>
          <cell r="F1676" t="str">
            <v>Screw</v>
          </cell>
          <cell r="G1676">
            <v>2</v>
          </cell>
          <cell r="H1676">
            <v>0.14000000000000001</v>
          </cell>
          <cell r="I1676" t="str">
            <v>Buy</v>
          </cell>
        </row>
        <row r="1677">
          <cell r="A1677" t="str">
            <v>ASY-100011-03</v>
          </cell>
          <cell r="B1677">
            <v>1</v>
          </cell>
          <cell r="C1677" t="str">
            <v>SHT-000042-00</v>
          </cell>
          <cell r="D1677" t="str">
            <v>INSULATION SHEET, MP/LP HBA, TROV 2</v>
          </cell>
          <cell r="E1677" t="str">
            <v>D</v>
          </cell>
          <cell r="F1677" t="str">
            <v>Sheet</v>
          </cell>
          <cell r="G1677">
            <v>1</v>
          </cell>
          <cell r="H1677">
            <v>0.16</v>
          </cell>
          <cell r="I1677" t="str">
            <v>Buy</v>
          </cell>
        </row>
        <row r="1678">
          <cell r="A1678" t="str">
            <v>ASY-100011-03</v>
          </cell>
          <cell r="B1678">
            <v>1</v>
          </cell>
          <cell r="C1678" t="str">
            <v>SPG-000023-00</v>
          </cell>
          <cell r="D1678" t="str">
            <v>SPRING, DISC, STACKED WAVE, TROV 2.0</v>
          </cell>
          <cell r="E1678" t="str">
            <v>A</v>
          </cell>
          <cell r="F1678" t="str">
            <v>Spring</v>
          </cell>
          <cell r="G1678">
            <v>2</v>
          </cell>
          <cell r="H1678">
            <v>1.74</v>
          </cell>
          <cell r="I1678" t="str">
            <v>Buy</v>
          </cell>
        </row>
        <row r="1679">
          <cell r="A1679" t="str">
            <v>ASY-100011-03</v>
          </cell>
          <cell r="B1679">
            <v>1</v>
          </cell>
          <cell r="C1679" t="str">
            <v>TAP-000031-00</v>
          </cell>
          <cell r="D1679" t="str">
            <v>3M Electrical Tape 92</v>
          </cell>
          <cell r="E1679" t="str">
            <v>A</v>
          </cell>
          <cell r="F1679" t="str">
            <v>Tape</v>
          </cell>
          <cell r="G1679">
            <v>120</v>
          </cell>
          <cell r="H1679">
            <v>1.4E-2</v>
          </cell>
          <cell r="I1679" t="str">
            <v>Buy</v>
          </cell>
        </row>
        <row r="1680">
          <cell r="A1680" t="str">
            <v>ASY-100011-03</v>
          </cell>
          <cell r="B1680">
            <v>1</v>
          </cell>
          <cell r="C1680" t="str">
            <v>TMP-000027-00</v>
          </cell>
          <cell r="D1680" t="str">
            <v>Thermal Pad, LED PCBA, 1 FT, TROV 2</v>
          </cell>
          <cell r="E1680" t="str">
            <v>B</v>
          </cell>
          <cell r="F1680" t="str">
            <v>Thermal Pad</v>
          </cell>
          <cell r="G1680">
            <v>1</v>
          </cell>
          <cell r="H1680">
            <v>0.72</v>
          </cell>
          <cell r="I1680" t="str">
            <v>Buy</v>
          </cell>
        </row>
        <row r="1681">
          <cell r="A1681" t="str">
            <v>ASY-100011-03</v>
          </cell>
          <cell r="B1681">
            <v>1</v>
          </cell>
          <cell r="C1681" t="str">
            <v>TMP-000029-00</v>
          </cell>
          <cell r="D1681" t="str">
            <v>Thermal Pad, HBA, TROV 2</v>
          </cell>
          <cell r="E1681" t="str">
            <v>B</v>
          </cell>
          <cell r="F1681" t="str">
            <v>Thermal Pad</v>
          </cell>
          <cell r="G1681">
            <v>2</v>
          </cell>
          <cell r="H1681">
            <v>0.14000000000000001</v>
          </cell>
          <cell r="I1681" t="str">
            <v>Buy</v>
          </cell>
        </row>
        <row r="1682">
          <cell r="A1682" t="str">
            <v>ASY-100011-03</v>
          </cell>
          <cell r="B1682">
            <v>1</v>
          </cell>
          <cell r="C1682" t="str">
            <v>TMP-000032-00</v>
          </cell>
          <cell r="D1682" t="str">
            <v>Thermal Pad, HBA, TROV 2</v>
          </cell>
          <cell r="E1682" t="str">
            <v>A</v>
          </cell>
          <cell r="F1682" t="str">
            <v>Thermal Pad</v>
          </cell>
          <cell r="G1682">
            <v>1</v>
          </cell>
          <cell r="H1682">
            <v>0.03</v>
          </cell>
          <cell r="I1682" t="str">
            <v>Buy</v>
          </cell>
        </row>
        <row r="1683">
          <cell r="A1683" t="str">
            <v>ASY-100011-04</v>
          </cell>
          <cell r="B1683">
            <v>0</v>
          </cell>
          <cell r="C1683" t="str">
            <v>ASY-100011-04</v>
          </cell>
          <cell r="D1683" t="str">
            <v>ASSY, MECHANICAL, L60, INDOOR, 1 FT, TROV2P2, DYNAMIC, WHITE</v>
          </cell>
          <cell r="E1683" t="str">
            <v>A</v>
          </cell>
          <cell r="F1683" t="str">
            <v>Sub assembly</v>
          </cell>
          <cell r="H1683">
            <v>0</v>
          </cell>
          <cell r="I1683" t="str">
            <v>Make</v>
          </cell>
        </row>
        <row r="1684">
          <cell r="A1684" t="str">
            <v>ASY-100011-04</v>
          </cell>
          <cell r="B1684">
            <v>1</v>
          </cell>
          <cell r="C1684" t="str">
            <v>ACB-000275-00</v>
          </cell>
          <cell r="D1684" t="str">
            <v>CABLE, CANBUS, SHORT, TROV 2</v>
          </cell>
          <cell r="E1684" t="str">
            <v>A</v>
          </cell>
          <cell r="F1684" t="str">
            <v>Cable</v>
          </cell>
          <cell r="G1684">
            <v>1</v>
          </cell>
          <cell r="H1684">
            <v>0.7</v>
          </cell>
          <cell r="I1684" t="str">
            <v>Buy</v>
          </cell>
        </row>
        <row r="1685">
          <cell r="A1685" t="str">
            <v>ASY-100011-04</v>
          </cell>
          <cell r="B1685">
            <v>1</v>
          </cell>
          <cell r="C1685" t="str">
            <v>ASY-100009-00</v>
          </cell>
          <cell r="D1685" t="str">
            <v>Cable Subassembly, Driver housing, 1ft, Trov 2</v>
          </cell>
          <cell r="E1685" t="str">
            <v>B</v>
          </cell>
          <cell r="F1685" t="str">
            <v>Sub assembly</v>
          </cell>
          <cell r="G1685">
            <v>1</v>
          </cell>
          <cell r="H1685">
            <v>0</v>
          </cell>
          <cell r="I1685" t="str">
            <v>Make</v>
          </cell>
        </row>
        <row r="1686">
          <cell r="A1686" t="str">
            <v>ASY-100011-04</v>
          </cell>
          <cell r="B1686">
            <v>2</v>
          </cell>
          <cell r="C1686" t="str">
            <v>ACB-000278-00</v>
          </cell>
          <cell r="D1686" t="str">
            <v>CABLE ASSY, INTRA-FIXTURE, 1FT, TROV 2.0</v>
          </cell>
          <cell r="E1686" t="str">
            <v>A</v>
          </cell>
          <cell r="F1686" t="str">
            <v>Cable Assembly</v>
          </cell>
          <cell r="G1686">
            <v>1</v>
          </cell>
          <cell r="H1686">
            <v>12.75</v>
          </cell>
          <cell r="I1686" t="str">
            <v>Buy</v>
          </cell>
        </row>
        <row r="1687">
          <cell r="A1687" t="str">
            <v>ASY-100011-04</v>
          </cell>
          <cell r="B1687">
            <v>3</v>
          </cell>
          <cell r="C1687" t="str">
            <v>ACB-000273-00</v>
          </cell>
          <cell r="D1687" t="str">
            <v>6 CONDUCTOR CABLE, 3X22AWG, 3X16AWG, AL MYLAR, TROV 2</v>
          </cell>
          <cell r="E1687" t="str">
            <v>A</v>
          </cell>
          <cell r="F1687" t="str">
            <v>Cable</v>
          </cell>
          <cell r="G1687">
            <v>1</v>
          </cell>
          <cell r="H1687">
            <v>0</v>
          </cell>
          <cell r="I1687" t="str">
            <v>N/A</v>
          </cell>
        </row>
        <row r="1688">
          <cell r="A1688" t="str">
            <v>ASY-100011-04</v>
          </cell>
          <cell r="B1688">
            <v>3</v>
          </cell>
          <cell r="C1688" t="str">
            <v>ACB-000274-01</v>
          </cell>
          <cell r="D1688" t="str">
            <v>CABLE ASSEMBLY, INTERNAL, DRIVER SIDE, 1FT, TROV 2</v>
          </cell>
          <cell r="E1688" t="str">
            <v>A</v>
          </cell>
          <cell r="F1688" t="str">
            <v>Cable Assembly</v>
          </cell>
          <cell r="G1688">
            <v>1</v>
          </cell>
          <cell r="H1688">
            <v>0</v>
          </cell>
          <cell r="I1688" t="str">
            <v>N/A</v>
          </cell>
        </row>
        <row r="1689">
          <cell r="A1689" t="str">
            <v>ASY-100011-04</v>
          </cell>
          <cell r="B1689">
            <v>3</v>
          </cell>
          <cell r="C1689" t="str">
            <v>CON-000259-00</v>
          </cell>
          <cell r="D1689" t="str">
            <v>CONNECTOR, MALE, 6 PIN, TROV 2</v>
          </cell>
          <cell r="E1689" t="str">
            <v>B</v>
          </cell>
          <cell r="F1689" t="str">
            <v>Connector</v>
          </cell>
          <cell r="G1689">
            <v>1</v>
          </cell>
          <cell r="H1689">
            <v>0</v>
          </cell>
          <cell r="I1689" t="str">
            <v>N/A</v>
          </cell>
        </row>
        <row r="1690">
          <cell r="A1690" t="str">
            <v>ASY-100011-04</v>
          </cell>
          <cell r="B1690">
            <v>3</v>
          </cell>
          <cell r="C1690" t="str">
            <v>CON-000260-00</v>
          </cell>
          <cell r="D1690" t="str">
            <v>CONNECTOR, FEMALE, 6 PIN, TROV 2</v>
          </cell>
          <cell r="E1690" t="str">
            <v>A</v>
          </cell>
          <cell r="F1690" t="str">
            <v>Connector</v>
          </cell>
          <cell r="G1690">
            <v>1</v>
          </cell>
          <cell r="H1690">
            <v>0</v>
          </cell>
          <cell r="I1690" t="str">
            <v>N/A</v>
          </cell>
        </row>
        <row r="1691">
          <cell r="A1691" t="str">
            <v>ASY-100011-04</v>
          </cell>
          <cell r="B1691">
            <v>3</v>
          </cell>
          <cell r="C1691" t="str">
            <v>ORG-000060-00</v>
          </cell>
          <cell r="D1691" t="str">
            <v>O-RING, CABLE, TROV 2</v>
          </cell>
          <cell r="E1691" t="str">
            <v>A</v>
          </cell>
          <cell r="F1691" t="str">
            <v>O-Ring</v>
          </cell>
          <cell r="G1691">
            <v>1</v>
          </cell>
          <cell r="H1691">
            <v>0</v>
          </cell>
          <cell r="I1691" t="str">
            <v>N/A</v>
          </cell>
        </row>
        <row r="1692">
          <cell r="A1692" t="str">
            <v>ASY-100011-04</v>
          </cell>
          <cell r="B1692">
            <v>3</v>
          </cell>
          <cell r="C1692" t="str">
            <v>SRF-000030-00</v>
          </cell>
          <cell r="D1692" t="str">
            <v>STRAIN RELIEF, CABLE, TROV 2</v>
          </cell>
          <cell r="E1692" t="str">
            <v>A</v>
          </cell>
          <cell r="F1692" t="str">
            <v>Strain Relief</v>
          </cell>
          <cell r="G1692">
            <v>1</v>
          </cell>
          <cell r="H1692">
            <v>0</v>
          </cell>
          <cell r="I1692" t="str">
            <v>N/A</v>
          </cell>
        </row>
        <row r="1693">
          <cell r="A1693" t="str">
            <v>ASY-100011-04</v>
          </cell>
          <cell r="B1693">
            <v>2</v>
          </cell>
          <cell r="C1693" t="str">
            <v>HSG-000488-01</v>
          </cell>
          <cell r="D1693" t="str">
            <v>HOUSING, PSU, 1 FT, MOLDED HOLE, TROV 2.0</v>
          </cell>
          <cell r="E1693" t="str">
            <v>B</v>
          </cell>
          <cell r="F1693" t="str">
            <v>Housing</v>
          </cell>
          <cell r="G1693">
            <v>1</v>
          </cell>
          <cell r="H1693">
            <v>1.17</v>
          </cell>
          <cell r="I1693" t="str">
            <v>Buy</v>
          </cell>
        </row>
        <row r="1694">
          <cell r="A1694" t="str">
            <v>ASY-100011-04</v>
          </cell>
          <cell r="B1694">
            <v>2</v>
          </cell>
          <cell r="C1694" t="str">
            <v>SCW-000577-00</v>
          </cell>
          <cell r="D1694" t="str">
            <v>SCREW, TORX HEAD, LOW PROFILE, M3X8mm, ALLOY STEEL</v>
          </cell>
          <cell r="E1694" t="str">
            <v>A</v>
          </cell>
          <cell r="F1694" t="str">
            <v>Screw</v>
          </cell>
          <cell r="G1694">
            <v>2</v>
          </cell>
          <cell r="H1694">
            <v>0.03</v>
          </cell>
          <cell r="I1694" t="str">
            <v>Buy</v>
          </cell>
        </row>
        <row r="1695">
          <cell r="A1695" t="str">
            <v>ASY-100011-04</v>
          </cell>
          <cell r="B1695">
            <v>1</v>
          </cell>
          <cell r="C1695" t="str">
            <v>BAS-000020-00</v>
          </cell>
          <cell r="D1695" t="str">
            <v>BASE, 1FT, TROV 2.0</v>
          </cell>
          <cell r="E1695" t="str">
            <v>E</v>
          </cell>
          <cell r="F1695" t="str">
            <v>Base</v>
          </cell>
          <cell r="G1695">
            <v>1</v>
          </cell>
          <cell r="H1695">
            <v>5.8</v>
          </cell>
          <cell r="I1695" t="str">
            <v>Buy</v>
          </cell>
        </row>
        <row r="1696">
          <cell r="A1696" t="str">
            <v>ASY-100011-04</v>
          </cell>
          <cell r="B1696">
            <v>1</v>
          </cell>
          <cell r="C1696" t="str">
            <v>BKT-000457-03</v>
          </cell>
          <cell r="D1696" t="str">
            <v>BRACKET, MOUNT, LEFT, BLACK, TROV 2.0</v>
          </cell>
          <cell r="E1696" t="str">
            <v>C</v>
          </cell>
          <cell r="F1696" t="str">
            <v>Bracket</v>
          </cell>
          <cell r="G1696">
            <v>1</v>
          </cell>
          <cell r="H1696">
            <v>0.99</v>
          </cell>
          <cell r="I1696" t="str">
            <v>Buy</v>
          </cell>
        </row>
        <row r="1697">
          <cell r="A1697" t="str">
            <v>ASY-100011-04</v>
          </cell>
          <cell r="B1697">
            <v>1</v>
          </cell>
          <cell r="C1697" t="str">
            <v>BKT-000458-03</v>
          </cell>
          <cell r="D1697" t="str">
            <v>BRACKET, MOUNT, RIGHT, BLACK, TROV 2.0</v>
          </cell>
          <cell r="E1697" t="str">
            <v>C</v>
          </cell>
          <cell r="F1697" t="str">
            <v>Bracket</v>
          </cell>
          <cell r="G1697">
            <v>1</v>
          </cell>
          <cell r="H1697">
            <v>0.99</v>
          </cell>
          <cell r="I1697" t="str">
            <v>Buy</v>
          </cell>
        </row>
        <row r="1698">
          <cell r="A1698" t="str">
            <v>ASY-100011-04</v>
          </cell>
          <cell r="B1698">
            <v>1</v>
          </cell>
          <cell r="C1698" t="str">
            <v>CVR-000789-04</v>
          </cell>
          <cell r="D1698" t="str">
            <v>END COVER, FC, WHITE, L60, TROV 2.0</v>
          </cell>
          <cell r="E1698" t="str">
            <v>D</v>
          </cell>
          <cell r="F1698" t="str">
            <v>Cover</v>
          </cell>
          <cell r="G1698">
            <v>1</v>
          </cell>
          <cell r="H1698">
            <v>0</v>
          </cell>
          <cell r="I1698" t="str">
            <v>Buy</v>
          </cell>
        </row>
        <row r="1699">
          <cell r="A1699" t="str">
            <v>ASY-100011-04</v>
          </cell>
          <cell r="B1699">
            <v>1</v>
          </cell>
          <cell r="C1699" t="str">
            <v>CVR-000893-04</v>
          </cell>
          <cell r="D1699" t="str">
            <v>END COVER, MC, WHITE, L60, TROV 2.0</v>
          </cell>
          <cell r="E1699" t="str">
            <v>B</v>
          </cell>
          <cell r="F1699" t="str">
            <v>Cover</v>
          </cell>
          <cell r="G1699">
            <v>1</v>
          </cell>
          <cell r="H1699">
            <v>1.0900000000000001</v>
          </cell>
          <cell r="I1699" t="str">
            <v>Buy</v>
          </cell>
        </row>
        <row r="1700">
          <cell r="A1700" t="str">
            <v>ASY-100011-04</v>
          </cell>
          <cell r="B1700">
            <v>1</v>
          </cell>
          <cell r="C1700" t="str">
            <v>FOM-000028-00</v>
          </cell>
          <cell r="D1700" t="str">
            <v>FOAM, LIGHTBLOCK, ENDCAP, L60, TROV2</v>
          </cell>
          <cell r="E1700" t="str">
            <v>A</v>
          </cell>
          <cell r="F1700" t="str">
            <v>Foam</v>
          </cell>
          <cell r="G1700">
            <v>2</v>
          </cell>
          <cell r="H1700">
            <v>0.03</v>
          </cell>
          <cell r="I1700" t="str">
            <v>Buy</v>
          </cell>
        </row>
        <row r="1701">
          <cell r="A1701" t="str">
            <v>ASY-100011-04</v>
          </cell>
          <cell r="B1701">
            <v>1</v>
          </cell>
          <cell r="C1701" t="str">
            <v>GSK-000121-01</v>
          </cell>
          <cell r="D1701" t="str">
            <v>GASKET, DRIVER ENCLOSURE, 3M, 1 FT, TROV 2.0</v>
          </cell>
          <cell r="E1701" t="str">
            <v>B</v>
          </cell>
          <cell r="F1701" t="str">
            <v>Gasket</v>
          </cell>
          <cell r="G1701">
            <v>1</v>
          </cell>
          <cell r="H1701">
            <v>1.7</v>
          </cell>
          <cell r="I1701" t="str">
            <v>Buy</v>
          </cell>
        </row>
        <row r="1702">
          <cell r="A1702" t="str">
            <v>ASY-100011-04</v>
          </cell>
          <cell r="B1702">
            <v>1</v>
          </cell>
          <cell r="C1702" t="str">
            <v>GSK-000132-00</v>
          </cell>
          <cell r="D1702" t="str">
            <v>GASKET, TERTIARY LENS, 3M, 1 FT, L60, TROV 2.0</v>
          </cell>
          <cell r="E1702" t="str">
            <v>B</v>
          </cell>
          <cell r="F1702" t="str">
            <v>Gasket</v>
          </cell>
          <cell r="G1702">
            <v>1</v>
          </cell>
          <cell r="H1702">
            <v>1.96</v>
          </cell>
          <cell r="I1702" t="str">
            <v>Buy</v>
          </cell>
        </row>
        <row r="1703">
          <cell r="A1703" t="str">
            <v>ASY-100011-04</v>
          </cell>
          <cell r="B1703">
            <v>1</v>
          </cell>
          <cell r="C1703" t="str">
            <v>HSG-000490-04</v>
          </cell>
          <cell r="D1703" t="str">
            <v>HOUSING, TOP, 1 FT, L60, WHITE, TROV 2.0</v>
          </cell>
          <cell r="E1703" t="str">
            <v>E</v>
          </cell>
          <cell r="F1703" t="str">
            <v>Housing</v>
          </cell>
          <cell r="G1703">
            <v>1</v>
          </cell>
          <cell r="H1703">
            <v>4.57</v>
          </cell>
          <cell r="I1703" t="str">
            <v>Buy</v>
          </cell>
        </row>
        <row r="1704">
          <cell r="A1704" t="str">
            <v>ASY-100011-04</v>
          </cell>
          <cell r="B1704">
            <v>1</v>
          </cell>
          <cell r="C1704" t="str">
            <v>HSG-000492-04</v>
          </cell>
          <cell r="D1704" t="str">
            <v>HOUSING, BOTTOM, 1 FT, WHITE, TROV 2.0</v>
          </cell>
          <cell r="E1704" t="str">
            <v>F</v>
          </cell>
          <cell r="F1704" t="str">
            <v>Housing</v>
          </cell>
          <cell r="G1704">
            <v>1</v>
          </cell>
          <cell r="H1704">
            <v>3.34</v>
          </cell>
          <cell r="I1704" t="str">
            <v>Buy</v>
          </cell>
        </row>
        <row r="1705">
          <cell r="A1705" t="str">
            <v>ASY-100011-04</v>
          </cell>
          <cell r="B1705">
            <v>1</v>
          </cell>
          <cell r="C1705" t="str">
            <v>LBA-000003-00</v>
          </cell>
          <cell r="D1705" t="str">
            <v>Label: TROV 2 P1/P2, Model L45/L60</v>
          </cell>
          <cell r="E1705" t="str">
            <v>A</v>
          </cell>
          <cell r="F1705" t="str">
            <v>Label BOM</v>
          </cell>
          <cell r="G1705">
            <v>1</v>
          </cell>
          <cell r="H1705">
            <v>0</v>
          </cell>
          <cell r="I1705" t="str">
            <v>Make</v>
          </cell>
        </row>
        <row r="1706">
          <cell r="A1706" t="str">
            <v>ASY-100011-04</v>
          </cell>
          <cell r="B1706">
            <v>2</v>
          </cell>
          <cell r="C1706" t="str">
            <v>LBL-000243-00</v>
          </cell>
          <cell r="D1706" t="str">
            <v>Blank Product Label: Trov 2 P1/P2, Model L45/L60</v>
          </cell>
          <cell r="E1706" t="str">
            <v>A</v>
          </cell>
          <cell r="F1706" t="str">
            <v>Label</v>
          </cell>
          <cell r="G1706">
            <v>1</v>
          </cell>
          <cell r="H1706">
            <v>0.33</v>
          </cell>
          <cell r="I1706" t="str">
            <v>Buy</v>
          </cell>
        </row>
        <row r="1707">
          <cell r="A1707" t="str">
            <v>ASY-100011-04</v>
          </cell>
          <cell r="B1707">
            <v>1</v>
          </cell>
          <cell r="C1707" t="str">
            <v>PLG-000009-01</v>
          </cell>
          <cell r="D1707" t="str">
            <v>Porex Vent, Trov, L50 Exterior</v>
          </cell>
          <cell r="E1707" t="str">
            <v>B</v>
          </cell>
          <cell r="F1707" t="str">
            <v>Plug</v>
          </cell>
          <cell r="G1707">
            <v>1</v>
          </cell>
          <cell r="H1707">
            <v>0.17</v>
          </cell>
          <cell r="I1707" t="str">
            <v>Buy</v>
          </cell>
        </row>
        <row r="1708">
          <cell r="A1708" t="str">
            <v>ASY-100011-04</v>
          </cell>
          <cell r="B1708">
            <v>1</v>
          </cell>
          <cell r="C1708" t="str">
            <v>SCW-000156-00</v>
          </cell>
          <cell r="D1708" t="str">
            <v>SCREW, M3 x 0.5 X 8mm, PAND HEAD, PHILLIPS, STEEL</v>
          </cell>
          <cell r="E1708" t="str">
            <v>B</v>
          </cell>
          <cell r="F1708" t="str">
            <v>Screw</v>
          </cell>
          <cell r="G1708">
            <v>2</v>
          </cell>
          <cell r="H1708">
            <v>4.4400000000000002E-2</v>
          </cell>
          <cell r="I1708" t="str">
            <v>Buy</v>
          </cell>
        </row>
        <row r="1709">
          <cell r="A1709" t="str">
            <v>ASY-100011-04</v>
          </cell>
          <cell r="B1709">
            <v>1</v>
          </cell>
          <cell r="C1709" t="str">
            <v>SCW-000483-00</v>
          </cell>
          <cell r="D1709" t="str">
            <v>SCREW, PHILIPS FLAT HEAD, M2.5x0.45x5 , 18-8 SST</v>
          </cell>
          <cell r="E1709" t="str">
            <v>A</v>
          </cell>
          <cell r="F1709" t="str">
            <v>Screw</v>
          </cell>
          <cell r="G1709">
            <v>4</v>
          </cell>
          <cell r="H1709">
            <v>0.02</v>
          </cell>
          <cell r="I1709" t="str">
            <v>Buy</v>
          </cell>
        </row>
        <row r="1710">
          <cell r="A1710" t="str">
            <v>ASY-100011-04</v>
          </cell>
          <cell r="B1710">
            <v>1</v>
          </cell>
          <cell r="C1710" t="str">
            <v>SCW-000556-00</v>
          </cell>
          <cell r="D1710" t="str">
            <v>SCREW, HEX, SERRATED, #8-32, GROUNDING, TROV 2</v>
          </cell>
          <cell r="E1710" t="str">
            <v>A</v>
          </cell>
          <cell r="F1710" t="str">
            <v>Screw</v>
          </cell>
          <cell r="G1710">
            <v>1</v>
          </cell>
          <cell r="H1710">
            <v>0.04</v>
          </cell>
          <cell r="I1710" t="str">
            <v>Buy</v>
          </cell>
        </row>
        <row r="1711">
          <cell r="A1711" t="str">
            <v>ASY-100011-04</v>
          </cell>
          <cell r="B1711">
            <v>1</v>
          </cell>
          <cell r="C1711" t="str">
            <v>SCW-000574-00</v>
          </cell>
          <cell r="D1711" t="str">
            <v>SCREW, TORX HEAD, 1/4-28x1/2", LOW PROFILE, ALLOY STEEL</v>
          </cell>
          <cell r="E1711" t="str">
            <v>A</v>
          </cell>
          <cell r="F1711" t="str">
            <v>Screw</v>
          </cell>
          <cell r="G1711">
            <v>2</v>
          </cell>
          <cell r="H1711">
            <v>0.14000000000000001</v>
          </cell>
          <cell r="I1711" t="str">
            <v>Buy</v>
          </cell>
        </row>
        <row r="1712">
          <cell r="A1712" t="str">
            <v>ASY-100011-04</v>
          </cell>
          <cell r="B1712">
            <v>1</v>
          </cell>
          <cell r="C1712" t="str">
            <v>SHT-000042-00</v>
          </cell>
          <cell r="D1712" t="str">
            <v>INSULATION SHEET, MP/LP HBA, TROV 2</v>
          </cell>
          <cell r="E1712" t="str">
            <v>D</v>
          </cell>
          <cell r="F1712" t="str">
            <v>Sheet</v>
          </cell>
          <cell r="G1712">
            <v>1</v>
          </cell>
          <cell r="H1712">
            <v>0.16</v>
          </cell>
          <cell r="I1712" t="str">
            <v>Buy</v>
          </cell>
        </row>
        <row r="1713">
          <cell r="A1713" t="str">
            <v>ASY-100011-04</v>
          </cell>
          <cell r="B1713">
            <v>1</v>
          </cell>
          <cell r="C1713" t="str">
            <v>SPG-000023-00</v>
          </cell>
          <cell r="D1713" t="str">
            <v>SPRING, DISC, STACKED WAVE, TROV 2.0</v>
          </cell>
          <cell r="E1713" t="str">
            <v>A</v>
          </cell>
          <cell r="F1713" t="str">
            <v>Spring</v>
          </cell>
          <cell r="G1713">
            <v>2</v>
          </cell>
          <cell r="H1713">
            <v>1.74</v>
          </cell>
          <cell r="I1713" t="str">
            <v>Buy</v>
          </cell>
        </row>
        <row r="1714">
          <cell r="A1714" t="str">
            <v>ASY-100011-04</v>
          </cell>
          <cell r="B1714">
            <v>1</v>
          </cell>
          <cell r="C1714" t="str">
            <v>TAP-000031-00</v>
          </cell>
          <cell r="D1714" t="str">
            <v>3M Electrical Tape 92</v>
          </cell>
          <cell r="E1714" t="str">
            <v>A</v>
          </cell>
          <cell r="F1714" t="str">
            <v>Tape</v>
          </cell>
          <cell r="G1714">
            <v>120</v>
          </cell>
          <cell r="H1714">
            <v>1.4E-2</v>
          </cell>
          <cell r="I1714" t="str">
            <v>Buy</v>
          </cell>
        </row>
        <row r="1715">
          <cell r="A1715" t="str">
            <v>ASY-100011-04</v>
          </cell>
          <cell r="B1715">
            <v>1</v>
          </cell>
          <cell r="C1715" t="str">
            <v>TMP-000027-00</v>
          </cell>
          <cell r="D1715" t="str">
            <v>Thermal Pad, LED PCBA, 1 FT, TROV 2</v>
          </cell>
          <cell r="E1715" t="str">
            <v>B</v>
          </cell>
          <cell r="F1715" t="str">
            <v>Thermal Pad</v>
          </cell>
          <cell r="G1715">
            <v>1</v>
          </cell>
          <cell r="H1715">
            <v>0.72</v>
          </cell>
          <cell r="I1715" t="str">
            <v>Buy</v>
          </cell>
        </row>
        <row r="1716">
          <cell r="A1716" t="str">
            <v>ASY-100011-04</v>
          </cell>
          <cell r="B1716">
            <v>1</v>
          </cell>
          <cell r="C1716" t="str">
            <v>TMP-000029-00</v>
          </cell>
          <cell r="D1716" t="str">
            <v>Thermal Pad, HBA, TROV 2</v>
          </cell>
          <cell r="E1716" t="str">
            <v>B</v>
          </cell>
          <cell r="F1716" t="str">
            <v>Thermal Pad</v>
          </cell>
          <cell r="G1716">
            <v>2</v>
          </cell>
          <cell r="H1716">
            <v>0.14000000000000001</v>
          </cell>
          <cell r="I1716" t="str">
            <v>Buy</v>
          </cell>
        </row>
        <row r="1717">
          <cell r="A1717" t="str">
            <v>ASY-100011-04</v>
          </cell>
          <cell r="B1717">
            <v>1</v>
          </cell>
          <cell r="C1717" t="str">
            <v>TMP-000032-00</v>
          </cell>
          <cell r="D1717" t="str">
            <v>Thermal Pad, HBA, TROV 2</v>
          </cell>
          <cell r="E1717" t="str">
            <v>A</v>
          </cell>
          <cell r="F1717" t="str">
            <v>Thermal Pad</v>
          </cell>
          <cell r="G1717">
            <v>1</v>
          </cell>
          <cell r="H1717">
            <v>0.03</v>
          </cell>
          <cell r="I1717" t="str">
            <v>Buy</v>
          </cell>
        </row>
        <row r="1718">
          <cell r="A1718" t="str">
            <v>ASY-100011-0C</v>
          </cell>
          <cell r="B1718">
            <v>0</v>
          </cell>
          <cell r="C1718" t="str">
            <v>ASY-100011-0C</v>
          </cell>
          <cell r="D1718" t="str">
            <v>ASSY, MECHANICAL, L60, INDOOR, 1 FT, TROV2P2, DYNAMIC, CUSTOM</v>
          </cell>
          <cell r="E1718" t="str">
            <v>A</v>
          </cell>
          <cell r="F1718" t="str">
            <v>Sub assembly</v>
          </cell>
          <cell r="H1718">
            <v>0</v>
          </cell>
          <cell r="I1718" t="str">
            <v>Make</v>
          </cell>
        </row>
        <row r="1719">
          <cell r="A1719" t="str">
            <v>ASY-100011-0C</v>
          </cell>
          <cell r="B1719">
            <v>1</v>
          </cell>
          <cell r="C1719" t="str">
            <v>ACB-000275-00</v>
          </cell>
          <cell r="D1719" t="str">
            <v>CABLE, CANBUS, SHORT, TROV 2</v>
          </cell>
          <cell r="E1719" t="str">
            <v>A</v>
          </cell>
          <cell r="F1719" t="str">
            <v>Cable</v>
          </cell>
          <cell r="G1719">
            <v>1</v>
          </cell>
          <cell r="H1719">
            <v>0.7</v>
          </cell>
          <cell r="I1719" t="str">
            <v>Buy</v>
          </cell>
        </row>
        <row r="1720">
          <cell r="A1720" t="str">
            <v>ASY-100011-0C</v>
          </cell>
          <cell r="B1720">
            <v>1</v>
          </cell>
          <cell r="C1720" t="str">
            <v>ASY-100009-00</v>
          </cell>
          <cell r="D1720" t="str">
            <v>Cable Subassembly, Driver housing, 1ft, Trov 2</v>
          </cell>
          <cell r="E1720" t="str">
            <v>B</v>
          </cell>
          <cell r="F1720" t="str">
            <v>Sub assembly</v>
          </cell>
          <cell r="G1720">
            <v>1</v>
          </cell>
          <cell r="H1720">
            <v>0</v>
          </cell>
          <cell r="I1720" t="str">
            <v>Make</v>
          </cell>
        </row>
        <row r="1721">
          <cell r="A1721" t="str">
            <v>ASY-100011-0C</v>
          </cell>
          <cell r="B1721">
            <v>2</v>
          </cell>
          <cell r="C1721" t="str">
            <v>ACB-000278-00</v>
          </cell>
          <cell r="D1721" t="str">
            <v>CABLE ASSY, INTRA-FIXTURE, 1FT, TROV 2.0</v>
          </cell>
          <cell r="E1721" t="str">
            <v>A</v>
          </cell>
          <cell r="F1721" t="str">
            <v>Cable Assembly</v>
          </cell>
          <cell r="G1721">
            <v>1</v>
          </cell>
          <cell r="H1721">
            <v>12.75</v>
          </cell>
          <cell r="I1721" t="str">
            <v>Buy</v>
          </cell>
        </row>
        <row r="1722">
          <cell r="A1722" t="str">
            <v>ASY-100011-0C</v>
          </cell>
          <cell r="B1722">
            <v>3</v>
          </cell>
          <cell r="C1722" t="str">
            <v>ACB-000273-00</v>
          </cell>
          <cell r="D1722" t="str">
            <v>6 CONDUCTOR CABLE, 3X22AWG, 3X16AWG, AL MYLAR, TROV 2</v>
          </cell>
          <cell r="E1722" t="str">
            <v>A</v>
          </cell>
          <cell r="F1722" t="str">
            <v>Cable</v>
          </cell>
          <cell r="G1722">
            <v>1</v>
          </cell>
          <cell r="H1722">
            <v>0</v>
          </cell>
          <cell r="I1722" t="str">
            <v>N/A</v>
          </cell>
        </row>
        <row r="1723">
          <cell r="A1723" t="str">
            <v>ASY-100011-0C</v>
          </cell>
          <cell r="B1723">
            <v>3</v>
          </cell>
          <cell r="C1723" t="str">
            <v>ACB-000274-01</v>
          </cell>
          <cell r="D1723" t="str">
            <v>CABLE ASSEMBLY, INTERNAL, DRIVER SIDE, 1FT, TROV 2</v>
          </cell>
          <cell r="E1723" t="str">
            <v>A</v>
          </cell>
          <cell r="F1723" t="str">
            <v>Cable Assembly</v>
          </cell>
          <cell r="G1723">
            <v>1</v>
          </cell>
          <cell r="H1723">
            <v>0</v>
          </cell>
          <cell r="I1723" t="str">
            <v>N/A</v>
          </cell>
        </row>
        <row r="1724">
          <cell r="A1724" t="str">
            <v>ASY-100011-0C</v>
          </cell>
          <cell r="B1724">
            <v>3</v>
          </cell>
          <cell r="C1724" t="str">
            <v>CON-000259-00</v>
          </cell>
          <cell r="D1724" t="str">
            <v>CONNECTOR, MALE, 6 PIN, TROV 2</v>
          </cell>
          <cell r="E1724" t="str">
            <v>B</v>
          </cell>
          <cell r="F1724" t="str">
            <v>Connector</v>
          </cell>
          <cell r="G1724">
            <v>1</v>
          </cell>
          <cell r="H1724">
            <v>0</v>
          </cell>
          <cell r="I1724" t="str">
            <v>N/A</v>
          </cell>
        </row>
        <row r="1725">
          <cell r="A1725" t="str">
            <v>ASY-100011-0C</v>
          </cell>
          <cell r="B1725">
            <v>3</v>
          </cell>
          <cell r="C1725" t="str">
            <v>CON-000260-00</v>
          </cell>
          <cell r="D1725" t="str">
            <v>CONNECTOR, FEMALE, 6 PIN, TROV 2</v>
          </cell>
          <cell r="E1725" t="str">
            <v>A</v>
          </cell>
          <cell r="F1725" t="str">
            <v>Connector</v>
          </cell>
          <cell r="G1725">
            <v>1</v>
          </cell>
          <cell r="H1725">
            <v>0</v>
          </cell>
          <cell r="I1725" t="str">
            <v>N/A</v>
          </cell>
        </row>
        <row r="1726">
          <cell r="A1726" t="str">
            <v>ASY-100011-0C</v>
          </cell>
          <cell r="B1726">
            <v>3</v>
          </cell>
          <cell r="C1726" t="str">
            <v>ORG-000060-00</v>
          </cell>
          <cell r="D1726" t="str">
            <v>O-RING, CABLE, TROV 2</v>
          </cell>
          <cell r="E1726" t="str">
            <v>A</v>
          </cell>
          <cell r="F1726" t="str">
            <v>O-Ring</v>
          </cell>
          <cell r="G1726">
            <v>1</v>
          </cell>
          <cell r="H1726">
            <v>0</v>
          </cell>
          <cell r="I1726" t="str">
            <v>N/A</v>
          </cell>
        </row>
        <row r="1727">
          <cell r="A1727" t="str">
            <v>ASY-100011-0C</v>
          </cell>
          <cell r="B1727">
            <v>3</v>
          </cell>
          <cell r="C1727" t="str">
            <v>SRF-000030-00</v>
          </cell>
          <cell r="D1727" t="str">
            <v>STRAIN RELIEF, CABLE, TROV 2</v>
          </cell>
          <cell r="E1727" t="str">
            <v>A</v>
          </cell>
          <cell r="F1727" t="str">
            <v>Strain Relief</v>
          </cell>
          <cell r="G1727">
            <v>1</v>
          </cell>
          <cell r="H1727">
            <v>0</v>
          </cell>
          <cell r="I1727" t="str">
            <v>N/A</v>
          </cell>
        </row>
        <row r="1728">
          <cell r="A1728" t="str">
            <v>ASY-100011-0C</v>
          </cell>
          <cell r="B1728">
            <v>2</v>
          </cell>
          <cell r="C1728" t="str">
            <v>HSG-000488-01</v>
          </cell>
          <cell r="D1728" t="str">
            <v>HOUSING, PSU, 1 FT, MOLDED HOLE, TROV 2.0</v>
          </cell>
          <cell r="E1728" t="str">
            <v>B</v>
          </cell>
          <cell r="F1728" t="str">
            <v>Housing</v>
          </cell>
          <cell r="G1728">
            <v>1</v>
          </cell>
          <cell r="H1728">
            <v>1.17</v>
          </cell>
          <cell r="I1728" t="str">
            <v>Buy</v>
          </cell>
        </row>
        <row r="1729">
          <cell r="A1729" t="str">
            <v>ASY-100011-0C</v>
          </cell>
          <cell r="B1729">
            <v>2</v>
          </cell>
          <cell r="C1729" t="str">
            <v>SCW-000577-00</v>
          </cell>
          <cell r="D1729" t="str">
            <v>SCREW, TORX HEAD, LOW PROFILE, M3X8mm, ALLOY STEEL</v>
          </cell>
          <cell r="E1729" t="str">
            <v>A</v>
          </cell>
          <cell r="F1729" t="str">
            <v>Screw</v>
          </cell>
          <cell r="G1729">
            <v>2</v>
          </cell>
          <cell r="H1729">
            <v>0.03</v>
          </cell>
          <cell r="I1729" t="str">
            <v>Buy</v>
          </cell>
        </row>
        <row r="1730">
          <cell r="A1730" t="str">
            <v>ASY-100011-0C</v>
          </cell>
          <cell r="B1730">
            <v>1</v>
          </cell>
          <cell r="C1730" t="str">
            <v>BAS-000020-00</v>
          </cell>
          <cell r="D1730" t="str">
            <v>BASE, 1FT, TROV 2.0</v>
          </cell>
          <cell r="E1730" t="str">
            <v>E</v>
          </cell>
          <cell r="F1730" t="str">
            <v>Base</v>
          </cell>
          <cell r="G1730">
            <v>1</v>
          </cell>
          <cell r="H1730">
            <v>5.8</v>
          </cell>
          <cell r="I1730" t="str">
            <v>Buy</v>
          </cell>
        </row>
        <row r="1731">
          <cell r="A1731" t="str">
            <v>ASY-100011-0C</v>
          </cell>
          <cell r="B1731">
            <v>1</v>
          </cell>
          <cell r="C1731" t="str">
            <v>BKT-000457-03</v>
          </cell>
          <cell r="D1731" t="str">
            <v>BRACKET, MOUNT, LEFT, BLACK, TROV 2.0</v>
          </cell>
          <cell r="E1731" t="str">
            <v>C</v>
          </cell>
          <cell r="F1731" t="str">
            <v>Bracket</v>
          </cell>
          <cell r="G1731">
            <v>1</v>
          </cell>
          <cell r="H1731">
            <v>0.99</v>
          </cell>
          <cell r="I1731" t="str">
            <v>Buy</v>
          </cell>
        </row>
        <row r="1732">
          <cell r="A1732" t="str">
            <v>ASY-100011-0C</v>
          </cell>
          <cell r="B1732">
            <v>1</v>
          </cell>
          <cell r="C1732" t="str">
            <v>BKT-000458-03</v>
          </cell>
          <cell r="D1732" t="str">
            <v>BRACKET, MOUNT, RIGHT, BLACK, TROV 2.0</v>
          </cell>
          <cell r="E1732" t="str">
            <v>C</v>
          </cell>
          <cell r="F1732" t="str">
            <v>Bracket</v>
          </cell>
          <cell r="G1732">
            <v>1</v>
          </cell>
          <cell r="H1732">
            <v>0.99</v>
          </cell>
          <cell r="I1732" t="str">
            <v>Buy</v>
          </cell>
        </row>
        <row r="1733">
          <cell r="A1733" t="str">
            <v>ASY-100011-0C</v>
          </cell>
          <cell r="B1733">
            <v>1</v>
          </cell>
          <cell r="C1733" t="str">
            <v>CVR-000789-0C</v>
          </cell>
          <cell r="D1733" t="str">
            <v>END COVER, FC, CUSTOM FINISH, L60, TROV 2.0</v>
          </cell>
          <cell r="E1733" t="str">
            <v>E</v>
          </cell>
          <cell r="F1733" t="str">
            <v>Cover</v>
          </cell>
          <cell r="G1733">
            <v>1</v>
          </cell>
          <cell r="H1733">
            <v>0.01</v>
          </cell>
          <cell r="I1733" t="str">
            <v>Buy</v>
          </cell>
        </row>
        <row r="1734">
          <cell r="A1734" t="str">
            <v>ASY-100011-0C</v>
          </cell>
          <cell r="B1734">
            <v>1</v>
          </cell>
          <cell r="C1734" t="str">
            <v>CVR-000893-0C</v>
          </cell>
          <cell r="D1734" t="str">
            <v>END COVER, MC, CUSTOM FINISH, L60, TROV 2.0</v>
          </cell>
          <cell r="E1734" t="str">
            <v>C</v>
          </cell>
          <cell r="F1734" t="str">
            <v>Cover</v>
          </cell>
          <cell r="G1734">
            <v>1</v>
          </cell>
          <cell r="H1734">
            <v>0</v>
          </cell>
          <cell r="I1734" t="str">
            <v>Buy</v>
          </cell>
        </row>
        <row r="1735">
          <cell r="A1735" t="str">
            <v>ASY-100011-0C</v>
          </cell>
          <cell r="B1735">
            <v>1</v>
          </cell>
          <cell r="C1735" t="str">
            <v>FOM-000028-00</v>
          </cell>
          <cell r="D1735" t="str">
            <v>FOAM, LIGHTBLOCK, ENDCAP, L60, TROV2</v>
          </cell>
          <cell r="E1735" t="str">
            <v>A</v>
          </cell>
          <cell r="F1735" t="str">
            <v>Foam</v>
          </cell>
          <cell r="G1735">
            <v>2</v>
          </cell>
          <cell r="H1735">
            <v>0.03</v>
          </cell>
          <cell r="I1735" t="str">
            <v>Buy</v>
          </cell>
        </row>
        <row r="1736">
          <cell r="A1736" t="str">
            <v>ASY-100011-0C</v>
          </cell>
          <cell r="B1736">
            <v>1</v>
          </cell>
          <cell r="C1736" t="str">
            <v>GSK-000121-01</v>
          </cell>
          <cell r="D1736" t="str">
            <v>GASKET, DRIVER ENCLOSURE, 3M, 1 FT, TROV 2.0</v>
          </cell>
          <cell r="E1736" t="str">
            <v>B</v>
          </cell>
          <cell r="F1736" t="str">
            <v>Gasket</v>
          </cell>
          <cell r="G1736">
            <v>1</v>
          </cell>
          <cell r="H1736">
            <v>1.7</v>
          </cell>
          <cell r="I1736" t="str">
            <v>Buy</v>
          </cell>
        </row>
        <row r="1737">
          <cell r="A1737" t="str">
            <v>ASY-100011-0C</v>
          </cell>
          <cell r="B1737">
            <v>1</v>
          </cell>
          <cell r="C1737" t="str">
            <v>GSK-000132-00</v>
          </cell>
          <cell r="D1737" t="str">
            <v>GASKET, TERTIARY LENS, 3M, 1 FT, L60, TROV 2.0</v>
          </cell>
          <cell r="E1737" t="str">
            <v>B</v>
          </cell>
          <cell r="F1737" t="str">
            <v>Gasket</v>
          </cell>
          <cell r="G1737">
            <v>1</v>
          </cell>
          <cell r="H1737">
            <v>1.96</v>
          </cell>
          <cell r="I1737" t="str">
            <v>Buy</v>
          </cell>
        </row>
        <row r="1738">
          <cell r="A1738" t="str">
            <v>ASY-100011-0C</v>
          </cell>
          <cell r="B1738">
            <v>1</v>
          </cell>
          <cell r="C1738" t="str">
            <v>HSG-000490-0C</v>
          </cell>
          <cell r="D1738" t="str">
            <v>HOUSING, TOP, 1 FT, L60, CUSTOM FINISH, TROV 2.0</v>
          </cell>
          <cell r="E1738" t="str">
            <v>E</v>
          </cell>
          <cell r="F1738" t="str">
            <v>Housing</v>
          </cell>
          <cell r="G1738">
            <v>1</v>
          </cell>
          <cell r="H1738">
            <v>0</v>
          </cell>
          <cell r="I1738" t="str">
            <v>Buy</v>
          </cell>
        </row>
        <row r="1739">
          <cell r="A1739" t="str">
            <v>ASY-100011-0C</v>
          </cell>
          <cell r="B1739">
            <v>1</v>
          </cell>
          <cell r="C1739" t="str">
            <v>HSG-000492-0C</v>
          </cell>
          <cell r="D1739" t="str">
            <v>HOUSING, BOTTOM, 1 FT, CUSTOM FINISH, TROV 2.0</v>
          </cell>
          <cell r="E1739" t="str">
            <v>F</v>
          </cell>
          <cell r="F1739" t="str">
            <v>Housing</v>
          </cell>
          <cell r="G1739">
            <v>1</v>
          </cell>
          <cell r="H1739">
            <v>3.34</v>
          </cell>
          <cell r="I1739" t="str">
            <v>Buy</v>
          </cell>
        </row>
        <row r="1740">
          <cell r="A1740" t="str">
            <v>ASY-100011-0C</v>
          </cell>
          <cell r="B1740">
            <v>1</v>
          </cell>
          <cell r="C1740" t="str">
            <v>LBA-000003-00</v>
          </cell>
          <cell r="D1740" t="str">
            <v>Label: TROV 2 P1/P2, Model L45/L60</v>
          </cell>
          <cell r="E1740" t="str">
            <v>A</v>
          </cell>
          <cell r="F1740" t="str">
            <v>Label BOM</v>
          </cell>
          <cell r="G1740">
            <v>1</v>
          </cell>
          <cell r="H1740">
            <v>0</v>
          </cell>
          <cell r="I1740" t="str">
            <v>Make</v>
          </cell>
        </row>
        <row r="1741">
          <cell r="A1741" t="str">
            <v>ASY-100011-0C</v>
          </cell>
          <cell r="B1741">
            <v>2</v>
          </cell>
          <cell r="C1741" t="str">
            <v>LBL-000243-00</v>
          </cell>
          <cell r="D1741" t="str">
            <v>Blank Product Label: Trov 2 P1/P2, Model L45/L60</v>
          </cell>
          <cell r="E1741" t="str">
            <v>A</v>
          </cell>
          <cell r="F1741" t="str">
            <v>Label</v>
          </cell>
          <cell r="G1741">
            <v>1</v>
          </cell>
          <cell r="H1741">
            <v>0.33</v>
          </cell>
          <cell r="I1741" t="str">
            <v>Buy</v>
          </cell>
        </row>
        <row r="1742">
          <cell r="A1742" t="str">
            <v>ASY-100011-0C</v>
          </cell>
          <cell r="B1742">
            <v>1</v>
          </cell>
          <cell r="C1742" t="str">
            <v>PLG-000009-01</v>
          </cell>
          <cell r="D1742" t="str">
            <v>Porex Vent, Trov, L50 Exterior</v>
          </cell>
          <cell r="E1742" t="str">
            <v>B</v>
          </cell>
          <cell r="F1742" t="str">
            <v>Plug</v>
          </cell>
          <cell r="G1742">
            <v>1</v>
          </cell>
          <cell r="H1742">
            <v>0.17</v>
          </cell>
          <cell r="I1742" t="str">
            <v>Buy</v>
          </cell>
        </row>
        <row r="1743">
          <cell r="A1743" t="str">
            <v>ASY-100011-0C</v>
          </cell>
          <cell r="B1743">
            <v>1</v>
          </cell>
          <cell r="C1743" t="str">
            <v>SCW-000156-00</v>
          </cell>
          <cell r="D1743" t="str">
            <v>SCREW, M3 x 0.5 X 8mm, PAND HEAD, PHILLIPS, STEEL</v>
          </cell>
          <cell r="E1743" t="str">
            <v>B</v>
          </cell>
          <cell r="F1743" t="str">
            <v>Screw</v>
          </cell>
          <cell r="G1743">
            <v>2</v>
          </cell>
          <cell r="H1743">
            <v>4.4400000000000002E-2</v>
          </cell>
          <cell r="I1743" t="str">
            <v>Buy</v>
          </cell>
        </row>
        <row r="1744">
          <cell r="A1744" t="str">
            <v>ASY-100011-0C</v>
          </cell>
          <cell r="B1744">
            <v>1</v>
          </cell>
          <cell r="C1744" t="str">
            <v>SCW-000483-00</v>
          </cell>
          <cell r="D1744" t="str">
            <v>SCREW, PHILIPS FLAT HEAD, M2.5x0.45x5 , 18-8 SST</v>
          </cell>
          <cell r="E1744" t="str">
            <v>A</v>
          </cell>
          <cell r="F1744" t="str">
            <v>Screw</v>
          </cell>
          <cell r="G1744">
            <v>4</v>
          </cell>
          <cell r="H1744">
            <v>0.02</v>
          </cell>
          <cell r="I1744" t="str">
            <v>Buy</v>
          </cell>
        </row>
        <row r="1745">
          <cell r="A1745" t="str">
            <v>ASY-100011-0C</v>
          </cell>
          <cell r="B1745">
            <v>1</v>
          </cell>
          <cell r="C1745" t="str">
            <v>SCW-000556-00</v>
          </cell>
          <cell r="D1745" t="str">
            <v>SCREW, HEX, SERRATED, #8-32, GROUNDING, TROV 2</v>
          </cell>
          <cell r="E1745" t="str">
            <v>A</v>
          </cell>
          <cell r="F1745" t="str">
            <v>Screw</v>
          </cell>
          <cell r="G1745">
            <v>1</v>
          </cell>
          <cell r="H1745">
            <v>0.04</v>
          </cell>
          <cell r="I1745" t="str">
            <v>Buy</v>
          </cell>
        </row>
        <row r="1746">
          <cell r="A1746" t="str">
            <v>ASY-100011-0C</v>
          </cell>
          <cell r="B1746">
            <v>1</v>
          </cell>
          <cell r="C1746" t="str">
            <v>SCW-000574-00</v>
          </cell>
          <cell r="D1746" t="str">
            <v>SCREW, TORX HEAD, 1/4-28x1/2", LOW PROFILE, ALLOY STEEL</v>
          </cell>
          <cell r="E1746" t="str">
            <v>A</v>
          </cell>
          <cell r="F1746" t="str">
            <v>Screw</v>
          </cell>
          <cell r="G1746">
            <v>2</v>
          </cell>
          <cell r="H1746">
            <v>0.14000000000000001</v>
          </cell>
          <cell r="I1746" t="str">
            <v>Buy</v>
          </cell>
        </row>
        <row r="1747">
          <cell r="A1747" t="str">
            <v>ASY-100011-0C</v>
          </cell>
          <cell r="B1747">
            <v>1</v>
          </cell>
          <cell r="C1747" t="str">
            <v>SHT-000042-00</v>
          </cell>
          <cell r="D1747" t="str">
            <v>INSULATION SHEET, MP/LP HBA, TROV 2</v>
          </cell>
          <cell r="E1747" t="str">
            <v>D</v>
          </cell>
          <cell r="F1747" t="str">
            <v>Sheet</v>
          </cell>
          <cell r="G1747">
            <v>1</v>
          </cell>
          <cell r="H1747">
            <v>0.16</v>
          </cell>
          <cell r="I1747" t="str">
            <v>Buy</v>
          </cell>
        </row>
        <row r="1748">
          <cell r="A1748" t="str">
            <v>ASY-100011-0C</v>
          </cell>
          <cell r="B1748">
            <v>1</v>
          </cell>
          <cell r="C1748" t="str">
            <v>SPG-000023-00</v>
          </cell>
          <cell r="D1748" t="str">
            <v>SPRING, DISC, STACKED WAVE, TROV 2.0</v>
          </cell>
          <cell r="E1748" t="str">
            <v>A</v>
          </cell>
          <cell r="F1748" t="str">
            <v>Spring</v>
          </cell>
          <cell r="G1748">
            <v>2</v>
          </cell>
          <cell r="H1748">
            <v>1.74</v>
          </cell>
          <cell r="I1748" t="str">
            <v>Buy</v>
          </cell>
        </row>
        <row r="1749">
          <cell r="A1749" t="str">
            <v>ASY-100011-0C</v>
          </cell>
          <cell r="B1749">
            <v>1</v>
          </cell>
          <cell r="C1749" t="str">
            <v>TAP-000031-00</v>
          </cell>
          <cell r="D1749" t="str">
            <v>3M Electrical Tape 92</v>
          </cell>
          <cell r="E1749" t="str">
            <v>A</v>
          </cell>
          <cell r="F1749" t="str">
            <v>Tape</v>
          </cell>
          <cell r="G1749">
            <v>120</v>
          </cell>
          <cell r="H1749">
            <v>1.4E-2</v>
          </cell>
          <cell r="I1749" t="str">
            <v>Buy</v>
          </cell>
        </row>
        <row r="1750">
          <cell r="A1750" t="str">
            <v>ASY-100011-0C</v>
          </cell>
          <cell r="B1750">
            <v>1</v>
          </cell>
          <cell r="C1750" t="str">
            <v>TMP-000027-00</v>
          </cell>
          <cell r="D1750" t="str">
            <v>Thermal Pad, LED PCBA, 1 FT, TROV 2</v>
          </cell>
          <cell r="E1750" t="str">
            <v>B</v>
          </cell>
          <cell r="F1750" t="str">
            <v>Thermal Pad</v>
          </cell>
          <cell r="G1750">
            <v>1</v>
          </cell>
          <cell r="H1750">
            <v>0.72</v>
          </cell>
          <cell r="I1750" t="str">
            <v>Buy</v>
          </cell>
        </row>
        <row r="1751">
          <cell r="A1751" t="str">
            <v>ASY-100011-0C</v>
          </cell>
          <cell r="B1751">
            <v>1</v>
          </cell>
          <cell r="C1751" t="str">
            <v>TMP-000029-00</v>
          </cell>
          <cell r="D1751" t="str">
            <v>Thermal Pad, HBA, TROV 2</v>
          </cell>
          <cell r="E1751" t="str">
            <v>B</v>
          </cell>
          <cell r="F1751" t="str">
            <v>Thermal Pad</v>
          </cell>
          <cell r="G1751">
            <v>2</v>
          </cell>
          <cell r="H1751">
            <v>0.14000000000000001</v>
          </cell>
          <cell r="I1751" t="str">
            <v>Buy</v>
          </cell>
        </row>
        <row r="1752">
          <cell r="A1752" t="str">
            <v>ASY-100011-0C</v>
          </cell>
          <cell r="B1752">
            <v>1</v>
          </cell>
          <cell r="C1752" t="str">
            <v>TMP-000032-00</v>
          </cell>
          <cell r="D1752" t="str">
            <v>Thermal Pad, HBA, TROV 2</v>
          </cell>
          <cell r="E1752" t="str">
            <v>A</v>
          </cell>
          <cell r="F1752" t="str">
            <v>Thermal Pad</v>
          </cell>
          <cell r="G1752">
            <v>1</v>
          </cell>
          <cell r="H1752">
            <v>0.03</v>
          </cell>
          <cell r="I1752" t="str">
            <v>Buy</v>
          </cell>
        </row>
        <row r="1753">
          <cell r="A1753" t="str">
            <v>ASY-100012-01</v>
          </cell>
          <cell r="B1753">
            <v>0</v>
          </cell>
          <cell r="C1753" t="str">
            <v>ASY-100012-01</v>
          </cell>
          <cell r="D1753" t="str">
            <v>ASSY, MECHANICAL, L60, INDOOR, 4 FT, TROV2P2, DYNAMIC, SILVER</v>
          </cell>
          <cell r="E1753" t="str">
            <v>A</v>
          </cell>
          <cell r="F1753" t="str">
            <v>Sub assembly</v>
          </cell>
          <cell r="H1753">
            <v>0</v>
          </cell>
          <cell r="I1753" t="str">
            <v>Make</v>
          </cell>
        </row>
        <row r="1754">
          <cell r="A1754" t="str">
            <v>ASY-100012-01</v>
          </cell>
          <cell r="B1754">
            <v>1</v>
          </cell>
          <cell r="C1754" t="str">
            <v>ACB-000275-00</v>
          </cell>
          <cell r="D1754" t="str">
            <v>CABLE, CANBUS, SHORT, TROV 2</v>
          </cell>
          <cell r="E1754" t="str">
            <v>A</v>
          </cell>
          <cell r="F1754" t="str">
            <v>Cable</v>
          </cell>
          <cell r="G1754">
            <v>1</v>
          </cell>
          <cell r="H1754">
            <v>0.7</v>
          </cell>
          <cell r="I1754" t="str">
            <v>Buy</v>
          </cell>
        </row>
        <row r="1755">
          <cell r="A1755" t="str">
            <v>ASY-100012-01</v>
          </cell>
          <cell r="B1755">
            <v>1</v>
          </cell>
          <cell r="C1755" t="str">
            <v>ACB-000275-01</v>
          </cell>
          <cell r="D1755" t="str">
            <v>CABLE, CANBUS, LONG, TROV 2</v>
          </cell>
          <cell r="E1755" t="str">
            <v>A</v>
          </cell>
          <cell r="F1755" t="str">
            <v>Cable</v>
          </cell>
          <cell r="G1755">
            <v>1</v>
          </cell>
          <cell r="H1755">
            <v>0.81</v>
          </cell>
          <cell r="I1755" t="str">
            <v>Buy</v>
          </cell>
        </row>
        <row r="1756">
          <cell r="A1756" t="str">
            <v>ASY-100012-01</v>
          </cell>
          <cell r="B1756">
            <v>1</v>
          </cell>
          <cell r="C1756" t="str">
            <v>ASY-100008-00</v>
          </cell>
          <cell r="D1756" t="str">
            <v>Cable Subassembly, Driver housing, 4ft, Trov 2</v>
          </cell>
          <cell r="E1756" t="str">
            <v>A</v>
          </cell>
          <cell r="F1756" t="str">
            <v>Sub assembly</v>
          </cell>
          <cell r="G1756">
            <v>1</v>
          </cell>
          <cell r="H1756">
            <v>0</v>
          </cell>
          <cell r="I1756" t="str">
            <v>Make</v>
          </cell>
        </row>
        <row r="1757">
          <cell r="A1757" t="str">
            <v>ASY-100012-01</v>
          </cell>
          <cell r="B1757">
            <v>2</v>
          </cell>
          <cell r="C1757" t="str">
            <v>ACB-000272-00</v>
          </cell>
          <cell r="D1757" t="str">
            <v>CABLE ASSY, INTRA-FIXTURE, 4FT, TROV 2.0</v>
          </cell>
          <cell r="E1757" t="str">
            <v>B</v>
          </cell>
          <cell r="F1757" t="str">
            <v>Cable Assembly</v>
          </cell>
          <cell r="G1757">
            <v>1</v>
          </cell>
          <cell r="H1757">
            <v>20.420000000000002</v>
          </cell>
          <cell r="I1757" t="str">
            <v>Buy</v>
          </cell>
        </row>
        <row r="1758">
          <cell r="A1758" t="str">
            <v>ASY-100012-01</v>
          </cell>
          <cell r="B1758">
            <v>3</v>
          </cell>
          <cell r="C1758" t="str">
            <v>ACB-000273-00</v>
          </cell>
          <cell r="D1758" t="str">
            <v>6 CONDUCTOR CABLE, 3X22AWG, 3X16AWG, AL MYLAR, TROV 2</v>
          </cell>
          <cell r="E1758" t="str">
            <v>A</v>
          </cell>
          <cell r="F1758" t="str">
            <v>Cable</v>
          </cell>
          <cell r="G1758">
            <v>1</v>
          </cell>
          <cell r="H1758">
            <v>0</v>
          </cell>
          <cell r="I1758" t="str">
            <v>N/A</v>
          </cell>
        </row>
        <row r="1759">
          <cell r="A1759" t="str">
            <v>ASY-100012-01</v>
          </cell>
          <cell r="B1759">
            <v>3</v>
          </cell>
          <cell r="C1759" t="str">
            <v>ACB-000274-00</v>
          </cell>
          <cell r="D1759" t="str">
            <v>CABLE ASSEMBLY, INTERNAL, DRIVER SIDE, 4FT, TROV 2</v>
          </cell>
          <cell r="E1759" t="str">
            <v>A</v>
          </cell>
          <cell r="F1759" t="str">
            <v>Cable Assembly</v>
          </cell>
          <cell r="G1759">
            <v>1</v>
          </cell>
          <cell r="H1759">
            <v>0</v>
          </cell>
          <cell r="I1759" t="str">
            <v>N/A</v>
          </cell>
        </row>
        <row r="1760">
          <cell r="A1760" t="str">
            <v>ASY-100012-01</v>
          </cell>
          <cell r="B1760">
            <v>3</v>
          </cell>
          <cell r="C1760" t="str">
            <v>CON-000259-00</v>
          </cell>
          <cell r="D1760" t="str">
            <v>CONNECTOR, MALE, 6 PIN, TROV 2</v>
          </cell>
          <cell r="E1760" t="str">
            <v>B</v>
          </cell>
          <cell r="F1760" t="str">
            <v>Connector</v>
          </cell>
          <cell r="G1760">
            <v>1</v>
          </cell>
          <cell r="H1760">
            <v>0</v>
          </cell>
          <cell r="I1760" t="str">
            <v>N/A</v>
          </cell>
        </row>
        <row r="1761">
          <cell r="A1761" t="str">
            <v>ASY-100012-01</v>
          </cell>
          <cell r="B1761">
            <v>3</v>
          </cell>
          <cell r="C1761" t="str">
            <v>CON-000260-00</v>
          </cell>
          <cell r="D1761" t="str">
            <v>CONNECTOR, FEMALE, 6 PIN, TROV 2</v>
          </cell>
          <cell r="E1761" t="str">
            <v>A</v>
          </cell>
          <cell r="F1761" t="str">
            <v>Connector</v>
          </cell>
          <cell r="G1761">
            <v>1</v>
          </cell>
          <cell r="H1761">
            <v>0</v>
          </cell>
          <cell r="I1761" t="str">
            <v>N/A</v>
          </cell>
        </row>
        <row r="1762">
          <cell r="A1762" t="str">
            <v>ASY-100012-01</v>
          </cell>
          <cell r="B1762">
            <v>3</v>
          </cell>
          <cell r="C1762" t="str">
            <v>HSG-000330-00</v>
          </cell>
          <cell r="D1762" t="str">
            <v>DRIVER HOUSING, 4 FT, TROV 2</v>
          </cell>
          <cell r="E1762" t="str">
            <v>A</v>
          </cell>
          <cell r="F1762" t="str">
            <v>Housing</v>
          </cell>
          <cell r="G1762">
            <v>1</v>
          </cell>
          <cell r="H1762">
            <v>0</v>
          </cell>
          <cell r="I1762" t="str">
            <v>N/A</v>
          </cell>
        </row>
        <row r="1763">
          <cell r="A1763" t="str">
            <v>ASY-100012-01</v>
          </cell>
          <cell r="B1763">
            <v>3</v>
          </cell>
          <cell r="C1763" t="str">
            <v>ORG-000060-00</v>
          </cell>
          <cell r="D1763" t="str">
            <v>O-RING, CABLE, TROV 2</v>
          </cell>
          <cell r="E1763" t="str">
            <v>A</v>
          </cell>
          <cell r="F1763" t="str">
            <v>O-Ring</v>
          </cell>
          <cell r="G1763">
            <v>1</v>
          </cell>
          <cell r="H1763">
            <v>0</v>
          </cell>
          <cell r="I1763" t="str">
            <v>N/A</v>
          </cell>
        </row>
        <row r="1764">
          <cell r="A1764" t="str">
            <v>ASY-100012-01</v>
          </cell>
          <cell r="B1764">
            <v>3</v>
          </cell>
          <cell r="C1764" t="str">
            <v>SRF-000030-00</v>
          </cell>
          <cell r="D1764" t="str">
            <v>STRAIN RELIEF, CABLE, TROV 2</v>
          </cell>
          <cell r="E1764" t="str">
            <v>A</v>
          </cell>
          <cell r="F1764" t="str">
            <v>Strain Relief</v>
          </cell>
          <cell r="G1764">
            <v>1</v>
          </cell>
          <cell r="H1764">
            <v>0</v>
          </cell>
          <cell r="I1764" t="str">
            <v>N/A</v>
          </cell>
        </row>
        <row r="1765">
          <cell r="A1765" t="str">
            <v>ASY-100012-01</v>
          </cell>
          <cell r="B1765">
            <v>2</v>
          </cell>
          <cell r="C1765" t="str">
            <v>BKT-000517-00</v>
          </cell>
          <cell r="D1765" t="str">
            <v>BRACKET, ROTATING LOCK, 4 FT, TROV 2.0</v>
          </cell>
          <cell r="E1765" t="str">
            <v>B</v>
          </cell>
          <cell r="F1765" t="str">
            <v>Bracket</v>
          </cell>
          <cell r="G1765">
            <v>1</v>
          </cell>
          <cell r="H1765">
            <v>0.9</v>
          </cell>
          <cell r="I1765" t="str">
            <v>Buy</v>
          </cell>
        </row>
        <row r="1766">
          <cell r="A1766" t="str">
            <v>ASY-100012-01</v>
          </cell>
          <cell r="B1766">
            <v>2</v>
          </cell>
          <cell r="C1766" t="str">
            <v>BKT-000518-00</v>
          </cell>
          <cell r="D1766" t="str">
            <v>BRACKET, PANEL MOUNT, 4 FT, TROV 2.0</v>
          </cell>
          <cell r="E1766" t="str">
            <v>B</v>
          </cell>
          <cell r="F1766" t="str">
            <v>Bracket</v>
          </cell>
          <cell r="G1766">
            <v>1</v>
          </cell>
          <cell r="H1766">
            <v>0.9</v>
          </cell>
          <cell r="I1766" t="str">
            <v>Buy</v>
          </cell>
        </row>
        <row r="1767">
          <cell r="A1767" t="str">
            <v>ASY-100012-01</v>
          </cell>
          <cell r="B1767">
            <v>2</v>
          </cell>
          <cell r="C1767" t="str">
            <v>SCW-000509-00</v>
          </cell>
          <cell r="D1767" t="str">
            <v>SCREW, SEALING FLAT HEAD, M3x0.5x8MM</v>
          </cell>
          <cell r="E1767" t="str">
            <v>B</v>
          </cell>
          <cell r="F1767" t="str">
            <v>Screw</v>
          </cell>
          <cell r="G1767">
            <v>2</v>
          </cell>
          <cell r="H1767">
            <v>0.4</v>
          </cell>
          <cell r="I1767" t="str">
            <v>Buy</v>
          </cell>
        </row>
        <row r="1768">
          <cell r="A1768" t="str">
            <v>ASY-100012-01</v>
          </cell>
          <cell r="B1768">
            <v>1</v>
          </cell>
          <cell r="C1768" t="str">
            <v>BAS-000021-00</v>
          </cell>
          <cell r="D1768" t="str">
            <v>BASE, 4FT, TROV 2.0</v>
          </cell>
          <cell r="E1768" t="str">
            <v>F</v>
          </cell>
          <cell r="F1768" t="str">
            <v>Base</v>
          </cell>
          <cell r="G1768">
            <v>1</v>
          </cell>
          <cell r="H1768">
            <v>14.25</v>
          </cell>
          <cell r="I1768" t="str">
            <v>Buy</v>
          </cell>
        </row>
        <row r="1769">
          <cell r="A1769" t="str">
            <v>ASY-100012-01</v>
          </cell>
          <cell r="B1769">
            <v>1</v>
          </cell>
          <cell r="C1769" t="str">
            <v>BKT-000457-03</v>
          </cell>
          <cell r="D1769" t="str">
            <v>BRACKET, MOUNT, LEFT, BLACK, TROV 2.0</v>
          </cell>
          <cell r="E1769" t="str">
            <v>C</v>
          </cell>
          <cell r="F1769" t="str">
            <v>Bracket</v>
          </cell>
          <cell r="G1769">
            <v>1</v>
          </cell>
          <cell r="H1769">
            <v>0.99</v>
          </cell>
          <cell r="I1769" t="str">
            <v>Buy</v>
          </cell>
        </row>
        <row r="1770">
          <cell r="A1770" t="str">
            <v>ASY-100012-01</v>
          </cell>
          <cell r="B1770">
            <v>1</v>
          </cell>
          <cell r="C1770" t="str">
            <v>BKT-000458-03</v>
          </cell>
          <cell r="D1770" t="str">
            <v>BRACKET, MOUNT, RIGHT, BLACK, TROV 2.0</v>
          </cell>
          <cell r="E1770" t="str">
            <v>C</v>
          </cell>
          <cell r="F1770" t="str">
            <v>Bracket</v>
          </cell>
          <cell r="G1770">
            <v>1</v>
          </cell>
          <cell r="H1770">
            <v>0.99</v>
          </cell>
          <cell r="I1770" t="str">
            <v>Buy</v>
          </cell>
        </row>
        <row r="1771">
          <cell r="A1771" t="str">
            <v>ASY-100012-01</v>
          </cell>
          <cell r="B1771">
            <v>1</v>
          </cell>
          <cell r="C1771" t="str">
            <v>CVR-000789-03</v>
          </cell>
          <cell r="D1771" t="str">
            <v>END COVER, FC, BLACK, L60, TROV 2.0</v>
          </cell>
          <cell r="E1771" t="str">
            <v>D</v>
          </cell>
          <cell r="F1771" t="str">
            <v>Cover</v>
          </cell>
          <cell r="G1771">
            <v>1</v>
          </cell>
          <cell r="H1771">
            <v>1.0900000000000001</v>
          </cell>
          <cell r="I1771" t="str">
            <v>Buy</v>
          </cell>
        </row>
        <row r="1772">
          <cell r="A1772" t="str">
            <v>ASY-100012-01</v>
          </cell>
          <cell r="B1772">
            <v>1</v>
          </cell>
          <cell r="C1772" t="str">
            <v>CVR-000893-03</v>
          </cell>
          <cell r="D1772" t="str">
            <v>END COVER, MC, BLACK, L60, TROV 2.0</v>
          </cell>
          <cell r="E1772" t="str">
            <v>B</v>
          </cell>
          <cell r="F1772" t="str">
            <v>Cover</v>
          </cell>
          <cell r="G1772">
            <v>1</v>
          </cell>
          <cell r="H1772">
            <v>1.0900000000000001</v>
          </cell>
          <cell r="I1772" t="str">
            <v>Buy</v>
          </cell>
        </row>
        <row r="1773">
          <cell r="A1773" t="str">
            <v>ASY-100012-01</v>
          </cell>
          <cell r="B1773">
            <v>1</v>
          </cell>
          <cell r="C1773" t="str">
            <v>FOM-000028-00</v>
          </cell>
          <cell r="D1773" t="str">
            <v>FOAM, LIGHTBLOCK, ENDCAP, L60, TROV2</v>
          </cell>
          <cell r="E1773" t="str">
            <v>A</v>
          </cell>
          <cell r="F1773" t="str">
            <v>Foam</v>
          </cell>
          <cell r="G1773">
            <v>2</v>
          </cell>
          <cell r="H1773">
            <v>0.03</v>
          </cell>
          <cell r="I1773" t="str">
            <v>Buy</v>
          </cell>
        </row>
        <row r="1774">
          <cell r="A1774" t="str">
            <v>ASY-100012-01</v>
          </cell>
          <cell r="B1774">
            <v>1</v>
          </cell>
          <cell r="C1774" t="str">
            <v>GSK-000122-01</v>
          </cell>
          <cell r="D1774" t="str">
            <v>GASKET, DRIVER ENCLOSURE, 3M, 4 FT, TROV 2.0</v>
          </cell>
          <cell r="E1774" t="str">
            <v>B</v>
          </cell>
          <cell r="F1774" t="str">
            <v>Gasket</v>
          </cell>
          <cell r="G1774">
            <v>1</v>
          </cell>
          <cell r="H1774">
            <v>2.0299999999999998</v>
          </cell>
          <cell r="I1774" t="str">
            <v>Buy</v>
          </cell>
        </row>
        <row r="1775">
          <cell r="A1775" t="str">
            <v>ASY-100012-01</v>
          </cell>
          <cell r="B1775">
            <v>1</v>
          </cell>
          <cell r="C1775" t="str">
            <v>GSK-000133-00</v>
          </cell>
          <cell r="D1775" t="str">
            <v>GASKET, TERTIARY LENS, 3M, 2 FT, L60, TROV 2.0</v>
          </cell>
          <cell r="E1775" t="str">
            <v>B</v>
          </cell>
          <cell r="F1775" t="str">
            <v>Gasket</v>
          </cell>
          <cell r="G1775">
            <v>2</v>
          </cell>
          <cell r="H1775">
            <v>6</v>
          </cell>
          <cell r="I1775" t="str">
            <v>Buy</v>
          </cell>
        </row>
        <row r="1776">
          <cell r="A1776" t="str">
            <v>ASY-100012-01</v>
          </cell>
          <cell r="B1776">
            <v>1</v>
          </cell>
          <cell r="C1776" t="str">
            <v>HSG-000493-01</v>
          </cell>
          <cell r="D1776" t="str">
            <v>HOUSING, TOP, 4 FT, L60, SILVER, TROV 2.0</v>
          </cell>
          <cell r="E1776" t="str">
            <v>E</v>
          </cell>
          <cell r="F1776" t="str">
            <v>Housing</v>
          </cell>
          <cell r="G1776">
            <v>1</v>
          </cell>
          <cell r="H1776">
            <v>38.619999999999997</v>
          </cell>
          <cell r="I1776" t="str">
            <v>Buy</v>
          </cell>
        </row>
        <row r="1777">
          <cell r="A1777" t="str">
            <v>ASY-100012-01</v>
          </cell>
          <cell r="B1777">
            <v>1</v>
          </cell>
          <cell r="C1777" t="str">
            <v>HSG-000495-01</v>
          </cell>
          <cell r="D1777" t="str">
            <v>HOUSING, BOTTOM, 4 FT, SILVER, TROV 2.0</v>
          </cell>
          <cell r="E1777" t="str">
            <v>F</v>
          </cell>
          <cell r="F1777" t="str">
            <v>Housing</v>
          </cell>
          <cell r="G1777">
            <v>1</v>
          </cell>
          <cell r="H1777">
            <v>32.49</v>
          </cell>
          <cell r="I1777" t="str">
            <v>Buy</v>
          </cell>
        </row>
        <row r="1778">
          <cell r="A1778" t="str">
            <v>ASY-100012-01</v>
          </cell>
          <cell r="B1778">
            <v>1</v>
          </cell>
          <cell r="C1778" t="str">
            <v>LBA-000003-00</v>
          </cell>
          <cell r="D1778" t="str">
            <v>Label: TROV 2 P1/P2, Model L45/L60</v>
          </cell>
          <cell r="E1778" t="str">
            <v>A</v>
          </cell>
          <cell r="F1778" t="str">
            <v>Label BOM</v>
          </cell>
          <cell r="G1778">
            <v>1</v>
          </cell>
          <cell r="H1778">
            <v>0</v>
          </cell>
          <cell r="I1778" t="str">
            <v>Make</v>
          </cell>
        </row>
        <row r="1779">
          <cell r="A1779" t="str">
            <v>ASY-100012-01</v>
          </cell>
          <cell r="B1779">
            <v>2</v>
          </cell>
          <cell r="C1779" t="str">
            <v>LBL-000243-00</v>
          </cell>
          <cell r="D1779" t="str">
            <v>Blank Product Label: Trov 2 P1/P2, Model L45/L60</v>
          </cell>
          <cell r="E1779" t="str">
            <v>A</v>
          </cell>
          <cell r="F1779" t="str">
            <v>Label</v>
          </cell>
          <cell r="G1779">
            <v>1</v>
          </cell>
          <cell r="H1779">
            <v>0.33</v>
          </cell>
          <cell r="I1779" t="str">
            <v>Buy</v>
          </cell>
        </row>
        <row r="1780">
          <cell r="A1780" t="str">
            <v>ASY-100012-01</v>
          </cell>
          <cell r="B1780">
            <v>1</v>
          </cell>
          <cell r="C1780" t="str">
            <v>PLG-000009-01</v>
          </cell>
          <cell r="D1780" t="str">
            <v>Porex Vent, Trov, L50 Exterior</v>
          </cell>
          <cell r="E1780" t="str">
            <v>B</v>
          </cell>
          <cell r="F1780" t="str">
            <v>Plug</v>
          </cell>
          <cell r="G1780">
            <v>2</v>
          </cell>
          <cell r="H1780">
            <v>0.17</v>
          </cell>
          <cell r="I1780" t="str">
            <v>Buy</v>
          </cell>
        </row>
        <row r="1781">
          <cell r="A1781" t="str">
            <v>ASY-100012-01</v>
          </cell>
          <cell r="B1781">
            <v>1</v>
          </cell>
          <cell r="C1781" t="str">
            <v>SCW-000156-00</v>
          </cell>
          <cell r="D1781" t="str">
            <v>SCREW, M3 x 0.5 X 8mm, PAND HEAD, PHILLIPS, STEEL</v>
          </cell>
          <cell r="E1781" t="str">
            <v>B</v>
          </cell>
          <cell r="F1781" t="str">
            <v>Screw</v>
          </cell>
          <cell r="G1781">
            <v>6</v>
          </cell>
          <cell r="H1781">
            <v>4.4400000000000002E-2</v>
          </cell>
          <cell r="I1781" t="str">
            <v>Buy</v>
          </cell>
        </row>
        <row r="1782">
          <cell r="A1782" t="str">
            <v>ASY-100012-01</v>
          </cell>
          <cell r="B1782">
            <v>1</v>
          </cell>
          <cell r="C1782" t="str">
            <v>SCW-000483-00</v>
          </cell>
          <cell r="D1782" t="str">
            <v>SCREW, PHILIPS FLAT HEAD, M2.5x0.45x5 , 18-8 SST</v>
          </cell>
          <cell r="E1782" t="str">
            <v>A</v>
          </cell>
          <cell r="F1782" t="str">
            <v>Screw</v>
          </cell>
          <cell r="G1782">
            <v>4</v>
          </cell>
          <cell r="H1782">
            <v>0.02</v>
          </cell>
          <cell r="I1782" t="str">
            <v>Buy</v>
          </cell>
        </row>
        <row r="1783">
          <cell r="A1783" t="str">
            <v>ASY-100012-01</v>
          </cell>
          <cell r="B1783">
            <v>1</v>
          </cell>
          <cell r="C1783" t="str">
            <v>SCW-000556-00</v>
          </cell>
          <cell r="D1783" t="str">
            <v>SCREW, HEX, SERRATED, #8-32, GROUNDING, TROV 2</v>
          </cell>
          <cell r="E1783" t="str">
            <v>A</v>
          </cell>
          <cell r="F1783" t="str">
            <v>Screw</v>
          </cell>
          <cell r="G1783">
            <v>1</v>
          </cell>
          <cell r="H1783">
            <v>0.04</v>
          </cell>
          <cell r="I1783" t="str">
            <v>Buy</v>
          </cell>
        </row>
        <row r="1784">
          <cell r="A1784" t="str">
            <v>ASY-100012-01</v>
          </cell>
          <cell r="B1784">
            <v>1</v>
          </cell>
          <cell r="C1784" t="str">
            <v>SCW-000567-00</v>
          </cell>
          <cell r="D1784" t="str">
            <v>SCREW, M2.5 x 0.45 x 12.0mm LENGTH, PAN HD, PHILLIPS, ZINC-PLATED STEEL</v>
          </cell>
          <cell r="E1784" t="str">
            <v>A</v>
          </cell>
          <cell r="F1784" t="str">
            <v>Screw</v>
          </cell>
          <cell r="G1784">
            <v>4</v>
          </cell>
          <cell r="H1784">
            <v>0.06</v>
          </cell>
          <cell r="I1784" t="str">
            <v>Buy</v>
          </cell>
        </row>
        <row r="1785">
          <cell r="A1785" t="str">
            <v>ASY-100012-01</v>
          </cell>
          <cell r="B1785">
            <v>1</v>
          </cell>
          <cell r="C1785" t="str">
            <v>SCW-000574-00</v>
          </cell>
          <cell r="D1785" t="str">
            <v>SCREW, TORX HEAD, 1/4-28x1/2", LOW PROFILE, ALLOY STEEL</v>
          </cell>
          <cell r="E1785" t="str">
            <v>A</v>
          </cell>
          <cell r="F1785" t="str">
            <v>Screw</v>
          </cell>
          <cell r="G1785">
            <v>2</v>
          </cell>
          <cell r="H1785">
            <v>0.14000000000000001</v>
          </cell>
          <cell r="I1785" t="str">
            <v>Buy</v>
          </cell>
        </row>
        <row r="1786">
          <cell r="A1786" t="str">
            <v>ASY-100012-01</v>
          </cell>
          <cell r="B1786">
            <v>1</v>
          </cell>
          <cell r="C1786" t="str">
            <v>SHT-000043-00</v>
          </cell>
          <cell r="D1786" t="str">
            <v>INSULATION SHEET, HBA, 4FT,TROV 2</v>
          </cell>
          <cell r="E1786" t="str">
            <v>D</v>
          </cell>
          <cell r="F1786" t="str">
            <v>Sheet</v>
          </cell>
          <cell r="G1786">
            <v>1</v>
          </cell>
          <cell r="H1786">
            <v>0.25</v>
          </cell>
          <cell r="I1786" t="str">
            <v>Buy</v>
          </cell>
        </row>
        <row r="1787">
          <cell r="A1787" t="str">
            <v>ASY-100012-01</v>
          </cell>
          <cell r="B1787">
            <v>1</v>
          </cell>
          <cell r="C1787" t="str">
            <v>SPG-000023-00</v>
          </cell>
          <cell r="D1787" t="str">
            <v>SPRING, DISC, STACKED WAVE, TROV 2.0</v>
          </cell>
          <cell r="E1787" t="str">
            <v>A</v>
          </cell>
          <cell r="F1787" t="str">
            <v>Spring</v>
          </cell>
          <cell r="G1787">
            <v>2</v>
          </cell>
          <cell r="H1787">
            <v>1.74</v>
          </cell>
          <cell r="I1787" t="str">
            <v>Buy</v>
          </cell>
        </row>
        <row r="1788">
          <cell r="A1788" t="str">
            <v>ASY-100012-01</v>
          </cell>
          <cell r="B1788">
            <v>1</v>
          </cell>
          <cell r="C1788" t="str">
            <v>TAP-000031-00</v>
          </cell>
          <cell r="D1788" t="str">
            <v>3M Electrical Tape 92</v>
          </cell>
          <cell r="E1788" t="str">
            <v>A</v>
          </cell>
          <cell r="F1788" t="str">
            <v>Tape</v>
          </cell>
          <cell r="G1788">
            <v>120</v>
          </cell>
          <cell r="H1788">
            <v>1.4E-2</v>
          </cell>
          <cell r="I1788" t="str">
            <v>Buy</v>
          </cell>
        </row>
        <row r="1789">
          <cell r="A1789" t="str">
            <v>ASY-100012-01</v>
          </cell>
          <cell r="B1789">
            <v>1</v>
          </cell>
          <cell r="C1789" t="str">
            <v>TMP-000028-00</v>
          </cell>
          <cell r="D1789" t="str">
            <v>Thermal Pad, LED PCBA, 2 FT, TROV 2</v>
          </cell>
          <cell r="E1789" t="str">
            <v>B</v>
          </cell>
          <cell r="F1789" t="str">
            <v>Thermal Pad</v>
          </cell>
          <cell r="G1789">
            <v>2</v>
          </cell>
          <cell r="H1789">
            <v>1.32</v>
          </cell>
          <cell r="I1789" t="str">
            <v>Buy</v>
          </cell>
        </row>
        <row r="1790">
          <cell r="A1790" t="str">
            <v>ASY-100012-01</v>
          </cell>
          <cell r="B1790">
            <v>1</v>
          </cell>
          <cell r="C1790" t="str">
            <v>TMP-000029-00</v>
          </cell>
          <cell r="D1790" t="str">
            <v>Thermal Pad, HBA, TROV 2</v>
          </cell>
          <cell r="E1790" t="str">
            <v>B</v>
          </cell>
          <cell r="F1790" t="str">
            <v>Thermal Pad</v>
          </cell>
          <cell r="G1790">
            <v>2</v>
          </cell>
          <cell r="H1790">
            <v>0.14000000000000001</v>
          </cell>
          <cell r="I1790" t="str">
            <v>Buy</v>
          </cell>
        </row>
        <row r="1791">
          <cell r="A1791" t="str">
            <v>ASY-100012-01</v>
          </cell>
          <cell r="B1791">
            <v>1</v>
          </cell>
          <cell r="C1791" t="str">
            <v>TMP-000032-00</v>
          </cell>
          <cell r="D1791" t="str">
            <v>Thermal Pad, HBA, TROV 2</v>
          </cell>
          <cell r="E1791" t="str">
            <v>A</v>
          </cell>
          <cell r="F1791" t="str">
            <v>Thermal Pad</v>
          </cell>
          <cell r="G1791">
            <v>1</v>
          </cell>
          <cell r="H1791">
            <v>0.03</v>
          </cell>
          <cell r="I1791" t="str">
            <v>Buy</v>
          </cell>
        </row>
        <row r="1792">
          <cell r="A1792" t="str">
            <v>ASY-100012-02</v>
          </cell>
          <cell r="B1792">
            <v>0</v>
          </cell>
          <cell r="C1792" t="str">
            <v>ASY-100012-02</v>
          </cell>
          <cell r="D1792" t="str">
            <v>ASSY, MECHANICAL, L60, INDOOR, 4 FT, TROV2P2, DYNAMIC, BRONZE</v>
          </cell>
          <cell r="E1792" t="str">
            <v>A</v>
          </cell>
          <cell r="F1792" t="str">
            <v>Sub assembly</v>
          </cell>
          <cell r="H1792">
            <v>0</v>
          </cell>
          <cell r="I1792" t="str">
            <v>Make</v>
          </cell>
        </row>
        <row r="1793">
          <cell r="A1793" t="str">
            <v>ASY-100012-02</v>
          </cell>
          <cell r="B1793">
            <v>1</v>
          </cell>
          <cell r="C1793" t="str">
            <v>ACB-000275-00</v>
          </cell>
          <cell r="D1793" t="str">
            <v>CABLE, CANBUS, SHORT, TROV 2</v>
          </cell>
          <cell r="E1793" t="str">
            <v>A</v>
          </cell>
          <cell r="F1793" t="str">
            <v>Cable</v>
          </cell>
          <cell r="G1793">
            <v>1</v>
          </cell>
          <cell r="H1793">
            <v>0.7</v>
          </cell>
          <cell r="I1793" t="str">
            <v>Buy</v>
          </cell>
        </row>
        <row r="1794">
          <cell r="A1794" t="str">
            <v>ASY-100012-02</v>
          </cell>
          <cell r="B1794">
            <v>1</v>
          </cell>
          <cell r="C1794" t="str">
            <v>ACB-000275-01</v>
          </cell>
          <cell r="D1794" t="str">
            <v>CABLE, CANBUS, LONG, TROV 2</v>
          </cell>
          <cell r="E1794" t="str">
            <v>A</v>
          </cell>
          <cell r="F1794" t="str">
            <v>Cable</v>
          </cell>
          <cell r="G1794">
            <v>1</v>
          </cell>
          <cell r="H1794">
            <v>0.81</v>
          </cell>
          <cell r="I1794" t="str">
            <v>Buy</v>
          </cell>
        </row>
        <row r="1795">
          <cell r="A1795" t="str">
            <v>ASY-100012-02</v>
          </cell>
          <cell r="B1795">
            <v>1</v>
          </cell>
          <cell r="C1795" t="str">
            <v>ASY-100008-00</v>
          </cell>
          <cell r="D1795" t="str">
            <v>Cable Subassembly, Driver housing, 4ft, Trov 2</v>
          </cell>
          <cell r="E1795" t="str">
            <v>A</v>
          </cell>
          <cell r="F1795" t="str">
            <v>Sub assembly</v>
          </cell>
          <cell r="G1795">
            <v>1</v>
          </cell>
          <cell r="H1795">
            <v>0</v>
          </cell>
          <cell r="I1795" t="str">
            <v>Make</v>
          </cell>
        </row>
        <row r="1796">
          <cell r="A1796" t="str">
            <v>ASY-100012-02</v>
          </cell>
          <cell r="B1796">
            <v>2</v>
          </cell>
          <cell r="C1796" t="str">
            <v>ACB-000272-00</v>
          </cell>
          <cell r="D1796" t="str">
            <v>CABLE ASSY, INTRA-FIXTURE, 4FT, TROV 2.0</v>
          </cell>
          <cell r="E1796" t="str">
            <v>B</v>
          </cell>
          <cell r="F1796" t="str">
            <v>Cable Assembly</v>
          </cell>
          <cell r="G1796">
            <v>1</v>
          </cell>
          <cell r="H1796">
            <v>20.420000000000002</v>
          </cell>
          <cell r="I1796" t="str">
            <v>Buy</v>
          </cell>
        </row>
        <row r="1797">
          <cell r="A1797" t="str">
            <v>ASY-100012-02</v>
          </cell>
          <cell r="B1797">
            <v>3</v>
          </cell>
          <cell r="C1797" t="str">
            <v>ACB-000273-00</v>
          </cell>
          <cell r="D1797" t="str">
            <v>6 CONDUCTOR CABLE, 3X22AWG, 3X16AWG, AL MYLAR, TROV 2</v>
          </cell>
          <cell r="E1797" t="str">
            <v>A</v>
          </cell>
          <cell r="F1797" t="str">
            <v>Cable</v>
          </cell>
          <cell r="G1797">
            <v>1</v>
          </cell>
          <cell r="H1797">
            <v>0</v>
          </cell>
          <cell r="I1797" t="str">
            <v>N/A</v>
          </cell>
        </row>
        <row r="1798">
          <cell r="A1798" t="str">
            <v>ASY-100012-02</v>
          </cell>
          <cell r="B1798">
            <v>3</v>
          </cell>
          <cell r="C1798" t="str">
            <v>ACB-000274-00</v>
          </cell>
          <cell r="D1798" t="str">
            <v>CABLE ASSEMBLY, INTERNAL, DRIVER SIDE, 4FT, TROV 2</v>
          </cell>
          <cell r="E1798" t="str">
            <v>A</v>
          </cell>
          <cell r="F1798" t="str">
            <v>Cable Assembly</v>
          </cell>
          <cell r="G1798">
            <v>1</v>
          </cell>
          <cell r="H1798">
            <v>0</v>
          </cell>
          <cell r="I1798" t="str">
            <v>N/A</v>
          </cell>
        </row>
        <row r="1799">
          <cell r="A1799" t="str">
            <v>ASY-100012-02</v>
          </cell>
          <cell r="B1799">
            <v>3</v>
          </cell>
          <cell r="C1799" t="str">
            <v>CON-000259-00</v>
          </cell>
          <cell r="D1799" t="str">
            <v>CONNECTOR, MALE, 6 PIN, TROV 2</v>
          </cell>
          <cell r="E1799" t="str">
            <v>B</v>
          </cell>
          <cell r="F1799" t="str">
            <v>Connector</v>
          </cell>
          <cell r="G1799">
            <v>1</v>
          </cell>
          <cell r="H1799">
            <v>0</v>
          </cell>
          <cell r="I1799" t="str">
            <v>N/A</v>
          </cell>
        </row>
        <row r="1800">
          <cell r="A1800" t="str">
            <v>ASY-100012-02</v>
          </cell>
          <cell r="B1800">
            <v>3</v>
          </cell>
          <cell r="C1800" t="str">
            <v>CON-000260-00</v>
          </cell>
          <cell r="D1800" t="str">
            <v>CONNECTOR, FEMALE, 6 PIN, TROV 2</v>
          </cell>
          <cell r="E1800" t="str">
            <v>A</v>
          </cell>
          <cell r="F1800" t="str">
            <v>Connector</v>
          </cell>
          <cell r="G1800">
            <v>1</v>
          </cell>
          <cell r="H1800">
            <v>0</v>
          </cell>
          <cell r="I1800" t="str">
            <v>N/A</v>
          </cell>
        </row>
        <row r="1801">
          <cell r="A1801" t="str">
            <v>ASY-100012-02</v>
          </cell>
          <cell r="B1801">
            <v>3</v>
          </cell>
          <cell r="C1801" t="str">
            <v>HSG-000330-00</v>
          </cell>
          <cell r="D1801" t="str">
            <v>DRIVER HOUSING, 4 FT, TROV 2</v>
          </cell>
          <cell r="E1801" t="str">
            <v>A</v>
          </cell>
          <cell r="F1801" t="str">
            <v>Housing</v>
          </cell>
          <cell r="G1801">
            <v>1</v>
          </cell>
          <cell r="H1801">
            <v>0</v>
          </cell>
          <cell r="I1801" t="str">
            <v>N/A</v>
          </cell>
        </row>
        <row r="1802">
          <cell r="A1802" t="str">
            <v>ASY-100012-02</v>
          </cell>
          <cell r="B1802">
            <v>3</v>
          </cell>
          <cell r="C1802" t="str">
            <v>ORG-000060-00</v>
          </cell>
          <cell r="D1802" t="str">
            <v>O-RING, CABLE, TROV 2</v>
          </cell>
          <cell r="E1802" t="str">
            <v>A</v>
          </cell>
          <cell r="F1802" t="str">
            <v>O-Ring</v>
          </cell>
          <cell r="G1802">
            <v>1</v>
          </cell>
          <cell r="H1802">
            <v>0</v>
          </cell>
          <cell r="I1802" t="str">
            <v>N/A</v>
          </cell>
        </row>
        <row r="1803">
          <cell r="A1803" t="str">
            <v>ASY-100012-02</v>
          </cell>
          <cell r="B1803">
            <v>3</v>
          </cell>
          <cell r="C1803" t="str">
            <v>SRF-000030-00</v>
          </cell>
          <cell r="D1803" t="str">
            <v>STRAIN RELIEF, CABLE, TROV 2</v>
          </cell>
          <cell r="E1803" t="str">
            <v>A</v>
          </cell>
          <cell r="F1803" t="str">
            <v>Strain Relief</v>
          </cell>
          <cell r="G1803">
            <v>1</v>
          </cell>
          <cell r="H1803">
            <v>0</v>
          </cell>
          <cell r="I1803" t="str">
            <v>N/A</v>
          </cell>
        </row>
        <row r="1804">
          <cell r="A1804" t="str">
            <v>ASY-100012-02</v>
          </cell>
          <cell r="B1804">
            <v>2</v>
          </cell>
          <cell r="C1804" t="str">
            <v>BKT-000517-00</v>
          </cell>
          <cell r="D1804" t="str">
            <v>BRACKET, ROTATING LOCK, 4 FT, TROV 2.0</v>
          </cell>
          <cell r="E1804" t="str">
            <v>B</v>
          </cell>
          <cell r="F1804" t="str">
            <v>Bracket</v>
          </cell>
          <cell r="G1804">
            <v>1</v>
          </cell>
          <cell r="H1804">
            <v>0.9</v>
          </cell>
          <cell r="I1804" t="str">
            <v>Buy</v>
          </cell>
        </row>
        <row r="1805">
          <cell r="A1805" t="str">
            <v>ASY-100012-02</v>
          </cell>
          <cell r="B1805">
            <v>2</v>
          </cell>
          <cell r="C1805" t="str">
            <v>BKT-000518-00</v>
          </cell>
          <cell r="D1805" t="str">
            <v>BRACKET, PANEL MOUNT, 4 FT, TROV 2.0</v>
          </cell>
          <cell r="E1805" t="str">
            <v>B</v>
          </cell>
          <cell r="F1805" t="str">
            <v>Bracket</v>
          </cell>
          <cell r="G1805">
            <v>1</v>
          </cell>
          <cell r="H1805">
            <v>0.9</v>
          </cell>
          <cell r="I1805" t="str">
            <v>Buy</v>
          </cell>
        </row>
        <row r="1806">
          <cell r="A1806" t="str">
            <v>ASY-100012-02</v>
          </cell>
          <cell r="B1806">
            <v>2</v>
          </cell>
          <cell r="C1806" t="str">
            <v>SCW-000509-00</v>
          </cell>
          <cell r="D1806" t="str">
            <v>SCREW, SEALING FLAT HEAD, M3x0.5x8MM</v>
          </cell>
          <cell r="E1806" t="str">
            <v>B</v>
          </cell>
          <cell r="F1806" t="str">
            <v>Screw</v>
          </cell>
          <cell r="G1806">
            <v>2</v>
          </cell>
          <cell r="H1806">
            <v>0.4</v>
          </cell>
          <cell r="I1806" t="str">
            <v>Buy</v>
          </cell>
        </row>
        <row r="1807">
          <cell r="A1807" t="str">
            <v>ASY-100012-02</v>
          </cell>
          <cell r="B1807">
            <v>1</v>
          </cell>
          <cell r="C1807" t="str">
            <v>BAS-000021-00</v>
          </cell>
          <cell r="D1807" t="str">
            <v>BASE, 4FT, TROV 2.0</v>
          </cell>
          <cell r="E1807" t="str">
            <v>F</v>
          </cell>
          <cell r="F1807" t="str">
            <v>Base</v>
          </cell>
          <cell r="G1807">
            <v>1</v>
          </cell>
          <cell r="H1807">
            <v>14.25</v>
          </cell>
          <cell r="I1807" t="str">
            <v>Buy</v>
          </cell>
        </row>
        <row r="1808">
          <cell r="A1808" t="str">
            <v>ASY-100012-02</v>
          </cell>
          <cell r="B1808">
            <v>1</v>
          </cell>
          <cell r="C1808" t="str">
            <v>BKT-000457-03</v>
          </cell>
          <cell r="D1808" t="str">
            <v>BRACKET, MOUNT, LEFT, BLACK, TROV 2.0</v>
          </cell>
          <cell r="E1808" t="str">
            <v>C</v>
          </cell>
          <cell r="F1808" t="str">
            <v>Bracket</v>
          </cell>
          <cell r="G1808">
            <v>1</v>
          </cell>
          <cell r="H1808">
            <v>0.99</v>
          </cell>
          <cell r="I1808" t="str">
            <v>Buy</v>
          </cell>
        </row>
        <row r="1809">
          <cell r="A1809" t="str">
            <v>ASY-100012-02</v>
          </cell>
          <cell r="B1809">
            <v>1</v>
          </cell>
          <cell r="C1809" t="str">
            <v>BKT-000458-03</v>
          </cell>
          <cell r="D1809" t="str">
            <v>BRACKET, MOUNT, RIGHT, BLACK, TROV 2.0</v>
          </cell>
          <cell r="E1809" t="str">
            <v>C</v>
          </cell>
          <cell r="F1809" t="str">
            <v>Bracket</v>
          </cell>
          <cell r="G1809">
            <v>1</v>
          </cell>
          <cell r="H1809">
            <v>0.99</v>
          </cell>
          <cell r="I1809" t="str">
            <v>Buy</v>
          </cell>
        </row>
        <row r="1810">
          <cell r="A1810" t="str">
            <v>ASY-100012-02</v>
          </cell>
          <cell r="B1810">
            <v>1</v>
          </cell>
          <cell r="C1810" t="str">
            <v>CVR-000789-02</v>
          </cell>
          <cell r="D1810" t="str">
            <v>END COVER, FC, BRONZE, L60, TROV 2.0</v>
          </cell>
          <cell r="E1810" t="str">
            <v>D</v>
          </cell>
          <cell r="F1810" t="str">
            <v>Cover</v>
          </cell>
          <cell r="G1810">
            <v>1</v>
          </cell>
          <cell r="H1810">
            <v>2.09</v>
          </cell>
          <cell r="I1810" t="str">
            <v>Buy</v>
          </cell>
        </row>
        <row r="1811">
          <cell r="A1811" t="str">
            <v>ASY-100012-02</v>
          </cell>
          <cell r="B1811">
            <v>1</v>
          </cell>
          <cell r="C1811" t="str">
            <v>CVR-000893-02</v>
          </cell>
          <cell r="D1811" t="str">
            <v>END COVER, MC, BRONZE, L60, TROV 2.0</v>
          </cell>
          <cell r="E1811" t="str">
            <v>B</v>
          </cell>
          <cell r="F1811" t="str">
            <v>Cover</v>
          </cell>
          <cell r="G1811">
            <v>1</v>
          </cell>
          <cell r="H1811">
            <v>7.5</v>
          </cell>
          <cell r="I1811" t="str">
            <v>Buy</v>
          </cell>
        </row>
        <row r="1812">
          <cell r="A1812" t="str">
            <v>ASY-100012-02</v>
          </cell>
          <cell r="B1812">
            <v>1</v>
          </cell>
          <cell r="C1812" t="str">
            <v>FOM-000028-00</v>
          </cell>
          <cell r="D1812" t="str">
            <v>FOAM, LIGHTBLOCK, ENDCAP, L60, TROV2</v>
          </cell>
          <cell r="E1812" t="str">
            <v>A</v>
          </cell>
          <cell r="F1812" t="str">
            <v>Foam</v>
          </cell>
          <cell r="G1812">
            <v>2</v>
          </cell>
          <cell r="H1812">
            <v>0.03</v>
          </cell>
          <cell r="I1812" t="str">
            <v>Buy</v>
          </cell>
        </row>
        <row r="1813">
          <cell r="A1813" t="str">
            <v>ASY-100012-02</v>
          </cell>
          <cell r="B1813">
            <v>1</v>
          </cell>
          <cell r="C1813" t="str">
            <v>GSK-000122-01</v>
          </cell>
          <cell r="D1813" t="str">
            <v>GASKET, DRIVER ENCLOSURE, 3M, 4 FT, TROV 2.0</v>
          </cell>
          <cell r="E1813" t="str">
            <v>B</v>
          </cell>
          <cell r="F1813" t="str">
            <v>Gasket</v>
          </cell>
          <cell r="G1813">
            <v>1</v>
          </cell>
          <cell r="H1813">
            <v>2.0299999999999998</v>
          </cell>
          <cell r="I1813" t="str">
            <v>Buy</v>
          </cell>
        </row>
        <row r="1814">
          <cell r="A1814" t="str">
            <v>ASY-100012-02</v>
          </cell>
          <cell r="B1814">
            <v>1</v>
          </cell>
          <cell r="C1814" t="str">
            <v>GSK-000133-00</v>
          </cell>
          <cell r="D1814" t="str">
            <v>GASKET, TERTIARY LENS, 3M, 2 FT, L60, TROV 2.0</v>
          </cell>
          <cell r="E1814" t="str">
            <v>B</v>
          </cell>
          <cell r="F1814" t="str">
            <v>Gasket</v>
          </cell>
          <cell r="G1814">
            <v>2</v>
          </cell>
          <cell r="H1814">
            <v>6</v>
          </cell>
          <cell r="I1814" t="str">
            <v>Buy</v>
          </cell>
        </row>
        <row r="1815">
          <cell r="A1815" t="str">
            <v>ASY-100012-02</v>
          </cell>
          <cell r="B1815">
            <v>1</v>
          </cell>
          <cell r="C1815" t="str">
            <v>HSG-000493-02</v>
          </cell>
          <cell r="D1815" t="str">
            <v>HOUSING, TOP, 4 FT, L60, BRONZE, TROV 2.0</v>
          </cell>
          <cell r="E1815" t="str">
            <v>E</v>
          </cell>
          <cell r="F1815" t="str">
            <v>Housing</v>
          </cell>
          <cell r="G1815">
            <v>1</v>
          </cell>
          <cell r="H1815">
            <v>15.06</v>
          </cell>
          <cell r="I1815" t="str">
            <v>Buy</v>
          </cell>
        </row>
        <row r="1816">
          <cell r="A1816" t="str">
            <v>ASY-100012-02</v>
          </cell>
          <cell r="B1816">
            <v>1</v>
          </cell>
          <cell r="C1816" t="str">
            <v>HSG-000495-02</v>
          </cell>
          <cell r="D1816" t="str">
            <v>HOUSING, BOTTOM, 4 FT, BRONZE, TROV 2.0</v>
          </cell>
          <cell r="E1816" t="str">
            <v>F</v>
          </cell>
          <cell r="F1816" t="str">
            <v>Housing</v>
          </cell>
          <cell r="G1816">
            <v>1</v>
          </cell>
          <cell r="H1816">
            <v>29.32</v>
          </cell>
          <cell r="I1816" t="str">
            <v>Buy</v>
          </cell>
        </row>
        <row r="1817">
          <cell r="A1817" t="str">
            <v>ASY-100012-02</v>
          </cell>
          <cell r="B1817">
            <v>1</v>
          </cell>
          <cell r="C1817" t="str">
            <v>LBA-000003-00</v>
          </cell>
          <cell r="D1817" t="str">
            <v>Label: TROV 2 P1/P2, Model L45/L60</v>
          </cell>
          <cell r="E1817" t="str">
            <v>A</v>
          </cell>
          <cell r="F1817" t="str">
            <v>Label BOM</v>
          </cell>
          <cell r="G1817">
            <v>1</v>
          </cell>
          <cell r="H1817">
            <v>0</v>
          </cell>
          <cell r="I1817" t="str">
            <v>Make</v>
          </cell>
        </row>
        <row r="1818">
          <cell r="A1818" t="str">
            <v>ASY-100012-02</v>
          </cell>
          <cell r="B1818">
            <v>2</v>
          </cell>
          <cell r="C1818" t="str">
            <v>LBL-000243-00</v>
          </cell>
          <cell r="D1818" t="str">
            <v>Blank Product Label: Trov 2 P1/P2, Model L45/L60</v>
          </cell>
          <cell r="E1818" t="str">
            <v>A</v>
          </cell>
          <cell r="F1818" t="str">
            <v>Label</v>
          </cell>
          <cell r="G1818">
            <v>1</v>
          </cell>
          <cell r="H1818">
            <v>0.33</v>
          </cell>
          <cell r="I1818" t="str">
            <v>Buy</v>
          </cell>
        </row>
        <row r="1819">
          <cell r="A1819" t="str">
            <v>ASY-100012-02</v>
          </cell>
          <cell r="B1819">
            <v>1</v>
          </cell>
          <cell r="C1819" t="str">
            <v>PLG-000009-01</v>
          </cell>
          <cell r="D1819" t="str">
            <v>Porex Vent, Trov, L50 Exterior</v>
          </cell>
          <cell r="E1819" t="str">
            <v>B</v>
          </cell>
          <cell r="F1819" t="str">
            <v>Plug</v>
          </cell>
          <cell r="G1819">
            <v>2</v>
          </cell>
          <cell r="H1819">
            <v>0.17</v>
          </cell>
          <cell r="I1819" t="str">
            <v>Buy</v>
          </cell>
        </row>
        <row r="1820">
          <cell r="A1820" t="str">
            <v>ASY-100012-02</v>
          </cell>
          <cell r="B1820">
            <v>1</v>
          </cell>
          <cell r="C1820" t="str">
            <v>SCW-000156-00</v>
          </cell>
          <cell r="D1820" t="str">
            <v>SCREW, M3 x 0.5 X 8mm, PAND HEAD, PHILLIPS, STEEL</v>
          </cell>
          <cell r="E1820" t="str">
            <v>B</v>
          </cell>
          <cell r="F1820" t="str">
            <v>Screw</v>
          </cell>
          <cell r="G1820">
            <v>6</v>
          </cell>
          <cell r="H1820">
            <v>4.4400000000000002E-2</v>
          </cell>
          <cell r="I1820" t="str">
            <v>Buy</v>
          </cell>
        </row>
        <row r="1821">
          <cell r="A1821" t="str">
            <v>ASY-100012-02</v>
          </cell>
          <cell r="B1821">
            <v>1</v>
          </cell>
          <cell r="C1821" t="str">
            <v>SCW-000483-00</v>
          </cell>
          <cell r="D1821" t="str">
            <v>SCREW, PHILIPS FLAT HEAD, M2.5x0.45x5 , 18-8 SST</v>
          </cell>
          <cell r="E1821" t="str">
            <v>A</v>
          </cell>
          <cell r="F1821" t="str">
            <v>Screw</v>
          </cell>
          <cell r="G1821">
            <v>4</v>
          </cell>
          <cell r="H1821">
            <v>0.02</v>
          </cell>
          <cell r="I1821" t="str">
            <v>Buy</v>
          </cell>
        </row>
        <row r="1822">
          <cell r="A1822" t="str">
            <v>ASY-100012-02</v>
          </cell>
          <cell r="B1822">
            <v>1</v>
          </cell>
          <cell r="C1822" t="str">
            <v>SCW-000556-00</v>
          </cell>
          <cell r="D1822" t="str">
            <v>SCREW, HEX, SERRATED, #8-32, GROUNDING, TROV 2</v>
          </cell>
          <cell r="E1822" t="str">
            <v>A</v>
          </cell>
          <cell r="F1822" t="str">
            <v>Screw</v>
          </cell>
          <cell r="G1822">
            <v>1</v>
          </cell>
          <cell r="H1822">
            <v>0.04</v>
          </cell>
          <cell r="I1822" t="str">
            <v>Buy</v>
          </cell>
        </row>
        <row r="1823">
          <cell r="A1823" t="str">
            <v>ASY-100012-02</v>
          </cell>
          <cell r="B1823">
            <v>1</v>
          </cell>
          <cell r="C1823" t="str">
            <v>SCW-000567-00</v>
          </cell>
          <cell r="D1823" t="str">
            <v>SCREW, M2.5 x 0.45 x 12.0mm LENGTH, PAN HD, PHILLIPS, ZINC-PLATED STEEL</v>
          </cell>
          <cell r="E1823" t="str">
            <v>A</v>
          </cell>
          <cell r="F1823" t="str">
            <v>Screw</v>
          </cell>
          <cell r="G1823">
            <v>4</v>
          </cell>
          <cell r="H1823">
            <v>0.06</v>
          </cell>
          <cell r="I1823" t="str">
            <v>Buy</v>
          </cell>
        </row>
        <row r="1824">
          <cell r="A1824" t="str">
            <v>ASY-100012-02</v>
          </cell>
          <cell r="B1824">
            <v>1</v>
          </cell>
          <cell r="C1824" t="str">
            <v>SCW-000574-00</v>
          </cell>
          <cell r="D1824" t="str">
            <v>SCREW, TORX HEAD, 1/4-28x1/2", LOW PROFILE, ALLOY STEEL</v>
          </cell>
          <cell r="E1824" t="str">
            <v>A</v>
          </cell>
          <cell r="F1824" t="str">
            <v>Screw</v>
          </cell>
          <cell r="G1824">
            <v>2</v>
          </cell>
          <cell r="H1824">
            <v>0.14000000000000001</v>
          </cell>
          <cell r="I1824" t="str">
            <v>Buy</v>
          </cell>
        </row>
        <row r="1825">
          <cell r="A1825" t="str">
            <v>ASY-100012-02</v>
          </cell>
          <cell r="B1825">
            <v>1</v>
          </cell>
          <cell r="C1825" t="str">
            <v>SHT-000043-00</v>
          </cell>
          <cell r="D1825" t="str">
            <v>INSULATION SHEET, HBA, 4FT,TROV 2</v>
          </cell>
          <cell r="E1825" t="str">
            <v>D</v>
          </cell>
          <cell r="F1825" t="str">
            <v>Sheet</v>
          </cell>
          <cell r="G1825">
            <v>1</v>
          </cell>
          <cell r="H1825">
            <v>0.25</v>
          </cell>
          <cell r="I1825" t="str">
            <v>Buy</v>
          </cell>
        </row>
        <row r="1826">
          <cell r="A1826" t="str">
            <v>ASY-100012-02</v>
          </cell>
          <cell r="B1826">
            <v>1</v>
          </cell>
          <cell r="C1826" t="str">
            <v>SPG-000023-00</v>
          </cell>
          <cell r="D1826" t="str">
            <v>SPRING, DISC, STACKED WAVE, TROV 2.0</v>
          </cell>
          <cell r="E1826" t="str">
            <v>A</v>
          </cell>
          <cell r="F1826" t="str">
            <v>Spring</v>
          </cell>
          <cell r="G1826">
            <v>2</v>
          </cell>
          <cell r="H1826">
            <v>1.74</v>
          </cell>
          <cell r="I1826" t="str">
            <v>Buy</v>
          </cell>
        </row>
        <row r="1827">
          <cell r="A1827" t="str">
            <v>ASY-100012-02</v>
          </cell>
          <cell r="B1827">
            <v>1</v>
          </cell>
          <cell r="C1827" t="str">
            <v>TAP-000031-00</v>
          </cell>
          <cell r="D1827" t="str">
            <v>3M Electrical Tape 92</v>
          </cell>
          <cell r="E1827" t="str">
            <v>A</v>
          </cell>
          <cell r="F1827" t="str">
            <v>Tape</v>
          </cell>
          <cell r="G1827">
            <v>120</v>
          </cell>
          <cell r="H1827">
            <v>1.4E-2</v>
          </cell>
          <cell r="I1827" t="str">
            <v>Buy</v>
          </cell>
        </row>
        <row r="1828">
          <cell r="A1828" t="str">
            <v>ASY-100012-02</v>
          </cell>
          <cell r="B1828">
            <v>1</v>
          </cell>
          <cell r="C1828" t="str">
            <v>TMP-000028-00</v>
          </cell>
          <cell r="D1828" t="str">
            <v>Thermal Pad, LED PCBA, 2 FT, TROV 2</v>
          </cell>
          <cell r="E1828" t="str">
            <v>B</v>
          </cell>
          <cell r="F1828" t="str">
            <v>Thermal Pad</v>
          </cell>
          <cell r="G1828">
            <v>2</v>
          </cell>
          <cell r="H1828">
            <v>1.32</v>
          </cell>
          <cell r="I1828" t="str">
            <v>Buy</v>
          </cell>
        </row>
        <row r="1829">
          <cell r="A1829" t="str">
            <v>ASY-100012-02</v>
          </cell>
          <cell r="B1829">
            <v>1</v>
          </cell>
          <cell r="C1829" t="str">
            <v>TMP-000029-00</v>
          </cell>
          <cell r="D1829" t="str">
            <v>Thermal Pad, HBA, TROV 2</v>
          </cell>
          <cell r="E1829" t="str">
            <v>B</v>
          </cell>
          <cell r="F1829" t="str">
            <v>Thermal Pad</v>
          </cell>
          <cell r="G1829">
            <v>2</v>
          </cell>
          <cell r="H1829">
            <v>0.14000000000000001</v>
          </cell>
          <cell r="I1829" t="str">
            <v>Buy</v>
          </cell>
        </row>
        <row r="1830">
          <cell r="A1830" t="str">
            <v>ASY-100012-02</v>
          </cell>
          <cell r="B1830">
            <v>1</v>
          </cell>
          <cell r="C1830" t="str">
            <v>TMP-000032-00</v>
          </cell>
          <cell r="D1830" t="str">
            <v>Thermal Pad, HBA, TROV 2</v>
          </cell>
          <cell r="E1830" t="str">
            <v>A</v>
          </cell>
          <cell r="F1830" t="str">
            <v>Thermal Pad</v>
          </cell>
          <cell r="G1830">
            <v>1</v>
          </cell>
          <cell r="H1830">
            <v>0.03</v>
          </cell>
          <cell r="I1830" t="str">
            <v>Buy</v>
          </cell>
        </row>
        <row r="1831">
          <cell r="A1831" t="str">
            <v>ASY-100012-03</v>
          </cell>
          <cell r="B1831">
            <v>0</v>
          </cell>
          <cell r="C1831" t="str">
            <v>ASY-100012-03</v>
          </cell>
          <cell r="D1831" t="str">
            <v>ASSY, MECHANICAL, L60, INDOOR, 4 FT, TROV2P2, DYNAMIC, BLACK</v>
          </cell>
          <cell r="E1831" t="str">
            <v>A</v>
          </cell>
          <cell r="F1831" t="str">
            <v>Sub assembly</v>
          </cell>
          <cell r="H1831">
            <v>0</v>
          </cell>
          <cell r="I1831" t="str">
            <v>Make</v>
          </cell>
        </row>
        <row r="1832">
          <cell r="A1832" t="str">
            <v>ASY-100012-03</v>
          </cell>
          <cell r="B1832">
            <v>1</v>
          </cell>
          <cell r="C1832" t="str">
            <v>ACB-000275-00</v>
          </cell>
          <cell r="D1832" t="str">
            <v>CABLE, CANBUS, SHORT, TROV 2</v>
          </cell>
          <cell r="E1832" t="str">
            <v>A</v>
          </cell>
          <cell r="F1832" t="str">
            <v>Cable</v>
          </cell>
          <cell r="G1832">
            <v>1</v>
          </cell>
          <cell r="H1832">
            <v>0.7</v>
          </cell>
          <cell r="I1832" t="str">
            <v>Buy</v>
          </cell>
        </row>
        <row r="1833">
          <cell r="A1833" t="str">
            <v>ASY-100012-03</v>
          </cell>
          <cell r="B1833">
            <v>1</v>
          </cell>
          <cell r="C1833" t="str">
            <v>ACB-000275-01</v>
          </cell>
          <cell r="D1833" t="str">
            <v>CABLE, CANBUS, LONG, TROV 2</v>
          </cell>
          <cell r="E1833" t="str">
            <v>A</v>
          </cell>
          <cell r="F1833" t="str">
            <v>Cable</v>
          </cell>
          <cell r="G1833">
            <v>1</v>
          </cell>
          <cell r="H1833">
            <v>0.81</v>
          </cell>
          <cell r="I1833" t="str">
            <v>Buy</v>
          </cell>
        </row>
        <row r="1834">
          <cell r="A1834" t="str">
            <v>ASY-100012-03</v>
          </cell>
          <cell r="B1834">
            <v>1</v>
          </cell>
          <cell r="C1834" t="str">
            <v>ASY-100008-00</v>
          </cell>
          <cell r="D1834" t="str">
            <v>Cable Subassembly, Driver housing, 4ft, Trov 2</v>
          </cell>
          <cell r="E1834" t="str">
            <v>A</v>
          </cell>
          <cell r="F1834" t="str">
            <v>Sub assembly</v>
          </cell>
          <cell r="G1834">
            <v>1</v>
          </cell>
          <cell r="H1834">
            <v>0</v>
          </cell>
          <cell r="I1834" t="str">
            <v>Make</v>
          </cell>
        </row>
        <row r="1835">
          <cell r="A1835" t="str">
            <v>ASY-100012-03</v>
          </cell>
          <cell r="B1835">
            <v>2</v>
          </cell>
          <cell r="C1835" t="str">
            <v>ACB-000272-00</v>
          </cell>
          <cell r="D1835" t="str">
            <v>CABLE ASSY, INTRA-FIXTURE, 4FT, TROV 2.0</v>
          </cell>
          <cell r="E1835" t="str">
            <v>B</v>
          </cell>
          <cell r="F1835" t="str">
            <v>Cable Assembly</v>
          </cell>
          <cell r="G1835">
            <v>1</v>
          </cell>
          <cell r="H1835">
            <v>20.420000000000002</v>
          </cell>
          <cell r="I1835" t="str">
            <v>Buy</v>
          </cell>
        </row>
        <row r="1836">
          <cell r="A1836" t="str">
            <v>ASY-100012-03</v>
          </cell>
          <cell r="B1836">
            <v>3</v>
          </cell>
          <cell r="C1836" t="str">
            <v>ACB-000273-00</v>
          </cell>
          <cell r="D1836" t="str">
            <v>6 CONDUCTOR CABLE, 3X22AWG, 3X16AWG, AL MYLAR, TROV 2</v>
          </cell>
          <cell r="E1836" t="str">
            <v>A</v>
          </cell>
          <cell r="F1836" t="str">
            <v>Cable</v>
          </cell>
          <cell r="G1836">
            <v>1</v>
          </cell>
          <cell r="H1836">
            <v>0</v>
          </cell>
          <cell r="I1836" t="str">
            <v>N/A</v>
          </cell>
        </row>
        <row r="1837">
          <cell r="A1837" t="str">
            <v>ASY-100012-03</v>
          </cell>
          <cell r="B1837">
            <v>3</v>
          </cell>
          <cell r="C1837" t="str">
            <v>ACB-000274-00</v>
          </cell>
          <cell r="D1837" t="str">
            <v>CABLE ASSEMBLY, INTERNAL, DRIVER SIDE, 4FT, TROV 2</v>
          </cell>
          <cell r="E1837" t="str">
            <v>A</v>
          </cell>
          <cell r="F1837" t="str">
            <v>Cable Assembly</v>
          </cell>
          <cell r="G1837">
            <v>1</v>
          </cell>
          <cell r="H1837">
            <v>0</v>
          </cell>
          <cell r="I1837" t="str">
            <v>N/A</v>
          </cell>
        </row>
        <row r="1838">
          <cell r="A1838" t="str">
            <v>ASY-100012-03</v>
          </cell>
          <cell r="B1838">
            <v>3</v>
          </cell>
          <cell r="C1838" t="str">
            <v>CON-000259-00</v>
          </cell>
          <cell r="D1838" t="str">
            <v>CONNECTOR, MALE, 6 PIN, TROV 2</v>
          </cell>
          <cell r="E1838" t="str">
            <v>B</v>
          </cell>
          <cell r="F1838" t="str">
            <v>Connector</v>
          </cell>
          <cell r="G1838">
            <v>1</v>
          </cell>
          <cell r="H1838">
            <v>0</v>
          </cell>
          <cell r="I1838" t="str">
            <v>N/A</v>
          </cell>
        </row>
        <row r="1839">
          <cell r="A1839" t="str">
            <v>ASY-100012-03</v>
          </cell>
          <cell r="B1839">
            <v>3</v>
          </cell>
          <cell r="C1839" t="str">
            <v>CON-000260-00</v>
          </cell>
          <cell r="D1839" t="str">
            <v>CONNECTOR, FEMALE, 6 PIN, TROV 2</v>
          </cell>
          <cell r="E1839" t="str">
            <v>A</v>
          </cell>
          <cell r="F1839" t="str">
            <v>Connector</v>
          </cell>
          <cell r="G1839">
            <v>1</v>
          </cell>
          <cell r="H1839">
            <v>0</v>
          </cell>
          <cell r="I1839" t="str">
            <v>N/A</v>
          </cell>
        </row>
        <row r="1840">
          <cell r="A1840" t="str">
            <v>ASY-100012-03</v>
          </cell>
          <cell r="B1840">
            <v>3</v>
          </cell>
          <cell r="C1840" t="str">
            <v>HSG-000330-00</v>
          </cell>
          <cell r="D1840" t="str">
            <v>DRIVER HOUSING, 4 FT, TROV 2</v>
          </cell>
          <cell r="E1840" t="str">
            <v>A</v>
          </cell>
          <cell r="F1840" t="str">
            <v>Housing</v>
          </cell>
          <cell r="G1840">
            <v>1</v>
          </cell>
          <cell r="H1840">
            <v>0</v>
          </cell>
          <cell r="I1840" t="str">
            <v>N/A</v>
          </cell>
        </row>
        <row r="1841">
          <cell r="A1841" t="str">
            <v>ASY-100012-03</v>
          </cell>
          <cell r="B1841">
            <v>3</v>
          </cell>
          <cell r="C1841" t="str">
            <v>ORG-000060-00</v>
          </cell>
          <cell r="D1841" t="str">
            <v>O-RING, CABLE, TROV 2</v>
          </cell>
          <cell r="E1841" t="str">
            <v>A</v>
          </cell>
          <cell r="F1841" t="str">
            <v>O-Ring</v>
          </cell>
          <cell r="G1841">
            <v>1</v>
          </cell>
          <cell r="H1841">
            <v>0</v>
          </cell>
          <cell r="I1841" t="str">
            <v>N/A</v>
          </cell>
        </row>
        <row r="1842">
          <cell r="A1842" t="str">
            <v>ASY-100012-03</v>
          </cell>
          <cell r="B1842">
            <v>3</v>
          </cell>
          <cell r="C1842" t="str">
            <v>SRF-000030-00</v>
          </cell>
          <cell r="D1842" t="str">
            <v>STRAIN RELIEF, CABLE, TROV 2</v>
          </cell>
          <cell r="E1842" t="str">
            <v>A</v>
          </cell>
          <cell r="F1842" t="str">
            <v>Strain Relief</v>
          </cell>
          <cell r="G1842">
            <v>1</v>
          </cell>
          <cell r="H1842">
            <v>0</v>
          </cell>
          <cell r="I1842" t="str">
            <v>N/A</v>
          </cell>
        </row>
        <row r="1843">
          <cell r="A1843" t="str">
            <v>ASY-100012-03</v>
          </cell>
          <cell r="B1843">
            <v>2</v>
          </cell>
          <cell r="C1843" t="str">
            <v>BKT-000517-00</v>
          </cell>
          <cell r="D1843" t="str">
            <v>BRACKET, ROTATING LOCK, 4 FT, TROV 2.0</v>
          </cell>
          <cell r="E1843" t="str">
            <v>B</v>
          </cell>
          <cell r="F1843" t="str">
            <v>Bracket</v>
          </cell>
          <cell r="G1843">
            <v>1</v>
          </cell>
          <cell r="H1843">
            <v>0.9</v>
          </cell>
          <cell r="I1843" t="str">
            <v>Buy</v>
          </cell>
        </row>
        <row r="1844">
          <cell r="A1844" t="str">
            <v>ASY-100012-03</v>
          </cell>
          <cell r="B1844">
            <v>2</v>
          </cell>
          <cell r="C1844" t="str">
            <v>BKT-000518-00</v>
          </cell>
          <cell r="D1844" t="str">
            <v>BRACKET, PANEL MOUNT, 4 FT, TROV 2.0</v>
          </cell>
          <cell r="E1844" t="str">
            <v>B</v>
          </cell>
          <cell r="F1844" t="str">
            <v>Bracket</v>
          </cell>
          <cell r="G1844">
            <v>1</v>
          </cell>
          <cell r="H1844">
            <v>0.9</v>
          </cell>
          <cell r="I1844" t="str">
            <v>Buy</v>
          </cell>
        </row>
        <row r="1845">
          <cell r="A1845" t="str">
            <v>ASY-100012-03</v>
          </cell>
          <cell r="B1845">
            <v>2</v>
          </cell>
          <cell r="C1845" t="str">
            <v>SCW-000509-00</v>
          </cell>
          <cell r="D1845" t="str">
            <v>SCREW, SEALING FLAT HEAD, M3x0.5x8MM</v>
          </cell>
          <cell r="E1845" t="str">
            <v>B</v>
          </cell>
          <cell r="F1845" t="str">
            <v>Screw</v>
          </cell>
          <cell r="G1845">
            <v>2</v>
          </cell>
          <cell r="H1845">
            <v>0.4</v>
          </cell>
          <cell r="I1845" t="str">
            <v>Buy</v>
          </cell>
        </row>
        <row r="1846">
          <cell r="A1846" t="str">
            <v>ASY-100012-03</v>
          </cell>
          <cell r="B1846">
            <v>1</v>
          </cell>
          <cell r="C1846" t="str">
            <v>BAS-000021-00</v>
          </cell>
          <cell r="D1846" t="str">
            <v>BASE, 4FT, TROV 2.0</v>
          </cell>
          <cell r="E1846" t="str">
            <v>F</v>
          </cell>
          <cell r="F1846" t="str">
            <v>Base</v>
          </cell>
          <cell r="G1846">
            <v>1</v>
          </cell>
          <cell r="H1846">
            <v>14.25</v>
          </cell>
          <cell r="I1846" t="str">
            <v>Buy</v>
          </cell>
        </row>
        <row r="1847">
          <cell r="A1847" t="str">
            <v>ASY-100012-03</v>
          </cell>
          <cell r="B1847">
            <v>1</v>
          </cell>
          <cell r="C1847" t="str">
            <v>BKT-000457-03</v>
          </cell>
          <cell r="D1847" t="str">
            <v>BRACKET, MOUNT, LEFT, BLACK, TROV 2.0</v>
          </cell>
          <cell r="E1847" t="str">
            <v>C</v>
          </cell>
          <cell r="F1847" t="str">
            <v>Bracket</v>
          </cell>
          <cell r="G1847">
            <v>1</v>
          </cell>
          <cell r="H1847">
            <v>0.99</v>
          </cell>
          <cell r="I1847" t="str">
            <v>Buy</v>
          </cell>
        </row>
        <row r="1848">
          <cell r="A1848" t="str">
            <v>ASY-100012-03</v>
          </cell>
          <cell r="B1848">
            <v>1</v>
          </cell>
          <cell r="C1848" t="str">
            <v>BKT-000458-03</v>
          </cell>
          <cell r="D1848" t="str">
            <v>BRACKET, MOUNT, RIGHT, BLACK, TROV 2.0</v>
          </cell>
          <cell r="E1848" t="str">
            <v>C</v>
          </cell>
          <cell r="F1848" t="str">
            <v>Bracket</v>
          </cell>
          <cell r="G1848">
            <v>1</v>
          </cell>
          <cell r="H1848">
            <v>0.99</v>
          </cell>
          <cell r="I1848" t="str">
            <v>Buy</v>
          </cell>
        </row>
        <row r="1849">
          <cell r="A1849" t="str">
            <v>ASY-100012-03</v>
          </cell>
          <cell r="B1849">
            <v>1</v>
          </cell>
          <cell r="C1849" t="str">
            <v>CVR-000789-03</v>
          </cell>
          <cell r="D1849" t="str">
            <v>END COVER, FC, BLACK, L60, TROV 2.0</v>
          </cell>
          <cell r="E1849" t="str">
            <v>D</v>
          </cell>
          <cell r="F1849" t="str">
            <v>Cover</v>
          </cell>
          <cell r="G1849">
            <v>1</v>
          </cell>
          <cell r="H1849">
            <v>1.0900000000000001</v>
          </cell>
          <cell r="I1849" t="str">
            <v>Buy</v>
          </cell>
        </row>
        <row r="1850">
          <cell r="A1850" t="str">
            <v>ASY-100012-03</v>
          </cell>
          <cell r="B1850">
            <v>1</v>
          </cell>
          <cell r="C1850" t="str">
            <v>CVR-000893-03</v>
          </cell>
          <cell r="D1850" t="str">
            <v>END COVER, MC, BLACK, L60, TROV 2.0</v>
          </cell>
          <cell r="E1850" t="str">
            <v>B</v>
          </cell>
          <cell r="F1850" t="str">
            <v>Cover</v>
          </cell>
          <cell r="G1850">
            <v>1</v>
          </cell>
          <cell r="H1850">
            <v>1.0900000000000001</v>
          </cell>
          <cell r="I1850" t="str">
            <v>Buy</v>
          </cell>
        </row>
        <row r="1851">
          <cell r="A1851" t="str">
            <v>ASY-100012-03</v>
          </cell>
          <cell r="B1851">
            <v>1</v>
          </cell>
          <cell r="C1851" t="str">
            <v>FOM-000028-00</v>
          </cell>
          <cell r="D1851" t="str">
            <v>FOAM, LIGHTBLOCK, ENDCAP, L60, TROV2</v>
          </cell>
          <cell r="E1851" t="str">
            <v>A</v>
          </cell>
          <cell r="F1851" t="str">
            <v>Foam</v>
          </cell>
          <cell r="G1851">
            <v>2</v>
          </cell>
          <cell r="H1851">
            <v>0.03</v>
          </cell>
          <cell r="I1851" t="str">
            <v>Buy</v>
          </cell>
        </row>
        <row r="1852">
          <cell r="A1852" t="str">
            <v>ASY-100012-03</v>
          </cell>
          <cell r="B1852">
            <v>1</v>
          </cell>
          <cell r="C1852" t="str">
            <v>GSK-000122-01</v>
          </cell>
          <cell r="D1852" t="str">
            <v>GASKET, DRIVER ENCLOSURE, 3M, 4 FT, TROV 2.0</v>
          </cell>
          <cell r="E1852" t="str">
            <v>B</v>
          </cell>
          <cell r="F1852" t="str">
            <v>Gasket</v>
          </cell>
          <cell r="G1852">
            <v>1</v>
          </cell>
          <cell r="H1852">
            <v>2.0299999999999998</v>
          </cell>
          <cell r="I1852" t="str">
            <v>Buy</v>
          </cell>
        </row>
        <row r="1853">
          <cell r="A1853" t="str">
            <v>ASY-100012-03</v>
          </cell>
          <cell r="B1853">
            <v>1</v>
          </cell>
          <cell r="C1853" t="str">
            <v>GSK-000133-00</v>
          </cell>
          <cell r="D1853" t="str">
            <v>GASKET, TERTIARY LENS, 3M, 2 FT, L60, TROV 2.0</v>
          </cell>
          <cell r="E1853" t="str">
            <v>B</v>
          </cell>
          <cell r="F1853" t="str">
            <v>Gasket</v>
          </cell>
          <cell r="G1853">
            <v>2</v>
          </cell>
          <cell r="H1853">
            <v>6</v>
          </cell>
          <cell r="I1853" t="str">
            <v>Buy</v>
          </cell>
        </row>
        <row r="1854">
          <cell r="A1854" t="str">
            <v>ASY-100012-03</v>
          </cell>
          <cell r="B1854">
            <v>1</v>
          </cell>
          <cell r="C1854" t="str">
            <v>HSG-000493-03</v>
          </cell>
          <cell r="D1854" t="str">
            <v>HOUSING, TOP, 4 FT, L60, BLACK, TROV 2.0</v>
          </cell>
          <cell r="E1854" t="str">
            <v>E</v>
          </cell>
          <cell r="F1854" t="str">
            <v>Housing</v>
          </cell>
          <cell r="G1854">
            <v>1</v>
          </cell>
          <cell r="H1854">
            <v>15.06</v>
          </cell>
          <cell r="I1854" t="str">
            <v>Buy</v>
          </cell>
        </row>
        <row r="1855">
          <cell r="A1855" t="str">
            <v>ASY-100012-03</v>
          </cell>
          <cell r="B1855">
            <v>1</v>
          </cell>
          <cell r="C1855" t="str">
            <v>HSG-000495-03</v>
          </cell>
          <cell r="D1855" t="str">
            <v>HOUSING, BOTTOM, 4 FT, BLACK, TROV 2.0</v>
          </cell>
          <cell r="E1855" t="str">
            <v>F</v>
          </cell>
          <cell r="F1855" t="str">
            <v>Housing</v>
          </cell>
          <cell r="G1855">
            <v>1</v>
          </cell>
          <cell r="H1855">
            <v>13.73</v>
          </cell>
          <cell r="I1855" t="str">
            <v>Buy</v>
          </cell>
        </row>
        <row r="1856">
          <cell r="A1856" t="str">
            <v>ASY-100012-03</v>
          </cell>
          <cell r="B1856">
            <v>1</v>
          </cell>
          <cell r="C1856" t="str">
            <v>LBA-000003-00</v>
          </cell>
          <cell r="D1856" t="str">
            <v>Label: TROV 2 P1/P2, Model L45/L60</v>
          </cell>
          <cell r="E1856" t="str">
            <v>A</v>
          </cell>
          <cell r="F1856" t="str">
            <v>Label BOM</v>
          </cell>
          <cell r="G1856">
            <v>1</v>
          </cell>
          <cell r="H1856">
            <v>0</v>
          </cell>
          <cell r="I1856" t="str">
            <v>Make</v>
          </cell>
        </row>
        <row r="1857">
          <cell r="A1857" t="str">
            <v>ASY-100012-03</v>
          </cell>
          <cell r="B1857">
            <v>2</v>
          </cell>
          <cell r="C1857" t="str">
            <v>LBL-000243-00</v>
          </cell>
          <cell r="D1857" t="str">
            <v>Blank Product Label: Trov 2 P1/P2, Model L45/L60</v>
          </cell>
          <cell r="E1857" t="str">
            <v>A</v>
          </cell>
          <cell r="F1857" t="str">
            <v>Label</v>
          </cell>
          <cell r="G1857">
            <v>1</v>
          </cell>
          <cell r="H1857">
            <v>0.33</v>
          </cell>
          <cell r="I1857" t="str">
            <v>Buy</v>
          </cell>
        </row>
        <row r="1858">
          <cell r="A1858" t="str">
            <v>ASY-100012-03</v>
          </cell>
          <cell r="B1858">
            <v>1</v>
          </cell>
          <cell r="C1858" t="str">
            <v>PLG-000009-01</v>
          </cell>
          <cell r="D1858" t="str">
            <v>Porex Vent, Trov, L50 Exterior</v>
          </cell>
          <cell r="E1858" t="str">
            <v>B</v>
          </cell>
          <cell r="F1858" t="str">
            <v>Plug</v>
          </cell>
          <cell r="G1858">
            <v>2</v>
          </cell>
          <cell r="H1858">
            <v>0.17</v>
          </cell>
          <cell r="I1858" t="str">
            <v>Buy</v>
          </cell>
        </row>
        <row r="1859">
          <cell r="A1859" t="str">
            <v>ASY-100012-03</v>
          </cell>
          <cell r="B1859">
            <v>1</v>
          </cell>
          <cell r="C1859" t="str">
            <v>SCW-000156-00</v>
          </cell>
          <cell r="D1859" t="str">
            <v>SCREW, M3 x 0.5 X 8mm, PAND HEAD, PHILLIPS, STEEL</v>
          </cell>
          <cell r="E1859" t="str">
            <v>B</v>
          </cell>
          <cell r="F1859" t="str">
            <v>Screw</v>
          </cell>
          <cell r="G1859">
            <v>6</v>
          </cell>
          <cell r="H1859">
            <v>4.4400000000000002E-2</v>
          </cell>
          <cell r="I1859" t="str">
            <v>Buy</v>
          </cell>
        </row>
        <row r="1860">
          <cell r="A1860" t="str">
            <v>ASY-100012-03</v>
          </cell>
          <cell r="B1860">
            <v>1</v>
          </cell>
          <cell r="C1860" t="str">
            <v>SCW-000483-00</v>
          </cell>
          <cell r="D1860" t="str">
            <v>SCREW, PHILIPS FLAT HEAD, M2.5x0.45x5 , 18-8 SST</v>
          </cell>
          <cell r="E1860" t="str">
            <v>A</v>
          </cell>
          <cell r="F1860" t="str">
            <v>Screw</v>
          </cell>
          <cell r="G1860">
            <v>4</v>
          </cell>
          <cell r="H1860">
            <v>0.02</v>
          </cell>
          <cell r="I1860" t="str">
            <v>Buy</v>
          </cell>
        </row>
        <row r="1861">
          <cell r="A1861" t="str">
            <v>ASY-100012-03</v>
          </cell>
          <cell r="B1861">
            <v>1</v>
          </cell>
          <cell r="C1861" t="str">
            <v>SCW-000556-00</v>
          </cell>
          <cell r="D1861" t="str">
            <v>SCREW, HEX, SERRATED, #8-32, GROUNDING, TROV 2</v>
          </cell>
          <cell r="E1861" t="str">
            <v>A</v>
          </cell>
          <cell r="F1861" t="str">
            <v>Screw</v>
          </cell>
          <cell r="G1861">
            <v>1</v>
          </cell>
          <cell r="H1861">
            <v>0.04</v>
          </cell>
          <cell r="I1861" t="str">
            <v>Buy</v>
          </cell>
        </row>
        <row r="1862">
          <cell r="A1862" t="str">
            <v>ASY-100012-03</v>
          </cell>
          <cell r="B1862">
            <v>1</v>
          </cell>
          <cell r="C1862" t="str">
            <v>SCW-000567-00</v>
          </cell>
          <cell r="D1862" t="str">
            <v>SCREW, M2.5 x 0.45 x 12.0mm LENGTH, PAN HD, PHILLIPS, ZINC-PLATED STEEL</v>
          </cell>
          <cell r="E1862" t="str">
            <v>A</v>
          </cell>
          <cell r="F1862" t="str">
            <v>Screw</v>
          </cell>
          <cell r="G1862">
            <v>4</v>
          </cell>
          <cell r="H1862">
            <v>0.06</v>
          </cell>
          <cell r="I1862" t="str">
            <v>Buy</v>
          </cell>
        </row>
        <row r="1863">
          <cell r="A1863" t="str">
            <v>ASY-100012-03</v>
          </cell>
          <cell r="B1863">
            <v>1</v>
          </cell>
          <cell r="C1863" t="str">
            <v>SCW-000574-00</v>
          </cell>
          <cell r="D1863" t="str">
            <v>SCREW, TORX HEAD, 1/4-28x1/2", LOW PROFILE, ALLOY STEEL</v>
          </cell>
          <cell r="E1863" t="str">
            <v>A</v>
          </cell>
          <cell r="F1863" t="str">
            <v>Screw</v>
          </cell>
          <cell r="G1863">
            <v>2</v>
          </cell>
          <cell r="H1863">
            <v>0.14000000000000001</v>
          </cell>
          <cell r="I1863" t="str">
            <v>Buy</v>
          </cell>
        </row>
        <row r="1864">
          <cell r="A1864" t="str">
            <v>ASY-100012-03</v>
          </cell>
          <cell r="B1864">
            <v>1</v>
          </cell>
          <cell r="C1864" t="str">
            <v>SHT-000043-00</v>
          </cell>
          <cell r="D1864" t="str">
            <v>INSULATION SHEET, HBA, 4FT,TROV 2</v>
          </cell>
          <cell r="E1864" t="str">
            <v>D</v>
          </cell>
          <cell r="F1864" t="str">
            <v>Sheet</v>
          </cell>
          <cell r="G1864">
            <v>1</v>
          </cell>
          <cell r="H1864">
            <v>0.25</v>
          </cell>
          <cell r="I1864" t="str">
            <v>Buy</v>
          </cell>
        </row>
        <row r="1865">
          <cell r="A1865" t="str">
            <v>ASY-100012-03</v>
          </cell>
          <cell r="B1865">
            <v>1</v>
          </cell>
          <cell r="C1865" t="str">
            <v>SPG-000023-00</v>
          </cell>
          <cell r="D1865" t="str">
            <v>SPRING, DISC, STACKED WAVE, TROV 2.0</v>
          </cell>
          <cell r="E1865" t="str">
            <v>A</v>
          </cell>
          <cell r="F1865" t="str">
            <v>Spring</v>
          </cell>
          <cell r="G1865">
            <v>2</v>
          </cell>
          <cell r="H1865">
            <v>1.74</v>
          </cell>
          <cell r="I1865" t="str">
            <v>Buy</v>
          </cell>
        </row>
        <row r="1866">
          <cell r="A1866" t="str">
            <v>ASY-100012-03</v>
          </cell>
          <cell r="B1866">
            <v>1</v>
          </cell>
          <cell r="C1866" t="str">
            <v>TAP-000031-00</v>
          </cell>
          <cell r="D1866" t="str">
            <v>3M Electrical Tape 92</v>
          </cell>
          <cell r="E1866" t="str">
            <v>A</v>
          </cell>
          <cell r="F1866" t="str">
            <v>Tape</v>
          </cell>
          <cell r="G1866">
            <v>120</v>
          </cell>
          <cell r="H1866">
            <v>1.4E-2</v>
          </cell>
          <cell r="I1866" t="str">
            <v>Buy</v>
          </cell>
        </row>
        <row r="1867">
          <cell r="A1867" t="str">
            <v>ASY-100012-03</v>
          </cell>
          <cell r="B1867">
            <v>1</v>
          </cell>
          <cell r="C1867" t="str">
            <v>TMP-000028-00</v>
          </cell>
          <cell r="D1867" t="str">
            <v>Thermal Pad, LED PCBA, 2 FT, TROV 2</v>
          </cell>
          <cell r="E1867" t="str">
            <v>B</v>
          </cell>
          <cell r="F1867" t="str">
            <v>Thermal Pad</v>
          </cell>
          <cell r="G1867">
            <v>2</v>
          </cell>
          <cell r="H1867">
            <v>1.32</v>
          </cell>
          <cell r="I1867" t="str">
            <v>Buy</v>
          </cell>
        </row>
        <row r="1868">
          <cell r="A1868" t="str">
            <v>ASY-100012-03</v>
          </cell>
          <cell r="B1868">
            <v>1</v>
          </cell>
          <cell r="C1868" t="str">
            <v>TMP-000029-00</v>
          </cell>
          <cell r="D1868" t="str">
            <v>Thermal Pad, HBA, TROV 2</v>
          </cell>
          <cell r="E1868" t="str">
            <v>B</v>
          </cell>
          <cell r="F1868" t="str">
            <v>Thermal Pad</v>
          </cell>
          <cell r="G1868">
            <v>2</v>
          </cell>
          <cell r="H1868">
            <v>0.14000000000000001</v>
          </cell>
          <cell r="I1868" t="str">
            <v>Buy</v>
          </cell>
        </row>
        <row r="1869">
          <cell r="A1869" t="str">
            <v>ASY-100012-03</v>
          </cell>
          <cell r="B1869">
            <v>1</v>
          </cell>
          <cell r="C1869" t="str">
            <v>TMP-000032-00</v>
          </cell>
          <cell r="D1869" t="str">
            <v>Thermal Pad, HBA, TROV 2</v>
          </cell>
          <cell r="E1869" t="str">
            <v>A</v>
          </cell>
          <cell r="F1869" t="str">
            <v>Thermal Pad</v>
          </cell>
          <cell r="G1869">
            <v>1</v>
          </cell>
          <cell r="H1869">
            <v>0.03</v>
          </cell>
          <cell r="I1869" t="str">
            <v>Buy</v>
          </cell>
        </row>
        <row r="1870">
          <cell r="A1870" t="str">
            <v>ASY-100012-04</v>
          </cell>
          <cell r="B1870">
            <v>0</v>
          </cell>
          <cell r="C1870" t="str">
            <v>ASY-100012-04</v>
          </cell>
          <cell r="D1870" t="str">
            <v>ASSY, MECHANICAL, L60, INDOOR, 4 FT, TROV2P2, DYNAMIC, WHITE</v>
          </cell>
          <cell r="E1870" t="str">
            <v>A</v>
          </cell>
          <cell r="F1870" t="str">
            <v>Sub assembly</v>
          </cell>
          <cell r="H1870">
            <v>0</v>
          </cell>
          <cell r="I1870" t="str">
            <v>Make</v>
          </cell>
        </row>
        <row r="1871">
          <cell r="A1871" t="str">
            <v>ASY-100012-04</v>
          </cell>
          <cell r="B1871">
            <v>1</v>
          </cell>
          <cell r="C1871" t="str">
            <v>ACB-000275-00</v>
          </cell>
          <cell r="D1871" t="str">
            <v>CABLE, CANBUS, SHORT, TROV 2</v>
          </cell>
          <cell r="E1871" t="str">
            <v>A</v>
          </cell>
          <cell r="F1871" t="str">
            <v>Cable</v>
          </cell>
          <cell r="G1871">
            <v>1</v>
          </cell>
          <cell r="H1871">
            <v>0.7</v>
          </cell>
          <cell r="I1871" t="str">
            <v>Buy</v>
          </cell>
        </row>
        <row r="1872">
          <cell r="A1872" t="str">
            <v>ASY-100012-04</v>
          </cell>
          <cell r="B1872">
            <v>1</v>
          </cell>
          <cell r="C1872" t="str">
            <v>ACB-000275-01</v>
          </cell>
          <cell r="D1872" t="str">
            <v>CABLE, CANBUS, LONG, TROV 2</v>
          </cell>
          <cell r="E1872" t="str">
            <v>A</v>
          </cell>
          <cell r="F1872" t="str">
            <v>Cable</v>
          </cell>
          <cell r="G1872">
            <v>1</v>
          </cell>
          <cell r="H1872">
            <v>0.81</v>
          </cell>
          <cell r="I1872" t="str">
            <v>Buy</v>
          </cell>
        </row>
        <row r="1873">
          <cell r="A1873" t="str">
            <v>ASY-100012-04</v>
          </cell>
          <cell r="B1873">
            <v>1</v>
          </cell>
          <cell r="C1873" t="str">
            <v>ASY-100008-00</v>
          </cell>
          <cell r="D1873" t="str">
            <v>Cable Subassembly, Driver housing, 4ft, Trov 2</v>
          </cell>
          <cell r="E1873" t="str">
            <v>A</v>
          </cell>
          <cell r="F1873" t="str">
            <v>Sub assembly</v>
          </cell>
          <cell r="G1873">
            <v>1</v>
          </cell>
          <cell r="H1873">
            <v>0</v>
          </cell>
          <cell r="I1873" t="str">
            <v>Make</v>
          </cell>
        </row>
        <row r="1874">
          <cell r="A1874" t="str">
            <v>ASY-100012-04</v>
          </cell>
          <cell r="B1874">
            <v>2</v>
          </cell>
          <cell r="C1874" t="str">
            <v>ACB-000272-00</v>
          </cell>
          <cell r="D1874" t="str">
            <v>CABLE ASSY, INTRA-FIXTURE, 4FT, TROV 2.0</v>
          </cell>
          <cell r="E1874" t="str">
            <v>B</v>
          </cell>
          <cell r="F1874" t="str">
            <v>Cable Assembly</v>
          </cell>
          <cell r="G1874">
            <v>1</v>
          </cell>
          <cell r="H1874">
            <v>20.420000000000002</v>
          </cell>
          <cell r="I1874" t="str">
            <v>Buy</v>
          </cell>
        </row>
        <row r="1875">
          <cell r="A1875" t="str">
            <v>ASY-100012-04</v>
          </cell>
          <cell r="B1875">
            <v>3</v>
          </cell>
          <cell r="C1875" t="str">
            <v>ACB-000273-00</v>
          </cell>
          <cell r="D1875" t="str">
            <v>6 CONDUCTOR CABLE, 3X22AWG, 3X16AWG, AL MYLAR, TROV 2</v>
          </cell>
          <cell r="E1875" t="str">
            <v>A</v>
          </cell>
          <cell r="F1875" t="str">
            <v>Cable</v>
          </cell>
          <cell r="G1875">
            <v>1</v>
          </cell>
          <cell r="H1875">
            <v>0</v>
          </cell>
          <cell r="I1875" t="str">
            <v>N/A</v>
          </cell>
        </row>
        <row r="1876">
          <cell r="A1876" t="str">
            <v>ASY-100012-04</v>
          </cell>
          <cell r="B1876">
            <v>3</v>
          </cell>
          <cell r="C1876" t="str">
            <v>ACB-000274-00</v>
          </cell>
          <cell r="D1876" t="str">
            <v>CABLE ASSEMBLY, INTERNAL, DRIVER SIDE, 4FT, TROV 2</v>
          </cell>
          <cell r="E1876" t="str">
            <v>A</v>
          </cell>
          <cell r="F1876" t="str">
            <v>Cable Assembly</v>
          </cell>
          <cell r="G1876">
            <v>1</v>
          </cell>
          <cell r="H1876">
            <v>0</v>
          </cell>
          <cell r="I1876" t="str">
            <v>N/A</v>
          </cell>
        </row>
        <row r="1877">
          <cell r="A1877" t="str">
            <v>ASY-100012-04</v>
          </cell>
          <cell r="B1877">
            <v>3</v>
          </cell>
          <cell r="C1877" t="str">
            <v>CON-000259-00</v>
          </cell>
          <cell r="D1877" t="str">
            <v>CONNECTOR, MALE, 6 PIN, TROV 2</v>
          </cell>
          <cell r="E1877" t="str">
            <v>B</v>
          </cell>
          <cell r="F1877" t="str">
            <v>Connector</v>
          </cell>
          <cell r="G1877">
            <v>1</v>
          </cell>
          <cell r="H1877">
            <v>0</v>
          </cell>
          <cell r="I1877" t="str">
            <v>N/A</v>
          </cell>
        </row>
        <row r="1878">
          <cell r="A1878" t="str">
            <v>ASY-100012-04</v>
          </cell>
          <cell r="B1878">
            <v>3</v>
          </cell>
          <cell r="C1878" t="str">
            <v>CON-000260-00</v>
          </cell>
          <cell r="D1878" t="str">
            <v>CONNECTOR, FEMALE, 6 PIN, TROV 2</v>
          </cell>
          <cell r="E1878" t="str">
            <v>A</v>
          </cell>
          <cell r="F1878" t="str">
            <v>Connector</v>
          </cell>
          <cell r="G1878">
            <v>1</v>
          </cell>
          <cell r="H1878">
            <v>0</v>
          </cell>
          <cell r="I1878" t="str">
            <v>N/A</v>
          </cell>
        </row>
        <row r="1879">
          <cell r="A1879" t="str">
            <v>ASY-100012-04</v>
          </cell>
          <cell r="B1879">
            <v>3</v>
          </cell>
          <cell r="C1879" t="str">
            <v>HSG-000330-00</v>
          </cell>
          <cell r="D1879" t="str">
            <v>DRIVER HOUSING, 4 FT, TROV 2</v>
          </cell>
          <cell r="E1879" t="str">
            <v>A</v>
          </cell>
          <cell r="F1879" t="str">
            <v>Housing</v>
          </cell>
          <cell r="G1879">
            <v>1</v>
          </cell>
          <cell r="H1879">
            <v>0</v>
          </cell>
          <cell r="I1879" t="str">
            <v>N/A</v>
          </cell>
        </row>
        <row r="1880">
          <cell r="A1880" t="str">
            <v>ASY-100012-04</v>
          </cell>
          <cell r="B1880">
            <v>3</v>
          </cell>
          <cell r="C1880" t="str">
            <v>ORG-000060-00</v>
          </cell>
          <cell r="D1880" t="str">
            <v>O-RING, CABLE, TROV 2</v>
          </cell>
          <cell r="E1880" t="str">
            <v>A</v>
          </cell>
          <cell r="F1880" t="str">
            <v>O-Ring</v>
          </cell>
          <cell r="G1880">
            <v>1</v>
          </cell>
          <cell r="H1880">
            <v>0</v>
          </cell>
          <cell r="I1880" t="str">
            <v>N/A</v>
          </cell>
        </row>
        <row r="1881">
          <cell r="A1881" t="str">
            <v>ASY-100012-04</v>
          </cell>
          <cell r="B1881">
            <v>3</v>
          </cell>
          <cell r="C1881" t="str">
            <v>SRF-000030-00</v>
          </cell>
          <cell r="D1881" t="str">
            <v>STRAIN RELIEF, CABLE, TROV 2</v>
          </cell>
          <cell r="E1881" t="str">
            <v>A</v>
          </cell>
          <cell r="F1881" t="str">
            <v>Strain Relief</v>
          </cell>
          <cell r="G1881">
            <v>1</v>
          </cell>
          <cell r="H1881">
            <v>0</v>
          </cell>
          <cell r="I1881" t="str">
            <v>N/A</v>
          </cell>
        </row>
        <row r="1882">
          <cell r="A1882" t="str">
            <v>ASY-100012-04</v>
          </cell>
          <cell r="B1882">
            <v>2</v>
          </cell>
          <cell r="C1882" t="str">
            <v>BKT-000517-00</v>
          </cell>
          <cell r="D1882" t="str">
            <v>BRACKET, ROTATING LOCK, 4 FT, TROV 2.0</v>
          </cell>
          <cell r="E1882" t="str">
            <v>B</v>
          </cell>
          <cell r="F1882" t="str">
            <v>Bracket</v>
          </cell>
          <cell r="G1882">
            <v>1</v>
          </cell>
          <cell r="H1882">
            <v>0.9</v>
          </cell>
          <cell r="I1882" t="str">
            <v>Buy</v>
          </cell>
        </row>
        <row r="1883">
          <cell r="A1883" t="str">
            <v>ASY-100012-04</v>
          </cell>
          <cell r="B1883">
            <v>2</v>
          </cell>
          <cell r="C1883" t="str">
            <v>BKT-000518-00</v>
          </cell>
          <cell r="D1883" t="str">
            <v>BRACKET, PANEL MOUNT, 4 FT, TROV 2.0</v>
          </cell>
          <cell r="E1883" t="str">
            <v>B</v>
          </cell>
          <cell r="F1883" t="str">
            <v>Bracket</v>
          </cell>
          <cell r="G1883">
            <v>1</v>
          </cell>
          <cell r="H1883">
            <v>0.9</v>
          </cell>
          <cell r="I1883" t="str">
            <v>Buy</v>
          </cell>
        </row>
        <row r="1884">
          <cell r="A1884" t="str">
            <v>ASY-100012-04</v>
          </cell>
          <cell r="B1884">
            <v>2</v>
          </cell>
          <cell r="C1884" t="str">
            <v>SCW-000509-00</v>
          </cell>
          <cell r="D1884" t="str">
            <v>SCREW, SEALING FLAT HEAD, M3x0.5x8MM</v>
          </cell>
          <cell r="E1884" t="str">
            <v>B</v>
          </cell>
          <cell r="F1884" t="str">
            <v>Screw</v>
          </cell>
          <cell r="G1884">
            <v>2</v>
          </cell>
          <cell r="H1884">
            <v>0.4</v>
          </cell>
          <cell r="I1884" t="str">
            <v>Buy</v>
          </cell>
        </row>
        <row r="1885">
          <cell r="A1885" t="str">
            <v>ASY-100012-04</v>
          </cell>
          <cell r="B1885">
            <v>1</v>
          </cell>
          <cell r="C1885" t="str">
            <v>BAS-000021-00</v>
          </cell>
          <cell r="D1885" t="str">
            <v>BASE, 4FT, TROV 2.0</v>
          </cell>
          <cell r="E1885" t="str">
            <v>F</v>
          </cell>
          <cell r="F1885" t="str">
            <v>Base</v>
          </cell>
          <cell r="G1885">
            <v>1</v>
          </cell>
          <cell r="H1885">
            <v>14.25</v>
          </cell>
          <cell r="I1885" t="str">
            <v>Buy</v>
          </cell>
        </row>
        <row r="1886">
          <cell r="A1886" t="str">
            <v>ASY-100012-04</v>
          </cell>
          <cell r="B1886">
            <v>1</v>
          </cell>
          <cell r="C1886" t="str">
            <v>BKT-000457-03</v>
          </cell>
          <cell r="D1886" t="str">
            <v>BRACKET, MOUNT, LEFT, BLACK, TROV 2.0</v>
          </cell>
          <cell r="E1886" t="str">
            <v>C</v>
          </cell>
          <cell r="F1886" t="str">
            <v>Bracket</v>
          </cell>
          <cell r="G1886">
            <v>1</v>
          </cell>
          <cell r="H1886">
            <v>0.99</v>
          </cell>
          <cell r="I1886" t="str">
            <v>Buy</v>
          </cell>
        </row>
        <row r="1887">
          <cell r="A1887" t="str">
            <v>ASY-100012-04</v>
          </cell>
          <cell r="B1887">
            <v>1</v>
          </cell>
          <cell r="C1887" t="str">
            <v>BKT-000458-03</v>
          </cell>
          <cell r="D1887" t="str">
            <v>BRACKET, MOUNT, RIGHT, BLACK, TROV 2.0</v>
          </cell>
          <cell r="E1887" t="str">
            <v>C</v>
          </cell>
          <cell r="F1887" t="str">
            <v>Bracket</v>
          </cell>
          <cell r="G1887">
            <v>1</v>
          </cell>
          <cell r="H1887">
            <v>0.99</v>
          </cell>
          <cell r="I1887" t="str">
            <v>Buy</v>
          </cell>
        </row>
        <row r="1888">
          <cell r="A1888" t="str">
            <v>ASY-100012-04</v>
          </cell>
          <cell r="B1888">
            <v>1</v>
          </cell>
          <cell r="C1888" t="str">
            <v>CVR-000789-04</v>
          </cell>
          <cell r="D1888" t="str">
            <v>END COVER, FC, WHITE, L60, TROV 2.0</v>
          </cell>
          <cell r="E1888" t="str">
            <v>D</v>
          </cell>
          <cell r="F1888" t="str">
            <v>Cover</v>
          </cell>
          <cell r="G1888">
            <v>1</v>
          </cell>
          <cell r="H1888">
            <v>0</v>
          </cell>
          <cell r="I1888" t="str">
            <v>Buy</v>
          </cell>
        </row>
        <row r="1889">
          <cell r="A1889" t="str">
            <v>ASY-100012-04</v>
          </cell>
          <cell r="B1889">
            <v>1</v>
          </cell>
          <cell r="C1889" t="str">
            <v>CVR-000893-04</v>
          </cell>
          <cell r="D1889" t="str">
            <v>END COVER, MC, WHITE, L60, TROV 2.0</v>
          </cell>
          <cell r="E1889" t="str">
            <v>B</v>
          </cell>
          <cell r="F1889" t="str">
            <v>Cover</v>
          </cell>
          <cell r="G1889">
            <v>1</v>
          </cell>
          <cell r="H1889">
            <v>1.0900000000000001</v>
          </cell>
          <cell r="I1889" t="str">
            <v>Buy</v>
          </cell>
        </row>
        <row r="1890">
          <cell r="A1890" t="str">
            <v>ASY-100012-04</v>
          </cell>
          <cell r="B1890">
            <v>1</v>
          </cell>
          <cell r="C1890" t="str">
            <v>FOM-000028-00</v>
          </cell>
          <cell r="D1890" t="str">
            <v>FOAM, LIGHTBLOCK, ENDCAP, L60, TROV2</v>
          </cell>
          <cell r="E1890" t="str">
            <v>A</v>
          </cell>
          <cell r="F1890" t="str">
            <v>Foam</v>
          </cell>
          <cell r="G1890">
            <v>2</v>
          </cell>
          <cell r="H1890">
            <v>0.03</v>
          </cell>
          <cell r="I1890" t="str">
            <v>Buy</v>
          </cell>
        </row>
        <row r="1891">
          <cell r="A1891" t="str">
            <v>ASY-100012-04</v>
          </cell>
          <cell r="B1891">
            <v>1</v>
          </cell>
          <cell r="C1891" t="str">
            <v>GSK-000122-01</v>
          </cell>
          <cell r="D1891" t="str">
            <v>GASKET, DRIVER ENCLOSURE, 3M, 4 FT, TROV 2.0</v>
          </cell>
          <cell r="E1891" t="str">
            <v>B</v>
          </cell>
          <cell r="F1891" t="str">
            <v>Gasket</v>
          </cell>
          <cell r="G1891">
            <v>1</v>
          </cell>
          <cell r="H1891">
            <v>2.0299999999999998</v>
          </cell>
          <cell r="I1891" t="str">
            <v>Buy</v>
          </cell>
        </row>
        <row r="1892">
          <cell r="A1892" t="str">
            <v>ASY-100012-04</v>
          </cell>
          <cell r="B1892">
            <v>1</v>
          </cell>
          <cell r="C1892" t="str">
            <v>GSK-000133-00</v>
          </cell>
          <cell r="D1892" t="str">
            <v>GASKET, TERTIARY LENS, 3M, 2 FT, L60, TROV 2.0</v>
          </cell>
          <cell r="E1892" t="str">
            <v>B</v>
          </cell>
          <cell r="F1892" t="str">
            <v>Gasket</v>
          </cell>
          <cell r="G1892">
            <v>2</v>
          </cell>
          <cell r="H1892">
            <v>6</v>
          </cell>
          <cell r="I1892" t="str">
            <v>Buy</v>
          </cell>
        </row>
        <row r="1893">
          <cell r="A1893" t="str">
            <v>ASY-100012-04</v>
          </cell>
          <cell r="B1893">
            <v>1</v>
          </cell>
          <cell r="C1893" t="str">
            <v>HSG-000493-04</v>
          </cell>
          <cell r="D1893" t="str">
            <v>HOUSING, TOP, 4 FT, L60, WHITE, TROV 2.0</v>
          </cell>
          <cell r="E1893" t="str">
            <v>E</v>
          </cell>
          <cell r="F1893" t="str">
            <v>Housing</v>
          </cell>
          <cell r="G1893">
            <v>1</v>
          </cell>
          <cell r="H1893">
            <v>15.06</v>
          </cell>
          <cell r="I1893" t="str">
            <v>Buy</v>
          </cell>
        </row>
        <row r="1894">
          <cell r="A1894" t="str">
            <v>ASY-100012-04</v>
          </cell>
          <cell r="B1894">
            <v>1</v>
          </cell>
          <cell r="C1894" t="str">
            <v>HSG-000495-04</v>
          </cell>
          <cell r="D1894" t="str">
            <v>HOUSING, BOTTOM, 4 FT, WHITE, TROV 2.0</v>
          </cell>
          <cell r="E1894" t="str">
            <v>F</v>
          </cell>
          <cell r="F1894" t="str">
            <v>Housing</v>
          </cell>
          <cell r="G1894">
            <v>1</v>
          </cell>
          <cell r="H1894">
            <v>13.18</v>
          </cell>
          <cell r="I1894" t="str">
            <v>Buy</v>
          </cell>
        </row>
        <row r="1895">
          <cell r="A1895" t="str">
            <v>ASY-100012-04</v>
          </cell>
          <cell r="B1895">
            <v>1</v>
          </cell>
          <cell r="C1895" t="str">
            <v>LBA-000003-00</v>
          </cell>
          <cell r="D1895" t="str">
            <v>Label: TROV 2 P1/P2, Model L45/L60</v>
          </cell>
          <cell r="E1895" t="str">
            <v>A</v>
          </cell>
          <cell r="F1895" t="str">
            <v>Label BOM</v>
          </cell>
          <cell r="G1895">
            <v>1</v>
          </cell>
          <cell r="H1895">
            <v>0</v>
          </cell>
          <cell r="I1895" t="str">
            <v>Make</v>
          </cell>
        </row>
        <row r="1896">
          <cell r="A1896" t="str">
            <v>ASY-100012-04</v>
          </cell>
          <cell r="B1896">
            <v>2</v>
          </cell>
          <cell r="C1896" t="str">
            <v>LBL-000243-00</v>
          </cell>
          <cell r="D1896" t="str">
            <v>Blank Product Label: Trov 2 P1/P2, Model L45/L60</v>
          </cell>
          <cell r="E1896" t="str">
            <v>A</v>
          </cell>
          <cell r="F1896" t="str">
            <v>Label</v>
          </cell>
          <cell r="G1896">
            <v>1</v>
          </cell>
          <cell r="H1896">
            <v>0.33</v>
          </cell>
          <cell r="I1896" t="str">
            <v>Buy</v>
          </cell>
        </row>
        <row r="1897">
          <cell r="A1897" t="str">
            <v>ASY-100012-04</v>
          </cell>
          <cell r="B1897">
            <v>1</v>
          </cell>
          <cell r="C1897" t="str">
            <v>PLG-000009-01</v>
          </cell>
          <cell r="D1897" t="str">
            <v>Porex Vent, Trov, L50 Exterior</v>
          </cell>
          <cell r="E1897" t="str">
            <v>B</v>
          </cell>
          <cell r="F1897" t="str">
            <v>Plug</v>
          </cell>
          <cell r="G1897">
            <v>2</v>
          </cell>
          <cell r="H1897">
            <v>0.17</v>
          </cell>
          <cell r="I1897" t="str">
            <v>Buy</v>
          </cell>
        </row>
        <row r="1898">
          <cell r="A1898" t="str">
            <v>ASY-100012-04</v>
          </cell>
          <cell r="B1898">
            <v>1</v>
          </cell>
          <cell r="C1898" t="str">
            <v>SCW-000156-00</v>
          </cell>
          <cell r="D1898" t="str">
            <v>SCREW, M3 x 0.5 X 8mm, PAND HEAD, PHILLIPS, STEEL</v>
          </cell>
          <cell r="E1898" t="str">
            <v>B</v>
          </cell>
          <cell r="F1898" t="str">
            <v>Screw</v>
          </cell>
          <cell r="G1898">
            <v>6</v>
          </cell>
          <cell r="H1898">
            <v>4.4400000000000002E-2</v>
          </cell>
          <cell r="I1898" t="str">
            <v>Buy</v>
          </cell>
        </row>
        <row r="1899">
          <cell r="A1899" t="str">
            <v>ASY-100012-04</v>
          </cell>
          <cell r="B1899">
            <v>1</v>
          </cell>
          <cell r="C1899" t="str">
            <v>SCW-000483-00</v>
          </cell>
          <cell r="D1899" t="str">
            <v>SCREW, PHILIPS FLAT HEAD, M2.5x0.45x5 , 18-8 SST</v>
          </cell>
          <cell r="E1899" t="str">
            <v>A</v>
          </cell>
          <cell r="F1899" t="str">
            <v>Screw</v>
          </cell>
          <cell r="G1899">
            <v>4</v>
          </cell>
          <cell r="H1899">
            <v>0.02</v>
          </cell>
          <cell r="I1899" t="str">
            <v>Buy</v>
          </cell>
        </row>
        <row r="1900">
          <cell r="A1900" t="str">
            <v>ASY-100012-04</v>
          </cell>
          <cell r="B1900">
            <v>1</v>
          </cell>
          <cell r="C1900" t="str">
            <v>SCW-000556-00</v>
          </cell>
          <cell r="D1900" t="str">
            <v>SCREW, HEX, SERRATED, #8-32, GROUNDING, TROV 2</v>
          </cell>
          <cell r="E1900" t="str">
            <v>A</v>
          </cell>
          <cell r="F1900" t="str">
            <v>Screw</v>
          </cell>
          <cell r="G1900">
            <v>1</v>
          </cell>
          <cell r="H1900">
            <v>0.04</v>
          </cell>
          <cell r="I1900" t="str">
            <v>Buy</v>
          </cell>
        </row>
        <row r="1901">
          <cell r="A1901" t="str">
            <v>ASY-100012-04</v>
          </cell>
          <cell r="B1901">
            <v>1</v>
          </cell>
          <cell r="C1901" t="str">
            <v>SCW-000567-00</v>
          </cell>
          <cell r="D1901" t="str">
            <v>SCREW, M2.5 x 0.45 x 12.0mm LENGTH, PAN HD, PHILLIPS, ZINC-PLATED STEEL</v>
          </cell>
          <cell r="E1901" t="str">
            <v>A</v>
          </cell>
          <cell r="F1901" t="str">
            <v>Screw</v>
          </cell>
          <cell r="G1901">
            <v>4</v>
          </cell>
          <cell r="H1901">
            <v>0.06</v>
          </cell>
          <cell r="I1901" t="str">
            <v>Buy</v>
          </cell>
        </row>
        <row r="1902">
          <cell r="A1902" t="str">
            <v>ASY-100012-04</v>
          </cell>
          <cell r="B1902">
            <v>1</v>
          </cell>
          <cell r="C1902" t="str">
            <v>SCW-000574-00</v>
          </cell>
          <cell r="D1902" t="str">
            <v>SCREW, TORX HEAD, 1/4-28x1/2", LOW PROFILE, ALLOY STEEL</v>
          </cell>
          <cell r="E1902" t="str">
            <v>A</v>
          </cell>
          <cell r="F1902" t="str">
            <v>Screw</v>
          </cell>
          <cell r="G1902">
            <v>2</v>
          </cell>
          <cell r="H1902">
            <v>0.14000000000000001</v>
          </cell>
          <cell r="I1902" t="str">
            <v>Buy</v>
          </cell>
        </row>
        <row r="1903">
          <cell r="A1903" t="str">
            <v>ASY-100012-04</v>
          </cell>
          <cell r="B1903">
            <v>1</v>
          </cell>
          <cell r="C1903" t="str">
            <v>SHT-000043-00</v>
          </cell>
          <cell r="D1903" t="str">
            <v>INSULATION SHEET, HBA, 4FT,TROV 2</v>
          </cell>
          <cell r="E1903" t="str">
            <v>D</v>
          </cell>
          <cell r="F1903" t="str">
            <v>Sheet</v>
          </cell>
          <cell r="G1903">
            <v>1</v>
          </cell>
          <cell r="H1903">
            <v>0.25</v>
          </cell>
          <cell r="I1903" t="str">
            <v>Buy</v>
          </cell>
        </row>
        <row r="1904">
          <cell r="A1904" t="str">
            <v>ASY-100012-04</v>
          </cell>
          <cell r="B1904">
            <v>1</v>
          </cell>
          <cell r="C1904" t="str">
            <v>SPG-000023-00</v>
          </cell>
          <cell r="D1904" t="str">
            <v>SPRING, DISC, STACKED WAVE, TROV 2.0</v>
          </cell>
          <cell r="E1904" t="str">
            <v>A</v>
          </cell>
          <cell r="F1904" t="str">
            <v>Spring</v>
          </cell>
          <cell r="G1904">
            <v>2</v>
          </cell>
          <cell r="H1904">
            <v>1.74</v>
          </cell>
          <cell r="I1904" t="str">
            <v>Buy</v>
          </cell>
        </row>
        <row r="1905">
          <cell r="A1905" t="str">
            <v>ASY-100012-04</v>
          </cell>
          <cell r="B1905">
            <v>1</v>
          </cell>
          <cell r="C1905" t="str">
            <v>TAP-000031-00</v>
          </cell>
          <cell r="D1905" t="str">
            <v>3M Electrical Tape 92</v>
          </cell>
          <cell r="E1905" t="str">
            <v>A</v>
          </cell>
          <cell r="F1905" t="str">
            <v>Tape</v>
          </cell>
          <cell r="G1905">
            <v>120</v>
          </cell>
          <cell r="H1905">
            <v>1.4E-2</v>
          </cell>
          <cell r="I1905" t="str">
            <v>Buy</v>
          </cell>
        </row>
        <row r="1906">
          <cell r="A1906" t="str">
            <v>ASY-100012-04</v>
          </cell>
          <cell r="B1906">
            <v>1</v>
          </cell>
          <cell r="C1906" t="str">
            <v>TMP-000028-00</v>
          </cell>
          <cell r="D1906" t="str">
            <v>Thermal Pad, LED PCBA, 2 FT, TROV 2</v>
          </cell>
          <cell r="E1906" t="str">
            <v>B</v>
          </cell>
          <cell r="F1906" t="str">
            <v>Thermal Pad</v>
          </cell>
          <cell r="G1906">
            <v>2</v>
          </cell>
          <cell r="H1906">
            <v>1.32</v>
          </cell>
          <cell r="I1906" t="str">
            <v>Buy</v>
          </cell>
        </row>
        <row r="1907">
          <cell r="A1907" t="str">
            <v>ASY-100012-04</v>
          </cell>
          <cell r="B1907">
            <v>1</v>
          </cell>
          <cell r="C1907" t="str">
            <v>TMP-000029-00</v>
          </cell>
          <cell r="D1907" t="str">
            <v>Thermal Pad, HBA, TROV 2</v>
          </cell>
          <cell r="E1907" t="str">
            <v>B</v>
          </cell>
          <cell r="F1907" t="str">
            <v>Thermal Pad</v>
          </cell>
          <cell r="G1907">
            <v>2</v>
          </cell>
          <cell r="H1907">
            <v>0.14000000000000001</v>
          </cell>
          <cell r="I1907" t="str">
            <v>Buy</v>
          </cell>
        </row>
        <row r="1908">
          <cell r="A1908" t="str">
            <v>ASY-100012-04</v>
          </cell>
          <cell r="B1908">
            <v>1</v>
          </cell>
          <cell r="C1908" t="str">
            <v>TMP-000032-00</v>
          </cell>
          <cell r="D1908" t="str">
            <v>Thermal Pad, HBA, TROV 2</v>
          </cell>
          <cell r="E1908" t="str">
            <v>A</v>
          </cell>
          <cell r="F1908" t="str">
            <v>Thermal Pad</v>
          </cell>
          <cell r="G1908">
            <v>1</v>
          </cell>
          <cell r="H1908">
            <v>0.03</v>
          </cell>
          <cell r="I1908" t="str">
            <v>Buy</v>
          </cell>
        </row>
        <row r="1909">
          <cell r="A1909" t="str">
            <v>ASY-100012-0C</v>
          </cell>
          <cell r="B1909">
            <v>0</v>
          </cell>
          <cell r="C1909" t="str">
            <v>ASY-100012-0C</v>
          </cell>
          <cell r="D1909" t="str">
            <v>ASSY, MECHANICAL, L60, INDOOR, 4 FT, TROV2P2, DYNAMIC, CUSTOM</v>
          </cell>
          <cell r="E1909" t="str">
            <v>A</v>
          </cell>
          <cell r="F1909" t="str">
            <v>Sub assembly</v>
          </cell>
          <cell r="H1909">
            <v>0</v>
          </cell>
          <cell r="I1909" t="str">
            <v>Make</v>
          </cell>
        </row>
        <row r="1910">
          <cell r="A1910" t="str">
            <v>ASY-100012-0C</v>
          </cell>
          <cell r="B1910">
            <v>1</v>
          </cell>
          <cell r="C1910" t="str">
            <v>ACB-000275-00</v>
          </cell>
          <cell r="D1910" t="str">
            <v>CABLE, CANBUS, SHORT, TROV 2</v>
          </cell>
          <cell r="E1910" t="str">
            <v>A</v>
          </cell>
          <cell r="F1910" t="str">
            <v>Cable</v>
          </cell>
          <cell r="G1910">
            <v>1</v>
          </cell>
          <cell r="H1910">
            <v>0.7</v>
          </cell>
          <cell r="I1910" t="str">
            <v>Buy</v>
          </cell>
        </row>
        <row r="1911">
          <cell r="A1911" t="str">
            <v>ASY-100012-0C</v>
          </cell>
          <cell r="B1911">
            <v>1</v>
          </cell>
          <cell r="C1911" t="str">
            <v>ACB-000275-01</v>
          </cell>
          <cell r="D1911" t="str">
            <v>CABLE, CANBUS, LONG, TROV 2</v>
          </cell>
          <cell r="E1911" t="str">
            <v>A</v>
          </cell>
          <cell r="F1911" t="str">
            <v>Cable</v>
          </cell>
          <cell r="G1911">
            <v>1</v>
          </cell>
          <cell r="H1911">
            <v>0.81</v>
          </cell>
          <cell r="I1911" t="str">
            <v>Buy</v>
          </cell>
        </row>
        <row r="1912">
          <cell r="A1912" t="str">
            <v>ASY-100012-0C</v>
          </cell>
          <cell r="B1912">
            <v>1</v>
          </cell>
          <cell r="C1912" t="str">
            <v>ASY-100008-00</v>
          </cell>
          <cell r="D1912" t="str">
            <v>Cable Subassembly, Driver housing, 4ft, Trov 2</v>
          </cell>
          <cell r="E1912" t="str">
            <v>A</v>
          </cell>
          <cell r="F1912" t="str">
            <v>Sub assembly</v>
          </cell>
          <cell r="G1912">
            <v>1</v>
          </cell>
          <cell r="H1912">
            <v>0</v>
          </cell>
          <cell r="I1912" t="str">
            <v>Make</v>
          </cell>
        </row>
        <row r="1913">
          <cell r="A1913" t="str">
            <v>ASY-100012-0C</v>
          </cell>
          <cell r="B1913">
            <v>2</v>
          </cell>
          <cell r="C1913" t="str">
            <v>ACB-000272-00</v>
          </cell>
          <cell r="D1913" t="str">
            <v>CABLE ASSY, INTRA-FIXTURE, 4FT, TROV 2.0</v>
          </cell>
          <cell r="E1913" t="str">
            <v>B</v>
          </cell>
          <cell r="F1913" t="str">
            <v>Cable Assembly</v>
          </cell>
          <cell r="G1913">
            <v>1</v>
          </cell>
          <cell r="H1913">
            <v>20.420000000000002</v>
          </cell>
          <cell r="I1913" t="str">
            <v>Buy</v>
          </cell>
        </row>
        <row r="1914">
          <cell r="A1914" t="str">
            <v>ASY-100012-0C</v>
          </cell>
          <cell r="B1914">
            <v>3</v>
          </cell>
          <cell r="C1914" t="str">
            <v>ACB-000273-00</v>
          </cell>
          <cell r="D1914" t="str">
            <v>6 CONDUCTOR CABLE, 3X22AWG, 3X16AWG, AL MYLAR, TROV 2</v>
          </cell>
          <cell r="E1914" t="str">
            <v>A</v>
          </cell>
          <cell r="F1914" t="str">
            <v>Cable</v>
          </cell>
          <cell r="G1914">
            <v>1</v>
          </cell>
          <cell r="H1914">
            <v>0</v>
          </cell>
          <cell r="I1914" t="str">
            <v>N/A</v>
          </cell>
        </row>
        <row r="1915">
          <cell r="A1915" t="str">
            <v>ASY-100012-0C</v>
          </cell>
          <cell r="B1915">
            <v>3</v>
          </cell>
          <cell r="C1915" t="str">
            <v>ACB-000274-00</v>
          </cell>
          <cell r="D1915" t="str">
            <v>CABLE ASSEMBLY, INTERNAL, DRIVER SIDE, 4FT, TROV 2</v>
          </cell>
          <cell r="E1915" t="str">
            <v>A</v>
          </cell>
          <cell r="F1915" t="str">
            <v>Cable Assembly</v>
          </cell>
          <cell r="G1915">
            <v>1</v>
          </cell>
          <cell r="H1915">
            <v>0</v>
          </cell>
          <cell r="I1915" t="str">
            <v>N/A</v>
          </cell>
        </row>
        <row r="1916">
          <cell r="A1916" t="str">
            <v>ASY-100012-0C</v>
          </cell>
          <cell r="B1916">
            <v>3</v>
          </cell>
          <cell r="C1916" t="str">
            <v>CON-000259-00</v>
          </cell>
          <cell r="D1916" t="str">
            <v>CONNECTOR, MALE, 6 PIN, TROV 2</v>
          </cell>
          <cell r="E1916" t="str">
            <v>B</v>
          </cell>
          <cell r="F1916" t="str">
            <v>Connector</v>
          </cell>
          <cell r="G1916">
            <v>1</v>
          </cell>
          <cell r="H1916">
            <v>0</v>
          </cell>
          <cell r="I1916" t="str">
            <v>N/A</v>
          </cell>
        </row>
        <row r="1917">
          <cell r="A1917" t="str">
            <v>ASY-100012-0C</v>
          </cell>
          <cell r="B1917">
            <v>3</v>
          </cell>
          <cell r="C1917" t="str">
            <v>CON-000260-00</v>
          </cell>
          <cell r="D1917" t="str">
            <v>CONNECTOR, FEMALE, 6 PIN, TROV 2</v>
          </cell>
          <cell r="E1917" t="str">
            <v>A</v>
          </cell>
          <cell r="F1917" t="str">
            <v>Connector</v>
          </cell>
          <cell r="G1917">
            <v>1</v>
          </cell>
          <cell r="H1917">
            <v>0</v>
          </cell>
          <cell r="I1917" t="str">
            <v>N/A</v>
          </cell>
        </row>
        <row r="1918">
          <cell r="A1918" t="str">
            <v>ASY-100012-0C</v>
          </cell>
          <cell r="B1918">
            <v>3</v>
          </cell>
          <cell r="C1918" t="str">
            <v>HSG-000330-00</v>
          </cell>
          <cell r="D1918" t="str">
            <v>DRIVER HOUSING, 4 FT, TROV 2</v>
          </cell>
          <cell r="E1918" t="str">
            <v>A</v>
          </cell>
          <cell r="F1918" t="str">
            <v>Housing</v>
          </cell>
          <cell r="G1918">
            <v>1</v>
          </cell>
          <cell r="H1918">
            <v>0</v>
          </cell>
          <cell r="I1918" t="str">
            <v>N/A</v>
          </cell>
        </row>
        <row r="1919">
          <cell r="A1919" t="str">
            <v>ASY-100012-0C</v>
          </cell>
          <cell r="B1919">
            <v>3</v>
          </cell>
          <cell r="C1919" t="str">
            <v>ORG-000060-00</v>
          </cell>
          <cell r="D1919" t="str">
            <v>O-RING, CABLE, TROV 2</v>
          </cell>
          <cell r="E1919" t="str">
            <v>A</v>
          </cell>
          <cell r="F1919" t="str">
            <v>O-Ring</v>
          </cell>
          <cell r="G1919">
            <v>1</v>
          </cell>
          <cell r="H1919">
            <v>0</v>
          </cell>
          <cell r="I1919" t="str">
            <v>N/A</v>
          </cell>
        </row>
        <row r="1920">
          <cell r="A1920" t="str">
            <v>ASY-100012-0C</v>
          </cell>
          <cell r="B1920">
            <v>3</v>
          </cell>
          <cell r="C1920" t="str">
            <v>SRF-000030-00</v>
          </cell>
          <cell r="D1920" t="str">
            <v>STRAIN RELIEF, CABLE, TROV 2</v>
          </cell>
          <cell r="E1920" t="str">
            <v>A</v>
          </cell>
          <cell r="F1920" t="str">
            <v>Strain Relief</v>
          </cell>
          <cell r="G1920">
            <v>1</v>
          </cell>
          <cell r="H1920">
            <v>0</v>
          </cell>
          <cell r="I1920" t="str">
            <v>N/A</v>
          </cell>
        </row>
        <row r="1921">
          <cell r="A1921" t="str">
            <v>ASY-100012-0C</v>
          </cell>
          <cell r="B1921">
            <v>2</v>
          </cell>
          <cell r="C1921" t="str">
            <v>BKT-000517-00</v>
          </cell>
          <cell r="D1921" t="str">
            <v>BRACKET, ROTATING LOCK, 4 FT, TROV 2.0</v>
          </cell>
          <cell r="E1921" t="str">
            <v>B</v>
          </cell>
          <cell r="F1921" t="str">
            <v>Bracket</v>
          </cell>
          <cell r="G1921">
            <v>1</v>
          </cell>
          <cell r="H1921">
            <v>0.9</v>
          </cell>
          <cell r="I1921" t="str">
            <v>Buy</v>
          </cell>
        </row>
        <row r="1922">
          <cell r="A1922" t="str">
            <v>ASY-100012-0C</v>
          </cell>
          <cell r="B1922">
            <v>2</v>
          </cell>
          <cell r="C1922" t="str">
            <v>BKT-000518-00</v>
          </cell>
          <cell r="D1922" t="str">
            <v>BRACKET, PANEL MOUNT, 4 FT, TROV 2.0</v>
          </cell>
          <cell r="E1922" t="str">
            <v>B</v>
          </cell>
          <cell r="F1922" t="str">
            <v>Bracket</v>
          </cell>
          <cell r="G1922">
            <v>1</v>
          </cell>
          <cell r="H1922">
            <v>0.9</v>
          </cell>
          <cell r="I1922" t="str">
            <v>Buy</v>
          </cell>
        </row>
        <row r="1923">
          <cell r="A1923" t="str">
            <v>ASY-100012-0C</v>
          </cell>
          <cell r="B1923">
            <v>2</v>
          </cell>
          <cell r="C1923" t="str">
            <v>SCW-000509-00</v>
          </cell>
          <cell r="D1923" t="str">
            <v>SCREW, SEALING FLAT HEAD, M3x0.5x8MM</v>
          </cell>
          <cell r="E1923" t="str">
            <v>B</v>
          </cell>
          <cell r="F1923" t="str">
            <v>Screw</v>
          </cell>
          <cell r="G1923">
            <v>2</v>
          </cell>
          <cell r="H1923">
            <v>0.4</v>
          </cell>
          <cell r="I1923" t="str">
            <v>Buy</v>
          </cell>
        </row>
        <row r="1924">
          <cell r="A1924" t="str">
            <v>ASY-100012-0C</v>
          </cell>
          <cell r="B1924">
            <v>1</v>
          </cell>
          <cell r="C1924" t="str">
            <v>BAS-000021-00</v>
          </cell>
          <cell r="D1924" t="str">
            <v>BASE, 4FT, TROV 2.0</v>
          </cell>
          <cell r="E1924" t="str">
            <v>F</v>
          </cell>
          <cell r="F1924" t="str">
            <v>Base</v>
          </cell>
          <cell r="G1924">
            <v>1</v>
          </cell>
          <cell r="H1924">
            <v>14.25</v>
          </cell>
          <cell r="I1924" t="str">
            <v>Buy</v>
          </cell>
        </row>
        <row r="1925">
          <cell r="A1925" t="str">
            <v>ASY-100012-0C</v>
          </cell>
          <cell r="B1925">
            <v>1</v>
          </cell>
          <cell r="C1925" t="str">
            <v>BKT-000457-03</v>
          </cell>
          <cell r="D1925" t="str">
            <v>BRACKET, MOUNT, LEFT, BLACK, TROV 2.0</v>
          </cell>
          <cell r="E1925" t="str">
            <v>C</v>
          </cell>
          <cell r="F1925" t="str">
            <v>Bracket</v>
          </cell>
          <cell r="G1925">
            <v>1</v>
          </cell>
          <cell r="H1925">
            <v>0.99</v>
          </cell>
          <cell r="I1925" t="str">
            <v>Buy</v>
          </cell>
        </row>
        <row r="1926">
          <cell r="A1926" t="str">
            <v>ASY-100012-0C</v>
          </cell>
          <cell r="B1926">
            <v>1</v>
          </cell>
          <cell r="C1926" t="str">
            <v>BKT-000458-03</v>
          </cell>
          <cell r="D1926" t="str">
            <v>BRACKET, MOUNT, RIGHT, BLACK, TROV 2.0</v>
          </cell>
          <cell r="E1926" t="str">
            <v>C</v>
          </cell>
          <cell r="F1926" t="str">
            <v>Bracket</v>
          </cell>
          <cell r="G1926">
            <v>1</v>
          </cell>
          <cell r="H1926">
            <v>0.99</v>
          </cell>
          <cell r="I1926" t="str">
            <v>Buy</v>
          </cell>
        </row>
        <row r="1927">
          <cell r="A1927" t="str">
            <v>ASY-100012-0C</v>
          </cell>
          <cell r="B1927">
            <v>1</v>
          </cell>
          <cell r="C1927" t="str">
            <v>CVR-000789-0C</v>
          </cell>
          <cell r="D1927" t="str">
            <v>END COVER, FC, CUSTOM FINISH, L60, TROV 2.0</v>
          </cell>
          <cell r="E1927" t="str">
            <v>E</v>
          </cell>
          <cell r="F1927" t="str">
            <v>Cover</v>
          </cell>
          <cell r="G1927">
            <v>1</v>
          </cell>
          <cell r="H1927">
            <v>0.01</v>
          </cell>
          <cell r="I1927" t="str">
            <v>Buy</v>
          </cell>
        </row>
        <row r="1928">
          <cell r="A1928" t="str">
            <v>ASY-100012-0C</v>
          </cell>
          <cell r="B1928">
            <v>1</v>
          </cell>
          <cell r="C1928" t="str">
            <v>CVR-000893-0C</v>
          </cell>
          <cell r="D1928" t="str">
            <v>END COVER, MC, CUSTOM FINISH, L60, TROV 2.0</v>
          </cell>
          <cell r="E1928" t="str">
            <v>C</v>
          </cell>
          <cell r="F1928" t="str">
            <v>Cover</v>
          </cell>
          <cell r="G1928">
            <v>1</v>
          </cell>
          <cell r="H1928">
            <v>0</v>
          </cell>
          <cell r="I1928" t="str">
            <v>Buy</v>
          </cell>
        </row>
        <row r="1929">
          <cell r="A1929" t="str">
            <v>ASY-100012-0C</v>
          </cell>
          <cell r="B1929">
            <v>1</v>
          </cell>
          <cell r="C1929" t="str">
            <v>FOM-000028-00</v>
          </cell>
          <cell r="D1929" t="str">
            <v>FOAM, LIGHTBLOCK, ENDCAP, L60, TROV2</v>
          </cell>
          <cell r="E1929" t="str">
            <v>A</v>
          </cell>
          <cell r="F1929" t="str">
            <v>Foam</v>
          </cell>
          <cell r="G1929">
            <v>2</v>
          </cell>
          <cell r="H1929">
            <v>0.03</v>
          </cell>
          <cell r="I1929" t="str">
            <v>Buy</v>
          </cell>
        </row>
        <row r="1930">
          <cell r="A1930" t="str">
            <v>ASY-100012-0C</v>
          </cell>
          <cell r="B1930">
            <v>1</v>
          </cell>
          <cell r="C1930" t="str">
            <v>GSK-000122-01</v>
          </cell>
          <cell r="D1930" t="str">
            <v>GASKET, DRIVER ENCLOSURE, 3M, 4 FT, TROV 2.0</v>
          </cell>
          <cell r="E1930" t="str">
            <v>B</v>
          </cell>
          <cell r="F1930" t="str">
            <v>Gasket</v>
          </cell>
          <cell r="G1930">
            <v>1</v>
          </cell>
          <cell r="H1930">
            <v>2.0299999999999998</v>
          </cell>
          <cell r="I1930" t="str">
            <v>Buy</v>
          </cell>
        </row>
        <row r="1931">
          <cell r="A1931" t="str">
            <v>ASY-100012-0C</v>
          </cell>
          <cell r="B1931">
            <v>1</v>
          </cell>
          <cell r="C1931" t="str">
            <v>GSK-000133-00</v>
          </cell>
          <cell r="D1931" t="str">
            <v>GASKET, TERTIARY LENS, 3M, 2 FT, L60, TROV 2.0</v>
          </cell>
          <cell r="E1931" t="str">
            <v>B</v>
          </cell>
          <cell r="F1931" t="str">
            <v>Gasket</v>
          </cell>
          <cell r="G1931">
            <v>2</v>
          </cell>
          <cell r="H1931">
            <v>6</v>
          </cell>
          <cell r="I1931" t="str">
            <v>Buy</v>
          </cell>
        </row>
        <row r="1932">
          <cell r="A1932" t="str">
            <v>ASY-100012-0C</v>
          </cell>
          <cell r="B1932">
            <v>1</v>
          </cell>
          <cell r="C1932" t="str">
            <v>HSG-000493-0C</v>
          </cell>
          <cell r="D1932" t="str">
            <v>HOUSING, TOP, 4 FT, L60, CUSTOM FINISH, TROV 2.0</v>
          </cell>
          <cell r="E1932" t="str">
            <v>E</v>
          </cell>
          <cell r="F1932" t="str">
            <v>Housing</v>
          </cell>
          <cell r="G1932">
            <v>1</v>
          </cell>
          <cell r="H1932">
            <v>0</v>
          </cell>
          <cell r="I1932" t="str">
            <v>Buy</v>
          </cell>
        </row>
        <row r="1933">
          <cell r="A1933" t="str">
            <v>ASY-100012-0C</v>
          </cell>
          <cell r="B1933">
            <v>1</v>
          </cell>
          <cell r="C1933" t="str">
            <v>HSG-000495-0C</v>
          </cell>
          <cell r="D1933" t="str">
            <v>HOUSING, BOTTOM, 4 FT, CUSTOM FINISH, TROV 2.0</v>
          </cell>
          <cell r="E1933" t="str">
            <v>F</v>
          </cell>
          <cell r="F1933" t="str">
            <v>Housing</v>
          </cell>
          <cell r="G1933">
            <v>1</v>
          </cell>
          <cell r="H1933">
            <v>0</v>
          </cell>
          <cell r="I1933" t="str">
            <v>Buy</v>
          </cell>
        </row>
        <row r="1934">
          <cell r="A1934" t="str">
            <v>ASY-100012-0C</v>
          </cell>
          <cell r="B1934">
            <v>1</v>
          </cell>
          <cell r="C1934" t="str">
            <v>LBA-000003-00</v>
          </cell>
          <cell r="D1934" t="str">
            <v>Label: TROV 2 P1/P2, Model L45/L60</v>
          </cell>
          <cell r="E1934" t="str">
            <v>A</v>
          </cell>
          <cell r="F1934" t="str">
            <v>Label BOM</v>
          </cell>
          <cell r="G1934">
            <v>1</v>
          </cell>
          <cell r="H1934">
            <v>0</v>
          </cell>
          <cell r="I1934" t="str">
            <v>Make</v>
          </cell>
        </row>
        <row r="1935">
          <cell r="A1935" t="str">
            <v>ASY-100012-0C</v>
          </cell>
          <cell r="B1935">
            <v>2</v>
          </cell>
          <cell r="C1935" t="str">
            <v>LBL-000243-00</v>
          </cell>
          <cell r="D1935" t="str">
            <v>Blank Product Label: Trov 2 P1/P2, Model L45/L60</v>
          </cell>
          <cell r="E1935" t="str">
            <v>A</v>
          </cell>
          <cell r="F1935" t="str">
            <v>Label</v>
          </cell>
          <cell r="G1935">
            <v>1</v>
          </cell>
          <cell r="H1935">
            <v>0.33</v>
          </cell>
          <cell r="I1935" t="str">
            <v>Buy</v>
          </cell>
        </row>
        <row r="1936">
          <cell r="A1936" t="str">
            <v>ASY-100012-0C</v>
          </cell>
          <cell r="B1936">
            <v>1</v>
          </cell>
          <cell r="C1936" t="str">
            <v>PLG-000009-01</v>
          </cell>
          <cell r="D1936" t="str">
            <v>Porex Vent, Trov, L50 Exterior</v>
          </cell>
          <cell r="E1936" t="str">
            <v>B</v>
          </cell>
          <cell r="F1936" t="str">
            <v>Plug</v>
          </cell>
          <cell r="G1936">
            <v>2</v>
          </cell>
          <cell r="H1936">
            <v>0.17</v>
          </cell>
          <cell r="I1936" t="str">
            <v>Buy</v>
          </cell>
        </row>
        <row r="1937">
          <cell r="A1937" t="str">
            <v>ASY-100012-0C</v>
          </cell>
          <cell r="B1937">
            <v>1</v>
          </cell>
          <cell r="C1937" t="str">
            <v>SCW-000156-00</v>
          </cell>
          <cell r="D1937" t="str">
            <v>SCREW, M3 x 0.5 X 8mm, PAND HEAD, PHILLIPS, STEEL</v>
          </cell>
          <cell r="E1937" t="str">
            <v>B</v>
          </cell>
          <cell r="F1937" t="str">
            <v>Screw</v>
          </cell>
          <cell r="G1937">
            <v>6</v>
          </cell>
          <cell r="H1937">
            <v>4.4400000000000002E-2</v>
          </cell>
          <cell r="I1937" t="str">
            <v>Buy</v>
          </cell>
        </row>
        <row r="1938">
          <cell r="A1938" t="str">
            <v>ASY-100012-0C</v>
          </cell>
          <cell r="B1938">
            <v>1</v>
          </cell>
          <cell r="C1938" t="str">
            <v>SCW-000483-00</v>
          </cell>
          <cell r="D1938" t="str">
            <v>SCREW, PHILIPS FLAT HEAD, M2.5x0.45x5 , 18-8 SST</v>
          </cell>
          <cell r="E1938" t="str">
            <v>A</v>
          </cell>
          <cell r="F1938" t="str">
            <v>Screw</v>
          </cell>
          <cell r="G1938">
            <v>4</v>
          </cell>
          <cell r="H1938">
            <v>0.02</v>
          </cell>
          <cell r="I1938" t="str">
            <v>Buy</v>
          </cell>
        </row>
        <row r="1939">
          <cell r="A1939" t="str">
            <v>ASY-100012-0C</v>
          </cell>
          <cell r="B1939">
            <v>1</v>
          </cell>
          <cell r="C1939" t="str">
            <v>SCW-000556-00</v>
          </cell>
          <cell r="D1939" t="str">
            <v>SCREW, HEX, SERRATED, #8-32, GROUNDING, TROV 2</v>
          </cell>
          <cell r="E1939" t="str">
            <v>A</v>
          </cell>
          <cell r="F1939" t="str">
            <v>Screw</v>
          </cell>
          <cell r="G1939">
            <v>1</v>
          </cell>
          <cell r="H1939">
            <v>0.04</v>
          </cell>
          <cell r="I1939" t="str">
            <v>Buy</v>
          </cell>
        </row>
        <row r="1940">
          <cell r="A1940" t="str">
            <v>ASY-100012-0C</v>
          </cell>
          <cell r="B1940">
            <v>1</v>
          </cell>
          <cell r="C1940" t="str">
            <v>SCW-000567-00</v>
          </cell>
          <cell r="D1940" t="str">
            <v>SCREW, M2.5 x 0.45 x 12.0mm LENGTH, PAN HD, PHILLIPS, ZINC-PLATED STEEL</v>
          </cell>
          <cell r="E1940" t="str">
            <v>A</v>
          </cell>
          <cell r="F1940" t="str">
            <v>Screw</v>
          </cell>
          <cell r="G1940">
            <v>4</v>
          </cell>
          <cell r="H1940">
            <v>0.06</v>
          </cell>
          <cell r="I1940" t="str">
            <v>Buy</v>
          </cell>
        </row>
        <row r="1941">
          <cell r="A1941" t="str">
            <v>ASY-100012-0C</v>
          </cell>
          <cell r="B1941">
            <v>1</v>
          </cell>
          <cell r="C1941" t="str">
            <v>SCW-000574-00</v>
          </cell>
          <cell r="D1941" t="str">
            <v>SCREW, TORX HEAD, 1/4-28x1/2", LOW PROFILE, ALLOY STEEL</v>
          </cell>
          <cell r="E1941" t="str">
            <v>A</v>
          </cell>
          <cell r="F1941" t="str">
            <v>Screw</v>
          </cell>
          <cell r="G1941">
            <v>2</v>
          </cell>
          <cell r="H1941">
            <v>0.14000000000000001</v>
          </cell>
          <cell r="I1941" t="str">
            <v>Buy</v>
          </cell>
        </row>
        <row r="1942">
          <cell r="A1942" t="str">
            <v>ASY-100012-0C</v>
          </cell>
          <cell r="B1942">
            <v>1</v>
          </cell>
          <cell r="C1942" t="str">
            <v>SHT-000043-00</v>
          </cell>
          <cell r="D1942" t="str">
            <v>INSULATION SHEET, HBA, 4FT,TROV 2</v>
          </cell>
          <cell r="E1942" t="str">
            <v>D</v>
          </cell>
          <cell r="F1942" t="str">
            <v>Sheet</v>
          </cell>
          <cell r="G1942">
            <v>1</v>
          </cell>
          <cell r="H1942">
            <v>0.25</v>
          </cell>
          <cell r="I1942" t="str">
            <v>Buy</v>
          </cell>
        </row>
        <row r="1943">
          <cell r="A1943" t="str">
            <v>ASY-100012-0C</v>
          </cell>
          <cell r="B1943">
            <v>1</v>
          </cell>
          <cell r="C1943" t="str">
            <v>SPG-000023-00</v>
          </cell>
          <cell r="D1943" t="str">
            <v>SPRING, DISC, STACKED WAVE, TROV 2.0</v>
          </cell>
          <cell r="E1943" t="str">
            <v>A</v>
          </cell>
          <cell r="F1943" t="str">
            <v>Spring</v>
          </cell>
          <cell r="G1943">
            <v>2</v>
          </cell>
          <cell r="H1943">
            <v>1.74</v>
          </cell>
          <cell r="I1943" t="str">
            <v>Buy</v>
          </cell>
        </row>
        <row r="1944">
          <cell r="A1944" t="str">
            <v>ASY-100012-0C</v>
          </cell>
          <cell r="B1944">
            <v>1</v>
          </cell>
          <cell r="C1944" t="str">
            <v>TAP-000031-00</v>
          </cell>
          <cell r="D1944" t="str">
            <v>3M Electrical Tape 92</v>
          </cell>
          <cell r="E1944" t="str">
            <v>A</v>
          </cell>
          <cell r="F1944" t="str">
            <v>Tape</v>
          </cell>
          <cell r="G1944">
            <v>120</v>
          </cell>
          <cell r="H1944">
            <v>1.4E-2</v>
          </cell>
          <cell r="I1944" t="str">
            <v>Buy</v>
          </cell>
        </row>
        <row r="1945">
          <cell r="A1945" t="str">
            <v>ASY-100012-0C</v>
          </cell>
          <cell r="B1945">
            <v>1</v>
          </cell>
          <cell r="C1945" t="str">
            <v>TMP-000028-00</v>
          </cell>
          <cell r="D1945" t="str">
            <v>Thermal Pad, LED PCBA, 2 FT, TROV 2</v>
          </cell>
          <cell r="E1945" t="str">
            <v>B</v>
          </cell>
          <cell r="F1945" t="str">
            <v>Thermal Pad</v>
          </cell>
          <cell r="G1945">
            <v>2</v>
          </cell>
          <cell r="H1945">
            <v>1.32</v>
          </cell>
          <cell r="I1945" t="str">
            <v>Buy</v>
          </cell>
        </row>
        <row r="1946">
          <cell r="A1946" t="str">
            <v>ASY-100012-0C</v>
          </cell>
          <cell r="B1946">
            <v>1</v>
          </cell>
          <cell r="C1946" t="str">
            <v>TMP-000029-00</v>
          </cell>
          <cell r="D1946" t="str">
            <v>Thermal Pad, HBA, TROV 2</v>
          </cell>
          <cell r="E1946" t="str">
            <v>B</v>
          </cell>
          <cell r="F1946" t="str">
            <v>Thermal Pad</v>
          </cell>
          <cell r="G1946">
            <v>2</v>
          </cell>
          <cell r="H1946">
            <v>0.14000000000000001</v>
          </cell>
          <cell r="I1946" t="str">
            <v>Buy</v>
          </cell>
        </row>
        <row r="1947">
          <cell r="A1947" t="str">
            <v>ASY-100012-0C</v>
          </cell>
          <cell r="B1947">
            <v>1</v>
          </cell>
          <cell r="C1947" t="str">
            <v>TMP-000032-00</v>
          </cell>
          <cell r="D1947" t="str">
            <v>Thermal Pad, HBA, TROV 2</v>
          </cell>
          <cell r="E1947" t="str">
            <v>A</v>
          </cell>
          <cell r="F1947" t="str">
            <v>Thermal Pad</v>
          </cell>
          <cell r="G1947">
            <v>1</v>
          </cell>
          <cell r="H1947">
            <v>0.03</v>
          </cell>
          <cell r="I1947" t="str">
            <v>Buy</v>
          </cell>
        </row>
        <row r="1948">
          <cell r="A1948" t="str">
            <v>ASY-100013-01</v>
          </cell>
          <cell r="B1948">
            <v>0</v>
          </cell>
          <cell r="C1948" t="str">
            <v>ASY-100013-01</v>
          </cell>
          <cell r="D1948" t="str">
            <v>ASSY, MECHANICAL, L60, OUTDOOR, 4 FT, TROV2P2,  DYNAMIC, SILVER</v>
          </cell>
          <cell r="E1948" t="str">
            <v>A</v>
          </cell>
          <cell r="F1948" t="str">
            <v>Sub assembly</v>
          </cell>
          <cell r="H1948">
            <v>0</v>
          </cell>
          <cell r="I1948" t="str">
            <v>Make</v>
          </cell>
        </row>
        <row r="1949">
          <cell r="A1949" t="str">
            <v>ASY-100013-01</v>
          </cell>
          <cell r="B1949">
            <v>1</v>
          </cell>
          <cell r="C1949" t="str">
            <v>ACB-000275-00</v>
          </cell>
          <cell r="D1949" t="str">
            <v>CABLE, CANBUS, SHORT, TROV 2</v>
          </cell>
          <cell r="E1949" t="str">
            <v>A</v>
          </cell>
          <cell r="F1949" t="str">
            <v>Cable</v>
          </cell>
          <cell r="G1949">
            <v>1</v>
          </cell>
          <cell r="H1949">
            <v>0.7</v>
          </cell>
          <cell r="I1949" t="str">
            <v>Buy</v>
          </cell>
        </row>
        <row r="1950">
          <cell r="A1950" t="str">
            <v>ASY-100013-01</v>
          </cell>
          <cell r="B1950">
            <v>1</v>
          </cell>
          <cell r="C1950" t="str">
            <v>ACB-000275-01</v>
          </cell>
          <cell r="D1950" t="str">
            <v>CABLE, CANBUS, LONG, TROV 2</v>
          </cell>
          <cell r="E1950" t="str">
            <v>A</v>
          </cell>
          <cell r="F1950" t="str">
            <v>Cable</v>
          </cell>
          <cell r="G1950">
            <v>1</v>
          </cell>
          <cell r="H1950">
            <v>0.81</v>
          </cell>
          <cell r="I1950" t="str">
            <v>Buy</v>
          </cell>
        </row>
        <row r="1951">
          <cell r="A1951" t="str">
            <v>ASY-100013-01</v>
          </cell>
          <cell r="B1951">
            <v>1</v>
          </cell>
          <cell r="C1951" t="str">
            <v>ASY-100008-00</v>
          </cell>
          <cell r="D1951" t="str">
            <v>Cable Subassembly, Driver housing, 4ft, Trov 2</v>
          </cell>
          <cell r="E1951" t="str">
            <v>A</v>
          </cell>
          <cell r="F1951" t="str">
            <v>Sub assembly</v>
          </cell>
          <cell r="G1951">
            <v>1</v>
          </cell>
          <cell r="H1951">
            <v>0</v>
          </cell>
          <cell r="I1951" t="str">
            <v>Make</v>
          </cell>
        </row>
        <row r="1952">
          <cell r="A1952" t="str">
            <v>ASY-100013-01</v>
          </cell>
          <cell r="B1952">
            <v>2</v>
          </cell>
          <cell r="C1952" t="str">
            <v>ACB-000272-00</v>
          </cell>
          <cell r="D1952" t="str">
            <v>CABLE ASSY, INTRA-FIXTURE, 4FT, TROV 2.0</v>
          </cell>
          <cell r="E1952" t="str">
            <v>B</v>
          </cell>
          <cell r="F1952" t="str">
            <v>Cable Assembly</v>
          </cell>
          <cell r="G1952">
            <v>1</v>
          </cell>
          <cell r="H1952">
            <v>20.420000000000002</v>
          </cell>
          <cell r="I1952" t="str">
            <v>Buy</v>
          </cell>
        </row>
        <row r="1953">
          <cell r="A1953" t="str">
            <v>ASY-100013-01</v>
          </cell>
          <cell r="B1953">
            <v>3</v>
          </cell>
          <cell r="C1953" t="str">
            <v>ACB-000273-00</v>
          </cell>
          <cell r="D1953" t="str">
            <v>6 CONDUCTOR CABLE, 3X22AWG, 3X16AWG, AL MYLAR, TROV 2</v>
          </cell>
          <cell r="E1953" t="str">
            <v>A</v>
          </cell>
          <cell r="F1953" t="str">
            <v>Cable</v>
          </cell>
          <cell r="G1953">
            <v>1</v>
          </cell>
          <cell r="H1953">
            <v>0</v>
          </cell>
          <cell r="I1953" t="str">
            <v>N/A</v>
          </cell>
        </row>
        <row r="1954">
          <cell r="A1954" t="str">
            <v>ASY-100013-01</v>
          </cell>
          <cell r="B1954">
            <v>3</v>
          </cell>
          <cell r="C1954" t="str">
            <v>ACB-000274-00</v>
          </cell>
          <cell r="D1954" t="str">
            <v>CABLE ASSEMBLY, INTERNAL, DRIVER SIDE, 4FT, TROV 2</v>
          </cell>
          <cell r="E1954" t="str">
            <v>A</v>
          </cell>
          <cell r="F1954" t="str">
            <v>Cable Assembly</v>
          </cell>
          <cell r="G1954">
            <v>1</v>
          </cell>
          <cell r="H1954">
            <v>0</v>
          </cell>
          <cell r="I1954" t="str">
            <v>N/A</v>
          </cell>
        </row>
        <row r="1955">
          <cell r="A1955" t="str">
            <v>ASY-100013-01</v>
          </cell>
          <cell r="B1955">
            <v>3</v>
          </cell>
          <cell r="C1955" t="str">
            <v>CON-000259-00</v>
          </cell>
          <cell r="D1955" t="str">
            <v>CONNECTOR, MALE, 6 PIN, TROV 2</v>
          </cell>
          <cell r="E1955" t="str">
            <v>B</v>
          </cell>
          <cell r="F1955" t="str">
            <v>Connector</v>
          </cell>
          <cell r="G1955">
            <v>1</v>
          </cell>
          <cell r="H1955">
            <v>0</v>
          </cell>
          <cell r="I1955" t="str">
            <v>N/A</v>
          </cell>
        </row>
        <row r="1956">
          <cell r="A1956" t="str">
            <v>ASY-100013-01</v>
          </cell>
          <cell r="B1956">
            <v>3</v>
          </cell>
          <cell r="C1956" t="str">
            <v>CON-000260-00</v>
          </cell>
          <cell r="D1956" t="str">
            <v>CONNECTOR, FEMALE, 6 PIN, TROV 2</v>
          </cell>
          <cell r="E1956" t="str">
            <v>A</v>
          </cell>
          <cell r="F1956" t="str">
            <v>Connector</v>
          </cell>
          <cell r="G1956">
            <v>1</v>
          </cell>
          <cell r="H1956">
            <v>0</v>
          </cell>
          <cell r="I1956" t="str">
            <v>N/A</v>
          </cell>
        </row>
        <row r="1957">
          <cell r="A1957" t="str">
            <v>ASY-100013-01</v>
          </cell>
          <cell r="B1957">
            <v>3</v>
          </cell>
          <cell r="C1957" t="str">
            <v>HSG-000330-00</v>
          </cell>
          <cell r="D1957" t="str">
            <v>DRIVER HOUSING, 4 FT, TROV 2</v>
          </cell>
          <cell r="E1957" t="str">
            <v>A</v>
          </cell>
          <cell r="F1957" t="str">
            <v>Housing</v>
          </cell>
          <cell r="G1957">
            <v>1</v>
          </cell>
          <cell r="H1957">
            <v>0</v>
          </cell>
          <cell r="I1957" t="str">
            <v>N/A</v>
          </cell>
        </row>
        <row r="1958">
          <cell r="A1958" t="str">
            <v>ASY-100013-01</v>
          </cell>
          <cell r="B1958">
            <v>3</v>
          </cell>
          <cell r="C1958" t="str">
            <v>ORG-000060-00</v>
          </cell>
          <cell r="D1958" t="str">
            <v>O-RING, CABLE, TROV 2</v>
          </cell>
          <cell r="E1958" t="str">
            <v>A</v>
          </cell>
          <cell r="F1958" t="str">
            <v>O-Ring</v>
          </cell>
          <cell r="G1958">
            <v>1</v>
          </cell>
          <cell r="H1958">
            <v>0</v>
          </cell>
          <cell r="I1958" t="str">
            <v>N/A</v>
          </cell>
        </row>
        <row r="1959">
          <cell r="A1959" t="str">
            <v>ASY-100013-01</v>
          </cell>
          <cell r="B1959">
            <v>3</v>
          </cell>
          <cell r="C1959" t="str">
            <v>SRF-000030-00</v>
          </cell>
          <cell r="D1959" t="str">
            <v>STRAIN RELIEF, CABLE, TROV 2</v>
          </cell>
          <cell r="E1959" t="str">
            <v>A</v>
          </cell>
          <cell r="F1959" t="str">
            <v>Strain Relief</v>
          </cell>
          <cell r="G1959">
            <v>1</v>
          </cell>
          <cell r="H1959">
            <v>0</v>
          </cell>
          <cell r="I1959" t="str">
            <v>N/A</v>
          </cell>
        </row>
        <row r="1960">
          <cell r="A1960" t="str">
            <v>ASY-100013-01</v>
          </cell>
          <cell r="B1960">
            <v>2</v>
          </cell>
          <cell r="C1960" t="str">
            <v>BKT-000517-00</v>
          </cell>
          <cell r="D1960" t="str">
            <v>BRACKET, ROTATING LOCK, 4 FT, TROV 2.0</v>
          </cell>
          <cell r="E1960" t="str">
            <v>B</v>
          </cell>
          <cell r="F1960" t="str">
            <v>Bracket</v>
          </cell>
          <cell r="G1960">
            <v>1</v>
          </cell>
          <cell r="H1960">
            <v>0.9</v>
          </cell>
          <cell r="I1960" t="str">
            <v>Buy</v>
          </cell>
        </row>
        <row r="1961">
          <cell r="A1961" t="str">
            <v>ASY-100013-01</v>
          </cell>
          <cell r="B1961">
            <v>2</v>
          </cell>
          <cell r="C1961" t="str">
            <v>BKT-000518-00</v>
          </cell>
          <cell r="D1961" t="str">
            <v>BRACKET, PANEL MOUNT, 4 FT, TROV 2.0</v>
          </cell>
          <cell r="E1961" t="str">
            <v>B</v>
          </cell>
          <cell r="F1961" t="str">
            <v>Bracket</v>
          </cell>
          <cell r="G1961">
            <v>1</v>
          </cell>
          <cell r="H1961">
            <v>0.9</v>
          </cell>
          <cell r="I1961" t="str">
            <v>Buy</v>
          </cell>
        </row>
        <row r="1962">
          <cell r="A1962" t="str">
            <v>ASY-100013-01</v>
          </cell>
          <cell r="B1962">
            <v>2</v>
          </cell>
          <cell r="C1962" t="str">
            <v>SCW-000509-00</v>
          </cell>
          <cell r="D1962" t="str">
            <v>SCREW, SEALING FLAT HEAD, M3x0.5x8MM</v>
          </cell>
          <cell r="E1962" t="str">
            <v>B</v>
          </cell>
          <cell r="F1962" t="str">
            <v>Screw</v>
          </cell>
          <cell r="G1962">
            <v>2</v>
          </cell>
          <cell r="H1962">
            <v>0.4</v>
          </cell>
          <cell r="I1962" t="str">
            <v>Buy</v>
          </cell>
        </row>
        <row r="1963">
          <cell r="A1963" t="str">
            <v>ASY-100013-01</v>
          </cell>
          <cell r="B1963">
            <v>1</v>
          </cell>
          <cell r="C1963" t="str">
            <v>BAS-000021-00</v>
          </cell>
          <cell r="D1963" t="str">
            <v>BASE, 4FT, TROV 2.0</v>
          </cell>
          <cell r="E1963" t="str">
            <v>F</v>
          </cell>
          <cell r="F1963" t="str">
            <v>Base</v>
          </cell>
          <cell r="G1963">
            <v>1</v>
          </cell>
          <cell r="H1963">
            <v>14.25</v>
          </cell>
          <cell r="I1963" t="str">
            <v>Buy</v>
          </cell>
        </row>
        <row r="1964">
          <cell r="A1964" t="str">
            <v>ASY-100013-01</v>
          </cell>
          <cell r="B1964">
            <v>1</v>
          </cell>
          <cell r="C1964" t="str">
            <v>BKT-000457-03</v>
          </cell>
          <cell r="D1964" t="str">
            <v>BRACKET, MOUNT, LEFT, BLACK, TROV 2.0</v>
          </cell>
          <cell r="E1964" t="str">
            <v>C</v>
          </cell>
          <cell r="F1964" t="str">
            <v>Bracket</v>
          </cell>
          <cell r="G1964">
            <v>1</v>
          </cell>
          <cell r="H1964">
            <v>0.99</v>
          </cell>
          <cell r="I1964" t="str">
            <v>Buy</v>
          </cell>
        </row>
        <row r="1965">
          <cell r="A1965" t="str">
            <v>ASY-100013-01</v>
          </cell>
          <cell r="B1965">
            <v>1</v>
          </cell>
          <cell r="C1965" t="str">
            <v>BKT-000458-03</v>
          </cell>
          <cell r="D1965" t="str">
            <v>BRACKET, MOUNT, RIGHT, BLACK, TROV 2.0</v>
          </cell>
          <cell r="E1965" t="str">
            <v>C</v>
          </cell>
          <cell r="F1965" t="str">
            <v>Bracket</v>
          </cell>
          <cell r="G1965">
            <v>1</v>
          </cell>
          <cell r="H1965">
            <v>0.99</v>
          </cell>
          <cell r="I1965" t="str">
            <v>Buy</v>
          </cell>
        </row>
        <row r="1966">
          <cell r="A1966" t="str">
            <v>ASY-100013-01</v>
          </cell>
          <cell r="B1966">
            <v>1</v>
          </cell>
          <cell r="C1966" t="str">
            <v>CVR-000789-03</v>
          </cell>
          <cell r="D1966" t="str">
            <v>END COVER, FC, BLACK, L60, TROV 2.0</v>
          </cell>
          <cell r="E1966" t="str">
            <v>D</v>
          </cell>
          <cell r="F1966" t="str">
            <v>Cover</v>
          </cell>
          <cell r="G1966">
            <v>1</v>
          </cell>
          <cell r="H1966">
            <v>1.0900000000000001</v>
          </cell>
          <cell r="I1966" t="str">
            <v>Buy</v>
          </cell>
        </row>
        <row r="1967">
          <cell r="A1967" t="str">
            <v>ASY-100013-01</v>
          </cell>
          <cell r="B1967">
            <v>1</v>
          </cell>
          <cell r="C1967" t="str">
            <v>CVR-000893-03</v>
          </cell>
          <cell r="D1967" t="str">
            <v>END COVER, MC, BLACK, L60, TROV 2.0</v>
          </cell>
          <cell r="E1967" t="str">
            <v>B</v>
          </cell>
          <cell r="F1967" t="str">
            <v>Cover</v>
          </cell>
          <cell r="G1967">
            <v>1</v>
          </cell>
          <cell r="H1967">
            <v>1.0900000000000001</v>
          </cell>
          <cell r="I1967" t="str">
            <v>Buy</v>
          </cell>
        </row>
        <row r="1968">
          <cell r="A1968" t="str">
            <v>ASY-100013-01</v>
          </cell>
          <cell r="B1968">
            <v>1</v>
          </cell>
          <cell r="C1968" t="str">
            <v>FOM-000028-00</v>
          </cell>
          <cell r="D1968" t="str">
            <v>FOAM, LIGHTBLOCK, ENDCAP, L60, TROV2</v>
          </cell>
          <cell r="E1968" t="str">
            <v>A</v>
          </cell>
          <cell r="F1968" t="str">
            <v>Foam</v>
          </cell>
          <cell r="G1968">
            <v>2</v>
          </cell>
          <cell r="H1968">
            <v>0.03</v>
          </cell>
          <cell r="I1968" t="str">
            <v>Buy</v>
          </cell>
        </row>
        <row r="1969">
          <cell r="A1969" t="str">
            <v>ASY-100013-01</v>
          </cell>
          <cell r="B1969">
            <v>1</v>
          </cell>
          <cell r="C1969" t="str">
            <v>GSK-000122-01</v>
          </cell>
          <cell r="D1969" t="str">
            <v>GASKET, DRIVER ENCLOSURE, 3M, 4 FT, TROV 2.0</v>
          </cell>
          <cell r="E1969" t="str">
            <v>B</v>
          </cell>
          <cell r="F1969" t="str">
            <v>Gasket</v>
          </cell>
          <cell r="G1969">
            <v>1</v>
          </cell>
          <cell r="H1969">
            <v>2.0299999999999998</v>
          </cell>
          <cell r="I1969" t="str">
            <v>Buy</v>
          </cell>
        </row>
        <row r="1970">
          <cell r="A1970" t="str">
            <v>ASY-100013-01</v>
          </cell>
          <cell r="B1970">
            <v>1</v>
          </cell>
          <cell r="C1970" t="str">
            <v>GSK-000133-00</v>
          </cell>
          <cell r="D1970" t="str">
            <v>GASKET, TERTIARY LENS, 3M, 2 FT, L60, TROV 2.0</v>
          </cell>
          <cell r="E1970" t="str">
            <v>B</v>
          </cell>
          <cell r="F1970" t="str">
            <v>Gasket</v>
          </cell>
          <cell r="G1970">
            <v>2</v>
          </cell>
          <cell r="H1970">
            <v>6</v>
          </cell>
          <cell r="I1970" t="str">
            <v>Buy</v>
          </cell>
        </row>
        <row r="1971">
          <cell r="A1971" t="str">
            <v>ASY-100013-01</v>
          </cell>
          <cell r="B1971">
            <v>1</v>
          </cell>
          <cell r="C1971" t="str">
            <v>HSG-000493-01</v>
          </cell>
          <cell r="D1971" t="str">
            <v>HOUSING, TOP, 4 FT, L60, SILVER, TROV 2.0</v>
          </cell>
          <cell r="E1971" t="str">
            <v>E</v>
          </cell>
          <cell r="F1971" t="str">
            <v>Housing</v>
          </cell>
          <cell r="G1971">
            <v>1</v>
          </cell>
          <cell r="H1971">
            <v>38.619999999999997</v>
          </cell>
          <cell r="I1971" t="str">
            <v>Buy</v>
          </cell>
        </row>
        <row r="1972">
          <cell r="A1972" t="str">
            <v>ASY-100013-01</v>
          </cell>
          <cell r="B1972">
            <v>1</v>
          </cell>
          <cell r="C1972" t="str">
            <v>HSG-000495-01</v>
          </cell>
          <cell r="D1972" t="str">
            <v>HOUSING, BOTTOM, 4 FT, SILVER, TROV 2.0</v>
          </cell>
          <cell r="E1972" t="str">
            <v>F</v>
          </cell>
          <cell r="F1972" t="str">
            <v>Housing</v>
          </cell>
          <cell r="G1972">
            <v>1</v>
          </cell>
          <cell r="H1972">
            <v>32.49</v>
          </cell>
          <cell r="I1972" t="str">
            <v>Buy</v>
          </cell>
        </row>
        <row r="1973">
          <cell r="A1973" t="str">
            <v>ASY-100013-01</v>
          </cell>
          <cell r="B1973">
            <v>1</v>
          </cell>
          <cell r="C1973" t="str">
            <v>LBA-000003-00</v>
          </cell>
          <cell r="D1973" t="str">
            <v>Label: TROV 2 P1/P2, Model L45/L60</v>
          </cell>
          <cell r="E1973" t="str">
            <v>A</v>
          </cell>
          <cell r="F1973" t="str">
            <v>Label BOM</v>
          </cell>
          <cell r="G1973">
            <v>1</v>
          </cell>
          <cell r="H1973">
            <v>0</v>
          </cell>
          <cell r="I1973" t="str">
            <v>Make</v>
          </cell>
        </row>
        <row r="1974">
          <cell r="A1974" t="str">
            <v>ASY-100013-01</v>
          </cell>
          <cell r="B1974">
            <v>2</v>
          </cell>
          <cell r="C1974" t="str">
            <v>LBL-000243-00</v>
          </cell>
          <cell r="D1974" t="str">
            <v>Blank Product Label: Trov 2 P1/P2, Model L45/L60</v>
          </cell>
          <cell r="E1974" t="str">
            <v>A</v>
          </cell>
          <cell r="F1974" t="str">
            <v>Label</v>
          </cell>
          <cell r="G1974">
            <v>1</v>
          </cell>
          <cell r="H1974">
            <v>0.33</v>
          </cell>
          <cell r="I1974" t="str">
            <v>Buy</v>
          </cell>
        </row>
        <row r="1975">
          <cell r="A1975" t="str">
            <v>ASY-100013-01</v>
          </cell>
          <cell r="B1975">
            <v>1</v>
          </cell>
          <cell r="C1975" t="str">
            <v>PLG-000009-01</v>
          </cell>
          <cell r="D1975" t="str">
            <v>Porex Vent, Trov, L50 Exterior</v>
          </cell>
          <cell r="E1975" t="str">
            <v>B</v>
          </cell>
          <cell r="F1975" t="str">
            <v>Plug</v>
          </cell>
          <cell r="G1975">
            <v>2</v>
          </cell>
          <cell r="H1975">
            <v>0.17</v>
          </cell>
          <cell r="I1975" t="str">
            <v>Buy</v>
          </cell>
        </row>
        <row r="1976">
          <cell r="A1976" t="str">
            <v>ASY-100013-01</v>
          </cell>
          <cell r="B1976">
            <v>1</v>
          </cell>
          <cell r="C1976" t="str">
            <v>SCW-000156-00</v>
          </cell>
          <cell r="D1976" t="str">
            <v>SCREW, M3 x 0.5 X 8mm, PAND HEAD, PHILLIPS, STEEL</v>
          </cell>
          <cell r="E1976" t="str">
            <v>B</v>
          </cell>
          <cell r="F1976" t="str">
            <v>Screw</v>
          </cell>
          <cell r="G1976">
            <v>6</v>
          </cell>
          <cell r="H1976">
            <v>4.4400000000000002E-2</v>
          </cell>
          <cell r="I1976" t="str">
            <v>Buy</v>
          </cell>
        </row>
        <row r="1977">
          <cell r="A1977" t="str">
            <v>ASY-100013-01</v>
          </cell>
          <cell r="B1977">
            <v>1</v>
          </cell>
          <cell r="C1977" t="str">
            <v>SCW-000483-00</v>
          </cell>
          <cell r="D1977" t="str">
            <v>SCREW, PHILIPS FLAT HEAD, M2.5x0.45x5 , 18-8 SST</v>
          </cell>
          <cell r="E1977" t="str">
            <v>A</v>
          </cell>
          <cell r="F1977" t="str">
            <v>Screw</v>
          </cell>
          <cell r="G1977">
            <v>4</v>
          </cell>
          <cell r="H1977">
            <v>0.02</v>
          </cell>
          <cell r="I1977" t="str">
            <v>Buy</v>
          </cell>
        </row>
        <row r="1978">
          <cell r="A1978" t="str">
            <v>ASY-100013-01</v>
          </cell>
          <cell r="B1978">
            <v>1</v>
          </cell>
          <cell r="C1978" t="str">
            <v>SCW-000556-00</v>
          </cell>
          <cell r="D1978" t="str">
            <v>SCREW, HEX, SERRATED, #8-32, GROUNDING, TROV 2</v>
          </cell>
          <cell r="E1978" t="str">
            <v>A</v>
          </cell>
          <cell r="F1978" t="str">
            <v>Screw</v>
          </cell>
          <cell r="G1978">
            <v>1</v>
          </cell>
          <cell r="H1978">
            <v>0.04</v>
          </cell>
          <cell r="I1978" t="str">
            <v>Buy</v>
          </cell>
        </row>
        <row r="1979">
          <cell r="A1979" t="str">
            <v>ASY-100013-01</v>
          </cell>
          <cell r="B1979">
            <v>1</v>
          </cell>
          <cell r="C1979" t="str">
            <v>SCW-000567-00</v>
          </cell>
          <cell r="D1979" t="str">
            <v>SCREW, M2.5 x 0.45 x 12.0mm LENGTH, PAN HD, PHILLIPS, ZINC-PLATED STEEL</v>
          </cell>
          <cell r="E1979" t="str">
            <v>A</v>
          </cell>
          <cell r="F1979" t="str">
            <v>Screw</v>
          </cell>
          <cell r="G1979">
            <v>4</v>
          </cell>
          <cell r="H1979">
            <v>0.06</v>
          </cell>
          <cell r="I1979" t="str">
            <v>Buy</v>
          </cell>
        </row>
        <row r="1980">
          <cell r="A1980" t="str">
            <v>ASY-100013-01</v>
          </cell>
          <cell r="B1980">
            <v>1</v>
          </cell>
          <cell r="C1980" t="str">
            <v>SCW-000574-00</v>
          </cell>
          <cell r="D1980" t="str">
            <v>SCREW, TORX HEAD, 1/4-28x1/2", LOW PROFILE, ALLOY STEEL</v>
          </cell>
          <cell r="E1980" t="str">
            <v>A</v>
          </cell>
          <cell r="F1980" t="str">
            <v>Screw</v>
          </cell>
          <cell r="G1980">
            <v>2</v>
          </cell>
          <cell r="H1980">
            <v>0.14000000000000001</v>
          </cell>
          <cell r="I1980" t="str">
            <v>Buy</v>
          </cell>
        </row>
        <row r="1981">
          <cell r="A1981" t="str">
            <v>ASY-100013-01</v>
          </cell>
          <cell r="B1981">
            <v>1</v>
          </cell>
          <cell r="C1981" t="str">
            <v>SHT-000043-00</v>
          </cell>
          <cell r="D1981" t="str">
            <v>INSULATION SHEET, HBA, 4FT,TROV 2</v>
          </cell>
          <cell r="E1981" t="str">
            <v>D</v>
          </cell>
          <cell r="F1981" t="str">
            <v>Sheet</v>
          </cell>
          <cell r="G1981">
            <v>1</v>
          </cell>
          <cell r="H1981">
            <v>0.25</v>
          </cell>
          <cell r="I1981" t="str">
            <v>Buy</v>
          </cell>
        </row>
        <row r="1982">
          <cell r="A1982" t="str">
            <v>ASY-100013-01</v>
          </cell>
          <cell r="B1982">
            <v>1</v>
          </cell>
          <cell r="C1982" t="str">
            <v>SPG-000023-00</v>
          </cell>
          <cell r="D1982" t="str">
            <v>SPRING, DISC, STACKED WAVE, TROV 2.0</v>
          </cell>
          <cell r="E1982" t="str">
            <v>A</v>
          </cell>
          <cell r="F1982" t="str">
            <v>Spring</v>
          </cell>
          <cell r="G1982">
            <v>2</v>
          </cell>
          <cell r="H1982">
            <v>1.74</v>
          </cell>
          <cell r="I1982" t="str">
            <v>Buy</v>
          </cell>
        </row>
        <row r="1983">
          <cell r="A1983" t="str">
            <v>ASY-100013-01</v>
          </cell>
          <cell r="B1983">
            <v>1</v>
          </cell>
          <cell r="C1983" t="str">
            <v>TAP-000031-00</v>
          </cell>
          <cell r="D1983" t="str">
            <v>3M Electrical Tape 92</v>
          </cell>
          <cell r="E1983" t="str">
            <v>A</v>
          </cell>
          <cell r="F1983" t="str">
            <v>Tape</v>
          </cell>
          <cell r="G1983">
            <v>120</v>
          </cell>
          <cell r="H1983">
            <v>1.4E-2</v>
          </cell>
          <cell r="I1983" t="str">
            <v>Buy</v>
          </cell>
        </row>
        <row r="1984">
          <cell r="A1984" t="str">
            <v>ASY-100013-01</v>
          </cell>
          <cell r="B1984">
            <v>1</v>
          </cell>
          <cell r="C1984" t="str">
            <v>TMP-000028-00</v>
          </cell>
          <cell r="D1984" t="str">
            <v>Thermal Pad, LED PCBA, 2 FT, TROV 2</v>
          </cell>
          <cell r="E1984" t="str">
            <v>B</v>
          </cell>
          <cell r="F1984" t="str">
            <v>Thermal Pad</v>
          </cell>
          <cell r="G1984">
            <v>2</v>
          </cell>
          <cell r="H1984">
            <v>1.32</v>
          </cell>
          <cell r="I1984" t="str">
            <v>Buy</v>
          </cell>
        </row>
        <row r="1985">
          <cell r="A1985" t="str">
            <v>ASY-100013-01</v>
          </cell>
          <cell r="B1985">
            <v>1</v>
          </cell>
          <cell r="C1985" t="str">
            <v>TMP-000029-00</v>
          </cell>
          <cell r="D1985" t="str">
            <v>Thermal Pad, HBA, TROV 2</v>
          </cell>
          <cell r="E1985" t="str">
            <v>B</v>
          </cell>
          <cell r="F1985" t="str">
            <v>Thermal Pad</v>
          </cell>
          <cell r="G1985">
            <v>2</v>
          </cell>
          <cell r="H1985">
            <v>0.14000000000000001</v>
          </cell>
          <cell r="I1985" t="str">
            <v>Buy</v>
          </cell>
        </row>
        <row r="1986">
          <cell r="A1986" t="str">
            <v>ASY-100013-01</v>
          </cell>
          <cell r="B1986">
            <v>1</v>
          </cell>
          <cell r="C1986" t="str">
            <v>TMP-000032-00</v>
          </cell>
          <cell r="D1986" t="str">
            <v>Thermal Pad, HBA, TROV 2</v>
          </cell>
          <cell r="E1986" t="str">
            <v>A</v>
          </cell>
          <cell r="F1986" t="str">
            <v>Thermal Pad</v>
          </cell>
          <cell r="G1986">
            <v>1</v>
          </cell>
          <cell r="H1986">
            <v>0.03</v>
          </cell>
          <cell r="I1986" t="str">
            <v>Buy</v>
          </cell>
        </row>
        <row r="1987">
          <cell r="A1987" t="str">
            <v>ASY-100013-02</v>
          </cell>
          <cell r="B1987">
            <v>0</v>
          </cell>
          <cell r="C1987" t="str">
            <v>ASY-100013-02</v>
          </cell>
          <cell r="D1987" t="str">
            <v>ASSY, MECHANICAL, L60, OUTDOOR, 4 FT, TROV2P2, DYNAMIC, BRONZE</v>
          </cell>
          <cell r="E1987" t="str">
            <v>A</v>
          </cell>
          <cell r="F1987" t="str">
            <v>Sub assembly</v>
          </cell>
          <cell r="H1987">
            <v>0</v>
          </cell>
          <cell r="I1987" t="str">
            <v>Make</v>
          </cell>
        </row>
        <row r="1988">
          <cell r="A1988" t="str">
            <v>ASY-100013-02</v>
          </cell>
          <cell r="B1988">
            <v>1</v>
          </cell>
          <cell r="C1988" t="str">
            <v>ACB-000275-00</v>
          </cell>
          <cell r="D1988" t="str">
            <v>CABLE, CANBUS, SHORT, TROV 2</v>
          </cell>
          <cell r="E1988" t="str">
            <v>A</v>
          </cell>
          <cell r="F1988" t="str">
            <v>Cable</v>
          </cell>
          <cell r="G1988">
            <v>1</v>
          </cell>
          <cell r="H1988">
            <v>0.7</v>
          </cell>
          <cell r="I1988" t="str">
            <v>Buy</v>
          </cell>
        </row>
        <row r="1989">
          <cell r="A1989" t="str">
            <v>ASY-100013-02</v>
          </cell>
          <cell r="B1989">
            <v>1</v>
          </cell>
          <cell r="C1989" t="str">
            <v>ACB-000275-01</v>
          </cell>
          <cell r="D1989" t="str">
            <v>CABLE, CANBUS, LONG, TROV 2</v>
          </cell>
          <cell r="E1989" t="str">
            <v>A</v>
          </cell>
          <cell r="F1989" t="str">
            <v>Cable</v>
          </cell>
          <cell r="G1989">
            <v>1</v>
          </cell>
          <cell r="H1989">
            <v>0.81</v>
          </cell>
          <cell r="I1989" t="str">
            <v>Buy</v>
          </cell>
        </row>
        <row r="1990">
          <cell r="A1990" t="str">
            <v>ASY-100013-02</v>
          </cell>
          <cell r="B1990">
            <v>1</v>
          </cell>
          <cell r="C1990" t="str">
            <v>ASY-100008-00</v>
          </cell>
          <cell r="D1990" t="str">
            <v>Cable Subassembly, Driver housing, 4ft, Trov 2</v>
          </cell>
          <cell r="E1990" t="str">
            <v>A</v>
          </cell>
          <cell r="F1990" t="str">
            <v>Sub assembly</v>
          </cell>
          <cell r="G1990">
            <v>1</v>
          </cell>
          <cell r="H1990">
            <v>0</v>
          </cell>
          <cell r="I1990" t="str">
            <v>Make</v>
          </cell>
        </row>
        <row r="1991">
          <cell r="A1991" t="str">
            <v>ASY-100013-02</v>
          </cell>
          <cell r="B1991">
            <v>2</v>
          </cell>
          <cell r="C1991" t="str">
            <v>ACB-000272-00</v>
          </cell>
          <cell r="D1991" t="str">
            <v>CABLE ASSY, INTRA-FIXTURE, 4FT, TROV 2.0</v>
          </cell>
          <cell r="E1991" t="str">
            <v>B</v>
          </cell>
          <cell r="F1991" t="str">
            <v>Cable Assembly</v>
          </cell>
          <cell r="G1991">
            <v>1</v>
          </cell>
          <cell r="H1991">
            <v>20.420000000000002</v>
          </cell>
          <cell r="I1991" t="str">
            <v>Buy</v>
          </cell>
        </row>
        <row r="1992">
          <cell r="A1992" t="str">
            <v>ASY-100013-02</v>
          </cell>
          <cell r="B1992">
            <v>3</v>
          </cell>
          <cell r="C1992" t="str">
            <v>ACB-000273-00</v>
          </cell>
          <cell r="D1992" t="str">
            <v>6 CONDUCTOR CABLE, 3X22AWG, 3X16AWG, AL MYLAR, TROV 2</v>
          </cell>
          <cell r="E1992" t="str">
            <v>A</v>
          </cell>
          <cell r="F1992" t="str">
            <v>Cable</v>
          </cell>
          <cell r="G1992">
            <v>1</v>
          </cell>
          <cell r="H1992">
            <v>0</v>
          </cell>
          <cell r="I1992" t="str">
            <v>N/A</v>
          </cell>
        </row>
        <row r="1993">
          <cell r="A1993" t="str">
            <v>ASY-100013-02</v>
          </cell>
          <cell r="B1993">
            <v>3</v>
          </cell>
          <cell r="C1993" t="str">
            <v>ACB-000274-00</v>
          </cell>
          <cell r="D1993" t="str">
            <v>CABLE ASSEMBLY, INTERNAL, DRIVER SIDE, 4FT, TROV 2</v>
          </cell>
          <cell r="E1993" t="str">
            <v>A</v>
          </cell>
          <cell r="F1993" t="str">
            <v>Cable Assembly</v>
          </cell>
          <cell r="G1993">
            <v>1</v>
          </cell>
          <cell r="H1993">
            <v>0</v>
          </cell>
          <cell r="I1993" t="str">
            <v>N/A</v>
          </cell>
        </row>
        <row r="1994">
          <cell r="A1994" t="str">
            <v>ASY-100013-02</v>
          </cell>
          <cell r="B1994">
            <v>3</v>
          </cell>
          <cell r="C1994" t="str">
            <v>CON-000259-00</v>
          </cell>
          <cell r="D1994" t="str">
            <v>CONNECTOR, MALE, 6 PIN, TROV 2</v>
          </cell>
          <cell r="E1994" t="str">
            <v>B</v>
          </cell>
          <cell r="F1994" t="str">
            <v>Connector</v>
          </cell>
          <cell r="G1994">
            <v>1</v>
          </cell>
          <cell r="H1994">
            <v>0</v>
          </cell>
          <cell r="I1994" t="str">
            <v>N/A</v>
          </cell>
        </row>
        <row r="1995">
          <cell r="A1995" t="str">
            <v>ASY-100013-02</v>
          </cell>
          <cell r="B1995">
            <v>3</v>
          </cell>
          <cell r="C1995" t="str">
            <v>CON-000260-00</v>
          </cell>
          <cell r="D1995" t="str">
            <v>CONNECTOR, FEMALE, 6 PIN, TROV 2</v>
          </cell>
          <cell r="E1995" t="str">
            <v>A</v>
          </cell>
          <cell r="F1995" t="str">
            <v>Connector</v>
          </cell>
          <cell r="G1995">
            <v>1</v>
          </cell>
          <cell r="H1995">
            <v>0</v>
          </cell>
          <cell r="I1995" t="str">
            <v>N/A</v>
          </cell>
        </row>
        <row r="1996">
          <cell r="A1996" t="str">
            <v>ASY-100013-02</v>
          </cell>
          <cell r="B1996">
            <v>3</v>
          </cell>
          <cell r="C1996" t="str">
            <v>HSG-000330-00</v>
          </cell>
          <cell r="D1996" t="str">
            <v>DRIVER HOUSING, 4 FT, TROV 2</v>
          </cell>
          <cell r="E1996" t="str">
            <v>A</v>
          </cell>
          <cell r="F1996" t="str">
            <v>Housing</v>
          </cell>
          <cell r="G1996">
            <v>1</v>
          </cell>
          <cell r="H1996">
            <v>0</v>
          </cell>
          <cell r="I1996" t="str">
            <v>N/A</v>
          </cell>
        </row>
        <row r="1997">
          <cell r="A1997" t="str">
            <v>ASY-100013-02</v>
          </cell>
          <cell r="B1997">
            <v>3</v>
          </cell>
          <cell r="C1997" t="str">
            <v>ORG-000060-00</v>
          </cell>
          <cell r="D1997" t="str">
            <v>O-RING, CABLE, TROV 2</v>
          </cell>
          <cell r="E1997" t="str">
            <v>A</v>
          </cell>
          <cell r="F1997" t="str">
            <v>O-Ring</v>
          </cell>
          <cell r="G1997">
            <v>1</v>
          </cell>
          <cell r="H1997">
            <v>0</v>
          </cell>
          <cell r="I1997" t="str">
            <v>N/A</v>
          </cell>
        </row>
        <row r="1998">
          <cell r="A1998" t="str">
            <v>ASY-100013-02</v>
          </cell>
          <cell r="B1998">
            <v>3</v>
          </cell>
          <cell r="C1998" t="str">
            <v>SRF-000030-00</v>
          </cell>
          <cell r="D1998" t="str">
            <v>STRAIN RELIEF, CABLE, TROV 2</v>
          </cell>
          <cell r="E1998" t="str">
            <v>A</v>
          </cell>
          <cell r="F1998" t="str">
            <v>Strain Relief</v>
          </cell>
          <cell r="G1998">
            <v>1</v>
          </cell>
          <cell r="H1998">
            <v>0</v>
          </cell>
          <cell r="I1998" t="str">
            <v>N/A</v>
          </cell>
        </row>
        <row r="1999">
          <cell r="A1999" t="str">
            <v>ASY-100013-02</v>
          </cell>
          <cell r="B1999">
            <v>2</v>
          </cell>
          <cell r="C1999" t="str">
            <v>BKT-000517-00</v>
          </cell>
          <cell r="D1999" t="str">
            <v>BRACKET, ROTATING LOCK, 4 FT, TROV 2.0</v>
          </cell>
          <cell r="E1999" t="str">
            <v>B</v>
          </cell>
          <cell r="F1999" t="str">
            <v>Bracket</v>
          </cell>
          <cell r="G1999">
            <v>1</v>
          </cell>
          <cell r="H1999">
            <v>0.9</v>
          </cell>
          <cell r="I1999" t="str">
            <v>Buy</v>
          </cell>
        </row>
        <row r="2000">
          <cell r="A2000" t="str">
            <v>ASY-100013-02</v>
          </cell>
          <cell r="B2000">
            <v>2</v>
          </cell>
          <cell r="C2000" t="str">
            <v>BKT-000518-00</v>
          </cell>
          <cell r="D2000" t="str">
            <v>BRACKET, PANEL MOUNT, 4 FT, TROV 2.0</v>
          </cell>
          <cell r="E2000" t="str">
            <v>B</v>
          </cell>
          <cell r="F2000" t="str">
            <v>Bracket</v>
          </cell>
          <cell r="G2000">
            <v>1</v>
          </cell>
          <cell r="H2000">
            <v>0.9</v>
          </cell>
          <cell r="I2000" t="str">
            <v>Buy</v>
          </cell>
        </row>
        <row r="2001">
          <cell r="A2001" t="str">
            <v>ASY-100013-02</v>
          </cell>
          <cell r="B2001">
            <v>2</v>
          </cell>
          <cell r="C2001" t="str">
            <v>SCW-000509-00</v>
          </cell>
          <cell r="D2001" t="str">
            <v>SCREW, SEALING FLAT HEAD, M3x0.5x8MM</v>
          </cell>
          <cell r="E2001" t="str">
            <v>B</v>
          </cell>
          <cell r="F2001" t="str">
            <v>Screw</v>
          </cell>
          <cell r="G2001">
            <v>2</v>
          </cell>
          <cell r="H2001">
            <v>0.4</v>
          </cell>
          <cell r="I2001" t="str">
            <v>Buy</v>
          </cell>
        </row>
        <row r="2002">
          <cell r="A2002" t="str">
            <v>ASY-100013-02</v>
          </cell>
          <cell r="B2002">
            <v>1</v>
          </cell>
          <cell r="C2002" t="str">
            <v>BAS-000021-00</v>
          </cell>
          <cell r="D2002" t="str">
            <v>BASE, 4FT, TROV 2.0</v>
          </cell>
          <cell r="E2002" t="str">
            <v>F</v>
          </cell>
          <cell r="F2002" t="str">
            <v>Base</v>
          </cell>
          <cell r="G2002">
            <v>1</v>
          </cell>
          <cell r="H2002">
            <v>14.25</v>
          </cell>
          <cell r="I2002" t="str">
            <v>Buy</v>
          </cell>
        </row>
        <row r="2003">
          <cell r="A2003" t="str">
            <v>ASY-100013-02</v>
          </cell>
          <cell r="B2003">
            <v>1</v>
          </cell>
          <cell r="C2003" t="str">
            <v>BKT-000457-03</v>
          </cell>
          <cell r="D2003" t="str">
            <v>BRACKET, MOUNT, LEFT, BLACK, TROV 2.0</v>
          </cell>
          <cell r="E2003" t="str">
            <v>C</v>
          </cell>
          <cell r="F2003" t="str">
            <v>Bracket</v>
          </cell>
          <cell r="G2003">
            <v>1</v>
          </cell>
          <cell r="H2003">
            <v>0.99</v>
          </cell>
          <cell r="I2003" t="str">
            <v>Buy</v>
          </cell>
        </row>
        <row r="2004">
          <cell r="A2004" t="str">
            <v>ASY-100013-02</v>
          </cell>
          <cell r="B2004">
            <v>1</v>
          </cell>
          <cell r="C2004" t="str">
            <v>BKT-000458-03</v>
          </cell>
          <cell r="D2004" t="str">
            <v>BRACKET, MOUNT, RIGHT, BLACK, TROV 2.0</v>
          </cell>
          <cell r="E2004" t="str">
            <v>C</v>
          </cell>
          <cell r="F2004" t="str">
            <v>Bracket</v>
          </cell>
          <cell r="G2004">
            <v>1</v>
          </cell>
          <cell r="H2004">
            <v>0.99</v>
          </cell>
          <cell r="I2004" t="str">
            <v>Buy</v>
          </cell>
        </row>
        <row r="2005">
          <cell r="A2005" t="str">
            <v>ASY-100013-02</v>
          </cell>
          <cell r="B2005">
            <v>1</v>
          </cell>
          <cell r="C2005" t="str">
            <v>CVR-000789-02</v>
          </cell>
          <cell r="D2005" t="str">
            <v>END COVER, FC, BRONZE, L60, TROV 2.0</v>
          </cell>
          <cell r="E2005" t="str">
            <v>D</v>
          </cell>
          <cell r="F2005" t="str">
            <v>Cover</v>
          </cell>
          <cell r="G2005">
            <v>1</v>
          </cell>
          <cell r="H2005">
            <v>2.09</v>
          </cell>
          <cell r="I2005" t="str">
            <v>Buy</v>
          </cell>
        </row>
        <row r="2006">
          <cell r="A2006" t="str">
            <v>ASY-100013-02</v>
          </cell>
          <cell r="B2006">
            <v>1</v>
          </cell>
          <cell r="C2006" t="str">
            <v>CVR-000893-02</v>
          </cell>
          <cell r="D2006" t="str">
            <v>END COVER, MC, BRONZE, L60, TROV 2.0</v>
          </cell>
          <cell r="E2006" t="str">
            <v>B</v>
          </cell>
          <cell r="F2006" t="str">
            <v>Cover</v>
          </cell>
          <cell r="G2006">
            <v>1</v>
          </cell>
          <cell r="H2006">
            <v>7.5</v>
          </cell>
          <cell r="I2006" t="str">
            <v>Buy</v>
          </cell>
        </row>
        <row r="2007">
          <cell r="A2007" t="str">
            <v>ASY-100013-02</v>
          </cell>
          <cell r="B2007">
            <v>1</v>
          </cell>
          <cell r="C2007" t="str">
            <v>FOM-000028-00</v>
          </cell>
          <cell r="D2007" t="str">
            <v>FOAM, LIGHTBLOCK, ENDCAP, L60, TROV2</v>
          </cell>
          <cell r="E2007" t="str">
            <v>A</v>
          </cell>
          <cell r="F2007" t="str">
            <v>Foam</v>
          </cell>
          <cell r="G2007">
            <v>2</v>
          </cell>
          <cell r="H2007">
            <v>0.03</v>
          </cell>
          <cell r="I2007" t="str">
            <v>Buy</v>
          </cell>
        </row>
        <row r="2008">
          <cell r="A2008" t="str">
            <v>ASY-100013-02</v>
          </cell>
          <cell r="B2008">
            <v>1</v>
          </cell>
          <cell r="C2008" t="str">
            <v>GSK-000122-01</v>
          </cell>
          <cell r="D2008" t="str">
            <v>GASKET, DRIVER ENCLOSURE, 3M, 4 FT, TROV 2.0</v>
          </cell>
          <cell r="E2008" t="str">
            <v>B</v>
          </cell>
          <cell r="F2008" t="str">
            <v>Gasket</v>
          </cell>
          <cell r="G2008">
            <v>1</v>
          </cell>
          <cell r="H2008">
            <v>2.0299999999999998</v>
          </cell>
          <cell r="I2008" t="str">
            <v>Buy</v>
          </cell>
        </row>
        <row r="2009">
          <cell r="A2009" t="str">
            <v>ASY-100013-02</v>
          </cell>
          <cell r="B2009">
            <v>1</v>
          </cell>
          <cell r="C2009" t="str">
            <v>GSK-000133-00</v>
          </cell>
          <cell r="D2009" t="str">
            <v>GASKET, TERTIARY LENS, 3M, 2 FT, L60, TROV 2.0</v>
          </cell>
          <cell r="E2009" t="str">
            <v>B</v>
          </cell>
          <cell r="F2009" t="str">
            <v>Gasket</v>
          </cell>
          <cell r="G2009">
            <v>2</v>
          </cell>
          <cell r="H2009">
            <v>6</v>
          </cell>
          <cell r="I2009" t="str">
            <v>Buy</v>
          </cell>
        </row>
        <row r="2010">
          <cell r="A2010" t="str">
            <v>ASY-100013-02</v>
          </cell>
          <cell r="B2010">
            <v>1</v>
          </cell>
          <cell r="C2010" t="str">
            <v>HSG-000493-02</v>
          </cell>
          <cell r="D2010" t="str">
            <v>HOUSING, TOP, 4 FT, L60, BRONZE, TROV 2.0</v>
          </cell>
          <cell r="E2010" t="str">
            <v>E</v>
          </cell>
          <cell r="F2010" t="str">
            <v>Housing</v>
          </cell>
          <cell r="G2010">
            <v>1</v>
          </cell>
          <cell r="H2010">
            <v>15.06</v>
          </cell>
          <cell r="I2010" t="str">
            <v>Buy</v>
          </cell>
        </row>
        <row r="2011">
          <cell r="A2011" t="str">
            <v>ASY-100013-02</v>
          </cell>
          <cell r="B2011">
            <v>1</v>
          </cell>
          <cell r="C2011" t="str">
            <v>HSG-000495-02</v>
          </cell>
          <cell r="D2011" t="str">
            <v>HOUSING, BOTTOM, 4 FT, BRONZE, TROV 2.0</v>
          </cell>
          <cell r="E2011" t="str">
            <v>F</v>
          </cell>
          <cell r="F2011" t="str">
            <v>Housing</v>
          </cell>
          <cell r="G2011">
            <v>1</v>
          </cell>
          <cell r="H2011">
            <v>29.32</v>
          </cell>
          <cell r="I2011" t="str">
            <v>Buy</v>
          </cell>
        </row>
        <row r="2012">
          <cell r="A2012" t="str">
            <v>ASY-100013-02</v>
          </cell>
          <cell r="B2012">
            <v>1</v>
          </cell>
          <cell r="C2012" t="str">
            <v>LBA-000003-00</v>
          </cell>
          <cell r="D2012" t="str">
            <v>Label: TROV 2 P1/P2, Model L45/L60</v>
          </cell>
          <cell r="E2012" t="str">
            <v>A</v>
          </cell>
          <cell r="F2012" t="str">
            <v>Label BOM</v>
          </cell>
          <cell r="G2012">
            <v>1</v>
          </cell>
          <cell r="H2012">
            <v>0</v>
          </cell>
          <cell r="I2012" t="str">
            <v>Make</v>
          </cell>
        </row>
        <row r="2013">
          <cell r="A2013" t="str">
            <v>ASY-100013-02</v>
          </cell>
          <cell r="B2013">
            <v>2</v>
          </cell>
          <cell r="C2013" t="str">
            <v>LBL-000243-00</v>
          </cell>
          <cell r="D2013" t="str">
            <v>Blank Product Label: Trov 2 P1/P2, Model L45/L60</v>
          </cell>
          <cell r="E2013" t="str">
            <v>A</v>
          </cell>
          <cell r="F2013" t="str">
            <v>Label</v>
          </cell>
          <cell r="G2013">
            <v>1</v>
          </cell>
          <cell r="H2013">
            <v>0.33</v>
          </cell>
          <cell r="I2013" t="str">
            <v>Buy</v>
          </cell>
        </row>
        <row r="2014">
          <cell r="A2014" t="str">
            <v>ASY-100013-02</v>
          </cell>
          <cell r="B2014">
            <v>1</v>
          </cell>
          <cell r="C2014" t="str">
            <v>PLG-000009-01</v>
          </cell>
          <cell r="D2014" t="str">
            <v>Porex Vent, Trov, L50 Exterior</v>
          </cell>
          <cell r="E2014" t="str">
            <v>B</v>
          </cell>
          <cell r="F2014" t="str">
            <v>Plug</v>
          </cell>
          <cell r="G2014">
            <v>2</v>
          </cell>
          <cell r="H2014">
            <v>0.17</v>
          </cell>
          <cell r="I2014" t="str">
            <v>Buy</v>
          </cell>
        </row>
        <row r="2015">
          <cell r="A2015" t="str">
            <v>ASY-100013-02</v>
          </cell>
          <cell r="B2015">
            <v>1</v>
          </cell>
          <cell r="C2015" t="str">
            <v>SCW-000156-00</v>
          </cell>
          <cell r="D2015" t="str">
            <v>SCREW, M3 x 0.5 X 8mm, PAND HEAD, PHILLIPS, STEEL</v>
          </cell>
          <cell r="E2015" t="str">
            <v>B</v>
          </cell>
          <cell r="F2015" t="str">
            <v>Screw</v>
          </cell>
          <cell r="G2015">
            <v>6</v>
          </cell>
          <cell r="H2015">
            <v>4.4400000000000002E-2</v>
          </cell>
          <cell r="I2015" t="str">
            <v>Buy</v>
          </cell>
        </row>
        <row r="2016">
          <cell r="A2016" t="str">
            <v>ASY-100013-02</v>
          </cell>
          <cell r="B2016">
            <v>1</v>
          </cell>
          <cell r="C2016" t="str">
            <v>SCW-000483-00</v>
          </cell>
          <cell r="D2016" t="str">
            <v>SCREW, PHILIPS FLAT HEAD, M2.5x0.45x5 , 18-8 SST</v>
          </cell>
          <cell r="E2016" t="str">
            <v>A</v>
          </cell>
          <cell r="F2016" t="str">
            <v>Screw</v>
          </cell>
          <cell r="G2016">
            <v>4</v>
          </cell>
          <cell r="H2016">
            <v>0.02</v>
          </cell>
          <cell r="I2016" t="str">
            <v>Buy</v>
          </cell>
        </row>
        <row r="2017">
          <cell r="A2017" t="str">
            <v>ASY-100013-02</v>
          </cell>
          <cell r="B2017">
            <v>1</v>
          </cell>
          <cell r="C2017" t="str">
            <v>SCW-000556-00</v>
          </cell>
          <cell r="D2017" t="str">
            <v>SCREW, HEX, SERRATED, #8-32, GROUNDING, TROV 2</v>
          </cell>
          <cell r="E2017" t="str">
            <v>A</v>
          </cell>
          <cell r="F2017" t="str">
            <v>Screw</v>
          </cell>
          <cell r="G2017">
            <v>1</v>
          </cell>
          <cell r="H2017">
            <v>0.04</v>
          </cell>
          <cell r="I2017" t="str">
            <v>Buy</v>
          </cell>
        </row>
        <row r="2018">
          <cell r="A2018" t="str">
            <v>ASY-100013-02</v>
          </cell>
          <cell r="B2018">
            <v>1</v>
          </cell>
          <cell r="C2018" t="str">
            <v>SCW-000567-00</v>
          </cell>
          <cell r="D2018" t="str">
            <v>SCREW, M2.5 x 0.45 x 12.0mm LENGTH, PAN HD, PHILLIPS, ZINC-PLATED STEEL</v>
          </cell>
          <cell r="E2018" t="str">
            <v>A</v>
          </cell>
          <cell r="F2018" t="str">
            <v>Screw</v>
          </cell>
          <cell r="G2018">
            <v>4</v>
          </cell>
          <cell r="H2018">
            <v>0.06</v>
          </cell>
          <cell r="I2018" t="str">
            <v>Buy</v>
          </cell>
        </row>
        <row r="2019">
          <cell r="A2019" t="str">
            <v>ASY-100013-02</v>
          </cell>
          <cell r="B2019">
            <v>1</v>
          </cell>
          <cell r="C2019" t="str">
            <v>SCW-000574-00</v>
          </cell>
          <cell r="D2019" t="str">
            <v>SCREW, TORX HEAD, 1/4-28x1/2", LOW PROFILE, ALLOY STEEL</v>
          </cell>
          <cell r="E2019" t="str">
            <v>A</v>
          </cell>
          <cell r="F2019" t="str">
            <v>Screw</v>
          </cell>
          <cell r="G2019">
            <v>2</v>
          </cell>
          <cell r="H2019">
            <v>0.14000000000000001</v>
          </cell>
          <cell r="I2019" t="str">
            <v>Buy</v>
          </cell>
        </row>
        <row r="2020">
          <cell r="A2020" t="str">
            <v>ASY-100013-02</v>
          </cell>
          <cell r="B2020">
            <v>1</v>
          </cell>
          <cell r="C2020" t="str">
            <v>SHT-000043-00</v>
          </cell>
          <cell r="D2020" t="str">
            <v>INSULATION SHEET, HBA, 4FT,TROV 2</v>
          </cell>
          <cell r="E2020" t="str">
            <v>D</v>
          </cell>
          <cell r="F2020" t="str">
            <v>Sheet</v>
          </cell>
          <cell r="G2020">
            <v>1</v>
          </cell>
          <cell r="H2020">
            <v>0.25</v>
          </cell>
          <cell r="I2020" t="str">
            <v>Buy</v>
          </cell>
        </row>
        <row r="2021">
          <cell r="A2021" t="str">
            <v>ASY-100013-02</v>
          </cell>
          <cell r="B2021">
            <v>1</v>
          </cell>
          <cell r="C2021" t="str">
            <v>SPG-000023-00</v>
          </cell>
          <cell r="D2021" t="str">
            <v>SPRING, DISC, STACKED WAVE, TROV 2.0</v>
          </cell>
          <cell r="E2021" t="str">
            <v>A</v>
          </cell>
          <cell r="F2021" t="str">
            <v>Spring</v>
          </cell>
          <cell r="G2021">
            <v>2</v>
          </cell>
          <cell r="H2021">
            <v>1.74</v>
          </cell>
          <cell r="I2021" t="str">
            <v>Buy</v>
          </cell>
        </row>
        <row r="2022">
          <cell r="A2022" t="str">
            <v>ASY-100013-02</v>
          </cell>
          <cell r="B2022">
            <v>1</v>
          </cell>
          <cell r="C2022" t="str">
            <v>TAP-000031-00</v>
          </cell>
          <cell r="D2022" t="str">
            <v>3M Electrical Tape 92</v>
          </cell>
          <cell r="E2022" t="str">
            <v>A</v>
          </cell>
          <cell r="F2022" t="str">
            <v>Tape</v>
          </cell>
          <cell r="G2022">
            <v>120</v>
          </cell>
          <cell r="H2022">
            <v>1.4E-2</v>
          </cell>
          <cell r="I2022" t="str">
            <v>Buy</v>
          </cell>
        </row>
        <row r="2023">
          <cell r="A2023" t="str">
            <v>ASY-100013-02</v>
          </cell>
          <cell r="B2023">
            <v>1</v>
          </cell>
          <cell r="C2023" t="str">
            <v>TMP-000028-00</v>
          </cell>
          <cell r="D2023" t="str">
            <v>Thermal Pad, LED PCBA, 2 FT, TROV 2</v>
          </cell>
          <cell r="E2023" t="str">
            <v>B</v>
          </cell>
          <cell r="F2023" t="str">
            <v>Thermal Pad</v>
          </cell>
          <cell r="G2023">
            <v>2</v>
          </cell>
          <cell r="H2023">
            <v>1.32</v>
          </cell>
          <cell r="I2023" t="str">
            <v>Buy</v>
          </cell>
        </row>
        <row r="2024">
          <cell r="A2024" t="str">
            <v>ASY-100013-02</v>
          </cell>
          <cell r="B2024">
            <v>1</v>
          </cell>
          <cell r="C2024" t="str">
            <v>TMP-000029-00</v>
          </cell>
          <cell r="D2024" t="str">
            <v>Thermal Pad, HBA, TROV 2</v>
          </cell>
          <cell r="E2024" t="str">
            <v>B</v>
          </cell>
          <cell r="F2024" t="str">
            <v>Thermal Pad</v>
          </cell>
          <cell r="G2024">
            <v>2</v>
          </cell>
          <cell r="H2024">
            <v>0.14000000000000001</v>
          </cell>
          <cell r="I2024" t="str">
            <v>Buy</v>
          </cell>
        </row>
        <row r="2025">
          <cell r="A2025" t="str">
            <v>ASY-100013-02</v>
          </cell>
          <cell r="B2025">
            <v>1</v>
          </cell>
          <cell r="C2025" t="str">
            <v>TMP-000032-00</v>
          </cell>
          <cell r="D2025" t="str">
            <v>Thermal Pad, HBA, TROV 2</v>
          </cell>
          <cell r="E2025" t="str">
            <v>A</v>
          </cell>
          <cell r="F2025" t="str">
            <v>Thermal Pad</v>
          </cell>
          <cell r="G2025">
            <v>1</v>
          </cell>
          <cell r="H2025">
            <v>0.03</v>
          </cell>
          <cell r="I2025" t="str">
            <v>Buy</v>
          </cell>
        </row>
        <row r="2026">
          <cell r="A2026" t="str">
            <v>ASY-100013-03</v>
          </cell>
          <cell r="B2026">
            <v>0</v>
          </cell>
          <cell r="C2026" t="str">
            <v>ASY-100013-03</v>
          </cell>
          <cell r="D2026" t="str">
            <v>ASSY, MECHANICAL, L60, OUTDOOR, 4 FT, TROV2P2, DYNAMIC, BLACK</v>
          </cell>
          <cell r="E2026" t="str">
            <v>A</v>
          </cell>
          <cell r="F2026" t="str">
            <v>Sub assembly</v>
          </cell>
          <cell r="H2026">
            <v>0</v>
          </cell>
          <cell r="I2026" t="str">
            <v>Make</v>
          </cell>
        </row>
        <row r="2027">
          <cell r="A2027" t="str">
            <v>ASY-100013-03</v>
          </cell>
          <cell r="B2027">
            <v>1</v>
          </cell>
          <cell r="C2027" t="str">
            <v>ACB-000275-00</v>
          </cell>
          <cell r="D2027" t="str">
            <v>CABLE, CANBUS, SHORT, TROV 2</v>
          </cell>
          <cell r="E2027" t="str">
            <v>A</v>
          </cell>
          <cell r="F2027" t="str">
            <v>Cable</v>
          </cell>
          <cell r="G2027">
            <v>1</v>
          </cell>
          <cell r="H2027">
            <v>0.7</v>
          </cell>
          <cell r="I2027" t="str">
            <v>Buy</v>
          </cell>
        </row>
        <row r="2028">
          <cell r="A2028" t="str">
            <v>ASY-100013-03</v>
          </cell>
          <cell r="B2028">
            <v>1</v>
          </cell>
          <cell r="C2028" t="str">
            <v>ACB-000275-01</v>
          </cell>
          <cell r="D2028" t="str">
            <v>CABLE, CANBUS, LONG, TROV 2</v>
          </cell>
          <cell r="E2028" t="str">
            <v>A</v>
          </cell>
          <cell r="F2028" t="str">
            <v>Cable</v>
          </cell>
          <cell r="G2028">
            <v>1</v>
          </cell>
          <cell r="H2028">
            <v>0.81</v>
          </cell>
          <cell r="I2028" t="str">
            <v>Buy</v>
          </cell>
        </row>
        <row r="2029">
          <cell r="A2029" t="str">
            <v>ASY-100013-03</v>
          </cell>
          <cell r="B2029">
            <v>1</v>
          </cell>
          <cell r="C2029" t="str">
            <v>ASY-100008-00</v>
          </cell>
          <cell r="D2029" t="str">
            <v>Cable Subassembly, Driver housing, 4ft, Trov 2</v>
          </cell>
          <cell r="E2029" t="str">
            <v>A</v>
          </cell>
          <cell r="F2029" t="str">
            <v>Sub assembly</v>
          </cell>
          <cell r="G2029">
            <v>1</v>
          </cell>
          <cell r="H2029">
            <v>0</v>
          </cell>
          <cell r="I2029" t="str">
            <v>Make</v>
          </cell>
        </row>
        <row r="2030">
          <cell r="A2030" t="str">
            <v>ASY-100013-03</v>
          </cell>
          <cell r="B2030">
            <v>2</v>
          </cell>
          <cell r="C2030" t="str">
            <v>ACB-000272-00</v>
          </cell>
          <cell r="D2030" t="str">
            <v>CABLE ASSY, INTRA-FIXTURE, 4FT, TROV 2.0</v>
          </cell>
          <cell r="E2030" t="str">
            <v>B</v>
          </cell>
          <cell r="F2030" t="str">
            <v>Cable Assembly</v>
          </cell>
          <cell r="G2030">
            <v>1</v>
          </cell>
          <cell r="H2030">
            <v>20.420000000000002</v>
          </cell>
          <cell r="I2030" t="str">
            <v>Buy</v>
          </cell>
        </row>
        <row r="2031">
          <cell r="A2031" t="str">
            <v>ASY-100013-03</v>
          </cell>
          <cell r="B2031">
            <v>3</v>
          </cell>
          <cell r="C2031" t="str">
            <v>ACB-000273-00</v>
          </cell>
          <cell r="D2031" t="str">
            <v>6 CONDUCTOR CABLE, 3X22AWG, 3X16AWG, AL MYLAR, TROV 2</v>
          </cell>
          <cell r="E2031" t="str">
            <v>A</v>
          </cell>
          <cell r="F2031" t="str">
            <v>Cable</v>
          </cell>
          <cell r="G2031">
            <v>1</v>
          </cell>
          <cell r="H2031">
            <v>0</v>
          </cell>
          <cell r="I2031" t="str">
            <v>N/A</v>
          </cell>
        </row>
        <row r="2032">
          <cell r="A2032" t="str">
            <v>ASY-100013-03</v>
          </cell>
          <cell r="B2032">
            <v>3</v>
          </cell>
          <cell r="C2032" t="str">
            <v>ACB-000274-00</v>
          </cell>
          <cell r="D2032" t="str">
            <v>CABLE ASSEMBLY, INTERNAL, DRIVER SIDE, 4FT, TROV 2</v>
          </cell>
          <cell r="E2032" t="str">
            <v>A</v>
          </cell>
          <cell r="F2032" t="str">
            <v>Cable Assembly</v>
          </cell>
          <cell r="G2032">
            <v>1</v>
          </cell>
          <cell r="H2032">
            <v>0</v>
          </cell>
          <cell r="I2032" t="str">
            <v>N/A</v>
          </cell>
        </row>
        <row r="2033">
          <cell r="A2033" t="str">
            <v>ASY-100013-03</v>
          </cell>
          <cell r="B2033">
            <v>3</v>
          </cell>
          <cell r="C2033" t="str">
            <v>CON-000259-00</v>
          </cell>
          <cell r="D2033" t="str">
            <v>CONNECTOR, MALE, 6 PIN, TROV 2</v>
          </cell>
          <cell r="E2033" t="str">
            <v>B</v>
          </cell>
          <cell r="F2033" t="str">
            <v>Connector</v>
          </cell>
          <cell r="G2033">
            <v>1</v>
          </cell>
          <cell r="H2033">
            <v>0</v>
          </cell>
          <cell r="I2033" t="str">
            <v>N/A</v>
          </cell>
        </row>
        <row r="2034">
          <cell r="A2034" t="str">
            <v>ASY-100013-03</v>
          </cell>
          <cell r="B2034">
            <v>3</v>
          </cell>
          <cell r="C2034" t="str">
            <v>CON-000260-00</v>
          </cell>
          <cell r="D2034" t="str">
            <v>CONNECTOR, FEMALE, 6 PIN, TROV 2</v>
          </cell>
          <cell r="E2034" t="str">
            <v>A</v>
          </cell>
          <cell r="F2034" t="str">
            <v>Connector</v>
          </cell>
          <cell r="G2034">
            <v>1</v>
          </cell>
          <cell r="H2034">
            <v>0</v>
          </cell>
          <cell r="I2034" t="str">
            <v>N/A</v>
          </cell>
        </row>
        <row r="2035">
          <cell r="A2035" t="str">
            <v>ASY-100013-03</v>
          </cell>
          <cell r="B2035">
            <v>3</v>
          </cell>
          <cell r="C2035" t="str">
            <v>HSG-000330-00</v>
          </cell>
          <cell r="D2035" t="str">
            <v>DRIVER HOUSING, 4 FT, TROV 2</v>
          </cell>
          <cell r="E2035" t="str">
            <v>A</v>
          </cell>
          <cell r="F2035" t="str">
            <v>Housing</v>
          </cell>
          <cell r="G2035">
            <v>1</v>
          </cell>
          <cell r="H2035">
            <v>0</v>
          </cell>
          <cell r="I2035" t="str">
            <v>N/A</v>
          </cell>
        </row>
        <row r="2036">
          <cell r="A2036" t="str">
            <v>ASY-100013-03</v>
          </cell>
          <cell r="B2036">
            <v>3</v>
          </cell>
          <cell r="C2036" t="str">
            <v>ORG-000060-00</v>
          </cell>
          <cell r="D2036" t="str">
            <v>O-RING, CABLE, TROV 2</v>
          </cell>
          <cell r="E2036" t="str">
            <v>A</v>
          </cell>
          <cell r="F2036" t="str">
            <v>O-Ring</v>
          </cell>
          <cell r="G2036">
            <v>1</v>
          </cell>
          <cell r="H2036">
            <v>0</v>
          </cell>
          <cell r="I2036" t="str">
            <v>N/A</v>
          </cell>
        </row>
        <row r="2037">
          <cell r="A2037" t="str">
            <v>ASY-100013-03</v>
          </cell>
          <cell r="B2037">
            <v>3</v>
          </cell>
          <cell r="C2037" t="str">
            <v>SRF-000030-00</v>
          </cell>
          <cell r="D2037" t="str">
            <v>STRAIN RELIEF, CABLE, TROV 2</v>
          </cell>
          <cell r="E2037" t="str">
            <v>A</v>
          </cell>
          <cell r="F2037" t="str">
            <v>Strain Relief</v>
          </cell>
          <cell r="G2037">
            <v>1</v>
          </cell>
          <cell r="H2037">
            <v>0</v>
          </cell>
          <cell r="I2037" t="str">
            <v>N/A</v>
          </cell>
        </row>
        <row r="2038">
          <cell r="A2038" t="str">
            <v>ASY-100013-03</v>
          </cell>
          <cell r="B2038">
            <v>2</v>
          </cell>
          <cell r="C2038" t="str">
            <v>BKT-000517-00</v>
          </cell>
          <cell r="D2038" t="str">
            <v>BRACKET, ROTATING LOCK, 4 FT, TROV 2.0</v>
          </cell>
          <cell r="E2038" t="str">
            <v>B</v>
          </cell>
          <cell r="F2038" t="str">
            <v>Bracket</v>
          </cell>
          <cell r="G2038">
            <v>1</v>
          </cell>
          <cell r="H2038">
            <v>0.9</v>
          </cell>
          <cell r="I2038" t="str">
            <v>Buy</v>
          </cell>
        </row>
        <row r="2039">
          <cell r="A2039" t="str">
            <v>ASY-100013-03</v>
          </cell>
          <cell r="B2039">
            <v>2</v>
          </cell>
          <cell r="C2039" t="str">
            <v>BKT-000518-00</v>
          </cell>
          <cell r="D2039" t="str">
            <v>BRACKET, PANEL MOUNT, 4 FT, TROV 2.0</v>
          </cell>
          <cell r="E2039" t="str">
            <v>B</v>
          </cell>
          <cell r="F2039" t="str">
            <v>Bracket</v>
          </cell>
          <cell r="G2039">
            <v>1</v>
          </cell>
          <cell r="H2039">
            <v>0.9</v>
          </cell>
          <cell r="I2039" t="str">
            <v>Buy</v>
          </cell>
        </row>
        <row r="2040">
          <cell r="A2040" t="str">
            <v>ASY-100013-03</v>
          </cell>
          <cell r="B2040">
            <v>2</v>
          </cell>
          <cell r="C2040" t="str">
            <v>SCW-000509-00</v>
          </cell>
          <cell r="D2040" t="str">
            <v>SCREW, SEALING FLAT HEAD, M3x0.5x8MM</v>
          </cell>
          <cell r="E2040" t="str">
            <v>B</v>
          </cell>
          <cell r="F2040" t="str">
            <v>Screw</v>
          </cell>
          <cell r="G2040">
            <v>2</v>
          </cell>
          <cell r="H2040">
            <v>0.4</v>
          </cell>
          <cell r="I2040" t="str">
            <v>Buy</v>
          </cell>
        </row>
        <row r="2041">
          <cell r="A2041" t="str">
            <v>ASY-100013-03</v>
          </cell>
          <cell r="B2041">
            <v>1</v>
          </cell>
          <cell r="C2041" t="str">
            <v>BAS-000021-00</v>
          </cell>
          <cell r="D2041" t="str">
            <v>BASE, 4FT, TROV 2.0</v>
          </cell>
          <cell r="E2041" t="str">
            <v>F</v>
          </cell>
          <cell r="F2041" t="str">
            <v>Base</v>
          </cell>
          <cell r="G2041">
            <v>1</v>
          </cell>
          <cell r="H2041">
            <v>14.25</v>
          </cell>
          <cell r="I2041" t="str">
            <v>Buy</v>
          </cell>
        </row>
        <row r="2042">
          <cell r="A2042" t="str">
            <v>ASY-100013-03</v>
          </cell>
          <cell r="B2042">
            <v>1</v>
          </cell>
          <cell r="C2042" t="str">
            <v>BKT-000457-03</v>
          </cell>
          <cell r="D2042" t="str">
            <v>BRACKET, MOUNT, LEFT, BLACK, TROV 2.0</v>
          </cell>
          <cell r="E2042" t="str">
            <v>C</v>
          </cell>
          <cell r="F2042" t="str">
            <v>Bracket</v>
          </cell>
          <cell r="G2042">
            <v>1</v>
          </cell>
          <cell r="H2042">
            <v>0.99</v>
          </cell>
          <cell r="I2042" t="str">
            <v>Buy</v>
          </cell>
        </row>
        <row r="2043">
          <cell r="A2043" t="str">
            <v>ASY-100013-03</v>
          </cell>
          <cell r="B2043">
            <v>1</v>
          </cell>
          <cell r="C2043" t="str">
            <v>BKT-000458-03</v>
          </cell>
          <cell r="D2043" t="str">
            <v>BRACKET, MOUNT, RIGHT, BLACK, TROV 2.0</v>
          </cell>
          <cell r="E2043" t="str">
            <v>C</v>
          </cell>
          <cell r="F2043" t="str">
            <v>Bracket</v>
          </cell>
          <cell r="G2043">
            <v>1</v>
          </cell>
          <cell r="H2043">
            <v>0.99</v>
          </cell>
          <cell r="I2043" t="str">
            <v>Buy</v>
          </cell>
        </row>
        <row r="2044">
          <cell r="A2044" t="str">
            <v>ASY-100013-03</v>
          </cell>
          <cell r="B2044">
            <v>1</v>
          </cell>
          <cell r="C2044" t="str">
            <v>CVR-000789-03</v>
          </cell>
          <cell r="D2044" t="str">
            <v>END COVER, FC, BLACK, L60, TROV 2.0</v>
          </cell>
          <cell r="E2044" t="str">
            <v>D</v>
          </cell>
          <cell r="F2044" t="str">
            <v>Cover</v>
          </cell>
          <cell r="G2044">
            <v>1</v>
          </cell>
          <cell r="H2044">
            <v>1.0900000000000001</v>
          </cell>
          <cell r="I2044" t="str">
            <v>Buy</v>
          </cell>
        </row>
        <row r="2045">
          <cell r="A2045" t="str">
            <v>ASY-100013-03</v>
          </cell>
          <cell r="B2045">
            <v>1</v>
          </cell>
          <cell r="C2045" t="str">
            <v>CVR-000893-03</v>
          </cell>
          <cell r="D2045" t="str">
            <v>END COVER, MC, BLACK, L60, TROV 2.0</v>
          </cell>
          <cell r="E2045" t="str">
            <v>B</v>
          </cell>
          <cell r="F2045" t="str">
            <v>Cover</v>
          </cell>
          <cell r="G2045">
            <v>1</v>
          </cell>
          <cell r="H2045">
            <v>1.0900000000000001</v>
          </cell>
          <cell r="I2045" t="str">
            <v>Buy</v>
          </cell>
        </row>
        <row r="2046">
          <cell r="A2046" t="str">
            <v>ASY-100013-03</v>
          </cell>
          <cell r="B2046">
            <v>1</v>
          </cell>
          <cell r="C2046" t="str">
            <v>FOM-000028-00</v>
          </cell>
          <cell r="D2046" t="str">
            <v>FOAM, LIGHTBLOCK, ENDCAP, L60, TROV2</v>
          </cell>
          <cell r="E2046" t="str">
            <v>A</v>
          </cell>
          <cell r="F2046" t="str">
            <v>Foam</v>
          </cell>
          <cell r="G2046">
            <v>2</v>
          </cell>
          <cell r="H2046">
            <v>0.03</v>
          </cell>
          <cell r="I2046" t="str">
            <v>Buy</v>
          </cell>
        </row>
        <row r="2047">
          <cell r="A2047" t="str">
            <v>ASY-100013-03</v>
          </cell>
          <cell r="B2047">
            <v>1</v>
          </cell>
          <cell r="C2047" t="str">
            <v>GSK-000122-01</v>
          </cell>
          <cell r="D2047" t="str">
            <v>GASKET, DRIVER ENCLOSURE, 3M, 4 FT, TROV 2.0</v>
          </cell>
          <cell r="E2047" t="str">
            <v>B</v>
          </cell>
          <cell r="F2047" t="str">
            <v>Gasket</v>
          </cell>
          <cell r="G2047">
            <v>1</v>
          </cell>
          <cell r="H2047">
            <v>2.0299999999999998</v>
          </cell>
          <cell r="I2047" t="str">
            <v>Buy</v>
          </cell>
        </row>
        <row r="2048">
          <cell r="A2048" t="str">
            <v>ASY-100013-03</v>
          </cell>
          <cell r="B2048">
            <v>1</v>
          </cell>
          <cell r="C2048" t="str">
            <v>GSK-000133-00</v>
          </cell>
          <cell r="D2048" t="str">
            <v>GASKET, TERTIARY LENS, 3M, 2 FT, L60, TROV 2.0</v>
          </cell>
          <cell r="E2048" t="str">
            <v>B</v>
          </cell>
          <cell r="F2048" t="str">
            <v>Gasket</v>
          </cell>
          <cell r="G2048">
            <v>2</v>
          </cell>
          <cell r="H2048">
            <v>6</v>
          </cell>
          <cell r="I2048" t="str">
            <v>Buy</v>
          </cell>
        </row>
        <row r="2049">
          <cell r="A2049" t="str">
            <v>ASY-100013-03</v>
          </cell>
          <cell r="B2049">
            <v>1</v>
          </cell>
          <cell r="C2049" t="str">
            <v>HSG-000493-03</v>
          </cell>
          <cell r="D2049" t="str">
            <v>HOUSING, TOP, 4 FT, L60, BLACK, TROV 2.0</v>
          </cell>
          <cell r="E2049" t="str">
            <v>E</v>
          </cell>
          <cell r="F2049" t="str">
            <v>Housing</v>
          </cell>
          <cell r="G2049">
            <v>1</v>
          </cell>
          <cell r="H2049">
            <v>15.06</v>
          </cell>
          <cell r="I2049" t="str">
            <v>Buy</v>
          </cell>
        </row>
        <row r="2050">
          <cell r="A2050" t="str">
            <v>ASY-100013-03</v>
          </cell>
          <cell r="B2050">
            <v>1</v>
          </cell>
          <cell r="C2050" t="str">
            <v>HSG-000495-03</v>
          </cell>
          <cell r="D2050" t="str">
            <v>HOUSING, BOTTOM, 4 FT, BLACK, TROV 2.0</v>
          </cell>
          <cell r="E2050" t="str">
            <v>F</v>
          </cell>
          <cell r="F2050" t="str">
            <v>Housing</v>
          </cell>
          <cell r="G2050">
            <v>1</v>
          </cell>
          <cell r="H2050">
            <v>13.73</v>
          </cell>
          <cell r="I2050" t="str">
            <v>Buy</v>
          </cell>
        </row>
        <row r="2051">
          <cell r="A2051" t="str">
            <v>ASY-100013-03</v>
          </cell>
          <cell r="B2051">
            <v>1</v>
          </cell>
          <cell r="C2051" t="str">
            <v>LBA-000003-00</v>
          </cell>
          <cell r="D2051" t="str">
            <v>Label: TROV 2 P1/P2, Model L45/L60</v>
          </cell>
          <cell r="E2051" t="str">
            <v>A</v>
          </cell>
          <cell r="F2051" t="str">
            <v>Label BOM</v>
          </cell>
          <cell r="G2051">
            <v>1</v>
          </cell>
          <cell r="H2051">
            <v>0</v>
          </cell>
          <cell r="I2051" t="str">
            <v>Make</v>
          </cell>
        </row>
        <row r="2052">
          <cell r="A2052" t="str">
            <v>ASY-100013-03</v>
          </cell>
          <cell r="B2052">
            <v>2</v>
          </cell>
          <cell r="C2052" t="str">
            <v>LBL-000243-00</v>
          </cell>
          <cell r="D2052" t="str">
            <v>Blank Product Label: Trov 2 P1/P2, Model L45/L60</v>
          </cell>
          <cell r="E2052" t="str">
            <v>A</v>
          </cell>
          <cell r="F2052" t="str">
            <v>Label</v>
          </cell>
          <cell r="G2052">
            <v>1</v>
          </cell>
          <cell r="H2052">
            <v>0.33</v>
          </cell>
          <cell r="I2052" t="str">
            <v>Buy</v>
          </cell>
        </row>
        <row r="2053">
          <cell r="A2053" t="str">
            <v>ASY-100013-03</v>
          </cell>
          <cell r="B2053">
            <v>1</v>
          </cell>
          <cell r="C2053" t="str">
            <v>PLG-000009-01</v>
          </cell>
          <cell r="D2053" t="str">
            <v>Porex Vent, Trov, L50 Exterior</v>
          </cell>
          <cell r="E2053" t="str">
            <v>B</v>
          </cell>
          <cell r="F2053" t="str">
            <v>Plug</v>
          </cell>
          <cell r="G2053">
            <v>2</v>
          </cell>
          <cell r="H2053">
            <v>0.17</v>
          </cell>
          <cell r="I2053" t="str">
            <v>Buy</v>
          </cell>
        </row>
        <row r="2054">
          <cell r="A2054" t="str">
            <v>ASY-100013-03</v>
          </cell>
          <cell r="B2054">
            <v>1</v>
          </cell>
          <cell r="C2054" t="str">
            <v>SCW-000156-00</v>
          </cell>
          <cell r="D2054" t="str">
            <v>SCREW, M3 x 0.5 X 8mm, PAND HEAD, PHILLIPS, STEEL</v>
          </cell>
          <cell r="E2054" t="str">
            <v>B</v>
          </cell>
          <cell r="F2054" t="str">
            <v>Screw</v>
          </cell>
          <cell r="G2054">
            <v>6</v>
          </cell>
          <cell r="H2054">
            <v>4.4400000000000002E-2</v>
          </cell>
          <cell r="I2054" t="str">
            <v>Buy</v>
          </cell>
        </row>
        <row r="2055">
          <cell r="A2055" t="str">
            <v>ASY-100013-03</v>
          </cell>
          <cell r="B2055">
            <v>1</v>
          </cell>
          <cell r="C2055" t="str">
            <v>SCW-000483-00</v>
          </cell>
          <cell r="D2055" t="str">
            <v>SCREW, PHILIPS FLAT HEAD, M2.5x0.45x5 , 18-8 SST</v>
          </cell>
          <cell r="E2055" t="str">
            <v>A</v>
          </cell>
          <cell r="F2055" t="str">
            <v>Screw</v>
          </cell>
          <cell r="G2055">
            <v>4</v>
          </cell>
          <cell r="H2055">
            <v>0.02</v>
          </cell>
          <cell r="I2055" t="str">
            <v>Buy</v>
          </cell>
        </row>
        <row r="2056">
          <cell r="A2056" t="str">
            <v>ASY-100013-03</v>
          </cell>
          <cell r="B2056">
            <v>1</v>
          </cell>
          <cell r="C2056" t="str">
            <v>SCW-000556-00</v>
          </cell>
          <cell r="D2056" t="str">
            <v>SCREW, HEX, SERRATED, #8-32, GROUNDING, TROV 2</v>
          </cell>
          <cell r="E2056" t="str">
            <v>A</v>
          </cell>
          <cell r="F2056" t="str">
            <v>Screw</v>
          </cell>
          <cell r="G2056">
            <v>1</v>
          </cell>
          <cell r="H2056">
            <v>0.04</v>
          </cell>
          <cell r="I2056" t="str">
            <v>Buy</v>
          </cell>
        </row>
        <row r="2057">
          <cell r="A2057" t="str">
            <v>ASY-100013-03</v>
          </cell>
          <cell r="B2057">
            <v>1</v>
          </cell>
          <cell r="C2057" t="str">
            <v>SCW-000567-00</v>
          </cell>
          <cell r="D2057" t="str">
            <v>SCREW, M2.5 x 0.45 x 12.0mm LENGTH, PAN HD, PHILLIPS, ZINC-PLATED STEEL</v>
          </cell>
          <cell r="E2057" t="str">
            <v>A</v>
          </cell>
          <cell r="F2057" t="str">
            <v>Screw</v>
          </cell>
          <cell r="G2057">
            <v>4</v>
          </cell>
          <cell r="H2057">
            <v>0.06</v>
          </cell>
          <cell r="I2057" t="str">
            <v>Buy</v>
          </cell>
        </row>
        <row r="2058">
          <cell r="A2058" t="str">
            <v>ASY-100013-03</v>
          </cell>
          <cell r="B2058">
            <v>1</v>
          </cell>
          <cell r="C2058" t="str">
            <v>SCW-000574-00</v>
          </cell>
          <cell r="D2058" t="str">
            <v>SCREW, TORX HEAD, 1/4-28x1/2", LOW PROFILE, ALLOY STEEL</v>
          </cell>
          <cell r="E2058" t="str">
            <v>A</v>
          </cell>
          <cell r="F2058" t="str">
            <v>Screw</v>
          </cell>
          <cell r="G2058">
            <v>2</v>
          </cell>
          <cell r="H2058">
            <v>0.14000000000000001</v>
          </cell>
          <cell r="I2058" t="str">
            <v>Buy</v>
          </cell>
        </row>
        <row r="2059">
          <cell r="A2059" t="str">
            <v>ASY-100013-03</v>
          </cell>
          <cell r="B2059">
            <v>1</v>
          </cell>
          <cell r="C2059" t="str">
            <v>SHT-000043-00</v>
          </cell>
          <cell r="D2059" t="str">
            <v>INSULATION SHEET, HBA, 4FT,TROV 2</v>
          </cell>
          <cell r="E2059" t="str">
            <v>D</v>
          </cell>
          <cell r="F2059" t="str">
            <v>Sheet</v>
          </cell>
          <cell r="G2059">
            <v>1</v>
          </cell>
          <cell r="H2059">
            <v>0.25</v>
          </cell>
          <cell r="I2059" t="str">
            <v>Buy</v>
          </cell>
        </row>
        <row r="2060">
          <cell r="A2060" t="str">
            <v>ASY-100013-03</v>
          </cell>
          <cell r="B2060">
            <v>1</v>
          </cell>
          <cell r="C2060" t="str">
            <v>SPG-000023-00</v>
          </cell>
          <cell r="D2060" t="str">
            <v>SPRING, DISC, STACKED WAVE, TROV 2.0</v>
          </cell>
          <cell r="E2060" t="str">
            <v>A</v>
          </cell>
          <cell r="F2060" t="str">
            <v>Spring</v>
          </cell>
          <cell r="G2060">
            <v>2</v>
          </cell>
          <cell r="H2060">
            <v>1.74</v>
          </cell>
          <cell r="I2060" t="str">
            <v>Buy</v>
          </cell>
        </row>
        <row r="2061">
          <cell r="A2061" t="str">
            <v>ASY-100013-03</v>
          </cell>
          <cell r="B2061">
            <v>1</v>
          </cell>
          <cell r="C2061" t="str">
            <v>TAP-000031-00</v>
          </cell>
          <cell r="D2061" t="str">
            <v>3M Electrical Tape 92</v>
          </cell>
          <cell r="E2061" t="str">
            <v>A</v>
          </cell>
          <cell r="F2061" t="str">
            <v>Tape</v>
          </cell>
          <cell r="G2061">
            <v>120</v>
          </cell>
          <cell r="H2061">
            <v>1.4E-2</v>
          </cell>
          <cell r="I2061" t="str">
            <v>Buy</v>
          </cell>
        </row>
        <row r="2062">
          <cell r="A2062" t="str">
            <v>ASY-100013-03</v>
          </cell>
          <cell r="B2062">
            <v>1</v>
          </cell>
          <cell r="C2062" t="str">
            <v>TMP-000028-00</v>
          </cell>
          <cell r="D2062" t="str">
            <v>Thermal Pad, LED PCBA, 2 FT, TROV 2</v>
          </cell>
          <cell r="E2062" t="str">
            <v>B</v>
          </cell>
          <cell r="F2062" t="str">
            <v>Thermal Pad</v>
          </cell>
          <cell r="G2062">
            <v>2</v>
          </cell>
          <cell r="H2062">
            <v>1.32</v>
          </cell>
          <cell r="I2062" t="str">
            <v>Buy</v>
          </cell>
        </row>
        <row r="2063">
          <cell r="A2063" t="str">
            <v>ASY-100013-03</v>
          </cell>
          <cell r="B2063">
            <v>1</v>
          </cell>
          <cell r="C2063" t="str">
            <v>TMP-000029-00</v>
          </cell>
          <cell r="D2063" t="str">
            <v>Thermal Pad, HBA, TROV 2</v>
          </cell>
          <cell r="E2063" t="str">
            <v>B</v>
          </cell>
          <cell r="F2063" t="str">
            <v>Thermal Pad</v>
          </cell>
          <cell r="G2063">
            <v>2</v>
          </cell>
          <cell r="H2063">
            <v>0.14000000000000001</v>
          </cell>
          <cell r="I2063" t="str">
            <v>Buy</v>
          </cell>
        </row>
        <row r="2064">
          <cell r="A2064" t="str">
            <v>ASY-100013-03</v>
          </cell>
          <cell r="B2064">
            <v>1</v>
          </cell>
          <cell r="C2064" t="str">
            <v>TMP-000032-00</v>
          </cell>
          <cell r="D2064" t="str">
            <v>Thermal Pad, HBA, TROV 2</v>
          </cell>
          <cell r="E2064" t="str">
            <v>A</v>
          </cell>
          <cell r="F2064" t="str">
            <v>Thermal Pad</v>
          </cell>
          <cell r="G2064">
            <v>1</v>
          </cell>
          <cell r="H2064">
            <v>0.03</v>
          </cell>
          <cell r="I2064" t="str">
            <v>Buy</v>
          </cell>
        </row>
        <row r="2065">
          <cell r="A2065" t="str">
            <v>ASY-100013-04</v>
          </cell>
          <cell r="B2065">
            <v>0</v>
          </cell>
          <cell r="C2065" t="str">
            <v>ASY-100013-04</v>
          </cell>
          <cell r="D2065" t="str">
            <v>ASSY, MECHANICAL, L60, OUTDOOR, 4 FT, TROV2P2, DYNAMIC, WHITE</v>
          </cell>
          <cell r="E2065" t="str">
            <v>A</v>
          </cell>
          <cell r="F2065" t="str">
            <v>Sub assembly</v>
          </cell>
          <cell r="H2065">
            <v>0</v>
          </cell>
          <cell r="I2065" t="str">
            <v>Make</v>
          </cell>
        </row>
        <row r="2066">
          <cell r="A2066" t="str">
            <v>ASY-100013-04</v>
          </cell>
          <cell r="B2066">
            <v>1</v>
          </cell>
          <cell r="C2066" t="str">
            <v>ACB-000275-00</v>
          </cell>
          <cell r="D2066" t="str">
            <v>CABLE, CANBUS, SHORT, TROV 2</v>
          </cell>
          <cell r="E2066" t="str">
            <v>A</v>
          </cell>
          <cell r="F2066" t="str">
            <v>Cable</v>
          </cell>
          <cell r="G2066">
            <v>1</v>
          </cell>
          <cell r="H2066">
            <v>0.7</v>
          </cell>
          <cell r="I2066" t="str">
            <v>Buy</v>
          </cell>
        </row>
        <row r="2067">
          <cell r="A2067" t="str">
            <v>ASY-100013-04</v>
          </cell>
          <cell r="B2067">
            <v>1</v>
          </cell>
          <cell r="C2067" t="str">
            <v>ACB-000275-01</v>
          </cell>
          <cell r="D2067" t="str">
            <v>CABLE, CANBUS, LONG, TROV 2</v>
          </cell>
          <cell r="E2067" t="str">
            <v>A</v>
          </cell>
          <cell r="F2067" t="str">
            <v>Cable</v>
          </cell>
          <cell r="G2067">
            <v>1</v>
          </cell>
          <cell r="H2067">
            <v>0.81</v>
          </cell>
          <cell r="I2067" t="str">
            <v>Buy</v>
          </cell>
        </row>
        <row r="2068">
          <cell r="A2068" t="str">
            <v>ASY-100013-04</v>
          </cell>
          <cell r="B2068">
            <v>1</v>
          </cell>
          <cell r="C2068" t="str">
            <v>ASY-100008-00</v>
          </cell>
          <cell r="D2068" t="str">
            <v>Cable Subassembly, Driver housing, 4ft, Trov 2</v>
          </cell>
          <cell r="E2068" t="str">
            <v>A</v>
          </cell>
          <cell r="F2068" t="str">
            <v>Sub assembly</v>
          </cell>
          <cell r="G2068">
            <v>1</v>
          </cell>
          <cell r="H2068">
            <v>0</v>
          </cell>
          <cell r="I2068" t="str">
            <v>Make</v>
          </cell>
        </row>
        <row r="2069">
          <cell r="A2069" t="str">
            <v>ASY-100013-04</v>
          </cell>
          <cell r="B2069">
            <v>2</v>
          </cell>
          <cell r="C2069" t="str">
            <v>ACB-000272-00</v>
          </cell>
          <cell r="D2069" t="str">
            <v>CABLE ASSY, INTRA-FIXTURE, 4FT, TROV 2.0</v>
          </cell>
          <cell r="E2069" t="str">
            <v>B</v>
          </cell>
          <cell r="F2069" t="str">
            <v>Cable Assembly</v>
          </cell>
          <cell r="G2069">
            <v>1</v>
          </cell>
          <cell r="H2069">
            <v>20.420000000000002</v>
          </cell>
          <cell r="I2069" t="str">
            <v>Buy</v>
          </cell>
        </row>
        <row r="2070">
          <cell r="A2070" t="str">
            <v>ASY-100013-04</v>
          </cell>
          <cell r="B2070">
            <v>3</v>
          </cell>
          <cell r="C2070" t="str">
            <v>ACB-000273-00</v>
          </cell>
          <cell r="D2070" t="str">
            <v>6 CONDUCTOR CABLE, 3X22AWG, 3X16AWG, AL MYLAR, TROV 2</v>
          </cell>
          <cell r="E2070" t="str">
            <v>A</v>
          </cell>
          <cell r="F2070" t="str">
            <v>Cable</v>
          </cell>
          <cell r="G2070">
            <v>1</v>
          </cell>
          <cell r="H2070">
            <v>0</v>
          </cell>
          <cell r="I2070" t="str">
            <v>N/A</v>
          </cell>
        </row>
        <row r="2071">
          <cell r="A2071" t="str">
            <v>ASY-100013-04</v>
          </cell>
          <cell r="B2071">
            <v>3</v>
          </cell>
          <cell r="C2071" t="str">
            <v>ACB-000274-00</v>
          </cell>
          <cell r="D2071" t="str">
            <v>CABLE ASSEMBLY, INTERNAL, DRIVER SIDE, 4FT, TROV 2</v>
          </cell>
          <cell r="E2071" t="str">
            <v>A</v>
          </cell>
          <cell r="F2071" t="str">
            <v>Cable Assembly</v>
          </cell>
          <cell r="G2071">
            <v>1</v>
          </cell>
          <cell r="H2071">
            <v>0</v>
          </cell>
          <cell r="I2071" t="str">
            <v>N/A</v>
          </cell>
        </row>
        <row r="2072">
          <cell r="A2072" t="str">
            <v>ASY-100013-04</v>
          </cell>
          <cell r="B2072">
            <v>3</v>
          </cell>
          <cell r="C2072" t="str">
            <v>CON-000259-00</v>
          </cell>
          <cell r="D2072" t="str">
            <v>CONNECTOR, MALE, 6 PIN, TROV 2</v>
          </cell>
          <cell r="E2072" t="str">
            <v>B</v>
          </cell>
          <cell r="F2072" t="str">
            <v>Connector</v>
          </cell>
          <cell r="G2072">
            <v>1</v>
          </cell>
          <cell r="H2072">
            <v>0</v>
          </cell>
          <cell r="I2072" t="str">
            <v>N/A</v>
          </cell>
        </row>
        <row r="2073">
          <cell r="A2073" t="str">
            <v>ASY-100013-04</v>
          </cell>
          <cell r="B2073">
            <v>3</v>
          </cell>
          <cell r="C2073" t="str">
            <v>CON-000260-00</v>
          </cell>
          <cell r="D2073" t="str">
            <v>CONNECTOR, FEMALE, 6 PIN, TROV 2</v>
          </cell>
          <cell r="E2073" t="str">
            <v>A</v>
          </cell>
          <cell r="F2073" t="str">
            <v>Connector</v>
          </cell>
          <cell r="G2073">
            <v>1</v>
          </cell>
          <cell r="H2073">
            <v>0</v>
          </cell>
          <cell r="I2073" t="str">
            <v>N/A</v>
          </cell>
        </row>
        <row r="2074">
          <cell r="A2074" t="str">
            <v>ASY-100013-04</v>
          </cell>
          <cell r="B2074">
            <v>3</v>
          </cell>
          <cell r="C2074" t="str">
            <v>HSG-000330-00</v>
          </cell>
          <cell r="D2074" t="str">
            <v>DRIVER HOUSING, 4 FT, TROV 2</v>
          </cell>
          <cell r="E2074" t="str">
            <v>A</v>
          </cell>
          <cell r="F2074" t="str">
            <v>Housing</v>
          </cell>
          <cell r="G2074">
            <v>1</v>
          </cell>
          <cell r="H2074">
            <v>0</v>
          </cell>
          <cell r="I2074" t="str">
            <v>N/A</v>
          </cell>
        </row>
        <row r="2075">
          <cell r="A2075" t="str">
            <v>ASY-100013-04</v>
          </cell>
          <cell r="B2075">
            <v>3</v>
          </cell>
          <cell r="C2075" t="str">
            <v>ORG-000060-00</v>
          </cell>
          <cell r="D2075" t="str">
            <v>O-RING, CABLE, TROV 2</v>
          </cell>
          <cell r="E2075" t="str">
            <v>A</v>
          </cell>
          <cell r="F2075" t="str">
            <v>O-Ring</v>
          </cell>
          <cell r="G2075">
            <v>1</v>
          </cell>
          <cell r="H2075">
            <v>0</v>
          </cell>
          <cell r="I2075" t="str">
            <v>N/A</v>
          </cell>
        </row>
        <row r="2076">
          <cell r="A2076" t="str">
            <v>ASY-100013-04</v>
          </cell>
          <cell r="B2076">
            <v>3</v>
          </cell>
          <cell r="C2076" t="str">
            <v>SRF-000030-00</v>
          </cell>
          <cell r="D2076" t="str">
            <v>STRAIN RELIEF, CABLE, TROV 2</v>
          </cell>
          <cell r="E2076" t="str">
            <v>A</v>
          </cell>
          <cell r="F2076" t="str">
            <v>Strain Relief</v>
          </cell>
          <cell r="G2076">
            <v>1</v>
          </cell>
          <cell r="H2076">
            <v>0</v>
          </cell>
          <cell r="I2076" t="str">
            <v>N/A</v>
          </cell>
        </row>
        <row r="2077">
          <cell r="A2077" t="str">
            <v>ASY-100013-04</v>
          </cell>
          <cell r="B2077">
            <v>2</v>
          </cell>
          <cell r="C2077" t="str">
            <v>BKT-000517-00</v>
          </cell>
          <cell r="D2077" t="str">
            <v>BRACKET, ROTATING LOCK, 4 FT, TROV 2.0</v>
          </cell>
          <cell r="E2077" t="str">
            <v>B</v>
          </cell>
          <cell r="F2077" t="str">
            <v>Bracket</v>
          </cell>
          <cell r="G2077">
            <v>1</v>
          </cell>
          <cell r="H2077">
            <v>0.9</v>
          </cell>
          <cell r="I2077" t="str">
            <v>Buy</v>
          </cell>
        </row>
        <row r="2078">
          <cell r="A2078" t="str">
            <v>ASY-100013-04</v>
          </cell>
          <cell r="B2078">
            <v>2</v>
          </cell>
          <cell r="C2078" t="str">
            <v>BKT-000518-00</v>
          </cell>
          <cell r="D2078" t="str">
            <v>BRACKET, PANEL MOUNT, 4 FT, TROV 2.0</v>
          </cell>
          <cell r="E2078" t="str">
            <v>B</v>
          </cell>
          <cell r="F2078" t="str">
            <v>Bracket</v>
          </cell>
          <cell r="G2078">
            <v>1</v>
          </cell>
          <cell r="H2078">
            <v>0.9</v>
          </cell>
          <cell r="I2078" t="str">
            <v>Buy</v>
          </cell>
        </row>
        <row r="2079">
          <cell r="A2079" t="str">
            <v>ASY-100013-04</v>
          </cell>
          <cell r="B2079">
            <v>2</v>
          </cell>
          <cell r="C2079" t="str">
            <v>SCW-000509-00</v>
          </cell>
          <cell r="D2079" t="str">
            <v>SCREW, SEALING FLAT HEAD, M3x0.5x8MM</v>
          </cell>
          <cell r="E2079" t="str">
            <v>B</v>
          </cell>
          <cell r="F2079" t="str">
            <v>Screw</v>
          </cell>
          <cell r="G2079">
            <v>2</v>
          </cell>
          <cell r="H2079">
            <v>0.4</v>
          </cell>
          <cell r="I2079" t="str">
            <v>Buy</v>
          </cell>
        </row>
        <row r="2080">
          <cell r="A2080" t="str">
            <v>ASY-100013-04</v>
          </cell>
          <cell r="B2080">
            <v>1</v>
          </cell>
          <cell r="C2080" t="str">
            <v>BAS-000021-00</v>
          </cell>
          <cell r="D2080" t="str">
            <v>BASE, 4FT, TROV 2.0</v>
          </cell>
          <cell r="E2080" t="str">
            <v>F</v>
          </cell>
          <cell r="F2080" t="str">
            <v>Base</v>
          </cell>
          <cell r="G2080">
            <v>1</v>
          </cell>
          <cell r="H2080">
            <v>14.25</v>
          </cell>
          <cell r="I2080" t="str">
            <v>Buy</v>
          </cell>
        </row>
        <row r="2081">
          <cell r="A2081" t="str">
            <v>ASY-100013-04</v>
          </cell>
          <cell r="B2081">
            <v>1</v>
          </cell>
          <cell r="C2081" t="str">
            <v>BKT-000457-03</v>
          </cell>
          <cell r="D2081" t="str">
            <v>BRACKET, MOUNT, LEFT, BLACK, TROV 2.0</v>
          </cell>
          <cell r="E2081" t="str">
            <v>C</v>
          </cell>
          <cell r="F2081" t="str">
            <v>Bracket</v>
          </cell>
          <cell r="G2081">
            <v>1</v>
          </cell>
          <cell r="H2081">
            <v>0.99</v>
          </cell>
          <cell r="I2081" t="str">
            <v>Buy</v>
          </cell>
        </row>
        <row r="2082">
          <cell r="A2082" t="str">
            <v>ASY-100013-04</v>
          </cell>
          <cell r="B2082">
            <v>1</v>
          </cell>
          <cell r="C2082" t="str">
            <v>BKT-000458-03</v>
          </cell>
          <cell r="D2082" t="str">
            <v>BRACKET, MOUNT, RIGHT, BLACK, TROV 2.0</v>
          </cell>
          <cell r="E2082" t="str">
            <v>C</v>
          </cell>
          <cell r="F2082" t="str">
            <v>Bracket</v>
          </cell>
          <cell r="G2082">
            <v>1</v>
          </cell>
          <cell r="H2082">
            <v>0.99</v>
          </cell>
          <cell r="I2082" t="str">
            <v>Buy</v>
          </cell>
        </row>
        <row r="2083">
          <cell r="A2083" t="str">
            <v>ASY-100013-04</v>
          </cell>
          <cell r="B2083">
            <v>1</v>
          </cell>
          <cell r="C2083" t="str">
            <v>CVR-000789-04</v>
          </cell>
          <cell r="D2083" t="str">
            <v>END COVER, FC, WHITE, L60, TROV 2.0</v>
          </cell>
          <cell r="E2083" t="str">
            <v>D</v>
          </cell>
          <cell r="F2083" t="str">
            <v>Cover</v>
          </cell>
          <cell r="G2083">
            <v>1</v>
          </cell>
          <cell r="H2083">
            <v>0</v>
          </cell>
          <cell r="I2083" t="str">
            <v>Buy</v>
          </cell>
        </row>
        <row r="2084">
          <cell r="A2084" t="str">
            <v>ASY-100013-04</v>
          </cell>
          <cell r="B2084">
            <v>1</v>
          </cell>
          <cell r="C2084" t="str">
            <v>CVR-000893-04</v>
          </cell>
          <cell r="D2084" t="str">
            <v>END COVER, MC, WHITE, L60, TROV 2.0</v>
          </cell>
          <cell r="E2084" t="str">
            <v>B</v>
          </cell>
          <cell r="F2084" t="str">
            <v>Cover</v>
          </cell>
          <cell r="G2084">
            <v>1</v>
          </cell>
          <cell r="H2084">
            <v>1.0900000000000001</v>
          </cell>
          <cell r="I2084" t="str">
            <v>Buy</v>
          </cell>
        </row>
        <row r="2085">
          <cell r="A2085" t="str">
            <v>ASY-100013-04</v>
          </cell>
          <cell r="B2085">
            <v>1</v>
          </cell>
          <cell r="C2085" t="str">
            <v>FOM-000028-00</v>
          </cell>
          <cell r="D2085" t="str">
            <v>FOAM, LIGHTBLOCK, ENDCAP, L60, TROV2</v>
          </cell>
          <cell r="E2085" t="str">
            <v>A</v>
          </cell>
          <cell r="F2085" t="str">
            <v>Foam</v>
          </cell>
          <cell r="G2085">
            <v>2</v>
          </cell>
          <cell r="H2085">
            <v>0.03</v>
          </cell>
          <cell r="I2085" t="str">
            <v>Buy</v>
          </cell>
        </row>
        <row r="2086">
          <cell r="A2086" t="str">
            <v>ASY-100013-04</v>
          </cell>
          <cell r="B2086">
            <v>1</v>
          </cell>
          <cell r="C2086" t="str">
            <v>GSK-000122-01</v>
          </cell>
          <cell r="D2086" t="str">
            <v>GASKET, DRIVER ENCLOSURE, 3M, 4 FT, TROV 2.0</v>
          </cell>
          <cell r="E2086" t="str">
            <v>B</v>
          </cell>
          <cell r="F2086" t="str">
            <v>Gasket</v>
          </cell>
          <cell r="G2086">
            <v>1</v>
          </cell>
          <cell r="H2086">
            <v>2.0299999999999998</v>
          </cell>
          <cell r="I2086" t="str">
            <v>Buy</v>
          </cell>
        </row>
        <row r="2087">
          <cell r="A2087" t="str">
            <v>ASY-100013-04</v>
          </cell>
          <cell r="B2087">
            <v>1</v>
          </cell>
          <cell r="C2087" t="str">
            <v>GSK-000133-00</v>
          </cell>
          <cell r="D2087" t="str">
            <v>GASKET, TERTIARY LENS, 3M, 2 FT, L60, TROV 2.0</v>
          </cell>
          <cell r="E2087" t="str">
            <v>B</v>
          </cell>
          <cell r="F2087" t="str">
            <v>Gasket</v>
          </cell>
          <cell r="G2087">
            <v>2</v>
          </cell>
          <cell r="H2087">
            <v>6</v>
          </cell>
          <cell r="I2087" t="str">
            <v>Buy</v>
          </cell>
        </row>
        <row r="2088">
          <cell r="A2088" t="str">
            <v>ASY-100013-04</v>
          </cell>
          <cell r="B2088">
            <v>1</v>
          </cell>
          <cell r="C2088" t="str">
            <v>HSG-000493-04</v>
          </cell>
          <cell r="D2088" t="str">
            <v>HOUSING, TOP, 4 FT, L60, WHITE, TROV 2.0</v>
          </cell>
          <cell r="E2088" t="str">
            <v>E</v>
          </cell>
          <cell r="F2088" t="str">
            <v>Housing</v>
          </cell>
          <cell r="G2088">
            <v>1</v>
          </cell>
          <cell r="H2088">
            <v>15.06</v>
          </cell>
          <cell r="I2088" t="str">
            <v>Buy</v>
          </cell>
        </row>
        <row r="2089">
          <cell r="A2089" t="str">
            <v>ASY-100013-04</v>
          </cell>
          <cell r="B2089">
            <v>1</v>
          </cell>
          <cell r="C2089" t="str">
            <v>HSG-000495-04</v>
          </cell>
          <cell r="D2089" t="str">
            <v>HOUSING, BOTTOM, 4 FT, WHITE, TROV 2.0</v>
          </cell>
          <cell r="E2089" t="str">
            <v>F</v>
          </cell>
          <cell r="F2089" t="str">
            <v>Housing</v>
          </cell>
          <cell r="G2089">
            <v>1</v>
          </cell>
          <cell r="H2089">
            <v>13.18</v>
          </cell>
          <cell r="I2089" t="str">
            <v>Buy</v>
          </cell>
        </row>
        <row r="2090">
          <cell r="A2090" t="str">
            <v>ASY-100013-04</v>
          </cell>
          <cell r="B2090">
            <v>1</v>
          </cell>
          <cell r="C2090" t="str">
            <v>LBA-000003-00</v>
          </cell>
          <cell r="D2090" t="str">
            <v>Label: TROV 2 P1/P2, Model L45/L60</v>
          </cell>
          <cell r="E2090" t="str">
            <v>A</v>
          </cell>
          <cell r="F2090" t="str">
            <v>Label BOM</v>
          </cell>
          <cell r="G2090">
            <v>1</v>
          </cell>
          <cell r="H2090">
            <v>0</v>
          </cell>
          <cell r="I2090" t="str">
            <v>Make</v>
          </cell>
        </row>
        <row r="2091">
          <cell r="A2091" t="str">
            <v>ASY-100013-04</v>
          </cell>
          <cell r="B2091">
            <v>2</v>
          </cell>
          <cell r="C2091" t="str">
            <v>LBL-000243-00</v>
          </cell>
          <cell r="D2091" t="str">
            <v>Blank Product Label: Trov 2 P1/P2, Model L45/L60</v>
          </cell>
          <cell r="E2091" t="str">
            <v>A</v>
          </cell>
          <cell r="F2091" t="str">
            <v>Label</v>
          </cell>
          <cell r="G2091">
            <v>1</v>
          </cell>
          <cell r="H2091">
            <v>0.33</v>
          </cell>
          <cell r="I2091" t="str">
            <v>Buy</v>
          </cell>
        </row>
        <row r="2092">
          <cell r="A2092" t="str">
            <v>ASY-100013-04</v>
          </cell>
          <cell r="B2092">
            <v>1</v>
          </cell>
          <cell r="C2092" t="str">
            <v>PLG-000009-01</v>
          </cell>
          <cell r="D2092" t="str">
            <v>Porex Vent, Trov, L50 Exterior</v>
          </cell>
          <cell r="E2092" t="str">
            <v>B</v>
          </cell>
          <cell r="F2092" t="str">
            <v>Plug</v>
          </cell>
          <cell r="G2092">
            <v>2</v>
          </cell>
          <cell r="H2092">
            <v>0.17</v>
          </cell>
          <cell r="I2092" t="str">
            <v>Buy</v>
          </cell>
        </row>
        <row r="2093">
          <cell r="A2093" t="str">
            <v>ASY-100013-04</v>
          </cell>
          <cell r="B2093">
            <v>1</v>
          </cell>
          <cell r="C2093" t="str">
            <v>SCW-000156-00</v>
          </cell>
          <cell r="D2093" t="str">
            <v>SCREW, M3 x 0.5 X 8mm, PAND HEAD, PHILLIPS, STEEL</v>
          </cell>
          <cell r="E2093" t="str">
            <v>B</v>
          </cell>
          <cell r="F2093" t="str">
            <v>Screw</v>
          </cell>
          <cell r="G2093">
            <v>6</v>
          </cell>
          <cell r="H2093">
            <v>4.4400000000000002E-2</v>
          </cell>
          <cell r="I2093" t="str">
            <v>Buy</v>
          </cell>
        </row>
        <row r="2094">
          <cell r="A2094" t="str">
            <v>ASY-100013-04</v>
          </cell>
          <cell r="B2094">
            <v>1</v>
          </cell>
          <cell r="C2094" t="str">
            <v>SCW-000483-00</v>
          </cell>
          <cell r="D2094" t="str">
            <v>SCREW, PHILIPS FLAT HEAD, M2.5x0.45x5 , 18-8 SST</v>
          </cell>
          <cell r="E2094" t="str">
            <v>A</v>
          </cell>
          <cell r="F2094" t="str">
            <v>Screw</v>
          </cell>
          <cell r="G2094">
            <v>4</v>
          </cell>
          <cell r="H2094">
            <v>0.02</v>
          </cell>
          <cell r="I2094" t="str">
            <v>Buy</v>
          </cell>
        </row>
        <row r="2095">
          <cell r="A2095" t="str">
            <v>ASY-100013-04</v>
          </cell>
          <cell r="B2095">
            <v>1</v>
          </cell>
          <cell r="C2095" t="str">
            <v>SCW-000556-00</v>
          </cell>
          <cell r="D2095" t="str">
            <v>SCREW, HEX, SERRATED, #8-32, GROUNDING, TROV 2</v>
          </cell>
          <cell r="E2095" t="str">
            <v>A</v>
          </cell>
          <cell r="F2095" t="str">
            <v>Screw</v>
          </cell>
          <cell r="G2095">
            <v>1</v>
          </cell>
          <cell r="H2095">
            <v>0.04</v>
          </cell>
          <cell r="I2095" t="str">
            <v>Buy</v>
          </cell>
        </row>
        <row r="2096">
          <cell r="A2096" t="str">
            <v>ASY-100013-04</v>
          </cell>
          <cell r="B2096">
            <v>1</v>
          </cell>
          <cell r="C2096" t="str">
            <v>SCW-000567-00</v>
          </cell>
          <cell r="D2096" t="str">
            <v>SCREW, M2.5 x 0.45 x 12.0mm LENGTH, PAN HD, PHILLIPS, ZINC-PLATED STEEL</v>
          </cell>
          <cell r="E2096" t="str">
            <v>A</v>
          </cell>
          <cell r="F2096" t="str">
            <v>Screw</v>
          </cell>
          <cell r="G2096">
            <v>4</v>
          </cell>
          <cell r="H2096">
            <v>0.06</v>
          </cell>
          <cell r="I2096" t="str">
            <v>Buy</v>
          </cell>
        </row>
        <row r="2097">
          <cell r="A2097" t="str">
            <v>ASY-100013-04</v>
          </cell>
          <cell r="B2097">
            <v>1</v>
          </cell>
          <cell r="C2097" t="str">
            <v>SCW-000574-00</v>
          </cell>
          <cell r="D2097" t="str">
            <v>SCREW, TORX HEAD, 1/4-28x1/2", LOW PROFILE, ALLOY STEEL</v>
          </cell>
          <cell r="E2097" t="str">
            <v>A</v>
          </cell>
          <cell r="F2097" t="str">
            <v>Screw</v>
          </cell>
          <cell r="G2097">
            <v>2</v>
          </cell>
          <cell r="H2097">
            <v>0.14000000000000001</v>
          </cell>
          <cell r="I2097" t="str">
            <v>Buy</v>
          </cell>
        </row>
        <row r="2098">
          <cell r="A2098" t="str">
            <v>ASY-100013-04</v>
          </cell>
          <cell r="B2098">
            <v>1</v>
          </cell>
          <cell r="C2098" t="str">
            <v>SHT-000043-00</v>
          </cell>
          <cell r="D2098" t="str">
            <v>INSULATION SHEET, HBA, 4FT,TROV 2</v>
          </cell>
          <cell r="E2098" t="str">
            <v>D</v>
          </cell>
          <cell r="F2098" t="str">
            <v>Sheet</v>
          </cell>
          <cell r="G2098">
            <v>1</v>
          </cell>
          <cell r="H2098">
            <v>0.25</v>
          </cell>
          <cell r="I2098" t="str">
            <v>Buy</v>
          </cell>
        </row>
        <row r="2099">
          <cell r="A2099" t="str">
            <v>ASY-100013-04</v>
          </cell>
          <cell r="B2099">
            <v>1</v>
          </cell>
          <cell r="C2099" t="str">
            <v>SPG-000023-00</v>
          </cell>
          <cell r="D2099" t="str">
            <v>SPRING, DISC, STACKED WAVE, TROV 2.0</v>
          </cell>
          <cell r="E2099" t="str">
            <v>A</v>
          </cell>
          <cell r="F2099" t="str">
            <v>Spring</v>
          </cell>
          <cell r="G2099">
            <v>2</v>
          </cell>
          <cell r="H2099">
            <v>1.74</v>
          </cell>
          <cell r="I2099" t="str">
            <v>Buy</v>
          </cell>
        </row>
        <row r="2100">
          <cell r="A2100" t="str">
            <v>ASY-100013-04</v>
          </cell>
          <cell r="B2100">
            <v>1</v>
          </cell>
          <cell r="C2100" t="str">
            <v>TAP-000031-00</v>
          </cell>
          <cell r="D2100" t="str">
            <v>3M Electrical Tape 92</v>
          </cell>
          <cell r="E2100" t="str">
            <v>A</v>
          </cell>
          <cell r="F2100" t="str">
            <v>Tape</v>
          </cell>
          <cell r="G2100">
            <v>120</v>
          </cell>
          <cell r="H2100">
            <v>1.4E-2</v>
          </cell>
          <cell r="I2100" t="str">
            <v>Buy</v>
          </cell>
        </row>
        <row r="2101">
          <cell r="A2101" t="str">
            <v>ASY-100013-04</v>
          </cell>
          <cell r="B2101">
            <v>1</v>
          </cell>
          <cell r="C2101" t="str">
            <v>TMP-000028-00</v>
          </cell>
          <cell r="D2101" t="str">
            <v>Thermal Pad, LED PCBA, 2 FT, TROV 2</v>
          </cell>
          <cell r="E2101" t="str">
            <v>B</v>
          </cell>
          <cell r="F2101" t="str">
            <v>Thermal Pad</v>
          </cell>
          <cell r="G2101">
            <v>2</v>
          </cell>
          <cell r="H2101">
            <v>1.32</v>
          </cell>
          <cell r="I2101" t="str">
            <v>Buy</v>
          </cell>
        </row>
        <row r="2102">
          <cell r="A2102" t="str">
            <v>ASY-100013-04</v>
          </cell>
          <cell r="B2102">
            <v>1</v>
          </cell>
          <cell r="C2102" t="str">
            <v>TMP-000029-00</v>
          </cell>
          <cell r="D2102" t="str">
            <v>Thermal Pad, HBA, TROV 2</v>
          </cell>
          <cell r="E2102" t="str">
            <v>B</v>
          </cell>
          <cell r="F2102" t="str">
            <v>Thermal Pad</v>
          </cell>
          <cell r="G2102">
            <v>2</v>
          </cell>
          <cell r="H2102">
            <v>0.14000000000000001</v>
          </cell>
          <cell r="I2102" t="str">
            <v>Buy</v>
          </cell>
        </row>
        <row r="2103">
          <cell r="A2103" t="str">
            <v>ASY-100013-04</v>
          </cell>
          <cell r="B2103">
            <v>1</v>
          </cell>
          <cell r="C2103" t="str">
            <v>TMP-000032-00</v>
          </cell>
          <cell r="D2103" t="str">
            <v>Thermal Pad, HBA, TROV 2</v>
          </cell>
          <cell r="E2103" t="str">
            <v>A</v>
          </cell>
          <cell r="F2103" t="str">
            <v>Thermal Pad</v>
          </cell>
          <cell r="G2103">
            <v>1</v>
          </cell>
          <cell r="H2103">
            <v>0.03</v>
          </cell>
          <cell r="I2103" t="str">
            <v>Buy</v>
          </cell>
        </row>
        <row r="2104">
          <cell r="A2104" t="str">
            <v>ASY-100013-0C</v>
          </cell>
          <cell r="B2104">
            <v>0</v>
          </cell>
          <cell r="C2104" t="str">
            <v>ASY-100013-0C</v>
          </cell>
          <cell r="D2104" t="str">
            <v>ASSY, MECHANICAL, L60, OUTDOOR, 4 FT, TROV2P2, DYNAMIC, CUSTOM</v>
          </cell>
          <cell r="E2104" t="str">
            <v>A</v>
          </cell>
          <cell r="F2104" t="str">
            <v>Sub assembly</v>
          </cell>
          <cell r="H2104">
            <v>0</v>
          </cell>
          <cell r="I2104" t="str">
            <v>Make</v>
          </cell>
        </row>
        <row r="2105">
          <cell r="A2105" t="str">
            <v>ASY-100013-0C</v>
          </cell>
          <cell r="B2105">
            <v>1</v>
          </cell>
          <cell r="C2105" t="str">
            <v>ACB-000275-00</v>
          </cell>
          <cell r="D2105" t="str">
            <v>CABLE, CANBUS, SHORT, TROV 2</v>
          </cell>
          <cell r="E2105" t="str">
            <v>A</v>
          </cell>
          <cell r="F2105" t="str">
            <v>Cable</v>
          </cell>
          <cell r="G2105">
            <v>1</v>
          </cell>
          <cell r="H2105">
            <v>0.7</v>
          </cell>
          <cell r="I2105" t="str">
            <v>Buy</v>
          </cell>
        </row>
        <row r="2106">
          <cell r="A2106" t="str">
            <v>ASY-100013-0C</v>
          </cell>
          <cell r="B2106">
            <v>1</v>
          </cell>
          <cell r="C2106" t="str">
            <v>ACB-000275-01</v>
          </cell>
          <cell r="D2106" t="str">
            <v>CABLE, CANBUS, LONG, TROV 2</v>
          </cell>
          <cell r="E2106" t="str">
            <v>A</v>
          </cell>
          <cell r="F2106" t="str">
            <v>Cable</v>
          </cell>
          <cell r="G2106">
            <v>1</v>
          </cell>
          <cell r="H2106">
            <v>0.81</v>
          </cell>
          <cell r="I2106" t="str">
            <v>Buy</v>
          </cell>
        </row>
        <row r="2107">
          <cell r="A2107" t="str">
            <v>ASY-100013-0C</v>
          </cell>
          <cell r="B2107">
            <v>1</v>
          </cell>
          <cell r="C2107" t="str">
            <v>ASY-100008-00</v>
          </cell>
          <cell r="D2107" t="str">
            <v>Cable Subassembly, Driver housing, 4ft, Trov 2</v>
          </cell>
          <cell r="E2107" t="str">
            <v>A</v>
          </cell>
          <cell r="F2107" t="str">
            <v>Sub assembly</v>
          </cell>
          <cell r="G2107">
            <v>1</v>
          </cell>
          <cell r="H2107">
            <v>0</v>
          </cell>
          <cell r="I2107" t="str">
            <v>Make</v>
          </cell>
        </row>
        <row r="2108">
          <cell r="A2108" t="str">
            <v>ASY-100013-0C</v>
          </cell>
          <cell r="B2108">
            <v>2</v>
          </cell>
          <cell r="C2108" t="str">
            <v>ACB-000272-00</v>
          </cell>
          <cell r="D2108" t="str">
            <v>CABLE ASSY, INTRA-FIXTURE, 4FT, TROV 2.0</v>
          </cell>
          <cell r="E2108" t="str">
            <v>B</v>
          </cell>
          <cell r="F2108" t="str">
            <v>Cable Assembly</v>
          </cell>
          <cell r="G2108">
            <v>1</v>
          </cell>
          <cell r="H2108">
            <v>20.420000000000002</v>
          </cell>
          <cell r="I2108" t="str">
            <v>Buy</v>
          </cell>
        </row>
        <row r="2109">
          <cell r="A2109" t="str">
            <v>ASY-100013-0C</v>
          </cell>
          <cell r="B2109">
            <v>3</v>
          </cell>
          <cell r="C2109" t="str">
            <v>ACB-000273-00</v>
          </cell>
          <cell r="D2109" t="str">
            <v>6 CONDUCTOR CABLE, 3X22AWG, 3X16AWG, AL MYLAR, TROV 2</v>
          </cell>
          <cell r="E2109" t="str">
            <v>A</v>
          </cell>
          <cell r="F2109" t="str">
            <v>Cable</v>
          </cell>
          <cell r="G2109">
            <v>1</v>
          </cell>
          <cell r="H2109">
            <v>0</v>
          </cell>
          <cell r="I2109" t="str">
            <v>N/A</v>
          </cell>
        </row>
        <row r="2110">
          <cell r="A2110" t="str">
            <v>ASY-100013-0C</v>
          </cell>
          <cell r="B2110">
            <v>3</v>
          </cell>
          <cell r="C2110" t="str">
            <v>ACB-000274-00</v>
          </cell>
          <cell r="D2110" t="str">
            <v>CABLE ASSEMBLY, INTERNAL, DRIVER SIDE, 4FT, TROV 2</v>
          </cell>
          <cell r="E2110" t="str">
            <v>A</v>
          </cell>
          <cell r="F2110" t="str">
            <v>Cable Assembly</v>
          </cell>
          <cell r="G2110">
            <v>1</v>
          </cell>
          <cell r="H2110">
            <v>0</v>
          </cell>
          <cell r="I2110" t="str">
            <v>N/A</v>
          </cell>
        </row>
        <row r="2111">
          <cell r="A2111" t="str">
            <v>ASY-100013-0C</v>
          </cell>
          <cell r="B2111">
            <v>3</v>
          </cell>
          <cell r="C2111" t="str">
            <v>CON-000259-00</v>
          </cell>
          <cell r="D2111" t="str">
            <v>CONNECTOR, MALE, 6 PIN, TROV 2</v>
          </cell>
          <cell r="E2111" t="str">
            <v>B</v>
          </cell>
          <cell r="F2111" t="str">
            <v>Connector</v>
          </cell>
          <cell r="G2111">
            <v>1</v>
          </cell>
          <cell r="H2111">
            <v>0</v>
          </cell>
          <cell r="I2111" t="str">
            <v>N/A</v>
          </cell>
        </row>
        <row r="2112">
          <cell r="A2112" t="str">
            <v>ASY-100013-0C</v>
          </cell>
          <cell r="B2112">
            <v>3</v>
          </cell>
          <cell r="C2112" t="str">
            <v>CON-000260-00</v>
          </cell>
          <cell r="D2112" t="str">
            <v>CONNECTOR, FEMALE, 6 PIN, TROV 2</v>
          </cell>
          <cell r="E2112" t="str">
            <v>A</v>
          </cell>
          <cell r="F2112" t="str">
            <v>Connector</v>
          </cell>
          <cell r="G2112">
            <v>1</v>
          </cell>
          <cell r="H2112">
            <v>0</v>
          </cell>
          <cell r="I2112" t="str">
            <v>N/A</v>
          </cell>
        </row>
        <row r="2113">
          <cell r="A2113" t="str">
            <v>ASY-100013-0C</v>
          </cell>
          <cell r="B2113">
            <v>3</v>
          </cell>
          <cell r="C2113" t="str">
            <v>HSG-000330-00</v>
          </cell>
          <cell r="D2113" t="str">
            <v>DRIVER HOUSING, 4 FT, TROV 2</v>
          </cell>
          <cell r="E2113" t="str">
            <v>A</v>
          </cell>
          <cell r="F2113" t="str">
            <v>Housing</v>
          </cell>
          <cell r="G2113">
            <v>1</v>
          </cell>
          <cell r="H2113">
            <v>0</v>
          </cell>
          <cell r="I2113" t="str">
            <v>N/A</v>
          </cell>
        </row>
        <row r="2114">
          <cell r="A2114" t="str">
            <v>ASY-100013-0C</v>
          </cell>
          <cell r="B2114">
            <v>3</v>
          </cell>
          <cell r="C2114" t="str">
            <v>ORG-000060-00</v>
          </cell>
          <cell r="D2114" t="str">
            <v>O-RING, CABLE, TROV 2</v>
          </cell>
          <cell r="E2114" t="str">
            <v>A</v>
          </cell>
          <cell r="F2114" t="str">
            <v>O-Ring</v>
          </cell>
          <cell r="G2114">
            <v>1</v>
          </cell>
          <cell r="H2114">
            <v>0</v>
          </cell>
          <cell r="I2114" t="str">
            <v>N/A</v>
          </cell>
        </row>
        <row r="2115">
          <cell r="A2115" t="str">
            <v>ASY-100013-0C</v>
          </cell>
          <cell r="B2115">
            <v>3</v>
          </cell>
          <cell r="C2115" t="str">
            <v>SRF-000030-00</v>
          </cell>
          <cell r="D2115" t="str">
            <v>STRAIN RELIEF, CABLE, TROV 2</v>
          </cell>
          <cell r="E2115" t="str">
            <v>A</v>
          </cell>
          <cell r="F2115" t="str">
            <v>Strain Relief</v>
          </cell>
          <cell r="G2115">
            <v>1</v>
          </cell>
          <cell r="H2115">
            <v>0</v>
          </cell>
          <cell r="I2115" t="str">
            <v>N/A</v>
          </cell>
        </row>
        <row r="2116">
          <cell r="A2116" t="str">
            <v>ASY-100013-0C</v>
          </cell>
          <cell r="B2116">
            <v>2</v>
          </cell>
          <cell r="C2116" t="str">
            <v>BKT-000517-00</v>
          </cell>
          <cell r="D2116" t="str">
            <v>BRACKET, ROTATING LOCK, 4 FT, TROV 2.0</v>
          </cell>
          <cell r="E2116" t="str">
            <v>B</v>
          </cell>
          <cell r="F2116" t="str">
            <v>Bracket</v>
          </cell>
          <cell r="G2116">
            <v>1</v>
          </cell>
          <cell r="H2116">
            <v>0.9</v>
          </cell>
          <cell r="I2116" t="str">
            <v>Buy</v>
          </cell>
        </row>
        <row r="2117">
          <cell r="A2117" t="str">
            <v>ASY-100013-0C</v>
          </cell>
          <cell r="B2117">
            <v>2</v>
          </cell>
          <cell r="C2117" t="str">
            <v>BKT-000518-00</v>
          </cell>
          <cell r="D2117" t="str">
            <v>BRACKET, PANEL MOUNT, 4 FT, TROV 2.0</v>
          </cell>
          <cell r="E2117" t="str">
            <v>B</v>
          </cell>
          <cell r="F2117" t="str">
            <v>Bracket</v>
          </cell>
          <cell r="G2117">
            <v>1</v>
          </cell>
          <cell r="H2117">
            <v>0.9</v>
          </cell>
          <cell r="I2117" t="str">
            <v>Buy</v>
          </cell>
        </row>
        <row r="2118">
          <cell r="A2118" t="str">
            <v>ASY-100013-0C</v>
          </cell>
          <cell r="B2118">
            <v>2</v>
          </cell>
          <cell r="C2118" t="str">
            <v>SCW-000509-00</v>
          </cell>
          <cell r="D2118" t="str">
            <v>SCREW, SEALING FLAT HEAD, M3x0.5x8MM</v>
          </cell>
          <cell r="E2118" t="str">
            <v>B</v>
          </cell>
          <cell r="F2118" t="str">
            <v>Screw</v>
          </cell>
          <cell r="G2118">
            <v>2</v>
          </cell>
          <cell r="H2118">
            <v>0.4</v>
          </cell>
          <cell r="I2118" t="str">
            <v>Buy</v>
          </cell>
        </row>
        <row r="2119">
          <cell r="A2119" t="str">
            <v>ASY-100013-0C</v>
          </cell>
          <cell r="B2119">
            <v>1</v>
          </cell>
          <cell r="C2119" t="str">
            <v>BAS-000021-00</v>
          </cell>
          <cell r="D2119" t="str">
            <v>BASE, 4FT, TROV 2.0</v>
          </cell>
          <cell r="E2119" t="str">
            <v>F</v>
          </cell>
          <cell r="F2119" t="str">
            <v>Base</v>
          </cell>
          <cell r="G2119">
            <v>1</v>
          </cell>
          <cell r="H2119">
            <v>14.25</v>
          </cell>
          <cell r="I2119" t="str">
            <v>Buy</v>
          </cell>
        </row>
        <row r="2120">
          <cell r="A2120" t="str">
            <v>ASY-100013-0C</v>
          </cell>
          <cell r="B2120">
            <v>1</v>
          </cell>
          <cell r="C2120" t="str">
            <v>BKT-000457-03</v>
          </cell>
          <cell r="D2120" t="str">
            <v>BRACKET, MOUNT, LEFT, BLACK, TROV 2.0</v>
          </cell>
          <cell r="E2120" t="str">
            <v>C</v>
          </cell>
          <cell r="F2120" t="str">
            <v>Bracket</v>
          </cell>
          <cell r="G2120">
            <v>1</v>
          </cell>
          <cell r="H2120">
            <v>0.99</v>
          </cell>
          <cell r="I2120" t="str">
            <v>Buy</v>
          </cell>
        </row>
        <row r="2121">
          <cell r="A2121" t="str">
            <v>ASY-100013-0C</v>
          </cell>
          <cell r="B2121">
            <v>1</v>
          </cell>
          <cell r="C2121" t="str">
            <v>BKT-000458-03</v>
          </cell>
          <cell r="D2121" t="str">
            <v>BRACKET, MOUNT, RIGHT, BLACK, TROV 2.0</v>
          </cell>
          <cell r="E2121" t="str">
            <v>C</v>
          </cell>
          <cell r="F2121" t="str">
            <v>Bracket</v>
          </cell>
          <cell r="G2121">
            <v>1</v>
          </cell>
          <cell r="H2121">
            <v>0.99</v>
          </cell>
          <cell r="I2121" t="str">
            <v>Buy</v>
          </cell>
        </row>
        <row r="2122">
          <cell r="A2122" t="str">
            <v>ASY-100013-0C</v>
          </cell>
          <cell r="B2122">
            <v>1</v>
          </cell>
          <cell r="C2122" t="str">
            <v>CVR-000789-0C</v>
          </cell>
          <cell r="D2122" t="str">
            <v>END COVER, FC, CUSTOM FINISH, L60, TROV 2.0</v>
          </cell>
          <cell r="E2122" t="str">
            <v>E</v>
          </cell>
          <cell r="F2122" t="str">
            <v>Cover</v>
          </cell>
          <cell r="G2122">
            <v>1</v>
          </cell>
          <cell r="H2122">
            <v>0.01</v>
          </cell>
          <cell r="I2122" t="str">
            <v>Buy</v>
          </cell>
        </row>
        <row r="2123">
          <cell r="A2123" t="str">
            <v>ASY-100013-0C</v>
          </cell>
          <cell r="B2123">
            <v>1</v>
          </cell>
          <cell r="C2123" t="str">
            <v>CVR-000893-0C</v>
          </cell>
          <cell r="D2123" t="str">
            <v>END COVER, MC, CUSTOM FINISH, L60, TROV 2.0</v>
          </cell>
          <cell r="E2123" t="str">
            <v>C</v>
          </cell>
          <cell r="F2123" t="str">
            <v>Cover</v>
          </cell>
          <cell r="G2123">
            <v>1</v>
          </cell>
          <cell r="H2123">
            <v>0</v>
          </cell>
          <cell r="I2123" t="str">
            <v>Buy</v>
          </cell>
        </row>
        <row r="2124">
          <cell r="A2124" t="str">
            <v>ASY-100013-0C</v>
          </cell>
          <cell r="B2124">
            <v>1</v>
          </cell>
          <cell r="C2124" t="str">
            <v>FOM-000028-00</v>
          </cell>
          <cell r="D2124" t="str">
            <v>FOAM, LIGHTBLOCK, ENDCAP, L60, TROV2</v>
          </cell>
          <cell r="E2124" t="str">
            <v>A</v>
          </cell>
          <cell r="F2124" t="str">
            <v>Foam</v>
          </cell>
          <cell r="G2124">
            <v>2</v>
          </cell>
          <cell r="H2124">
            <v>0.03</v>
          </cell>
          <cell r="I2124" t="str">
            <v>Buy</v>
          </cell>
        </row>
        <row r="2125">
          <cell r="A2125" t="str">
            <v>ASY-100013-0C</v>
          </cell>
          <cell r="B2125">
            <v>1</v>
          </cell>
          <cell r="C2125" t="str">
            <v>GSK-000122-01</v>
          </cell>
          <cell r="D2125" t="str">
            <v>GASKET, DRIVER ENCLOSURE, 3M, 4 FT, TROV 2.0</v>
          </cell>
          <cell r="E2125" t="str">
            <v>B</v>
          </cell>
          <cell r="F2125" t="str">
            <v>Gasket</v>
          </cell>
          <cell r="G2125">
            <v>1</v>
          </cell>
          <cell r="H2125">
            <v>2.0299999999999998</v>
          </cell>
          <cell r="I2125" t="str">
            <v>Buy</v>
          </cell>
        </row>
        <row r="2126">
          <cell r="A2126" t="str">
            <v>ASY-100013-0C</v>
          </cell>
          <cell r="B2126">
            <v>1</v>
          </cell>
          <cell r="C2126" t="str">
            <v>GSK-000133-00</v>
          </cell>
          <cell r="D2126" t="str">
            <v>GASKET, TERTIARY LENS, 3M, 2 FT, L60, TROV 2.0</v>
          </cell>
          <cell r="E2126" t="str">
            <v>B</v>
          </cell>
          <cell r="F2126" t="str">
            <v>Gasket</v>
          </cell>
          <cell r="G2126">
            <v>2</v>
          </cell>
          <cell r="H2126">
            <v>6</v>
          </cell>
          <cell r="I2126" t="str">
            <v>Buy</v>
          </cell>
        </row>
        <row r="2127">
          <cell r="A2127" t="str">
            <v>ASY-100013-0C</v>
          </cell>
          <cell r="B2127">
            <v>1</v>
          </cell>
          <cell r="C2127" t="str">
            <v>HSG-000493-0C</v>
          </cell>
          <cell r="D2127" t="str">
            <v>HOUSING, TOP, 4 FT, L60, CUSTOM FINISH, TROV 2.0</v>
          </cell>
          <cell r="E2127" t="str">
            <v>E</v>
          </cell>
          <cell r="F2127" t="str">
            <v>Housing</v>
          </cell>
          <cell r="G2127">
            <v>1</v>
          </cell>
          <cell r="H2127">
            <v>0</v>
          </cell>
          <cell r="I2127" t="str">
            <v>Buy</v>
          </cell>
        </row>
        <row r="2128">
          <cell r="A2128" t="str">
            <v>ASY-100013-0C</v>
          </cell>
          <cell r="B2128">
            <v>1</v>
          </cell>
          <cell r="C2128" t="str">
            <v>HSG-000495-0C</v>
          </cell>
          <cell r="D2128" t="str">
            <v>HOUSING, BOTTOM, 4 FT, CUSTOM FINISH, TROV 2.0</v>
          </cell>
          <cell r="E2128" t="str">
            <v>F</v>
          </cell>
          <cell r="F2128" t="str">
            <v>Housing</v>
          </cell>
          <cell r="G2128">
            <v>1</v>
          </cell>
          <cell r="H2128">
            <v>0</v>
          </cell>
          <cell r="I2128" t="str">
            <v>Buy</v>
          </cell>
        </row>
        <row r="2129">
          <cell r="A2129" t="str">
            <v>ASY-100013-0C</v>
          </cell>
          <cell r="B2129">
            <v>1</v>
          </cell>
          <cell r="C2129" t="str">
            <v>LBA-000003-00</v>
          </cell>
          <cell r="D2129" t="str">
            <v>Label: TROV 2 P1/P2, Model L45/L60</v>
          </cell>
          <cell r="E2129" t="str">
            <v>A</v>
          </cell>
          <cell r="F2129" t="str">
            <v>Label BOM</v>
          </cell>
          <cell r="G2129">
            <v>1</v>
          </cell>
          <cell r="H2129">
            <v>0</v>
          </cell>
          <cell r="I2129" t="str">
            <v>Make</v>
          </cell>
        </row>
        <row r="2130">
          <cell r="A2130" t="str">
            <v>ASY-100013-0C</v>
          </cell>
          <cell r="B2130">
            <v>2</v>
          </cell>
          <cell r="C2130" t="str">
            <v>LBL-000243-00</v>
          </cell>
          <cell r="D2130" t="str">
            <v>Blank Product Label: Trov 2 P1/P2, Model L45/L60</v>
          </cell>
          <cell r="E2130" t="str">
            <v>A</v>
          </cell>
          <cell r="F2130" t="str">
            <v>Label</v>
          </cell>
          <cell r="G2130">
            <v>1</v>
          </cell>
          <cell r="H2130">
            <v>0.33</v>
          </cell>
          <cell r="I2130" t="str">
            <v>Buy</v>
          </cell>
        </row>
        <row r="2131">
          <cell r="A2131" t="str">
            <v>ASY-100013-0C</v>
          </cell>
          <cell r="B2131">
            <v>1</v>
          </cell>
          <cell r="C2131" t="str">
            <v>PLG-000009-01</v>
          </cell>
          <cell r="D2131" t="str">
            <v>Porex Vent, Trov, L50 Exterior</v>
          </cell>
          <cell r="E2131" t="str">
            <v>B</v>
          </cell>
          <cell r="F2131" t="str">
            <v>Plug</v>
          </cell>
          <cell r="G2131">
            <v>2</v>
          </cell>
          <cell r="H2131">
            <v>0.17</v>
          </cell>
          <cell r="I2131" t="str">
            <v>Buy</v>
          </cell>
        </row>
        <row r="2132">
          <cell r="A2132" t="str">
            <v>ASY-100013-0C</v>
          </cell>
          <cell r="B2132">
            <v>1</v>
          </cell>
          <cell r="C2132" t="str">
            <v>SCW-000156-00</v>
          </cell>
          <cell r="D2132" t="str">
            <v>SCREW, M3 x 0.5 X 8mm, PAND HEAD, PHILLIPS, STEEL</v>
          </cell>
          <cell r="E2132" t="str">
            <v>B</v>
          </cell>
          <cell r="F2132" t="str">
            <v>Screw</v>
          </cell>
          <cell r="G2132">
            <v>6</v>
          </cell>
          <cell r="H2132">
            <v>4.4400000000000002E-2</v>
          </cell>
          <cell r="I2132" t="str">
            <v>Buy</v>
          </cell>
        </row>
        <row r="2133">
          <cell r="A2133" t="str">
            <v>ASY-100013-0C</v>
          </cell>
          <cell r="B2133">
            <v>1</v>
          </cell>
          <cell r="C2133" t="str">
            <v>SCW-000483-00</v>
          </cell>
          <cell r="D2133" t="str">
            <v>SCREW, PHILIPS FLAT HEAD, M2.5x0.45x5 , 18-8 SST</v>
          </cell>
          <cell r="E2133" t="str">
            <v>A</v>
          </cell>
          <cell r="F2133" t="str">
            <v>Screw</v>
          </cell>
          <cell r="G2133">
            <v>4</v>
          </cell>
          <cell r="H2133">
            <v>0.02</v>
          </cell>
          <cell r="I2133" t="str">
            <v>Buy</v>
          </cell>
        </row>
        <row r="2134">
          <cell r="A2134" t="str">
            <v>ASY-100013-0C</v>
          </cell>
          <cell r="B2134">
            <v>1</v>
          </cell>
          <cell r="C2134" t="str">
            <v>SCW-000556-00</v>
          </cell>
          <cell r="D2134" t="str">
            <v>SCREW, HEX, SERRATED, #8-32, GROUNDING, TROV 2</v>
          </cell>
          <cell r="E2134" t="str">
            <v>A</v>
          </cell>
          <cell r="F2134" t="str">
            <v>Screw</v>
          </cell>
          <cell r="G2134">
            <v>1</v>
          </cell>
          <cell r="H2134">
            <v>0.04</v>
          </cell>
          <cell r="I2134" t="str">
            <v>Buy</v>
          </cell>
        </row>
        <row r="2135">
          <cell r="A2135" t="str">
            <v>ASY-100013-0C</v>
          </cell>
          <cell r="B2135">
            <v>1</v>
          </cell>
          <cell r="C2135" t="str">
            <v>SCW-000567-00</v>
          </cell>
          <cell r="D2135" t="str">
            <v>SCREW, M2.5 x 0.45 x 12.0mm LENGTH, PAN HD, PHILLIPS, ZINC-PLATED STEEL</v>
          </cell>
          <cell r="E2135" t="str">
            <v>A</v>
          </cell>
          <cell r="F2135" t="str">
            <v>Screw</v>
          </cell>
          <cell r="G2135">
            <v>4</v>
          </cell>
          <cell r="H2135">
            <v>0.06</v>
          </cell>
          <cell r="I2135" t="str">
            <v>Buy</v>
          </cell>
        </row>
        <row r="2136">
          <cell r="A2136" t="str">
            <v>ASY-100013-0C</v>
          </cell>
          <cell r="B2136">
            <v>1</v>
          </cell>
          <cell r="C2136" t="str">
            <v>SCW-000574-00</v>
          </cell>
          <cell r="D2136" t="str">
            <v>SCREW, TORX HEAD, 1/4-28x1/2", LOW PROFILE, ALLOY STEEL</v>
          </cell>
          <cell r="E2136" t="str">
            <v>A</v>
          </cell>
          <cell r="F2136" t="str">
            <v>Screw</v>
          </cell>
          <cell r="G2136">
            <v>2</v>
          </cell>
          <cell r="H2136">
            <v>0.14000000000000001</v>
          </cell>
          <cell r="I2136" t="str">
            <v>Buy</v>
          </cell>
        </row>
        <row r="2137">
          <cell r="A2137" t="str">
            <v>ASY-100013-0C</v>
          </cell>
          <cell r="B2137">
            <v>1</v>
          </cell>
          <cell r="C2137" t="str">
            <v>SHT-000043-00</v>
          </cell>
          <cell r="D2137" t="str">
            <v>INSULATION SHEET, HBA, 4FT,TROV 2</v>
          </cell>
          <cell r="E2137" t="str">
            <v>D</v>
          </cell>
          <cell r="F2137" t="str">
            <v>Sheet</v>
          </cell>
          <cell r="G2137">
            <v>1</v>
          </cell>
          <cell r="H2137">
            <v>0.25</v>
          </cell>
          <cell r="I2137" t="str">
            <v>Buy</v>
          </cell>
        </row>
        <row r="2138">
          <cell r="A2138" t="str">
            <v>ASY-100013-0C</v>
          </cell>
          <cell r="B2138">
            <v>1</v>
          </cell>
          <cell r="C2138" t="str">
            <v>SPG-000023-00</v>
          </cell>
          <cell r="D2138" t="str">
            <v>SPRING, DISC, STACKED WAVE, TROV 2.0</v>
          </cell>
          <cell r="E2138" t="str">
            <v>A</v>
          </cell>
          <cell r="F2138" t="str">
            <v>Spring</v>
          </cell>
          <cell r="G2138">
            <v>2</v>
          </cell>
          <cell r="H2138">
            <v>1.74</v>
          </cell>
          <cell r="I2138" t="str">
            <v>Buy</v>
          </cell>
        </row>
        <row r="2139">
          <cell r="A2139" t="str">
            <v>ASY-100013-0C</v>
          </cell>
          <cell r="B2139">
            <v>1</v>
          </cell>
          <cell r="C2139" t="str">
            <v>TAP-000031-00</v>
          </cell>
          <cell r="D2139" t="str">
            <v>3M Electrical Tape 92</v>
          </cell>
          <cell r="E2139" t="str">
            <v>A</v>
          </cell>
          <cell r="F2139" t="str">
            <v>Tape</v>
          </cell>
          <cell r="G2139">
            <v>120</v>
          </cell>
          <cell r="H2139">
            <v>1.4E-2</v>
          </cell>
          <cell r="I2139" t="str">
            <v>Buy</v>
          </cell>
        </row>
        <row r="2140">
          <cell r="A2140" t="str">
            <v>ASY-100013-0C</v>
          </cell>
          <cell r="B2140">
            <v>1</v>
          </cell>
          <cell r="C2140" t="str">
            <v>TMP-000028-00</v>
          </cell>
          <cell r="D2140" t="str">
            <v>Thermal Pad, LED PCBA, 2 FT, TROV 2</v>
          </cell>
          <cell r="E2140" t="str">
            <v>B</v>
          </cell>
          <cell r="F2140" t="str">
            <v>Thermal Pad</v>
          </cell>
          <cell r="G2140">
            <v>2</v>
          </cell>
          <cell r="H2140">
            <v>1.32</v>
          </cell>
          <cell r="I2140" t="str">
            <v>Buy</v>
          </cell>
        </row>
        <row r="2141">
          <cell r="A2141" t="str">
            <v>ASY-100013-0C</v>
          </cell>
          <cell r="B2141">
            <v>1</v>
          </cell>
          <cell r="C2141" t="str">
            <v>TMP-000029-00</v>
          </cell>
          <cell r="D2141" t="str">
            <v>Thermal Pad, HBA, TROV 2</v>
          </cell>
          <cell r="E2141" t="str">
            <v>B</v>
          </cell>
          <cell r="F2141" t="str">
            <v>Thermal Pad</v>
          </cell>
          <cell r="G2141">
            <v>2</v>
          </cell>
          <cell r="H2141">
            <v>0.14000000000000001</v>
          </cell>
          <cell r="I2141" t="str">
            <v>Buy</v>
          </cell>
        </row>
        <row r="2142">
          <cell r="A2142" t="str">
            <v>ASY-100013-0C</v>
          </cell>
          <cell r="B2142">
            <v>1</v>
          </cell>
          <cell r="C2142" t="str">
            <v>TMP-000032-00</v>
          </cell>
          <cell r="D2142" t="str">
            <v>Thermal Pad, HBA, TROV 2</v>
          </cell>
          <cell r="E2142" t="str">
            <v>A</v>
          </cell>
          <cell r="F2142" t="str">
            <v>Thermal Pad</v>
          </cell>
          <cell r="G2142">
            <v>1</v>
          </cell>
          <cell r="H2142">
            <v>0.03</v>
          </cell>
          <cell r="I2142" t="str">
            <v>Buy</v>
          </cell>
        </row>
        <row r="2143">
          <cell r="A2143" t="str">
            <v>ASY-100014-01</v>
          </cell>
          <cell r="B2143">
            <v>0</v>
          </cell>
          <cell r="C2143" t="str">
            <v>ASY-100014-01</v>
          </cell>
          <cell r="D2143" t="str">
            <v>ASSY, MECHANICAL, L45, INDOOR, 1 FT, TROV2P2, DYNAMIC, SILVER</v>
          </cell>
          <cell r="E2143" t="str">
            <v>A</v>
          </cell>
          <cell r="F2143" t="str">
            <v>Sub assembly</v>
          </cell>
          <cell r="H2143">
            <v>0</v>
          </cell>
          <cell r="I2143" t="str">
            <v>Make</v>
          </cell>
        </row>
        <row r="2144">
          <cell r="A2144" t="str">
            <v>ASY-100014-01</v>
          </cell>
          <cell r="B2144">
            <v>1</v>
          </cell>
          <cell r="C2144" t="str">
            <v>ACB-000275-00</v>
          </cell>
          <cell r="D2144" t="str">
            <v>CABLE, CANBUS, SHORT, TROV 2</v>
          </cell>
          <cell r="E2144" t="str">
            <v>A</v>
          </cell>
          <cell r="F2144" t="str">
            <v>Cable</v>
          </cell>
          <cell r="G2144">
            <v>1</v>
          </cell>
          <cell r="H2144">
            <v>0.7</v>
          </cell>
          <cell r="I2144" t="str">
            <v>Buy</v>
          </cell>
        </row>
        <row r="2145">
          <cell r="A2145" t="str">
            <v>ASY-100014-01</v>
          </cell>
          <cell r="B2145">
            <v>1</v>
          </cell>
          <cell r="C2145" t="str">
            <v>ASY-100009-00</v>
          </cell>
          <cell r="D2145" t="str">
            <v>Cable Subassembly, Driver housing, 1ft, Trov 2</v>
          </cell>
          <cell r="E2145" t="str">
            <v>B</v>
          </cell>
          <cell r="F2145" t="str">
            <v>Sub assembly</v>
          </cell>
          <cell r="G2145">
            <v>1</v>
          </cell>
          <cell r="H2145">
            <v>0</v>
          </cell>
          <cell r="I2145" t="str">
            <v>Make</v>
          </cell>
        </row>
        <row r="2146">
          <cell r="A2146" t="str">
            <v>ASY-100014-01</v>
          </cell>
          <cell r="B2146">
            <v>2</v>
          </cell>
          <cell r="C2146" t="str">
            <v>ACB-000278-00</v>
          </cell>
          <cell r="D2146" t="str">
            <v>CABLE ASSY, INTRA-FIXTURE, 1FT, TROV 2.0</v>
          </cell>
          <cell r="E2146" t="str">
            <v>A</v>
          </cell>
          <cell r="F2146" t="str">
            <v>Cable Assembly</v>
          </cell>
          <cell r="G2146">
            <v>1</v>
          </cell>
          <cell r="H2146">
            <v>12.75</v>
          </cell>
          <cell r="I2146" t="str">
            <v>Buy</v>
          </cell>
        </row>
        <row r="2147">
          <cell r="A2147" t="str">
            <v>ASY-100014-01</v>
          </cell>
          <cell r="B2147">
            <v>3</v>
          </cell>
          <cell r="C2147" t="str">
            <v>ACB-000273-00</v>
          </cell>
          <cell r="D2147" t="str">
            <v>6 CONDUCTOR CABLE, 3X22AWG, 3X16AWG, AL MYLAR, TROV 2</v>
          </cell>
          <cell r="E2147" t="str">
            <v>A</v>
          </cell>
          <cell r="F2147" t="str">
            <v>Cable</v>
          </cell>
          <cell r="G2147">
            <v>1</v>
          </cell>
          <cell r="H2147">
            <v>0</v>
          </cell>
          <cell r="I2147" t="str">
            <v>N/A</v>
          </cell>
        </row>
        <row r="2148">
          <cell r="A2148" t="str">
            <v>ASY-100014-01</v>
          </cell>
          <cell r="B2148">
            <v>3</v>
          </cell>
          <cell r="C2148" t="str">
            <v>ACB-000274-01</v>
          </cell>
          <cell r="D2148" t="str">
            <v>CABLE ASSEMBLY, INTERNAL, DRIVER SIDE, 1FT, TROV 2</v>
          </cell>
          <cell r="E2148" t="str">
            <v>A</v>
          </cell>
          <cell r="F2148" t="str">
            <v>Cable Assembly</v>
          </cell>
          <cell r="G2148">
            <v>1</v>
          </cell>
          <cell r="H2148">
            <v>0</v>
          </cell>
          <cell r="I2148" t="str">
            <v>N/A</v>
          </cell>
        </row>
        <row r="2149">
          <cell r="A2149" t="str">
            <v>ASY-100014-01</v>
          </cell>
          <cell r="B2149">
            <v>3</v>
          </cell>
          <cell r="C2149" t="str">
            <v>CON-000259-00</v>
          </cell>
          <cell r="D2149" t="str">
            <v>CONNECTOR, MALE, 6 PIN, TROV 2</v>
          </cell>
          <cell r="E2149" t="str">
            <v>B</v>
          </cell>
          <cell r="F2149" t="str">
            <v>Connector</v>
          </cell>
          <cell r="G2149">
            <v>1</v>
          </cell>
          <cell r="H2149">
            <v>0</v>
          </cell>
          <cell r="I2149" t="str">
            <v>N/A</v>
          </cell>
        </row>
        <row r="2150">
          <cell r="A2150" t="str">
            <v>ASY-100014-01</v>
          </cell>
          <cell r="B2150">
            <v>3</v>
          </cell>
          <cell r="C2150" t="str">
            <v>CON-000260-00</v>
          </cell>
          <cell r="D2150" t="str">
            <v>CONNECTOR, FEMALE, 6 PIN, TROV 2</v>
          </cell>
          <cell r="E2150" t="str">
            <v>A</v>
          </cell>
          <cell r="F2150" t="str">
            <v>Connector</v>
          </cell>
          <cell r="G2150">
            <v>1</v>
          </cell>
          <cell r="H2150">
            <v>0</v>
          </cell>
          <cell r="I2150" t="str">
            <v>N/A</v>
          </cell>
        </row>
        <row r="2151">
          <cell r="A2151" t="str">
            <v>ASY-100014-01</v>
          </cell>
          <cell r="B2151">
            <v>3</v>
          </cell>
          <cell r="C2151" t="str">
            <v>ORG-000060-00</v>
          </cell>
          <cell r="D2151" t="str">
            <v>O-RING, CABLE, TROV 2</v>
          </cell>
          <cell r="E2151" t="str">
            <v>A</v>
          </cell>
          <cell r="F2151" t="str">
            <v>O-Ring</v>
          </cell>
          <cell r="G2151">
            <v>1</v>
          </cell>
          <cell r="H2151">
            <v>0</v>
          </cell>
          <cell r="I2151" t="str">
            <v>N/A</v>
          </cell>
        </row>
        <row r="2152">
          <cell r="A2152" t="str">
            <v>ASY-100014-01</v>
          </cell>
          <cell r="B2152">
            <v>3</v>
          </cell>
          <cell r="C2152" t="str">
            <v>SRF-000030-00</v>
          </cell>
          <cell r="D2152" t="str">
            <v>STRAIN RELIEF, CABLE, TROV 2</v>
          </cell>
          <cell r="E2152" t="str">
            <v>A</v>
          </cell>
          <cell r="F2152" t="str">
            <v>Strain Relief</v>
          </cell>
          <cell r="G2152">
            <v>1</v>
          </cell>
          <cell r="H2152">
            <v>0</v>
          </cell>
          <cell r="I2152" t="str">
            <v>N/A</v>
          </cell>
        </row>
        <row r="2153">
          <cell r="A2153" t="str">
            <v>ASY-100014-01</v>
          </cell>
          <cell r="B2153">
            <v>2</v>
          </cell>
          <cell r="C2153" t="str">
            <v>HSG-000488-01</v>
          </cell>
          <cell r="D2153" t="str">
            <v>HOUSING, PSU, 1 FT, MOLDED HOLE, TROV 2.0</v>
          </cell>
          <cell r="E2153" t="str">
            <v>B</v>
          </cell>
          <cell r="F2153" t="str">
            <v>Housing</v>
          </cell>
          <cell r="G2153">
            <v>1</v>
          </cell>
          <cell r="H2153">
            <v>1.17</v>
          </cell>
          <cell r="I2153" t="str">
            <v>Buy</v>
          </cell>
        </row>
        <row r="2154">
          <cell r="A2154" t="str">
            <v>ASY-100014-01</v>
          </cell>
          <cell r="B2154">
            <v>2</v>
          </cell>
          <cell r="C2154" t="str">
            <v>SCW-000577-00</v>
          </cell>
          <cell r="D2154" t="str">
            <v>SCREW, TORX HEAD, LOW PROFILE, M3X8mm, ALLOY STEEL</v>
          </cell>
          <cell r="E2154" t="str">
            <v>A</v>
          </cell>
          <cell r="F2154" t="str">
            <v>Screw</v>
          </cell>
          <cell r="G2154">
            <v>2</v>
          </cell>
          <cell r="H2154">
            <v>0.03</v>
          </cell>
          <cell r="I2154" t="str">
            <v>Buy</v>
          </cell>
        </row>
        <row r="2155">
          <cell r="A2155" t="str">
            <v>ASY-100014-01</v>
          </cell>
          <cell r="B2155">
            <v>1</v>
          </cell>
          <cell r="C2155" t="str">
            <v>BAS-000020-00</v>
          </cell>
          <cell r="D2155" t="str">
            <v>BASE, 1FT, TROV 2.0</v>
          </cell>
          <cell r="E2155" t="str">
            <v>E</v>
          </cell>
          <cell r="F2155" t="str">
            <v>Base</v>
          </cell>
          <cell r="G2155">
            <v>1</v>
          </cell>
          <cell r="H2155">
            <v>5.8</v>
          </cell>
          <cell r="I2155" t="str">
            <v>Buy</v>
          </cell>
        </row>
        <row r="2156">
          <cell r="A2156" t="str">
            <v>ASY-100014-01</v>
          </cell>
          <cell r="B2156">
            <v>1</v>
          </cell>
          <cell r="C2156" t="str">
            <v>BKT-000457-03</v>
          </cell>
          <cell r="D2156" t="str">
            <v>BRACKET, MOUNT, LEFT, BLACK, TROV 2.0</v>
          </cell>
          <cell r="E2156" t="str">
            <v>C</v>
          </cell>
          <cell r="F2156" t="str">
            <v>Bracket</v>
          </cell>
          <cell r="G2156">
            <v>1</v>
          </cell>
          <cell r="H2156">
            <v>0.99</v>
          </cell>
          <cell r="I2156" t="str">
            <v>Buy</v>
          </cell>
        </row>
        <row r="2157">
          <cell r="A2157" t="str">
            <v>ASY-100014-01</v>
          </cell>
          <cell r="B2157">
            <v>1</v>
          </cell>
          <cell r="C2157" t="str">
            <v>BKT-000458-03</v>
          </cell>
          <cell r="D2157" t="str">
            <v>BRACKET, MOUNT, RIGHT, BLACK, TROV 2.0</v>
          </cell>
          <cell r="E2157" t="str">
            <v>C</v>
          </cell>
          <cell r="F2157" t="str">
            <v>Bracket</v>
          </cell>
          <cell r="G2157">
            <v>1</v>
          </cell>
          <cell r="H2157">
            <v>0.99</v>
          </cell>
          <cell r="I2157" t="str">
            <v>Buy</v>
          </cell>
        </row>
        <row r="2158">
          <cell r="A2158" t="str">
            <v>ASY-100014-01</v>
          </cell>
          <cell r="B2158">
            <v>1</v>
          </cell>
          <cell r="C2158" t="str">
            <v>CVR-000791-03</v>
          </cell>
          <cell r="D2158" t="str">
            <v>END COVER, FC, BLACK, L45, TROV 2.0</v>
          </cell>
          <cell r="E2158" t="str">
            <v>D</v>
          </cell>
          <cell r="F2158" t="str">
            <v>Cover</v>
          </cell>
          <cell r="G2158">
            <v>1</v>
          </cell>
          <cell r="H2158">
            <v>1.07</v>
          </cell>
          <cell r="I2158" t="str">
            <v>Buy</v>
          </cell>
        </row>
        <row r="2159">
          <cell r="A2159" t="str">
            <v>ASY-100014-01</v>
          </cell>
          <cell r="B2159">
            <v>1</v>
          </cell>
          <cell r="C2159" t="str">
            <v>CVR-000894-03</v>
          </cell>
          <cell r="D2159" t="str">
            <v>END COVER, MC, BLACK, L45, TROV 2.0</v>
          </cell>
          <cell r="E2159" t="str">
            <v>B</v>
          </cell>
          <cell r="F2159" t="str">
            <v>Cover</v>
          </cell>
          <cell r="G2159">
            <v>1</v>
          </cell>
          <cell r="H2159">
            <v>1.07</v>
          </cell>
          <cell r="I2159" t="str">
            <v>Buy</v>
          </cell>
        </row>
        <row r="2160">
          <cell r="A2160" t="str">
            <v>ASY-100014-01</v>
          </cell>
          <cell r="B2160">
            <v>1</v>
          </cell>
          <cell r="C2160" t="str">
            <v>FOM-000029-00</v>
          </cell>
          <cell r="D2160" t="str">
            <v>FOAM, LIGHTBLOCK, ENDCAP, L45, TROV2</v>
          </cell>
          <cell r="E2160" t="str">
            <v>A</v>
          </cell>
          <cell r="F2160" t="str">
            <v>Foam</v>
          </cell>
          <cell r="G2160">
            <v>2</v>
          </cell>
          <cell r="H2160">
            <v>0.02</v>
          </cell>
          <cell r="I2160" t="str">
            <v>Buy</v>
          </cell>
        </row>
        <row r="2161">
          <cell r="A2161" t="str">
            <v>ASY-100014-01</v>
          </cell>
          <cell r="B2161">
            <v>1</v>
          </cell>
          <cell r="C2161" t="str">
            <v>GSK-000112-01</v>
          </cell>
          <cell r="D2161" t="str">
            <v>GASKET, TERTIARY LENS, 3M, 1 FT, L45, TROV 2.0</v>
          </cell>
          <cell r="E2161" t="str">
            <v>D</v>
          </cell>
          <cell r="F2161" t="str">
            <v>Gasket</v>
          </cell>
          <cell r="G2161">
            <v>1</v>
          </cell>
          <cell r="H2161">
            <v>1.75</v>
          </cell>
          <cell r="I2161" t="str">
            <v>Buy</v>
          </cell>
        </row>
        <row r="2162">
          <cell r="A2162" t="str">
            <v>ASY-100014-01</v>
          </cell>
          <cell r="B2162">
            <v>1</v>
          </cell>
          <cell r="C2162" t="str">
            <v>GSK-000121-01</v>
          </cell>
          <cell r="D2162" t="str">
            <v>GASKET, DRIVER ENCLOSURE, 3M, 1 FT, TROV 2.0</v>
          </cell>
          <cell r="E2162" t="str">
            <v>B</v>
          </cell>
          <cell r="F2162" t="str">
            <v>Gasket</v>
          </cell>
          <cell r="G2162">
            <v>1</v>
          </cell>
          <cell r="H2162">
            <v>1.7</v>
          </cell>
          <cell r="I2162" t="str">
            <v>Buy</v>
          </cell>
        </row>
        <row r="2163">
          <cell r="A2163" t="str">
            <v>ASY-100014-01</v>
          </cell>
          <cell r="B2163">
            <v>1</v>
          </cell>
          <cell r="C2163" t="str">
            <v>HSG-000491-01</v>
          </cell>
          <cell r="D2163" t="str">
            <v>HOUSING, TOP, 1 FT,  L45, SILVER,  TROV 2.0</v>
          </cell>
          <cell r="E2163" t="str">
            <v>E</v>
          </cell>
          <cell r="F2163" t="str">
            <v>Housing</v>
          </cell>
          <cell r="G2163">
            <v>1</v>
          </cell>
          <cell r="H2163">
            <v>4.3499999999999996</v>
          </cell>
          <cell r="I2163" t="str">
            <v>Buy</v>
          </cell>
        </row>
        <row r="2164">
          <cell r="A2164" t="str">
            <v>ASY-100014-01</v>
          </cell>
          <cell r="B2164">
            <v>1</v>
          </cell>
          <cell r="C2164" t="str">
            <v>HSG-000492-01</v>
          </cell>
          <cell r="D2164" t="str">
            <v>HOUSING, BOTTOM, 1 FT, SILVER, TROV 2.0</v>
          </cell>
          <cell r="E2164" t="str">
            <v>F</v>
          </cell>
          <cell r="F2164" t="str">
            <v>Housing</v>
          </cell>
          <cell r="G2164">
            <v>1</v>
          </cell>
          <cell r="H2164">
            <v>3.34</v>
          </cell>
          <cell r="I2164" t="str">
            <v>Buy</v>
          </cell>
        </row>
        <row r="2165">
          <cell r="A2165" t="str">
            <v>ASY-100014-01</v>
          </cell>
          <cell r="B2165">
            <v>1</v>
          </cell>
          <cell r="C2165" t="str">
            <v>LBA-000003-00</v>
          </cell>
          <cell r="D2165" t="str">
            <v>Label: TROV 2 P1/P2, Model L45/L60</v>
          </cell>
          <cell r="E2165" t="str">
            <v>A</v>
          </cell>
          <cell r="F2165" t="str">
            <v>Label BOM</v>
          </cell>
          <cell r="G2165">
            <v>1</v>
          </cell>
          <cell r="H2165">
            <v>0</v>
          </cell>
          <cell r="I2165" t="str">
            <v>Make</v>
          </cell>
        </row>
        <row r="2166">
          <cell r="A2166" t="str">
            <v>ASY-100014-01</v>
          </cell>
          <cell r="B2166">
            <v>2</v>
          </cell>
          <cell r="C2166" t="str">
            <v>LBL-000243-00</v>
          </cell>
          <cell r="D2166" t="str">
            <v>Blank Product Label: Trov 2 P1/P2, Model L45/L60</v>
          </cell>
          <cell r="E2166" t="str">
            <v>A</v>
          </cell>
          <cell r="F2166" t="str">
            <v>Label</v>
          </cell>
          <cell r="G2166">
            <v>1</v>
          </cell>
          <cell r="H2166">
            <v>0.33</v>
          </cell>
          <cell r="I2166" t="str">
            <v>Buy</v>
          </cell>
        </row>
        <row r="2167">
          <cell r="A2167" t="str">
            <v>ASY-100014-01</v>
          </cell>
          <cell r="B2167">
            <v>1</v>
          </cell>
          <cell r="C2167" t="str">
            <v>PLG-000009-01</v>
          </cell>
          <cell r="D2167" t="str">
            <v>Porex Vent, Trov, L50 Exterior</v>
          </cell>
          <cell r="E2167" t="str">
            <v>B</v>
          </cell>
          <cell r="F2167" t="str">
            <v>Plug</v>
          </cell>
          <cell r="G2167">
            <v>1</v>
          </cell>
          <cell r="H2167">
            <v>0.17</v>
          </cell>
          <cell r="I2167" t="str">
            <v>Buy</v>
          </cell>
        </row>
        <row r="2168">
          <cell r="A2168" t="str">
            <v>ASY-100014-01</v>
          </cell>
          <cell r="B2168">
            <v>1</v>
          </cell>
          <cell r="C2168" t="str">
            <v>SCW-000156-00</v>
          </cell>
          <cell r="D2168" t="str">
            <v>SCREW, M3 x 0.5 X 8mm, PAND HEAD, PHILLIPS, STEEL</v>
          </cell>
          <cell r="E2168" t="str">
            <v>B</v>
          </cell>
          <cell r="F2168" t="str">
            <v>Screw</v>
          </cell>
          <cell r="G2168">
            <v>2</v>
          </cell>
          <cell r="H2168">
            <v>4.4400000000000002E-2</v>
          </cell>
          <cell r="I2168" t="str">
            <v>Buy</v>
          </cell>
        </row>
        <row r="2169">
          <cell r="A2169" t="str">
            <v>ASY-100014-01</v>
          </cell>
          <cell r="B2169">
            <v>1</v>
          </cell>
          <cell r="C2169" t="str">
            <v>SCW-000483-00</v>
          </cell>
          <cell r="D2169" t="str">
            <v>SCREW, PHILIPS FLAT HEAD, M2.5x0.45x5 , 18-8 SST</v>
          </cell>
          <cell r="E2169" t="str">
            <v>A</v>
          </cell>
          <cell r="F2169" t="str">
            <v>Screw</v>
          </cell>
          <cell r="G2169">
            <v>4</v>
          </cell>
          <cell r="H2169">
            <v>0.02</v>
          </cell>
          <cell r="I2169" t="str">
            <v>Buy</v>
          </cell>
        </row>
        <row r="2170">
          <cell r="A2170" t="str">
            <v>ASY-100014-01</v>
          </cell>
          <cell r="B2170">
            <v>1</v>
          </cell>
          <cell r="C2170" t="str">
            <v>SCW-000556-00</v>
          </cell>
          <cell r="D2170" t="str">
            <v>SCREW, HEX, SERRATED, #8-32, GROUNDING, TROV 2</v>
          </cell>
          <cell r="E2170" t="str">
            <v>A</v>
          </cell>
          <cell r="F2170" t="str">
            <v>Screw</v>
          </cell>
          <cell r="G2170">
            <v>1</v>
          </cell>
          <cell r="H2170">
            <v>0.04</v>
          </cell>
          <cell r="I2170" t="str">
            <v>Buy</v>
          </cell>
        </row>
        <row r="2171">
          <cell r="A2171" t="str">
            <v>ASY-100014-01</v>
          </cell>
          <cell r="B2171">
            <v>1</v>
          </cell>
          <cell r="C2171" t="str">
            <v>SCW-000574-00</v>
          </cell>
          <cell r="D2171" t="str">
            <v>SCREW, TORX HEAD, 1/4-28x1/2", LOW PROFILE, ALLOY STEEL</v>
          </cell>
          <cell r="E2171" t="str">
            <v>A</v>
          </cell>
          <cell r="F2171" t="str">
            <v>Screw</v>
          </cell>
          <cell r="G2171">
            <v>2</v>
          </cell>
          <cell r="H2171">
            <v>0.14000000000000001</v>
          </cell>
          <cell r="I2171" t="str">
            <v>Buy</v>
          </cell>
        </row>
        <row r="2172">
          <cell r="A2172" t="str">
            <v>ASY-100014-01</v>
          </cell>
          <cell r="B2172">
            <v>1</v>
          </cell>
          <cell r="C2172" t="str">
            <v>SHT-000042-00</v>
          </cell>
          <cell r="D2172" t="str">
            <v>INSULATION SHEET, MP/LP HBA, TROV 2</v>
          </cell>
          <cell r="E2172" t="str">
            <v>D</v>
          </cell>
          <cell r="F2172" t="str">
            <v>Sheet</v>
          </cell>
          <cell r="G2172">
            <v>1</v>
          </cell>
          <cell r="H2172">
            <v>0.16</v>
          </cell>
          <cell r="I2172" t="str">
            <v>Buy</v>
          </cell>
        </row>
        <row r="2173">
          <cell r="A2173" t="str">
            <v>ASY-100014-01</v>
          </cell>
          <cell r="B2173">
            <v>1</v>
          </cell>
          <cell r="C2173" t="str">
            <v>SPG-000023-00</v>
          </cell>
          <cell r="D2173" t="str">
            <v>SPRING, DISC, STACKED WAVE, TROV 2.0</v>
          </cell>
          <cell r="E2173" t="str">
            <v>A</v>
          </cell>
          <cell r="F2173" t="str">
            <v>Spring</v>
          </cell>
          <cell r="G2173">
            <v>2</v>
          </cell>
          <cell r="H2173">
            <v>1.74</v>
          </cell>
          <cell r="I2173" t="str">
            <v>Buy</v>
          </cell>
        </row>
        <row r="2174">
          <cell r="A2174" t="str">
            <v>ASY-100014-01</v>
          </cell>
          <cell r="B2174">
            <v>1</v>
          </cell>
          <cell r="C2174" t="str">
            <v>TAP-000031-00</v>
          </cell>
          <cell r="D2174" t="str">
            <v>3M Electrical Tape 92</v>
          </cell>
          <cell r="E2174" t="str">
            <v>A</v>
          </cell>
          <cell r="F2174" t="str">
            <v>Tape</v>
          </cell>
          <cell r="G2174">
            <v>120</v>
          </cell>
          <cell r="H2174">
            <v>1.4E-2</v>
          </cell>
          <cell r="I2174" t="str">
            <v>Buy</v>
          </cell>
        </row>
        <row r="2175">
          <cell r="A2175" t="str">
            <v>ASY-100014-01</v>
          </cell>
          <cell r="B2175">
            <v>1</v>
          </cell>
          <cell r="C2175" t="str">
            <v>TMP-000027-00</v>
          </cell>
          <cell r="D2175" t="str">
            <v>Thermal Pad, LED PCBA, 1 FT, TROV 2</v>
          </cell>
          <cell r="E2175" t="str">
            <v>B</v>
          </cell>
          <cell r="F2175" t="str">
            <v>Thermal Pad</v>
          </cell>
          <cell r="G2175">
            <v>1</v>
          </cell>
          <cell r="H2175">
            <v>0.72</v>
          </cell>
          <cell r="I2175" t="str">
            <v>Buy</v>
          </cell>
        </row>
        <row r="2176">
          <cell r="A2176" t="str">
            <v>ASY-100014-01</v>
          </cell>
          <cell r="B2176">
            <v>1</v>
          </cell>
          <cell r="C2176" t="str">
            <v>TMP-000029-00</v>
          </cell>
          <cell r="D2176" t="str">
            <v>Thermal Pad, HBA, TROV 2</v>
          </cell>
          <cell r="E2176" t="str">
            <v>B</v>
          </cell>
          <cell r="F2176" t="str">
            <v>Thermal Pad</v>
          </cell>
          <cell r="G2176">
            <v>2</v>
          </cell>
          <cell r="H2176">
            <v>0.14000000000000001</v>
          </cell>
          <cell r="I2176" t="str">
            <v>Buy</v>
          </cell>
        </row>
        <row r="2177">
          <cell r="A2177" t="str">
            <v>ASY-100014-01</v>
          </cell>
          <cell r="B2177">
            <v>1</v>
          </cell>
          <cell r="C2177" t="str">
            <v>TMP-000032-00</v>
          </cell>
          <cell r="D2177" t="str">
            <v>Thermal Pad, HBA, TROV 2</v>
          </cell>
          <cell r="E2177" t="str">
            <v>A</v>
          </cell>
          <cell r="F2177" t="str">
            <v>Thermal Pad</v>
          </cell>
          <cell r="G2177">
            <v>1</v>
          </cell>
          <cell r="H2177">
            <v>0.03</v>
          </cell>
          <cell r="I2177" t="str">
            <v>Buy</v>
          </cell>
        </row>
        <row r="2178">
          <cell r="A2178" t="str">
            <v>ASY-100014-02</v>
          </cell>
          <cell r="B2178">
            <v>0</v>
          </cell>
          <cell r="C2178" t="str">
            <v>ASY-100014-02</v>
          </cell>
          <cell r="D2178" t="str">
            <v>ASSY, MECHANICAL, L45, INDOOR, 1 FT, TROV2P2, DYNAMIC, BRONZE</v>
          </cell>
          <cell r="E2178" t="str">
            <v>A</v>
          </cell>
          <cell r="F2178" t="str">
            <v>Sub assembly</v>
          </cell>
          <cell r="H2178">
            <v>0</v>
          </cell>
          <cell r="I2178" t="str">
            <v>Make</v>
          </cell>
        </row>
        <row r="2179">
          <cell r="A2179" t="str">
            <v>ASY-100014-02</v>
          </cell>
          <cell r="B2179">
            <v>1</v>
          </cell>
          <cell r="C2179" t="str">
            <v>ACB-000275-00</v>
          </cell>
          <cell r="D2179" t="str">
            <v>CABLE, CANBUS, SHORT, TROV 2</v>
          </cell>
          <cell r="E2179" t="str">
            <v>A</v>
          </cell>
          <cell r="F2179" t="str">
            <v>Cable</v>
          </cell>
          <cell r="G2179">
            <v>1</v>
          </cell>
          <cell r="H2179">
            <v>0.7</v>
          </cell>
          <cell r="I2179" t="str">
            <v>Buy</v>
          </cell>
        </row>
        <row r="2180">
          <cell r="A2180" t="str">
            <v>ASY-100014-02</v>
          </cell>
          <cell r="B2180">
            <v>1</v>
          </cell>
          <cell r="C2180" t="str">
            <v>ASY-100009-00</v>
          </cell>
          <cell r="D2180" t="str">
            <v>Cable Subassembly, Driver housing, 1ft, Trov 2</v>
          </cell>
          <cell r="E2180" t="str">
            <v>B</v>
          </cell>
          <cell r="F2180" t="str">
            <v>Sub assembly</v>
          </cell>
          <cell r="G2180">
            <v>1</v>
          </cell>
          <cell r="H2180">
            <v>0</v>
          </cell>
          <cell r="I2180" t="str">
            <v>Make</v>
          </cell>
        </row>
        <row r="2181">
          <cell r="A2181" t="str">
            <v>ASY-100014-02</v>
          </cell>
          <cell r="B2181">
            <v>2</v>
          </cell>
          <cell r="C2181" t="str">
            <v>ACB-000278-00</v>
          </cell>
          <cell r="D2181" t="str">
            <v>CABLE ASSY, INTRA-FIXTURE, 1FT, TROV 2.0</v>
          </cell>
          <cell r="E2181" t="str">
            <v>A</v>
          </cell>
          <cell r="F2181" t="str">
            <v>Cable Assembly</v>
          </cell>
          <cell r="G2181">
            <v>1</v>
          </cell>
          <cell r="H2181">
            <v>12.75</v>
          </cell>
          <cell r="I2181" t="str">
            <v>Buy</v>
          </cell>
        </row>
        <row r="2182">
          <cell r="A2182" t="str">
            <v>ASY-100014-02</v>
          </cell>
          <cell r="B2182">
            <v>3</v>
          </cell>
          <cell r="C2182" t="str">
            <v>ACB-000273-00</v>
          </cell>
          <cell r="D2182" t="str">
            <v>6 CONDUCTOR CABLE, 3X22AWG, 3X16AWG, AL MYLAR, TROV 2</v>
          </cell>
          <cell r="E2182" t="str">
            <v>A</v>
          </cell>
          <cell r="F2182" t="str">
            <v>Cable</v>
          </cell>
          <cell r="G2182">
            <v>1</v>
          </cell>
          <cell r="H2182">
            <v>0</v>
          </cell>
          <cell r="I2182" t="str">
            <v>N/A</v>
          </cell>
        </row>
        <row r="2183">
          <cell r="A2183" t="str">
            <v>ASY-100014-02</v>
          </cell>
          <cell r="B2183">
            <v>3</v>
          </cell>
          <cell r="C2183" t="str">
            <v>ACB-000274-01</v>
          </cell>
          <cell r="D2183" t="str">
            <v>CABLE ASSEMBLY, INTERNAL, DRIVER SIDE, 1FT, TROV 2</v>
          </cell>
          <cell r="E2183" t="str">
            <v>A</v>
          </cell>
          <cell r="F2183" t="str">
            <v>Cable Assembly</v>
          </cell>
          <cell r="G2183">
            <v>1</v>
          </cell>
          <cell r="H2183">
            <v>0</v>
          </cell>
          <cell r="I2183" t="str">
            <v>N/A</v>
          </cell>
        </row>
        <row r="2184">
          <cell r="A2184" t="str">
            <v>ASY-100014-02</v>
          </cell>
          <cell r="B2184">
            <v>3</v>
          </cell>
          <cell r="C2184" t="str">
            <v>CON-000259-00</v>
          </cell>
          <cell r="D2184" t="str">
            <v>CONNECTOR, MALE, 6 PIN, TROV 2</v>
          </cell>
          <cell r="E2184" t="str">
            <v>B</v>
          </cell>
          <cell r="F2184" t="str">
            <v>Connector</v>
          </cell>
          <cell r="G2184">
            <v>1</v>
          </cell>
          <cell r="H2184">
            <v>0</v>
          </cell>
          <cell r="I2184" t="str">
            <v>N/A</v>
          </cell>
        </row>
        <row r="2185">
          <cell r="A2185" t="str">
            <v>ASY-100014-02</v>
          </cell>
          <cell r="B2185">
            <v>3</v>
          </cell>
          <cell r="C2185" t="str">
            <v>CON-000260-00</v>
          </cell>
          <cell r="D2185" t="str">
            <v>CONNECTOR, FEMALE, 6 PIN, TROV 2</v>
          </cell>
          <cell r="E2185" t="str">
            <v>A</v>
          </cell>
          <cell r="F2185" t="str">
            <v>Connector</v>
          </cell>
          <cell r="G2185">
            <v>1</v>
          </cell>
          <cell r="H2185">
            <v>0</v>
          </cell>
          <cell r="I2185" t="str">
            <v>N/A</v>
          </cell>
        </row>
        <row r="2186">
          <cell r="A2186" t="str">
            <v>ASY-100014-02</v>
          </cell>
          <cell r="B2186">
            <v>3</v>
          </cell>
          <cell r="C2186" t="str">
            <v>ORG-000060-00</v>
          </cell>
          <cell r="D2186" t="str">
            <v>O-RING, CABLE, TROV 2</v>
          </cell>
          <cell r="E2186" t="str">
            <v>A</v>
          </cell>
          <cell r="F2186" t="str">
            <v>O-Ring</v>
          </cell>
          <cell r="G2186">
            <v>1</v>
          </cell>
          <cell r="H2186">
            <v>0</v>
          </cell>
          <cell r="I2186" t="str">
            <v>N/A</v>
          </cell>
        </row>
        <row r="2187">
          <cell r="A2187" t="str">
            <v>ASY-100014-02</v>
          </cell>
          <cell r="B2187">
            <v>3</v>
          </cell>
          <cell r="C2187" t="str">
            <v>SRF-000030-00</v>
          </cell>
          <cell r="D2187" t="str">
            <v>STRAIN RELIEF, CABLE, TROV 2</v>
          </cell>
          <cell r="E2187" t="str">
            <v>A</v>
          </cell>
          <cell r="F2187" t="str">
            <v>Strain Relief</v>
          </cell>
          <cell r="G2187">
            <v>1</v>
          </cell>
          <cell r="H2187">
            <v>0</v>
          </cell>
          <cell r="I2187" t="str">
            <v>N/A</v>
          </cell>
        </row>
        <row r="2188">
          <cell r="A2188" t="str">
            <v>ASY-100014-02</v>
          </cell>
          <cell r="B2188">
            <v>2</v>
          </cell>
          <cell r="C2188" t="str">
            <v>HSG-000488-01</v>
          </cell>
          <cell r="D2188" t="str">
            <v>HOUSING, PSU, 1 FT, MOLDED HOLE, TROV 2.0</v>
          </cell>
          <cell r="E2188" t="str">
            <v>B</v>
          </cell>
          <cell r="F2188" t="str">
            <v>Housing</v>
          </cell>
          <cell r="G2188">
            <v>1</v>
          </cell>
          <cell r="H2188">
            <v>1.17</v>
          </cell>
          <cell r="I2188" t="str">
            <v>Buy</v>
          </cell>
        </row>
        <row r="2189">
          <cell r="A2189" t="str">
            <v>ASY-100014-02</v>
          </cell>
          <cell r="B2189">
            <v>2</v>
          </cell>
          <cell r="C2189" t="str">
            <v>SCW-000577-00</v>
          </cell>
          <cell r="D2189" t="str">
            <v>SCREW, TORX HEAD, LOW PROFILE, M3X8mm, ALLOY STEEL</v>
          </cell>
          <cell r="E2189" t="str">
            <v>A</v>
          </cell>
          <cell r="F2189" t="str">
            <v>Screw</v>
          </cell>
          <cell r="G2189">
            <v>2</v>
          </cell>
          <cell r="H2189">
            <v>0.03</v>
          </cell>
          <cell r="I2189" t="str">
            <v>Buy</v>
          </cell>
        </row>
        <row r="2190">
          <cell r="A2190" t="str">
            <v>ASY-100014-02</v>
          </cell>
          <cell r="B2190">
            <v>1</v>
          </cell>
          <cell r="C2190" t="str">
            <v>BAS-000020-00</v>
          </cell>
          <cell r="D2190" t="str">
            <v>BASE, 1FT, TROV 2.0</v>
          </cell>
          <cell r="E2190" t="str">
            <v>E</v>
          </cell>
          <cell r="F2190" t="str">
            <v>Base</v>
          </cell>
          <cell r="G2190">
            <v>1</v>
          </cell>
          <cell r="H2190">
            <v>5.8</v>
          </cell>
          <cell r="I2190" t="str">
            <v>Buy</v>
          </cell>
        </row>
        <row r="2191">
          <cell r="A2191" t="str">
            <v>ASY-100014-02</v>
          </cell>
          <cell r="B2191">
            <v>1</v>
          </cell>
          <cell r="C2191" t="str">
            <v>BKT-000457-03</v>
          </cell>
          <cell r="D2191" t="str">
            <v>BRACKET, MOUNT, LEFT, BLACK, TROV 2.0</v>
          </cell>
          <cell r="E2191" t="str">
            <v>C</v>
          </cell>
          <cell r="F2191" t="str">
            <v>Bracket</v>
          </cell>
          <cell r="G2191">
            <v>1</v>
          </cell>
          <cell r="H2191">
            <v>0.99</v>
          </cell>
          <cell r="I2191" t="str">
            <v>Buy</v>
          </cell>
        </row>
        <row r="2192">
          <cell r="A2192" t="str">
            <v>ASY-100014-02</v>
          </cell>
          <cell r="B2192">
            <v>1</v>
          </cell>
          <cell r="C2192" t="str">
            <v>BKT-000458-03</v>
          </cell>
          <cell r="D2192" t="str">
            <v>BRACKET, MOUNT, RIGHT, BLACK, TROV 2.0</v>
          </cell>
          <cell r="E2192" t="str">
            <v>C</v>
          </cell>
          <cell r="F2192" t="str">
            <v>Bracket</v>
          </cell>
          <cell r="G2192">
            <v>1</v>
          </cell>
          <cell r="H2192">
            <v>0.99</v>
          </cell>
          <cell r="I2192" t="str">
            <v>Buy</v>
          </cell>
        </row>
        <row r="2193">
          <cell r="A2193" t="str">
            <v>ASY-100014-02</v>
          </cell>
          <cell r="B2193">
            <v>1</v>
          </cell>
          <cell r="C2193" t="str">
            <v>CVR-000791-02</v>
          </cell>
          <cell r="D2193" t="str">
            <v>END COVER, FC, BRONZE, L45, TROV 2.0</v>
          </cell>
          <cell r="E2193" t="str">
            <v>D</v>
          </cell>
          <cell r="F2193" t="str">
            <v>Cover</v>
          </cell>
          <cell r="G2193">
            <v>1</v>
          </cell>
          <cell r="H2193">
            <v>1.07</v>
          </cell>
          <cell r="I2193" t="str">
            <v>Buy</v>
          </cell>
        </row>
        <row r="2194">
          <cell r="A2194" t="str">
            <v>ASY-100014-02</v>
          </cell>
          <cell r="B2194">
            <v>1</v>
          </cell>
          <cell r="C2194" t="str">
            <v>CVR-000894-02</v>
          </cell>
          <cell r="D2194" t="str">
            <v>END COVER, MC, BRONZE, L45, TROV 2.0</v>
          </cell>
          <cell r="E2194" t="str">
            <v>B</v>
          </cell>
          <cell r="F2194" t="str">
            <v>Cover</v>
          </cell>
          <cell r="G2194">
            <v>1</v>
          </cell>
          <cell r="H2194">
            <v>1.07</v>
          </cell>
          <cell r="I2194" t="str">
            <v>Buy</v>
          </cell>
        </row>
        <row r="2195">
          <cell r="A2195" t="str">
            <v>ASY-100014-02</v>
          </cell>
          <cell r="B2195">
            <v>1</v>
          </cell>
          <cell r="C2195" t="str">
            <v>FOM-000029-00</v>
          </cell>
          <cell r="D2195" t="str">
            <v>FOAM, LIGHTBLOCK, ENDCAP, L45, TROV2</v>
          </cell>
          <cell r="E2195" t="str">
            <v>A</v>
          </cell>
          <cell r="F2195" t="str">
            <v>Foam</v>
          </cell>
          <cell r="G2195">
            <v>2</v>
          </cell>
          <cell r="H2195">
            <v>0.02</v>
          </cell>
          <cell r="I2195" t="str">
            <v>Buy</v>
          </cell>
        </row>
        <row r="2196">
          <cell r="A2196" t="str">
            <v>ASY-100014-02</v>
          </cell>
          <cell r="B2196">
            <v>1</v>
          </cell>
          <cell r="C2196" t="str">
            <v>GSK-000112-01</v>
          </cell>
          <cell r="D2196" t="str">
            <v>GASKET, TERTIARY LENS, 3M, 1 FT, L45, TROV 2.0</v>
          </cell>
          <cell r="E2196" t="str">
            <v>D</v>
          </cell>
          <cell r="F2196" t="str">
            <v>Gasket</v>
          </cell>
          <cell r="G2196">
            <v>1</v>
          </cell>
          <cell r="H2196">
            <v>1.75</v>
          </cell>
          <cell r="I2196" t="str">
            <v>Buy</v>
          </cell>
        </row>
        <row r="2197">
          <cell r="A2197" t="str">
            <v>ASY-100014-02</v>
          </cell>
          <cell r="B2197">
            <v>1</v>
          </cell>
          <cell r="C2197" t="str">
            <v>GSK-000121-01</v>
          </cell>
          <cell r="D2197" t="str">
            <v>GASKET, DRIVER ENCLOSURE, 3M, 1 FT, TROV 2.0</v>
          </cell>
          <cell r="E2197" t="str">
            <v>B</v>
          </cell>
          <cell r="F2197" t="str">
            <v>Gasket</v>
          </cell>
          <cell r="G2197">
            <v>1</v>
          </cell>
          <cell r="H2197">
            <v>1.7</v>
          </cell>
          <cell r="I2197" t="str">
            <v>Buy</v>
          </cell>
        </row>
        <row r="2198">
          <cell r="A2198" t="str">
            <v>ASY-100014-02</v>
          </cell>
          <cell r="B2198">
            <v>1</v>
          </cell>
          <cell r="C2198" t="str">
            <v>HSG-000491-02</v>
          </cell>
          <cell r="D2198" t="str">
            <v>HOUSING, TOP, 1 FT, L45, BRONZE, TROV 2.0</v>
          </cell>
          <cell r="E2198" t="str">
            <v>E</v>
          </cell>
          <cell r="F2198" t="str">
            <v>Housing</v>
          </cell>
          <cell r="G2198">
            <v>1</v>
          </cell>
          <cell r="H2198">
            <v>0</v>
          </cell>
          <cell r="I2198" t="str">
            <v>Buy</v>
          </cell>
        </row>
        <row r="2199">
          <cell r="A2199" t="str">
            <v>ASY-100014-02</v>
          </cell>
          <cell r="B2199">
            <v>1</v>
          </cell>
          <cell r="C2199" t="str">
            <v>HSG-000492-02</v>
          </cell>
          <cell r="D2199" t="str">
            <v>HOUSING, BOTTOM, 1 FT, BRONZE, TROV 2.0</v>
          </cell>
          <cell r="E2199" t="str">
            <v>F</v>
          </cell>
          <cell r="F2199" t="str">
            <v>Housing</v>
          </cell>
          <cell r="G2199">
            <v>1</v>
          </cell>
          <cell r="H2199">
            <v>3.34</v>
          </cell>
          <cell r="I2199" t="str">
            <v>Buy</v>
          </cell>
        </row>
        <row r="2200">
          <cell r="A2200" t="str">
            <v>ASY-100014-02</v>
          </cell>
          <cell r="B2200">
            <v>1</v>
          </cell>
          <cell r="C2200" t="str">
            <v>LBA-000003-00</v>
          </cell>
          <cell r="D2200" t="str">
            <v>Label: TROV 2 P1/P2, Model L45/L60</v>
          </cell>
          <cell r="E2200" t="str">
            <v>A</v>
          </cell>
          <cell r="F2200" t="str">
            <v>Label BOM</v>
          </cell>
          <cell r="G2200">
            <v>1</v>
          </cell>
          <cell r="H2200">
            <v>0</v>
          </cell>
          <cell r="I2200" t="str">
            <v>Make</v>
          </cell>
        </row>
        <row r="2201">
          <cell r="A2201" t="str">
            <v>ASY-100014-02</v>
          </cell>
          <cell r="B2201">
            <v>2</v>
          </cell>
          <cell r="C2201" t="str">
            <v>LBL-000243-00</v>
          </cell>
          <cell r="D2201" t="str">
            <v>Blank Product Label: Trov 2 P1/P2, Model L45/L60</v>
          </cell>
          <cell r="E2201" t="str">
            <v>A</v>
          </cell>
          <cell r="F2201" t="str">
            <v>Label</v>
          </cell>
          <cell r="G2201">
            <v>1</v>
          </cell>
          <cell r="H2201">
            <v>0.33</v>
          </cell>
          <cell r="I2201" t="str">
            <v>Buy</v>
          </cell>
        </row>
        <row r="2202">
          <cell r="A2202" t="str">
            <v>ASY-100014-02</v>
          </cell>
          <cell r="B2202">
            <v>1</v>
          </cell>
          <cell r="C2202" t="str">
            <v>PLG-000009-01</v>
          </cell>
          <cell r="D2202" t="str">
            <v>Porex Vent, Trov, L50 Exterior</v>
          </cell>
          <cell r="E2202" t="str">
            <v>B</v>
          </cell>
          <cell r="F2202" t="str">
            <v>Plug</v>
          </cell>
          <cell r="G2202">
            <v>1</v>
          </cell>
          <cell r="H2202">
            <v>0.17</v>
          </cell>
          <cell r="I2202" t="str">
            <v>Buy</v>
          </cell>
        </row>
        <row r="2203">
          <cell r="A2203" t="str">
            <v>ASY-100014-02</v>
          </cell>
          <cell r="B2203">
            <v>1</v>
          </cell>
          <cell r="C2203" t="str">
            <v>SCW-000156-00</v>
          </cell>
          <cell r="D2203" t="str">
            <v>SCREW, M3 x 0.5 X 8mm, PAND HEAD, PHILLIPS, STEEL</v>
          </cell>
          <cell r="E2203" t="str">
            <v>B</v>
          </cell>
          <cell r="F2203" t="str">
            <v>Screw</v>
          </cell>
          <cell r="G2203">
            <v>2</v>
          </cell>
          <cell r="H2203">
            <v>4.4400000000000002E-2</v>
          </cell>
          <cell r="I2203" t="str">
            <v>Buy</v>
          </cell>
        </row>
        <row r="2204">
          <cell r="A2204" t="str">
            <v>ASY-100014-02</v>
          </cell>
          <cell r="B2204">
            <v>1</v>
          </cell>
          <cell r="C2204" t="str">
            <v>SCW-000483-00</v>
          </cell>
          <cell r="D2204" t="str">
            <v>SCREW, PHILIPS FLAT HEAD, M2.5x0.45x5 , 18-8 SST</v>
          </cell>
          <cell r="E2204" t="str">
            <v>A</v>
          </cell>
          <cell r="F2204" t="str">
            <v>Screw</v>
          </cell>
          <cell r="G2204">
            <v>4</v>
          </cell>
          <cell r="H2204">
            <v>0.02</v>
          </cell>
          <cell r="I2204" t="str">
            <v>Buy</v>
          </cell>
        </row>
        <row r="2205">
          <cell r="A2205" t="str">
            <v>ASY-100014-02</v>
          </cell>
          <cell r="B2205">
            <v>1</v>
          </cell>
          <cell r="C2205" t="str">
            <v>SCW-000556-00</v>
          </cell>
          <cell r="D2205" t="str">
            <v>SCREW, HEX, SERRATED, #8-32, GROUNDING, TROV 2</v>
          </cell>
          <cell r="E2205" t="str">
            <v>A</v>
          </cell>
          <cell r="F2205" t="str">
            <v>Screw</v>
          </cell>
          <cell r="G2205">
            <v>1</v>
          </cell>
          <cell r="H2205">
            <v>0.04</v>
          </cell>
          <cell r="I2205" t="str">
            <v>Buy</v>
          </cell>
        </row>
        <row r="2206">
          <cell r="A2206" t="str">
            <v>ASY-100014-02</v>
          </cell>
          <cell r="B2206">
            <v>1</v>
          </cell>
          <cell r="C2206" t="str">
            <v>SCW-000574-00</v>
          </cell>
          <cell r="D2206" t="str">
            <v>SCREW, TORX HEAD, 1/4-28x1/2", LOW PROFILE, ALLOY STEEL</v>
          </cell>
          <cell r="E2206" t="str">
            <v>A</v>
          </cell>
          <cell r="F2206" t="str">
            <v>Screw</v>
          </cell>
          <cell r="G2206">
            <v>2</v>
          </cell>
          <cell r="H2206">
            <v>0.14000000000000001</v>
          </cell>
          <cell r="I2206" t="str">
            <v>Buy</v>
          </cell>
        </row>
        <row r="2207">
          <cell r="A2207" t="str">
            <v>ASY-100014-02</v>
          </cell>
          <cell r="B2207">
            <v>1</v>
          </cell>
          <cell r="C2207" t="str">
            <v>SHT-000042-00</v>
          </cell>
          <cell r="D2207" t="str">
            <v>INSULATION SHEET, MP/LP HBA, TROV 2</v>
          </cell>
          <cell r="E2207" t="str">
            <v>D</v>
          </cell>
          <cell r="F2207" t="str">
            <v>Sheet</v>
          </cell>
          <cell r="G2207">
            <v>1</v>
          </cell>
          <cell r="H2207">
            <v>0.16</v>
          </cell>
          <cell r="I2207" t="str">
            <v>Buy</v>
          </cell>
        </row>
        <row r="2208">
          <cell r="A2208" t="str">
            <v>ASY-100014-02</v>
          </cell>
          <cell r="B2208">
            <v>1</v>
          </cell>
          <cell r="C2208" t="str">
            <v>SPG-000023-00</v>
          </cell>
          <cell r="D2208" t="str">
            <v>SPRING, DISC, STACKED WAVE, TROV 2.0</v>
          </cell>
          <cell r="E2208" t="str">
            <v>A</v>
          </cell>
          <cell r="F2208" t="str">
            <v>Spring</v>
          </cell>
          <cell r="G2208">
            <v>2</v>
          </cell>
          <cell r="H2208">
            <v>1.74</v>
          </cell>
          <cell r="I2208" t="str">
            <v>Buy</v>
          </cell>
        </row>
        <row r="2209">
          <cell r="A2209" t="str">
            <v>ASY-100014-02</v>
          </cell>
          <cell r="B2209">
            <v>1</v>
          </cell>
          <cell r="C2209" t="str">
            <v>TAP-000031-00</v>
          </cell>
          <cell r="D2209" t="str">
            <v>3M Electrical Tape 92</v>
          </cell>
          <cell r="E2209" t="str">
            <v>A</v>
          </cell>
          <cell r="F2209" t="str">
            <v>Tape</v>
          </cell>
          <cell r="G2209">
            <v>120</v>
          </cell>
          <cell r="H2209">
            <v>1.4E-2</v>
          </cell>
          <cell r="I2209" t="str">
            <v>Buy</v>
          </cell>
        </row>
        <row r="2210">
          <cell r="A2210" t="str">
            <v>ASY-100014-02</v>
          </cell>
          <cell r="B2210">
            <v>1</v>
          </cell>
          <cell r="C2210" t="str">
            <v>TMP-000027-00</v>
          </cell>
          <cell r="D2210" t="str">
            <v>Thermal Pad, LED PCBA, 1 FT, TROV 2</v>
          </cell>
          <cell r="E2210" t="str">
            <v>B</v>
          </cell>
          <cell r="F2210" t="str">
            <v>Thermal Pad</v>
          </cell>
          <cell r="G2210">
            <v>1</v>
          </cell>
          <cell r="H2210">
            <v>0.72</v>
          </cell>
          <cell r="I2210" t="str">
            <v>Buy</v>
          </cell>
        </row>
        <row r="2211">
          <cell r="A2211" t="str">
            <v>ASY-100014-02</v>
          </cell>
          <cell r="B2211">
            <v>1</v>
          </cell>
          <cell r="C2211" t="str">
            <v>TMP-000029-00</v>
          </cell>
          <cell r="D2211" t="str">
            <v>Thermal Pad, HBA, TROV 2</v>
          </cell>
          <cell r="E2211" t="str">
            <v>B</v>
          </cell>
          <cell r="F2211" t="str">
            <v>Thermal Pad</v>
          </cell>
          <cell r="G2211">
            <v>2</v>
          </cell>
          <cell r="H2211">
            <v>0.14000000000000001</v>
          </cell>
          <cell r="I2211" t="str">
            <v>Buy</v>
          </cell>
        </row>
        <row r="2212">
          <cell r="A2212" t="str">
            <v>ASY-100014-02</v>
          </cell>
          <cell r="B2212">
            <v>1</v>
          </cell>
          <cell r="C2212" t="str">
            <v>TMP-000032-00</v>
          </cell>
          <cell r="D2212" t="str">
            <v>Thermal Pad, HBA, TROV 2</v>
          </cell>
          <cell r="E2212" t="str">
            <v>A</v>
          </cell>
          <cell r="F2212" t="str">
            <v>Thermal Pad</v>
          </cell>
          <cell r="G2212">
            <v>1</v>
          </cell>
          <cell r="H2212">
            <v>0.03</v>
          </cell>
          <cell r="I2212" t="str">
            <v>Buy</v>
          </cell>
        </row>
        <row r="2213">
          <cell r="A2213" t="str">
            <v>ASY-100014-03</v>
          </cell>
          <cell r="B2213">
            <v>0</v>
          </cell>
          <cell r="C2213" t="str">
            <v>ASY-100014-03</v>
          </cell>
          <cell r="D2213" t="str">
            <v>ASSY, MECHANICAL, L45, INDOOR, 1 FT, TROV2P2, DYNAMIC, BLACK</v>
          </cell>
          <cell r="E2213" t="str">
            <v>A</v>
          </cell>
          <cell r="F2213" t="str">
            <v>Sub assembly</v>
          </cell>
          <cell r="H2213">
            <v>0</v>
          </cell>
          <cell r="I2213" t="str">
            <v>Make</v>
          </cell>
        </row>
        <row r="2214">
          <cell r="A2214" t="str">
            <v>ASY-100014-03</v>
          </cell>
          <cell r="B2214">
            <v>1</v>
          </cell>
          <cell r="C2214" t="str">
            <v>ACB-000275-00</v>
          </cell>
          <cell r="D2214" t="str">
            <v>CABLE, CANBUS, SHORT, TROV 2</v>
          </cell>
          <cell r="E2214" t="str">
            <v>A</v>
          </cell>
          <cell r="F2214" t="str">
            <v>Cable</v>
          </cell>
          <cell r="G2214">
            <v>1</v>
          </cell>
          <cell r="H2214">
            <v>0.7</v>
          </cell>
          <cell r="I2214" t="str">
            <v>Buy</v>
          </cell>
        </row>
        <row r="2215">
          <cell r="A2215" t="str">
            <v>ASY-100014-03</v>
          </cell>
          <cell r="B2215">
            <v>1</v>
          </cell>
          <cell r="C2215" t="str">
            <v>ASY-100009-00</v>
          </cell>
          <cell r="D2215" t="str">
            <v>Cable Subassembly, Driver housing, 1ft, Trov 2</v>
          </cell>
          <cell r="E2215" t="str">
            <v>B</v>
          </cell>
          <cell r="F2215" t="str">
            <v>Sub assembly</v>
          </cell>
          <cell r="G2215">
            <v>1</v>
          </cell>
          <cell r="H2215">
            <v>0</v>
          </cell>
          <cell r="I2215" t="str">
            <v>Make</v>
          </cell>
        </row>
        <row r="2216">
          <cell r="A2216" t="str">
            <v>ASY-100014-03</v>
          </cell>
          <cell r="B2216">
            <v>2</v>
          </cell>
          <cell r="C2216" t="str">
            <v>ACB-000278-00</v>
          </cell>
          <cell r="D2216" t="str">
            <v>CABLE ASSY, INTRA-FIXTURE, 1FT, TROV 2.0</v>
          </cell>
          <cell r="E2216" t="str">
            <v>A</v>
          </cell>
          <cell r="F2216" t="str">
            <v>Cable Assembly</v>
          </cell>
          <cell r="G2216">
            <v>1</v>
          </cell>
          <cell r="H2216">
            <v>12.75</v>
          </cell>
          <cell r="I2216" t="str">
            <v>Buy</v>
          </cell>
        </row>
        <row r="2217">
          <cell r="A2217" t="str">
            <v>ASY-100014-03</v>
          </cell>
          <cell r="B2217">
            <v>3</v>
          </cell>
          <cell r="C2217" t="str">
            <v>ACB-000273-00</v>
          </cell>
          <cell r="D2217" t="str">
            <v>6 CONDUCTOR CABLE, 3X22AWG, 3X16AWG, AL MYLAR, TROV 2</v>
          </cell>
          <cell r="E2217" t="str">
            <v>A</v>
          </cell>
          <cell r="F2217" t="str">
            <v>Cable</v>
          </cell>
          <cell r="G2217">
            <v>1</v>
          </cell>
          <cell r="H2217">
            <v>0</v>
          </cell>
          <cell r="I2217" t="str">
            <v>N/A</v>
          </cell>
        </row>
        <row r="2218">
          <cell r="A2218" t="str">
            <v>ASY-100014-03</v>
          </cell>
          <cell r="B2218">
            <v>3</v>
          </cell>
          <cell r="C2218" t="str">
            <v>ACB-000274-01</v>
          </cell>
          <cell r="D2218" t="str">
            <v>CABLE ASSEMBLY, INTERNAL, DRIVER SIDE, 1FT, TROV 2</v>
          </cell>
          <cell r="E2218" t="str">
            <v>A</v>
          </cell>
          <cell r="F2218" t="str">
            <v>Cable Assembly</v>
          </cell>
          <cell r="G2218">
            <v>1</v>
          </cell>
          <cell r="H2218">
            <v>0</v>
          </cell>
          <cell r="I2218" t="str">
            <v>N/A</v>
          </cell>
        </row>
        <row r="2219">
          <cell r="A2219" t="str">
            <v>ASY-100014-03</v>
          </cell>
          <cell r="B2219">
            <v>3</v>
          </cell>
          <cell r="C2219" t="str">
            <v>CON-000259-00</v>
          </cell>
          <cell r="D2219" t="str">
            <v>CONNECTOR, MALE, 6 PIN, TROV 2</v>
          </cell>
          <cell r="E2219" t="str">
            <v>B</v>
          </cell>
          <cell r="F2219" t="str">
            <v>Connector</v>
          </cell>
          <cell r="G2219">
            <v>1</v>
          </cell>
          <cell r="H2219">
            <v>0</v>
          </cell>
          <cell r="I2219" t="str">
            <v>N/A</v>
          </cell>
        </row>
        <row r="2220">
          <cell r="A2220" t="str">
            <v>ASY-100014-03</v>
          </cell>
          <cell r="B2220">
            <v>3</v>
          </cell>
          <cell r="C2220" t="str">
            <v>CON-000260-00</v>
          </cell>
          <cell r="D2220" t="str">
            <v>CONNECTOR, FEMALE, 6 PIN, TROV 2</v>
          </cell>
          <cell r="E2220" t="str">
            <v>A</v>
          </cell>
          <cell r="F2220" t="str">
            <v>Connector</v>
          </cell>
          <cell r="G2220">
            <v>1</v>
          </cell>
          <cell r="H2220">
            <v>0</v>
          </cell>
          <cell r="I2220" t="str">
            <v>N/A</v>
          </cell>
        </row>
        <row r="2221">
          <cell r="A2221" t="str">
            <v>ASY-100014-03</v>
          </cell>
          <cell r="B2221">
            <v>3</v>
          </cell>
          <cell r="C2221" t="str">
            <v>ORG-000060-00</v>
          </cell>
          <cell r="D2221" t="str">
            <v>O-RING, CABLE, TROV 2</v>
          </cell>
          <cell r="E2221" t="str">
            <v>A</v>
          </cell>
          <cell r="F2221" t="str">
            <v>O-Ring</v>
          </cell>
          <cell r="G2221">
            <v>1</v>
          </cell>
          <cell r="H2221">
            <v>0</v>
          </cell>
          <cell r="I2221" t="str">
            <v>N/A</v>
          </cell>
        </row>
        <row r="2222">
          <cell r="A2222" t="str">
            <v>ASY-100014-03</v>
          </cell>
          <cell r="B2222">
            <v>3</v>
          </cell>
          <cell r="C2222" t="str">
            <v>SRF-000030-00</v>
          </cell>
          <cell r="D2222" t="str">
            <v>STRAIN RELIEF, CABLE, TROV 2</v>
          </cell>
          <cell r="E2222" t="str">
            <v>A</v>
          </cell>
          <cell r="F2222" t="str">
            <v>Strain Relief</v>
          </cell>
          <cell r="G2222">
            <v>1</v>
          </cell>
          <cell r="H2222">
            <v>0</v>
          </cell>
          <cell r="I2222" t="str">
            <v>N/A</v>
          </cell>
        </row>
        <row r="2223">
          <cell r="A2223" t="str">
            <v>ASY-100014-03</v>
          </cell>
          <cell r="B2223">
            <v>2</v>
          </cell>
          <cell r="C2223" t="str">
            <v>HSG-000488-01</v>
          </cell>
          <cell r="D2223" t="str">
            <v>HOUSING, PSU, 1 FT, MOLDED HOLE, TROV 2.0</v>
          </cell>
          <cell r="E2223" t="str">
            <v>B</v>
          </cell>
          <cell r="F2223" t="str">
            <v>Housing</v>
          </cell>
          <cell r="G2223">
            <v>1</v>
          </cell>
          <cell r="H2223">
            <v>1.17</v>
          </cell>
          <cell r="I2223" t="str">
            <v>Buy</v>
          </cell>
        </row>
        <row r="2224">
          <cell r="A2224" t="str">
            <v>ASY-100014-03</v>
          </cell>
          <cell r="B2224">
            <v>2</v>
          </cell>
          <cell r="C2224" t="str">
            <v>SCW-000577-00</v>
          </cell>
          <cell r="D2224" t="str">
            <v>SCREW, TORX HEAD, LOW PROFILE, M3X8mm, ALLOY STEEL</v>
          </cell>
          <cell r="E2224" t="str">
            <v>A</v>
          </cell>
          <cell r="F2224" t="str">
            <v>Screw</v>
          </cell>
          <cell r="G2224">
            <v>2</v>
          </cell>
          <cell r="H2224">
            <v>0.03</v>
          </cell>
          <cell r="I2224" t="str">
            <v>Buy</v>
          </cell>
        </row>
        <row r="2225">
          <cell r="A2225" t="str">
            <v>ASY-100014-03</v>
          </cell>
          <cell r="B2225">
            <v>1</v>
          </cell>
          <cell r="C2225" t="str">
            <v>BAS-000020-00</v>
          </cell>
          <cell r="D2225" t="str">
            <v>BASE, 1FT, TROV 2.0</v>
          </cell>
          <cell r="E2225" t="str">
            <v>E</v>
          </cell>
          <cell r="F2225" t="str">
            <v>Base</v>
          </cell>
          <cell r="G2225">
            <v>1</v>
          </cell>
          <cell r="H2225">
            <v>5.8</v>
          </cell>
          <cell r="I2225" t="str">
            <v>Buy</v>
          </cell>
        </row>
        <row r="2226">
          <cell r="A2226" t="str">
            <v>ASY-100014-03</v>
          </cell>
          <cell r="B2226">
            <v>1</v>
          </cell>
          <cell r="C2226" t="str">
            <v>BKT-000457-03</v>
          </cell>
          <cell r="D2226" t="str">
            <v>BRACKET, MOUNT, LEFT, BLACK, TROV 2.0</v>
          </cell>
          <cell r="E2226" t="str">
            <v>C</v>
          </cell>
          <cell r="F2226" t="str">
            <v>Bracket</v>
          </cell>
          <cell r="G2226">
            <v>1</v>
          </cell>
          <cell r="H2226">
            <v>0.99</v>
          </cell>
          <cell r="I2226" t="str">
            <v>Buy</v>
          </cell>
        </row>
        <row r="2227">
          <cell r="A2227" t="str">
            <v>ASY-100014-03</v>
          </cell>
          <cell r="B2227">
            <v>1</v>
          </cell>
          <cell r="C2227" t="str">
            <v>BKT-000458-03</v>
          </cell>
          <cell r="D2227" t="str">
            <v>BRACKET, MOUNT, RIGHT, BLACK, TROV 2.0</v>
          </cell>
          <cell r="E2227" t="str">
            <v>C</v>
          </cell>
          <cell r="F2227" t="str">
            <v>Bracket</v>
          </cell>
          <cell r="G2227">
            <v>1</v>
          </cell>
          <cell r="H2227">
            <v>0.99</v>
          </cell>
          <cell r="I2227" t="str">
            <v>Buy</v>
          </cell>
        </row>
        <row r="2228">
          <cell r="A2228" t="str">
            <v>ASY-100014-03</v>
          </cell>
          <cell r="B2228">
            <v>1</v>
          </cell>
          <cell r="C2228" t="str">
            <v>CVR-000791-03</v>
          </cell>
          <cell r="D2228" t="str">
            <v>END COVER, FC, BLACK, L45, TROV 2.0</v>
          </cell>
          <cell r="E2228" t="str">
            <v>D</v>
          </cell>
          <cell r="F2228" t="str">
            <v>Cover</v>
          </cell>
          <cell r="G2228">
            <v>1</v>
          </cell>
          <cell r="H2228">
            <v>1.07</v>
          </cell>
          <cell r="I2228" t="str">
            <v>Buy</v>
          </cell>
        </row>
        <row r="2229">
          <cell r="A2229" t="str">
            <v>ASY-100014-03</v>
          </cell>
          <cell r="B2229">
            <v>1</v>
          </cell>
          <cell r="C2229" t="str">
            <v>CVR-000894-03</v>
          </cell>
          <cell r="D2229" t="str">
            <v>END COVER, MC, BLACK, L45, TROV 2.0</v>
          </cell>
          <cell r="E2229" t="str">
            <v>B</v>
          </cell>
          <cell r="F2229" t="str">
            <v>Cover</v>
          </cell>
          <cell r="G2229">
            <v>1</v>
          </cell>
          <cell r="H2229">
            <v>1.07</v>
          </cell>
          <cell r="I2229" t="str">
            <v>Buy</v>
          </cell>
        </row>
        <row r="2230">
          <cell r="A2230" t="str">
            <v>ASY-100014-03</v>
          </cell>
          <cell r="B2230">
            <v>1</v>
          </cell>
          <cell r="C2230" t="str">
            <v>FOM-000029-00</v>
          </cell>
          <cell r="D2230" t="str">
            <v>FOAM, LIGHTBLOCK, ENDCAP, L45, TROV2</v>
          </cell>
          <cell r="E2230" t="str">
            <v>A</v>
          </cell>
          <cell r="F2230" t="str">
            <v>Foam</v>
          </cell>
          <cell r="G2230">
            <v>2</v>
          </cell>
          <cell r="H2230">
            <v>0.02</v>
          </cell>
          <cell r="I2230" t="str">
            <v>Buy</v>
          </cell>
        </row>
        <row r="2231">
          <cell r="A2231" t="str">
            <v>ASY-100014-03</v>
          </cell>
          <cell r="B2231">
            <v>1</v>
          </cell>
          <cell r="C2231" t="str">
            <v>GSK-000112-01</v>
          </cell>
          <cell r="D2231" t="str">
            <v>GASKET, TERTIARY LENS, 3M, 1 FT, L45, TROV 2.0</v>
          </cell>
          <cell r="E2231" t="str">
            <v>D</v>
          </cell>
          <cell r="F2231" t="str">
            <v>Gasket</v>
          </cell>
          <cell r="G2231">
            <v>1</v>
          </cell>
          <cell r="H2231">
            <v>1.75</v>
          </cell>
          <cell r="I2231" t="str">
            <v>Buy</v>
          </cell>
        </row>
        <row r="2232">
          <cell r="A2232" t="str">
            <v>ASY-100014-03</v>
          </cell>
          <cell r="B2232">
            <v>1</v>
          </cell>
          <cell r="C2232" t="str">
            <v>GSK-000121-01</v>
          </cell>
          <cell r="D2232" t="str">
            <v>GASKET, DRIVER ENCLOSURE, 3M, 1 FT, TROV 2.0</v>
          </cell>
          <cell r="E2232" t="str">
            <v>B</v>
          </cell>
          <cell r="F2232" t="str">
            <v>Gasket</v>
          </cell>
          <cell r="G2232">
            <v>1</v>
          </cell>
          <cell r="H2232">
            <v>1.7</v>
          </cell>
          <cell r="I2232" t="str">
            <v>Buy</v>
          </cell>
        </row>
        <row r="2233">
          <cell r="A2233" t="str">
            <v>ASY-100014-03</v>
          </cell>
          <cell r="B2233">
            <v>1</v>
          </cell>
          <cell r="C2233" t="str">
            <v>HSG-000491-03</v>
          </cell>
          <cell r="D2233" t="str">
            <v>HOUSING, TOP, 1 FT, L45, BLACK, TROV 2.0</v>
          </cell>
          <cell r="E2233" t="str">
            <v>E</v>
          </cell>
          <cell r="F2233" t="str">
            <v>Housing</v>
          </cell>
          <cell r="G2233">
            <v>1</v>
          </cell>
          <cell r="H2233">
            <v>4.3499999999999996</v>
          </cell>
          <cell r="I2233" t="str">
            <v>Buy</v>
          </cell>
        </row>
        <row r="2234">
          <cell r="A2234" t="str">
            <v>ASY-100014-03</v>
          </cell>
          <cell r="B2234">
            <v>1</v>
          </cell>
          <cell r="C2234" t="str">
            <v>HSG-000492-03</v>
          </cell>
          <cell r="D2234" t="str">
            <v>HOUSING, BOTTOM, 1 FT, BLACK, TROV 2.0</v>
          </cell>
          <cell r="E2234" t="str">
            <v>F</v>
          </cell>
          <cell r="F2234" t="str">
            <v>Housing</v>
          </cell>
          <cell r="G2234">
            <v>1</v>
          </cell>
          <cell r="H2234">
            <v>3.22</v>
          </cell>
          <cell r="I2234" t="str">
            <v>Buy</v>
          </cell>
        </row>
        <row r="2235">
          <cell r="A2235" t="str">
            <v>ASY-100014-03</v>
          </cell>
          <cell r="B2235">
            <v>1</v>
          </cell>
          <cell r="C2235" t="str">
            <v>LBA-000003-00</v>
          </cell>
          <cell r="D2235" t="str">
            <v>Label: TROV 2 P1/P2, Model L45/L60</v>
          </cell>
          <cell r="E2235" t="str">
            <v>A</v>
          </cell>
          <cell r="F2235" t="str">
            <v>Label BOM</v>
          </cell>
          <cell r="G2235">
            <v>1</v>
          </cell>
          <cell r="H2235">
            <v>0</v>
          </cell>
          <cell r="I2235" t="str">
            <v>Make</v>
          </cell>
        </row>
        <row r="2236">
          <cell r="A2236" t="str">
            <v>ASY-100014-03</v>
          </cell>
          <cell r="B2236">
            <v>2</v>
          </cell>
          <cell r="C2236" t="str">
            <v>LBL-000243-00</v>
          </cell>
          <cell r="D2236" t="str">
            <v>Blank Product Label: Trov 2 P1/P2, Model L45/L60</v>
          </cell>
          <cell r="E2236" t="str">
            <v>A</v>
          </cell>
          <cell r="F2236" t="str">
            <v>Label</v>
          </cell>
          <cell r="G2236">
            <v>1</v>
          </cell>
          <cell r="H2236">
            <v>0.33</v>
          </cell>
          <cell r="I2236" t="str">
            <v>Buy</v>
          </cell>
        </row>
        <row r="2237">
          <cell r="A2237" t="str">
            <v>ASY-100014-03</v>
          </cell>
          <cell r="B2237">
            <v>1</v>
          </cell>
          <cell r="C2237" t="str">
            <v>PLG-000009-01</v>
          </cell>
          <cell r="D2237" t="str">
            <v>Porex Vent, Trov, L50 Exterior</v>
          </cell>
          <cell r="E2237" t="str">
            <v>B</v>
          </cell>
          <cell r="F2237" t="str">
            <v>Plug</v>
          </cell>
          <cell r="G2237">
            <v>1</v>
          </cell>
          <cell r="H2237">
            <v>0.17</v>
          </cell>
          <cell r="I2237" t="str">
            <v>Buy</v>
          </cell>
        </row>
        <row r="2238">
          <cell r="A2238" t="str">
            <v>ASY-100014-03</v>
          </cell>
          <cell r="B2238">
            <v>1</v>
          </cell>
          <cell r="C2238" t="str">
            <v>SCW-000156-00</v>
          </cell>
          <cell r="D2238" t="str">
            <v>SCREW, M3 x 0.5 X 8mm, PAND HEAD, PHILLIPS, STEEL</v>
          </cell>
          <cell r="E2238" t="str">
            <v>B</v>
          </cell>
          <cell r="F2238" t="str">
            <v>Screw</v>
          </cell>
          <cell r="G2238">
            <v>2</v>
          </cell>
          <cell r="H2238">
            <v>4.4400000000000002E-2</v>
          </cell>
          <cell r="I2238" t="str">
            <v>Buy</v>
          </cell>
        </row>
        <row r="2239">
          <cell r="A2239" t="str">
            <v>ASY-100014-03</v>
          </cell>
          <cell r="B2239">
            <v>1</v>
          </cell>
          <cell r="C2239" t="str">
            <v>SCW-000483-00</v>
          </cell>
          <cell r="D2239" t="str">
            <v>SCREW, PHILIPS FLAT HEAD, M2.5x0.45x5 , 18-8 SST</v>
          </cell>
          <cell r="E2239" t="str">
            <v>A</v>
          </cell>
          <cell r="F2239" t="str">
            <v>Screw</v>
          </cell>
          <cell r="G2239">
            <v>4</v>
          </cell>
          <cell r="H2239">
            <v>0.02</v>
          </cell>
          <cell r="I2239" t="str">
            <v>Buy</v>
          </cell>
        </row>
        <row r="2240">
          <cell r="A2240" t="str">
            <v>ASY-100014-03</v>
          </cell>
          <cell r="B2240">
            <v>1</v>
          </cell>
          <cell r="C2240" t="str">
            <v>SCW-000556-00</v>
          </cell>
          <cell r="D2240" t="str">
            <v>SCREW, HEX, SERRATED, #8-32, GROUNDING, TROV 2</v>
          </cell>
          <cell r="E2240" t="str">
            <v>A</v>
          </cell>
          <cell r="F2240" t="str">
            <v>Screw</v>
          </cell>
          <cell r="G2240">
            <v>1</v>
          </cell>
          <cell r="H2240">
            <v>0.04</v>
          </cell>
          <cell r="I2240" t="str">
            <v>Buy</v>
          </cell>
        </row>
        <row r="2241">
          <cell r="A2241" t="str">
            <v>ASY-100014-03</v>
          </cell>
          <cell r="B2241">
            <v>1</v>
          </cell>
          <cell r="C2241" t="str">
            <v>SCW-000574-00</v>
          </cell>
          <cell r="D2241" t="str">
            <v>SCREW, TORX HEAD, 1/4-28x1/2", LOW PROFILE, ALLOY STEEL</v>
          </cell>
          <cell r="E2241" t="str">
            <v>A</v>
          </cell>
          <cell r="F2241" t="str">
            <v>Screw</v>
          </cell>
          <cell r="G2241">
            <v>2</v>
          </cell>
          <cell r="H2241">
            <v>0.14000000000000001</v>
          </cell>
          <cell r="I2241" t="str">
            <v>Buy</v>
          </cell>
        </row>
        <row r="2242">
          <cell r="A2242" t="str">
            <v>ASY-100014-03</v>
          </cell>
          <cell r="B2242">
            <v>1</v>
          </cell>
          <cell r="C2242" t="str">
            <v>SHT-000042-00</v>
          </cell>
          <cell r="D2242" t="str">
            <v>INSULATION SHEET, MP/LP HBA, TROV 2</v>
          </cell>
          <cell r="E2242" t="str">
            <v>D</v>
          </cell>
          <cell r="F2242" t="str">
            <v>Sheet</v>
          </cell>
          <cell r="G2242">
            <v>1</v>
          </cell>
          <cell r="H2242">
            <v>0.16</v>
          </cell>
          <cell r="I2242" t="str">
            <v>Buy</v>
          </cell>
        </row>
        <row r="2243">
          <cell r="A2243" t="str">
            <v>ASY-100014-03</v>
          </cell>
          <cell r="B2243">
            <v>1</v>
          </cell>
          <cell r="C2243" t="str">
            <v>SPG-000023-00</v>
          </cell>
          <cell r="D2243" t="str">
            <v>SPRING, DISC, STACKED WAVE, TROV 2.0</v>
          </cell>
          <cell r="E2243" t="str">
            <v>A</v>
          </cell>
          <cell r="F2243" t="str">
            <v>Spring</v>
          </cell>
          <cell r="G2243">
            <v>2</v>
          </cell>
          <cell r="H2243">
            <v>1.74</v>
          </cell>
          <cell r="I2243" t="str">
            <v>Buy</v>
          </cell>
        </row>
        <row r="2244">
          <cell r="A2244" t="str">
            <v>ASY-100014-03</v>
          </cell>
          <cell r="B2244">
            <v>1</v>
          </cell>
          <cell r="C2244" t="str">
            <v>TAP-000031-00</v>
          </cell>
          <cell r="D2244" t="str">
            <v>3M Electrical Tape 92</v>
          </cell>
          <cell r="E2244" t="str">
            <v>A</v>
          </cell>
          <cell r="F2244" t="str">
            <v>Tape</v>
          </cell>
          <cell r="G2244">
            <v>120</v>
          </cell>
          <cell r="H2244">
            <v>1.4E-2</v>
          </cell>
          <cell r="I2244" t="str">
            <v>Buy</v>
          </cell>
        </row>
        <row r="2245">
          <cell r="A2245" t="str">
            <v>ASY-100014-03</v>
          </cell>
          <cell r="B2245">
            <v>1</v>
          </cell>
          <cell r="C2245" t="str">
            <v>TMP-000027-00</v>
          </cell>
          <cell r="D2245" t="str">
            <v>Thermal Pad, LED PCBA, 1 FT, TROV 2</v>
          </cell>
          <cell r="E2245" t="str">
            <v>B</v>
          </cell>
          <cell r="F2245" t="str">
            <v>Thermal Pad</v>
          </cell>
          <cell r="G2245">
            <v>1</v>
          </cell>
          <cell r="H2245">
            <v>0.72</v>
          </cell>
          <cell r="I2245" t="str">
            <v>Buy</v>
          </cell>
        </row>
        <row r="2246">
          <cell r="A2246" t="str">
            <v>ASY-100014-03</v>
          </cell>
          <cell r="B2246">
            <v>1</v>
          </cell>
          <cell r="C2246" t="str">
            <v>TMP-000029-00</v>
          </cell>
          <cell r="D2246" t="str">
            <v>Thermal Pad, HBA, TROV 2</v>
          </cell>
          <cell r="E2246" t="str">
            <v>B</v>
          </cell>
          <cell r="F2246" t="str">
            <v>Thermal Pad</v>
          </cell>
          <cell r="G2246">
            <v>2</v>
          </cell>
          <cell r="H2246">
            <v>0.14000000000000001</v>
          </cell>
          <cell r="I2246" t="str">
            <v>Buy</v>
          </cell>
        </row>
        <row r="2247">
          <cell r="A2247" t="str">
            <v>ASY-100014-03</v>
          </cell>
          <cell r="B2247">
            <v>1</v>
          </cell>
          <cell r="C2247" t="str">
            <v>TMP-000032-00</v>
          </cell>
          <cell r="D2247" t="str">
            <v>Thermal Pad, HBA, TROV 2</v>
          </cell>
          <cell r="E2247" t="str">
            <v>A</v>
          </cell>
          <cell r="F2247" t="str">
            <v>Thermal Pad</v>
          </cell>
          <cell r="G2247">
            <v>1</v>
          </cell>
          <cell r="H2247">
            <v>0.03</v>
          </cell>
          <cell r="I2247" t="str">
            <v>Buy</v>
          </cell>
        </row>
        <row r="2248">
          <cell r="A2248" t="str">
            <v>ASY-100014-04</v>
          </cell>
          <cell r="B2248">
            <v>0</v>
          </cell>
          <cell r="C2248" t="str">
            <v>ASY-100014-04</v>
          </cell>
          <cell r="D2248" t="str">
            <v>ASSY, MECHANICAL, L45, INDOOR, 1 FT, TROV2P2, DYNAMIC, WHITE</v>
          </cell>
          <cell r="E2248" t="str">
            <v>A</v>
          </cell>
          <cell r="F2248" t="str">
            <v>Sub assembly</v>
          </cell>
          <cell r="H2248">
            <v>0</v>
          </cell>
          <cell r="I2248" t="str">
            <v>Make</v>
          </cell>
        </row>
        <row r="2249">
          <cell r="A2249" t="str">
            <v>ASY-100014-04</v>
          </cell>
          <cell r="B2249">
            <v>1</v>
          </cell>
          <cell r="C2249" t="str">
            <v>ACB-000275-00</v>
          </cell>
          <cell r="D2249" t="str">
            <v>CABLE, CANBUS, SHORT, TROV 2</v>
          </cell>
          <cell r="E2249" t="str">
            <v>A</v>
          </cell>
          <cell r="F2249" t="str">
            <v>Cable</v>
          </cell>
          <cell r="G2249">
            <v>1</v>
          </cell>
          <cell r="H2249">
            <v>0.7</v>
          </cell>
          <cell r="I2249" t="str">
            <v>Buy</v>
          </cell>
        </row>
        <row r="2250">
          <cell r="A2250" t="str">
            <v>ASY-100014-04</v>
          </cell>
          <cell r="B2250">
            <v>1</v>
          </cell>
          <cell r="C2250" t="str">
            <v>ASY-100009-00</v>
          </cell>
          <cell r="D2250" t="str">
            <v>Cable Subassembly, Driver housing, 1ft, Trov 2</v>
          </cell>
          <cell r="E2250" t="str">
            <v>B</v>
          </cell>
          <cell r="F2250" t="str">
            <v>Sub assembly</v>
          </cell>
          <cell r="G2250">
            <v>1</v>
          </cell>
          <cell r="H2250">
            <v>0</v>
          </cell>
          <cell r="I2250" t="str">
            <v>Make</v>
          </cell>
        </row>
        <row r="2251">
          <cell r="A2251" t="str">
            <v>ASY-100014-04</v>
          </cell>
          <cell r="B2251">
            <v>2</v>
          </cell>
          <cell r="C2251" t="str">
            <v>ACB-000278-00</v>
          </cell>
          <cell r="D2251" t="str">
            <v>CABLE ASSY, INTRA-FIXTURE, 1FT, TROV 2.0</v>
          </cell>
          <cell r="E2251" t="str">
            <v>A</v>
          </cell>
          <cell r="F2251" t="str">
            <v>Cable Assembly</v>
          </cell>
          <cell r="G2251">
            <v>1</v>
          </cell>
          <cell r="H2251">
            <v>12.75</v>
          </cell>
          <cell r="I2251" t="str">
            <v>Buy</v>
          </cell>
        </row>
        <row r="2252">
          <cell r="A2252" t="str">
            <v>ASY-100014-04</v>
          </cell>
          <cell r="B2252">
            <v>3</v>
          </cell>
          <cell r="C2252" t="str">
            <v>ACB-000273-00</v>
          </cell>
          <cell r="D2252" t="str">
            <v>6 CONDUCTOR CABLE, 3X22AWG, 3X16AWG, AL MYLAR, TROV 2</v>
          </cell>
          <cell r="E2252" t="str">
            <v>A</v>
          </cell>
          <cell r="F2252" t="str">
            <v>Cable</v>
          </cell>
          <cell r="G2252">
            <v>1</v>
          </cell>
          <cell r="H2252">
            <v>0</v>
          </cell>
          <cell r="I2252" t="str">
            <v>N/A</v>
          </cell>
        </row>
        <row r="2253">
          <cell r="A2253" t="str">
            <v>ASY-100014-04</v>
          </cell>
          <cell r="B2253">
            <v>3</v>
          </cell>
          <cell r="C2253" t="str">
            <v>ACB-000274-01</v>
          </cell>
          <cell r="D2253" t="str">
            <v>CABLE ASSEMBLY, INTERNAL, DRIVER SIDE, 1FT, TROV 2</v>
          </cell>
          <cell r="E2253" t="str">
            <v>A</v>
          </cell>
          <cell r="F2253" t="str">
            <v>Cable Assembly</v>
          </cell>
          <cell r="G2253">
            <v>1</v>
          </cell>
          <cell r="H2253">
            <v>0</v>
          </cell>
          <cell r="I2253" t="str">
            <v>N/A</v>
          </cell>
        </row>
        <row r="2254">
          <cell r="A2254" t="str">
            <v>ASY-100014-04</v>
          </cell>
          <cell r="B2254">
            <v>3</v>
          </cell>
          <cell r="C2254" t="str">
            <v>CON-000259-00</v>
          </cell>
          <cell r="D2254" t="str">
            <v>CONNECTOR, MALE, 6 PIN, TROV 2</v>
          </cell>
          <cell r="E2254" t="str">
            <v>B</v>
          </cell>
          <cell r="F2254" t="str">
            <v>Connector</v>
          </cell>
          <cell r="G2254">
            <v>1</v>
          </cell>
          <cell r="H2254">
            <v>0</v>
          </cell>
          <cell r="I2254" t="str">
            <v>N/A</v>
          </cell>
        </row>
        <row r="2255">
          <cell r="A2255" t="str">
            <v>ASY-100014-04</v>
          </cell>
          <cell r="B2255">
            <v>3</v>
          </cell>
          <cell r="C2255" t="str">
            <v>CON-000260-00</v>
          </cell>
          <cell r="D2255" t="str">
            <v>CONNECTOR, FEMALE, 6 PIN, TROV 2</v>
          </cell>
          <cell r="E2255" t="str">
            <v>A</v>
          </cell>
          <cell r="F2255" t="str">
            <v>Connector</v>
          </cell>
          <cell r="G2255">
            <v>1</v>
          </cell>
          <cell r="H2255">
            <v>0</v>
          </cell>
          <cell r="I2255" t="str">
            <v>N/A</v>
          </cell>
        </row>
        <row r="2256">
          <cell r="A2256" t="str">
            <v>ASY-100014-04</v>
          </cell>
          <cell r="B2256">
            <v>3</v>
          </cell>
          <cell r="C2256" t="str">
            <v>ORG-000060-00</v>
          </cell>
          <cell r="D2256" t="str">
            <v>O-RING, CABLE, TROV 2</v>
          </cell>
          <cell r="E2256" t="str">
            <v>A</v>
          </cell>
          <cell r="F2256" t="str">
            <v>O-Ring</v>
          </cell>
          <cell r="G2256">
            <v>1</v>
          </cell>
          <cell r="H2256">
            <v>0</v>
          </cell>
          <cell r="I2256" t="str">
            <v>N/A</v>
          </cell>
        </row>
        <row r="2257">
          <cell r="A2257" t="str">
            <v>ASY-100014-04</v>
          </cell>
          <cell r="B2257">
            <v>3</v>
          </cell>
          <cell r="C2257" t="str">
            <v>SRF-000030-00</v>
          </cell>
          <cell r="D2257" t="str">
            <v>STRAIN RELIEF, CABLE, TROV 2</v>
          </cell>
          <cell r="E2257" t="str">
            <v>A</v>
          </cell>
          <cell r="F2257" t="str">
            <v>Strain Relief</v>
          </cell>
          <cell r="G2257">
            <v>1</v>
          </cell>
          <cell r="H2257">
            <v>0</v>
          </cell>
          <cell r="I2257" t="str">
            <v>N/A</v>
          </cell>
        </row>
        <row r="2258">
          <cell r="A2258" t="str">
            <v>ASY-100014-04</v>
          </cell>
          <cell r="B2258">
            <v>2</v>
          </cell>
          <cell r="C2258" t="str">
            <v>HSG-000488-01</v>
          </cell>
          <cell r="D2258" t="str">
            <v>HOUSING, PSU, 1 FT, MOLDED HOLE, TROV 2.0</v>
          </cell>
          <cell r="E2258" t="str">
            <v>B</v>
          </cell>
          <cell r="F2258" t="str">
            <v>Housing</v>
          </cell>
          <cell r="G2258">
            <v>1</v>
          </cell>
          <cell r="H2258">
            <v>1.17</v>
          </cell>
          <cell r="I2258" t="str">
            <v>Buy</v>
          </cell>
        </row>
        <row r="2259">
          <cell r="A2259" t="str">
            <v>ASY-100014-04</v>
          </cell>
          <cell r="B2259">
            <v>2</v>
          </cell>
          <cell r="C2259" t="str">
            <v>SCW-000577-00</v>
          </cell>
          <cell r="D2259" t="str">
            <v>SCREW, TORX HEAD, LOW PROFILE, M3X8mm, ALLOY STEEL</v>
          </cell>
          <cell r="E2259" t="str">
            <v>A</v>
          </cell>
          <cell r="F2259" t="str">
            <v>Screw</v>
          </cell>
          <cell r="G2259">
            <v>2</v>
          </cell>
          <cell r="H2259">
            <v>0.03</v>
          </cell>
          <cell r="I2259" t="str">
            <v>Buy</v>
          </cell>
        </row>
        <row r="2260">
          <cell r="A2260" t="str">
            <v>ASY-100014-04</v>
          </cell>
          <cell r="B2260">
            <v>1</v>
          </cell>
          <cell r="C2260" t="str">
            <v>BAS-000020-00</v>
          </cell>
          <cell r="D2260" t="str">
            <v>BASE, 1FT, TROV 2.0</v>
          </cell>
          <cell r="E2260" t="str">
            <v>E</v>
          </cell>
          <cell r="F2260" t="str">
            <v>Base</v>
          </cell>
          <cell r="G2260">
            <v>1</v>
          </cell>
          <cell r="H2260">
            <v>5.8</v>
          </cell>
          <cell r="I2260" t="str">
            <v>Buy</v>
          </cell>
        </row>
        <row r="2261">
          <cell r="A2261" t="str">
            <v>ASY-100014-04</v>
          </cell>
          <cell r="B2261">
            <v>1</v>
          </cell>
          <cell r="C2261" t="str">
            <v>BKT-000457-03</v>
          </cell>
          <cell r="D2261" t="str">
            <v>BRACKET, MOUNT, LEFT, BLACK, TROV 2.0</v>
          </cell>
          <cell r="E2261" t="str">
            <v>C</v>
          </cell>
          <cell r="F2261" t="str">
            <v>Bracket</v>
          </cell>
          <cell r="G2261">
            <v>1</v>
          </cell>
          <cell r="H2261">
            <v>0.99</v>
          </cell>
          <cell r="I2261" t="str">
            <v>Buy</v>
          </cell>
        </row>
        <row r="2262">
          <cell r="A2262" t="str">
            <v>ASY-100014-04</v>
          </cell>
          <cell r="B2262">
            <v>1</v>
          </cell>
          <cell r="C2262" t="str">
            <v>BKT-000458-03</v>
          </cell>
          <cell r="D2262" t="str">
            <v>BRACKET, MOUNT, RIGHT, BLACK, TROV 2.0</v>
          </cell>
          <cell r="E2262" t="str">
            <v>C</v>
          </cell>
          <cell r="F2262" t="str">
            <v>Bracket</v>
          </cell>
          <cell r="G2262">
            <v>1</v>
          </cell>
          <cell r="H2262">
            <v>0.99</v>
          </cell>
          <cell r="I2262" t="str">
            <v>Buy</v>
          </cell>
        </row>
        <row r="2263">
          <cell r="A2263" t="str">
            <v>ASY-100014-04</v>
          </cell>
          <cell r="B2263">
            <v>1</v>
          </cell>
          <cell r="C2263" t="str">
            <v>CVR-000791-04</v>
          </cell>
          <cell r="D2263" t="str">
            <v>END COVER, FC, WHITE, L45, TROV 2.0</v>
          </cell>
          <cell r="E2263" t="str">
            <v>D</v>
          </cell>
          <cell r="F2263" t="str">
            <v>Cover</v>
          </cell>
          <cell r="G2263">
            <v>1</v>
          </cell>
          <cell r="H2263">
            <v>1.07</v>
          </cell>
          <cell r="I2263" t="str">
            <v>Buy</v>
          </cell>
        </row>
        <row r="2264">
          <cell r="A2264" t="str">
            <v>ASY-100014-04</v>
          </cell>
          <cell r="B2264">
            <v>1</v>
          </cell>
          <cell r="C2264" t="str">
            <v>CVR-000894-04</v>
          </cell>
          <cell r="D2264" t="str">
            <v>END COVER, MC, WHITE, L45, TROV 2.0</v>
          </cell>
          <cell r="E2264" t="str">
            <v>B</v>
          </cell>
          <cell r="F2264" t="str">
            <v>Cover</v>
          </cell>
          <cell r="G2264">
            <v>1</v>
          </cell>
          <cell r="H2264">
            <v>1.07</v>
          </cell>
          <cell r="I2264" t="str">
            <v>Buy</v>
          </cell>
        </row>
        <row r="2265">
          <cell r="A2265" t="str">
            <v>ASY-100014-04</v>
          </cell>
          <cell r="B2265">
            <v>1</v>
          </cell>
          <cell r="C2265" t="str">
            <v>FOM-000029-00</v>
          </cell>
          <cell r="D2265" t="str">
            <v>FOAM, LIGHTBLOCK, ENDCAP, L45, TROV2</v>
          </cell>
          <cell r="E2265" t="str">
            <v>A</v>
          </cell>
          <cell r="F2265" t="str">
            <v>Foam</v>
          </cell>
          <cell r="G2265">
            <v>2</v>
          </cell>
          <cell r="H2265">
            <v>0.02</v>
          </cell>
          <cell r="I2265" t="str">
            <v>Buy</v>
          </cell>
        </row>
        <row r="2266">
          <cell r="A2266" t="str">
            <v>ASY-100014-04</v>
          </cell>
          <cell r="B2266">
            <v>1</v>
          </cell>
          <cell r="C2266" t="str">
            <v>GSK-000112-01</v>
          </cell>
          <cell r="D2266" t="str">
            <v>GASKET, TERTIARY LENS, 3M, 1 FT, L45, TROV 2.0</v>
          </cell>
          <cell r="E2266" t="str">
            <v>D</v>
          </cell>
          <cell r="F2266" t="str">
            <v>Gasket</v>
          </cell>
          <cell r="G2266">
            <v>1</v>
          </cell>
          <cell r="H2266">
            <v>1.75</v>
          </cell>
          <cell r="I2266" t="str">
            <v>Buy</v>
          </cell>
        </row>
        <row r="2267">
          <cell r="A2267" t="str">
            <v>ASY-100014-04</v>
          </cell>
          <cell r="B2267">
            <v>1</v>
          </cell>
          <cell r="C2267" t="str">
            <v>GSK-000121-01</v>
          </cell>
          <cell r="D2267" t="str">
            <v>GASKET, DRIVER ENCLOSURE, 3M, 1 FT, TROV 2.0</v>
          </cell>
          <cell r="E2267" t="str">
            <v>B</v>
          </cell>
          <cell r="F2267" t="str">
            <v>Gasket</v>
          </cell>
          <cell r="G2267">
            <v>1</v>
          </cell>
          <cell r="H2267">
            <v>1.7</v>
          </cell>
          <cell r="I2267" t="str">
            <v>Buy</v>
          </cell>
        </row>
        <row r="2268">
          <cell r="A2268" t="str">
            <v>ASY-100014-04</v>
          </cell>
          <cell r="B2268">
            <v>1</v>
          </cell>
          <cell r="C2268" t="str">
            <v>HSG-000491-04</v>
          </cell>
          <cell r="D2268" t="str">
            <v>HOUSING, TOP, 1 FT, L45, WHITE, TROV 2.0</v>
          </cell>
          <cell r="E2268" t="str">
            <v>E</v>
          </cell>
          <cell r="F2268" t="str">
            <v>Housing</v>
          </cell>
          <cell r="G2268">
            <v>1</v>
          </cell>
          <cell r="H2268">
            <v>4.2</v>
          </cell>
          <cell r="I2268" t="str">
            <v>Buy</v>
          </cell>
        </row>
        <row r="2269">
          <cell r="A2269" t="str">
            <v>ASY-100014-04</v>
          </cell>
          <cell r="B2269">
            <v>1</v>
          </cell>
          <cell r="C2269" t="str">
            <v>HSG-000492-04</v>
          </cell>
          <cell r="D2269" t="str">
            <v>HOUSING, BOTTOM, 1 FT, WHITE, TROV 2.0</v>
          </cell>
          <cell r="E2269" t="str">
            <v>F</v>
          </cell>
          <cell r="F2269" t="str">
            <v>Housing</v>
          </cell>
          <cell r="G2269">
            <v>1</v>
          </cell>
          <cell r="H2269">
            <v>3.34</v>
          </cell>
          <cell r="I2269" t="str">
            <v>Buy</v>
          </cell>
        </row>
        <row r="2270">
          <cell r="A2270" t="str">
            <v>ASY-100014-04</v>
          </cell>
          <cell r="B2270">
            <v>1</v>
          </cell>
          <cell r="C2270" t="str">
            <v>LBA-000003-00</v>
          </cell>
          <cell r="D2270" t="str">
            <v>Label: TROV 2 P1/P2, Model L45/L60</v>
          </cell>
          <cell r="E2270" t="str">
            <v>A</v>
          </cell>
          <cell r="F2270" t="str">
            <v>Label BOM</v>
          </cell>
          <cell r="G2270">
            <v>1</v>
          </cell>
          <cell r="H2270">
            <v>0</v>
          </cell>
          <cell r="I2270" t="str">
            <v>Make</v>
          </cell>
        </row>
        <row r="2271">
          <cell r="A2271" t="str">
            <v>ASY-100014-04</v>
          </cell>
          <cell r="B2271">
            <v>2</v>
          </cell>
          <cell r="C2271" t="str">
            <v>LBL-000243-00</v>
          </cell>
          <cell r="D2271" t="str">
            <v>Blank Product Label: Trov 2 P1/P2, Model L45/L60</v>
          </cell>
          <cell r="E2271" t="str">
            <v>A</v>
          </cell>
          <cell r="F2271" t="str">
            <v>Label</v>
          </cell>
          <cell r="G2271">
            <v>1</v>
          </cell>
          <cell r="H2271">
            <v>0.33</v>
          </cell>
          <cell r="I2271" t="str">
            <v>Buy</v>
          </cell>
        </row>
        <row r="2272">
          <cell r="A2272" t="str">
            <v>ASY-100014-04</v>
          </cell>
          <cell r="B2272">
            <v>1</v>
          </cell>
          <cell r="C2272" t="str">
            <v>PLG-000009-01</v>
          </cell>
          <cell r="D2272" t="str">
            <v>Porex Vent, Trov, L50 Exterior</v>
          </cell>
          <cell r="E2272" t="str">
            <v>B</v>
          </cell>
          <cell r="F2272" t="str">
            <v>Plug</v>
          </cell>
          <cell r="G2272">
            <v>1</v>
          </cell>
          <cell r="H2272">
            <v>0.17</v>
          </cell>
          <cell r="I2272" t="str">
            <v>Buy</v>
          </cell>
        </row>
        <row r="2273">
          <cell r="A2273" t="str">
            <v>ASY-100014-04</v>
          </cell>
          <cell r="B2273">
            <v>1</v>
          </cell>
          <cell r="C2273" t="str">
            <v>SCW-000156-00</v>
          </cell>
          <cell r="D2273" t="str">
            <v>SCREW, M3 x 0.5 X 8mm, PAND HEAD, PHILLIPS, STEEL</v>
          </cell>
          <cell r="E2273" t="str">
            <v>B</v>
          </cell>
          <cell r="F2273" t="str">
            <v>Screw</v>
          </cell>
          <cell r="G2273">
            <v>2</v>
          </cell>
          <cell r="H2273">
            <v>4.4400000000000002E-2</v>
          </cell>
          <cell r="I2273" t="str">
            <v>Buy</v>
          </cell>
        </row>
        <row r="2274">
          <cell r="A2274" t="str">
            <v>ASY-100014-04</v>
          </cell>
          <cell r="B2274">
            <v>1</v>
          </cell>
          <cell r="C2274" t="str">
            <v>SCW-000483-00</v>
          </cell>
          <cell r="D2274" t="str">
            <v>SCREW, PHILIPS FLAT HEAD, M2.5x0.45x5 , 18-8 SST</v>
          </cell>
          <cell r="E2274" t="str">
            <v>A</v>
          </cell>
          <cell r="F2274" t="str">
            <v>Screw</v>
          </cell>
          <cell r="G2274">
            <v>4</v>
          </cell>
          <cell r="H2274">
            <v>0.02</v>
          </cell>
          <cell r="I2274" t="str">
            <v>Buy</v>
          </cell>
        </row>
        <row r="2275">
          <cell r="A2275" t="str">
            <v>ASY-100014-04</v>
          </cell>
          <cell r="B2275">
            <v>1</v>
          </cell>
          <cell r="C2275" t="str">
            <v>SCW-000556-00</v>
          </cell>
          <cell r="D2275" t="str">
            <v>SCREW, HEX, SERRATED, #8-32, GROUNDING, TROV 2</v>
          </cell>
          <cell r="E2275" t="str">
            <v>A</v>
          </cell>
          <cell r="F2275" t="str">
            <v>Screw</v>
          </cell>
          <cell r="G2275">
            <v>1</v>
          </cell>
          <cell r="H2275">
            <v>0.04</v>
          </cell>
          <cell r="I2275" t="str">
            <v>Buy</v>
          </cell>
        </row>
        <row r="2276">
          <cell r="A2276" t="str">
            <v>ASY-100014-04</v>
          </cell>
          <cell r="B2276">
            <v>1</v>
          </cell>
          <cell r="C2276" t="str">
            <v>SCW-000574-00</v>
          </cell>
          <cell r="D2276" t="str">
            <v>SCREW, TORX HEAD, 1/4-28x1/2", LOW PROFILE, ALLOY STEEL</v>
          </cell>
          <cell r="E2276" t="str">
            <v>A</v>
          </cell>
          <cell r="F2276" t="str">
            <v>Screw</v>
          </cell>
          <cell r="G2276">
            <v>2</v>
          </cell>
          <cell r="H2276">
            <v>0.14000000000000001</v>
          </cell>
          <cell r="I2276" t="str">
            <v>Buy</v>
          </cell>
        </row>
        <row r="2277">
          <cell r="A2277" t="str">
            <v>ASY-100014-04</v>
          </cell>
          <cell r="B2277">
            <v>1</v>
          </cell>
          <cell r="C2277" t="str">
            <v>SHT-000042-00</v>
          </cell>
          <cell r="D2277" t="str">
            <v>INSULATION SHEET, MP/LP HBA, TROV 2</v>
          </cell>
          <cell r="E2277" t="str">
            <v>D</v>
          </cell>
          <cell r="F2277" t="str">
            <v>Sheet</v>
          </cell>
          <cell r="G2277">
            <v>1</v>
          </cell>
          <cell r="H2277">
            <v>0.16</v>
          </cell>
          <cell r="I2277" t="str">
            <v>Buy</v>
          </cell>
        </row>
        <row r="2278">
          <cell r="A2278" t="str">
            <v>ASY-100014-04</v>
          </cell>
          <cell r="B2278">
            <v>1</v>
          </cell>
          <cell r="C2278" t="str">
            <v>SPG-000023-00</v>
          </cell>
          <cell r="D2278" t="str">
            <v>SPRING, DISC, STACKED WAVE, TROV 2.0</v>
          </cell>
          <cell r="E2278" t="str">
            <v>A</v>
          </cell>
          <cell r="F2278" t="str">
            <v>Spring</v>
          </cell>
          <cell r="G2278">
            <v>2</v>
          </cell>
          <cell r="H2278">
            <v>1.74</v>
          </cell>
          <cell r="I2278" t="str">
            <v>Buy</v>
          </cell>
        </row>
        <row r="2279">
          <cell r="A2279" t="str">
            <v>ASY-100014-04</v>
          </cell>
          <cell r="B2279">
            <v>1</v>
          </cell>
          <cell r="C2279" t="str">
            <v>TAP-000031-00</v>
          </cell>
          <cell r="D2279" t="str">
            <v>3M Electrical Tape 92</v>
          </cell>
          <cell r="E2279" t="str">
            <v>A</v>
          </cell>
          <cell r="F2279" t="str">
            <v>Tape</v>
          </cell>
          <cell r="G2279">
            <v>120</v>
          </cell>
          <cell r="H2279">
            <v>1.4E-2</v>
          </cell>
          <cell r="I2279" t="str">
            <v>Buy</v>
          </cell>
        </row>
        <row r="2280">
          <cell r="A2280" t="str">
            <v>ASY-100014-04</v>
          </cell>
          <cell r="B2280">
            <v>1</v>
          </cell>
          <cell r="C2280" t="str">
            <v>TMP-000027-00</v>
          </cell>
          <cell r="D2280" t="str">
            <v>Thermal Pad, LED PCBA, 1 FT, TROV 2</v>
          </cell>
          <cell r="E2280" t="str">
            <v>B</v>
          </cell>
          <cell r="F2280" t="str">
            <v>Thermal Pad</v>
          </cell>
          <cell r="G2280">
            <v>1</v>
          </cell>
          <cell r="H2280">
            <v>0.72</v>
          </cell>
          <cell r="I2280" t="str">
            <v>Buy</v>
          </cell>
        </row>
        <row r="2281">
          <cell r="A2281" t="str">
            <v>ASY-100014-04</v>
          </cell>
          <cell r="B2281">
            <v>1</v>
          </cell>
          <cell r="C2281" t="str">
            <v>TMP-000029-00</v>
          </cell>
          <cell r="D2281" t="str">
            <v>Thermal Pad, HBA, TROV 2</v>
          </cell>
          <cell r="E2281" t="str">
            <v>B</v>
          </cell>
          <cell r="F2281" t="str">
            <v>Thermal Pad</v>
          </cell>
          <cell r="G2281">
            <v>2</v>
          </cell>
          <cell r="H2281">
            <v>0.14000000000000001</v>
          </cell>
          <cell r="I2281" t="str">
            <v>Buy</v>
          </cell>
        </row>
        <row r="2282">
          <cell r="A2282" t="str">
            <v>ASY-100014-04</v>
          </cell>
          <cell r="B2282">
            <v>1</v>
          </cell>
          <cell r="C2282" t="str">
            <v>TMP-000032-00</v>
          </cell>
          <cell r="D2282" t="str">
            <v>Thermal Pad, HBA, TROV 2</v>
          </cell>
          <cell r="E2282" t="str">
            <v>A</v>
          </cell>
          <cell r="F2282" t="str">
            <v>Thermal Pad</v>
          </cell>
          <cell r="G2282">
            <v>1</v>
          </cell>
          <cell r="H2282">
            <v>0.03</v>
          </cell>
          <cell r="I2282" t="str">
            <v>Buy</v>
          </cell>
        </row>
        <row r="2283">
          <cell r="A2283" t="str">
            <v>ASY-100014-0C</v>
          </cell>
          <cell r="B2283">
            <v>0</v>
          </cell>
          <cell r="C2283" t="str">
            <v>ASY-100014-0C</v>
          </cell>
          <cell r="D2283" t="str">
            <v>ASSY, MECHANICAL, L45, INDOOR, 1 FT, TROV2P2, DYNAMIC, CUSTOM</v>
          </cell>
          <cell r="E2283" t="str">
            <v>A</v>
          </cell>
          <cell r="F2283" t="str">
            <v>Sub assembly</v>
          </cell>
          <cell r="H2283">
            <v>0</v>
          </cell>
          <cell r="I2283" t="str">
            <v>Make</v>
          </cell>
        </row>
        <row r="2284">
          <cell r="A2284" t="str">
            <v>ASY-100014-0C</v>
          </cell>
          <cell r="B2284">
            <v>1</v>
          </cell>
          <cell r="C2284" t="str">
            <v>ACB-000275-00</v>
          </cell>
          <cell r="D2284" t="str">
            <v>CABLE, CANBUS, SHORT, TROV 2</v>
          </cell>
          <cell r="E2284" t="str">
            <v>A</v>
          </cell>
          <cell r="F2284" t="str">
            <v>Cable</v>
          </cell>
          <cell r="G2284">
            <v>1</v>
          </cell>
          <cell r="H2284">
            <v>0.7</v>
          </cell>
          <cell r="I2284" t="str">
            <v>Buy</v>
          </cell>
        </row>
        <row r="2285">
          <cell r="A2285" t="str">
            <v>ASY-100014-0C</v>
          </cell>
          <cell r="B2285">
            <v>1</v>
          </cell>
          <cell r="C2285" t="str">
            <v>ASY-100009-00</v>
          </cell>
          <cell r="D2285" t="str">
            <v>Cable Subassembly, Driver housing, 1ft, Trov 2</v>
          </cell>
          <cell r="E2285" t="str">
            <v>B</v>
          </cell>
          <cell r="F2285" t="str">
            <v>Sub assembly</v>
          </cell>
          <cell r="G2285">
            <v>1</v>
          </cell>
          <cell r="H2285">
            <v>0</v>
          </cell>
          <cell r="I2285" t="str">
            <v>Make</v>
          </cell>
        </row>
        <row r="2286">
          <cell r="A2286" t="str">
            <v>ASY-100014-0C</v>
          </cell>
          <cell r="B2286">
            <v>2</v>
          </cell>
          <cell r="C2286" t="str">
            <v>ACB-000278-00</v>
          </cell>
          <cell r="D2286" t="str">
            <v>CABLE ASSY, INTRA-FIXTURE, 1FT, TROV 2.0</v>
          </cell>
          <cell r="E2286" t="str">
            <v>A</v>
          </cell>
          <cell r="F2286" t="str">
            <v>Cable Assembly</v>
          </cell>
          <cell r="G2286">
            <v>1</v>
          </cell>
          <cell r="H2286">
            <v>12.75</v>
          </cell>
          <cell r="I2286" t="str">
            <v>Buy</v>
          </cell>
        </row>
        <row r="2287">
          <cell r="A2287" t="str">
            <v>ASY-100014-0C</v>
          </cell>
          <cell r="B2287">
            <v>3</v>
          </cell>
          <cell r="C2287" t="str">
            <v>ACB-000273-00</v>
          </cell>
          <cell r="D2287" t="str">
            <v>6 CONDUCTOR CABLE, 3X22AWG, 3X16AWG, AL MYLAR, TROV 2</v>
          </cell>
          <cell r="E2287" t="str">
            <v>A</v>
          </cell>
          <cell r="F2287" t="str">
            <v>Cable</v>
          </cell>
          <cell r="G2287">
            <v>1</v>
          </cell>
          <cell r="H2287">
            <v>0</v>
          </cell>
          <cell r="I2287" t="str">
            <v>N/A</v>
          </cell>
        </row>
        <row r="2288">
          <cell r="A2288" t="str">
            <v>ASY-100014-0C</v>
          </cell>
          <cell r="B2288">
            <v>3</v>
          </cell>
          <cell r="C2288" t="str">
            <v>ACB-000274-01</v>
          </cell>
          <cell r="D2288" t="str">
            <v>CABLE ASSEMBLY, INTERNAL, DRIVER SIDE, 1FT, TROV 2</v>
          </cell>
          <cell r="E2288" t="str">
            <v>A</v>
          </cell>
          <cell r="F2288" t="str">
            <v>Cable Assembly</v>
          </cell>
          <cell r="G2288">
            <v>1</v>
          </cell>
          <cell r="H2288">
            <v>0</v>
          </cell>
          <cell r="I2288" t="str">
            <v>N/A</v>
          </cell>
        </row>
        <row r="2289">
          <cell r="A2289" t="str">
            <v>ASY-100014-0C</v>
          </cell>
          <cell r="B2289">
            <v>3</v>
          </cell>
          <cell r="C2289" t="str">
            <v>CON-000259-00</v>
          </cell>
          <cell r="D2289" t="str">
            <v>CONNECTOR, MALE, 6 PIN, TROV 2</v>
          </cell>
          <cell r="E2289" t="str">
            <v>B</v>
          </cell>
          <cell r="F2289" t="str">
            <v>Connector</v>
          </cell>
          <cell r="G2289">
            <v>1</v>
          </cell>
          <cell r="H2289">
            <v>0</v>
          </cell>
          <cell r="I2289" t="str">
            <v>N/A</v>
          </cell>
        </row>
        <row r="2290">
          <cell r="A2290" t="str">
            <v>ASY-100014-0C</v>
          </cell>
          <cell r="B2290">
            <v>3</v>
          </cell>
          <cell r="C2290" t="str">
            <v>CON-000260-00</v>
          </cell>
          <cell r="D2290" t="str">
            <v>CONNECTOR, FEMALE, 6 PIN, TROV 2</v>
          </cell>
          <cell r="E2290" t="str">
            <v>A</v>
          </cell>
          <cell r="F2290" t="str">
            <v>Connector</v>
          </cell>
          <cell r="G2290">
            <v>1</v>
          </cell>
          <cell r="H2290">
            <v>0</v>
          </cell>
          <cell r="I2290" t="str">
            <v>N/A</v>
          </cell>
        </row>
        <row r="2291">
          <cell r="A2291" t="str">
            <v>ASY-100014-0C</v>
          </cell>
          <cell r="B2291">
            <v>3</v>
          </cell>
          <cell r="C2291" t="str">
            <v>ORG-000060-00</v>
          </cell>
          <cell r="D2291" t="str">
            <v>O-RING, CABLE, TROV 2</v>
          </cell>
          <cell r="E2291" t="str">
            <v>A</v>
          </cell>
          <cell r="F2291" t="str">
            <v>O-Ring</v>
          </cell>
          <cell r="G2291">
            <v>1</v>
          </cell>
          <cell r="H2291">
            <v>0</v>
          </cell>
          <cell r="I2291" t="str">
            <v>N/A</v>
          </cell>
        </row>
        <row r="2292">
          <cell r="A2292" t="str">
            <v>ASY-100014-0C</v>
          </cell>
          <cell r="B2292">
            <v>3</v>
          </cell>
          <cell r="C2292" t="str">
            <v>SRF-000030-00</v>
          </cell>
          <cell r="D2292" t="str">
            <v>STRAIN RELIEF, CABLE, TROV 2</v>
          </cell>
          <cell r="E2292" t="str">
            <v>A</v>
          </cell>
          <cell r="F2292" t="str">
            <v>Strain Relief</v>
          </cell>
          <cell r="G2292">
            <v>1</v>
          </cell>
          <cell r="H2292">
            <v>0</v>
          </cell>
          <cell r="I2292" t="str">
            <v>N/A</v>
          </cell>
        </row>
        <row r="2293">
          <cell r="A2293" t="str">
            <v>ASY-100014-0C</v>
          </cell>
          <cell r="B2293">
            <v>2</v>
          </cell>
          <cell r="C2293" t="str">
            <v>HSG-000488-01</v>
          </cell>
          <cell r="D2293" t="str">
            <v>HOUSING, PSU, 1 FT, MOLDED HOLE, TROV 2.0</v>
          </cell>
          <cell r="E2293" t="str">
            <v>B</v>
          </cell>
          <cell r="F2293" t="str">
            <v>Housing</v>
          </cell>
          <cell r="G2293">
            <v>1</v>
          </cell>
          <cell r="H2293">
            <v>1.17</v>
          </cell>
          <cell r="I2293" t="str">
            <v>Buy</v>
          </cell>
        </row>
        <row r="2294">
          <cell r="A2294" t="str">
            <v>ASY-100014-0C</v>
          </cell>
          <cell r="B2294">
            <v>2</v>
          </cell>
          <cell r="C2294" t="str">
            <v>SCW-000577-00</v>
          </cell>
          <cell r="D2294" t="str">
            <v>SCREW, TORX HEAD, LOW PROFILE, M3X8mm, ALLOY STEEL</v>
          </cell>
          <cell r="E2294" t="str">
            <v>A</v>
          </cell>
          <cell r="F2294" t="str">
            <v>Screw</v>
          </cell>
          <cell r="G2294">
            <v>2</v>
          </cell>
          <cell r="H2294">
            <v>0.03</v>
          </cell>
          <cell r="I2294" t="str">
            <v>Buy</v>
          </cell>
        </row>
        <row r="2295">
          <cell r="A2295" t="str">
            <v>ASY-100014-0C</v>
          </cell>
          <cell r="B2295">
            <v>1</v>
          </cell>
          <cell r="C2295" t="str">
            <v>BAS-000020-00</v>
          </cell>
          <cell r="D2295" t="str">
            <v>BASE, 1FT, TROV 2.0</v>
          </cell>
          <cell r="E2295" t="str">
            <v>E</v>
          </cell>
          <cell r="F2295" t="str">
            <v>Base</v>
          </cell>
          <cell r="G2295">
            <v>1</v>
          </cell>
          <cell r="H2295">
            <v>5.8</v>
          </cell>
          <cell r="I2295" t="str">
            <v>Buy</v>
          </cell>
        </row>
        <row r="2296">
          <cell r="A2296" t="str">
            <v>ASY-100014-0C</v>
          </cell>
          <cell r="B2296">
            <v>1</v>
          </cell>
          <cell r="C2296" t="str">
            <v>BKT-000457-03</v>
          </cell>
          <cell r="D2296" t="str">
            <v>BRACKET, MOUNT, LEFT, BLACK, TROV 2.0</v>
          </cell>
          <cell r="E2296" t="str">
            <v>C</v>
          </cell>
          <cell r="F2296" t="str">
            <v>Bracket</v>
          </cell>
          <cell r="G2296">
            <v>1</v>
          </cell>
          <cell r="H2296">
            <v>0.99</v>
          </cell>
          <cell r="I2296" t="str">
            <v>Buy</v>
          </cell>
        </row>
        <row r="2297">
          <cell r="A2297" t="str">
            <v>ASY-100014-0C</v>
          </cell>
          <cell r="B2297">
            <v>1</v>
          </cell>
          <cell r="C2297" t="str">
            <v>BKT-000458-03</v>
          </cell>
          <cell r="D2297" t="str">
            <v>BRACKET, MOUNT, RIGHT, BLACK, TROV 2.0</v>
          </cell>
          <cell r="E2297" t="str">
            <v>C</v>
          </cell>
          <cell r="F2297" t="str">
            <v>Bracket</v>
          </cell>
          <cell r="G2297">
            <v>1</v>
          </cell>
          <cell r="H2297">
            <v>0.99</v>
          </cell>
          <cell r="I2297" t="str">
            <v>Buy</v>
          </cell>
        </row>
        <row r="2298">
          <cell r="A2298" t="str">
            <v>ASY-100014-0C</v>
          </cell>
          <cell r="B2298">
            <v>1</v>
          </cell>
          <cell r="C2298" t="str">
            <v>CVR-000791-0C</v>
          </cell>
          <cell r="D2298" t="str">
            <v>END COVER, FC, CUSTOM FINISH, L45, TROV 2.0</v>
          </cell>
          <cell r="E2298" t="str">
            <v>E</v>
          </cell>
          <cell r="F2298" t="str">
            <v>Cover</v>
          </cell>
          <cell r="G2298">
            <v>1</v>
          </cell>
          <cell r="H2298">
            <v>0</v>
          </cell>
          <cell r="I2298" t="str">
            <v>Buy</v>
          </cell>
        </row>
        <row r="2299">
          <cell r="A2299" t="str">
            <v>ASY-100014-0C</v>
          </cell>
          <cell r="B2299">
            <v>1</v>
          </cell>
          <cell r="C2299" t="str">
            <v>CVR-000894-0C</v>
          </cell>
          <cell r="D2299" t="str">
            <v>END COVER, MC, CUSTOM FINISH, L45, TROV 2.0</v>
          </cell>
          <cell r="E2299" t="str">
            <v>C</v>
          </cell>
          <cell r="F2299" t="str">
            <v>Cover</v>
          </cell>
          <cell r="G2299">
            <v>1</v>
          </cell>
          <cell r="H2299">
            <v>0</v>
          </cell>
          <cell r="I2299" t="str">
            <v>Buy</v>
          </cell>
        </row>
        <row r="2300">
          <cell r="A2300" t="str">
            <v>ASY-100014-0C</v>
          </cell>
          <cell r="B2300">
            <v>1</v>
          </cell>
          <cell r="C2300" t="str">
            <v>FOM-000029-00</v>
          </cell>
          <cell r="D2300" t="str">
            <v>FOAM, LIGHTBLOCK, ENDCAP, L45, TROV2</v>
          </cell>
          <cell r="E2300" t="str">
            <v>A</v>
          </cell>
          <cell r="F2300" t="str">
            <v>Foam</v>
          </cell>
          <cell r="G2300">
            <v>2</v>
          </cell>
          <cell r="H2300">
            <v>0.02</v>
          </cell>
          <cell r="I2300" t="str">
            <v>Buy</v>
          </cell>
        </row>
        <row r="2301">
          <cell r="A2301" t="str">
            <v>ASY-100014-0C</v>
          </cell>
          <cell r="B2301">
            <v>1</v>
          </cell>
          <cell r="C2301" t="str">
            <v>GSK-000112-01</v>
          </cell>
          <cell r="D2301" t="str">
            <v>GASKET, TERTIARY LENS, 3M, 1 FT, L45, TROV 2.0</v>
          </cell>
          <cell r="E2301" t="str">
            <v>D</v>
          </cell>
          <cell r="F2301" t="str">
            <v>Gasket</v>
          </cell>
          <cell r="G2301">
            <v>1</v>
          </cell>
          <cell r="H2301">
            <v>1.75</v>
          </cell>
          <cell r="I2301" t="str">
            <v>Buy</v>
          </cell>
        </row>
        <row r="2302">
          <cell r="A2302" t="str">
            <v>ASY-100014-0C</v>
          </cell>
          <cell r="B2302">
            <v>1</v>
          </cell>
          <cell r="C2302" t="str">
            <v>GSK-000121-01</v>
          </cell>
          <cell r="D2302" t="str">
            <v>GASKET, DRIVER ENCLOSURE, 3M, 1 FT, TROV 2.0</v>
          </cell>
          <cell r="E2302" t="str">
            <v>B</v>
          </cell>
          <cell r="F2302" t="str">
            <v>Gasket</v>
          </cell>
          <cell r="G2302">
            <v>1</v>
          </cell>
          <cell r="H2302">
            <v>1.7</v>
          </cell>
          <cell r="I2302" t="str">
            <v>Buy</v>
          </cell>
        </row>
        <row r="2303">
          <cell r="A2303" t="str">
            <v>ASY-100014-0C</v>
          </cell>
          <cell r="B2303">
            <v>1</v>
          </cell>
          <cell r="C2303" t="str">
            <v>HSG-000491-0C</v>
          </cell>
          <cell r="D2303" t="str">
            <v>HOUSING, TOP, 1 FT, L45, CUSTOM FINISH, TROV 2.0</v>
          </cell>
          <cell r="E2303" t="str">
            <v>E</v>
          </cell>
          <cell r="F2303" t="str">
            <v>Housing</v>
          </cell>
          <cell r="G2303">
            <v>1</v>
          </cell>
          <cell r="H2303">
            <v>0</v>
          </cell>
          <cell r="I2303" t="str">
            <v>Buy</v>
          </cell>
        </row>
        <row r="2304">
          <cell r="A2304" t="str">
            <v>ASY-100014-0C</v>
          </cell>
          <cell r="B2304">
            <v>1</v>
          </cell>
          <cell r="C2304" t="str">
            <v>HSG-000492-0C</v>
          </cell>
          <cell r="D2304" t="str">
            <v>HOUSING, BOTTOM, 1 FT, CUSTOM FINISH, TROV 2.0</v>
          </cell>
          <cell r="E2304" t="str">
            <v>F</v>
          </cell>
          <cell r="F2304" t="str">
            <v>Housing</v>
          </cell>
          <cell r="G2304">
            <v>1</v>
          </cell>
          <cell r="H2304">
            <v>3.34</v>
          </cell>
          <cell r="I2304" t="str">
            <v>Buy</v>
          </cell>
        </row>
        <row r="2305">
          <cell r="A2305" t="str">
            <v>ASY-100014-0C</v>
          </cell>
          <cell r="B2305">
            <v>1</v>
          </cell>
          <cell r="C2305" t="str">
            <v>LBA-000003-00</v>
          </cell>
          <cell r="D2305" t="str">
            <v>Label: TROV 2 P1/P2, Model L45/L60</v>
          </cell>
          <cell r="E2305" t="str">
            <v>A</v>
          </cell>
          <cell r="F2305" t="str">
            <v>Label BOM</v>
          </cell>
          <cell r="G2305">
            <v>1</v>
          </cell>
          <cell r="H2305">
            <v>0</v>
          </cell>
          <cell r="I2305" t="str">
            <v>Make</v>
          </cell>
        </row>
        <row r="2306">
          <cell r="A2306" t="str">
            <v>ASY-100014-0C</v>
          </cell>
          <cell r="B2306">
            <v>2</v>
          </cell>
          <cell r="C2306" t="str">
            <v>LBL-000243-00</v>
          </cell>
          <cell r="D2306" t="str">
            <v>Blank Product Label: Trov 2 P1/P2, Model L45/L60</v>
          </cell>
          <cell r="E2306" t="str">
            <v>A</v>
          </cell>
          <cell r="F2306" t="str">
            <v>Label</v>
          </cell>
          <cell r="G2306">
            <v>1</v>
          </cell>
          <cell r="H2306">
            <v>0.33</v>
          </cell>
          <cell r="I2306" t="str">
            <v>Buy</v>
          </cell>
        </row>
        <row r="2307">
          <cell r="A2307" t="str">
            <v>ASY-100014-0C</v>
          </cell>
          <cell r="B2307">
            <v>1</v>
          </cell>
          <cell r="C2307" t="str">
            <v>PLG-000009-01</v>
          </cell>
          <cell r="D2307" t="str">
            <v>Porex Vent, Trov, L50 Exterior</v>
          </cell>
          <cell r="E2307" t="str">
            <v>B</v>
          </cell>
          <cell r="F2307" t="str">
            <v>Plug</v>
          </cell>
          <cell r="G2307">
            <v>1</v>
          </cell>
          <cell r="H2307">
            <v>0.17</v>
          </cell>
          <cell r="I2307" t="str">
            <v>Buy</v>
          </cell>
        </row>
        <row r="2308">
          <cell r="A2308" t="str">
            <v>ASY-100014-0C</v>
          </cell>
          <cell r="B2308">
            <v>1</v>
          </cell>
          <cell r="C2308" t="str">
            <v>SCW-000156-00</v>
          </cell>
          <cell r="D2308" t="str">
            <v>SCREW, M3 x 0.5 X 8mm, PAND HEAD, PHILLIPS, STEEL</v>
          </cell>
          <cell r="E2308" t="str">
            <v>B</v>
          </cell>
          <cell r="F2308" t="str">
            <v>Screw</v>
          </cell>
          <cell r="G2308">
            <v>2</v>
          </cell>
          <cell r="H2308">
            <v>4.4400000000000002E-2</v>
          </cell>
          <cell r="I2308" t="str">
            <v>Buy</v>
          </cell>
        </row>
        <row r="2309">
          <cell r="A2309" t="str">
            <v>ASY-100014-0C</v>
          </cell>
          <cell r="B2309">
            <v>1</v>
          </cell>
          <cell r="C2309" t="str">
            <v>SCW-000483-00</v>
          </cell>
          <cell r="D2309" t="str">
            <v>SCREW, PHILIPS FLAT HEAD, M2.5x0.45x5 , 18-8 SST</v>
          </cell>
          <cell r="E2309" t="str">
            <v>A</v>
          </cell>
          <cell r="F2309" t="str">
            <v>Screw</v>
          </cell>
          <cell r="G2309">
            <v>4</v>
          </cell>
          <cell r="H2309">
            <v>0.02</v>
          </cell>
          <cell r="I2309" t="str">
            <v>Buy</v>
          </cell>
        </row>
        <row r="2310">
          <cell r="A2310" t="str">
            <v>ASY-100014-0C</v>
          </cell>
          <cell r="B2310">
            <v>1</v>
          </cell>
          <cell r="C2310" t="str">
            <v>SCW-000556-00</v>
          </cell>
          <cell r="D2310" t="str">
            <v>SCREW, HEX, SERRATED, #8-32, GROUNDING, TROV 2</v>
          </cell>
          <cell r="E2310" t="str">
            <v>A</v>
          </cell>
          <cell r="F2310" t="str">
            <v>Screw</v>
          </cell>
          <cell r="G2310">
            <v>1</v>
          </cell>
          <cell r="H2310">
            <v>0.04</v>
          </cell>
          <cell r="I2310" t="str">
            <v>Buy</v>
          </cell>
        </row>
        <row r="2311">
          <cell r="A2311" t="str">
            <v>ASY-100014-0C</v>
          </cell>
          <cell r="B2311">
            <v>1</v>
          </cell>
          <cell r="C2311" t="str">
            <v>SCW-000574-00</v>
          </cell>
          <cell r="D2311" t="str">
            <v>SCREW, TORX HEAD, 1/4-28x1/2", LOW PROFILE, ALLOY STEEL</v>
          </cell>
          <cell r="E2311" t="str">
            <v>A</v>
          </cell>
          <cell r="F2311" t="str">
            <v>Screw</v>
          </cell>
          <cell r="G2311">
            <v>2</v>
          </cell>
          <cell r="H2311">
            <v>0.14000000000000001</v>
          </cell>
          <cell r="I2311" t="str">
            <v>Buy</v>
          </cell>
        </row>
        <row r="2312">
          <cell r="A2312" t="str">
            <v>ASY-100014-0C</v>
          </cell>
          <cell r="B2312">
            <v>1</v>
          </cell>
          <cell r="C2312" t="str">
            <v>SHT-000042-00</v>
          </cell>
          <cell r="D2312" t="str">
            <v>INSULATION SHEET, MP/LP HBA, TROV 2</v>
          </cell>
          <cell r="E2312" t="str">
            <v>D</v>
          </cell>
          <cell r="F2312" t="str">
            <v>Sheet</v>
          </cell>
          <cell r="G2312">
            <v>1</v>
          </cell>
          <cell r="H2312">
            <v>0.16</v>
          </cell>
          <cell r="I2312" t="str">
            <v>Buy</v>
          </cell>
        </row>
        <row r="2313">
          <cell r="A2313" t="str">
            <v>ASY-100014-0C</v>
          </cell>
          <cell r="B2313">
            <v>1</v>
          </cell>
          <cell r="C2313" t="str">
            <v>SPG-000023-00</v>
          </cell>
          <cell r="D2313" t="str">
            <v>SPRING, DISC, STACKED WAVE, TROV 2.0</v>
          </cell>
          <cell r="E2313" t="str">
            <v>A</v>
          </cell>
          <cell r="F2313" t="str">
            <v>Spring</v>
          </cell>
          <cell r="G2313">
            <v>2</v>
          </cell>
          <cell r="H2313">
            <v>1.74</v>
          </cell>
          <cell r="I2313" t="str">
            <v>Buy</v>
          </cell>
        </row>
        <row r="2314">
          <cell r="A2314" t="str">
            <v>ASY-100014-0C</v>
          </cell>
          <cell r="B2314">
            <v>1</v>
          </cell>
          <cell r="C2314" t="str">
            <v>TAP-000031-00</v>
          </cell>
          <cell r="D2314" t="str">
            <v>3M Electrical Tape 92</v>
          </cell>
          <cell r="E2314" t="str">
            <v>A</v>
          </cell>
          <cell r="F2314" t="str">
            <v>Tape</v>
          </cell>
          <cell r="G2314">
            <v>120</v>
          </cell>
          <cell r="H2314">
            <v>1.4E-2</v>
          </cell>
          <cell r="I2314" t="str">
            <v>Buy</v>
          </cell>
        </row>
        <row r="2315">
          <cell r="A2315" t="str">
            <v>ASY-100014-0C</v>
          </cell>
          <cell r="B2315">
            <v>1</v>
          </cell>
          <cell r="C2315" t="str">
            <v>TMP-000027-00</v>
          </cell>
          <cell r="D2315" t="str">
            <v>Thermal Pad, LED PCBA, 1 FT, TROV 2</v>
          </cell>
          <cell r="E2315" t="str">
            <v>B</v>
          </cell>
          <cell r="F2315" t="str">
            <v>Thermal Pad</v>
          </cell>
          <cell r="G2315">
            <v>1</v>
          </cell>
          <cell r="H2315">
            <v>0.72</v>
          </cell>
          <cell r="I2315" t="str">
            <v>Buy</v>
          </cell>
        </row>
        <row r="2316">
          <cell r="A2316" t="str">
            <v>ASY-100014-0C</v>
          </cell>
          <cell r="B2316">
            <v>1</v>
          </cell>
          <cell r="C2316" t="str">
            <v>TMP-000029-00</v>
          </cell>
          <cell r="D2316" t="str">
            <v>Thermal Pad, HBA, TROV 2</v>
          </cell>
          <cell r="E2316" t="str">
            <v>B</v>
          </cell>
          <cell r="F2316" t="str">
            <v>Thermal Pad</v>
          </cell>
          <cell r="G2316">
            <v>2</v>
          </cell>
          <cell r="H2316">
            <v>0.14000000000000001</v>
          </cell>
          <cell r="I2316" t="str">
            <v>Buy</v>
          </cell>
        </row>
        <row r="2317">
          <cell r="A2317" t="str">
            <v>ASY-100014-0C</v>
          </cell>
          <cell r="B2317">
            <v>1</v>
          </cell>
          <cell r="C2317" t="str">
            <v>TMP-000032-00</v>
          </cell>
          <cell r="D2317" t="str">
            <v>Thermal Pad, HBA, TROV 2</v>
          </cell>
          <cell r="E2317" t="str">
            <v>A</v>
          </cell>
          <cell r="F2317" t="str">
            <v>Thermal Pad</v>
          </cell>
          <cell r="G2317">
            <v>1</v>
          </cell>
          <cell r="H2317">
            <v>0.03</v>
          </cell>
          <cell r="I2317" t="str">
            <v>Buy</v>
          </cell>
        </row>
        <row r="2318">
          <cell r="A2318" t="str">
            <v>ASY-100015-01</v>
          </cell>
          <cell r="B2318">
            <v>0</v>
          </cell>
          <cell r="C2318" t="str">
            <v>ASY-100015-01</v>
          </cell>
          <cell r="D2318" t="str">
            <v>ASSY, MECHANICAL, L45, INDOOR, 4 FT, TROV2P2, DYNAMIC, SILVER</v>
          </cell>
          <cell r="E2318" t="str">
            <v>A</v>
          </cell>
          <cell r="F2318" t="str">
            <v>Sub assembly</v>
          </cell>
          <cell r="H2318">
            <v>0</v>
          </cell>
          <cell r="I2318" t="str">
            <v>Make</v>
          </cell>
        </row>
        <row r="2319">
          <cell r="A2319" t="str">
            <v>ASY-100015-01</v>
          </cell>
          <cell r="B2319">
            <v>1</v>
          </cell>
          <cell r="C2319" t="str">
            <v>ACB-000275-00</v>
          </cell>
          <cell r="D2319" t="str">
            <v>CABLE, CANBUS, SHORT, TROV 2</v>
          </cell>
          <cell r="E2319" t="str">
            <v>A</v>
          </cell>
          <cell r="F2319" t="str">
            <v>Cable</v>
          </cell>
          <cell r="G2319">
            <v>1</v>
          </cell>
          <cell r="H2319">
            <v>0.7</v>
          </cell>
          <cell r="I2319" t="str">
            <v>Buy</v>
          </cell>
        </row>
        <row r="2320">
          <cell r="A2320" t="str">
            <v>ASY-100015-01</v>
          </cell>
          <cell r="B2320">
            <v>1</v>
          </cell>
          <cell r="C2320" t="str">
            <v>ACB-000275-01</v>
          </cell>
          <cell r="D2320" t="str">
            <v>CABLE, CANBUS, LONG, TROV 2</v>
          </cell>
          <cell r="E2320" t="str">
            <v>A</v>
          </cell>
          <cell r="F2320" t="str">
            <v>Cable</v>
          </cell>
          <cell r="G2320">
            <v>1</v>
          </cell>
          <cell r="H2320">
            <v>0.81</v>
          </cell>
          <cell r="I2320" t="str">
            <v>Buy</v>
          </cell>
        </row>
        <row r="2321">
          <cell r="A2321" t="str">
            <v>ASY-100015-01</v>
          </cell>
          <cell r="B2321">
            <v>1</v>
          </cell>
          <cell r="C2321" t="str">
            <v>ASY-100008-00</v>
          </cell>
          <cell r="D2321" t="str">
            <v>Cable Subassembly, Driver housing, 4ft, Trov 2</v>
          </cell>
          <cell r="E2321" t="str">
            <v>A</v>
          </cell>
          <cell r="F2321" t="str">
            <v>Sub assembly</v>
          </cell>
          <cell r="G2321">
            <v>1</v>
          </cell>
          <cell r="H2321">
            <v>0</v>
          </cell>
          <cell r="I2321" t="str">
            <v>Make</v>
          </cell>
        </row>
        <row r="2322">
          <cell r="A2322" t="str">
            <v>ASY-100015-01</v>
          </cell>
          <cell r="B2322">
            <v>2</v>
          </cell>
          <cell r="C2322" t="str">
            <v>ACB-000272-00</v>
          </cell>
          <cell r="D2322" t="str">
            <v>CABLE ASSY, INTRA-FIXTURE, 4FT, TROV 2.0</v>
          </cell>
          <cell r="E2322" t="str">
            <v>B</v>
          </cell>
          <cell r="F2322" t="str">
            <v>Cable Assembly</v>
          </cell>
          <cell r="G2322">
            <v>1</v>
          </cell>
          <cell r="H2322">
            <v>20.420000000000002</v>
          </cell>
          <cell r="I2322" t="str">
            <v>Buy</v>
          </cell>
        </row>
        <row r="2323">
          <cell r="A2323" t="str">
            <v>ASY-100015-01</v>
          </cell>
          <cell r="B2323">
            <v>3</v>
          </cell>
          <cell r="C2323" t="str">
            <v>ACB-000273-00</v>
          </cell>
          <cell r="D2323" t="str">
            <v>6 CONDUCTOR CABLE, 3X22AWG, 3X16AWG, AL MYLAR, TROV 2</v>
          </cell>
          <cell r="E2323" t="str">
            <v>A</v>
          </cell>
          <cell r="F2323" t="str">
            <v>Cable</v>
          </cell>
          <cell r="G2323">
            <v>1</v>
          </cell>
          <cell r="H2323">
            <v>0</v>
          </cell>
          <cell r="I2323" t="str">
            <v>N/A</v>
          </cell>
        </row>
        <row r="2324">
          <cell r="A2324" t="str">
            <v>ASY-100015-01</v>
          </cell>
          <cell r="B2324">
            <v>3</v>
          </cell>
          <cell r="C2324" t="str">
            <v>ACB-000274-00</v>
          </cell>
          <cell r="D2324" t="str">
            <v>CABLE ASSEMBLY, INTERNAL, DRIVER SIDE, 4FT, TROV 2</v>
          </cell>
          <cell r="E2324" t="str">
            <v>A</v>
          </cell>
          <cell r="F2324" t="str">
            <v>Cable Assembly</v>
          </cell>
          <cell r="G2324">
            <v>1</v>
          </cell>
          <cell r="H2324">
            <v>0</v>
          </cell>
          <cell r="I2324" t="str">
            <v>N/A</v>
          </cell>
        </row>
        <row r="2325">
          <cell r="A2325" t="str">
            <v>ASY-100015-01</v>
          </cell>
          <cell r="B2325">
            <v>3</v>
          </cell>
          <cell r="C2325" t="str">
            <v>CON-000259-00</v>
          </cell>
          <cell r="D2325" t="str">
            <v>CONNECTOR, MALE, 6 PIN, TROV 2</v>
          </cell>
          <cell r="E2325" t="str">
            <v>B</v>
          </cell>
          <cell r="F2325" t="str">
            <v>Connector</v>
          </cell>
          <cell r="G2325">
            <v>1</v>
          </cell>
          <cell r="H2325">
            <v>0</v>
          </cell>
          <cell r="I2325" t="str">
            <v>N/A</v>
          </cell>
        </row>
        <row r="2326">
          <cell r="A2326" t="str">
            <v>ASY-100015-01</v>
          </cell>
          <cell r="B2326">
            <v>3</v>
          </cell>
          <cell r="C2326" t="str">
            <v>CON-000260-00</v>
          </cell>
          <cell r="D2326" t="str">
            <v>CONNECTOR, FEMALE, 6 PIN, TROV 2</v>
          </cell>
          <cell r="E2326" t="str">
            <v>A</v>
          </cell>
          <cell r="F2326" t="str">
            <v>Connector</v>
          </cell>
          <cell r="G2326">
            <v>1</v>
          </cell>
          <cell r="H2326">
            <v>0</v>
          </cell>
          <cell r="I2326" t="str">
            <v>N/A</v>
          </cell>
        </row>
        <row r="2327">
          <cell r="A2327" t="str">
            <v>ASY-100015-01</v>
          </cell>
          <cell r="B2327">
            <v>3</v>
          </cell>
          <cell r="C2327" t="str">
            <v>HSG-000330-00</v>
          </cell>
          <cell r="D2327" t="str">
            <v>DRIVER HOUSING, 4 FT, TROV 2</v>
          </cell>
          <cell r="E2327" t="str">
            <v>A</v>
          </cell>
          <cell r="F2327" t="str">
            <v>Housing</v>
          </cell>
          <cell r="G2327">
            <v>1</v>
          </cell>
          <cell r="H2327">
            <v>0</v>
          </cell>
          <cell r="I2327" t="str">
            <v>N/A</v>
          </cell>
        </row>
        <row r="2328">
          <cell r="A2328" t="str">
            <v>ASY-100015-01</v>
          </cell>
          <cell r="B2328">
            <v>3</v>
          </cell>
          <cell r="C2328" t="str">
            <v>ORG-000060-00</v>
          </cell>
          <cell r="D2328" t="str">
            <v>O-RING, CABLE, TROV 2</v>
          </cell>
          <cell r="E2328" t="str">
            <v>A</v>
          </cell>
          <cell r="F2328" t="str">
            <v>O-Ring</v>
          </cell>
          <cell r="G2328">
            <v>1</v>
          </cell>
          <cell r="H2328">
            <v>0</v>
          </cell>
          <cell r="I2328" t="str">
            <v>N/A</v>
          </cell>
        </row>
        <row r="2329">
          <cell r="A2329" t="str">
            <v>ASY-100015-01</v>
          </cell>
          <cell r="B2329">
            <v>3</v>
          </cell>
          <cell r="C2329" t="str">
            <v>SRF-000030-00</v>
          </cell>
          <cell r="D2329" t="str">
            <v>STRAIN RELIEF, CABLE, TROV 2</v>
          </cell>
          <cell r="E2329" t="str">
            <v>A</v>
          </cell>
          <cell r="F2329" t="str">
            <v>Strain Relief</v>
          </cell>
          <cell r="G2329">
            <v>1</v>
          </cell>
          <cell r="H2329">
            <v>0</v>
          </cell>
          <cell r="I2329" t="str">
            <v>N/A</v>
          </cell>
        </row>
        <row r="2330">
          <cell r="A2330" t="str">
            <v>ASY-100015-01</v>
          </cell>
          <cell r="B2330">
            <v>2</v>
          </cell>
          <cell r="C2330" t="str">
            <v>BKT-000517-00</v>
          </cell>
          <cell r="D2330" t="str">
            <v>BRACKET, ROTATING LOCK, 4 FT, TROV 2.0</v>
          </cell>
          <cell r="E2330" t="str">
            <v>B</v>
          </cell>
          <cell r="F2330" t="str">
            <v>Bracket</v>
          </cell>
          <cell r="G2330">
            <v>1</v>
          </cell>
          <cell r="H2330">
            <v>0.9</v>
          </cell>
          <cell r="I2330" t="str">
            <v>Buy</v>
          </cell>
        </row>
        <row r="2331">
          <cell r="A2331" t="str">
            <v>ASY-100015-01</v>
          </cell>
          <cell r="B2331">
            <v>2</v>
          </cell>
          <cell r="C2331" t="str">
            <v>BKT-000518-00</v>
          </cell>
          <cell r="D2331" t="str">
            <v>BRACKET, PANEL MOUNT, 4 FT, TROV 2.0</v>
          </cell>
          <cell r="E2331" t="str">
            <v>B</v>
          </cell>
          <cell r="F2331" t="str">
            <v>Bracket</v>
          </cell>
          <cell r="G2331">
            <v>1</v>
          </cell>
          <cell r="H2331">
            <v>0.9</v>
          </cell>
          <cell r="I2331" t="str">
            <v>Buy</v>
          </cell>
        </row>
        <row r="2332">
          <cell r="A2332" t="str">
            <v>ASY-100015-01</v>
          </cell>
          <cell r="B2332">
            <v>2</v>
          </cell>
          <cell r="C2332" t="str">
            <v>SCW-000509-00</v>
          </cell>
          <cell r="D2332" t="str">
            <v>SCREW, SEALING FLAT HEAD, M3x0.5x8MM</v>
          </cell>
          <cell r="E2332" t="str">
            <v>B</v>
          </cell>
          <cell r="F2332" t="str">
            <v>Screw</v>
          </cell>
          <cell r="G2332">
            <v>2</v>
          </cell>
          <cell r="H2332">
            <v>0.4</v>
          </cell>
          <cell r="I2332" t="str">
            <v>Buy</v>
          </cell>
        </row>
        <row r="2333">
          <cell r="A2333" t="str">
            <v>ASY-100015-01</v>
          </cell>
          <cell r="B2333">
            <v>1</v>
          </cell>
          <cell r="C2333" t="str">
            <v>BAS-000021-00</v>
          </cell>
          <cell r="D2333" t="str">
            <v>BASE, 4FT, TROV 2.0</v>
          </cell>
          <cell r="E2333" t="str">
            <v>F</v>
          </cell>
          <cell r="F2333" t="str">
            <v>Base</v>
          </cell>
          <cell r="G2333">
            <v>1</v>
          </cell>
          <cell r="H2333">
            <v>14.25</v>
          </cell>
          <cell r="I2333" t="str">
            <v>Buy</v>
          </cell>
        </row>
        <row r="2334">
          <cell r="A2334" t="str">
            <v>ASY-100015-01</v>
          </cell>
          <cell r="B2334">
            <v>1</v>
          </cell>
          <cell r="C2334" t="str">
            <v>BKT-000457-03</v>
          </cell>
          <cell r="D2334" t="str">
            <v>BRACKET, MOUNT, LEFT, BLACK, TROV 2.0</v>
          </cell>
          <cell r="E2334" t="str">
            <v>C</v>
          </cell>
          <cell r="F2334" t="str">
            <v>Bracket</v>
          </cell>
          <cell r="G2334">
            <v>1</v>
          </cell>
          <cell r="H2334">
            <v>0.99</v>
          </cell>
          <cell r="I2334" t="str">
            <v>Buy</v>
          </cell>
        </row>
        <row r="2335">
          <cell r="A2335" t="str">
            <v>ASY-100015-01</v>
          </cell>
          <cell r="B2335">
            <v>1</v>
          </cell>
          <cell r="C2335" t="str">
            <v>BKT-000458-03</v>
          </cell>
          <cell r="D2335" t="str">
            <v>BRACKET, MOUNT, RIGHT, BLACK, TROV 2.0</v>
          </cell>
          <cell r="E2335" t="str">
            <v>C</v>
          </cell>
          <cell r="F2335" t="str">
            <v>Bracket</v>
          </cell>
          <cell r="G2335">
            <v>1</v>
          </cell>
          <cell r="H2335">
            <v>0.99</v>
          </cell>
          <cell r="I2335" t="str">
            <v>Buy</v>
          </cell>
        </row>
        <row r="2336">
          <cell r="A2336" t="str">
            <v>ASY-100015-01</v>
          </cell>
          <cell r="B2336">
            <v>1</v>
          </cell>
          <cell r="C2336" t="str">
            <v>CVR-000791-03</v>
          </cell>
          <cell r="D2336" t="str">
            <v>END COVER, FC, BLACK, L45, TROV 2.0</v>
          </cell>
          <cell r="E2336" t="str">
            <v>D</v>
          </cell>
          <cell r="F2336" t="str">
            <v>Cover</v>
          </cell>
          <cell r="G2336">
            <v>1</v>
          </cell>
          <cell r="H2336">
            <v>1.07</v>
          </cell>
          <cell r="I2336" t="str">
            <v>Buy</v>
          </cell>
        </row>
        <row r="2337">
          <cell r="A2337" t="str">
            <v>ASY-100015-01</v>
          </cell>
          <cell r="B2337">
            <v>1</v>
          </cell>
          <cell r="C2337" t="str">
            <v>CVR-000894-03</v>
          </cell>
          <cell r="D2337" t="str">
            <v>END COVER, MC, BLACK, L45, TROV 2.0</v>
          </cell>
          <cell r="E2337" t="str">
            <v>B</v>
          </cell>
          <cell r="F2337" t="str">
            <v>Cover</v>
          </cell>
          <cell r="G2337">
            <v>1</v>
          </cell>
          <cell r="H2337">
            <v>1.07</v>
          </cell>
          <cell r="I2337" t="str">
            <v>Buy</v>
          </cell>
        </row>
        <row r="2338">
          <cell r="A2338" t="str">
            <v>ASY-100015-01</v>
          </cell>
          <cell r="B2338">
            <v>1</v>
          </cell>
          <cell r="C2338" t="str">
            <v>FOM-000029-00</v>
          </cell>
          <cell r="D2338" t="str">
            <v>FOAM, LIGHTBLOCK, ENDCAP, L45, TROV2</v>
          </cell>
          <cell r="E2338" t="str">
            <v>A</v>
          </cell>
          <cell r="F2338" t="str">
            <v>Foam</v>
          </cell>
          <cell r="G2338">
            <v>2</v>
          </cell>
          <cell r="H2338">
            <v>0.02</v>
          </cell>
          <cell r="I2338" t="str">
            <v>Buy</v>
          </cell>
        </row>
        <row r="2339">
          <cell r="A2339" t="str">
            <v>ASY-100015-01</v>
          </cell>
          <cell r="B2339">
            <v>1</v>
          </cell>
          <cell r="C2339" t="str">
            <v>GSK-000114-01</v>
          </cell>
          <cell r="D2339" t="str">
            <v>GASKET, TERTIARY LENS, 3M, 2 FT, L45, TROV 2.0</v>
          </cell>
          <cell r="E2339" t="str">
            <v>D</v>
          </cell>
          <cell r="F2339" t="str">
            <v>Gasket</v>
          </cell>
          <cell r="G2339">
            <v>2</v>
          </cell>
          <cell r="H2339">
            <v>2.65</v>
          </cell>
          <cell r="I2339" t="str">
            <v>Buy</v>
          </cell>
        </row>
        <row r="2340">
          <cell r="A2340" t="str">
            <v>ASY-100015-01</v>
          </cell>
          <cell r="B2340">
            <v>1</v>
          </cell>
          <cell r="C2340" t="str">
            <v>GSK-000122-01</v>
          </cell>
          <cell r="D2340" t="str">
            <v>GASKET, DRIVER ENCLOSURE, 3M, 4 FT, TROV 2.0</v>
          </cell>
          <cell r="E2340" t="str">
            <v>B</v>
          </cell>
          <cell r="F2340" t="str">
            <v>Gasket</v>
          </cell>
          <cell r="G2340">
            <v>1</v>
          </cell>
          <cell r="H2340">
            <v>2.0299999999999998</v>
          </cell>
          <cell r="I2340" t="str">
            <v>Buy</v>
          </cell>
        </row>
        <row r="2341">
          <cell r="A2341" t="str">
            <v>ASY-100015-01</v>
          </cell>
          <cell r="B2341">
            <v>1</v>
          </cell>
          <cell r="C2341" t="str">
            <v>HSG-000494-01</v>
          </cell>
          <cell r="D2341" t="str">
            <v>HOUSING, TOP, 4 FT, L45, SILVER, TROV 2.0</v>
          </cell>
          <cell r="E2341" t="str">
            <v>E</v>
          </cell>
          <cell r="F2341" t="str">
            <v>Housing</v>
          </cell>
          <cell r="G2341">
            <v>1</v>
          </cell>
          <cell r="H2341">
            <v>14.25</v>
          </cell>
          <cell r="I2341" t="str">
            <v>Buy</v>
          </cell>
        </row>
        <row r="2342">
          <cell r="A2342" t="str">
            <v>ASY-100015-01</v>
          </cell>
          <cell r="B2342">
            <v>1</v>
          </cell>
          <cell r="C2342" t="str">
            <v>HSG-000495-01</v>
          </cell>
          <cell r="D2342" t="str">
            <v>HOUSING, BOTTOM, 4 FT, SILVER, TROV 2.0</v>
          </cell>
          <cell r="E2342" t="str">
            <v>F</v>
          </cell>
          <cell r="F2342" t="str">
            <v>Housing</v>
          </cell>
          <cell r="G2342">
            <v>1</v>
          </cell>
          <cell r="H2342">
            <v>32.49</v>
          </cell>
          <cell r="I2342" t="str">
            <v>Buy</v>
          </cell>
        </row>
        <row r="2343">
          <cell r="A2343" t="str">
            <v>ASY-100015-01</v>
          </cell>
          <cell r="B2343">
            <v>1</v>
          </cell>
          <cell r="C2343" t="str">
            <v>LBA-000003-00</v>
          </cell>
          <cell r="D2343" t="str">
            <v>Label: TROV 2 P1/P2, Model L45/L60</v>
          </cell>
          <cell r="E2343" t="str">
            <v>A</v>
          </cell>
          <cell r="F2343" t="str">
            <v>Label BOM</v>
          </cell>
          <cell r="G2343">
            <v>1</v>
          </cell>
          <cell r="H2343">
            <v>0</v>
          </cell>
          <cell r="I2343" t="str">
            <v>Make</v>
          </cell>
        </row>
        <row r="2344">
          <cell r="A2344" t="str">
            <v>ASY-100015-01</v>
          </cell>
          <cell r="B2344">
            <v>2</v>
          </cell>
          <cell r="C2344" t="str">
            <v>LBL-000243-00</v>
          </cell>
          <cell r="D2344" t="str">
            <v>Blank Product Label: Trov 2 P1/P2, Model L45/L60</v>
          </cell>
          <cell r="E2344" t="str">
            <v>A</v>
          </cell>
          <cell r="F2344" t="str">
            <v>Label</v>
          </cell>
          <cell r="G2344">
            <v>1</v>
          </cell>
          <cell r="H2344">
            <v>0.33</v>
          </cell>
          <cell r="I2344" t="str">
            <v>Buy</v>
          </cell>
        </row>
        <row r="2345">
          <cell r="A2345" t="str">
            <v>ASY-100015-01</v>
          </cell>
          <cell r="B2345">
            <v>1</v>
          </cell>
          <cell r="C2345" t="str">
            <v>PLG-000009-01</v>
          </cell>
          <cell r="D2345" t="str">
            <v>Porex Vent, Trov, L50 Exterior</v>
          </cell>
          <cell r="E2345" t="str">
            <v>B</v>
          </cell>
          <cell r="F2345" t="str">
            <v>Plug</v>
          </cell>
          <cell r="G2345">
            <v>2</v>
          </cell>
          <cell r="H2345">
            <v>0.17</v>
          </cell>
          <cell r="I2345" t="str">
            <v>Buy</v>
          </cell>
        </row>
        <row r="2346">
          <cell r="A2346" t="str">
            <v>ASY-100015-01</v>
          </cell>
          <cell r="B2346">
            <v>1</v>
          </cell>
          <cell r="C2346" t="str">
            <v>SCW-000156-00</v>
          </cell>
          <cell r="D2346" t="str">
            <v>SCREW, M3 x 0.5 X 8mm, PAND HEAD, PHILLIPS, STEEL</v>
          </cell>
          <cell r="E2346" t="str">
            <v>B</v>
          </cell>
          <cell r="F2346" t="str">
            <v>Screw</v>
          </cell>
          <cell r="G2346">
            <v>6</v>
          </cell>
          <cell r="H2346">
            <v>4.4400000000000002E-2</v>
          </cell>
          <cell r="I2346" t="str">
            <v>Buy</v>
          </cell>
        </row>
        <row r="2347">
          <cell r="A2347" t="str">
            <v>ASY-100015-01</v>
          </cell>
          <cell r="B2347">
            <v>1</v>
          </cell>
          <cell r="C2347" t="str">
            <v>SCW-000483-00</v>
          </cell>
          <cell r="D2347" t="str">
            <v>SCREW, PHILIPS FLAT HEAD, M2.5x0.45x5 , 18-8 SST</v>
          </cell>
          <cell r="E2347" t="str">
            <v>A</v>
          </cell>
          <cell r="F2347" t="str">
            <v>Screw</v>
          </cell>
          <cell r="G2347">
            <v>4</v>
          </cell>
          <cell r="H2347">
            <v>0.02</v>
          </cell>
          <cell r="I2347" t="str">
            <v>Buy</v>
          </cell>
        </row>
        <row r="2348">
          <cell r="A2348" t="str">
            <v>ASY-100015-01</v>
          </cell>
          <cell r="B2348">
            <v>1</v>
          </cell>
          <cell r="C2348" t="str">
            <v>SCW-000556-00</v>
          </cell>
          <cell r="D2348" t="str">
            <v>SCREW, HEX, SERRATED, #8-32, GROUNDING, TROV 2</v>
          </cell>
          <cell r="E2348" t="str">
            <v>A</v>
          </cell>
          <cell r="F2348" t="str">
            <v>Screw</v>
          </cell>
          <cell r="G2348">
            <v>1</v>
          </cell>
          <cell r="H2348">
            <v>0.04</v>
          </cell>
          <cell r="I2348" t="str">
            <v>Buy</v>
          </cell>
        </row>
        <row r="2349">
          <cell r="A2349" t="str">
            <v>ASY-100015-01</v>
          </cell>
          <cell r="B2349">
            <v>1</v>
          </cell>
          <cell r="C2349" t="str">
            <v>SCW-000567-00</v>
          </cell>
          <cell r="D2349" t="str">
            <v>SCREW, M2.5 x 0.45 x 12.0mm LENGTH, PAN HD, PHILLIPS, ZINC-PLATED STEEL</v>
          </cell>
          <cell r="E2349" t="str">
            <v>A</v>
          </cell>
          <cell r="F2349" t="str">
            <v>Screw</v>
          </cell>
          <cell r="G2349">
            <v>4</v>
          </cell>
          <cell r="H2349">
            <v>0.06</v>
          </cell>
          <cell r="I2349" t="str">
            <v>Buy</v>
          </cell>
        </row>
        <row r="2350">
          <cell r="A2350" t="str">
            <v>ASY-100015-01</v>
          </cell>
          <cell r="B2350">
            <v>1</v>
          </cell>
          <cell r="C2350" t="str">
            <v>SCW-000574-00</v>
          </cell>
          <cell r="D2350" t="str">
            <v>SCREW, TORX HEAD, 1/4-28x1/2", LOW PROFILE, ALLOY STEEL</v>
          </cell>
          <cell r="E2350" t="str">
            <v>A</v>
          </cell>
          <cell r="F2350" t="str">
            <v>Screw</v>
          </cell>
          <cell r="G2350">
            <v>2</v>
          </cell>
          <cell r="H2350">
            <v>0.14000000000000001</v>
          </cell>
          <cell r="I2350" t="str">
            <v>Buy</v>
          </cell>
        </row>
        <row r="2351">
          <cell r="A2351" t="str">
            <v>ASY-100015-01</v>
          </cell>
          <cell r="B2351">
            <v>1</v>
          </cell>
          <cell r="C2351" t="str">
            <v>SHT-000043-00</v>
          </cell>
          <cell r="D2351" t="str">
            <v>INSULATION SHEET, HBA, 4FT,TROV 2</v>
          </cell>
          <cell r="E2351" t="str">
            <v>D</v>
          </cell>
          <cell r="F2351" t="str">
            <v>Sheet</v>
          </cell>
          <cell r="G2351">
            <v>1</v>
          </cell>
          <cell r="H2351">
            <v>0.25</v>
          </cell>
          <cell r="I2351" t="str">
            <v>Buy</v>
          </cell>
        </row>
        <row r="2352">
          <cell r="A2352" t="str">
            <v>ASY-100015-01</v>
          </cell>
          <cell r="B2352">
            <v>1</v>
          </cell>
          <cell r="C2352" t="str">
            <v>SPG-000023-00</v>
          </cell>
          <cell r="D2352" t="str">
            <v>SPRING, DISC, STACKED WAVE, TROV 2.0</v>
          </cell>
          <cell r="E2352" t="str">
            <v>A</v>
          </cell>
          <cell r="F2352" t="str">
            <v>Spring</v>
          </cell>
          <cell r="G2352">
            <v>2</v>
          </cell>
          <cell r="H2352">
            <v>1.74</v>
          </cell>
          <cell r="I2352" t="str">
            <v>Buy</v>
          </cell>
        </row>
        <row r="2353">
          <cell r="A2353" t="str">
            <v>ASY-100015-01</v>
          </cell>
          <cell r="B2353">
            <v>1</v>
          </cell>
          <cell r="C2353" t="str">
            <v>TAP-000031-00</v>
          </cell>
          <cell r="D2353" t="str">
            <v>3M Electrical Tape 92</v>
          </cell>
          <cell r="E2353" t="str">
            <v>A</v>
          </cell>
          <cell r="F2353" t="str">
            <v>Tape</v>
          </cell>
          <cell r="G2353">
            <v>120</v>
          </cell>
          <cell r="H2353">
            <v>1.4E-2</v>
          </cell>
          <cell r="I2353" t="str">
            <v>Buy</v>
          </cell>
        </row>
        <row r="2354">
          <cell r="A2354" t="str">
            <v>ASY-100015-01</v>
          </cell>
          <cell r="B2354">
            <v>1</v>
          </cell>
          <cell r="C2354" t="str">
            <v>TMP-000028-00</v>
          </cell>
          <cell r="D2354" t="str">
            <v>Thermal Pad, LED PCBA, 2 FT, TROV 2</v>
          </cell>
          <cell r="E2354" t="str">
            <v>B</v>
          </cell>
          <cell r="F2354" t="str">
            <v>Thermal Pad</v>
          </cell>
          <cell r="G2354">
            <v>2</v>
          </cell>
          <cell r="H2354">
            <v>1.32</v>
          </cell>
          <cell r="I2354" t="str">
            <v>Buy</v>
          </cell>
        </row>
        <row r="2355">
          <cell r="A2355" t="str">
            <v>ASY-100015-01</v>
          </cell>
          <cell r="B2355">
            <v>1</v>
          </cell>
          <cell r="C2355" t="str">
            <v>TMP-000029-00</v>
          </cell>
          <cell r="D2355" t="str">
            <v>Thermal Pad, HBA, TROV 2</v>
          </cell>
          <cell r="E2355" t="str">
            <v>B</v>
          </cell>
          <cell r="F2355" t="str">
            <v>Thermal Pad</v>
          </cell>
          <cell r="G2355">
            <v>2</v>
          </cell>
          <cell r="H2355">
            <v>0.14000000000000001</v>
          </cell>
          <cell r="I2355" t="str">
            <v>Buy</v>
          </cell>
        </row>
        <row r="2356">
          <cell r="A2356" t="str">
            <v>ASY-100015-01</v>
          </cell>
          <cell r="B2356">
            <v>1</v>
          </cell>
          <cell r="C2356" t="str">
            <v>TMP-000032-00</v>
          </cell>
          <cell r="D2356" t="str">
            <v>Thermal Pad, HBA, TROV 2</v>
          </cell>
          <cell r="E2356" t="str">
            <v>A</v>
          </cell>
          <cell r="F2356" t="str">
            <v>Thermal Pad</v>
          </cell>
          <cell r="G2356">
            <v>1</v>
          </cell>
          <cell r="H2356">
            <v>0.03</v>
          </cell>
          <cell r="I2356" t="str">
            <v>Buy</v>
          </cell>
        </row>
        <row r="2357">
          <cell r="A2357" t="str">
            <v>ASY-100015-02</v>
          </cell>
          <cell r="B2357">
            <v>0</v>
          </cell>
          <cell r="C2357" t="str">
            <v>ASY-100015-02</v>
          </cell>
          <cell r="D2357" t="str">
            <v>ASSY, MECHANICAL, L45, INDOOR, 4 FT, TROV2P2, DYNAMIC, BRONZE</v>
          </cell>
          <cell r="E2357" t="str">
            <v>A</v>
          </cell>
          <cell r="F2357" t="str">
            <v>Sub assembly</v>
          </cell>
          <cell r="H2357">
            <v>0</v>
          </cell>
          <cell r="I2357" t="str">
            <v>Make</v>
          </cell>
        </row>
        <row r="2358">
          <cell r="A2358" t="str">
            <v>ASY-100015-02</v>
          </cell>
          <cell r="B2358">
            <v>1</v>
          </cell>
          <cell r="C2358" t="str">
            <v>ACB-000275-00</v>
          </cell>
          <cell r="D2358" t="str">
            <v>CABLE, CANBUS, SHORT, TROV 2</v>
          </cell>
          <cell r="E2358" t="str">
            <v>A</v>
          </cell>
          <cell r="F2358" t="str">
            <v>Cable</v>
          </cell>
          <cell r="G2358">
            <v>1</v>
          </cell>
          <cell r="H2358">
            <v>0.7</v>
          </cell>
          <cell r="I2358" t="str">
            <v>Buy</v>
          </cell>
        </row>
        <row r="2359">
          <cell r="A2359" t="str">
            <v>ASY-100015-02</v>
          </cell>
          <cell r="B2359">
            <v>1</v>
          </cell>
          <cell r="C2359" t="str">
            <v>ACB-000275-01</v>
          </cell>
          <cell r="D2359" t="str">
            <v>CABLE, CANBUS, LONG, TROV 2</v>
          </cell>
          <cell r="E2359" t="str">
            <v>A</v>
          </cell>
          <cell r="F2359" t="str">
            <v>Cable</v>
          </cell>
          <cell r="G2359">
            <v>1</v>
          </cell>
          <cell r="H2359">
            <v>0.81</v>
          </cell>
          <cell r="I2359" t="str">
            <v>Buy</v>
          </cell>
        </row>
        <row r="2360">
          <cell r="A2360" t="str">
            <v>ASY-100015-02</v>
          </cell>
          <cell r="B2360">
            <v>1</v>
          </cell>
          <cell r="C2360" t="str">
            <v>ASY-100008-00</v>
          </cell>
          <cell r="D2360" t="str">
            <v>Cable Subassembly, Driver housing, 4ft, Trov 2</v>
          </cell>
          <cell r="E2360" t="str">
            <v>A</v>
          </cell>
          <cell r="F2360" t="str">
            <v>Sub assembly</v>
          </cell>
          <cell r="G2360">
            <v>1</v>
          </cell>
          <cell r="H2360">
            <v>0</v>
          </cell>
          <cell r="I2360" t="str">
            <v>Make</v>
          </cell>
        </row>
        <row r="2361">
          <cell r="A2361" t="str">
            <v>ASY-100015-02</v>
          </cell>
          <cell r="B2361">
            <v>2</v>
          </cell>
          <cell r="C2361" t="str">
            <v>ACB-000272-00</v>
          </cell>
          <cell r="D2361" t="str">
            <v>CABLE ASSY, INTRA-FIXTURE, 4FT, TROV 2.0</v>
          </cell>
          <cell r="E2361" t="str">
            <v>B</v>
          </cell>
          <cell r="F2361" t="str">
            <v>Cable Assembly</v>
          </cell>
          <cell r="G2361">
            <v>1</v>
          </cell>
          <cell r="H2361">
            <v>20.420000000000002</v>
          </cell>
          <cell r="I2361" t="str">
            <v>Buy</v>
          </cell>
        </row>
        <row r="2362">
          <cell r="A2362" t="str">
            <v>ASY-100015-02</v>
          </cell>
          <cell r="B2362">
            <v>3</v>
          </cell>
          <cell r="C2362" t="str">
            <v>ACB-000273-00</v>
          </cell>
          <cell r="D2362" t="str">
            <v>6 CONDUCTOR CABLE, 3X22AWG, 3X16AWG, AL MYLAR, TROV 2</v>
          </cell>
          <cell r="E2362" t="str">
            <v>A</v>
          </cell>
          <cell r="F2362" t="str">
            <v>Cable</v>
          </cell>
          <cell r="G2362">
            <v>1</v>
          </cell>
          <cell r="H2362">
            <v>0</v>
          </cell>
          <cell r="I2362" t="str">
            <v>N/A</v>
          </cell>
        </row>
        <row r="2363">
          <cell r="A2363" t="str">
            <v>ASY-100015-02</v>
          </cell>
          <cell r="B2363">
            <v>3</v>
          </cell>
          <cell r="C2363" t="str">
            <v>ACB-000274-00</v>
          </cell>
          <cell r="D2363" t="str">
            <v>CABLE ASSEMBLY, INTERNAL, DRIVER SIDE, 4FT, TROV 2</v>
          </cell>
          <cell r="E2363" t="str">
            <v>A</v>
          </cell>
          <cell r="F2363" t="str">
            <v>Cable Assembly</v>
          </cell>
          <cell r="G2363">
            <v>1</v>
          </cell>
          <cell r="H2363">
            <v>0</v>
          </cell>
          <cell r="I2363" t="str">
            <v>N/A</v>
          </cell>
        </row>
        <row r="2364">
          <cell r="A2364" t="str">
            <v>ASY-100015-02</v>
          </cell>
          <cell r="B2364">
            <v>3</v>
          </cell>
          <cell r="C2364" t="str">
            <v>CON-000259-00</v>
          </cell>
          <cell r="D2364" t="str">
            <v>CONNECTOR, MALE, 6 PIN, TROV 2</v>
          </cell>
          <cell r="E2364" t="str">
            <v>B</v>
          </cell>
          <cell r="F2364" t="str">
            <v>Connector</v>
          </cell>
          <cell r="G2364">
            <v>1</v>
          </cell>
          <cell r="H2364">
            <v>0</v>
          </cell>
          <cell r="I2364" t="str">
            <v>N/A</v>
          </cell>
        </row>
        <row r="2365">
          <cell r="A2365" t="str">
            <v>ASY-100015-02</v>
          </cell>
          <cell r="B2365">
            <v>3</v>
          </cell>
          <cell r="C2365" t="str">
            <v>CON-000260-00</v>
          </cell>
          <cell r="D2365" t="str">
            <v>CONNECTOR, FEMALE, 6 PIN, TROV 2</v>
          </cell>
          <cell r="E2365" t="str">
            <v>A</v>
          </cell>
          <cell r="F2365" t="str">
            <v>Connector</v>
          </cell>
          <cell r="G2365">
            <v>1</v>
          </cell>
          <cell r="H2365">
            <v>0</v>
          </cell>
          <cell r="I2365" t="str">
            <v>N/A</v>
          </cell>
        </row>
        <row r="2366">
          <cell r="A2366" t="str">
            <v>ASY-100015-02</v>
          </cell>
          <cell r="B2366">
            <v>3</v>
          </cell>
          <cell r="C2366" t="str">
            <v>HSG-000330-00</v>
          </cell>
          <cell r="D2366" t="str">
            <v>DRIVER HOUSING, 4 FT, TROV 2</v>
          </cell>
          <cell r="E2366" t="str">
            <v>A</v>
          </cell>
          <cell r="F2366" t="str">
            <v>Housing</v>
          </cell>
          <cell r="G2366">
            <v>1</v>
          </cell>
          <cell r="H2366">
            <v>0</v>
          </cell>
          <cell r="I2366" t="str">
            <v>N/A</v>
          </cell>
        </row>
        <row r="2367">
          <cell r="A2367" t="str">
            <v>ASY-100015-02</v>
          </cell>
          <cell r="B2367">
            <v>3</v>
          </cell>
          <cell r="C2367" t="str">
            <v>ORG-000060-00</v>
          </cell>
          <cell r="D2367" t="str">
            <v>O-RING, CABLE, TROV 2</v>
          </cell>
          <cell r="E2367" t="str">
            <v>A</v>
          </cell>
          <cell r="F2367" t="str">
            <v>O-Ring</v>
          </cell>
          <cell r="G2367">
            <v>1</v>
          </cell>
          <cell r="H2367">
            <v>0</v>
          </cell>
          <cell r="I2367" t="str">
            <v>N/A</v>
          </cell>
        </row>
        <row r="2368">
          <cell r="A2368" t="str">
            <v>ASY-100015-02</v>
          </cell>
          <cell r="B2368">
            <v>3</v>
          </cell>
          <cell r="C2368" t="str">
            <v>SRF-000030-00</v>
          </cell>
          <cell r="D2368" t="str">
            <v>STRAIN RELIEF, CABLE, TROV 2</v>
          </cell>
          <cell r="E2368" t="str">
            <v>A</v>
          </cell>
          <cell r="F2368" t="str">
            <v>Strain Relief</v>
          </cell>
          <cell r="G2368">
            <v>1</v>
          </cell>
          <cell r="H2368">
            <v>0</v>
          </cell>
          <cell r="I2368" t="str">
            <v>N/A</v>
          </cell>
        </row>
        <row r="2369">
          <cell r="A2369" t="str">
            <v>ASY-100015-02</v>
          </cell>
          <cell r="B2369">
            <v>2</v>
          </cell>
          <cell r="C2369" t="str">
            <v>BKT-000517-00</v>
          </cell>
          <cell r="D2369" t="str">
            <v>BRACKET, ROTATING LOCK, 4 FT, TROV 2.0</v>
          </cell>
          <cell r="E2369" t="str">
            <v>B</v>
          </cell>
          <cell r="F2369" t="str">
            <v>Bracket</v>
          </cell>
          <cell r="G2369">
            <v>1</v>
          </cell>
          <cell r="H2369">
            <v>0.9</v>
          </cell>
          <cell r="I2369" t="str">
            <v>Buy</v>
          </cell>
        </row>
        <row r="2370">
          <cell r="A2370" t="str">
            <v>ASY-100015-02</v>
          </cell>
          <cell r="B2370">
            <v>2</v>
          </cell>
          <cell r="C2370" t="str">
            <v>BKT-000518-00</v>
          </cell>
          <cell r="D2370" t="str">
            <v>BRACKET, PANEL MOUNT, 4 FT, TROV 2.0</v>
          </cell>
          <cell r="E2370" t="str">
            <v>B</v>
          </cell>
          <cell r="F2370" t="str">
            <v>Bracket</v>
          </cell>
          <cell r="G2370">
            <v>1</v>
          </cell>
          <cell r="H2370">
            <v>0.9</v>
          </cell>
          <cell r="I2370" t="str">
            <v>Buy</v>
          </cell>
        </row>
        <row r="2371">
          <cell r="A2371" t="str">
            <v>ASY-100015-02</v>
          </cell>
          <cell r="B2371">
            <v>2</v>
          </cell>
          <cell r="C2371" t="str">
            <v>SCW-000509-00</v>
          </cell>
          <cell r="D2371" t="str">
            <v>SCREW, SEALING FLAT HEAD, M3x0.5x8MM</v>
          </cell>
          <cell r="E2371" t="str">
            <v>B</v>
          </cell>
          <cell r="F2371" t="str">
            <v>Screw</v>
          </cell>
          <cell r="G2371">
            <v>2</v>
          </cell>
          <cell r="H2371">
            <v>0.4</v>
          </cell>
          <cell r="I2371" t="str">
            <v>Buy</v>
          </cell>
        </row>
        <row r="2372">
          <cell r="A2372" t="str">
            <v>ASY-100015-02</v>
          </cell>
          <cell r="B2372">
            <v>1</v>
          </cell>
          <cell r="C2372" t="str">
            <v>BAS-000021-00</v>
          </cell>
          <cell r="D2372" t="str">
            <v>BASE, 4FT, TROV 2.0</v>
          </cell>
          <cell r="E2372" t="str">
            <v>F</v>
          </cell>
          <cell r="F2372" t="str">
            <v>Base</v>
          </cell>
          <cell r="G2372">
            <v>1</v>
          </cell>
          <cell r="H2372">
            <v>14.25</v>
          </cell>
          <cell r="I2372" t="str">
            <v>Buy</v>
          </cell>
        </row>
        <row r="2373">
          <cell r="A2373" t="str">
            <v>ASY-100015-02</v>
          </cell>
          <cell r="B2373">
            <v>1</v>
          </cell>
          <cell r="C2373" t="str">
            <v>BKT-000457-03</v>
          </cell>
          <cell r="D2373" t="str">
            <v>BRACKET, MOUNT, LEFT, BLACK, TROV 2.0</v>
          </cell>
          <cell r="E2373" t="str">
            <v>C</v>
          </cell>
          <cell r="F2373" t="str">
            <v>Bracket</v>
          </cell>
          <cell r="G2373">
            <v>1</v>
          </cell>
          <cell r="H2373">
            <v>0.99</v>
          </cell>
          <cell r="I2373" t="str">
            <v>Buy</v>
          </cell>
        </row>
        <row r="2374">
          <cell r="A2374" t="str">
            <v>ASY-100015-02</v>
          </cell>
          <cell r="B2374">
            <v>1</v>
          </cell>
          <cell r="C2374" t="str">
            <v>BKT-000458-03</v>
          </cell>
          <cell r="D2374" t="str">
            <v>BRACKET, MOUNT, RIGHT, BLACK, TROV 2.0</v>
          </cell>
          <cell r="E2374" t="str">
            <v>C</v>
          </cell>
          <cell r="F2374" t="str">
            <v>Bracket</v>
          </cell>
          <cell r="G2374">
            <v>1</v>
          </cell>
          <cell r="H2374">
            <v>0.99</v>
          </cell>
          <cell r="I2374" t="str">
            <v>Buy</v>
          </cell>
        </row>
        <row r="2375">
          <cell r="A2375" t="str">
            <v>ASY-100015-02</v>
          </cell>
          <cell r="B2375">
            <v>1</v>
          </cell>
          <cell r="C2375" t="str">
            <v>CVR-000791-02</v>
          </cell>
          <cell r="D2375" t="str">
            <v>END COVER, FC, BRONZE, L45, TROV 2.0</v>
          </cell>
          <cell r="E2375" t="str">
            <v>D</v>
          </cell>
          <cell r="F2375" t="str">
            <v>Cover</v>
          </cell>
          <cell r="G2375">
            <v>1</v>
          </cell>
          <cell r="H2375">
            <v>1.07</v>
          </cell>
          <cell r="I2375" t="str">
            <v>Buy</v>
          </cell>
        </row>
        <row r="2376">
          <cell r="A2376" t="str">
            <v>ASY-100015-02</v>
          </cell>
          <cell r="B2376">
            <v>1</v>
          </cell>
          <cell r="C2376" t="str">
            <v>CVR-000894-02</v>
          </cell>
          <cell r="D2376" t="str">
            <v>END COVER, MC, BRONZE, L45, TROV 2.0</v>
          </cell>
          <cell r="E2376" t="str">
            <v>B</v>
          </cell>
          <cell r="F2376" t="str">
            <v>Cover</v>
          </cell>
          <cell r="G2376">
            <v>1</v>
          </cell>
          <cell r="H2376">
            <v>1.07</v>
          </cell>
          <cell r="I2376" t="str">
            <v>Buy</v>
          </cell>
        </row>
        <row r="2377">
          <cell r="A2377" t="str">
            <v>ASY-100015-02</v>
          </cell>
          <cell r="B2377">
            <v>1</v>
          </cell>
          <cell r="C2377" t="str">
            <v>FOM-000029-00</v>
          </cell>
          <cell r="D2377" t="str">
            <v>FOAM, LIGHTBLOCK, ENDCAP, L45, TROV2</v>
          </cell>
          <cell r="E2377" t="str">
            <v>A</v>
          </cell>
          <cell r="F2377" t="str">
            <v>Foam</v>
          </cell>
          <cell r="G2377">
            <v>2</v>
          </cell>
          <cell r="H2377">
            <v>0.02</v>
          </cell>
          <cell r="I2377" t="str">
            <v>Buy</v>
          </cell>
        </row>
        <row r="2378">
          <cell r="A2378" t="str">
            <v>ASY-100015-02</v>
          </cell>
          <cell r="B2378">
            <v>1</v>
          </cell>
          <cell r="C2378" t="str">
            <v>GSK-000114-01</v>
          </cell>
          <cell r="D2378" t="str">
            <v>GASKET, TERTIARY LENS, 3M, 2 FT, L45, TROV 2.0</v>
          </cell>
          <cell r="E2378" t="str">
            <v>D</v>
          </cell>
          <cell r="F2378" t="str">
            <v>Gasket</v>
          </cell>
          <cell r="G2378">
            <v>2</v>
          </cell>
          <cell r="H2378">
            <v>2.65</v>
          </cell>
          <cell r="I2378" t="str">
            <v>Buy</v>
          </cell>
        </row>
        <row r="2379">
          <cell r="A2379" t="str">
            <v>ASY-100015-02</v>
          </cell>
          <cell r="B2379">
            <v>1</v>
          </cell>
          <cell r="C2379" t="str">
            <v>GSK-000122-01</v>
          </cell>
          <cell r="D2379" t="str">
            <v>GASKET, DRIVER ENCLOSURE, 3M, 4 FT, TROV 2.0</v>
          </cell>
          <cell r="E2379" t="str">
            <v>B</v>
          </cell>
          <cell r="F2379" t="str">
            <v>Gasket</v>
          </cell>
          <cell r="G2379">
            <v>1</v>
          </cell>
          <cell r="H2379">
            <v>2.0299999999999998</v>
          </cell>
          <cell r="I2379" t="str">
            <v>Buy</v>
          </cell>
        </row>
        <row r="2380">
          <cell r="A2380" t="str">
            <v>ASY-100015-02</v>
          </cell>
          <cell r="B2380">
            <v>1</v>
          </cell>
          <cell r="C2380" t="str">
            <v>HSG-000494-02</v>
          </cell>
          <cell r="D2380" t="str">
            <v>HOUSING, TOP, 4 FT, L45, BRONZE, TROV 2.0</v>
          </cell>
          <cell r="E2380" t="str">
            <v>E</v>
          </cell>
          <cell r="F2380" t="str">
            <v>Housing</v>
          </cell>
          <cell r="G2380">
            <v>1</v>
          </cell>
          <cell r="H2380">
            <v>0</v>
          </cell>
          <cell r="I2380" t="str">
            <v>Buy</v>
          </cell>
        </row>
        <row r="2381">
          <cell r="A2381" t="str">
            <v>ASY-100015-02</v>
          </cell>
          <cell r="B2381">
            <v>1</v>
          </cell>
          <cell r="C2381" t="str">
            <v>HSG-000495-02</v>
          </cell>
          <cell r="D2381" t="str">
            <v>HOUSING, BOTTOM, 4 FT, BRONZE, TROV 2.0</v>
          </cell>
          <cell r="E2381" t="str">
            <v>F</v>
          </cell>
          <cell r="F2381" t="str">
            <v>Housing</v>
          </cell>
          <cell r="G2381">
            <v>1</v>
          </cell>
          <cell r="H2381">
            <v>29.32</v>
          </cell>
          <cell r="I2381" t="str">
            <v>Buy</v>
          </cell>
        </row>
        <row r="2382">
          <cell r="A2382" t="str">
            <v>ASY-100015-02</v>
          </cell>
          <cell r="B2382">
            <v>1</v>
          </cell>
          <cell r="C2382" t="str">
            <v>LBA-000003-00</v>
          </cell>
          <cell r="D2382" t="str">
            <v>Label: TROV 2 P1/P2, Model L45/L60</v>
          </cell>
          <cell r="E2382" t="str">
            <v>A</v>
          </cell>
          <cell r="F2382" t="str">
            <v>Label BOM</v>
          </cell>
          <cell r="G2382">
            <v>1</v>
          </cell>
          <cell r="H2382">
            <v>0</v>
          </cell>
          <cell r="I2382" t="str">
            <v>Make</v>
          </cell>
        </row>
        <row r="2383">
          <cell r="A2383" t="str">
            <v>ASY-100015-02</v>
          </cell>
          <cell r="B2383">
            <v>2</v>
          </cell>
          <cell r="C2383" t="str">
            <v>LBL-000243-00</v>
          </cell>
          <cell r="D2383" t="str">
            <v>Blank Product Label: Trov 2 P1/P2, Model L45/L60</v>
          </cell>
          <cell r="E2383" t="str">
            <v>A</v>
          </cell>
          <cell r="F2383" t="str">
            <v>Label</v>
          </cell>
          <cell r="G2383">
            <v>1</v>
          </cell>
          <cell r="H2383">
            <v>0.33</v>
          </cell>
          <cell r="I2383" t="str">
            <v>Buy</v>
          </cell>
        </row>
        <row r="2384">
          <cell r="A2384" t="str">
            <v>ASY-100015-02</v>
          </cell>
          <cell r="B2384">
            <v>1</v>
          </cell>
          <cell r="C2384" t="str">
            <v>PLG-000009-01</v>
          </cell>
          <cell r="D2384" t="str">
            <v>Porex Vent, Trov, L50 Exterior</v>
          </cell>
          <cell r="E2384" t="str">
            <v>B</v>
          </cell>
          <cell r="F2384" t="str">
            <v>Plug</v>
          </cell>
          <cell r="G2384">
            <v>2</v>
          </cell>
          <cell r="H2384">
            <v>0.17</v>
          </cell>
          <cell r="I2384" t="str">
            <v>Buy</v>
          </cell>
        </row>
        <row r="2385">
          <cell r="A2385" t="str">
            <v>ASY-100015-02</v>
          </cell>
          <cell r="B2385">
            <v>1</v>
          </cell>
          <cell r="C2385" t="str">
            <v>SCW-000156-00</v>
          </cell>
          <cell r="D2385" t="str">
            <v>SCREW, M3 x 0.5 X 8mm, PAND HEAD, PHILLIPS, STEEL</v>
          </cell>
          <cell r="E2385" t="str">
            <v>B</v>
          </cell>
          <cell r="F2385" t="str">
            <v>Screw</v>
          </cell>
          <cell r="G2385">
            <v>6</v>
          </cell>
          <cell r="H2385">
            <v>4.4400000000000002E-2</v>
          </cell>
          <cell r="I2385" t="str">
            <v>Buy</v>
          </cell>
        </row>
        <row r="2386">
          <cell r="A2386" t="str">
            <v>ASY-100015-02</v>
          </cell>
          <cell r="B2386">
            <v>1</v>
          </cell>
          <cell r="C2386" t="str">
            <v>SCW-000483-00</v>
          </cell>
          <cell r="D2386" t="str">
            <v>SCREW, PHILIPS FLAT HEAD, M2.5x0.45x5 , 18-8 SST</v>
          </cell>
          <cell r="E2386" t="str">
            <v>A</v>
          </cell>
          <cell r="F2386" t="str">
            <v>Screw</v>
          </cell>
          <cell r="G2386">
            <v>4</v>
          </cell>
          <cell r="H2386">
            <v>0.02</v>
          </cell>
          <cell r="I2386" t="str">
            <v>Buy</v>
          </cell>
        </row>
        <row r="2387">
          <cell r="A2387" t="str">
            <v>ASY-100015-02</v>
          </cell>
          <cell r="B2387">
            <v>1</v>
          </cell>
          <cell r="C2387" t="str">
            <v>SCW-000556-00</v>
          </cell>
          <cell r="D2387" t="str">
            <v>SCREW, HEX, SERRATED, #8-32, GROUNDING, TROV 2</v>
          </cell>
          <cell r="E2387" t="str">
            <v>A</v>
          </cell>
          <cell r="F2387" t="str">
            <v>Screw</v>
          </cell>
          <cell r="G2387">
            <v>1</v>
          </cell>
          <cell r="H2387">
            <v>0.04</v>
          </cell>
          <cell r="I2387" t="str">
            <v>Buy</v>
          </cell>
        </row>
        <row r="2388">
          <cell r="A2388" t="str">
            <v>ASY-100015-02</v>
          </cell>
          <cell r="B2388">
            <v>1</v>
          </cell>
          <cell r="C2388" t="str">
            <v>SCW-000567-00</v>
          </cell>
          <cell r="D2388" t="str">
            <v>SCREW, M2.5 x 0.45 x 12.0mm LENGTH, PAN HD, PHILLIPS, ZINC-PLATED STEEL</v>
          </cell>
          <cell r="E2388" t="str">
            <v>A</v>
          </cell>
          <cell r="F2388" t="str">
            <v>Screw</v>
          </cell>
          <cell r="G2388">
            <v>4</v>
          </cell>
          <cell r="H2388">
            <v>0.06</v>
          </cell>
          <cell r="I2388" t="str">
            <v>Buy</v>
          </cell>
        </row>
        <row r="2389">
          <cell r="A2389" t="str">
            <v>ASY-100015-02</v>
          </cell>
          <cell r="B2389">
            <v>1</v>
          </cell>
          <cell r="C2389" t="str">
            <v>SCW-000574-00</v>
          </cell>
          <cell r="D2389" t="str">
            <v>SCREW, TORX HEAD, 1/4-28x1/2", LOW PROFILE, ALLOY STEEL</v>
          </cell>
          <cell r="E2389" t="str">
            <v>A</v>
          </cell>
          <cell r="F2389" t="str">
            <v>Screw</v>
          </cell>
          <cell r="G2389">
            <v>2</v>
          </cell>
          <cell r="H2389">
            <v>0.14000000000000001</v>
          </cell>
          <cell r="I2389" t="str">
            <v>Buy</v>
          </cell>
        </row>
        <row r="2390">
          <cell r="A2390" t="str">
            <v>ASY-100015-02</v>
          </cell>
          <cell r="B2390">
            <v>1</v>
          </cell>
          <cell r="C2390" t="str">
            <v>SHT-000043-00</v>
          </cell>
          <cell r="D2390" t="str">
            <v>INSULATION SHEET, HBA, 4FT,TROV 2</v>
          </cell>
          <cell r="E2390" t="str">
            <v>D</v>
          </cell>
          <cell r="F2390" t="str">
            <v>Sheet</v>
          </cell>
          <cell r="G2390">
            <v>1</v>
          </cell>
          <cell r="H2390">
            <v>0.25</v>
          </cell>
          <cell r="I2390" t="str">
            <v>Buy</v>
          </cell>
        </row>
        <row r="2391">
          <cell r="A2391" t="str">
            <v>ASY-100015-02</v>
          </cell>
          <cell r="B2391">
            <v>1</v>
          </cell>
          <cell r="C2391" t="str">
            <v>SPG-000023-00</v>
          </cell>
          <cell r="D2391" t="str">
            <v>SPRING, DISC, STACKED WAVE, TROV 2.0</v>
          </cell>
          <cell r="E2391" t="str">
            <v>A</v>
          </cell>
          <cell r="F2391" t="str">
            <v>Spring</v>
          </cell>
          <cell r="G2391">
            <v>2</v>
          </cell>
          <cell r="H2391">
            <v>1.74</v>
          </cell>
          <cell r="I2391" t="str">
            <v>Buy</v>
          </cell>
        </row>
        <row r="2392">
          <cell r="A2392" t="str">
            <v>ASY-100015-02</v>
          </cell>
          <cell r="B2392">
            <v>1</v>
          </cell>
          <cell r="C2392" t="str">
            <v>TAP-000031-00</v>
          </cell>
          <cell r="D2392" t="str">
            <v>3M Electrical Tape 92</v>
          </cell>
          <cell r="E2392" t="str">
            <v>A</v>
          </cell>
          <cell r="F2392" t="str">
            <v>Tape</v>
          </cell>
          <cell r="G2392">
            <v>120</v>
          </cell>
          <cell r="H2392">
            <v>1.4E-2</v>
          </cell>
          <cell r="I2392" t="str">
            <v>Buy</v>
          </cell>
        </row>
        <row r="2393">
          <cell r="A2393" t="str">
            <v>ASY-100015-02</v>
          </cell>
          <cell r="B2393">
            <v>1</v>
          </cell>
          <cell r="C2393" t="str">
            <v>TMP-000028-00</v>
          </cell>
          <cell r="D2393" t="str">
            <v>Thermal Pad, LED PCBA, 2 FT, TROV 2</v>
          </cell>
          <cell r="E2393" t="str">
            <v>B</v>
          </cell>
          <cell r="F2393" t="str">
            <v>Thermal Pad</v>
          </cell>
          <cell r="G2393">
            <v>2</v>
          </cell>
          <cell r="H2393">
            <v>1.32</v>
          </cell>
          <cell r="I2393" t="str">
            <v>Buy</v>
          </cell>
        </row>
        <row r="2394">
          <cell r="A2394" t="str">
            <v>ASY-100015-02</v>
          </cell>
          <cell r="B2394">
            <v>1</v>
          </cell>
          <cell r="C2394" t="str">
            <v>TMP-000029-00</v>
          </cell>
          <cell r="D2394" t="str">
            <v>Thermal Pad, HBA, TROV 2</v>
          </cell>
          <cell r="E2394" t="str">
            <v>B</v>
          </cell>
          <cell r="F2394" t="str">
            <v>Thermal Pad</v>
          </cell>
          <cell r="G2394">
            <v>2</v>
          </cell>
          <cell r="H2394">
            <v>0.14000000000000001</v>
          </cell>
          <cell r="I2394" t="str">
            <v>Buy</v>
          </cell>
        </row>
        <row r="2395">
          <cell r="A2395" t="str">
            <v>ASY-100015-02</v>
          </cell>
          <cell r="B2395">
            <v>1</v>
          </cell>
          <cell r="C2395" t="str">
            <v>TMP-000032-00</v>
          </cell>
          <cell r="D2395" t="str">
            <v>Thermal Pad, HBA, TROV 2</v>
          </cell>
          <cell r="E2395" t="str">
            <v>A</v>
          </cell>
          <cell r="F2395" t="str">
            <v>Thermal Pad</v>
          </cell>
          <cell r="G2395">
            <v>1</v>
          </cell>
          <cell r="H2395">
            <v>0.03</v>
          </cell>
          <cell r="I2395" t="str">
            <v>Buy</v>
          </cell>
        </row>
        <row r="2396">
          <cell r="A2396" t="str">
            <v>ASY-100015-03</v>
          </cell>
          <cell r="B2396">
            <v>0</v>
          </cell>
          <cell r="C2396" t="str">
            <v>ASY-100015-03</v>
          </cell>
          <cell r="D2396" t="str">
            <v>ASSY, MECHANICAL, L45, INDOOR, 4 FT, TROV2P2, DYNAMIC, BLACK</v>
          </cell>
          <cell r="E2396" t="str">
            <v>A</v>
          </cell>
          <cell r="F2396" t="str">
            <v>Sub assembly</v>
          </cell>
          <cell r="H2396">
            <v>0</v>
          </cell>
          <cell r="I2396" t="str">
            <v>Make</v>
          </cell>
        </row>
        <row r="2397">
          <cell r="A2397" t="str">
            <v>ASY-100015-03</v>
          </cell>
          <cell r="B2397">
            <v>1</v>
          </cell>
          <cell r="C2397" t="str">
            <v>ACB-000275-00</v>
          </cell>
          <cell r="D2397" t="str">
            <v>CABLE, CANBUS, SHORT, TROV 2</v>
          </cell>
          <cell r="E2397" t="str">
            <v>A</v>
          </cell>
          <cell r="F2397" t="str">
            <v>Cable</v>
          </cell>
          <cell r="G2397">
            <v>1</v>
          </cell>
          <cell r="H2397">
            <v>0.7</v>
          </cell>
          <cell r="I2397" t="str">
            <v>Buy</v>
          </cell>
        </row>
        <row r="2398">
          <cell r="A2398" t="str">
            <v>ASY-100015-03</v>
          </cell>
          <cell r="B2398">
            <v>1</v>
          </cell>
          <cell r="C2398" t="str">
            <v>ACB-000275-01</v>
          </cell>
          <cell r="D2398" t="str">
            <v>CABLE, CANBUS, LONG, TROV 2</v>
          </cell>
          <cell r="E2398" t="str">
            <v>A</v>
          </cell>
          <cell r="F2398" t="str">
            <v>Cable</v>
          </cell>
          <cell r="G2398">
            <v>1</v>
          </cell>
          <cell r="H2398">
            <v>0.81</v>
          </cell>
          <cell r="I2398" t="str">
            <v>Buy</v>
          </cell>
        </row>
        <row r="2399">
          <cell r="A2399" t="str">
            <v>ASY-100015-03</v>
          </cell>
          <cell r="B2399">
            <v>1</v>
          </cell>
          <cell r="C2399" t="str">
            <v>ASY-100008-00</v>
          </cell>
          <cell r="D2399" t="str">
            <v>Cable Subassembly, Driver housing, 4ft, Trov 2</v>
          </cell>
          <cell r="E2399" t="str">
            <v>A</v>
          </cell>
          <cell r="F2399" t="str">
            <v>Sub assembly</v>
          </cell>
          <cell r="G2399">
            <v>1</v>
          </cell>
          <cell r="H2399">
            <v>0</v>
          </cell>
          <cell r="I2399" t="str">
            <v>Make</v>
          </cell>
        </row>
        <row r="2400">
          <cell r="A2400" t="str">
            <v>ASY-100015-03</v>
          </cell>
          <cell r="B2400">
            <v>2</v>
          </cell>
          <cell r="C2400" t="str">
            <v>ACB-000272-00</v>
          </cell>
          <cell r="D2400" t="str">
            <v>CABLE ASSY, INTRA-FIXTURE, 4FT, TROV 2.0</v>
          </cell>
          <cell r="E2400" t="str">
            <v>B</v>
          </cell>
          <cell r="F2400" t="str">
            <v>Cable Assembly</v>
          </cell>
          <cell r="G2400">
            <v>1</v>
          </cell>
          <cell r="H2400">
            <v>20.420000000000002</v>
          </cell>
          <cell r="I2400" t="str">
            <v>Buy</v>
          </cell>
        </row>
        <row r="2401">
          <cell r="A2401" t="str">
            <v>ASY-100015-03</v>
          </cell>
          <cell r="B2401">
            <v>3</v>
          </cell>
          <cell r="C2401" t="str">
            <v>ACB-000273-00</v>
          </cell>
          <cell r="D2401" t="str">
            <v>6 CONDUCTOR CABLE, 3X22AWG, 3X16AWG, AL MYLAR, TROV 2</v>
          </cell>
          <cell r="E2401" t="str">
            <v>A</v>
          </cell>
          <cell r="F2401" t="str">
            <v>Cable</v>
          </cell>
          <cell r="G2401">
            <v>1</v>
          </cell>
          <cell r="H2401">
            <v>0</v>
          </cell>
          <cell r="I2401" t="str">
            <v>N/A</v>
          </cell>
        </row>
        <row r="2402">
          <cell r="A2402" t="str">
            <v>ASY-100015-03</v>
          </cell>
          <cell r="B2402">
            <v>3</v>
          </cell>
          <cell r="C2402" t="str">
            <v>ACB-000274-00</v>
          </cell>
          <cell r="D2402" t="str">
            <v>CABLE ASSEMBLY, INTERNAL, DRIVER SIDE, 4FT, TROV 2</v>
          </cell>
          <cell r="E2402" t="str">
            <v>A</v>
          </cell>
          <cell r="F2402" t="str">
            <v>Cable Assembly</v>
          </cell>
          <cell r="G2402">
            <v>1</v>
          </cell>
          <cell r="H2402">
            <v>0</v>
          </cell>
          <cell r="I2402" t="str">
            <v>N/A</v>
          </cell>
        </row>
        <row r="2403">
          <cell r="A2403" t="str">
            <v>ASY-100015-03</v>
          </cell>
          <cell r="B2403">
            <v>3</v>
          </cell>
          <cell r="C2403" t="str">
            <v>CON-000259-00</v>
          </cell>
          <cell r="D2403" t="str">
            <v>CONNECTOR, MALE, 6 PIN, TROV 2</v>
          </cell>
          <cell r="E2403" t="str">
            <v>B</v>
          </cell>
          <cell r="F2403" t="str">
            <v>Connector</v>
          </cell>
          <cell r="G2403">
            <v>1</v>
          </cell>
          <cell r="H2403">
            <v>0</v>
          </cell>
          <cell r="I2403" t="str">
            <v>N/A</v>
          </cell>
        </row>
        <row r="2404">
          <cell r="A2404" t="str">
            <v>ASY-100015-03</v>
          </cell>
          <cell r="B2404">
            <v>3</v>
          </cell>
          <cell r="C2404" t="str">
            <v>CON-000260-00</v>
          </cell>
          <cell r="D2404" t="str">
            <v>CONNECTOR, FEMALE, 6 PIN, TROV 2</v>
          </cell>
          <cell r="E2404" t="str">
            <v>A</v>
          </cell>
          <cell r="F2404" t="str">
            <v>Connector</v>
          </cell>
          <cell r="G2404">
            <v>1</v>
          </cell>
          <cell r="H2404">
            <v>0</v>
          </cell>
          <cell r="I2404" t="str">
            <v>N/A</v>
          </cell>
        </row>
        <row r="2405">
          <cell r="A2405" t="str">
            <v>ASY-100015-03</v>
          </cell>
          <cell r="B2405">
            <v>3</v>
          </cell>
          <cell r="C2405" t="str">
            <v>HSG-000330-00</v>
          </cell>
          <cell r="D2405" t="str">
            <v>DRIVER HOUSING, 4 FT, TROV 2</v>
          </cell>
          <cell r="E2405" t="str">
            <v>A</v>
          </cell>
          <cell r="F2405" t="str">
            <v>Housing</v>
          </cell>
          <cell r="G2405">
            <v>1</v>
          </cell>
          <cell r="H2405">
            <v>0</v>
          </cell>
          <cell r="I2405" t="str">
            <v>N/A</v>
          </cell>
        </row>
        <row r="2406">
          <cell r="A2406" t="str">
            <v>ASY-100015-03</v>
          </cell>
          <cell r="B2406">
            <v>3</v>
          </cell>
          <cell r="C2406" t="str">
            <v>ORG-000060-00</v>
          </cell>
          <cell r="D2406" t="str">
            <v>O-RING, CABLE, TROV 2</v>
          </cell>
          <cell r="E2406" t="str">
            <v>A</v>
          </cell>
          <cell r="F2406" t="str">
            <v>O-Ring</v>
          </cell>
          <cell r="G2406">
            <v>1</v>
          </cell>
          <cell r="H2406">
            <v>0</v>
          </cell>
          <cell r="I2406" t="str">
            <v>N/A</v>
          </cell>
        </row>
        <row r="2407">
          <cell r="A2407" t="str">
            <v>ASY-100015-03</v>
          </cell>
          <cell r="B2407">
            <v>3</v>
          </cell>
          <cell r="C2407" t="str">
            <v>SRF-000030-00</v>
          </cell>
          <cell r="D2407" t="str">
            <v>STRAIN RELIEF, CABLE, TROV 2</v>
          </cell>
          <cell r="E2407" t="str">
            <v>A</v>
          </cell>
          <cell r="F2407" t="str">
            <v>Strain Relief</v>
          </cell>
          <cell r="G2407">
            <v>1</v>
          </cell>
          <cell r="H2407">
            <v>0</v>
          </cell>
          <cell r="I2407" t="str">
            <v>N/A</v>
          </cell>
        </row>
        <row r="2408">
          <cell r="A2408" t="str">
            <v>ASY-100015-03</v>
          </cell>
          <cell r="B2408">
            <v>2</v>
          </cell>
          <cell r="C2408" t="str">
            <v>BKT-000517-00</v>
          </cell>
          <cell r="D2408" t="str">
            <v>BRACKET, ROTATING LOCK, 4 FT, TROV 2.0</v>
          </cell>
          <cell r="E2408" t="str">
            <v>B</v>
          </cell>
          <cell r="F2408" t="str">
            <v>Bracket</v>
          </cell>
          <cell r="G2408">
            <v>1</v>
          </cell>
          <cell r="H2408">
            <v>0.9</v>
          </cell>
          <cell r="I2408" t="str">
            <v>Buy</v>
          </cell>
        </row>
        <row r="2409">
          <cell r="A2409" t="str">
            <v>ASY-100015-03</v>
          </cell>
          <cell r="B2409">
            <v>2</v>
          </cell>
          <cell r="C2409" t="str">
            <v>BKT-000518-00</v>
          </cell>
          <cell r="D2409" t="str">
            <v>BRACKET, PANEL MOUNT, 4 FT, TROV 2.0</v>
          </cell>
          <cell r="E2409" t="str">
            <v>B</v>
          </cell>
          <cell r="F2409" t="str">
            <v>Bracket</v>
          </cell>
          <cell r="G2409">
            <v>1</v>
          </cell>
          <cell r="H2409">
            <v>0.9</v>
          </cell>
          <cell r="I2409" t="str">
            <v>Buy</v>
          </cell>
        </row>
        <row r="2410">
          <cell r="A2410" t="str">
            <v>ASY-100015-03</v>
          </cell>
          <cell r="B2410">
            <v>2</v>
          </cell>
          <cell r="C2410" t="str">
            <v>SCW-000509-00</v>
          </cell>
          <cell r="D2410" t="str">
            <v>SCREW, SEALING FLAT HEAD, M3x0.5x8MM</v>
          </cell>
          <cell r="E2410" t="str">
            <v>B</v>
          </cell>
          <cell r="F2410" t="str">
            <v>Screw</v>
          </cell>
          <cell r="G2410">
            <v>2</v>
          </cell>
          <cell r="H2410">
            <v>0.4</v>
          </cell>
          <cell r="I2410" t="str">
            <v>Buy</v>
          </cell>
        </row>
        <row r="2411">
          <cell r="A2411" t="str">
            <v>ASY-100015-03</v>
          </cell>
          <cell r="B2411">
            <v>1</v>
          </cell>
          <cell r="C2411" t="str">
            <v>BAS-000021-00</v>
          </cell>
          <cell r="D2411" t="str">
            <v>BASE, 4FT, TROV 2.0</v>
          </cell>
          <cell r="E2411" t="str">
            <v>F</v>
          </cell>
          <cell r="F2411" t="str">
            <v>Base</v>
          </cell>
          <cell r="G2411">
            <v>1</v>
          </cell>
          <cell r="H2411">
            <v>14.25</v>
          </cell>
          <cell r="I2411" t="str">
            <v>Buy</v>
          </cell>
        </row>
        <row r="2412">
          <cell r="A2412" t="str">
            <v>ASY-100015-03</v>
          </cell>
          <cell r="B2412">
            <v>1</v>
          </cell>
          <cell r="C2412" t="str">
            <v>BKT-000457-03</v>
          </cell>
          <cell r="D2412" t="str">
            <v>BRACKET, MOUNT, LEFT, BLACK, TROV 2.0</v>
          </cell>
          <cell r="E2412" t="str">
            <v>C</v>
          </cell>
          <cell r="F2412" t="str">
            <v>Bracket</v>
          </cell>
          <cell r="G2412">
            <v>1</v>
          </cell>
          <cell r="H2412">
            <v>0.99</v>
          </cell>
          <cell r="I2412" t="str">
            <v>Buy</v>
          </cell>
        </row>
        <row r="2413">
          <cell r="A2413" t="str">
            <v>ASY-100015-03</v>
          </cell>
          <cell r="B2413">
            <v>1</v>
          </cell>
          <cell r="C2413" t="str">
            <v>BKT-000458-03</v>
          </cell>
          <cell r="D2413" t="str">
            <v>BRACKET, MOUNT, RIGHT, BLACK, TROV 2.0</v>
          </cell>
          <cell r="E2413" t="str">
            <v>C</v>
          </cell>
          <cell r="F2413" t="str">
            <v>Bracket</v>
          </cell>
          <cell r="G2413">
            <v>1</v>
          </cell>
          <cell r="H2413">
            <v>0.99</v>
          </cell>
          <cell r="I2413" t="str">
            <v>Buy</v>
          </cell>
        </row>
        <row r="2414">
          <cell r="A2414" t="str">
            <v>ASY-100015-03</v>
          </cell>
          <cell r="B2414">
            <v>1</v>
          </cell>
          <cell r="C2414" t="str">
            <v>CVR-000791-03</v>
          </cell>
          <cell r="D2414" t="str">
            <v>END COVER, FC, BLACK, L45, TROV 2.0</v>
          </cell>
          <cell r="E2414" t="str">
            <v>D</v>
          </cell>
          <cell r="F2414" t="str">
            <v>Cover</v>
          </cell>
          <cell r="G2414">
            <v>1</v>
          </cell>
          <cell r="H2414">
            <v>1.07</v>
          </cell>
          <cell r="I2414" t="str">
            <v>Buy</v>
          </cell>
        </row>
        <row r="2415">
          <cell r="A2415" t="str">
            <v>ASY-100015-03</v>
          </cell>
          <cell r="B2415">
            <v>1</v>
          </cell>
          <cell r="C2415" t="str">
            <v>CVR-000894-03</v>
          </cell>
          <cell r="D2415" t="str">
            <v>END COVER, MC, BLACK, L45, TROV 2.0</v>
          </cell>
          <cell r="E2415" t="str">
            <v>B</v>
          </cell>
          <cell r="F2415" t="str">
            <v>Cover</v>
          </cell>
          <cell r="G2415">
            <v>1</v>
          </cell>
          <cell r="H2415">
            <v>1.07</v>
          </cell>
          <cell r="I2415" t="str">
            <v>Buy</v>
          </cell>
        </row>
        <row r="2416">
          <cell r="A2416" t="str">
            <v>ASY-100015-03</v>
          </cell>
          <cell r="B2416">
            <v>1</v>
          </cell>
          <cell r="C2416" t="str">
            <v>FOM-000029-00</v>
          </cell>
          <cell r="D2416" t="str">
            <v>FOAM, LIGHTBLOCK, ENDCAP, L45, TROV2</v>
          </cell>
          <cell r="E2416" t="str">
            <v>A</v>
          </cell>
          <cell r="F2416" t="str">
            <v>Foam</v>
          </cell>
          <cell r="G2416">
            <v>2</v>
          </cell>
          <cell r="H2416">
            <v>0.02</v>
          </cell>
          <cell r="I2416" t="str">
            <v>Buy</v>
          </cell>
        </row>
        <row r="2417">
          <cell r="A2417" t="str">
            <v>ASY-100015-03</v>
          </cell>
          <cell r="B2417">
            <v>1</v>
          </cell>
          <cell r="C2417" t="str">
            <v>GSK-000114-01</v>
          </cell>
          <cell r="D2417" t="str">
            <v>GASKET, TERTIARY LENS, 3M, 2 FT, L45, TROV 2.0</v>
          </cell>
          <cell r="E2417" t="str">
            <v>D</v>
          </cell>
          <cell r="F2417" t="str">
            <v>Gasket</v>
          </cell>
          <cell r="G2417">
            <v>2</v>
          </cell>
          <cell r="H2417">
            <v>2.65</v>
          </cell>
          <cell r="I2417" t="str">
            <v>Buy</v>
          </cell>
        </row>
        <row r="2418">
          <cell r="A2418" t="str">
            <v>ASY-100015-03</v>
          </cell>
          <cell r="B2418">
            <v>1</v>
          </cell>
          <cell r="C2418" t="str">
            <v>GSK-000122-01</v>
          </cell>
          <cell r="D2418" t="str">
            <v>GASKET, DRIVER ENCLOSURE, 3M, 4 FT, TROV 2.0</v>
          </cell>
          <cell r="E2418" t="str">
            <v>B</v>
          </cell>
          <cell r="F2418" t="str">
            <v>Gasket</v>
          </cell>
          <cell r="G2418">
            <v>1</v>
          </cell>
          <cell r="H2418">
            <v>2.0299999999999998</v>
          </cell>
          <cell r="I2418" t="str">
            <v>Buy</v>
          </cell>
        </row>
        <row r="2419">
          <cell r="A2419" t="str">
            <v>ASY-100015-03</v>
          </cell>
          <cell r="B2419">
            <v>1</v>
          </cell>
          <cell r="C2419" t="str">
            <v>HSG-000494-03</v>
          </cell>
          <cell r="D2419" t="str">
            <v>HOUSING, TOP, 4 FT, L45, BLACK, TROV 2.0</v>
          </cell>
          <cell r="E2419" t="str">
            <v>E</v>
          </cell>
          <cell r="F2419" t="str">
            <v>Housing</v>
          </cell>
          <cell r="G2419">
            <v>1</v>
          </cell>
          <cell r="H2419">
            <v>14.25</v>
          </cell>
          <cell r="I2419" t="str">
            <v>Buy</v>
          </cell>
        </row>
        <row r="2420">
          <cell r="A2420" t="str">
            <v>ASY-100015-03</v>
          </cell>
          <cell r="B2420">
            <v>1</v>
          </cell>
          <cell r="C2420" t="str">
            <v>HSG-000495-03</v>
          </cell>
          <cell r="D2420" t="str">
            <v>HOUSING, BOTTOM, 4 FT, BLACK, TROV 2.0</v>
          </cell>
          <cell r="E2420" t="str">
            <v>F</v>
          </cell>
          <cell r="F2420" t="str">
            <v>Housing</v>
          </cell>
          <cell r="G2420">
            <v>1</v>
          </cell>
          <cell r="H2420">
            <v>13.73</v>
          </cell>
          <cell r="I2420" t="str">
            <v>Buy</v>
          </cell>
        </row>
        <row r="2421">
          <cell r="A2421" t="str">
            <v>ASY-100015-03</v>
          </cell>
          <cell r="B2421">
            <v>1</v>
          </cell>
          <cell r="C2421" t="str">
            <v>LBA-000003-00</v>
          </cell>
          <cell r="D2421" t="str">
            <v>Label: TROV 2 P1/P2, Model L45/L60</v>
          </cell>
          <cell r="E2421" t="str">
            <v>A</v>
          </cell>
          <cell r="F2421" t="str">
            <v>Label BOM</v>
          </cell>
          <cell r="G2421">
            <v>1</v>
          </cell>
          <cell r="H2421">
            <v>0</v>
          </cell>
          <cell r="I2421" t="str">
            <v>Make</v>
          </cell>
        </row>
        <row r="2422">
          <cell r="A2422" t="str">
            <v>ASY-100015-03</v>
          </cell>
          <cell r="B2422">
            <v>2</v>
          </cell>
          <cell r="C2422" t="str">
            <v>LBL-000243-00</v>
          </cell>
          <cell r="D2422" t="str">
            <v>Blank Product Label: Trov 2 P1/P2, Model L45/L60</v>
          </cell>
          <cell r="E2422" t="str">
            <v>A</v>
          </cell>
          <cell r="F2422" t="str">
            <v>Label</v>
          </cell>
          <cell r="G2422">
            <v>1</v>
          </cell>
          <cell r="H2422">
            <v>0.33</v>
          </cell>
          <cell r="I2422" t="str">
            <v>Buy</v>
          </cell>
        </row>
        <row r="2423">
          <cell r="A2423" t="str">
            <v>ASY-100015-03</v>
          </cell>
          <cell r="B2423">
            <v>1</v>
          </cell>
          <cell r="C2423" t="str">
            <v>PLG-000009-01</v>
          </cell>
          <cell r="D2423" t="str">
            <v>Porex Vent, Trov, L50 Exterior</v>
          </cell>
          <cell r="E2423" t="str">
            <v>B</v>
          </cell>
          <cell r="F2423" t="str">
            <v>Plug</v>
          </cell>
          <cell r="G2423">
            <v>2</v>
          </cell>
          <cell r="H2423">
            <v>0.17</v>
          </cell>
          <cell r="I2423" t="str">
            <v>Buy</v>
          </cell>
        </row>
        <row r="2424">
          <cell r="A2424" t="str">
            <v>ASY-100015-03</v>
          </cell>
          <cell r="B2424">
            <v>1</v>
          </cell>
          <cell r="C2424" t="str">
            <v>SCW-000156-00</v>
          </cell>
          <cell r="D2424" t="str">
            <v>SCREW, M3 x 0.5 X 8mm, PAND HEAD, PHILLIPS, STEEL</v>
          </cell>
          <cell r="E2424" t="str">
            <v>B</v>
          </cell>
          <cell r="F2424" t="str">
            <v>Screw</v>
          </cell>
          <cell r="G2424">
            <v>6</v>
          </cell>
          <cell r="H2424">
            <v>4.4400000000000002E-2</v>
          </cell>
          <cell r="I2424" t="str">
            <v>Buy</v>
          </cell>
        </row>
        <row r="2425">
          <cell r="A2425" t="str">
            <v>ASY-100015-03</v>
          </cell>
          <cell r="B2425">
            <v>1</v>
          </cell>
          <cell r="C2425" t="str">
            <v>SCW-000483-00</v>
          </cell>
          <cell r="D2425" t="str">
            <v>SCREW, PHILIPS FLAT HEAD, M2.5x0.45x5 , 18-8 SST</v>
          </cell>
          <cell r="E2425" t="str">
            <v>A</v>
          </cell>
          <cell r="F2425" t="str">
            <v>Screw</v>
          </cell>
          <cell r="G2425">
            <v>4</v>
          </cell>
          <cell r="H2425">
            <v>0.02</v>
          </cell>
          <cell r="I2425" t="str">
            <v>Buy</v>
          </cell>
        </row>
        <row r="2426">
          <cell r="A2426" t="str">
            <v>ASY-100015-03</v>
          </cell>
          <cell r="B2426">
            <v>1</v>
          </cell>
          <cell r="C2426" t="str">
            <v>SCW-000556-00</v>
          </cell>
          <cell r="D2426" t="str">
            <v>SCREW, HEX, SERRATED, #8-32, GROUNDING, TROV 2</v>
          </cell>
          <cell r="E2426" t="str">
            <v>A</v>
          </cell>
          <cell r="F2426" t="str">
            <v>Screw</v>
          </cell>
          <cell r="G2426">
            <v>1</v>
          </cell>
          <cell r="H2426">
            <v>0.04</v>
          </cell>
          <cell r="I2426" t="str">
            <v>Buy</v>
          </cell>
        </row>
        <row r="2427">
          <cell r="A2427" t="str">
            <v>ASY-100015-03</v>
          </cell>
          <cell r="B2427">
            <v>1</v>
          </cell>
          <cell r="C2427" t="str">
            <v>SCW-000567-00</v>
          </cell>
          <cell r="D2427" t="str">
            <v>SCREW, M2.5 x 0.45 x 12.0mm LENGTH, PAN HD, PHILLIPS, ZINC-PLATED STEEL</v>
          </cell>
          <cell r="E2427" t="str">
            <v>A</v>
          </cell>
          <cell r="F2427" t="str">
            <v>Screw</v>
          </cell>
          <cell r="G2427">
            <v>4</v>
          </cell>
          <cell r="H2427">
            <v>0.06</v>
          </cell>
          <cell r="I2427" t="str">
            <v>Buy</v>
          </cell>
        </row>
        <row r="2428">
          <cell r="A2428" t="str">
            <v>ASY-100015-03</v>
          </cell>
          <cell r="B2428">
            <v>1</v>
          </cell>
          <cell r="C2428" t="str">
            <v>SCW-000574-00</v>
          </cell>
          <cell r="D2428" t="str">
            <v>SCREW, TORX HEAD, 1/4-28x1/2", LOW PROFILE, ALLOY STEEL</v>
          </cell>
          <cell r="E2428" t="str">
            <v>A</v>
          </cell>
          <cell r="F2428" t="str">
            <v>Screw</v>
          </cell>
          <cell r="G2428">
            <v>2</v>
          </cell>
          <cell r="H2428">
            <v>0.14000000000000001</v>
          </cell>
          <cell r="I2428" t="str">
            <v>Buy</v>
          </cell>
        </row>
        <row r="2429">
          <cell r="A2429" t="str">
            <v>ASY-100015-03</v>
          </cell>
          <cell r="B2429">
            <v>1</v>
          </cell>
          <cell r="C2429" t="str">
            <v>SHT-000043-00</v>
          </cell>
          <cell r="D2429" t="str">
            <v>INSULATION SHEET, HBA, 4FT,TROV 2</v>
          </cell>
          <cell r="E2429" t="str">
            <v>D</v>
          </cell>
          <cell r="F2429" t="str">
            <v>Sheet</v>
          </cell>
          <cell r="G2429">
            <v>1</v>
          </cell>
          <cell r="H2429">
            <v>0.25</v>
          </cell>
          <cell r="I2429" t="str">
            <v>Buy</v>
          </cell>
        </row>
        <row r="2430">
          <cell r="A2430" t="str">
            <v>ASY-100015-03</v>
          </cell>
          <cell r="B2430">
            <v>1</v>
          </cell>
          <cell r="C2430" t="str">
            <v>SPG-000023-00</v>
          </cell>
          <cell r="D2430" t="str">
            <v>SPRING, DISC, STACKED WAVE, TROV 2.0</v>
          </cell>
          <cell r="E2430" t="str">
            <v>A</v>
          </cell>
          <cell r="F2430" t="str">
            <v>Spring</v>
          </cell>
          <cell r="G2430">
            <v>2</v>
          </cell>
          <cell r="H2430">
            <v>1.74</v>
          </cell>
          <cell r="I2430" t="str">
            <v>Buy</v>
          </cell>
        </row>
        <row r="2431">
          <cell r="A2431" t="str">
            <v>ASY-100015-03</v>
          </cell>
          <cell r="B2431">
            <v>1</v>
          </cell>
          <cell r="C2431" t="str">
            <v>TAP-000031-00</v>
          </cell>
          <cell r="D2431" t="str">
            <v>3M Electrical Tape 92</v>
          </cell>
          <cell r="E2431" t="str">
            <v>A</v>
          </cell>
          <cell r="F2431" t="str">
            <v>Tape</v>
          </cell>
          <cell r="G2431">
            <v>120</v>
          </cell>
          <cell r="H2431">
            <v>1.4E-2</v>
          </cell>
          <cell r="I2431" t="str">
            <v>Buy</v>
          </cell>
        </row>
        <row r="2432">
          <cell r="A2432" t="str">
            <v>ASY-100015-03</v>
          </cell>
          <cell r="B2432">
            <v>1</v>
          </cell>
          <cell r="C2432" t="str">
            <v>TMP-000028-00</v>
          </cell>
          <cell r="D2432" t="str">
            <v>Thermal Pad, LED PCBA, 2 FT, TROV 2</v>
          </cell>
          <cell r="E2432" t="str">
            <v>B</v>
          </cell>
          <cell r="F2432" t="str">
            <v>Thermal Pad</v>
          </cell>
          <cell r="G2432">
            <v>2</v>
          </cell>
          <cell r="H2432">
            <v>1.32</v>
          </cell>
          <cell r="I2432" t="str">
            <v>Buy</v>
          </cell>
        </row>
        <row r="2433">
          <cell r="A2433" t="str">
            <v>ASY-100015-03</v>
          </cell>
          <cell r="B2433">
            <v>1</v>
          </cell>
          <cell r="C2433" t="str">
            <v>TMP-000029-00</v>
          </cell>
          <cell r="D2433" t="str">
            <v>Thermal Pad, HBA, TROV 2</v>
          </cell>
          <cell r="E2433" t="str">
            <v>B</v>
          </cell>
          <cell r="F2433" t="str">
            <v>Thermal Pad</v>
          </cell>
          <cell r="G2433">
            <v>2</v>
          </cell>
          <cell r="H2433">
            <v>0.14000000000000001</v>
          </cell>
          <cell r="I2433" t="str">
            <v>Buy</v>
          </cell>
        </row>
        <row r="2434">
          <cell r="A2434" t="str">
            <v>ASY-100015-03</v>
          </cell>
          <cell r="B2434">
            <v>1</v>
          </cell>
          <cell r="C2434" t="str">
            <v>TMP-000032-00</v>
          </cell>
          <cell r="D2434" t="str">
            <v>Thermal Pad, HBA, TROV 2</v>
          </cell>
          <cell r="E2434" t="str">
            <v>A</v>
          </cell>
          <cell r="F2434" t="str">
            <v>Thermal Pad</v>
          </cell>
          <cell r="G2434">
            <v>1</v>
          </cell>
          <cell r="H2434">
            <v>0.03</v>
          </cell>
          <cell r="I2434" t="str">
            <v>Buy</v>
          </cell>
        </row>
        <row r="2435">
          <cell r="A2435" t="str">
            <v>ASY-100015-04</v>
          </cell>
          <cell r="B2435">
            <v>0</v>
          </cell>
          <cell r="C2435" t="str">
            <v>ASY-100015-04</v>
          </cell>
          <cell r="D2435" t="str">
            <v>ASSY, MECHANICAL, L45, INDOOR, 4 FT, TROV2P2, DYNAMIC, WHITE</v>
          </cell>
          <cell r="E2435" t="str">
            <v>A</v>
          </cell>
          <cell r="F2435" t="str">
            <v>Sub assembly</v>
          </cell>
          <cell r="H2435">
            <v>0</v>
          </cell>
          <cell r="I2435" t="str">
            <v>Make</v>
          </cell>
        </row>
        <row r="2436">
          <cell r="A2436" t="str">
            <v>ASY-100015-04</v>
          </cell>
          <cell r="B2436">
            <v>1</v>
          </cell>
          <cell r="C2436" t="str">
            <v>ACB-000275-00</v>
          </cell>
          <cell r="D2436" t="str">
            <v>CABLE, CANBUS, SHORT, TROV 2</v>
          </cell>
          <cell r="E2436" t="str">
            <v>A</v>
          </cell>
          <cell r="F2436" t="str">
            <v>Cable</v>
          </cell>
          <cell r="G2436">
            <v>1</v>
          </cell>
          <cell r="H2436">
            <v>0.7</v>
          </cell>
          <cell r="I2436" t="str">
            <v>Buy</v>
          </cell>
        </row>
        <row r="2437">
          <cell r="A2437" t="str">
            <v>ASY-100015-04</v>
          </cell>
          <cell r="B2437">
            <v>1</v>
          </cell>
          <cell r="C2437" t="str">
            <v>ACB-000275-01</v>
          </cell>
          <cell r="D2437" t="str">
            <v>CABLE, CANBUS, LONG, TROV 2</v>
          </cell>
          <cell r="E2437" t="str">
            <v>A</v>
          </cell>
          <cell r="F2437" t="str">
            <v>Cable</v>
          </cell>
          <cell r="G2437">
            <v>1</v>
          </cell>
          <cell r="H2437">
            <v>0.81</v>
          </cell>
          <cell r="I2437" t="str">
            <v>Buy</v>
          </cell>
        </row>
        <row r="2438">
          <cell r="A2438" t="str">
            <v>ASY-100015-04</v>
          </cell>
          <cell r="B2438">
            <v>1</v>
          </cell>
          <cell r="C2438" t="str">
            <v>ASY-100008-00</v>
          </cell>
          <cell r="D2438" t="str">
            <v>Cable Subassembly, Driver housing, 4ft, Trov 2</v>
          </cell>
          <cell r="E2438" t="str">
            <v>A</v>
          </cell>
          <cell r="F2438" t="str">
            <v>Sub assembly</v>
          </cell>
          <cell r="G2438">
            <v>1</v>
          </cell>
          <cell r="H2438">
            <v>0</v>
          </cell>
          <cell r="I2438" t="str">
            <v>Make</v>
          </cell>
        </row>
        <row r="2439">
          <cell r="A2439" t="str">
            <v>ASY-100015-04</v>
          </cell>
          <cell r="B2439">
            <v>2</v>
          </cell>
          <cell r="C2439" t="str">
            <v>ACB-000272-00</v>
          </cell>
          <cell r="D2439" t="str">
            <v>CABLE ASSY, INTRA-FIXTURE, 4FT, TROV 2.0</v>
          </cell>
          <cell r="E2439" t="str">
            <v>B</v>
          </cell>
          <cell r="F2439" t="str">
            <v>Cable Assembly</v>
          </cell>
          <cell r="G2439">
            <v>1</v>
          </cell>
          <cell r="H2439">
            <v>20.420000000000002</v>
          </cell>
          <cell r="I2439" t="str">
            <v>Buy</v>
          </cell>
        </row>
        <row r="2440">
          <cell r="A2440" t="str">
            <v>ASY-100015-04</v>
          </cell>
          <cell r="B2440">
            <v>3</v>
          </cell>
          <cell r="C2440" t="str">
            <v>ACB-000273-00</v>
          </cell>
          <cell r="D2440" t="str">
            <v>6 CONDUCTOR CABLE, 3X22AWG, 3X16AWG, AL MYLAR, TROV 2</v>
          </cell>
          <cell r="E2440" t="str">
            <v>A</v>
          </cell>
          <cell r="F2440" t="str">
            <v>Cable</v>
          </cell>
          <cell r="G2440">
            <v>1</v>
          </cell>
          <cell r="H2440">
            <v>0</v>
          </cell>
          <cell r="I2440" t="str">
            <v>N/A</v>
          </cell>
        </row>
        <row r="2441">
          <cell r="A2441" t="str">
            <v>ASY-100015-04</v>
          </cell>
          <cell r="B2441">
            <v>3</v>
          </cell>
          <cell r="C2441" t="str">
            <v>ACB-000274-00</v>
          </cell>
          <cell r="D2441" t="str">
            <v>CABLE ASSEMBLY, INTERNAL, DRIVER SIDE, 4FT, TROV 2</v>
          </cell>
          <cell r="E2441" t="str">
            <v>A</v>
          </cell>
          <cell r="F2441" t="str">
            <v>Cable Assembly</v>
          </cell>
          <cell r="G2441">
            <v>1</v>
          </cell>
          <cell r="H2441">
            <v>0</v>
          </cell>
          <cell r="I2441" t="str">
            <v>N/A</v>
          </cell>
        </row>
        <row r="2442">
          <cell r="A2442" t="str">
            <v>ASY-100015-04</v>
          </cell>
          <cell r="B2442">
            <v>3</v>
          </cell>
          <cell r="C2442" t="str">
            <v>CON-000259-00</v>
          </cell>
          <cell r="D2442" t="str">
            <v>CONNECTOR, MALE, 6 PIN, TROV 2</v>
          </cell>
          <cell r="E2442" t="str">
            <v>B</v>
          </cell>
          <cell r="F2442" t="str">
            <v>Connector</v>
          </cell>
          <cell r="G2442">
            <v>1</v>
          </cell>
          <cell r="H2442">
            <v>0</v>
          </cell>
          <cell r="I2442" t="str">
            <v>N/A</v>
          </cell>
        </row>
        <row r="2443">
          <cell r="A2443" t="str">
            <v>ASY-100015-04</v>
          </cell>
          <cell r="B2443">
            <v>3</v>
          </cell>
          <cell r="C2443" t="str">
            <v>CON-000260-00</v>
          </cell>
          <cell r="D2443" t="str">
            <v>CONNECTOR, FEMALE, 6 PIN, TROV 2</v>
          </cell>
          <cell r="E2443" t="str">
            <v>A</v>
          </cell>
          <cell r="F2443" t="str">
            <v>Connector</v>
          </cell>
          <cell r="G2443">
            <v>1</v>
          </cell>
          <cell r="H2443">
            <v>0</v>
          </cell>
          <cell r="I2443" t="str">
            <v>N/A</v>
          </cell>
        </row>
        <row r="2444">
          <cell r="A2444" t="str">
            <v>ASY-100015-04</v>
          </cell>
          <cell r="B2444">
            <v>3</v>
          </cell>
          <cell r="C2444" t="str">
            <v>HSG-000330-00</v>
          </cell>
          <cell r="D2444" t="str">
            <v>DRIVER HOUSING, 4 FT, TROV 2</v>
          </cell>
          <cell r="E2444" t="str">
            <v>A</v>
          </cell>
          <cell r="F2444" t="str">
            <v>Housing</v>
          </cell>
          <cell r="G2444">
            <v>1</v>
          </cell>
          <cell r="H2444">
            <v>0</v>
          </cell>
          <cell r="I2444" t="str">
            <v>N/A</v>
          </cell>
        </row>
        <row r="2445">
          <cell r="A2445" t="str">
            <v>ASY-100015-04</v>
          </cell>
          <cell r="B2445">
            <v>3</v>
          </cell>
          <cell r="C2445" t="str">
            <v>ORG-000060-00</v>
          </cell>
          <cell r="D2445" t="str">
            <v>O-RING, CABLE, TROV 2</v>
          </cell>
          <cell r="E2445" t="str">
            <v>A</v>
          </cell>
          <cell r="F2445" t="str">
            <v>O-Ring</v>
          </cell>
          <cell r="G2445">
            <v>1</v>
          </cell>
          <cell r="H2445">
            <v>0</v>
          </cell>
          <cell r="I2445" t="str">
            <v>N/A</v>
          </cell>
        </row>
        <row r="2446">
          <cell r="A2446" t="str">
            <v>ASY-100015-04</v>
          </cell>
          <cell r="B2446">
            <v>3</v>
          </cell>
          <cell r="C2446" t="str">
            <v>SRF-000030-00</v>
          </cell>
          <cell r="D2446" t="str">
            <v>STRAIN RELIEF, CABLE, TROV 2</v>
          </cell>
          <cell r="E2446" t="str">
            <v>A</v>
          </cell>
          <cell r="F2446" t="str">
            <v>Strain Relief</v>
          </cell>
          <cell r="G2446">
            <v>1</v>
          </cell>
          <cell r="H2446">
            <v>0</v>
          </cell>
          <cell r="I2446" t="str">
            <v>N/A</v>
          </cell>
        </row>
        <row r="2447">
          <cell r="A2447" t="str">
            <v>ASY-100015-04</v>
          </cell>
          <cell r="B2447">
            <v>2</v>
          </cell>
          <cell r="C2447" t="str">
            <v>BKT-000517-00</v>
          </cell>
          <cell r="D2447" t="str">
            <v>BRACKET, ROTATING LOCK, 4 FT, TROV 2.0</v>
          </cell>
          <cell r="E2447" t="str">
            <v>B</v>
          </cell>
          <cell r="F2447" t="str">
            <v>Bracket</v>
          </cell>
          <cell r="G2447">
            <v>1</v>
          </cell>
          <cell r="H2447">
            <v>0.9</v>
          </cell>
          <cell r="I2447" t="str">
            <v>Buy</v>
          </cell>
        </row>
        <row r="2448">
          <cell r="A2448" t="str">
            <v>ASY-100015-04</v>
          </cell>
          <cell r="B2448">
            <v>2</v>
          </cell>
          <cell r="C2448" t="str">
            <v>BKT-000518-00</v>
          </cell>
          <cell r="D2448" t="str">
            <v>BRACKET, PANEL MOUNT, 4 FT, TROV 2.0</v>
          </cell>
          <cell r="E2448" t="str">
            <v>B</v>
          </cell>
          <cell r="F2448" t="str">
            <v>Bracket</v>
          </cell>
          <cell r="G2448">
            <v>1</v>
          </cell>
          <cell r="H2448">
            <v>0.9</v>
          </cell>
          <cell r="I2448" t="str">
            <v>Buy</v>
          </cell>
        </row>
        <row r="2449">
          <cell r="A2449" t="str">
            <v>ASY-100015-04</v>
          </cell>
          <cell r="B2449">
            <v>2</v>
          </cell>
          <cell r="C2449" t="str">
            <v>SCW-000509-00</v>
          </cell>
          <cell r="D2449" t="str">
            <v>SCREW, SEALING FLAT HEAD, M3x0.5x8MM</v>
          </cell>
          <cell r="E2449" t="str">
            <v>B</v>
          </cell>
          <cell r="F2449" t="str">
            <v>Screw</v>
          </cell>
          <cell r="G2449">
            <v>2</v>
          </cell>
          <cell r="H2449">
            <v>0.4</v>
          </cell>
          <cell r="I2449" t="str">
            <v>Buy</v>
          </cell>
        </row>
        <row r="2450">
          <cell r="A2450" t="str">
            <v>ASY-100015-04</v>
          </cell>
          <cell r="B2450">
            <v>1</v>
          </cell>
          <cell r="C2450" t="str">
            <v>BAS-000021-00</v>
          </cell>
          <cell r="D2450" t="str">
            <v>BASE, 4FT, TROV 2.0</v>
          </cell>
          <cell r="E2450" t="str">
            <v>F</v>
          </cell>
          <cell r="F2450" t="str">
            <v>Base</v>
          </cell>
          <cell r="G2450">
            <v>1</v>
          </cell>
          <cell r="H2450">
            <v>14.25</v>
          </cell>
          <cell r="I2450" t="str">
            <v>Buy</v>
          </cell>
        </row>
        <row r="2451">
          <cell r="A2451" t="str">
            <v>ASY-100015-04</v>
          </cell>
          <cell r="B2451">
            <v>1</v>
          </cell>
          <cell r="C2451" t="str">
            <v>BKT-000457-03</v>
          </cell>
          <cell r="D2451" t="str">
            <v>BRACKET, MOUNT, LEFT, BLACK, TROV 2.0</v>
          </cell>
          <cell r="E2451" t="str">
            <v>C</v>
          </cell>
          <cell r="F2451" t="str">
            <v>Bracket</v>
          </cell>
          <cell r="G2451">
            <v>1</v>
          </cell>
          <cell r="H2451">
            <v>0.99</v>
          </cell>
          <cell r="I2451" t="str">
            <v>Buy</v>
          </cell>
        </row>
        <row r="2452">
          <cell r="A2452" t="str">
            <v>ASY-100015-04</v>
          </cell>
          <cell r="B2452">
            <v>1</v>
          </cell>
          <cell r="C2452" t="str">
            <v>BKT-000458-03</v>
          </cell>
          <cell r="D2452" t="str">
            <v>BRACKET, MOUNT, RIGHT, BLACK, TROV 2.0</v>
          </cell>
          <cell r="E2452" t="str">
            <v>C</v>
          </cell>
          <cell r="F2452" t="str">
            <v>Bracket</v>
          </cell>
          <cell r="G2452">
            <v>1</v>
          </cell>
          <cell r="H2452">
            <v>0.99</v>
          </cell>
          <cell r="I2452" t="str">
            <v>Buy</v>
          </cell>
        </row>
        <row r="2453">
          <cell r="A2453" t="str">
            <v>ASY-100015-04</v>
          </cell>
          <cell r="B2453">
            <v>1</v>
          </cell>
          <cell r="C2453" t="str">
            <v>CVR-000791-04</v>
          </cell>
          <cell r="D2453" t="str">
            <v>END COVER, FC, WHITE, L45, TROV 2.0</v>
          </cell>
          <cell r="E2453" t="str">
            <v>D</v>
          </cell>
          <cell r="F2453" t="str">
            <v>Cover</v>
          </cell>
          <cell r="G2453">
            <v>1</v>
          </cell>
          <cell r="H2453">
            <v>1.07</v>
          </cell>
          <cell r="I2453" t="str">
            <v>Buy</v>
          </cell>
        </row>
        <row r="2454">
          <cell r="A2454" t="str">
            <v>ASY-100015-04</v>
          </cell>
          <cell r="B2454">
            <v>1</v>
          </cell>
          <cell r="C2454" t="str">
            <v>CVR-000894-04</v>
          </cell>
          <cell r="D2454" t="str">
            <v>END COVER, MC, WHITE, L45, TROV 2.0</v>
          </cell>
          <cell r="E2454" t="str">
            <v>B</v>
          </cell>
          <cell r="F2454" t="str">
            <v>Cover</v>
          </cell>
          <cell r="G2454">
            <v>1</v>
          </cell>
          <cell r="H2454">
            <v>1.07</v>
          </cell>
          <cell r="I2454" t="str">
            <v>Buy</v>
          </cell>
        </row>
        <row r="2455">
          <cell r="A2455" t="str">
            <v>ASY-100015-04</v>
          </cell>
          <cell r="B2455">
            <v>1</v>
          </cell>
          <cell r="C2455" t="str">
            <v>FOM-000029-00</v>
          </cell>
          <cell r="D2455" t="str">
            <v>FOAM, LIGHTBLOCK, ENDCAP, L45, TROV2</v>
          </cell>
          <cell r="E2455" t="str">
            <v>A</v>
          </cell>
          <cell r="F2455" t="str">
            <v>Foam</v>
          </cell>
          <cell r="G2455">
            <v>2</v>
          </cell>
          <cell r="H2455">
            <v>0.02</v>
          </cell>
          <cell r="I2455" t="str">
            <v>Buy</v>
          </cell>
        </row>
        <row r="2456">
          <cell r="A2456" t="str">
            <v>ASY-100015-04</v>
          </cell>
          <cell r="B2456">
            <v>1</v>
          </cell>
          <cell r="C2456" t="str">
            <v>GSK-000114-01</v>
          </cell>
          <cell r="D2456" t="str">
            <v>GASKET, TERTIARY LENS, 3M, 2 FT, L45, TROV 2.0</v>
          </cell>
          <cell r="E2456" t="str">
            <v>D</v>
          </cell>
          <cell r="F2456" t="str">
            <v>Gasket</v>
          </cell>
          <cell r="G2456">
            <v>2</v>
          </cell>
          <cell r="H2456">
            <v>2.65</v>
          </cell>
          <cell r="I2456" t="str">
            <v>Buy</v>
          </cell>
        </row>
        <row r="2457">
          <cell r="A2457" t="str">
            <v>ASY-100015-04</v>
          </cell>
          <cell r="B2457">
            <v>1</v>
          </cell>
          <cell r="C2457" t="str">
            <v>GSK-000122-01</v>
          </cell>
          <cell r="D2457" t="str">
            <v>GASKET, DRIVER ENCLOSURE, 3M, 4 FT, TROV 2.0</v>
          </cell>
          <cell r="E2457" t="str">
            <v>B</v>
          </cell>
          <cell r="F2457" t="str">
            <v>Gasket</v>
          </cell>
          <cell r="G2457">
            <v>1</v>
          </cell>
          <cell r="H2457">
            <v>2.0299999999999998</v>
          </cell>
          <cell r="I2457" t="str">
            <v>Buy</v>
          </cell>
        </row>
        <row r="2458">
          <cell r="A2458" t="str">
            <v>ASY-100015-04</v>
          </cell>
          <cell r="B2458">
            <v>1</v>
          </cell>
          <cell r="C2458" t="str">
            <v>HSG-000494-04</v>
          </cell>
          <cell r="D2458" t="str">
            <v>HOUSING, TOP, 4 FT, L45, WHITE, TROV 2.0</v>
          </cell>
          <cell r="E2458" t="str">
            <v>E</v>
          </cell>
          <cell r="F2458" t="str">
            <v>Housing</v>
          </cell>
          <cell r="G2458">
            <v>1</v>
          </cell>
          <cell r="H2458">
            <v>14.25</v>
          </cell>
          <cell r="I2458" t="str">
            <v>Buy</v>
          </cell>
        </row>
        <row r="2459">
          <cell r="A2459" t="str">
            <v>ASY-100015-04</v>
          </cell>
          <cell r="B2459">
            <v>1</v>
          </cell>
          <cell r="C2459" t="str">
            <v>HSG-000495-04</v>
          </cell>
          <cell r="D2459" t="str">
            <v>HOUSING, BOTTOM, 4 FT, WHITE, TROV 2.0</v>
          </cell>
          <cell r="E2459" t="str">
            <v>F</v>
          </cell>
          <cell r="F2459" t="str">
            <v>Housing</v>
          </cell>
          <cell r="G2459">
            <v>1</v>
          </cell>
          <cell r="H2459">
            <v>13.18</v>
          </cell>
          <cell r="I2459" t="str">
            <v>Buy</v>
          </cell>
        </row>
        <row r="2460">
          <cell r="A2460" t="str">
            <v>ASY-100015-04</v>
          </cell>
          <cell r="B2460">
            <v>1</v>
          </cell>
          <cell r="C2460" t="str">
            <v>LBA-000003-00</v>
          </cell>
          <cell r="D2460" t="str">
            <v>Label: TROV 2 P1/P2, Model L45/L60</v>
          </cell>
          <cell r="E2460" t="str">
            <v>A</v>
          </cell>
          <cell r="F2460" t="str">
            <v>Label BOM</v>
          </cell>
          <cell r="G2460">
            <v>1</v>
          </cell>
          <cell r="H2460">
            <v>0</v>
          </cell>
          <cell r="I2460" t="str">
            <v>Make</v>
          </cell>
        </row>
        <row r="2461">
          <cell r="A2461" t="str">
            <v>ASY-100015-04</v>
          </cell>
          <cell r="B2461">
            <v>2</v>
          </cell>
          <cell r="C2461" t="str">
            <v>LBL-000243-00</v>
          </cell>
          <cell r="D2461" t="str">
            <v>Blank Product Label: Trov 2 P1/P2, Model L45/L60</v>
          </cell>
          <cell r="E2461" t="str">
            <v>A</v>
          </cell>
          <cell r="F2461" t="str">
            <v>Label</v>
          </cell>
          <cell r="G2461">
            <v>1</v>
          </cell>
          <cell r="H2461">
            <v>0.33</v>
          </cell>
          <cell r="I2461" t="str">
            <v>Buy</v>
          </cell>
        </row>
        <row r="2462">
          <cell r="A2462" t="str">
            <v>ASY-100015-04</v>
          </cell>
          <cell r="B2462">
            <v>1</v>
          </cell>
          <cell r="C2462" t="str">
            <v>PLG-000009-01</v>
          </cell>
          <cell r="D2462" t="str">
            <v>Porex Vent, Trov, L50 Exterior</v>
          </cell>
          <cell r="E2462" t="str">
            <v>B</v>
          </cell>
          <cell r="F2462" t="str">
            <v>Plug</v>
          </cell>
          <cell r="G2462">
            <v>2</v>
          </cell>
          <cell r="H2462">
            <v>0.17</v>
          </cell>
          <cell r="I2462" t="str">
            <v>Buy</v>
          </cell>
        </row>
        <row r="2463">
          <cell r="A2463" t="str">
            <v>ASY-100015-04</v>
          </cell>
          <cell r="B2463">
            <v>1</v>
          </cell>
          <cell r="C2463" t="str">
            <v>SCW-000156-00</v>
          </cell>
          <cell r="D2463" t="str">
            <v>SCREW, M3 x 0.5 X 8mm, PAND HEAD, PHILLIPS, STEEL</v>
          </cell>
          <cell r="E2463" t="str">
            <v>B</v>
          </cell>
          <cell r="F2463" t="str">
            <v>Screw</v>
          </cell>
          <cell r="G2463">
            <v>6</v>
          </cell>
          <cell r="H2463">
            <v>4.4400000000000002E-2</v>
          </cell>
          <cell r="I2463" t="str">
            <v>Buy</v>
          </cell>
        </row>
        <row r="2464">
          <cell r="A2464" t="str">
            <v>ASY-100015-04</v>
          </cell>
          <cell r="B2464">
            <v>1</v>
          </cell>
          <cell r="C2464" t="str">
            <v>SCW-000483-00</v>
          </cell>
          <cell r="D2464" t="str">
            <v>SCREW, PHILIPS FLAT HEAD, M2.5x0.45x5 , 18-8 SST</v>
          </cell>
          <cell r="E2464" t="str">
            <v>A</v>
          </cell>
          <cell r="F2464" t="str">
            <v>Screw</v>
          </cell>
          <cell r="G2464">
            <v>4</v>
          </cell>
          <cell r="H2464">
            <v>0.02</v>
          </cell>
          <cell r="I2464" t="str">
            <v>Buy</v>
          </cell>
        </row>
        <row r="2465">
          <cell r="A2465" t="str">
            <v>ASY-100015-04</v>
          </cell>
          <cell r="B2465">
            <v>1</v>
          </cell>
          <cell r="C2465" t="str">
            <v>SCW-000556-00</v>
          </cell>
          <cell r="D2465" t="str">
            <v>SCREW, HEX, SERRATED, #8-32, GROUNDING, TROV 2</v>
          </cell>
          <cell r="E2465" t="str">
            <v>A</v>
          </cell>
          <cell r="F2465" t="str">
            <v>Screw</v>
          </cell>
          <cell r="G2465">
            <v>1</v>
          </cell>
          <cell r="H2465">
            <v>0.04</v>
          </cell>
          <cell r="I2465" t="str">
            <v>Buy</v>
          </cell>
        </row>
        <row r="2466">
          <cell r="A2466" t="str">
            <v>ASY-100015-04</v>
          </cell>
          <cell r="B2466">
            <v>1</v>
          </cell>
          <cell r="C2466" t="str">
            <v>SCW-000567-00</v>
          </cell>
          <cell r="D2466" t="str">
            <v>SCREW, M2.5 x 0.45 x 12.0mm LENGTH, PAN HD, PHILLIPS, ZINC-PLATED STEEL</v>
          </cell>
          <cell r="E2466" t="str">
            <v>A</v>
          </cell>
          <cell r="F2466" t="str">
            <v>Screw</v>
          </cell>
          <cell r="G2466">
            <v>4</v>
          </cell>
          <cell r="H2466">
            <v>0.06</v>
          </cell>
          <cell r="I2466" t="str">
            <v>Buy</v>
          </cell>
        </row>
        <row r="2467">
          <cell r="A2467" t="str">
            <v>ASY-100015-04</v>
          </cell>
          <cell r="B2467">
            <v>1</v>
          </cell>
          <cell r="C2467" t="str">
            <v>SCW-000574-00</v>
          </cell>
          <cell r="D2467" t="str">
            <v>SCREW, TORX HEAD, 1/4-28x1/2", LOW PROFILE, ALLOY STEEL</v>
          </cell>
          <cell r="E2467" t="str">
            <v>A</v>
          </cell>
          <cell r="F2467" t="str">
            <v>Screw</v>
          </cell>
          <cell r="G2467">
            <v>2</v>
          </cell>
          <cell r="H2467">
            <v>0.14000000000000001</v>
          </cell>
          <cell r="I2467" t="str">
            <v>Buy</v>
          </cell>
        </row>
        <row r="2468">
          <cell r="A2468" t="str">
            <v>ASY-100015-04</v>
          </cell>
          <cell r="B2468">
            <v>1</v>
          </cell>
          <cell r="C2468" t="str">
            <v>SHT-000043-00</v>
          </cell>
          <cell r="D2468" t="str">
            <v>INSULATION SHEET, HBA, 4FT,TROV 2</v>
          </cell>
          <cell r="E2468" t="str">
            <v>D</v>
          </cell>
          <cell r="F2468" t="str">
            <v>Sheet</v>
          </cell>
          <cell r="G2468">
            <v>1</v>
          </cell>
          <cell r="H2468">
            <v>0.25</v>
          </cell>
          <cell r="I2468" t="str">
            <v>Buy</v>
          </cell>
        </row>
        <row r="2469">
          <cell r="A2469" t="str">
            <v>ASY-100015-04</v>
          </cell>
          <cell r="B2469">
            <v>1</v>
          </cell>
          <cell r="C2469" t="str">
            <v>SPG-000023-00</v>
          </cell>
          <cell r="D2469" t="str">
            <v>SPRING, DISC, STACKED WAVE, TROV 2.0</v>
          </cell>
          <cell r="E2469" t="str">
            <v>A</v>
          </cell>
          <cell r="F2469" t="str">
            <v>Spring</v>
          </cell>
          <cell r="G2469">
            <v>2</v>
          </cell>
          <cell r="H2469">
            <v>1.74</v>
          </cell>
          <cell r="I2469" t="str">
            <v>Buy</v>
          </cell>
        </row>
        <row r="2470">
          <cell r="A2470" t="str">
            <v>ASY-100015-04</v>
          </cell>
          <cell r="B2470">
            <v>1</v>
          </cell>
          <cell r="C2470" t="str">
            <v>TAP-000031-00</v>
          </cell>
          <cell r="D2470" t="str">
            <v>3M Electrical Tape 92</v>
          </cell>
          <cell r="E2470" t="str">
            <v>A</v>
          </cell>
          <cell r="F2470" t="str">
            <v>Tape</v>
          </cell>
          <cell r="G2470">
            <v>120</v>
          </cell>
          <cell r="H2470">
            <v>1.4E-2</v>
          </cell>
          <cell r="I2470" t="str">
            <v>Buy</v>
          </cell>
        </row>
        <row r="2471">
          <cell r="A2471" t="str">
            <v>ASY-100015-04</v>
          </cell>
          <cell r="B2471">
            <v>1</v>
          </cell>
          <cell r="C2471" t="str">
            <v>TMP-000028-00</v>
          </cell>
          <cell r="D2471" t="str">
            <v>Thermal Pad, LED PCBA, 2 FT, TROV 2</v>
          </cell>
          <cell r="E2471" t="str">
            <v>B</v>
          </cell>
          <cell r="F2471" t="str">
            <v>Thermal Pad</v>
          </cell>
          <cell r="G2471">
            <v>2</v>
          </cell>
          <cell r="H2471">
            <v>1.32</v>
          </cell>
          <cell r="I2471" t="str">
            <v>Buy</v>
          </cell>
        </row>
        <row r="2472">
          <cell r="A2472" t="str">
            <v>ASY-100015-04</v>
          </cell>
          <cell r="B2472">
            <v>1</v>
          </cell>
          <cell r="C2472" t="str">
            <v>TMP-000029-00</v>
          </cell>
          <cell r="D2472" t="str">
            <v>Thermal Pad, HBA, TROV 2</v>
          </cell>
          <cell r="E2472" t="str">
            <v>B</v>
          </cell>
          <cell r="F2472" t="str">
            <v>Thermal Pad</v>
          </cell>
          <cell r="G2472">
            <v>2</v>
          </cell>
          <cell r="H2472">
            <v>0.14000000000000001</v>
          </cell>
          <cell r="I2472" t="str">
            <v>Buy</v>
          </cell>
        </row>
        <row r="2473">
          <cell r="A2473" t="str">
            <v>ASY-100015-04</v>
          </cell>
          <cell r="B2473">
            <v>1</v>
          </cell>
          <cell r="C2473" t="str">
            <v>TMP-000032-00</v>
          </cell>
          <cell r="D2473" t="str">
            <v>Thermal Pad, HBA, TROV 2</v>
          </cell>
          <cell r="E2473" t="str">
            <v>A</v>
          </cell>
          <cell r="F2473" t="str">
            <v>Thermal Pad</v>
          </cell>
          <cell r="G2473">
            <v>1</v>
          </cell>
          <cell r="H2473">
            <v>0.03</v>
          </cell>
          <cell r="I2473" t="str">
            <v>Buy</v>
          </cell>
        </row>
        <row r="2474">
          <cell r="A2474" t="str">
            <v>ASY-100015-0C</v>
          </cell>
          <cell r="B2474">
            <v>0</v>
          </cell>
          <cell r="C2474" t="str">
            <v>ASY-100015-0C</v>
          </cell>
          <cell r="D2474" t="str">
            <v>ASSY, MECHANICAL, L45, INDOOR, 4 FT, TROV2P2, DYNAMIC, CUSTOM</v>
          </cell>
          <cell r="E2474" t="str">
            <v>A</v>
          </cell>
          <cell r="F2474" t="str">
            <v>Sub assembly</v>
          </cell>
          <cell r="H2474">
            <v>0</v>
          </cell>
          <cell r="I2474" t="str">
            <v>Make</v>
          </cell>
        </row>
        <row r="2475">
          <cell r="A2475" t="str">
            <v>ASY-100015-0C</v>
          </cell>
          <cell r="B2475">
            <v>1</v>
          </cell>
          <cell r="C2475" t="str">
            <v>ACB-000275-00</v>
          </cell>
          <cell r="D2475" t="str">
            <v>CABLE, CANBUS, SHORT, TROV 2</v>
          </cell>
          <cell r="E2475" t="str">
            <v>A</v>
          </cell>
          <cell r="F2475" t="str">
            <v>Cable</v>
          </cell>
          <cell r="G2475">
            <v>1</v>
          </cell>
          <cell r="H2475">
            <v>0.7</v>
          </cell>
          <cell r="I2475" t="str">
            <v>Buy</v>
          </cell>
        </row>
        <row r="2476">
          <cell r="A2476" t="str">
            <v>ASY-100015-0C</v>
          </cell>
          <cell r="B2476">
            <v>1</v>
          </cell>
          <cell r="C2476" t="str">
            <v>ACB-000275-01</v>
          </cell>
          <cell r="D2476" t="str">
            <v>CABLE, CANBUS, LONG, TROV 2</v>
          </cell>
          <cell r="E2476" t="str">
            <v>A</v>
          </cell>
          <cell r="F2476" t="str">
            <v>Cable</v>
          </cell>
          <cell r="G2476">
            <v>1</v>
          </cell>
          <cell r="H2476">
            <v>0.81</v>
          </cell>
          <cell r="I2476" t="str">
            <v>Buy</v>
          </cell>
        </row>
        <row r="2477">
          <cell r="A2477" t="str">
            <v>ASY-100015-0C</v>
          </cell>
          <cell r="B2477">
            <v>1</v>
          </cell>
          <cell r="C2477" t="str">
            <v>ASY-100008-00</v>
          </cell>
          <cell r="D2477" t="str">
            <v>Cable Subassembly, Driver housing, 4ft, Trov 2</v>
          </cell>
          <cell r="E2477" t="str">
            <v>A</v>
          </cell>
          <cell r="F2477" t="str">
            <v>Sub assembly</v>
          </cell>
          <cell r="G2477">
            <v>1</v>
          </cell>
          <cell r="H2477">
            <v>0</v>
          </cell>
          <cell r="I2477" t="str">
            <v>Make</v>
          </cell>
        </row>
        <row r="2478">
          <cell r="A2478" t="str">
            <v>ASY-100015-0C</v>
          </cell>
          <cell r="B2478">
            <v>2</v>
          </cell>
          <cell r="C2478" t="str">
            <v>ACB-000272-00</v>
          </cell>
          <cell r="D2478" t="str">
            <v>CABLE ASSY, INTRA-FIXTURE, 4FT, TROV 2.0</v>
          </cell>
          <cell r="E2478" t="str">
            <v>B</v>
          </cell>
          <cell r="F2478" t="str">
            <v>Cable Assembly</v>
          </cell>
          <cell r="G2478">
            <v>1</v>
          </cell>
          <cell r="H2478">
            <v>20.420000000000002</v>
          </cell>
          <cell r="I2478" t="str">
            <v>Buy</v>
          </cell>
        </row>
        <row r="2479">
          <cell r="A2479" t="str">
            <v>ASY-100015-0C</v>
          </cell>
          <cell r="B2479">
            <v>3</v>
          </cell>
          <cell r="C2479" t="str">
            <v>ACB-000273-00</v>
          </cell>
          <cell r="D2479" t="str">
            <v>6 CONDUCTOR CABLE, 3X22AWG, 3X16AWG, AL MYLAR, TROV 2</v>
          </cell>
          <cell r="E2479" t="str">
            <v>A</v>
          </cell>
          <cell r="F2479" t="str">
            <v>Cable</v>
          </cell>
          <cell r="G2479">
            <v>1</v>
          </cell>
          <cell r="H2479">
            <v>0</v>
          </cell>
          <cell r="I2479" t="str">
            <v>N/A</v>
          </cell>
        </row>
        <row r="2480">
          <cell r="A2480" t="str">
            <v>ASY-100015-0C</v>
          </cell>
          <cell r="B2480">
            <v>3</v>
          </cell>
          <cell r="C2480" t="str">
            <v>ACB-000274-00</v>
          </cell>
          <cell r="D2480" t="str">
            <v>CABLE ASSEMBLY, INTERNAL, DRIVER SIDE, 4FT, TROV 2</v>
          </cell>
          <cell r="E2480" t="str">
            <v>A</v>
          </cell>
          <cell r="F2480" t="str">
            <v>Cable Assembly</v>
          </cell>
          <cell r="G2480">
            <v>1</v>
          </cell>
          <cell r="H2480">
            <v>0</v>
          </cell>
          <cell r="I2480" t="str">
            <v>N/A</v>
          </cell>
        </row>
        <row r="2481">
          <cell r="A2481" t="str">
            <v>ASY-100015-0C</v>
          </cell>
          <cell r="B2481">
            <v>3</v>
          </cell>
          <cell r="C2481" t="str">
            <v>CON-000259-00</v>
          </cell>
          <cell r="D2481" t="str">
            <v>CONNECTOR, MALE, 6 PIN, TROV 2</v>
          </cell>
          <cell r="E2481" t="str">
            <v>B</v>
          </cell>
          <cell r="F2481" t="str">
            <v>Connector</v>
          </cell>
          <cell r="G2481">
            <v>1</v>
          </cell>
          <cell r="H2481">
            <v>0</v>
          </cell>
          <cell r="I2481" t="str">
            <v>N/A</v>
          </cell>
        </row>
        <row r="2482">
          <cell r="A2482" t="str">
            <v>ASY-100015-0C</v>
          </cell>
          <cell r="B2482">
            <v>3</v>
          </cell>
          <cell r="C2482" t="str">
            <v>CON-000260-00</v>
          </cell>
          <cell r="D2482" t="str">
            <v>CONNECTOR, FEMALE, 6 PIN, TROV 2</v>
          </cell>
          <cell r="E2482" t="str">
            <v>A</v>
          </cell>
          <cell r="F2482" t="str">
            <v>Connector</v>
          </cell>
          <cell r="G2482">
            <v>1</v>
          </cell>
          <cell r="H2482">
            <v>0</v>
          </cell>
          <cell r="I2482" t="str">
            <v>N/A</v>
          </cell>
        </row>
        <row r="2483">
          <cell r="A2483" t="str">
            <v>ASY-100015-0C</v>
          </cell>
          <cell r="B2483">
            <v>3</v>
          </cell>
          <cell r="C2483" t="str">
            <v>HSG-000330-00</v>
          </cell>
          <cell r="D2483" t="str">
            <v>DRIVER HOUSING, 4 FT, TROV 2</v>
          </cell>
          <cell r="E2483" t="str">
            <v>A</v>
          </cell>
          <cell r="F2483" t="str">
            <v>Housing</v>
          </cell>
          <cell r="G2483">
            <v>1</v>
          </cell>
          <cell r="H2483">
            <v>0</v>
          </cell>
          <cell r="I2483" t="str">
            <v>N/A</v>
          </cell>
        </row>
        <row r="2484">
          <cell r="A2484" t="str">
            <v>ASY-100015-0C</v>
          </cell>
          <cell r="B2484">
            <v>3</v>
          </cell>
          <cell r="C2484" t="str">
            <v>ORG-000060-00</v>
          </cell>
          <cell r="D2484" t="str">
            <v>O-RING, CABLE, TROV 2</v>
          </cell>
          <cell r="E2484" t="str">
            <v>A</v>
          </cell>
          <cell r="F2484" t="str">
            <v>O-Ring</v>
          </cell>
          <cell r="G2484">
            <v>1</v>
          </cell>
          <cell r="H2484">
            <v>0</v>
          </cell>
          <cell r="I2484" t="str">
            <v>N/A</v>
          </cell>
        </row>
        <row r="2485">
          <cell r="A2485" t="str">
            <v>ASY-100015-0C</v>
          </cell>
          <cell r="B2485">
            <v>3</v>
          </cell>
          <cell r="C2485" t="str">
            <v>SRF-000030-00</v>
          </cell>
          <cell r="D2485" t="str">
            <v>STRAIN RELIEF, CABLE, TROV 2</v>
          </cell>
          <cell r="E2485" t="str">
            <v>A</v>
          </cell>
          <cell r="F2485" t="str">
            <v>Strain Relief</v>
          </cell>
          <cell r="G2485">
            <v>1</v>
          </cell>
          <cell r="H2485">
            <v>0</v>
          </cell>
          <cell r="I2485" t="str">
            <v>N/A</v>
          </cell>
        </row>
        <row r="2486">
          <cell r="A2486" t="str">
            <v>ASY-100015-0C</v>
          </cell>
          <cell r="B2486">
            <v>2</v>
          </cell>
          <cell r="C2486" t="str">
            <v>BKT-000517-00</v>
          </cell>
          <cell r="D2486" t="str">
            <v>BRACKET, ROTATING LOCK, 4 FT, TROV 2.0</v>
          </cell>
          <cell r="E2486" t="str">
            <v>B</v>
          </cell>
          <cell r="F2486" t="str">
            <v>Bracket</v>
          </cell>
          <cell r="G2486">
            <v>1</v>
          </cell>
          <cell r="H2486">
            <v>0.9</v>
          </cell>
          <cell r="I2486" t="str">
            <v>Buy</v>
          </cell>
        </row>
        <row r="2487">
          <cell r="A2487" t="str">
            <v>ASY-100015-0C</v>
          </cell>
          <cell r="B2487">
            <v>2</v>
          </cell>
          <cell r="C2487" t="str">
            <v>BKT-000518-00</v>
          </cell>
          <cell r="D2487" t="str">
            <v>BRACKET, PANEL MOUNT, 4 FT, TROV 2.0</v>
          </cell>
          <cell r="E2487" t="str">
            <v>B</v>
          </cell>
          <cell r="F2487" t="str">
            <v>Bracket</v>
          </cell>
          <cell r="G2487">
            <v>1</v>
          </cell>
          <cell r="H2487">
            <v>0.9</v>
          </cell>
          <cell r="I2487" t="str">
            <v>Buy</v>
          </cell>
        </row>
        <row r="2488">
          <cell r="A2488" t="str">
            <v>ASY-100015-0C</v>
          </cell>
          <cell r="B2488">
            <v>2</v>
          </cell>
          <cell r="C2488" t="str">
            <v>SCW-000509-00</v>
          </cell>
          <cell r="D2488" t="str">
            <v>SCREW, SEALING FLAT HEAD, M3x0.5x8MM</v>
          </cell>
          <cell r="E2488" t="str">
            <v>B</v>
          </cell>
          <cell r="F2488" t="str">
            <v>Screw</v>
          </cell>
          <cell r="G2488">
            <v>2</v>
          </cell>
          <cell r="H2488">
            <v>0.4</v>
          </cell>
          <cell r="I2488" t="str">
            <v>Buy</v>
          </cell>
        </row>
        <row r="2489">
          <cell r="A2489" t="str">
            <v>ASY-100015-0C</v>
          </cell>
          <cell r="B2489">
            <v>1</v>
          </cell>
          <cell r="C2489" t="str">
            <v>BAS-000021-00</v>
          </cell>
          <cell r="D2489" t="str">
            <v>BASE, 4FT, TROV 2.0</v>
          </cell>
          <cell r="E2489" t="str">
            <v>F</v>
          </cell>
          <cell r="F2489" t="str">
            <v>Base</v>
          </cell>
          <cell r="G2489">
            <v>1</v>
          </cell>
          <cell r="H2489">
            <v>14.25</v>
          </cell>
          <cell r="I2489" t="str">
            <v>Buy</v>
          </cell>
        </row>
        <row r="2490">
          <cell r="A2490" t="str">
            <v>ASY-100015-0C</v>
          </cell>
          <cell r="B2490">
            <v>1</v>
          </cell>
          <cell r="C2490" t="str">
            <v>BKT-000457-03</v>
          </cell>
          <cell r="D2490" t="str">
            <v>BRACKET, MOUNT, LEFT, BLACK, TROV 2.0</v>
          </cell>
          <cell r="E2490" t="str">
            <v>C</v>
          </cell>
          <cell r="F2490" t="str">
            <v>Bracket</v>
          </cell>
          <cell r="G2490">
            <v>1</v>
          </cell>
          <cell r="H2490">
            <v>0.99</v>
          </cell>
          <cell r="I2490" t="str">
            <v>Buy</v>
          </cell>
        </row>
        <row r="2491">
          <cell r="A2491" t="str">
            <v>ASY-100015-0C</v>
          </cell>
          <cell r="B2491">
            <v>1</v>
          </cell>
          <cell r="C2491" t="str">
            <v>BKT-000458-03</v>
          </cell>
          <cell r="D2491" t="str">
            <v>BRACKET, MOUNT, RIGHT, BLACK, TROV 2.0</v>
          </cell>
          <cell r="E2491" t="str">
            <v>C</v>
          </cell>
          <cell r="F2491" t="str">
            <v>Bracket</v>
          </cell>
          <cell r="G2491">
            <v>1</v>
          </cell>
          <cell r="H2491">
            <v>0.99</v>
          </cell>
          <cell r="I2491" t="str">
            <v>Buy</v>
          </cell>
        </row>
        <row r="2492">
          <cell r="A2492" t="str">
            <v>ASY-100015-0C</v>
          </cell>
          <cell r="B2492">
            <v>1</v>
          </cell>
          <cell r="C2492" t="str">
            <v>CVR-000791-0C</v>
          </cell>
          <cell r="D2492" t="str">
            <v>END COVER, FC, CUSTOM FINISH, L45, TROV 2.0</v>
          </cell>
          <cell r="E2492" t="str">
            <v>E</v>
          </cell>
          <cell r="F2492" t="str">
            <v>Cover</v>
          </cell>
          <cell r="G2492">
            <v>1</v>
          </cell>
          <cell r="H2492">
            <v>0</v>
          </cell>
          <cell r="I2492" t="str">
            <v>Buy</v>
          </cell>
        </row>
        <row r="2493">
          <cell r="A2493" t="str">
            <v>ASY-100015-0C</v>
          </cell>
          <cell r="B2493">
            <v>1</v>
          </cell>
          <cell r="C2493" t="str">
            <v>CVR-000894-0C</v>
          </cell>
          <cell r="D2493" t="str">
            <v>END COVER, MC, CUSTOM FINISH, L45, TROV 2.0</v>
          </cell>
          <cell r="E2493" t="str">
            <v>C</v>
          </cell>
          <cell r="F2493" t="str">
            <v>Cover</v>
          </cell>
          <cell r="G2493">
            <v>1</v>
          </cell>
          <cell r="H2493">
            <v>0</v>
          </cell>
          <cell r="I2493" t="str">
            <v>Buy</v>
          </cell>
        </row>
        <row r="2494">
          <cell r="A2494" t="str">
            <v>ASY-100015-0C</v>
          </cell>
          <cell r="B2494">
            <v>1</v>
          </cell>
          <cell r="C2494" t="str">
            <v>FOM-000029-00</v>
          </cell>
          <cell r="D2494" t="str">
            <v>FOAM, LIGHTBLOCK, ENDCAP, L45, TROV2</v>
          </cell>
          <cell r="E2494" t="str">
            <v>A</v>
          </cell>
          <cell r="F2494" t="str">
            <v>Foam</v>
          </cell>
          <cell r="G2494">
            <v>2</v>
          </cell>
          <cell r="H2494">
            <v>0.02</v>
          </cell>
          <cell r="I2494" t="str">
            <v>Buy</v>
          </cell>
        </row>
        <row r="2495">
          <cell r="A2495" t="str">
            <v>ASY-100015-0C</v>
          </cell>
          <cell r="B2495">
            <v>1</v>
          </cell>
          <cell r="C2495" t="str">
            <v>GSK-000114-01</v>
          </cell>
          <cell r="D2495" t="str">
            <v>GASKET, TERTIARY LENS, 3M, 2 FT, L45, TROV 2.0</v>
          </cell>
          <cell r="E2495" t="str">
            <v>D</v>
          </cell>
          <cell r="F2495" t="str">
            <v>Gasket</v>
          </cell>
          <cell r="G2495">
            <v>2</v>
          </cell>
          <cell r="H2495">
            <v>2.65</v>
          </cell>
          <cell r="I2495" t="str">
            <v>Buy</v>
          </cell>
        </row>
        <row r="2496">
          <cell r="A2496" t="str">
            <v>ASY-100015-0C</v>
          </cell>
          <cell r="B2496">
            <v>1</v>
          </cell>
          <cell r="C2496" t="str">
            <v>GSK-000122-01</v>
          </cell>
          <cell r="D2496" t="str">
            <v>GASKET, DRIVER ENCLOSURE, 3M, 4 FT, TROV 2.0</v>
          </cell>
          <cell r="E2496" t="str">
            <v>B</v>
          </cell>
          <cell r="F2496" t="str">
            <v>Gasket</v>
          </cell>
          <cell r="G2496">
            <v>1</v>
          </cell>
          <cell r="H2496">
            <v>2.0299999999999998</v>
          </cell>
          <cell r="I2496" t="str">
            <v>Buy</v>
          </cell>
        </row>
        <row r="2497">
          <cell r="A2497" t="str">
            <v>ASY-100015-0C</v>
          </cell>
          <cell r="B2497">
            <v>1</v>
          </cell>
          <cell r="C2497" t="str">
            <v>HSG-000494-0C</v>
          </cell>
          <cell r="D2497" t="str">
            <v>HOUSING, TOP, 4 FT, L45, CUSTOM FINISH, TROV 2.0</v>
          </cell>
          <cell r="E2497" t="str">
            <v>E</v>
          </cell>
          <cell r="F2497" t="str">
            <v>Housing</v>
          </cell>
          <cell r="G2497">
            <v>1</v>
          </cell>
          <cell r="H2497">
            <v>0</v>
          </cell>
          <cell r="I2497" t="str">
            <v>Buy</v>
          </cell>
        </row>
        <row r="2498">
          <cell r="A2498" t="str">
            <v>ASY-100015-0C</v>
          </cell>
          <cell r="B2498">
            <v>1</v>
          </cell>
          <cell r="C2498" t="str">
            <v>HSG-000495-0C</v>
          </cell>
          <cell r="D2498" t="str">
            <v>HOUSING, BOTTOM, 4 FT, CUSTOM FINISH, TROV 2.0</v>
          </cell>
          <cell r="E2498" t="str">
            <v>F</v>
          </cell>
          <cell r="F2498" t="str">
            <v>Housing</v>
          </cell>
          <cell r="G2498">
            <v>1</v>
          </cell>
          <cell r="H2498">
            <v>0</v>
          </cell>
          <cell r="I2498" t="str">
            <v>Buy</v>
          </cell>
        </row>
        <row r="2499">
          <cell r="A2499" t="str">
            <v>ASY-100015-0C</v>
          </cell>
          <cell r="B2499">
            <v>1</v>
          </cell>
          <cell r="C2499" t="str">
            <v>LBA-000003-00</v>
          </cell>
          <cell r="D2499" t="str">
            <v>Label: TROV 2 P1/P2, Model L45/L60</v>
          </cell>
          <cell r="E2499" t="str">
            <v>A</v>
          </cell>
          <cell r="F2499" t="str">
            <v>Label BOM</v>
          </cell>
          <cell r="G2499">
            <v>1</v>
          </cell>
          <cell r="H2499">
            <v>0</v>
          </cell>
          <cell r="I2499" t="str">
            <v>Make</v>
          </cell>
        </row>
        <row r="2500">
          <cell r="A2500" t="str">
            <v>ASY-100015-0C</v>
          </cell>
          <cell r="B2500">
            <v>2</v>
          </cell>
          <cell r="C2500" t="str">
            <v>LBL-000243-00</v>
          </cell>
          <cell r="D2500" t="str">
            <v>Blank Product Label: Trov 2 P1/P2, Model L45/L60</v>
          </cell>
          <cell r="E2500" t="str">
            <v>A</v>
          </cell>
          <cell r="F2500" t="str">
            <v>Label</v>
          </cell>
          <cell r="G2500">
            <v>1</v>
          </cell>
          <cell r="H2500">
            <v>0.33</v>
          </cell>
          <cell r="I2500" t="str">
            <v>Buy</v>
          </cell>
        </row>
        <row r="2501">
          <cell r="A2501" t="str">
            <v>ASY-100015-0C</v>
          </cell>
          <cell r="B2501">
            <v>1</v>
          </cell>
          <cell r="C2501" t="str">
            <v>PLG-000009-01</v>
          </cell>
          <cell r="D2501" t="str">
            <v>Porex Vent, Trov, L50 Exterior</v>
          </cell>
          <cell r="E2501" t="str">
            <v>B</v>
          </cell>
          <cell r="F2501" t="str">
            <v>Plug</v>
          </cell>
          <cell r="G2501">
            <v>2</v>
          </cell>
          <cell r="H2501">
            <v>0.17</v>
          </cell>
          <cell r="I2501" t="str">
            <v>Buy</v>
          </cell>
        </row>
        <row r="2502">
          <cell r="A2502" t="str">
            <v>ASY-100015-0C</v>
          </cell>
          <cell r="B2502">
            <v>1</v>
          </cell>
          <cell r="C2502" t="str">
            <v>SCW-000156-00</v>
          </cell>
          <cell r="D2502" t="str">
            <v>SCREW, M3 x 0.5 X 8mm, PAND HEAD, PHILLIPS, STEEL</v>
          </cell>
          <cell r="E2502" t="str">
            <v>B</v>
          </cell>
          <cell r="F2502" t="str">
            <v>Screw</v>
          </cell>
          <cell r="G2502">
            <v>6</v>
          </cell>
          <cell r="H2502">
            <v>4.4400000000000002E-2</v>
          </cell>
          <cell r="I2502" t="str">
            <v>Buy</v>
          </cell>
        </row>
        <row r="2503">
          <cell r="A2503" t="str">
            <v>ASY-100015-0C</v>
          </cell>
          <cell r="B2503">
            <v>1</v>
          </cell>
          <cell r="C2503" t="str">
            <v>SCW-000483-00</v>
          </cell>
          <cell r="D2503" t="str">
            <v>SCREW, PHILIPS FLAT HEAD, M2.5x0.45x5 , 18-8 SST</v>
          </cell>
          <cell r="E2503" t="str">
            <v>A</v>
          </cell>
          <cell r="F2503" t="str">
            <v>Screw</v>
          </cell>
          <cell r="G2503">
            <v>4</v>
          </cell>
          <cell r="H2503">
            <v>0.02</v>
          </cell>
          <cell r="I2503" t="str">
            <v>Buy</v>
          </cell>
        </row>
        <row r="2504">
          <cell r="A2504" t="str">
            <v>ASY-100015-0C</v>
          </cell>
          <cell r="B2504">
            <v>1</v>
          </cell>
          <cell r="C2504" t="str">
            <v>SCW-000556-00</v>
          </cell>
          <cell r="D2504" t="str">
            <v>SCREW, HEX, SERRATED, #8-32, GROUNDING, TROV 2</v>
          </cell>
          <cell r="E2504" t="str">
            <v>A</v>
          </cell>
          <cell r="F2504" t="str">
            <v>Screw</v>
          </cell>
          <cell r="G2504">
            <v>1</v>
          </cell>
          <cell r="H2504">
            <v>0.04</v>
          </cell>
          <cell r="I2504" t="str">
            <v>Buy</v>
          </cell>
        </row>
        <row r="2505">
          <cell r="A2505" t="str">
            <v>ASY-100015-0C</v>
          </cell>
          <cell r="B2505">
            <v>1</v>
          </cell>
          <cell r="C2505" t="str">
            <v>SCW-000567-00</v>
          </cell>
          <cell r="D2505" t="str">
            <v>SCREW, M2.5 x 0.45 x 12.0mm LENGTH, PAN HD, PHILLIPS, ZINC-PLATED STEEL</v>
          </cell>
          <cell r="E2505" t="str">
            <v>A</v>
          </cell>
          <cell r="F2505" t="str">
            <v>Screw</v>
          </cell>
          <cell r="G2505">
            <v>4</v>
          </cell>
          <cell r="H2505">
            <v>0.06</v>
          </cell>
          <cell r="I2505" t="str">
            <v>Buy</v>
          </cell>
        </row>
        <row r="2506">
          <cell r="A2506" t="str">
            <v>ASY-100015-0C</v>
          </cell>
          <cell r="B2506">
            <v>1</v>
          </cell>
          <cell r="C2506" t="str">
            <v>SCW-000574-00</v>
          </cell>
          <cell r="D2506" t="str">
            <v>SCREW, TORX HEAD, 1/4-28x1/2", LOW PROFILE, ALLOY STEEL</v>
          </cell>
          <cell r="E2506" t="str">
            <v>A</v>
          </cell>
          <cell r="F2506" t="str">
            <v>Screw</v>
          </cell>
          <cell r="G2506">
            <v>2</v>
          </cell>
          <cell r="H2506">
            <v>0.14000000000000001</v>
          </cell>
          <cell r="I2506" t="str">
            <v>Buy</v>
          </cell>
        </row>
        <row r="2507">
          <cell r="A2507" t="str">
            <v>ASY-100015-0C</v>
          </cell>
          <cell r="B2507">
            <v>1</v>
          </cell>
          <cell r="C2507" t="str">
            <v>SHT-000043-00</v>
          </cell>
          <cell r="D2507" t="str">
            <v>INSULATION SHEET, HBA, 4FT,TROV 2</v>
          </cell>
          <cell r="E2507" t="str">
            <v>D</v>
          </cell>
          <cell r="F2507" t="str">
            <v>Sheet</v>
          </cell>
          <cell r="G2507">
            <v>1</v>
          </cell>
          <cell r="H2507">
            <v>0.25</v>
          </cell>
          <cell r="I2507" t="str">
            <v>Buy</v>
          </cell>
        </row>
        <row r="2508">
          <cell r="A2508" t="str">
            <v>ASY-100015-0C</v>
          </cell>
          <cell r="B2508">
            <v>1</v>
          </cell>
          <cell r="C2508" t="str">
            <v>SPG-000023-00</v>
          </cell>
          <cell r="D2508" t="str">
            <v>SPRING, DISC, STACKED WAVE, TROV 2.0</v>
          </cell>
          <cell r="E2508" t="str">
            <v>A</v>
          </cell>
          <cell r="F2508" t="str">
            <v>Spring</v>
          </cell>
          <cell r="G2508">
            <v>2</v>
          </cell>
          <cell r="H2508">
            <v>1.74</v>
          </cell>
          <cell r="I2508" t="str">
            <v>Buy</v>
          </cell>
        </row>
        <row r="2509">
          <cell r="A2509" t="str">
            <v>ASY-100015-0C</v>
          </cell>
          <cell r="B2509">
            <v>1</v>
          </cell>
          <cell r="C2509" t="str">
            <v>TAP-000031-00</v>
          </cell>
          <cell r="D2509" t="str">
            <v>3M Electrical Tape 92</v>
          </cell>
          <cell r="E2509" t="str">
            <v>A</v>
          </cell>
          <cell r="F2509" t="str">
            <v>Tape</v>
          </cell>
          <cell r="G2509">
            <v>120</v>
          </cell>
          <cell r="H2509">
            <v>1.4E-2</v>
          </cell>
          <cell r="I2509" t="str">
            <v>Buy</v>
          </cell>
        </row>
        <row r="2510">
          <cell r="A2510" t="str">
            <v>ASY-100015-0C</v>
          </cell>
          <cell r="B2510">
            <v>1</v>
          </cell>
          <cell r="C2510" t="str">
            <v>TMP-000028-00</v>
          </cell>
          <cell r="D2510" t="str">
            <v>Thermal Pad, LED PCBA, 2 FT, TROV 2</v>
          </cell>
          <cell r="E2510" t="str">
            <v>B</v>
          </cell>
          <cell r="F2510" t="str">
            <v>Thermal Pad</v>
          </cell>
          <cell r="G2510">
            <v>2</v>
          </cell>
          <cell r="H2510">
            <v>1.32</v>
          </cell>
          <cell r="I2510" t="str">
            <v>Buy</v>
          </cell>
        </row>
        <row r="2511">
          <cell r="A2511" t="str">
            <v>ASY-100015-0C</v>
          </cell>
          <cell r="B2511">
            <v>1</v>
          </cell>
          <cell r="C2511" t="str">
            <v>TMP-000029-00</v>
          </cell>
          <cell r="D2511" t="str">
            <v>Thermal Pad, HBA, TROV 2</v>
          </cell>
          <cell r="E2511" t="str">
            <v>B</v>
          </cell>
          <cell r="F2511" t="str">
            <v>Thermal Pad</v>
          </cell>
          <cell r="G2511">
            <v>2</v>
          </cell>
          <cell r="H2511">
            <v>0.14000000000000001</v>
          </cell>
          <cell r="I2511" t="str">
            <v>Buy</v>
          </cell>
        </row>
        <row r="2512">
          <cell r="A2512" t="str">
            <v>ASY-100015-0C</v>
          </cell>
          <cell r="B2512">
            <v>1</v>
          </cell>
          <cell r="C2512" t="str">
            <v>TMP-000032-00</v>
          </cell>
          <cell r="D2512" t="str">
            <v>Thermal Pad, HBA, TROV 2</v>
          </cell>
          <cell r="E2512" t="str">
            <v>A</v>
          </cell>
          <cell r="F2512" t="str">
            <v>Thermal Pad</v>
          </cell>
          <cell r="G2512">
            <v>1</v>
          </cell>
          <cell r="H2512">
            <v>0.03</v>
          </cell>
          <cell r="I2512" t="str">
            <v>Buy</v>
          </cell>
        </row>
        <row r="2513">
          <cell r="A2513" t="str">
            <v>ASY-100016-01</v>
          </cell>
          <cell r="B2513">
            <v>0</v>
          </cell>
          <cell r="C2513" t="str">
            <v>ASY-100016-01</v>
          </cell>
          <cell r="D2513" t="str">
            <v>ASSY, MECHANICAL, L60, OUTDOOR, 1 FT, TROV2P2, DYNAMIC, SILVER</v>
          </cell>
          <cell r="E2513" t="str">
            <v>A</v>
          </cell>
          <cell r="F2513" t="str">
            <v>Sub assembly</v>
          </cell>
          <cell r="H2513">
            <v>0</v>
          </cell>
          <cell r="I2513" t="str">
            <v>Make</v>
          </cell>
        </row>
        <row r="2514">
          <cell r="A2514" t="str">
            <v>ASY-100016-01</v>
          </cell>
          <cell r="B2514">
            <v>1</v>
          </cell>
          <cell r="C2514" t="str">
            <v>ACB-000275-00</v>
          </cell>
          <cell r="D2514" t="str">
            <v>CABLE, CANBUS, SHORT, TROV 2</v>
          </cell>
          <cell r="E2514" t="str">
            <v>A</v>
          </cell>
          <cell r="F2514" t="str">
            <v>Cable</v>
          </cell>
          <cell r="G2514">
            <v>1</v>
          </cell>
          <cell r="H2514">
            <v>0.7</v>
          </cell>
          <cell r="I2514" t="str">
            <v>Buy</v>
          </cell>
        </row>
        <row r="2515">
          <cell r="A2515" t="str">
            <v>ASY-100016-01</v>
          </cell>
          <cell r="B2515">
            <v>1</v>
          </cell>
          <cell r="C2515" t="str">
            <v>ASY-100009-00</v>
          </cell>
          <cell r="D2515" t="str">
            <v>Cable Subassembly, Driver housing, 1ft, Trov 2</v>
          </cell>
          <cell r="E2515" t="str">
            <v>B</v>
          </cell>
          <cell r="F2515" t="str">
            <v>Sub assembly</v>
          </cell>
          <cell r="G2515">
            <v>1</v>
          </cell>
          <cell r="H2515">
            <v>0</v>
          </cell>
          <cell r="I2515" t="str">
            <v>Make</v>
          </cell>
        </row>
        <row r="2516">
          <cell r="A2516" t="str">
            <v>ASY-100016-01</v>
          </cell>
          <cell r="B2516">
            <v>2</v>
          </cell>
          <cell r="C2516" t="str">
            <v>ACB-000278-00</v>
          </cell>
          <cell r="D2516" t="str">
            <v>CABLE ASSY, INTRA-FIXTURE, 1FT, TROV 2.0</v>
          </cell>
          <cell r="E2516" t="str">
            <v>A</v>
          </cell>
          <cell r="F2516" t="str">
            <v>Cable Assembly</v>
          </cell>
          <cell r="G2516">
            <v>1</v>
          </cell>
          <cell r="H2516">
            <v>12.75</v>
          </cell>
          <cell r="I2516" t="str">
            <v>Buy</v>
          </cell>
        </row>
        <row r="2517">
          <cell r="A2517" t="str">
            <v>ASY-100016-01</v>
          </cell>
          <cell r="B2517">
            <v>3</v>
          </cell>
          <cell r="C2517" t="str">
            <v>ACB-000273-00</v>
          </cell>
          <cell r="D2517" t="str">
            <v>6 CONDUCTOR CABLE, 3X22AWG, 3X16AWG, AL MYLAR, TROV 2</v>
          </cell>
          <cell r="E2517" t="str">
            <v>A</v>
          </cell>
          <cell r="F2517" t="str">
            <v>Cable</v>
          </cell>
          <cell r="G2517">
            <v>1</v>
          </cell>
          <cell r="H2517">
            <v>0</v>
          </cell>
          <cell r="I2517" t="str">
            <v>N/A</v>
          </cell>
        </row>
        <row r="2518">
          <cell r="A2518" t="str">
            <v>ASY-100016-01</v>
          </cell>
          <cell r="B2518">
            <v>3</v>
          </cell>
          <cell r="C2518" t="str">
            <v>ACB-000274-01</v>
          </cell>
          <cell r="D2518" t="str">
            <v>CABLE ASSEMBLY, INTERNAL, DRIVER SIDE, 1FT, TROV 2</v>
          </cell>
          <cell r="E2518" t="str">
            <v>A</v>
          </cell>
          <cell r="F2518" t="str">
            <v>Cable Assembly</v>
          </cell>
          <cell r="G2518">
            <v>1</v>
          </cell>
          <cell r="H2518">
            <v>0</v>
          </cell>
          <cell r="I2518" t="str">
            <v>N/A</v>
          </cell>
        </row>
        <row r="2519">
          <cell r="A2519" t="str">
            <v>ASY-100016-01</v>
          </cell>
          <cell r="B2519">
            <v>3</v>
          </cell>
          <cell r="C2519" t="str">
            <v>CON-000259-00</v>
          </cell>
          <cell r="D2519" t="str">
            <v>CONNECTOR, MALE, 6 PIN, TROV 2</v>
          </cell>
          <cell r="E2519" t="str">
            <v>B</v>
          </cell>
          <cell r="F2519" t="str">
            <v>Connector</v>
          </cell>
          <cell r="G2519">
            <v>1</v>
          </cell>
          <cell r="H2519">
            <v>0</v>
          </cell>
          <cell r="I2519" t="str">
            <v>N/A</v>
          </cell>
        </row>
        <row r="2520">
          <cell r="A2520" t="str">
            <v>ASY-100016-01</v>
          </cell>
          <cell r="B2520">
            <v>3</v>
          </cell>
          <cell r="C2520" t="str">
            <v>CON-000260-00</v>
          </cell>
          <cell r="D2520" t="str">
            <v>CONNECTOR, FEMALE, 6 PIN, TROV 2</v>
          </cell>
          <cell r="E2520" t="str">
            <v>A</v>
          </cell>
          <cell r="F2520" t="str">
            <v>Connector</v>
          </cell>
          <cell r="G2520">
            <v>1</v>
          </cell>
          <cell r="H2520">
            <v>0</v>
          </cell>
          <cell r="I2520" t="str">
            <v>N/A</v>
          </cell>
        </row>
        <row r="2521">
          <cell r="A2521" t="str">
            <v>ASY-100016-01</v>
          </cell>
          <cell r="B2521">
            <v>3</v>
          </cell>
          <cell r="C2521" t="str">
            <v>ORG-000060-00</v>
          </cell>
          <cell r="D2521" t="str">
            <v>O-RING, CABLE, TROV 2</v>
          </cell>
          <cell r="E2521" t="str">
            <v>A</v>
          </cell>
          <cell r="F2521" t="str">
            <v>O-Ring</v>
          </cell>
          <cell r="G2521">
            <v>1</v>
          </cell>
          <cell r="H2521">
            <v>0</v>
          </cell>
          <cell r="I2521" t="str">
            <v>N/A</v>
          </cell>
        </row>
        <row r="2522">
          <cell r="A2522" t="str">
            <v>ASY-100016-01</v>
          </cell>
          <cell r="B2522">
            <v>3</v>
          </cell>
          <cell r="C2522" t="str">
            <v>SRF-000030-00</v>
          </cell>
          <cell r="D2522" t="str">
            <v>STRAIN RELIEF, CABLE, TROV 2</v>
          </cell>
          <cell r="E2522" t="str">
            <v>A</v>
          </cell>
          <cell r="F2522" t="str">
            <v>Strain Relief</v>
          </cell>
          <cell r="G2522">
            <v>1</v>
          </cell>
          <cell r="H2522">
            <v>0</v>
          </cell>
          <cell r="I2522" t="str">
            <v>N/A</v>
          </cell>
        </row>
        <row r="2523">
          <cell r="A2523" t="str">
            <v>ASY-100016-01</v>
          </cell>
          <cell r="B2523">
            <v>2</v>
          </cell>
          <cell r="C2523" t="str">
            <v>HSG-000488-01</v>
          </cell>
          <cell r="D2523" t="str">
            <v>HOUSING, PSU, 1 FT, MOLDED HOLE, TROV 2.0</v>
          </cell>
          <cell r="E2523" t="str">
            <v>B</v>
          </cell>
          <cell r="F2523" t="str">
            <v>Housing</v>
          </cell>
          <cell r="G2523">
            <v>1</v>
          </cell>
          <cell r="H2523">
            <v>1.17</v>
          </cell>
          <cell r="I2523" t="str">
            <v>Buy</v>
          </cell>
        </row>
        <row r="2524">
          <cell r="A2524" t="str">
            <v>ASY-100016-01</v>
          </cell>
          <cell r="B2524">
            <v>2</v>
          </cell>
          <cell r="C2524" t="str">
            <v>SCW-000577-00</v>
          </cell>
          <cell r="D2524" t="str">
            <v>SCREW, TORX HEAD, LOW PROFILE, M3X8mm, ALLOY STEEL</v>
          </cell>
          <cell r="E2524" t="str">
            <v>A</v>
          </cell>
          <cell r="F2524" t="str">
            <v>Screw</v>
          </cell>
          <cell r="G2524">
            <v>2</v>
          </cell>
          <cell r="H2524">
            <v>0.03</v>
          </cell>
          <cell r="I2524" t="str">
            <v>Buy</v>
          </cell>
        </row>
        <row r="2525">
          <cell r="A2525" t="str">
            <v>ASY-100016-01</v>
          </cell>
          <cell r="B2525">
            <v>1</v>
          </cell>
          <cell r="C2525" t="str">
            <v>BAS-000020-00</v>
          </cell>
          <cell r="D2525" t="str">
            <v>BASE, 1FT, TROV 2.0</v>
          </cell>
          <cell r="E2525" t="str">
            <v>E</v>
          </cell>
          <cell r="F2525" t="str">
            <v>Base</v>
          </cell>
          <cell r="G2525">
            <v>1</v>
          </cell>
          <cell r="H2525">
            <v>5.8</v>
          </cell>
          <cell r="I2525" t="str">
            <v>Buy</v>
          </cell>
        </row>
        <row r="2526">
          <cell r="A2526" t="str">
            <v>ASY-100016-01</v>
          </cell>
          <cell r="B2526">
            <v>1</v>
          </cell>
          <cell r="C2526" t="str">
            <v>BKT-000457-03</v>
          </cell>
          <cell r="D2526" t="str">
            <v>BRACKET, MOUNT, LEFT, BLACK, TROV 2.0</v>
          </cell>
          <cell r="E2526" t="str">
            <v>C</v>
          </cell>
          <cell r="F2526" t="str">
            <v>Bracket</v>
          </cell>
          <cell r="G2526">
            <v>1</v>
          </cell>
          <cell r="H2526">
            <v>0.99</v>
          </cell>
          <cell r="I2526" t="str">
            <v>Buy</v>
          </cell>
        </row>
        <row r="2527">
          <cell r="A2527" t="str">
            <v>ASY-100016-01</v>
          </cell>
          <cell r="B2527">
            <v>1</v>
          </cell>
          <cell r="C2527" t="str">
            <v>BKT-000458-03</v>
          </cell>
          <cell r="D2527" t="str">
            <v>BRACKET, MOUNT, RIGHT, BLACK, TROV 2.0</v>
          </cell>
          <cell r="E2527" t="str">
            <v>C</v>
          </cell>
          <cell r="F2527" t="str">
            <v>Bracket</v>
          </cell>
          <cell r="G2527">
            <v>1</v>
          </cell>
          <cell r="H2527">
            <v>0.99</v>
          </cell>
          <cell r="I2527" t="str">
            <v>Buy</v>
          </cell>
        </row>
        <row r="2528">
          <cell r="A2528" t="str">
            <v>ASY-100016-01</v>
          </cell>
          <cell r="B2528">
            <v>1</v>
          </cell>
          <cell r="C2528" t="str">
            <v>CVR-000789-03</v>
          </cell>
          <cell r="D2528" t="str">
            <v>END COVER, FC, BLACK, L60, TROV 2.0</v>
          </cell>
          <cell r="E2528" t="str">
            <v>D</v>
          </cell>
          <cell r="F2528" t="str">
            <v>Cover</v>
          </cell>
          <cell r="G2528">
            <v>1</v>
          </cell>
          <cell r="H2528">
            <v>1.0900000000000001</v>
          </cell>
          <cell r="I2528" t="str">
            <v>Buy</v>
          </cell>
        </row>
        <row r="2529">
          <cell r="A2529" t="str">
            <v>ASY-100016-01</v>
          </cell>
          <cell r="B2529">
            <v>1</v>
          </cell>
          <cell r="C2529" t="str">
            <v>CVR-000893-03</v>
          </cell>
          <cell r="D2529" t="str">
            <v>END COVER, MC, BLACK, L60, TROV 2.0</v>
          </cell>
          <cell r="E2529" t="str">
            <v>B</v>
          </cell>
          <cell r="F2529" t="str">
            <v>Cover</v>
          </cell>
          <cell r="G2529">
            <v>1</v>
          </cell>
          <cell r="H2529">
            <v>1.0900000000000001</v>
          </cell>
          <cell r="I2529" t="str">
            <v>Buy</v>
          </cell>
        </row>
        <row r="2530">
          <cell r="A2530" t="str">
            <v>ASY-100016-01</v>
          </cell>
          <cell r="B2530">
            <v>1</v>
          </cell>
          <cell r="C2530" t="str">
            <v>FOM-000028-00</v>
          </cell>
          <cell r="D2530" t="str">
            <v>FOAM, LIGHTBLOCK, ENDCAP, L60, TROV2</v>
          </cell>
          <cell r="E2530" t="str">
            <v>A</v>
          </cell>
          <cell r="F2530" t="str">
            <v>Foam</v>
          </cell>
          <cell r="G2530">
            <v>2</v>
          </cell>
          <cell r="H2530">
            <v>0.03</v>
          </cell>
          <cell r="I2530" t="str">
            <v>Buy</v>
          </cell>
        </row>
        <row r="2531">
          <cell r="A2531" t="str">
            <v>ASY-100016-01</v>
          </cell>
          <cell r="B2531">
            <v>1</v>
          </cell>
          <cell r="C2531" t="str">
            <v>GSK-000121-01</v>
          </cell>
          <cell r="D2531" t="str">
            <v>GASKET, DRIVER ENCLOSURE, 3M, 1 FT, TROV 2.0</v>
          </cell>
          <cell r="E2531" t="str">
            <v>B</v>
          </cell>
          <cell r="F2531" t="str">
            <v>Gasket</v>
          </cell>
          <cell r="G2531">
            <v>1</v>
          </cell>
          <cell r="H2531">
            <v>1.7</v>
          </cell>
          <cell r="I2531" t="str">
            <v>Buy</v>
          </cell>
        </row>
        <row r="2532">
          <cell r="A2532" t="str">
            <v>ASY-100016-01</v>
          </cell>
          <cell r="B2532">
            <v>1</v>
          </cell>
          <cell r="C2532" t="str">
            <v>GSK-000132-00</v>
          </cell>
          <cell r="D2532" t="str">
            <v>GASKET, TERTIARY LENS, 3M, 1 FT, L60, TROV 2.0</v>
          </cell>
          <cell r="E2532" t="str">
            <v>B</v>
          </cell>
          <cell r="F2532" t="str">
            <v>Gasket</v>
          </cell>
          <cell r="G2532">
            <v>1</v>
          </cell>
          <cell r="H2532">
            <v>1.96</v>
          </cell>
          <cell r="I2532" t="str">
            <v>Buy</v>
          </cell>
        </row>
        <row r="2533">
          <cell r="A2533" t="str">
            <v>ASY-100016-01</v>
          </cell>
          <cell r="B2533">
            <v>1</v>
          </cell>
          <cell r="C2533" t="str">
            <v>HSG-000490-01</v>
          </cell>
          <cell r="D2533" t="str">
            <v>HOUSING, TOP, 1 FT, L60, SILVER,  TROV 2.0</v>
          </cell>
          <cell r="E2533" t="str">
            <v>E</v>
          </cell>
          <cell r="F2533" t="str">
            <v>Housing</v>
          </cell>
          <cell r="G2533">
            <v>1</v>
          </cell>
          <cell r="H2533">
            <v>4.83</v>
          </cell>
          <cell r="I2533" t="str">
            <v>Buy</v>
          </cell>
        </row>
        <row r="2534">
          <cell r="A2534" t="str">
            <v>ASY-100016-01</v>
          </cell>
          <cell r="B2534">
            <v>1</v>
          </cell>
          <cell r="C2534" t="str">
            <v>HSG-000492-01</v>
          </cell>
          <cell r="D2534" t="str">
            <v>HOUSING, BOTTOM, 1 FT, SILVER, TROV 2.0</v>
          </cell>
          <cell r="E2534" t="str">
            <v>F</v>
          </cell>
          <cell r="F2534" t="str">
            <v>Housing</v>
          </cell>
          <cell r="G2534">
            <v>1</v>
          </cell>
          <cell r="H2534">
            <v>3.34</v>
          </cell>
          <cell r="I2534" t="str">
            <v>Buy</v>
          </cell>
        </row>
        <row r="2535">
          <cell r="A2535" t="str">
            <v>ASY-100016-01</v>
          </cell>
          <cell r="B2535">
            <v>1</v>
          </cell>
          <cell r="C2535" t="str">
            <v>LBA-000003-00</v>
          </cell>
          <cell r="D2535" t="str">
            <v>Label: TROV 2 P1/P2, Model L45/L60</v>
          </cell>
          <cell r="E2535" t="str">
            <v>A</v>
          </cell>
          <cell r="F2535" t="str">
            <v>Label BOM</v>
          </cell>
          <cell r="G2535">
            <v>1</v>
          </cell>
          <cell r="H2535">
            <v>0</v>
          </cell>
          <cell r="I2535" t="str">
            <v>Make</v>
          </cell>
        </row>
        <row r="2536">
          <cell r="A2536" t="str">
            <v>ASY-100016-01</v>
          </cell>
          <cell r="B2536">
            <v>2</v>
          </cell>
          <cell r="C2536" t="str">
            <v>LBL-000243-00</v>
          </cell>
          <cell r="D2536" t="str">
            <v>Blank Product Label: Trov 2 P1/P2, Model L45/L60</v>
          </cell>
          <cell r="E2536" t="str">
            <v>A</v>
          </cell>
          <cell r="F2536" t="str">
            <v>Label</v>
          </cell>
          <cell r="G2536">
            <v>1</v>
          </cell>
          <cell r="H2536">
            <v>0.33</v>
          </cell>
          <cell r="I2536" t="str">
            <v>Buy</v>
          </cell>
        </row>
        <row r="2537">
          <cell r="A2537" t="str">
            <v>ASY-100016-01</v>
          </cell>
          <cell r="B2537">
            <v>1</v>
          </cell>
          <cell r="C2537" t="str">
            <v>PLG-000009-01</v>
          </cell>
          <cell r="D2537" t="str">
            <v>Porex Vent, Trov, L50 Exterior</v>
          </cell>
          <cell r="E2537" t="str">
            <v>B</v>
          </cell>
          <cell r="F2537" t="str">
            <v>Plug</v>
          </cell>
          <cell r="G2537">
            <v>1</v>
          </cell>
          <cell r="H2537">
            <v>0.17</v>
          </cell>
          <cell r="I2537" t="str">
            <v>Buy</v>
          </cell>
        </row>
        <row r="2538">
          <cell r="A2538" t="str">
            <v>ASY-100016-01</v>
          </cell>
          <cell r="B2538">
            <v>1</v>
          </cell>
          <cell r="C2538" t="str">
            <v>SCW-000156-00</v>
          </cell>
          <cell r="D2538" t="str">
            <v>SCREW, M3 x 0.5 X 8mm, PAND HEAD, PHILLIPS, STEEL</v>
          </cell>
          <cell r="E2538" t="str">
            <v>B</v>
          </cell>
          <cell r="F2538" t="str">
            <v>Screw</v>
          </cell>
          <cell r="G2538">
            <v>2</v>
          </cell>
          <cell r="H2538">
            <v>4.4400000000000002E-2</v>
          </cell>
          <cell r="I2538" t="str">
            <v>Buy</v>
          </cell>
        </row>
        <row r="2539">
          <cell r="A2539" t="str">
            <v>ASY-100016-01</v>
          </cell>
          <cell r="B2539">
            <v>1</v>
          </cell>
          <cell r="C2539" t="str">
            <v>SCW-000483-00</v>
          </cell>
          <cell r="D2539" t="str">
            <v>SCREW, PHILIPS FLAT HEAD, M2.5x0.45x5 , 18-8 SST</v>
          </cell>
          <cell r="E2539" t="str">
            <v>A</v>
          </cell>
          <cell r="F2539" t="str">
            <v>Screw</v>
          </cell>
          <cell r="G2539">
            <v>4</v>
          </cell>
          <cell r="H2539">
            <v>0.02</v>
          </cell>
          <cell r="I2539" t="str">
            <v>Buy</v>
          </cell>
        </row>
        <row r="2540">
          <cell r="A2540" t="str">
            <v>ASY-100016-01</v>
          </cell>
          <cell r="B2540">
            <v>1</v>
          </cell>
          <cell r="C2540" t="str">
            <v>SCW-000556-00</v>
          </cell>
          <cell r="D2540" t="str">
            <v>SCREW, HEX, SERRATED, #8-32, GROUNDING, TROV 2</v>
          </cell>
          <cell r="E2540" t="str">
            <v>A</v>
          </cell>
          <cell r="F2540" t="str">
            <v>Screw</v>
          </cell>
          <cell r="G2540">
            <v>1</v>
          </cell>
          <cell r="H2540">
            <v>0.04</v>
          </cell>
          <cell r="I2540" t="str">
            <v>Buy</v>
          </cell>
        </row>
        <row r="2541">
          <cell r="A2541" t="str">
            <v>ASY-100016-01</v>
          </cell>
          <cell r="B2541">
            <v>1</v>
          </cell>
          <cell r="C2541" t="str">
            <v>SCW-000574-00</v>
          </cell>
          <cell r="D2541" t="str">
            <v>SCREW, TORX HEAD, 1/4-28x1/2", LOW PROFILE, ALLOY STEEL</v>
          </cell>
          <cell r="E2541" t="str">
            <v>A</v>
          </cell>
          <cell r="F2541" t="str">
            <v>Screw</v>
          </cell>
          <cell r="G2541">
            <v>2</v>
          </cell>
          <cell r="H2541">
            <v>0.14000000000000001</v>
          </cell>
          <cell r="I2541" t="str">
            <v>Buy</v>
          </cell>
        </row>
        <row r="2542">
          <cell r="A2542" t="str">
            <v>ASY-100016-01</v>
          </cell>
          <cell r="B2542">
            <v>1</v>
          </cell>
          <cell r="C2542" t="str">
            <v>SHT-000042-00</v>
          </cell>
          <cell r="D2542" t="str">
            <v>INSULATION SHEET, MP/LP HBA, TROV 2</v>
          </cell>
          <cell r="E2542" t="str">
            <v>D</v>
          </cell>
          <cell r="F2542" t="str">
            <v>Sheet</v>
          </cell>
          <cell r="G2542">
            <v>1</v>
          </cell>
          <cell r="H2542">
            <v>0.16</v>
          </cell>
          <cell r="I2542" t="str">
            <v>Buy</v>
          </cell>
        </row>
        <row r="2543">
          <cell r="A2543" t="str">
            <v>ASY-100016-01</v>
          </cell>
          <cell r="B2543">
            <v>1</v>
          </cell>
          <cell r="C2543" t="str">
            <v>SPG-000023-00</v>
          </cell>
          <cell r="D2543" t="str">
            <v>SPRING, DISC, STACKED WAVE, TROV 2.0</v>
          </cell>
          <cell r="E2543" t="str">
            <v>A</v>
          </cell>
          <cell r="F2543" t="str">
            <v>Spring</v>
          </cell>
          <cell r="G2543">
            <v>2</v>
          </cell>
          <cell r="H2543">
            <v>1.74</v>
          </cell>
          <cell r="I2543" t="str">
            <v>Buy</v>
          </cell>
        </row>
        <row r="2544">
          <cell r="A2544" t="str">
            <v>ASY-100016-01</v>
          </cell>
          <cell r="B2544">
            <v>1</v>
          </cell>
          <cell r="C2544" t="str">
            <v>TAP-000031-00</v>
          </cell>
          <cell r="D2544" t="str">
            <v>3M Electrical Tape 92</v>
          </cell>
          <cell r="E2544" t="str">
            <v>A</v>
          </cell>
          <cell r="F2544" t="str">
            <v>Tape</v>
          </cell>
          <cell r="G2544">
            <v>120</v>
          </cell>
          <cell r="H2544">
            <v>1.4E-2</v>
          </cell>
          <cell r="I2544" t="str">
            <v>Buy</v>
          </cell>
        </row>
        <row r="2545">
          <cell r="A2545" t="str">
            <v>ASY-100016-01</v>
          </cell>
          <cell r="B2545">
            <v>1</v>
          </cell>
          <cell r="C2545" t="str">
            <v>TMP-000027-00</v>
          </cell>
          <cell r="D2545" t="str">
            <v>Thermal Pad, LED PCBA, 1 FT, TROV 2</v>
          </cell>
          <cell r="E2545" t="str">
            <v>B</v>
          </cell>
          <cell r="F2545" t="str">
            <v>Thermal Pad</v>
          </cell>
          <cell r="G2545">
            <v>1</v>
          </cell>
          <cell r="H2545">
            <v>0.72</v>
          </cell>
          <cell r="I2545" t="str">
            <v>Buy</v>
          </cell>
        </row>
        <row r="2546">
          <cell r="A2546" t="str">
            <v>ASY-100016-01</v>
          </cell>
          <cell r="B2546">
            <v>1</v>
          </cell>
          <cell r="C2546" t="str">
            <v>TMP-000029-00</v>
          </cell>
          <cell r="D2546" t="str">
            <v>Thermal Pad, HBA, TROV 2</v>
          </cell>
          <cell r="E2546" t="str">
            <v>B</v>
          </cell>
          <cell r="F2546" t="str">
            <v>Thermal Pad</v>
          </cell>
          <cell r="G2546">
            <v>2</v>
          </cell>
          <cell r="H2546">
            <v>0.14000000000000001</v>
          </cell>
          <cell r="I2546" t="str">
            <v>Buy</v>
          </cell>
        </row>
        <row r="2547">
          <cell r="A2547" t="str">
            <v>ASY-100016-01</v>
          </cell>
          <cell r="B2547">
            <v>1</v>
          </cell>
          <cell r="C2547" t="str">
            <v>TMP-000032-00</v>
          </cell>
          <cell r="D2547" t="str">
            <v>Thermal Pad, HBA, TROV 2</v>
          </cell>
          <cell r="E2547" t="str">
            <v>A</v>
          </cell>
          <cell r="F2547" t="str">
            <v>Thermal Pad</v>
          </cell>
          <cell r="G2547">
            <v>1</v>
          </cell>
          <cell r="H2547">
            <v>0.03</v>
          </cell>
          <cell r="I2547" t="str">
            <v>Buy</v>
          </cell>
        </row>
        <row r="2548">
          <cell r="A2548" t="str">
            <v>ASY-100016-02</v>
          </cell>
          <cell r="B2548">
            <v>0</v>
          </cell>
          <cell r="C2548" t="str">
            <v>ASY-100016-02</v>
          </cell>
          <cell r="D2548" t="str">
            <v>ASSY, MECHANICAL, L60, OUTDOOR, 1 FT, TROV2P2, DYNAMIC, BRONZE</v>
          </cell>
          <cell r="E2548" t="str">
            <v>A</v>
          </cell>
          <cell r="F2548" t="str">
            <v>Sub assembly</v>
          </cell>
          <cell r="H2548">
            <v>0</v>
          </cell>
          <cell r="I2548" t="str">
            <v>Make</v>
          </cell>
        </row>
        <row r="2549">
          <cell r="A2549" t="str">
            <v>ASY-100016-02</v>
          </cell>
          <cell r="B2549">
            <v>1</v>
          </cell>
          <cell r="C2549" t="str">
            <v>ACB-000275-00</v>
          </cell>
          <cell r="D2549" t="str">
            <v>CABLE, CANBUS, SHORT, TROV 2</v>
          </cell>
          <cell r="E2549" t="str">
            <v>A</v>
          </cell>
          <cell r="F2549" t="str">
            <v>Cable</v>
          </cell>
          <cell r="G2549">
            <v>1</v>
          </cell>
          <cell r="H2549">
            <v>0.7</v>
          </cell>
          <cell r="I2549" t="str">
            <v>Buy</v>
          </cell>
        </row>
        <row r="2550">
          <cell r="A2550" t="str">
            <v>ASY-100016-02</v>
          </cell>
          <cell r="B2550">
            <v>1</v>
          </cell>
          <cell r="C2550" t="str">
            <v>ASY-100009-00</v>
          </cell>
          <cell r="D2550" t="str">
            <v>Cable Subassembly, Driver housing, 1ft, Trov 2</v>
          </cell>
          <cell r="E2550" t="str">
            <v>B</v>
          </cell>
          <cell r="F2550" t="str">
            <v>Sub assembly</v>
          </cell>
          <cell r="G2550">
            <v>1</v>
          </cell>
          <cell r="H2550">
            <v>0</v>
          </cell>
          <cell r="I2550" t="str">
            <v>Make</v>
          </cell>
        </row>
        <row r="2551">
          <cell r="A2551" t="str">
            <v>ASY-100016-02</v>
          </cell>
          <cell r="B2551">
            <v>2</v>
          </cell>
          <cell r="C2551" t="str">
            <v>ACB-000278-00</v>
          </cell>
          <cell r="D2551" t="str">
            <v>CABLE ASSY, INTRA-FIXTURE, 1FT, TROV 2.0</v>
          </cell>
          <cell r="E2551" t="str">
            <v>A</v>
          </cell>
          <cell r="F2551" t="str">
            <v>Cable Assembly</v>
          </cell>
          <cell r="G2551">
            <v>1</v>
          </cell>
          <cell r="H2551">
            <v>12.75</v>
          </cell>
          <cell r="I2551" t="str">
            <v>Buy</v>
          </cell>
        </row>
        <row r="2552">
          <cell r="A2552" t="str">
            <v>ASY-100016-02</v>
          </cell>
          <cell r="B2552">
            <v>3</v>
          </cell>
          <cell r="C2552" t="str">
            <v>ACB-000273-00</v>
          </cell>
          <cell r="D2552" t="str">
            <v>6 CONDUCTOR CABLE, 3X22AWG, 3X16AWG, AL MYLAR, TROV 2</v>
          </cell>
          <cell r="E2552" t="str">
            <v>A</v>
          </cell>
          <cell r="F2552" t="str">
            <v>Cable</v>
          </cell>
          <cell r="G2552">
            <v>1</v>
          </cell>
          <cell r="H2552">
            <v>0</v>
          </cell>
          <cell r="I2552" t="str">
            <v>N/A</v>
          </cell>
        </row>
        <row r="2553">
          <cell r="A2553" t="str">
            <v>ASY-100016-02</v>
          </cell>
          <cell r="B2553">
            <v>3</v>
          </cell>
          <cell r="C2553" t="str">
            <v>ACB-000274-01</v>
          </cell>
          <cell r="D2553" t="str">
            <v>CABLE ASSEMBLY, INTERNAL, DRIVER SIDE, 1FT, TROV 2</v>
          </cell>
          <cell r="E2553" t="str">
            <v>A</v>
          </cell>
          <cell r="F2553" t="str">
            <v>Cable Assembly</v>
          </cell>
          <cell r="G2553">
            <v>1</v>
          </cell>
          <cell r="H2553">
            <v>0</v>
          </cell>
          <cell r="I2553" t="str">
            <v>N/A</v>
          </cell>
        </row>
        <row r="2554">
          <cell r="A2554" t="str">
            <v>ASY-100016-02</v>
          </cell>
          <cell r="B2554">
            <v>3</v>
          </cell>
          <cell r="C2554" t="str">
            <v>CON-000259-00</v>
          </cell>
          <cell r="D2554" t="str">
            <v>CONNECTOR, MALE, 6 PIN, TROV 2</v>
          </cell>
          <cell r="E2554" t="str">
            <v>B</v>
          </cell>
          <cell r="F2554" t="str">
            <v>Connector</v>
          </cell>
          <cell r="G2554">
            <v>1</v>
          </cell>
          <cell r="H2554">
            <v>0</v>
          </cell>
          <cell r="I2554" t="str">
            <v>N/A</v>
          </cell>
        </row>
        <row r="2555">
          <cell r="A2555" t="str">
            <v>ASY-100016-02</v>
          </cell>
          <cell r="B2555">
            <v>3</v>
          </cell>
          <cell r="C2555" t="str">
            <v>CON-000260-00</v>
          </cell>
          <cell r="D2555" t="str">
            <v>CONNECTOR, FEMALE, 6 PIN, TROV 2</v>
          </cell>
          <cell r="E2555" t="str">
            <v>A</v>
          </cell>
          <cell r="F2555" t="str">
            <v>Connector</v>
          </cell>
          <cell r="G2555">
            <v>1</v>
          </cell>
          <cell r="H2555">
            <v>0</v>
          </cell>
          <cell r="I2555" t="str">
            <v>N/A</v>
          </cell>
        </row>
        <row r="2556">
          <cell r="A2556" t="str">
            <v>ASY-100016-02</v>
          </cell>
          <cell r="B2556">
            <v>3</v>
          </cell>
          <cell r="C2556" t="str">
            <v>ORG-000060-00</v>
          </cell>
          <cell r="D2556" t="str">
            <v>O-RING, CABLE, TROV 2</v>
          </cell>
          <cell r="E2556" t="str">
            <v>A</v>
          </cell>
          <cell r="F2556" t="str">
            <v>O-Ring</v>
          </cell>
          <cell r="G2556">
            <v>1</v>
          </cell>
          <cell r="H2556">
            <v>0</v>
          </cell>
          <cell r="I2556" t="str">
            <v>N/A</v>
          </cell>
        </row>
        <row r="2557">
          <cell r="A2557" t="str">
            <v>ASY-100016-02</v>
          </cell>
          <cell r="B2557">
            <v>3</v>
          </cell>
          <cell r="C2557" t="str">
            <v>SRF-000030-00</v>
          </cell>
          <cell r="D2557" t="str">
            <v>STRAIN RELIEF, CABLE, TROV 2</v>
          </cell>
          <cell r="E2557" t="str">
            <v>A</v>
          </cell>
          <cell r="F2557" t="str">
            <v>Strain Relief</v>
          </cell>
          <cell r="G2557">
            <v>1</v>
          </cell>
          <cell r="H2557">
            <v>0</v>
          </cell>
          <cell r="I2557" t="str">
            <v>N/A</v>
          </cell>
        </row>
        <row r="2558">
          <cell r="A2558" t="str">
            <v>ASY-100016-02</v>
          </cell>
          <cell r="B2558">
            <v>2</v>
          </cell>
          <cell r="C2558" t="str">
            <v>HSG-000488-01</v>
          </cell>
          <cell r="D2558" t="str">
            <v>HOUSING, PSU, 1 FT, MOLDED HOLE, TROV 2.0</v>
          </cell>
          <cell r="E2558" t="str">
            <v>B</v>
          </cell>
          <cell r="F2558" t="str">
            <v>Housing</v>
          </cell>
          <cell r="G2558">
            <v>1</v>
          </cell>
          <cell r="H2558">
            <v>1.17</v>
          </cell>
          <cell r="I2558" t="str">
            <v>Buy</v>
          </cell>
        </row>
        <row r="2559">
          <cell r="A2559" t="str">
            <v>ASY-100016-02</v>
          </cell>
          <cell r="B2559">
            <v>2</v>
          </cell>
          <cell r="C2559" t="str">
            <v>SCW-000577-00</v>
          </cell>
          <cell r="D2559" t="str">
            <v>SCREW, TORX HEAD, LOW PROFILE, M3X8mm, ALLOY STEEL</v>
          </cell>
          <cell r="E2559" t="str">
            <v>A</v>
          </cell>
          <cell r="F2559" t="str">
            <v>Screw</v>
          </cell>
          <cell r="G2559">
            <v>2</v>
          </cell>
          <cell r="H2559">
            <v>0.03</v>
          </cell>
          <cell r="I2559" t="str">
            <v>Buy</v>
          </cell>
        </row>
        <row r="2560">
          <cell r="A2560" t="str">
            <v>ASY-100016-02</v>
          </cell>
          <cell r="B2560">
            <v>1</v>
          </cell>
          <cell r="C2560" t="str">
            <v>BAS-000020-00</v>
          </cell>
          <cell r="D2560" t="str">
            <v>BASE, 1FT, TROV 2.0</v>
          </cell>
          <cell r="E2560" t="str">
            <v>E</v>
          </cell>
          <cell r="F2560" t="str">
            <v>Base</v>
          </cell>
          <cell r="G2560">
            <v>1</v>
          </cell>
          <cell r="H2560">
            <v>5.8</v>
          </cell>
          <cell r="I2560" t="str">
            <v>Buy</v>
          </cell>
        </row>
        <row r="2561">
          <cell r="A2561" t="str">
            <v>ASY-100016-02</v>
          </cell>
          <cell r="B2561">
            <v>1</v>
          </cell>
          <cell r="C2561" t="str">
            <v>BKT-000457-03</v>
          </cell>
          <cell r="D2561" t="str">
            <v>BRACKET, MOUNT, LEFT, BLACK, TROV 2.0</v>
          </cell>
          <cell r="E2561" t="str">
            <v>C</v>
          </cell>
          <cell r="F2561" t="str">
            <v>Bracket</v>
          </cell>
          <cell r="G2561">
            <v>1</v>
          </cell>
          <cell r="H2561">
            <v>0.99</v>
          </cell>
          <cell r="I2561" t="str">
            <v>Buy</v>
          </cell>
        </row>
        <row r="2562">
          <cell r="A2562" t="str">
            <v>ASY-100016-02</v>
          </cell>
          <cell r="B2562">
            <v>1</v>
          </cell>
          <cell r="C2562" t="str">
            <v>BKT-000458-03</v>
          </cell>
          <cell r="D2562" t="str">
            <v>BRACKET, MOUNT, RIGHT, BLACK, TROV 2.0</v>
          </cell>
          <cell r="E2562" t="str">
            <v>C</v>
          </cell>
          <cell r="F2562" t="str">
            <v>Bracket</v>
          </cell>
          <cell r="G2562">
            <v>1</v>
          </cell>
          <cell r="H2562">
            <v>0.99</v>
          </cell>
          <cell r="I2562" t="str">
            <v>Buy</v>
          </cell>
        </row>
        <row r="2563">
          <cell r="A2563" t="str">
            <v>ASY-100016-02</v>
          </cell>
          <cell r="B2563">
            <v>1</v>
          </cell>
          <cell r="C2563" t="str">
            <v>CVR-000789-02</v>
          </cell>
          <cell r="D2563" t="str">
            <v>END COVER, FC, BRONZE, L60, TROV 2.0</v>
          </cell>
          <cell r="E2563" t="str">
            <v>D</v>
          </cell>
          <cell r="F2563" t="str">
            <v>Cover</v>
          </cell>
          <cell r="G2563">
            <v>1</v>
          </cell>
          <cell r="H2563">
            <v>2.09</v>
          </cell>
          <cell r="I2563" t="str">
            <v>Buy</v>
          </cell>
        </row>
        <row r="2564">
          <cell r="A2564" t="str">
            <v>ASY-100016-02</v>
          </cell>
          <cell r="B2564">
            <v>1</v>
          </cell>
          <cell r="C2564" t="str">
            <v>CVR-000893-02</v>
          </cell>
          <cell r="D2564" t="str">
            <v>END COVER, MC, BRONZE, L60, TROV 2.0</v>
          </cell>
          <cell r="E2564" t="str">
            <v>B</v>
          </cell>
          <cell r="F2564" t="str">
            <v>Cover</v>
          </cell>
          <cell r="G2564">
            <v>1</v>
          </cell>
          <cell r="H2564">
            <v>7.5</v>
          </cell>
          <cell r="I2564" t="str">
            <v>Buy</v>
          </cell>
        </row>
        <row r="2565">
          <cell r="A2565" t="str">
            <v>ASY-100016-02</v>
          </cell>
          <cell r="B2565">
            <v>1</v>
          </cell>
          <cell r="C2565" t="str">
            <v>FOM-000028-00</v>
          </cell>
          <cell r="D2565" t="str">
            <v>FOAM, LIGHTBLOCK, ENDCAP, L60, TROV2</v>
          </cell>
          <cell r="E2565" t="str">
            <v>A</v>
          </cell>
          <cell r="F2565" t="str">
            <v>Foam</v>
          </cell>
          <cell r="G2565">
            <v>2</v>
          </cell>
          <cell r="H2565">
            <v>0.03</v>
          </cell>
          <cell r="I2565" t="str">
            <v>Buy</v>
          </cell>
        </row>
        <row r="2566">
          <cell r="A2566" t="str">
            <v>ASY-100016-02</v>
          </cell>
          <cell r="B2566">
            <v>1</v>
          </cell>
          <cell r="C2566" t="str">
            <v>GSK-000121-01</v>
          </cell>
          <cell r="D2566" t="str">
            <v>GASKET, DRIVER ENCLOSURE, 3M, 1 FT, TROV 2.0</v>
          </cell>
          <cell r="E2566" t="str">
            <v>B</v>
          </cell>
          <cell r="F2566" t="str">
            <v>Gasket</v>
          </cell>
          <cell r="G2566">
            <v>1</v>
          </cell>
          <cell r="H2566">
            <v>1.7</v>
          </cell>
          <cell r="I2566" t="str">
            <v>Buy</v>
          </cell>
        </row>
        <row r="2567">
          <cell r="A2567" t="str">
            <v>ASY-100016-02</v>
          </cell>
          <cell r="B2567">
            <v>1</v>
          </cell>
          <cell r="C2567" t="str">
            <v>GSK-000132-00</v>
          </cell>
          <cell r="D2567" t="str">
            <v>GASKET, TERTIARY LENS, 3M, 1 FT, L60, TROV 2.0</v>
          </cell>
          <cell r="E2567" t="str">
            <v>B</v>
          </cell>
          <cell r="F2567" t="str">
            <v>Gasket</v>
          </cell>
          <cell r="G2567">
            <v>1</v>
          </cell>
          <cell r="H2567">
            <v>1.96</v>
          </cell>
          <cell r="I2567" t="str">
            <v>Buy</v>
          </cell>
        </row>
        <row r="2568">
          <cell r="A2568" t="str">
            <v>ASY-100016-02</v>
          </cell>
          <cell r="B2568">
            <v>1</v>
          </cell>
          <cell r="C2568" t="str">
            <v>HSG-000490-02</v>
          </cell>
          <cell r="D2568" t="str">
            <v>HOUSING, TOP, 1 FT, L60, BRONZE, TROV 2.0</v>
          </cell>
          <cell r="E2568" t="str">
            <v>E</v>
          </cell>
          <cell r="F2568" t="str">
            <v>Housing</v>
          </cell>
          <cell r="G2568">
            <v>1</v>
          </cell>
          <cell r="H2568">
            <v>0</v>
          </cell>
          <cell r="I2568" t="str">
            <v>Buy</v>
          </cell>
        </row>
        <row r="2569">
          <cell r="A2569" t="str">
            <v>ASY-100016-02</v>
          </cell>
          <cell r="B2569">
            <v>1</v>
          </cell>
          <cell r="C2569" t="str">
            <v>HSG-000492-02</v>
          </cell>
          <cell r="D2569" t="str">
            <v>HOUSING, BOTTOM, 1 FT, BRONZE, TROV 2.0</v>
          </cell>
          <cell r="E2569" t="str">
            <v>F</v>
          </cell>
          <cell r="F2569" t="str">
            <v>Housing</v>
          </cell>
          <cell r="G2569">
            <v>1</v>
          </cell>
          <cell r="H2569">
            <v>3.34</v>
          </cell>
          <cell r="I2569" t="str">
            <v>Buy</v>
          </cell>
        </row>
        <row r="2570">
          <cell r="A2570" t="str">
            <v>ASY-100016-02</v>
          </cell>
          <cell r="B2570">
            <v>1</v>
          </cell>
          <cell r="C2570" t="str">
            <v>LBA-000003-00</v>
          </cell>
          <cell r="D2570" t="str">
            <v>Label: TROV 2 P1/P2, Model L45/L60</v>
          </cell>
          <cell r="E2570" t="str">
            <v>A</v>
          </cell>
          <cell r="F2570" t="str">
            <v>Label BOM</v>
          </cell>
          <cell r="G2570">
            <v>1</v>
          </cell>
          <cell r="H2570">
            <v>0</v>
          </cell>
          <cell r="I2570" t="str">
            <v>Make</v>
          </cell>
        </row>
        <row r="2571">
          <cell r="A2571" t="str">
            <v>ASY-100016-02</v>
          </cell>
          <cell r="B2571">
            <v>2</v>
          </cell>
          <cell r="C2571" t="str">
            <v>LBL-000243-00</v>
          </cell>
          <cell r="D2571" t="str">
            <v>Blank Product Label: Trov 2 P1/P2, Model L45/L60</v>
          </cell>
          <cell r="E2571" t="str">
            <v>A</v>
          </cell>
          <cell r="F2571" t="str">
            <v>Label</v>
          </cell>
          <cell r="G2571">
            <v>1</v>
          </cell>
          <cell r="H2571">
            <v>0.33</v>
          </cell>
          <cell r="I2571" t="str">
            <v>Buy</v>
          </cell>
        </row>
        <row r="2572">
          <cell r="A2572" t="str">
            <v>ASY-100016-02</v>
          </cell>
          <cell r="B2572">
            <v>1</v>
          </cell>
          <cell r="C2572" t="str">
            <v>PLG-000009-01</v>
          </cell>
          <cell r="D2572" t="str">
            <v>Porex Vent, Trov, L50 Exterior</v>
          </cell>
          <cell r="E2572" t="str">
            <v>B</v>
          </cell>
          <cell r="F2572" t="str">
            <v>Plug</v>
          </cell>
          <cell r="G2572">
            <v>1</v>
          </cell>
          <cell r="H2572">
            <v>0.17</v>
          </cell>
          <cell r="I2572" t="str">
            <v>Buy</v>
          </cell>
        </row>
        <row r="2573">
          <cell r="A2573" t="str">
            <v>ASY-100016-02</v>
          </cell>
          <cell r="B2573">
            <v>1</v>
          </cell>
          <cell r="C2573" t="str">
            <v>SCW-000156-00</v>
          </cell>
          <cell r="D2573" t="str">
            <v>SCREW, M3 x 0.5 X 8mm, PAND HEAD, PHILLIPS, STEEL</v>
          </cell>
          <cell r="E2573" t="str">
            <v>B</v>
          </cell>
          <cell r="F2573" t="str">
            <v>Screw</v>
          </cell>
          <cell r="G2573">
            <v>2</v>
          </cell>
          <cell r="H2573">
            <v>4.4400000000000002E-2</v>
          </cell>
          <cell r="I2573" t="str">
            <v>Buy</v>
          </cell>
        </row>
        <row r="2574">
          <cell r="A2574" t="str">
            <v>ASY-100016-02</v>
          </cell>
          <cell r="B2574">
            <v>1</v>
          </cell>
          <cell r="C2574" t="str">
            <v>SCW-000483-00</v>
          </cell>
          <cell r="D2574" t="str">
            <v>SCREW, PHILIPS FLAT HEAD, M2.5x0.45x5 , 18-8 SST</v>
          </cell>
          <cell r="E2574" t="str">
            <v>A</v>
          </cell>
          <cell r="F2574" t="str">
            <v>Screw</v>
          </cell>
          <cell r="G2574">
            <v>4</v>
          </cell>
          <cell r="H2574">
            <v>0.02</v>
          </cell>
          <cell r="I2574" t="str">
            <v>Buy</v>
          </cell>
        </row>
        <row r="2575">
          <cell r="A2575" t="str">
            <v>ASY-100016-02</v>
          </cell>
          <cell r="B2575">
            <v>1</v>
          </cell>
          <cell r="C2575" t="str">
            <v>SCW-000556-00</v>
          </cell>
          <cell r="D2575" t="str">
            <v>SCREW, HEX, SERRATED, #8-32, GROUNDING, TROV 2</v>
          </cell>
          <cell r="E2575" t="str">
            <v>A</v>
          </cell>
          <cell r="F2575" t="str">
            <v>Screw</v>
          </cell>
          <cell r="G2575">
            <v>1</v>
          </cell>
          <cell r="H2575">
            <v>0.04</v>
          </cell>
          <cell r="I2575" t="str">
            <v>Buy</v>
          </cell>
        </row>
        <row r="2576">
          <cell r="A2576" t="str">
            <v>ASY-100016-02</v>
          </cell>
          <cell r="B2576">
            <v>1</v>
          </cell>
          <cell r="C2576" t="str">
            <v>SCW-000574-00</v>
          </cell>
          <cell r="D2576" t="str">
            <v>SCREW, TORX HEAD, 1/4-28x1/2", LOW PROFILE, ALLOY STEEL</v>
          </cell>
          <cell r="E2576" t="str">
            <v>A</v>
          </cell>
          <cell r="F2576" t="str">
            <v>Screw</v>
          </cell>
          <cell r="G2576">
            <v>2</v>
          </cell>
          <cell r="H2576">
            <v>0.14000000000000001</v>
          </cell>
          <cell r="I2576" t="str">
            <v>Buy</v>
          </cell>
        </row>
        <row r="2577">
          <cell r="A2577" t="str">
            <v>ASY-100016-02</v>
          </cell>
          <cell r="B2577">
            <v>1</v>
          </cell>
          <cell r="C2577" t="str">
            <v>SHT-000042-00</v>
          </cell>
          <cell r="D2577" t="str">
            <v>INSULATION SHEET, MP/LP HBA, TROV 2</v>
          </cell>
          <cell r="E2577" t="str">
            <v>D</v>
          </cell>
          <cell r="F2577" t="str">
            <v>Sheet</v>
          </cell>
          <cell r="G2577">
            <v>1</v>
          </cell>
          <cell r="H2577">
            <v>0.16</v>
          </cell>
          <cell r="I2577" t="str">
            <v>Buy</v>
          </cell>
        </row>
        <row r="2578">
          <cell r="A2578" t="str">
            <v>ASY-100016-02</v>
          </cell>
          <cell r="B2578">
            <v>1</v>
          </cell>
          <cell r="C2578" t="str">
            <v>SPG-000023-00</v>
          </cell>
          <cell r="D2578" t="str">
            <v>SPRING, DISC, STACKED WAVE, TROV 2.0</v>
          </cell>
          <cell r="E2578" t="str">
            <v>A</v>
          </cell>
          <cell r="F2578" t="str">
            <v>Spring</v>
          </cell>
          <cell r="G2578">
            <v>2</v>
          </cell>
          <cell r="H2578">
            <v>1.74</v>
          </cell>
          <cell r="I2578" t="str">
            <v>Buy</v>
          </cell>
        </row>
        <row r="2579">
          <cell r="A2579" t="str">
            <v>ASY-100016-02</v>
          </cell>
          <cell r="B2579">
            <v>1</v>
          </cell>
          <cell r="C2579" t="str">
            <v>TAP-000031-00</v>
          </cell>
          <cell r="D2579" t="str">
            <v>3M Electrical Tape 92</v>
          </cell>
          <cell r="E2579" t="str">
            <v>A</v>
          </cell>
          <cell r="F2579" t="str">
            <v>Tape</v>
          </cell>
          <cell r="G2579">
            <v>120</v>
          </cell>
          <cell r="H2579">
            <v>1.4E-2</v>
          </cell>
          <cell r="I2579" t="str">
            <v>Buy</v>
          </cell>
        </row>
        <row r="2580">
          <cell r="A2580" t="str">
            <v>ASY-100016-02</v>
          </cell>
          <cell r="B2580">
            <v>1</v>
          </cell>
          <cell r="C2580" t="str">
            <v>TMP-000027-00</v>
          </cell>
          <cell r="D2580" t="str">
            <v>Thermal Pad, LED PCBA, 1 FT, TROV 2</v>
          </cell>
          <cell r="E2580" t="str">
            <v>B</v>
          </cell>
          <cell r="F2580" t="str">
            <v>Thermal Pad</v>
          </cell>
          <cell r="G2580">
            <v>1</v>
          </cell>
          <cell r="H2580">
            <v>0.72</v>
          </cell>
          <cell r="I2580" t="str">
            <v>Buy</v>
          </cell>
        </row>
        <row r="2581">
          <cell r="A2581" t="str">
            <v>ASY-100016-02</v>
          </cell>
          <cell r="B2581">
            <v>1</v>
          </cell>
          <cell r="C2581" t="str">
            <v>TMP-000029-00</v>
          </cell>
          <cell r="D2581" t="str">
            <v>Thermal Pad, HBA, TROV 2</v>
          </cell>
          <cell r="E2581" t="str">
            <v>B</v>
          </cell>
          <cell r="F2581" t="str">
            <v>Thermal Pad</v>
          </cell>
          <cell r="G2581">
            <v>2</v>
          </cell>
          <cell r="H2581">
            <v>0.14000000000000001</v>
          </cell>
          <cell r="I2581" t="str">
            <v>Buy</v>
          </cell>
        </row>
        <row r="2582">
          <cell r="A2582" t="str">
            <v>ASY-100016-02</v>
          </cell>
          <cell r="B2582">
            <v>1</v>
          </cell>
          <cell r="C2582" t="str">
            <v>TMP-000032-00</v>
          </cell>
          <cell r="D2582" t="str">
            <v>Thermal Pad, HBA, TROV 2</v>
          </cell>
          <cell r="E2582" t="str">
            <v>A</v>
          </cell>
          <cell r="F2582" t="str">
            <v>Thermal Pad</v>
          </cell>
          <cell r="G2582">
            <v>1</v>
          </cell>
          <cell r="H2582">
            <v>0.03</v>
          </cell>
          <cell r="I2582" t="str">
            <v>Buy</v>
          </cell>
        </row>
        <row r="2583">
          <cell r="A2583" t="str">
            <v>ASY-100016-03</v>
          </cell>
          <cell r="B2583">
            <v>0</v>
          </cell>
          <cell r="C2583" t="str">
            <v>ASY-100016-03</v>
          </cell>
          <cell r="D2583" t="str">
            <v>ASSY, MECHANICAL, L60, OUTDOOR, 1 FT, TROV2P2, DYNAMIC, BLACK</v>
          </cell>
          <cell r="E2583" t="str">
            <v>A</v>
          </cell>
          <cell r="F2583" t="str">
            <v>Sub assembly</v>
          </cell>
          <cell r="H2583">
            <v>0</v>
          </cell>
          <cell r="I2583" t="str">
            <v>Make</v>
          </cell>
        </row>
        <row r="2584">
          <cell r="A2584" t="str">
            <v>ASY-100016-03</v>
          </cell>
          <cell r="B2584">
            <v>1</v>
          </cell>
          <cell r="C2584" t="str">
            <v>ACB-000275-00</v>
          </cell>
          <cell r="D2584" t="str">
            <v>CABLE, CANBUS, SHORT, TROV 2</v>
          </cell>
          <cell r="E2584" t="str">
            <v>A</v>
          </cell>
          <cell r="F2584" t="str">
            <v>Cable</v>
          </cell>
          <cell r="G2584">
            <v>1</v>
          </cell>
          <cell r="H2584">
            <v>0.7</v>
          </cell>
          <cell r="I2584" t="str">
            <v>Buy</v>
          </cell>
        </row>
        <row r="2585">
          <cell r="A2585" t="str">
            <v>ASY-100016-03</v>
          </cell>
          <cell r="B2585">
            <v>1</v>
          </cell>
          <cell r="C2585" t="str">
            <v>ASY-100009-00</v>
          </cell>
          <cell r="D2585" t="str">
            <v>Cable Subassembly, Driver housing, 1ft, Trov 2</v>
          </cell>
          <cell r="E2585" t="str">
            <v>B</v>
          </cell>
          <cell r="F2585" t="str">
            <v>Sub assembly</v>
          </cell>
          <cell r="G2585">
            <v>1</v>
          </cell>
          <cell r="H2585">
            <v>0</v>
          </cell>
          <cell r="I2585" t="str">
            <v>Make</v>
          </cell>
        </row>
        <row r="2586">
          <cell r="A2586" t="str">
            <v>ASY-100016-03</v>
          </cell>
          <cell r="B2586">
            <v>2</v>
          </cell>
          <cell r="C2586" t="str">
            <v>ACB-000278-00</v>
          </cell>
          <cell r="D2586" t="str">
            <v>CABLE ASSY, INTRA-FIXTURE, 1FT, TROV 2.0</v>
          </cell>
          <cell r="E2586" t="str">
            <v>A</v>
          </cell>
          <cell r="F2586" t="str">
            <v>Cable Assembly</v>
          </cell>
          <cell r="G2586">
            <v>1</v>
          </cell>
          <cell r="H2586">
            <v>12.75</v>
          </cell>
          <cell r="I2586" t="str">
            <v>Buy</v>
          </cell>
        </row>
        <row r="2587">
          <cell r="A2587" t="str">
            <v>ASY-100016-03</v>
          </cell>
          <cell r="B2587">
            <v>3</v>
          </cell>
          <cell r="C2587" t="str">
            <v>ACB-000273-00</v>
          </cell>
          <cell r="D2587" t="str">
            <v>6 CONDUCTOR CABLE, 3X22AWG, 3X16AWG, AL MYLAR, TROV 2</v>
          </cell>
          <cell r="E2587" t="str">
            <v>A</v>
          </cell>
          <cell r="F2587" t="str">
            <v>Cable</v>
          </cell>
          <cell r="G2587">
            <v>1</v>
          </cell>
          <cell r="H2587">
            <v>0</v>
          </cell>
          <cell r="I2587" t="str">
            <v>N/A</v>
          </cell>
        </row>
        <row r="2588">
          <cell r="A2588" t="str">
            <v>ASY-100016-03</v>
          </cell>
          <cell r="B2588">
            <v>3</v>
          </cell>
          <cell r="C2588" t="str">
            <v>ACB-000274-01</v>
          </cell>
          <cell r="D2588" t="str">
            <v>CABLE ASSEMBLY, INTERNAL, DRIVER SIDE, 1FT, TROV 2</v>
          </cell>
          <cell r="E2588" t="str">
            <v>A</v>
          </cell>
          <cell r="F2588" t="str">
            <v>Cable Assembly</v>
          </cell>
          <cell r="G2588">
            <v>1</v>
          </cell>
          <cell r="H2588">
            <v>0</v>
          </cell>
          <cell r="I2588" t="str">
            <v>N/A</v>
          </cell>
        </row>
        <row r="2589">
          <cell r="A2589" t="str">
            <v>ASY-100016-03</v>
          </cell>
          <cell r="B2589">
            <v>3</v>
          </cell>
          <cell r="C2589" t="str">
            <v>CON-000259-00</v>
          </cell>
          <cell r="D2589" t="str">
            <v>CONNECTOR, MALE, 6 PIN, TROV 2</v>
          </cell>
          <cell r="E2589" t="str">
            <v>B</v>
          </cell>
          <cell r="F2589" t="str">
            <v>Connector</v>
          </cell>
          <cell r="G2589">
            <v>1</v>
          </cell>
          <cell r="H2589">
            <v>0</v>
          </cell>
          <cell r="I2589" t="str">
            <v>N/A</v>
          </cell>
        </row>
        <row r="2590">
          <cell r="A2590" t="str">
            <v>ASY-100016-03</v>
          </cell>
          <cell r="B2590">
            <v>3</v>
          </cell>
          <cell r="C2590" t="str">
            <v>CON-000260-00</v>
          </cell>
          <cell r="D2590" t="str">
            <v>CONNECTOR, FEMALE, 6 PIN, TROV 2</v>
          </cell>
          <cell r="E2590" t="str">
            <v>A</v>
          </cell>
          <cell r="F2590" t="str">
            <v>Connector</v>
          </cell>
          <cell r="G2590">
            <v>1</v>
          </cell>
          <cell r="H2590">
            <v>0</v>
          </cell>
          <cell r="I2590" t="str">
            <v>N/A</v>
          </cell>
        </row>
        <row r="2591">
          <cell r="A2591" t="str">
            <v>ASY-100016-03</v>
          </cell>
          <cell r="B2591">
            <v>3</v>
          </cell>
          <cell r="C2591" t="str">
            <v>ORG-000060-00</v>
          </cell>
          <cell r="D2591" t="str">
            <v>O-RING, CABLE, TROV 2</v>
          </cell>
          <cell r="E2591" t="str">
            <v>A</v>
          </cell>
          <cell r="F2591" t="str">
            <v>O-Ring</v>
          </cell>
          <cell r="G2591">
            <v>1</v>
          </cell>
          <cell r="H2591">
            <v>0</v>
          </cell>
          <cell r="I2591" t="str">
            <v>N/A</v>
          </cell>
        </row>
        <row r="2592">
          <cell r="A2592" t="str">
            <v>ASY-100016-03</v>
          </cell>
          <cell r="B2592">
            <v>3</v>
          </cell>
          <cell r="C2592" t="str">
            <v>SRF-000030-00</v>
          </cell>
          <cell r="D2592" t="str">
            <v>STRAIN RELIEF, CABLE, TROV 2</v>
          </cell>
          <cell r="E2592" t="str">
            <v>A</v>
          </cell>
          <cell r="F2592" t="str">
            <v>Strain Relief</v>
          </cell>
          <cell r="G2592">
            <v>1</v>
          </cell>
          <cell r="H2592">
            <v>0</v>
          </cell>
          <cell r="I2592" t="str">
            <v>N/A</v>
          </cell>
        </row>
        <row r="2593">
          <cell r="A2593" t="str">
            <v>ASY-100016-03</v>
          </cell>
          <cell r="B2593">
            <v>2</v>
          </cell>
          <cell r="C2593" t="str">
            <v>HSG-000488-01</v>
          </cell>
          <cell r="D2593" t="str">
            <v>HOUSING, PSU, 1 FT, MOLDED HOLE, TROV 2.0</v>
          </cell>
          <cell r="E2593" t="str">
            <v>B</v>
          </cell>
          <cell r="F2593" t="str">
            <v>Housing</v>
          </cell>
          <cell r="G2593">
            <v>1</v>
          </cell>
          <cell r="H2593">
            <v>1.17</v>
          </cell>
          <cell r="I2593" t="str">
            <v>Buy</v>
          </cell>
        </row>
        <row r="2594">
          <cell r="A2594" t="str">
            <v>ASY-100016-03</v>
          </cell>
          <cell r="B2594">
            <v>2</v>
          </cell>
          <cell r="C2594" t="str">
            <v>SCW-000577-00</v>
          </cell>
          <cell r="D2594" t="str">
            <v>SCREW, TORX HEAD, LOW PROFILE, M3X8mm, ALLOY STEEL</v>
          </cell>
          <cell r="E2594" t="str">
            <v>A</v>
          </cell>
          <cell r="F2594" t="str">
            <v>Screw</v>
          </cell>
          <cell r="G2594">
            <v>2</v>
          </cell>
          <cell r="H2594">
            <v>0.03</v>
          </cell>
          <cell r="I2594" t="str">
            <v>Buy</v>
          </cell>
        </row>
        <row r="2595">
          <cell r="A2595" t="str">
            <v>ASY-100016-03</v>
          </cell>
          <cell r="B2595">
            <v>1</v>
          </cell>
          <cell r="C2595" t="str">
            <v>BAS-000020-00</v>
          </cell>
          <cell r="D2595" t="str">
            <v>BASE, 1FT, TROV 2.0</v>
          </cell>
          <cell r="E2595" t="str">
            <v>E</v>
          </cell>
          <cell r="F2595" t="str">
            <v>Base</v>
          </cell>
          <cell r="G2595">
            <v>1</v>
          </cell>
          <cell r="H2595">
            <v>5.8</v>
          </cell>
          <cell r="I2595" t="str">
            <v>Buy</v>
          </cell>
        </row>
        <row r="2596">
          <cell r="A2596" t="str">
            <v>ASY-100016-03</v>
          </cell>
          <cell r="B2596">
            <v>1</v>
          </cell>
          <cell r="C2596" t="str">
            <v>BKT-000457-03</v>
          </cell>
          <cell r="D2596" t="str">
            <v>BRACKET, MOUNT, LEFT, BLACK, TROV 2.0</v>
          </cell>
          <cell r="E2596" t="str">
            <v>C</v>
          </cell>
          <cell r="F2596" t="str">
            <v>Bracket</v>
          </cell>
          <cell r="G2596">
            <v>1</v>
          </cell>
          <cell r="H2596">
            <v>0.99</v>
          </cell>
          <cell r="I2596" t="str">
            <v>Buy</v>
          </cell>
        </row>
        <row r="2597">
          <cell r="A2597" t="str">
            <v>ASY-100016-03</v>
          </cell>
          <cell r="B2597">
            <v>1</v>
          </cell>
          <cell r="C2597" t="str">
            <v>BKT-000458-03</v>
          </cell>
          <cell r="D2597" t="str">
            <v>BRACKET, MOUNT, RIGHT, BLACK, TROV 2.0</v>
          </cell>
          <cell r="E2597" t="str">
            <v>C</v>
          </cell>
          <cell r="F2597" t="str">
            <v>Bracket</v>
          </cell>
          <cell r="G2597">
            <v>1</v>
          </cell>
          <cell r="H2597">
            <v>0.99</v>
          </cell>
          <cell r="I2597" t="str">
            <v>Buy</v>
          </cell>
        </row>
        <row r="2598">
          <cell r="A2598" t="str">
            <v>ASY-100016-03</v>
          </cell>
          <cell r="B2598">
            <v>1</v>
          </cell>
          <cell r="C2598" t="str">
            <v>CVR-000789-03</v>
          </cell>
          <cell r="D2598" t="str">
            <v>END COVER, FC, BLACK, L60, TROV 2.0</v>
          </cell>
          <cell r="E2598" t="str">
            <v>D</v>
          </cell>
          <cell r="F2598" t="str">
            <v>Cover</v>
          </cell>
          <cell r="G2598">
            <v>1</v>
          </cell>
          <cell r="H2598">
            <v>1.0900000000000001</v>
          </cell>
          <cell r="I2598" t="str">
            <v>Buy</v>
          </cell>
        </row>
        <row r="2599">
          <cell r="A2599" t="str">
            <v>ASY-100016-03</v>
          </cell>
          <cell r="B2599">
            <v>1</v>
          </cell>
          <cell r="C2599" t="str">
            <v>CVR-000893-03</v>
          </cell>
          <cell r="D2599" t="str">
            <v>END COVER, MC, BLACK, L60, TROV 2.0</v>
          </cell>
          <cell r="E2599" t="str">
            <v>B</v>
          </cell>
          <cell r="F2599" t="str">
            <v>Cover</v>
          </cell>
          <cell r="G2599">
            <v>1</v>
          </cell>
          <cell r="H2599">
            <v>1.0900000000000001</v>
          </cell>
          <cell r="I2599" t="str">
            <v>Buy</v>
          </cell>
        </row>
        <row r="2600">
          <cell r="A2600" t="str">
            <v>ASY-100016-03</v>
          </cell>
          <cell r="B2600">
            <v>1</v>
          </cell>
          <cell r="C2600" t="str">
            <v>FOM-000028-00</v>
          </cell>
          <cell r="D2600" t="str">
            <v>FOAM, LIGHTBLOCK, ENDCAP, L60, TROV2</v>
          </cell>
          <cell r="E2600" t="str">
            <v>A</v>
          </cell>
          <cell r="F2600" t="str">
            <v>Foam</v>
          </cell>
          <cell r="G2600">
            <v>2</v>
          </cell>
          <cell r="H2600">
            <v>0.03</v>
          </cell>
          <cell r="I2600" t="str">
            <v>Buy</v>
          </cell>
        </row>
        <row r="2601">
          <cell r="A2601" t="str">
            <v>ASY-100016-03</v>
          </cell>
          <cell r="B2601">
            <v>1</v>
          </cell>
          <cell r="C2601" t="str">
            <v>GSK-000121-01</v>
          </cell>
          <cell r="D2601" t="str">
            <v>GASKET, DRIVER ENCLOSURE, 3M, 1 FT, TROV 2.0</v>
          </cell>
          <cell r="E2601" t="str">
            <v>B</v>
          </cell>
          <cell r="F2601" t="str">
            <v>Gasket</v>
          </cell>
          <cell r="G2601">
            <v>1</v>
          </cell>
          <cell r="H2601">
            <v>1.7</v>
          </cell>
          <cell r="I2601" t="str">
            <v>Buy</v>
          </cell>
        </row>
        <row r="2602">
          <cell r="A2602" t="str">
            <v>ASY-100016-03</v>
          </cell>
          <cell r="B2602">
            <v>1</v>
          </cell>
          <cell r="C2602" t="str">
            <v>GSK-000132-00</v>
          </cell>
          <cell r="D2602" t="str">
            <v>GASKET, TERTIARY LENS, 3M, 1 FT, L60, TROV 2.0</v>
          </cell>
          <cell r="E2602" t="str">
            <v>B</v>
          </cell>
          <cell r="F2602" t="str">
            <v>Gasket</v>
          </cell>
          <cell r="G2602">
            <v>1</v>
          </cell>
          <cell r="H2602">
            <v>1.96</v>
          </cell>
          <cell r="I2602" t="str">
            <v>Buy</v>
          </cell>
        </row>
        <row r="2603">
          <cell r="A2603" t="str">
            <v>ASY-100016-03</v>
          </cell>
          <cell r="B2603">
            <v>1</v>
          </cell>
          <cell r="C2603" t="str">
            <v>HSG-000490-03</v>
          </cell>
          <cell r="D2603" t="str">
            <v>HOUSING, TOP, 1 FT, L60, BLACK, TROV 2.0</v>
          </cell>
          <cell r="E2603" t="str">
            <v>E</v>
          </cell>
          <cell r="F2603" t="str">
            <v>Housing</v>
          </cell>
          <cell r="G2603">
            <v>1</v>
          </cell>
          <cell r="H2603">
            <v>4.37</v>
          </cell>
          <cell r="I2603" t="str">
            <v>Buy</v>
          </cell>
        </row>
        <row r="2604">
          <cell r="A2604" t="str">
            <v>ASY-100016-03</v>
          </cell>
          <cell r="B2604">
            <v>1</v>
          </cell>
          <cell r="C2604" t="str">
            <v>HSG-000492-03</v>
          </cell>
          <cell r="D2604" t="str">
            <v>HOUSING, BOTTOM, 1 FT, BLACK, TROV 2.0</v>
          </cell>
          <cell r="E2604" t="str">
            <v>F</v>
          </cell>
          <cell r="F2604" t="str">
            <v>Housing</v>
          </cell>
          <cell r="G2604">
            <v>1</v>
          </cell>
          <cell r="H2604">
            <v>3.22</v>
          </cell>
          <cell r="I2604" t="str">
            <v>Buy</v>
          </cell>
        </row>
        <row r="2605">
          <cell r="A2605" t="str">
            <v>ASY-100016-03</v>
          </cell>
          <cell r="B2605">
            <v>1</v>
          </cell>
          <cell r="C2605" t="str">
            <v>LBA-000003-00</v>
          </cell>
          <cell r="D2605" t="str">
            <v>Label: TROV 2 P1/P2, Model L45/L60</v>
          </cell>
          <cell r="E2605" t="str">
            <v>A</v>
          </cell>
          <cell r="F2605" t="str">
            <v>Label BOM</v>
          </cell>
          <cell r="G2605">
            <v>1</v>
          </cell>
          <cell r="H2605">
            <v>0</v>
          </cell>
          <cell r="I2605" t="str">
            <v>Make</v>
          </cell>
        </row>
        <row r="2606">
          <cell r="A2606" t="str">
            <v>ASY-100016-03</v>
          </cell>
          <cell r="B2606">
            <v>2</v>
          </cell>
          <cell r="C2606" t="str">
            <v>LBL-000243-00</v>
          </cell>
          <cell r="D2606" t="str">
            <v>Blank Product Label: Trov 2 P1/P2, Model L45/L60</v>
          </cell>
          <cell r="E2606" t="str">
            <v>A</v>
          </cell>
          <cell r="F2606" t="str">
            <v>Label</v>
          </cell>
          <cell r="G2606">
            <v>1</v>
          </cell>
          <cell r="H2606">
            <v>0.33</v>
          </cell>
          <cell r="I2606" t="str">
            <v>Buy</v>
          </cell>
        </row>
        <row r="2607">
          <cell r="A2607" t="str">
            <v>ASY-100016-03</v>
          </cell>
          <cell r="B2607">
            <v>1</v>
          </cell>
          <cell r="C2607" t="str">
            <v>PLG-000009-01</v>
          </cell>
          <cell r="D2607" t="str">
            <v>Porex Vent, Trov, L50 Exterior</v>
          </cell>
          <cell r="E2607" t="str">
            <v>B</v>
          </cell>
          <cell r="F2607" t="str">
            <v>Plug</v>
          </cell>
          <cell r="G2607">
            <v>1</v>
          </cell>
          <cell r="H2607">
            <v>0.17</v>
          </cell>
          <cell r="I2607" t="str">
            <v>Buy</v>
          </cell>
        </row>
        <row r="2608">
          <cell r="A2608" t="str">
            <v>ASY-100016-03</v>
          </cell>
          <cell r="B2608">
            <v>1</v>
          </cell>
          <cell r="C2608" t="str">
            <v>SCW-000156-00</v>
          </cell>
          <cell r="D2608" t="str">
            <v>SCREW, M3 x 0.5 X 8mm, PAND HEAD, PHILLIPS, STEEL</v>
          </cell>
          <cell r="E2608" t="str">
            <v>B</v>
          </cell>
          <cell r="F2608" t="str">
            <v>Screw</v>
          </cell>
          <cell r="G2608">
            <v>2</v>
          </cell>
          <cell r="H2608">
            <v>4.4400000000000002E-2</v>
          </cell>
          <cell r="I2608" t="str">
            <v>Buy</v>
          </cell>
        </row>
        <row r="2609">
          <cell r="A2609" t="str">
            <v>ASY-100016-03</v>
          </cell>
          <cell r="B2609">
            <v>1</v>
          </cell>
          <cell r="C2609" t="str">
            <v>SCW-000483-00</v>
          </cell>
          <cell r="D2609" t="str">
            <v>SCREW, PHILIPS FLAT HEAD, M2.5x0.45x5 , 18-8 SST</v>
          </cell>
          <cell r="E2609" t="str">
            <v>A</v>
          </cell>
          <cell r="F2609" t="str">
            <v>Screw</v>
          </cell>
          <cell r="G2609">
            <v>4</v>
          </cell>
          <cell r="H2609">
            <v>0.02</v>
          </cell>
          <cell r="I2609" t="str">
            <v>Buy</v>
          </cell>
        </row>
        <row r="2610">
          <cell r="A2610" t="str">
            <v>ASY-100016-03</v>
          </cell>
          <cell r="B2610">
            <v>1</v>
          </cell>
          <cell r="C2610" t="str">
            <v>SCW-000556-00</v>
          </cell>
          <cell r="D2610" t="str">
            <v>SCREW, HEX, SERRATED, #8-32, GROUNDING, TROV 2</v>
          </cell>
          <cell r="E2610" t="str">
            <v>A</v>
          </cell>
          <cell r="F2610" t="str">
            <v>Screw</v>
          </cell>
          <cell r="G2610">
            <v>1</v>
          </cell>
          <cell r="H2610">
            <v>0.04</v>
          </cell>
          <cell r="I2610" t="str">
            <v>Buy</v>
          </cell>
        </row>
        <row r="2611">
          <cell r="A2611" t="str">
            <v>ASY-100016-03</v>
          </cell>
          <cell r="B2611">
            <v>1</v>
          </cell>
          <cell r="C2611" t="str">
            <v>SCW-000574-00</v>
          </cell>
          <cell r="D2611" t="str">
            <v>SCREW, TORX HEAD, 1/4-28x1/2", LOW PROFILE, ALLOY STEEL</v>
          </cell>
          <cell r="E2611" t="str">
            <v>A</v>
          </cell>
          <cell r="F2611" t="str">
            <v>Screw</v>
          </cell>
          <cell r="G2611">
            <v>2</v>
          </cell>
          <cell r="H2611">
            <v>0.14000000000000001</v>
          </cell>
          <cell r="I2611" t="str">
            <v>Buy</v>
          </cell>
        </row>
        <row r="2612">
          <cell r="A2612" t="str">
            <v>ASY-100016-03</v>
          </cell>
          <cell r="B2612">
            <v>1</v>
          </cell>
          <cell r="C2612" t="str">
            <v>SHT-000042-00</v>
          </cell>
          <cell r="D2612" t="str">
            <v>INSULATION SHEET, MP/LP HBA, TROV 2</v>
          </cell>
          <cell r="E2612" t="str">
            <v>D</v>
          </cell>
          <cell r="F2612" t="str">
            <v>Sheet</v>
          </cell>
          <cell r="G2612">
            <v>1</v>
          </cell>
          <cell r="H2612">
            <v>0.16</v>
          </cell>
          <cell r="I2612" t="str">
            <v>Buy</v>
          </cell>
        </row>
        <row r="2613">
          <cell r="A2613" t="str">
            <v>ASY-100016-03</v>
          </cell>
          <cell r="B2613">
            <v>1</v>
          </cell>
          <cell r="C2613" t="str">
            <v>SPG-000023-00</v>
          </cell>
          <cell r="D2613" t="str">
            <v>SPRING, DISC, STACKED WAVE, TROV 2.0</v>
          </cell>
          <cell r="E2613" t="str">
            <v>A</v>
          </cell>
          <cell r="F2613" t="str">
            <v>Spring</v>
          </cell>
          <cell r="G2613">
            <v>2</v>
          </cell>
          <cell r="H2613">
            <v>1.74</v>
          </cell>
          <cell r="I2613" t="str">
            <v>Buy</v>
          </cell>
        </row>
        <row r="2614">
          <cell r="A2614" t="str">
            <v>ASY-100016-03</v>
          </cell>
          <cell r="B2614">
            <v>1</v>
          </cell>
          <cell r="C2614" t="str">
            <v>TAP-000031-00</v>
          </cell>
          <cell r="D2614" t="str">
            <v>3M Electrical Tape 92</v>
          </cell>
          <cell r="E2614" t="str">
            <v>A</v>
          </cell>
          <cell r="F2614" t="str">
            <v>Tape</v>
          </cell>
          <cell r="G2614">
            <v>120</v>
          </cell>
          <cell r="H2614">
            <v>1.4E-2</v>
          </cell>
          <cell r="I2614" t="str">
            <v>Buy</v>
          </cell>
        </row>
        <row r="2615">
          <cell r="A2615" t="str">
            <v>ASY-100016-03</v>
          </cell>
          <cell r="B2615">
            <v>1</v>
          </cell>
          <cell r="C2615" t="str">
            <v>TMP-000027-00</v>
          </cell>
          <cell r="D2615" t="str">
            <v>Thermal Pad, LED PCBA, 1 FT, TROV 2</v>
          </cell>
          <cell r="E2615" t="str">
            <v>B</v>
          </cell>
          <cell r="F2615" t="str">
            <v>Thermal Pad</v>
          </cell>
          <cell r="G2615">
            <v>1</v>
          </cell>
          <cell r="H2615">
            <v>0.72</v>
          </cell>
          <cell r="I2615" t="str">
            <v>Buy</v>
          </cell>
        </row>
        <row r="2616">
          <cell r="A2616" t="str">
            <v>ASY-100016-03</v>
          </cell>
          <cell r="B2616">
            <v>1</v>
          </cell>
          <cell r="C2616" t="str">
            <v>TMP-000029-00</v>
          </cell>
          <cell r="D2616" t="str">
            <v>Thermal Pad, HBA, TROV 2</v>
          </cell>
          <cell r="E2616" t="str">
            <v>B</v>
          </cell>
          <cell r="F2616" t="str">
            <v>Thermal Pad</v>
          </cell>
          <cell r="G2616">
            <v>2</v>
          </cell>
          <cell r="H2616">
            <v>0.14000000000000001</v>
          </cell>
          <cell r="I2616" t="str">
            <v>Buy</v>
          </cell>
        </row>
        <row r="2617">
          <cell r="A2617" t="str">
            <v>ASY-100016-03</v>
          </cell>
          <cell r="B2617">
            <v>1</v>
          </cell>
          <cell r="C2617" t="str">
            <v>TMP-000032-00</v>
          </cell>
          <cell r="D2617" t="str">
            <v>Thermal Pad, HBA, TROV 2</v>
          </cell>
          <cell r="E2617" t="str">
            <v>A</v>
          </cell>
          <cell r="F2617" t="str">
            <v>Thermal Pad</v>
          </cell>
          <cell r="G2617">
            <v>1</v>
          </cell>
          <cell r="H2617">
            <v>0.03</v>
          </cell>
          <cell r="I2617" t="str">
            <v>Buy</v>
          </cell>
        </row>
        <row r="2618">
          <cell r="A2618" t="str">
            <v>ASY-100016-04</v>
          </cell>
          <cell r="B2618">
            <v>0</v>
          </cell>
          <cell r="C2618" t="str">
            <v>ASY-100016-04</v>
          </cell>
          <cell r="D2618" t="str">
            <v>ASSY, MECHANICAL, L60, OUTDOOR, 1 FT, TROV2P2, DYNAMIC, WHITE</v>
          </cell>
          <cell r="E2618" t="str">
            <v>A</v>
          </cell>
          <cell r="F2618" t="str">
            <v>Sub assembly</v>
          </cell>
          <cell r="H2618">
            <v>0</v>
          </cell>
          <cell r="I2618" t="str">
            <v>Make</v>
          </cell>
        </row>
        <row r="2619">
          <cell r="A2619" t="str">
            <v>ASY-100016-04</v>
          </cell>
          <cell r="B2619">
            <v>1</v>
          </cell>
          <cell r="C2619" t="str">
            <v>ACB-000275-00</v>
          </cell>
          <cell r="D2619" t="str">
            <v>CABLE, CANBUS, SHORT, TROV 2</v>
          </cell>
          <cell r="E2619" t="str">
            <v>A</v>
          </cell>
          <cell r="F2619" t="str">
            <v>Cable</v>
          </cell>
          <cell r="G2619">
            <v>1</v>
          </cell>
          <cell r="H2619">
            <v>0.7</v>
          </cell>
          <cell r="I2619" t="str">
            <v>Buy</v>
          </cell>
        </row>
        <row r="2620">
          <cell r="A2620" t="str">
            <v>ASY-100016-04</v>
          </cell>
          <cell r="B2620">
            <v>1</v>
          </cell>
          <cell r="C2620" t="str">
            <v>ASY-100009-00</v>
          </cell>
          <cell r="D2620" t="str">
            <v>Cable Subassembly, Driver housing, 1ft, Trov 2</v>
          </cell>
          <cell r="E2620" t="str">
            <v>B</v>
          </cell>
          <cell r="F2620" t="str">
            <v>Sub assembly</v>
          </cell>
          <cell r="G2620">
            <v>1</v>
          </cell>
          <cell r="H2620">
            <v>0</v>
          </cell>
          <cell r="I2620" t="str">
            <v>Make</v>
          </cell>
        </row>
        <row r="2621">
          <cell r="A2621" t="str">
            <v>ASY-100016-04</v>
          </cell>
          <cell r="B2621">
            <v>2</v>
          </cell>
          <cell r="C2621" t="str">
            <v>ACB-000278-00</v>
          </cell>
          <cell r="D2621" t="str">
            <v>CABLE ASSY, INTRA-FIXTURE, 1FT, TROV 2.0</v>
          </cell>
          <cell r="E2621" t="str">
            <v>A</v>
          </cell>
          <cell r="F2621" t="str">
            <v>Cable Assembly</v>
          </cell>
          <cell r="G2621">
            <v>1</v>
          </cell>
          <cell r="H2621">
            <v>12.75</v>
          </cell>
          <cell r="I2621" t="str">
            <v>Buy</v>
          </cell>
        </row>
        <row r="2622">
          <cell r="A2622" t="str">
            <v>ASY-100016-04</v>
          </cell>
          <cell r="B2622">
            <v>3</v>
          </cell>
          <cell r="C2622" t="str">
            <v>ACB-000273-00</v>
          </cell>
          <cell r="D2622" t="str">
            <v>6 CONDUCTOR CABLE, 3X22AWG, 3X16AWG, AL MYLAR, TROV 2</v>
          </cell>
          <cell r="E2622" t="str">
            <v>A</v>
          </cell>
          <cell r="F2622" t="str">
            <v>Cable</v>
          </cell>
          <cell r="G2622">
            <v>1</v>
          </cell>
          <cell r="H2622">
            <v>0</v>
          </cell>
          <cell r="I2622" t="str">
            <v>N/A</v>
          </cell>
        </row>
        <row r="2623">
          <cell r="A2623" t="str">
            <v>ASY-100016-04</v>
          </cell>
          <cell r="B2623">
            <v>3</v>
          </cell>
          <cell r="C2623" t="str">
            <v>ACB-000274-01</v>
          </cell>
          <cell r="D2623" t="str">
            <v>CABLE ASSEMBLY, INTERNAL, DRIVER SIDE, 1FT, TROV 2</v>
          </cell>
          <cell r="E2623" t="str">
            <v>A</v>
          </cell>
          <cell r="F2623" t="str">
            <v>Cable Assembly</v>
          </cell>
          <cell r="G2623">
            <v>1</v>
          </cell>
          <cell r="H2623">
            <v>0</v>
          </cell>
          <cell r="I2623" t="str">
            <v>N/A</v>
          </cell>
        </row>
        <row r="2624">
          <cell r="A2624" t="str">
            <v>ASY-100016-04</v>
          </cell>
          <cell r="B2624">
            <v>3</v>
          </cell>
          <cell r="C2624" t="str">
            <v>CON-000259-00</v>
          </cell>
          <cell r="D2624" t="str">
            <v>CONNECTOR, MALE, 6 PIN, TROV 2</v>
          </cell>
          <cell r="E2624" t="str">
            <v>B</v>
          </cell>
          <cell r="F2624" t="str">
            <v>Connector</v>
          </cell>
          <cell r="G2624">
            <v>1</v>
          </cell>
          <cell r="H2624">
            <v>0</v>
          </cell>
          <cell r="I2624" t="str">
            <v>N/A</v>
          </cell>
        </row>
        <row r="2625">
          <cell r="A2625" t="str">
            <v>ASY-100016-04</v>
          </cell>
          <cell r="B2625">
            <v>3</v>
          </cell>
          <cell r="C2625" t="str">
            <v>CON-000260-00</v>
          </cell>
          <cell r="D2625" t="str">
            <v>CONNECTOR, FEMALE, 6 PIN, TROV 2</v>
          </cell>
          <cell r="E2625" t="str">
            <v>A</v>
          </cell>
          <cell r="F2625" t="str">
            <v>Connector</v>
          </cell>
          <cell r="G2625">
            <v>1</v>
          </cell>
          <cell r="H2625">
            <v>0</v>
          </cell>
          <cell r="I2625" t="str">
            <v>N/A</v>
          </cell>
        </row>
        <row r="2626">
          <cell r="A2626" t="str">
            <v>ASY-100016-04</v>
          </cell>
          <cell r="B2626">
            <v>3</v>
          </cell>
          <cell r="C2626" t="str">
            <v>ORG-000060-00</v>
          </cell>
          <cell r="D2626" t="str">
            <v>O-RING, CABLE, TROV 2</v>
          </cell>
          <cell r="E2626" t="str">
            <v>A</v>
          </cell>
          <cell r="F2626" t="str">
            <v>O-Ring</v>
          </cell>
          <cell r="G2626">
            <v>1</v>
          </cell>
          <cell r="H2626">
            <v>0</v>
          </cell>
          <cell r="I2626" t="str">
            <v>N/A</v>
          </cell>
        </row>
        <row r="2627">
          <cell r="A2627" t="str">
            <v>ASY-100016-04</v>
          </cell>
          <cell r="B2627">
            <v>3</v>
          </cell>
          <cell r="C2627" t="str">
            <v>SRF-000030-00</v>
          </cell>
          <cell r="D2627" t="str">
            <v>STRAIN RELIEF, CABLE, TROV 2</v>
          </cell>
          <cell r="E2627" t="str">
            <v>A</v>
          </cell>
          <cell r="F2627" t="str">
            <v>Strain Relief</v>
          </cell>
          <cell r="G2627">
            <v>1</v>
          </cell>
          <cell r="H2627">
            <v>0</v>
          </cell>
          <cell r="I2627" t="str">
            <v>N/A</v>
          </cell>
        </row>
        <row r="2628">
          <cell r="A2628" t="str">
            <v>ASY-100016-04</v>
          </cell>
          <cell r="B2628">
            <v>2</v>
          </cell>
          <cell r="C2628" t="str">
            <v>HSG-000488-01</v>
          </cell>
          <cell r="D2628" t="str">
            <v>HOUSING, PSU, 1 FT, MOLDED HOLE, TROV 2.0</v>
          </cell>
          <cell r="E2628" t="str">
            <v>B</v>
          </cell>
          <cell r="F2628" t="str">
            <v>Housing</v>
          </cell>
          <cell r="G2628">
            <v>1</v>
          </cell>
          <cell r="H2628">
            <v>1.17</v>
          </cell>
          <cell r="I2628" t="str">
            <v>Buy</v>
          </cell>
        </row>
        <row r="2629">
          <cell r="A2629" t="str">
            <v>ASY-100016-04</v>
          </cell>
          <cell r="B2629">
            <v>2</v>
          </cell>
          <cell r="C2629" t="str">
            <v>SCW-000577-00</v>
          </cell>
          <cell r="D2629" t="str">
            <v>SCREW, TORX HEAD, LOW PROFILE, M3X8mm, ALLOY STEEL</v>
          </cell>
          <cell r="E2629" t="str">
            <v>A</v>
          </cell>
          <cell r="F2629" t="str">
            <v>Screw</v>
          </cell>
          <cell r="G2629">
            <v>2</v>
          </cell>
          <cell r="H2629">
            <v>0.03</v>
          </cell>
          <cell r="I2629" t="str">
            <v>Buy</v>
          </cell>
        </row>
        <row r="2630">
          <cell r="A2630" t="str">
            <v>ASY-100016-04</v>
          </cell>
          <cell r="B2630">
            <v>1</v>
          </cell>
          <cell r="C2630" t="str">
            <v>BAS-000020-00</v>
          </cell>
          <cell r="D2630" t="str">
            <v>BASE, 1FT, TROV 2.0</v>
          </cell>
          <cell r="E2630" t="str">
            <v>E</v>
          </cell>
          <cell r="F2630" t="str">
            <v>Base</v>
          </cell>
          <cell r="G2630">
            <v>1</v>
          </cell>
          <cell r="H2630">
            <v>5.8</v>
          </cell>
          <cell r="I2630" t="str">
            <v>Buy</v>
          </cell>
        </row>
        <row r="2631">
          <cell r="A2631" t="str">
            <v>ASY-100016-04</v>
          </cell>
          <cell r="B2631">
            <v>1</v>
          </cell>
          <cell r="C2631" t="str">
            <v>BKT-000457-03</v>
          </cell>
          <cell r="D2631" t="str">
            <v>BRACKET, MOUNT, LEFT, BLACK, TROV 2.0</v>
          </cell>
          <cell r="E2631" t="str">
            <v>C</v>
          </cell>
          <cell r="F2631" t="str">
            <v>Bracket</v>
          </cell>
          <cell r="G2631">
            <v>1</v>
          </cell>
          <cell r="H2631">
            <v>0.99</v>
          </cell>
          <cell r="I2631" t="str">
            <v>Buy</v>
          </cell>
        </row>
        <row r="2632">
          <cell r="A2632" t="str">
            <v>ASY-100016-04</v>
          </cell>
          <cell r="B2632">
            <v>1</v>
          </cell>
          <cell r="C2632" t="str">
            <v>BKT-000458-03</v>
          </cell>
          <cell r="D2632" t="str">
            <v>BRACKET, MOUNT, RIGHT, BLACK, TROV 2.0</v>
          </cell>
          <cell r="E2632" t="str">
            <v>C</v>
          </cell>
          <cell r="F2632" t="str">
            <v>Bracket</v>
          </cell>
          <cell r="G2632">
            <v>1</v>
          </cell>
          <cell r="H2632">
            <v>0.99</v>
          </cell>
          <cell r="I2632" t="str">
            <v>Buy</v>
          </cell>
        </row>
        <row r="2633">
          <cell r="A2633" t="str">
            <v>ASY-100016-04</v>
          </cell>
          <cell r="B2633">
            <v>1</v>
          </cell>
          <cell r="C2633" t="str">
            <v>CVR-000789-04</v>
          </cell>
          <cell r="D2633" t="str">
            <v>END COVER, FC, WHITE, L60, TROV 2.0</v>
          </cell>
          <cell r="E2633" t="str">
            <v>D</v>
          </cell>
          <cell r="F2633" t="str">
            <v>Cover</v>
          </cell>
          <cell r="G2633">
            <v>1</v>
          </cell>
          <cell r="H2633">
            <v>0</v>
          </cell>
          <cell r="I2633" t="str">
            <v>Buy</v>
          </cell>
        </row>
        <row r="2634">
          <cell r="A2634" t="str">
            <v>ASY-100016-04</v>
          </cell>
          <cell r="B2634">
            <v>1</v>
          </cell>
          <cell r="C2634" t="str">
            <v>CVR-000893-04</v>
          </cell>
          <cell r="D2634" t="str">
            <v>END COVER, MC, WHITE, L60, TROV 2.0</v>
          </cell>
          <cell r="E2634" t="str">
            <v>B</v>
          </cell>
          <cell r="F2634" t="str">
            <v>Cover</v>
          </cell>
          <cell r="G2634">
            <v>1</v>
          </cell>
          <cell r="H2634">
            <v>1.0900000000000001</v>
          </cell>
          <cell r="I2634" t="str">
            <v>Buy</v>
          </cell>
        </row>
        <row r="2635">
          <cell r="A2635" t="str">
            <v>ASY-100016-04</v>
          </cell>
          <cell r="B2635">
            <v>1</v>
          </cell>
          <cell r="C2635" t="str">
            <v>FOM-000028-00</v>
          </cell>
          <cell r="D2635" t="str">
            <v>FOAM, LIGHTBLOCK, ENDCAP, L60, TROV2</v>
          </cell>
          <cell r="E2635" t="str">
            <v>A</v>
          </cell>
          <cell r="F2635" t="str">
            <v>Foam</v>
          </cell>
          <cell r="G2635">
            <v>2</v>
          </cell>
          <cell r="H2635">
            <v>0.03</v>
          </cell>
          <cell r="I2635" t="str">
            <v>Buy</v>
          </cell>
        </row>
        <row r="2636">
          <cell r="A2636" t="str">
            <v>ASY-100016-04</v>
          </cell>
          <cell r="B2636">
            <v>1</v>
          </cell>
          <cell r="C2636" t="str">
            <v>GSK-000121-01</v>
          </cell>
          <cell r="D2636" t="str">
            <v>GASKET, DRIVER ENCLOSURE, 3M, 1 FT, TROV 2.0</v>
          </cell>
          <cell r="E2636" t="str">
            <v>B</v>
          </cell>
          <cell r="F2636" t="str">
            <v>Gasket</v>
          </cell>
          <cell r="G2636">
            <v>1</v>
          </cell>
          <cell r="H2636">
            <v>1.7</v>
          </cell>
          <cell r="I2636" t="str">
            <v>Buy</v>
          </cell>
        </row>
        <row r="2637">
          <cell r="A2637" t="str">
            <v>ASY-100016-04</v>
          </cell>
          <cell r="B2637">
            <v>1</v>
          </cell>
          <cell r="C2637" t="str">
            <v>GSK-000132-00</v>
          </cell>
          <cell r="D2637" t="str">
            <v>GASKET, TERTIARY LENS, 3M, 1 FT, L60, TROV 2.0</v>
          </cell>
          <cell r="E2637" t="str">
            <v>B</v>
          </cell>
          <cell r="F2637" t="str">
            <v>Gasket</v>
          </cell>
          <cell r="G2637">
            <v>1</v>
          </cell>
          <cell r="H2637">
            <v>1.96</v>
          </cell>
          <cell r="I2637" t="str">
            <v>Buy</v>
          </cell>
        </row>
        <row r="2638">
          <cell r="A2638" t="str">
            <v>ASY-100016-04</v>
          </cell>
          <cell r="B2638">
            <v>1</v>
          </cell>
          <cell r="C2638" t="str">
            <v>HSG-000490-04</v>
          </cell>
          <cell r="D2638" t="str">
            <v>HOUSING, TOP, 1 FT, L60, WHITE, TROV 2.0</v>
          </cell>
          <cell r="E2638" t="str">
            <v>E</v>
          </cell>
          <cell r="F2638" t="str">
            <v>Housing</v>
          </cell>
          <cell r="G2638">
            <v>1</v>
          </cell>
          <cell r="H2638">
            <v>4.57</v>
          </cell>
          <cell r="I2638" t="str">
            <v>Buy</v>
          </cell>
        </row>
        <row r="2639">
          <cell r="A2639" t="str">
            <v>ASY-100016-04</v>
          </cell>
          <cell r="B2639">
            <v>1</v>
          </cell>
          <cell r="C2639" t="str">
            <v>HSG-000492-04</v>
          </cell>
          <cell r="D2639" t="str">
            <v>HOUSING, BOTTOM, 1 FT, WHITE, TROV 2.0</v>
          </cell>
          <cell r="E2639" t="str">
            <v>F</v>
          </cell>
          <cell r="F2639" t="str">
            <v>Housing</v>
          </cell>
          <cell r="G2639">
            <v>1</v>
          </cell>
          <cell r="H2639">
            <v>3.34</v>
          </cell>
          <cell r="I2639" t="str">
            <v>Buy</v>
          </cell>
        </row>
        <row r="2640">
          <cell r="A2640" t="str">
            <v>ASY-100016-04</v>
          </cell>
          <cell r="B2640">
            <v>1</v>
          </cell>
          <cell r="C2640" t="str">
            <v>LBA-000003-00</v>
          </cell>
          <cell r="D2640" t="str">
            <v>Label: TROV 2 P1/P2, Model L45/L60</v>
          </cell>
          <cell r="E2640" t="str">
            <v>A</v>
          </cell>
          <cell r="F2640" t="str">
            <v>Label BOM</v>
          </cell>
          <cell r="G2640">
            <v>1</v>
          </cell>
          <cell r="H2640">
            <v>0</v>
          </cell>
          <cell r="I2640" t="str">
            <v>Make</v>
          </cell>
        </row>
        <row r="2641">
          <cell r="A2641" t="str">
            <v>ASY-100016-04</v>
          </cell>
          <cell r="B2641">
            <v>2</v>
          </cell>
          <cell r="C2641" t="str">
            <v>LBL-000243-00</v>
          </cell>
          <cell r="D2641" t="str">
            <v>Blank Product Label: Trov 2 P1/P2, Model L45/L60</v>
          </cell>
          <cell r="E2641" t="str">
            <v>A</v>
          </cell>
          <cell r="F2641" t="str">
            <v>Label</v>
          </cell>
          <cell r="G2641">
            <v>1</v>
          </cell>
          <cell r="H2641">
            <v>0.33</v>
          </cell>
          <cell r="I2641" t="str">
            <v>Buy</v>
          </cell>
        </row>
        <row r="2642">
          <cell r="A2642" t="str">
            <v>ASY-100016-04</v>
          </cell>
          <cell r="B2642">
            <v>1</v>
          </cell>
          <cell r="C2642" t="str">
            <v>PLG-000009-01</v>
          </cell>
          <cell r="D2642" t="str">
            <v>Porex Vent, Trov, L50 Exterior</v>
          </cell>
          <cell r="E2642" t="str">
            <v>B</v>
          </cell>
          <cell r="F2642" t="str">
            <v>Plug</v>
          </cell>
          <cell r="G2642">
            <v>1</v>
          </cell>
          <cell r="H2642">
            <v>0.17</v>
          </cell>
          <cell r="I2642" t="str">
            <v>Buy</v>
          </cell>
        </row>
        <row r="2643">
          <cell r="A2643" t="str">
            <v>ASY-100016-04</v>
          </cell>
          <cell r="B2643">
            <v>1</v>
          </cell>
          <cell r="C2643" t="str">
            <v>SCW-000156-00</v>
          </cell>
          <cell r="D2643" t="str">
            <v>SCREW, M3 x 0.5 X 8mm, PAND HEAD, PHILLIPS, STEEL</v>
          </cell>
          <cell r="E2643" t="str">
            <v>B</v>
          </cell>
          <cell r="F2643" t="str">
            <v>Screw</v>
          </cell>
          <cell r="G2643">
            <v>2</v>
          </cell>
          <cell r="H2643">
            <v>4.4400000000000002E-2</v>
          </cell>
          <cell r="I2643" t="str">
            <v>Buy</v>
          </cell>
        </row>
        <row r="2644">
          <cell r="A2644" t="str">
            <v>ASY-100016-04</v>
          </cell>
          <cell r="B2644">
            <v>1</v>
          </cell>
          <cell r="C2644" t="str">
            <v>SCW-000483-00</v>
          </cell>
          <cell r="D2644" t="str">
            <v>SCREW, PHILIPS FLAT HEAD, M2.5x0.45x5 , 18-8 SST</v>
          </cell>
          <cell r="E2644" t="str">
            <v>A</v>
          </cell>
          <cell r="F2644" t="str">
            <v>Screw</v>
          </cell>
          <cell r="G2644">
            <v>4</v>
          </cell>
          <cell r="H2644">
            <v>0.02</v>
          </cell>
          <cell r="I2644" t="str">
            <v>Buy</v>
          </cell>
        </row>
        <row r="2645">
          <cell r="A2645" t="str">
            <v>ASY-100016-04</v>
          </cell>
          <cell r="B2645">
            <v>1</v>
          </cell>
          <cell r="C2645" t="str">
            <v>SCW-000556-00</v>
          </cell>
          <cell r="D2645" t="str">
            <v>SCREW, HEX, SERRATED, #8-32, GROUNDING, TROV 2</v>
          </cell>
          <cell r="E2645" t="str">
            <v>A</v>
          </cell>
          <cell r="F2645" t="str">
            <v>Screw</v>
          </cell>
          <cell r="G2645">
            <v>1</v>
          </cell>
          <cell r="H2645">
            <v>0.04</v>
          </cell>
          <cell r="I2645" t="str">
            <v>Buy</v>
          </cell>
        </row>
        <row r="2646">
          <cell r="A2646" t="str">
            <v>ASY-100016-04</v>
          </cell>
          <cell r="B2646">
            <v>1</v>
          </cell>
          <cell r="C2646" t="str">
            <v>SCW-000574-00</v>
          </cell>
          <cell r="D2646" t="str">
            <v>SCREW, TORX HEAD, 1/4-28x1/2", LOW PROFILE, ALLOY STEEL</v>
          </cell>
          <cell r="E2646" t="str">
            <v>A</v>
          </cell>
          <cell r="F2646" t="str">
            <v>Screw</v>
          </cell>
          <cell r="G2646">
            <v>2</v>
          </cell>
          <cell r="H2646">
            <v>0.14000000000000001</v>
          </cell>
          <cell r="I2646" t="str">
            <v>Buy</v>
          </cell>
        </row>
        <row r="2647">
          <cell r="A2647" t="str">
            <v>ASY-100016-04</v>
          </cell>
          <cell r="B2647">
            <v>1</v>
          </cell>
          <cell r="C2647" t="str">
            <v>SHT-000042-00</v>
          </cell>
          <cell r="D2647" t="str">
            <v>INSULATION SHEET, MP/LP HBA, TROV 2</v>
          </cell>
          <cell r="E2647" t="str">
            <v>D</v>
          </cell>
          <cell r="F2647" t="str">
            <v>Sheet</v>
          </cell>
          <cell r="G2647">
            <v>1</v>
          </cell>
          <cell r="H2647">
            <v>0.16</v>
          </cell>
          <cell r="I2647" t="str">
            <v>Buy</v>
          </cell>
        </row>
        <row r="2648">
          <cell r="A2648" t="str">
            <v>ASY-100016-04</v>
          </cell>
          <cell r="B2648">
            <v>1</v>
          </cell>
          <cell r="C2648" t="str">
            <v>SPG-000023-00</v>
          </cell>
          <cell r="D2648" t="str">
            <v>SPRING, DISC, STACKED WAVE, TROV 2.0</v>
          </cell>
          <cell r="E2648" t="str">
            <v>A</v>
          </cell>
          <cell r="F2648" t="str">
            <v>Spring</v>
          </cell>
          <cell r="G2648">
            <v>2</v>
          </cell>
          <cell r="H2648">
            <v>1.74</v>
          </cell>
          <cell r="I2648" t="str">
            <v>Buy</v>
          </cell>
        </row>
        <row r="2649">
          <cell r="A2649" t="str">
            <v>ASY-100016-04</v>
          </cell>
          <cell r="B2649">
            <v>1</v>
          </cell>
          <cell r="C2649" t="str">
            <v>TAP-000031-00</v>
          </cell>
          <cell r="D2649" t="str">
            <v>3M Electrical Tape 92</v>
          </cell>
          <cell r="E2649" t="str">
            <v>A</v>
          </cell>
          <cell r="F2649" t="str">
            <v>Tape</v>
          </cell>
          <cell r="G2649">
            <v>120</v>
          </cell>
          <cell r="H2649">
            <v>1.4E-2</v>
          </cell>
          <cell r="I2649" t="str">
            <v>Buy</v>
          </cell>
        </row>
        <row r="2650">
          <cell r="A2650" t="str">
            <v>ASY-100016-04</v>
          </cell>
          <cell r="B2650">
            <v>1</v>
          </cell>
          <cell r="C2650" t="str">
            <v>TMP-000027-00</v>
          </cell>
          <cell r="D2650" t="str">
            <v>Thermal Pad, LED PCBA, 1 FT, TROV 2</v>
          </cell>
          <cell r="E2650" t="str">
            <v>B</v>
          </cell>
          <cell r="F2650" t="str">
            <v>Thermal Pad</v>
          </cell>
          <cell r="G2650">
            <v>1</v>
          </cell>
          <cell r="H2650">
            <v>0.72</v>
          </cell>
          <cell r="I2650" t="str">
            <v>Buy</v>
          </cell>
        </row>
        <row r="2651">
          <cell r="A2651" t="str">
            <v>ASY-100016-04</v>
          </cell>
          <cell r="B2651">
            <v>1</v>
          </cell>
          <cell r="C2651" t="str">
            <v>TMP-000029-00</v>
          </cell>
          <cell r="D2651" t="str">
            <v>Thermal Pad, HBA, TROV 2</v>
          </cell>
          <cell r="E2651" t="str">
            <v>B</v>
          </cell>
          <cell r="F2651" t="str">
            <v>Thermal Pad</v>
          </cell>
          <cell r="G2651">
            <v>2</v>
          </cell>
          <cell r="H2651">
            <v>0.14000000000000001</v>
          </cell>
          <cell r="I2651" t="str">
            <v>Buy</v>
          </cell>
        </row>
        <row r="2652">
          <cell r="A2652" t="str">
            <v>ASY-100016-04</v>
          </cell>
          <cell r="B2652">
            <v>1</v>
          </cell>
          <cell r="C2652" t="str">
            <v>TMP-000032-00</v>
          </cell>
          <cell r="D2652" t="str">
            <v>Thermal Pad, HBA, TROV 2</v>
          </cell>
          <cell r="E2652" t="str">
            <v>A</v>
          </cell>
          <cell r="F2652" t="str">
            <v>Thermal Pad</v>
          </cell>
          <cell r="G2652">
            <v>1</v>
          </cell>
          <cell r="H2652">
            <v>0.03</v>
          </cell>
          <cell r="I2652" t="str">
            <v>Buy</v>
          </cell>
        </row>
        <row r="2653">
          <cell r="A2653" t="str">
            <v>ASY-100016-0C</v>
          </cell>
          <cell r="B2653">
            <v>0</v>
          </cell>
          <cell r="C2653" t="str">
            <v>ASY-100016-0C</v>
          </cell>
          <cell r="D2653" t="str">
            <v>ASSY, MECHANICAL, L60, OUTDOOR, 1 FT, TROV2P2, DYNAMIC, CUSTOM</v>
          </cell>
          <cell r="E2653" t="str">
            <v>A</v>
          </cell>
          <cell r="F2653" t="str">
            <v>Sub assembly</v>
          </cell>
          <cell r="H2653">
            <v>0</v>
          </cell>
          <cell r="I2653" t="str">
            <v>Make</v>
          </cell>
        </row>
        <row r="2654">
          <cell r="A2654" t="str">
            <v>ASY-100016-0C</v>
          </cell>
          <cell r="B2654">
            <v>1</v>
          </cell>
          <cell r="C2654" t="str">
            <v>ACB-000275-00</v>
          </cell>
          <cell r="D2654" t="str">
            <v>CABLE, CANBUS, SHORT, TROV 2</v>
          </cell>
          <cell r="E2654" t="str">
            <v>A</v>
          </cell>
          <cell r="F2654" t="str">
            <v>Cable</v>
          </cell>
          <cell r="G2654">
            <v>1</v>
          </cell>
          <cell r="H2654">
            <v>0.7</v>
          </cell>
          <cell r="I2654" t="str">
            <v>Buy</v>
          </cell>
        </row>
        <row r="2655">
          <cell r="A2655" t="str">
            <v>ASY-100016-0C</v>
          </cell>
          <cell r="B2655">
            <v>1</v>
          </cell>
          <cell r="C2655" t="str">
            <v>ASY-100009-00</v>
          </cell>
          <cell r="D2655" t="str">
            <v>Cable Subassembly, Driver housing, 1ft, Trov 2</v>
          </cell>
          <cell r="E2655" t="str">
            <v>B</v>
          </cell>
          <cell r="F2655" t="str">
            <v>Sub assembly</v>
          </cell>
          <cell r="G2655">
            <v>1</v>
          </cell>
          <cell r="H2655">
            <v>0</v>
          </cell>
          <cell r="I2655" t="str">
            <v>Make</v>
          </cell>
        </row>
        <row r="2656">
          <cell r="A2656" t="str">
            <v>ASY-100016-0C</v>
          </cell>
          <cell r="B2656">
            <v>2</v>
          </cell>
          <cell r="C2656" t="str">
            <v>ACB-000278-00</v>
          </cell>
          <cell r="D2656" t="str">
            <v>CABLE ASSY, INTRA-FIXTURE, 1FT, TROV 2.0</v>
          </cell>
          <cell r="E2656" t="str">
            <v>A</v>
          </cell>
          <cell r="F2656" t="str">
            <v>Cable Assembly</v>
          </cell>
          <cell r="G2656">
            <v>1</v>
          </cell>
          <cell r="H2656">
            <v>12.75</v>
          </cell>
          <cell r="I2656" t="str">
            <v>Buy</v>
          </cell>
        </row>
        <row r="2657">
          <cell r="A2657" t="str">
            <v>ASY-100016-0C</v>
          </cell>
          <cell r="B2657">
            <v>3</v>
          </cell>
          <cell r="C2657" t="str">
            <v>ACB-000273-00</v>
          </cell>
          <cell r="D2657" t="str">
            <v>6 CONDUCTOR CABLE, 3X22AWG, 3X16AWG, AL MYLAR, TROV 2</v>
          </cell>
          <cell r="E2657" t="str">
            <v>A</v>
          </cell>
          <cell r="F2657" t="str">
            <v>Cable</v>
          </cell>
          <cell r="G2657">
            <v>1</v>
          </cell>
          <cell r="H2657">
            <v>0</v>
          </cell>
          <cell r="I2657" t="str">
            <v>N/A</v>
          </cell>
        </row>
        <row r="2658">
          <cell r="A2658" t="str">
            <v>ASY-100016-0C</v>
          </cell>
          <cell r="B2658">
            <v>3</v>
          </cell>
          <cell r="C2658" t="str">
            <v>ACB-000274-01</v>
          </cell>
          <cell r="D2658" t="str">
            <v>CABLE ASSEMBLY, INTERNAL, DRIVER SIDE, 1FT, TROV 2</v>
          </cell>
          <cell r="E2658" t="str">
            <v>A</v>
          </cell>
          <cell r="F2658" t="str">
            <v>Cable Assembly</v>
          </cell>
          <cell r="G2658">
            <v>1</v>
          </cell>
          <cell r="H2658">
            <v>0</v>
          </cell>
          <cell r="I2658" t="str">
            <v>N/A</v>
          </cell>
        </row>
        <row r="2659">
          <cell r="A2659" t="str">
            <v>ASY-100016-0C</v>
          </cell>
          <cell r="B2659">
            <v>3</v>
          </cell>
          <cell r="C2659" t="str">
            <v>CON-000259-00</v>
          </cell>
          <cell r="D2659" t="str">
            <v>CONNECTOR, MALE, 6 PIN, TROV 2</v>
          </cell>
          <cell r="E2659" t="str">
            <v>B</v>
          </cell>
          <cell r="F2659" t="str">
            <v>Connector</v>
          </cell>
          <cell r="G2659">
            <v>1</v>
          </cell>
          <cell r="H2659">
            <v>0</v>
          </cell>
          <cell r="I2659" t="str">
            <v>N/A</v>
          </cell>
        </row>
        <row r="2660">
          <cell r="A2660" t="str">
            <v>ASY-100016-0C</v>
          </cell>
          <cell r="B2660">
            <v>3</v>
          </cell>
          <cell r="C2660" t="str">
            <v>CON-000260-00</v>
          </cell>
          <cell r="D2660" t="str">
            <v>CONNECTOR, FEMALE, 6 PIN, TROV 2</v>
          </cell>
          <cell r="E2660" t="str">
            <v>A</v>
          </cell>
          <cell r="F2660" t="str">
            <v>Connector</v>
          </cell>
          <cell r="G2660">
            <v>1</v>
          </cell>
          <cell r="H2660">
            <v>0</v>
          </cell>
          <cell r="I2660" t="str">
            <v>N/A</v>
          </cell>
        </row>
        <row r="2661">
          <cell r="A2661" t="str">
            <v>ASY-100016-0C</v>
          </cell>
          <cell r="B2661">
            <v>3</v>
          </cell>
          <cell r="C2661" t="str">
            <v>ORG-000060-00</v>
          </cell>
          <cell r="D2661" t="str">
            <v>O-RING, CABLE, TROV 2</v>
          </cell>
          <cell r="E2661" t="str">
            <v>A</v>
          </cell>
          <cell r="F2661" t="str">
            <v>O-Ring</v>
          </cell>
          <cell r="G2661">
            <v>1</v>
          </cell>
          <cell r="H2661">
            <v>0</v>
          </cell>
          <cell r="I2661" t="str">
            <v>N/A</v>
          </cell>
        </row>
        <row r="2662">
          <cell r="A2662" t="str">
            <v>ASY-100016-0C</v>
          </cell>
          <cell r="B2662">
            <v>3</v>
          </cell>
          <cell r="C2662" t="str">
            <v>SRF-000030-00</v>
          </cell>
          <cell r="D2662" t="str">
            <v>STRAIN RELIEF, CABLE, TROV 2</v>
          </cell>
          <cell r="E2662" t="str">
            <v>A</v>
          </cell>
          <cell r="F2662" t="str">
            <v>Strain Relief</v>
          </cell>
          <cell r="G2662">
            <v>1</v>
          </cell>
          <cell r="H2662">
            <v>0</v>
          </cell>
          <cell r="I2662" t="str">
            <v>N/A</v>
          </cell>
        </row>
        <row r="2663">
          <cell r="A2663" t="str">
            <v>ASY-100016-0C</v>
          </cell>
          <cell r="B2663">
            <v>2</v>
          </cell>
          <cell r="C2663" t="str">
            <v>HSG-000488-01</v>
          </cell>
          <cell r="D2663" t="str">
            <v>HOUSING, PSU, 1 FT, MOLDED HOLE, TROV 2.0</v>
          </cell>
          <cell r="E2663" t="str">
            <v>B</v>
          </cell>
          <cell r="F2663" t="str">
            <v>Housing</v>
          </cell>
          <cell r="G2663">
            <v>1</v>
          </cell>
          <cell r="H2663">
            <v>1.17</v>
          </cell>
          <cell r="I2663" t="str">
            <v>Buy</v>
          </cell>
        </row>
        <row r="2664">
          <cell r="A2664" t="str">
            <v>ASY-100016-0C</v>
          </cell>
          <cell r="B2664">
            <v>2</v>
          </cell>
          <cell r="C2664" t="str">
            <v>SCW-000577-00</v>
          </cell>
          <cell r="D2664" t="str">
            <v>SCREW, TORX HEAD, LOW PROFILE, M3X8mm, ALLOY STEEL</v>
          </cell>
          <cell r="E2664" t="str">
            <v>A</v>
          </cell>
          <cell r="F2664" t="str">
            <v>Screw</v>
          </cell>
          <cell r="G2664">
            <v>2</v>
          </cell>
          <cell r="H2664">
            <v>0.03</v>
          </cell>
          <cell r="I2664" t="str">
            <v>Buy</v>
          </cell>
        </row>
        <row r="2665">
          <cell r="A2665" t="str">
            <v>ASY-100016-0C</v>
          </cell>
          <cell r="B2665">
            <v>1</v>
          </cell>
          <cell r="C2665" t="str">
            <v>BAS-000020-00</v>
          </cell>
          <cell r="D2665" t="str">
            <v>BASE, 1FT, TROV 2.0</v>
          </cell>
          <cell r="E2665" t="str">
            <v>E</v>
          </cell>
          <cell r="F2665" t="str">
            <v>Base</v>
          </cell>
          <cell r="G2665">
            <v>1</v>
          </cell>
          <cell r="H2665">
            <v>5.8</v>
          </cell>
          <cell r="I2665" t="str">
            <v>Buy</v>
          </cell>
        </row>
        <row r="2666">
          <cell r="A2666" t="str">
            <v>ASY-100016-0C</v>
          </cell>
          <cell r="B2666">
            <v>1</v>
          </cell>
          <cell r="C2666" t="str">
            <v>BKT-000457-03</v>
          </cell>
          <cell r="D2666" t="str">
            <v>BRACKET, MOUNT, LEFT, BLACK, TROV 2.0</v>
          </cell>
          <cell r="E2666" t="str">
            <v>C</v>
          </cell>
          <cell r="F2666" t="str">
            <v>Bracket</v>
          </cell>
          <cell r="G2666">
            <v>1</v>
          </cell>
          <cell r="H2666">
            <v>0.99</v>
          </cell>
          <cell r="I2666" t="str">
            <v>Buy</v>
          </cell>
        </row>
        <row r="2667">
          <cell r="A2667" t="str">
            <v>ASY-100016-0C</v>
          </cell>
          <cell r="B2667">
            <v>1</v>
          </cell>
          <cell r="C2667" t="str">
            <v>BKT-000458-03</v>
          </cell>
          <cell r="D2667" t="str">
            <v>BRACKET, MOUNT, RIGHT, BLACK, TROV 2.0</v>
          </cell>
          <cell r="E2667" t="str">
            <v>C</v>
          </cell>
          <cell r="F2667" t="str">
            <v>Bracket</v>
          </cell>
          <cell r="G2667">
            <v>1</v>
          </cell>
          <cell r="H2667">
            <v>0.99</v>
          </cell>
          <cell r="I2667" t="str">
            <v>Buy</v>
          </cell>
        </row>
        <row r="2668">
          <cell r="A2668" t="str">
            <v>ASY-100016-0C</v>
          </cell>
          <cell r="B2668">
            <v>1</v>
          </cell>
          <cell r="C2668" t="str">
            <v>CVR-000789-0C</v>
          </cell>
          <cell r="D2668" t="str">
            <v>END COVER, FC, CUSTOM FINISH, L60, TROV 2.0</v>
          </cell>
          <cell r="E2668" t="str">
            <v>E</v>
          </cell>
          <cell r="F2668" t="str">
            <v>Cover</v>
          </cell>
          <cell r="G2668">
            <v>1</v>
          </cell>
          <cell r="H2668">
            <v>0.01</v>
          </cell>
          <cell r="I2668" t="str">
            <v>Buy</v>
          </cell>
        </row>
        <row r="2669">
          <cell r="A2669" t="str">
            <v>ASY-100016-0C</v>
          </cell>
          <cell r="B2669">
            <v>1</v>
          </cell>
          <cell r="C2669" t="str">
            <v>CVR-000893-0C</v>
          </cell>
          <cell r="D2669" t="str">
            <v>END COVER, MC, CUSTOM FINISH, L60, TROV 2.0</v>
          </cell>
          <cell r="E2669" t="str">
            <v>C</v>
          </cell>
          <cell r="F2669" t="str">
            <v>Cover</v>
          </cell>
          <cell r="G2669">
            <v>1</v>
          </cell>
          <cell r="H2669">
            <v>0</v>
          </cell>
          <cell r="I2669" t="str">
            <v>Buy</v>
          </cell>
        </row>
        <row r="2670">
          <cell r="A2670" t="str">
            <v>ASY-100016-0C</v>
          </cell>
          <cell r="B2670">
            <v>1</v>
          </cell>
          <cell r="C2670" t="str">
            <v>FOM-000028-00</v>
          </cell>
          <cell r="D2670" t="str">
            <v>FOAM, LIGHTBLOCK, ENDCAP, L60, TROV2</v>
          </cell>
          <cell r="E2670" t="str">
            <v>A</v>
          </cell>
          <cell r="F2670" t="str">
            <v>Foam</v>
          </cell>
          <cell r="G2670">
            <v>2</v>
          </cell>
          <cell r="H2670">
            <v>0.03</v>
          </cell>
          <cell r="I2670" t="str">
            <v>Buy</v>
          </cell>
        </row>
        <row r="2671">
          <cell r="A2671" t="str">
            <v>ASY-100016-0C</v>
          </cell>
          <cell r="B2671">
            <v>1</v>
          </cell>
          <cell r="C2671" t="str">
            <v>GSK-000121-01</v>
          </cell>
          <cell r="D2671" t="str">
            <v>GASKET, DRIVER ENCLOSURE, 3M, 1 FT, TROV 2.0</v>
          </cell>
          <cell r="E2671" t="str">
            <v>B</v>
          </cell>
          <cell r="F2671" t="str">
            <v>Gasket</v>
          </cell>
          <cell r="G2671">
            <v>1</v>
          </cell>
          <cell r="H2671">
            <v>1.7</v>
          </cell>
          <cell r="I2671" t="str">
            <v>Buy</v>
          </cell>
        </row>
        <row r="2672">
          <cell r="A2672" t="str">
            <v>ASY-100016-0C</v>
          </cell>
          <cell r="B2672">
            <v>1</v>
          </cell>
          <cell r="C2672" t="str">
            <v>GSK-000132-00</v>
          </cell>
          <cell r="D2672" t="str">
            <v>GASKET, TERTIARY LENS, 3M, 1 FT, L60, TROV 2.0</v>
          </cell>
          <cell r="E2672" t="str">
            <v>B</v>
          </cell>
          <cell r="F2672" t="str">
            <v>Gasket</v>
          </cell>
          <cell r="G2672">
            <v>1</v>
          </cell>
          <cell r="H2672">
            <v>1.96</v>
          </cell>
          <cell r="I2672" t="str">
            <v>Buy</v>
          </cell>
        </row>
        <row r="2673">
          <cell r="A2673" t="str">
            <v>ASY-100016-0C</v>
          </cell>
          <cell r="B2673">
            <v>1</v>
          </cell>
          <cell r="C2673" t="str">
            <v>HSG-000490-0C</v>
          </cell>
          <cell r="D2673" t="str">
            <v>HOUSING, TOP, 1 FT, L60, CUSTOM FINISH, TROV 2.0</v>
          </cell>
          <cell r="E2673" t="str">
            <v>E</v>
          </cell>
          <cell r="F2673" t="str">
            <v>Housing</v>
          </cell>
          <cell r="G2673">
            <v>1</v>
          </cell>
          <cell r="H2673">
            <v>0</v>
          </cell>
          <cell r="I2673" t="str">
            <v>Buy</v>
          </cell>
        </row>
        <row r="2674">
          <cell r="A2674" t="str">
            <v>ASY-100016-0C</v>
          </cell>
          <cell r="B2674">
            <v>1</v>
          </cell>
          <cell r="C2674" t="str">
            <v>HSG-000492-0C</v>
          </cell>
          <cell r="D2674" t="str">
            <v>HOUSING, BOTTOM, 1 FT, CUSTOM FINISH, TROV 2.0</v>
          </cell>
          <cell r="E2674" t="str">
            <v>F</v>
          </cell>
          <cell r="F2674" t="str">
            <v>Housing</v>
          </cell>
          <cell r="G2674">
            <v>1</v>
          </cell>
          <cell r="H2674">
            <v>3.34</v>
          </cell>
          <cell r="I2674" t="str">
            <v>Buy</v>
          </cell>
        </row>
        <row r="2675">
          <cell r="A2675" t="str">
            <v>ASY-100016-0C</v>
          </cell>
          <cell r="B2675">
            <v>1</v>
          </cell>
          <cell r="C2675" t="str">
            <v>LBA-000003-00</v>
          </cell>
          <cell r="D2675" t="str">
            <v>Label: TROV 2 P1/P2, Model L45/L60</v>
          </cell>
          <cell r="E2675" t="str">
            <v>A</v>
          </cell>
          <cell r="F2675" t="str">
            <v>Label BOM</v>
          </cell>
          <cell r="G2675">
            <v>1</v>
          </cell>
          <cell r="H2675">
            <v>0</v>
          </cell>
          <cell r="I2675" t="str">
            <v>Make</v>
          </cell>
        </row>
        <row r="2676">
          <cell r="A2676" t="str">
            <v>ASY-100016-0C</v>
          </cell>
          <cell r="B2676">
            <v>2</v>
          </cell>
          <cell r="C2676" t="str">
            <v>LBL-000243-00</v>
          </cell>
          <cell r="D2676" t="str">
            <v>Blank Product Label: Trov 2 P1/P2, Model L45/L60</v>
          </cell>
          <cell r="E2676" t="str">
            <v>A</v>
          </cell>
          <cell r="F2676" t="str">
            <v>Label</v>
          </cell>
          <cell r="G2676">
            <v>1</v>
          </cell>
          <cell r="H2676">
            <v>0.33</v>
          </cell>
          <cell r="I2676" t="str">
            <v>Buy</v>
          </cell>
        </row>
        <row r="2677">
          <cell r="A2677" t="str">
            <v>ASY-100016-0C</v>
          </cell>
          <cell r="B2677">
            <v>1</v>
          </cell>
          <cell r="C2677" t="str">
            <v>PLG-000009-01</v>
          </cell>
          <cell r="D2677" t="str">
            <v>Porex Vent, Trov, L50 Exterior</v>
          </cell>
          <cell r="E2677" t="str">
            <v>B</v>
          </cell>
          <cell r="F2677" t="str">
            <v>Plug</v>
          </cell>
          <cell r="G2677">
            <v>1</v>
          </cell>
          <cell r="H2677">
            <v>0.17</v>
          </cell>
          <cell r="I2677" t="str">
            <v>Buy</v>
          </cell>
        </row>
        <row r="2678">
          <cell r="A2678" t="str">
            <v>ASY-100016-0C</v>
          </cell>
          <cell r="B2678">
            <v>1</v>
          </cell>
          <cell r="C2678" t="str">
            <v>SCW-000156-00</v>
          </cell>
          <cell r="D2678" t="str">
            <v>SCREW, M3 x 0.5 X 8mm, PAND HEAD, PHILLIPS, STEEL</v>
          </cell>
          <cell r="E2678" t="str">
            <v>B</v>
          </cell>
          <cell r="F2678" t="str">
            <v>Screw</v>
          </cell>
          <cell r="G2678">
            <v>2</v>
          </cell>
          <cell r="H2678">
            <v>4.4400000000000002E-2</v>
          </cell>
          <cell r="I2678" t="str">
            <v>Buy</v>
          </cell>
        </row>
        <row r="2679">
          <cell r="A2679" t="str">
            <v>ASY-100016-0C</v>
          </cell>
          <cell r="B2679">
            <v>1</v>
          </cell>
          <cell r="C2679" t="str">
            <v>SCW-000483-00</v>
          </cell>
          <cell r="D2679" t="str">
            <v>SCREW, PHILIPS FLAT HEAD, M2.5x0.45x5 , 18-8 SST</v>
          </cell>
          <cell r="E2679" t="str">
            <v>A</v>
          </cell>
          <cell r="F2679" t="str">
            <v>Screw</v>
          </cell>
          <cell r="G2679">
            <v>4</v>
          </cell>
          <cell r="H2679">
            <v>0.02</v>
          </cell>
          <cell r="I2679" t="str">
            <v>Buy</v>
          </cell>
        </row>
        <row r="2680">
          <cell r="A2680" t="str">
            <v>ASY-100016-0C</v>
          </cell>
          <cell r="B2680">
            <v>1</v>
          </cell>
          <cell r="C2680" t="str">
            <v>SCW-000556-00</v>
          </cell>
          <cell r="D2680" t="str">
            <v>SCREW, HEX, SERRATED, #8-32, GROUNDING, TROV 2</v>
          </cell>
          <cell r="E2680" t="str">
            <v>A</v>
          </cell>
          <cell r="F2680" t="str">
            <v>Screw</v>
          </cell>
          <cell r="G2680">
            <v>1</v>
          </cell>
          <cell r="H2680">
            <v>0.04</v>
          </cell>
          <cell r="I2680" t="str">
            <v>Buy</v>
          </cell>
        </row>
        <row r="2681">
          <cell r="A2681" t="str">
            <v>ASY-100016-0C</v>
          </cell>
          <cell r="B2681">
            <v>1</v>
          </cell>
          <cell r="C2681" t="str">
            <v>SCW-000574-00</v>
          </cell>
          <cell r="D2681" t="str">
            <v>SCREW, TORX HEAD, 1/4-28x1/2", LOW PROFILE, ALLOY STEEL</v>
          </cell>
          <cell r="E2681" t="str">
            <v>A</v>
          </cell>
          <cell r="F2681" t="str">
            <v>Screw</v>
          </cell>
          <cell r="G2681">
            <v>2</v>
          </cell>
          <cell r="H2681">
            <v>0.14000000000000001</v>
          </cell>
          <cell r="I2681" t="str">
            <v>Buy</v>
          </cell>
        </row>
        <row r="2682">
          <cell r="A2682" t="str">
            <v>ASY-100016-0C</v>
          </cell>
          <cell r="B2682">
            <v>1</v>
          </cell>
          <cell r="C2682" t="str">
            <v>SHT-000042-00</v>
          </cell>
          <cell r="D2682" t="str">
            <v>INSULATION SHEET, MP/LP HBA, TROV 2</v>
          </cell>
          <cell r="E2682" t="str">
            <v>D</v>
          </cell>
          <cell r="F2682" t="str">
            <v>Sheet</v>
          </cell>
          <cell r="G2682">
            <v>1</v>
          </cell>
          <cell r="H2682">
            <v>0.16</v>
          </cell>
          <cell r="I2682" t="str">
            <v>Buy</v>
          </cell>
        </row>
        <row r="2683">
          <cell r="A2683" t="str">
            <v>ASY-100016-0C</v>
          </cell>
          <cell r="B2683">
            <v>1</v>
          </cell>
          <cell r="C2683" t="str">
            <v>SPG-000023-00</v>
          </cell>
          <cell r="D2683" t="str">
            <v>SPRING, DISC, STACKED WAVE, TROV 2.0</v>
          </cell>
          <cell r="E2683" t="str">
            <v>A</v>
          </cell>
          <cell r="F2683" t="str">
            <v>Spring</v>
          </cell>
          <cell r="G2683">
            <v>2</v>
          </cell>
          <cell r="H2683">
            <v>1.74</v>
          </cell>
          <cell r="I2683" t="str">
            <v>Buy</v>
          </cell>
        </row>
        <row r="2684">
          <cell r="A2684" t="str">
            <v>ASY-100016-0C</v>
          </cell>
          <cell r="B2684">
            <v>1</v>
          </cell>
          <cell r="C2684" t="str">
            <v>TAP-000031-00</v>
          </cell>
          <cell r="D2684" t="str">
            <v>3M Electrical Tape 92</v>
          </cell>
          <cell r="E2684" t="str">
            <v>A</v>
          </cell>
          <cell r="F2684" t="str">
            <v>Tape</v>
          </cell>
          <cell r="G2684">
            <v>120</v>
          </cell>
          <cell r="H2684">
            <v>1.4E-2</v>
          </cell>
          <cell r="I2684" t="str">
            <v>Buy</v>
          </cell>
        </row>
        <row r="2685">
          <cell r="A2685" t="str">
            <v>ASY-100016-0C</v>
          </cell>
          <cell r="B2685">
            <v>1</v>
          </cell>
          <cell r="C2685" t="str">
            <v>TMP-000027-00</v>
          </cell>
          <cell r="D2685" t="str">
            <v>Thermal Pad, LED PCBA, 1 FT, TROV 2</v>
          </cell>
          <cell r="E2685" t="str">
            <v>B</v>
          </cell>
          <cell r="F2685" t="str">
            <v>Thermal Pad</v>
          </cell>
          <cell r="G2685">
            <v>1</v>
          </cell>
          <cell r="H2685">
            <v>0.72</v>
          </cell>
          <cell r="I2685" t="str">
            <v>Buy</v>
          </cell>
        </row>
        <row r="2686">
          <cell r="A2686" t="str">
            <v>ASY-100016-0C</v>
          </cell>
          <cell r="B2686">
            <v>1</v>
          </cell>
          <cell r="C2686" t="str">
            <v>TMP-000029-00</v>
          </cell>
          <cell r="D2686" t="str">
            <v>Thermal Pad, HBA, TROV 2</v>
          </cell>
          <cell r="E2686" t="str">
            <v>B</v>
          </cell>
          <cell r="F2686" t="str">
            <v>Thermal Pad</v>
          </cell>
          <cell r="G2686">
            <v>2</v>
          </cell>
          <cell r="H2686">
            <v>0.14000000000000001</v>
          </cell>
          <cell r="I2686" t="str">
            <v>Buy</v>
          </cell>
        </row>
        <row r="2687">
          <cell r="A2687" t="str">
            <v>ASY-100016-0C</v>
          </cell>
          <cell r="B2687">
            <v>1</v>
          </cell>
          <cell r="C2687" t="str">
            <v>TMP-000032-00</v>
          </cell>
          <cell r="D2687" t="str">
            <v>Thermal Pad, HBA, TROV 2</v>
          </cell>
          <cell r="E2687" t="str">
            <v>A</v>
          </cell>
          <cell r="F2687" t="str">
            <v>Thermal Pad</v>
          </cell>
          <cell r="G2687">
            <v>1</v>
          </cell>
          <cell r="H2687">
            <v>0.03</v>
          </cell>
          <cell r="I2687" t="str">
            <v>Buy</v>
          </cell>
        </row>
        <row r="2688">
          <cell r="A2688" t="str">
            <v>ASY-100017-01</v>
          </cell>
          <cell r="B2688">
            <v>0</v>
          </cell>
          <cell r="C2688" t="str">
            <v>ASY-100017-01</v>
          </cell>
          <cell r="D2688" t="str">
            <v>ASSY, MECHANICAL, L45, OUTDOOR, 1 FT, TROV2P2, DYNAMIC, SILVER</v>
          </cell>
          <cell r="E2688" t="str">
            <v>A</v>
          </cell>
          <cell r="F2688" t="str">
            <v>Sub assembly</v>
          </cell>
          <cell r="H2688">
            <v>0</v>
          </cell>
          <cell r="I2688" t="str">
            <v>Make</v>
          </cell>
        </row>
        <row r="2689">
          <cell r="A2689" t="str">
            <v>ASY-100017-01</v>
          </cell>
          <cell r="B2689">
            <v>1</v>
          </cell>
          <cell r="C2689" t="str">
            <v>ACB-000275-00</v>
          </cell>
          <cell r="D2689" t="str">
            <v>CABLE, CANBUS, SHORT, TROV 2</v>
          </cell>
          <cell r="E2689" t="str">
            <v>A</v>
          </cell>
          <cell r="F2689" t="str">
            <v>Cable</v>
          </cell>
          <cell r="G2689">
            <v>1</v>
          </cell>
          <cell r="H2689">
            <v>0.7</v>
          </cell>
          <cell r="I2689" t="str">
            <v>Buy</v>
          </cell>
        </row>
        <row r="2690">
          <cell r="A2690" t="str">
            <v>ASY-100017-01</v>
          </cell>
          <cell r="B2690">
            <v>1</v>
          </cell>
          <cell r="C2690" t="str">
            <v>ASY-100009-00</v>
          </cell>
          <cell r="D2690" t="str">
            <v>Cable Subassembly, Driver housing, 1ft, Trov 2</v>
          </cell>
          <cell r="E2690" t="str">
            <v>B</v>
          </cell>
          <cell r="F2690" t="str">
            <v>Sub assembly</v>
          </cell>
          <cell r="G2690">
            <v>1</v>
          </cell>
          <cell r="H2690">
            <v>0</v>
          </cell>
          <cell r="I2690" t="str">
            <v>Make</v>
          </cell>
        </row>
        <row r="2691">
          <cell r="A2691" t="str">
            <v>ASY-100017-01</v>
          </cell>
          <cell r="B2691">
            <v>2</v>
          </cell>
          <cell r="C2691" t="str">
            <v>ACB-000278-00</v>
          </cell>
          <cell r="D2691" t="str">
            <v>CABLE ASSY, INTRA-FIXTURE, 1FT, TROV 2.0</v>
          </cell>
          <cell r="E2691" t="str">
            <v>A</v>
          </cell>
          <cell r="F2691" t="str">
            <v>Cable Assembly</v>
          </cell>
          <cell r="G2691">
            <v>1</v>
          </cell>
          <cell r="H2691">
            <v>12.75</v>
          </cell>
          <cell r="I2691" t="str">
            <v>Buy</v>
          </cell>
        </row>
        <row r="2692">
          <cell r="A2692" t="str">
            <v>ASY-100017-01</v>
          </cell>
          <cell r="B2692">
            <v>3</v>
          </cell>
          <cell r="C2692" t="str">
            <v>ACB-000273-00</v>
          </cell>
          <cell r="D2692" t="str">
            <v>6 CONDUCTOR CABLE, 3X22AWG, 3X16AWG, AL MYLAR, TROV 2</v>
          </cell>
          <cell r="E2692" t="str">
            <v>A</v>
          </cell>
          <cell r="F2692" t="str">
            <v>Cable</v>
          </cell>
          <cell r="G2692">
            <v>1</v>
          </cell>
          <cell r="H2692">
            <v>0</v>
          </cell>
          <cell r="I2692" t="str">
            <v>N/A</v>
          </cell>
        </row>
        <row r="2693">
          <cell r="A2693" t="str">
            <v>ASY-100017-01</v>
          </cell>
          <cell r="B2693">
            <v>3</v>
          </cell>
          <cell r="C2693" t="str">
            <v>ACB-000274-01</v>
          </cell>
          <cell r="D2693" t="str">
            <v>CABLE ASSEMBLY, INTERNAL, DRIVER SIDE, 1FT, TROV 2</v>
          </cell>
          <cell r="E2693" t="str">
            <v>A</v>
          </cell>
          <cell r="F2693" t="str">
            <v>Cable Assembly</v>
          </cell>
          <cell r="G2693">
            <v>1</v>
          </cell>
          <cell r="H2693">
            <v>0</v>
          </cell>
          <cell r="I2693" t="str">
            <v>N/A</v>
          </cell>
        </row>
        <row r="2694">
          <cell r="A2694" t="str">
            <v>ASY-100017-01</v>
          </cell>
          <cell r="B2694">
            <v>3</v>
          </cell>
          <cell r="C2694" t="str">
            <v>CON-000259-00</v>
          </cell>
          <cell r="D2694" t="str">
            <v>CONNECTOR, MALE, 6 PIN, TROV 2</v>
          </cell>
          <cell r="E2694" t="str">
            <v>B</v>
          </cell>
          <cell r="F2694" t="str">
            <v>Connector</v>
          </cell>
          <cell r="G2694">
            <v>1</v>
          </cell>
          <cell r="H2694">
            <v>0</v>
          </cell>
          <cell r="I2694" t="str">
            <v>N/A</v>
          </cell>
        </row>
        <row r="2695">
          <cell r="A2695" t="str">
            <v>ASY-100017-01</v>
          </cell>
          <cell r="B2695">
            <v>3</v>
          </cell>
          <cell r="C2695" t="str">
            <v>CON-000260-00</v>
          </cell>
          <cell r="D2695" t="str">
            <v>CONNECTOR, FEMALE, 6 PIN, TROV 2</v>
          </cell>
          <cell r="E2695" t="str">
            <v>A</v>
          </cell>
          <cell r="F2695" t="str">
            <v>Connector</v>
          </cell>
          <cell r="G2695">
            <v>1</v>
          </cell>
          <cell r="H2695">
            <v>0</v>
          </cell>
          <cell r="I2695" t="str">
            <v>N/A</v>
          </cell>
        </row>
        <row r="2696">
          <cell r="A2696" t="str">
            <v>ASY-100017-01</v>
          </cell>
          <cell r="B2696">
            <v>3</v>
          </cell>
          <cell r="C2696" t="str">
            <v>ORG-000060-00</v>
          </cell>
          <cell r="D2696" t="str">
            <v>O-RING, CABLE, TROV 2</v>
          </cell>
          <cell r="E2696" t="str">
            <v>A</v>
          </cell>
          <cell r="F2696" t="str">
            <v>O-Ring</v>
          </cell>
          <cell r="G2696">
            <v>1</v>
          </cell>
          <cell r="H2696">
            <v>0</v>
          </cell>
          <cell r="I2696" t="str">
            <v>N/A</v>
          </cell>
        </row>
        <row r="2697">
          <cell r="A2697" t="str">
            <v>ASY-100017-01</v>
          </cell>
          <cell r="B2697">
            <v>3</v>
          </cell>
          <cell r="C2697" t="str">
            <v>SRF-000030-00</v>
          </cell>
          <cell r="D2697" t="str">
            <v>STRAIN RELIEF, CABLE, TROV 2</v>
          </cell>
          <cell r="E2697" t="str">
            <v>A</v>
          </cell>
          <cell r="F2697" t="str">
            <v>Strain Relief</v>
          </cell>
          <cell r="G2697">
            <v>1</v>
          </cell>
          <cell r="H2697">
            <v>0</v>
          </cell>
          <cell r="I2697" t="str">
            <v>N/A</v>
          </cell>
        </row>
        <row r="2698">
          <cell r="A2698" t="str">
            <v>ASY-100017-01</v>
          </cell>
          <cell r="B2698">
            <v>2</v>
          </cell>
          <cell r="C2698" t="str">
            <v>HSG-000488-01</v>
          </cell>
          <cell r="D2698" t="str">
            <v>HOUSING, PSU, 1 FT, MOLDED HOLE, TROV 2.0</v>
          </cell>
          <cell r="E2698" t="str">
            <v>B</v>
          </cell>
          <cell r="F2698" t="str">
            <v>Housing</v>
          </cell>
          <cell r="G2698">
            <v>1</v>
          </cell>
          <cell r="H2698">
            <v>1.17</v>
          </cell>
          <cell r="I2698" t="str">
            <v>Buy</v>
          </cell>
        </row>
        <row r="2699">
          <cell r="A2699" t="str">
            <v>ASY-100017-01</v>
          </cell>
          <cell r="B2699">
            <v>2</v>
          </cell>
          <cell r="C2699" t="str">
            <v>SCW-000577-00</v>
          </cell>
          <cell r="D2699" t="str">
            <v>SCREW, TORX HEAD, LOW PROFILE, M3X8mm, ALLOY STEEL</v>
          </cell>
          <cell r="E2699" t="str">
            <v>A</v>
          </cell>
          <cell r="F2699" t="str">
            <v>Screw</v>
          </cell>
          <cell r="G2699">
            <v>2</v>
          </cell>
          <cell r="H2699">
            <v>0.03</v>
          </cell>
          <cell r="I2699" t="str">
            <v>Buy</v>
          </cell>
        </row>
        <row r="2700">
          <cell r="A2700" t="str">
            <v>ASY-100017-01</v>
          </cell>
          <cell r="B2700">
            <v>1</v>
          </cell>
          <cell r="C2700" t="str">
            <v>BAS-000020-00</v>
          </cell>
          <cell r="D2700" t="str">
            <v>BASE, 1FT, TROV 2.0</v>
          </cell>
          <cell r="E2700" t="str">
            <v>E</v>
          </cell>
          <cell r="F2700" t="str">
            <v>Base</v>
          </cell>
          <cell r="G2700">
            <v>1</v>
          </cell>
          <cell r="H2700">
            <v>5.8</v>
          </cell>
          <cell r="I2700" t="str">
            <v>Buy</v>
          </cell>
        </row>
        <row r="2701">
          <cell r="A2701" t="str">
            <v>ASY-100017-01</v>
          </cell>
          <cell r="B2701">
            <v>1</v>
          </cell>
          <cell r="C2701" t="str">
            <v>BKT-000457-03</v>
          </cell>
          <cell r="D2701" t="str">
            <v>BRACKET, MOUNT, LEFT, BLACK, TROV 2.0</v>
          </cell>
          <cell r="E2701" t="str">
            <v>C</v>
          </cell>
          <cell r="F2701" t="str">
            <v>Bracket</v>
          </cell>
          <cell r="G2701">
            <v>1</v>
          </cell>
          <cell r="H2701">
            <v>0.99</v>
          </cell>
          <cell r="I2701" t="str">
            <v>Buy</v>
          </cell>
        </row>
        <row r="2702">
          <cell r="A2702" t="str">
            <v>ASY-100017-01</v>
          </cell>
          <cell r="B2702">
            <v>1</v>
          </cell>
          <cell r="C2702" t="str">
            <v>BKT-000458-03</v>
          </cell>
          <cell r="D2702" t="str">
            <v>BRACKET, MOUNT, RIGHT, BLACK, TROV 2.0</v>
          </cell>
          <cell r="E2702" t="str">
            <v>C</v>
          </cell>
          <cell r="F2702" t="str">
            <v>Bracket</v>
          </cell>
          <cell r="G2702">
            <v>1</v>
          </cell>
          <cell r="H2702">
            <v>0.99</v>
          </cell>
          <cell r="I2702" t="str">
            <v>Buy</v>
          </cell>
        </row>
        <row r="2703">
          <cell r="A2703" t="str">
            <v>ASY-100017-01</v>
          </cell>
          <cell r="B2703">
            <v>1</v>
          </cell>
          <cell r="C2703" t="str">
            <v>CVR-000791-03</v>
          </cell>
          <cell r="D2703" t="str">
            <v>END COVER, FC, BLACK, L45, TROV 2.0</v>
          </cell>
          <cell r="E2703" t="str">
            <v>D</v>
          </cell>
          <cell r="F2703" t="str">
            <v>Cover</v>
          </cell>
          <cell r="G2703">
            <v>1</v>
          </cell>
          <cell r="H2703">
            <v>1.07</v>
          </cell>
          <cell r="I2703" t="str">
            <v>Buy</v>
          </cell>
        </row>
        <row r="2704">
          <cell r="A2704" t="str">
            <v>ASY-100017-01</v>
          </cell>
          <cell r="B2704">
            <v>1</v>
          </cell>
          <cell r="C2704" t="str">
            <v>CVR-000894-03</v>
          </cell>
          <cell r="D2704" t="str">
            <v>END COVER, MC, BLACK, L45, TROV 2.0</v>
          </cell>
          <cell r="E2704" t="str">
            <v>B</v>
          </cell>
          <cell r="F2704" t="str">
            <v>Cover</v>
          </cell>
          <cell r="G2704">
            <v>1</v>
          </cell>
          <cell r="H2704">
            <v>1.07</v>
          </cell>
          <cell r="I2704" t="str">
            <v>Buy</v>
          </cell>
        </row>
        <row r="2705">
          <cell r="A2705" t="str">
            <v>ASY-100017-01</v>
          </cell>
          <cell r="B2705">
            <v>1</v>
          </cell>
          <cell r="C2705" t="str">
            <v>FOM-000029-00</v>
          </cell>
          <cell r="D2705" t="str">
            <v>FOAM, LIGHTBLOCK, ENDCAP, L45, TROV2</v>
          </cell>
          <cell r="E2705" t="str">
            <v>A</v>
          </cell>
          <cell r="F2705" t="str">
            <v>Foam</v>
          </cell>
          <cell r="G2705">
            <v>2</v>
          </cell>
          <cell r="H2705">
            <v>0.02</v>
          </cell>
          <cell r="I2705" t="str">
            <v>Buy</v>
          </cell>
        </row>
        <row r="2706">
          <cell r="A2706" t="str">
            <v>ASY-100017-01</v>
          </cell>
          <cell r="B2706">
            <v>1</v>
          </cell>
          <cell r="C2706" t="str">
            <v>GSK-000112-01</v>
          </cell>
          <cell r="D2706" t="str">
            <v>GASKET, TERTIARY LENS, 3M, 1 FT, L45, TROV 2.0</v>
          </cell>
          <cell r="E2706" t="str">
            <v>D</v>
          </cell>
          <cell r="F2706" t="str">
            <v>Gasket</v>
          </cell>
          <cell r="G2706">
            <v>1</v>
          </cell>
          <cell r="H2706">
            <v>1.75</v>
          </cell>
          <cell r="I2706" t="str">
            <v>Buy</v>
          </cell>
        </row>
        <row r="2707">
          <cell r="A2707" t="str">
            <v>ASY-100017-01</v>
          </cell>
          <cell r="B2707">
            <v>1</v>
          </cell>
          <cell r="C2707" t="str">
            <v>GSK-000121-01</v>
          </cell>
          <cell r="D2707" t="str">
            <v>GASKET, DRIVER ENCLOSURE, 3M, 1 FT, TROV 2.0</v>
          </cell>
          <cell r="E2707" t="str">
            <v>B</v>
          </cell>
          <cell r="F2707" t="str">
            <v>Gasket</v>
          </cell>
          <cell r="G2707">
            <v>1</v>
          </cell>
          <cell r="H2707">
            <v>1.7</v>
          </cell>
          <cell r="I2707" t="str">
            <v>Buy</v>
          </cell>
        </row>
        <row r="2708">
          <cell r="A2708" t="str">
            <v>ASY-100017-01</v>
          </cell>
          <cell r="B2708">
            <v>1</v>
          </cell>
          <cell r="C2708" t="str">
            <v>HSG-000491-01</v>
          </cell>
          <cell r="D2708" t="str">
            <v>HOUSING, TOP, 1 FT,  L45, SILVER,  TROV 2.0</v>
          </cell>
          <cell r="E2708" t="str">
            <v>E</v>
          </cell>
          <cell r="F2708" t="str">
            <v>Housing</v>
          </cell>
          <cell r="G2708">
            <v>1</v>
          </cell>
          <cell r="H2708">
            <v>4.3499999999999996</v>
          </cell>
          <cell r="I2708" t="str">
            <v>Buy</v>
          </cell>
        </row>
        <row r="2709">
          <cell r="A2709" t="str">
            <v>ASY-100017-01</v>
          </cell>
          <cell r="B2709">
            <v>1</v>
          </cell>
          <cell r="C2709" t="str">
            <v>HSG-000492-01</v>
          </cell>
          <cell r="D2709" t="str">
            <v>HOUSING, BOTTOM, 1 FT, SILVER, TROV 2.0</v>
          </cell>
          <cell r="E2709" t="str">
            <v>F</v>
          </cell>
          <cell r="F2709" t="str">
            <v>Housing</v>
          </cell>
          <cell r="G2709">
            <v>1</v>
          </cell>
          <cell r="H2709">
            <v>3.34</v>
          </cell>
          <cell r="I2709" t="str">
            <v>Buy</v>
          </cell>
        </row>
        <row r="2710">
          <cell r="A2710" t="str">
            <v>ASY-100017-01</v>
          </cell>
          <cell r="B2710">
            <v>1</v>
          </cell>
          <cell r="C2710" t="str">
            <v>LBA-000003-00</v>
          </cell>
          <cell r="D2710" t="str">
            <v>Label: TROV 2 P1/P2, Model L45/L60</v>
          </cell>
          <cell r="E2710" t="str">
            <v>A</v>
          </cell>
          <cell r="F2710" t="str">
            <v>Label BOM</v>
          </cell>
          <cell r="G2710">
            <v>1</v>
          </cell>
          <cell r="H2710">
            <v>0</v>
          </cell>
          <cell r="I2710" t="str">
            <v>Make</v>
          </cell>
        </row>
        <row r="2711">
          <cell r="A2711" t="str">
            <v>ASY-100017-01</v>
          </cell>
          <cell r="B2711">
            <v>2</v>
          </cell>
          <cell r="C2711" t="str">
            <v>LBL-000243-00</v>
          </cell>
          <cell r="D2711" t="str">
            <v>Blank Product Label: Trov 2 P1/P2, Model L45/L60</v>
          </cell>
          <cell r="E2711" t="str">
            <v>A</v>
          </cell>
          <cell r="F2711" t="str">
            <v>Label</v>
          </cell>
          <cell r="G2711">
            <v>1</v>
          </cell>
          <cell r="H2711">
            <v>0.33</v>
          </cell>
          <cell r="I2711" t="str">
            <v>Buy</v>
          </cell>
        </row>
        <row r="2712">
          <cell r="A2712" t="str">
            <v>ASY-100017-01</v>
          </cell>
          <cell r="B2712">
            <v>1</v>
          </cell>
          <cell r="C2712" t="str">
            <v>PLG-000009-01</v>
          </cell>
          <cell r="D2712" t="str">
            <v>Porex Vent, Trov, L50 Exterior</v>
          </cell>
          <cell r="E2712" t="str">
            <v>B</v>
          </cell>
          <cell r="F2712" t="str">
            <v>Plug</v>
          </cell>
          <cell r="G2712">
            <v>1</v>
          </cell>
          <cell r="H2712">
            <v>0.17</v>
          </cell>
          <cell r="I2712" t="str">
            <v>Buy</v>
          </cell>
        </row>
        <row r="2713">
          <cell r="A2713" t="str">
            <v>ASY-100017-01</v>
          </cell>
          <cell r="B2713">
            <v>1</v>
          </cell>
          <cell r="C2713" t="str">
            <v>SCW-000156-00</v>
          </cell>
          <cell r="D2713" t="str">
            <v>SCREW, M3 x 0.5 X 8mm, PAND HEAD, PHILLIPS, STEEL</v>
          </cell>
          <cell r="E2713" t="str">
            <v>B</v>
          </cell>
          <cell r="F2713" t="str">
            <v>Screw</v>
          </cell>
          <cell r="G2713">
            <v>2</v>
          </cell>
          <cell r="H2713">
            <v>4.4400000000000002E-2</v>
          </cell>
          <cell r="I2713" t="str">
            <v>Buy</v>
          </cell>
        </row>
        <row r="2714">
          <cell r="A2714" t="str">
            <v>ASY-100017-01</v>
          </cell>
          <cell r="B2714">
            <v>1</v>
          </cell>
          <cell r="C2714" t="str">
            <v>SCW-000483-00</v>
          </cell>
          <cell r="D2714" t="str">
            <v>SCREW, PHILIPS FLAT HEAD, M2.5x0.45x5 , 18-8 SST</v>
          </cell>
          <cell r="E2714" t="str">
            <v>A</v>
          </cell>
          <cell r="F2714" t="str">
            <v>Screw</v>
          </cell>
          <cell r="G2714">
            <v>4</v>
          </cell>
          <cell r="H2714">
            <v>0.02</v>
          </cell>
          <cell r="I2714" t="str">
            <v>Buy</v>
          </cell>
        </row>
        <row r="2715">
          <cell r="A2715" t="str">
            <v>ASY-100017-01</v>
          </cell>
          <cell r="B2715">
            <v>1</v>
          </cell>
          <cell r="C2715" t="str">
            <v>SCW-000556-00</v>
          </cell>
          <cell r="D2715" t="str">
            <v>SCREW, HEX, SERRATED, #8-32, GROUNDING, TROV 2</v>
          </cell>
          <cell r="E2715" t="str">
            <v>A</v>
          </cell>
          <cell r="F2715" t="str">
            <v>Screw</v>
          </cell>
          <cell r="G2715">
            <v>1</v>
          </cell>
          <cell r="H2715">
            <v>0.04</v>
          </cell>
          <cell r="I2715" t="str">
            <v>Buy</v>
          </cell>
        </row>
        <row r="2716">
          <cell r="A2716" t="str">
            <v>ASY-100017-01</v>
          </cell>
          <cell r="B2716">
            <v>1</v>
          </cell>
          <cell r="C2716" t="str">
            <v>SCW-000574-00</v>
          </cell>
          <cell r="D2716" t="str">
            <v>SCREW, TORX HEAD, 1/4-28x1/2", LOW PROFILE, ALLOY STEEL</v>
          </cell>
          <cell r="E2716" t="str">
            <v>A</v>
          </cell>
          <cell r="F2716" t="str">
            <v>Screw</v>
          </cell>
          <cell r="G2716">
            <v>2</v>
          </cell>
          <cell r="H2716">
            <v>0.14000000000000001</v>
          </cell>
          <cell r="I2716" t="str">
            <v>Buy</v>
          </cell>
        </row>
        <row r="2717">
          <cell r="A2717" t="str">
            <v>ASY-100017-01</v>
          </cell>
          <cell r="B2717">
            <v>1</v>
          </cell>
          <cell r="C2717" t="str">
            <v>SHT-000042-00</v>
          </cell>
          <cell r="D2717" t="str">
            <v>INSULATION SHEET, MP/LP HBA, TROV 2</v>
          </cell>
          <cell r="E2717" t="str">
            <v>D</v>
          </cell>
          <cell r="F2717" t="str">
            <v>Sheet</v>
          </cell>
          <cell r="G2717">
            <v>1</v>
          </cell>
          <cell r="H2717">
            <v>0.16</v>
          </cell>
          <cell r="I2717" t="str">
            <v>Buy</v>
          </cell>
        </row>
        <row r="2718">
          <cell r="A2718" t="str">
            <v>ASY-100017-01</v>
          </cell>
          <cell r="B2718">
            <v>1</v>
          </cell>
          <cell r="C2718" t="str">
            <v>SPG-000023-00</v>
          </cell>
          <cell r="D2718" t="str">
            <v>SPRING, DISC, STACKED WAVE, TROV 2.0</v>
          </cell>
          <cell r="E2718" t="str">
            <v>A</v>
          </cell>
          <cell r="F2718" t="str">
            <v>Spring</v>
          </cell>
          <cell r="G2718">
            <v>2</v>
          </cell>
          <cell r="H2718">
            <v>1.74</v>
          </cell>
          <cell r="I2718" t="str">
            <v>Buy</v>
          </cell>
        </row>
        <row r="2719">
          <cell r="A2719" t="str">
            <v>ASY-100017-01</v>
          </cell>
          <cell r="B2719">
            <v>1</v>
          </cell>
          <cell r="C2719" t="str">
            <v>TAP-000031-00</v>
          </cell>
          <cell r="D2719" t="str">
            <v>3M Electrical Tape 92</v>
          </cell>
          <cell r="E2719" t="str">
            <v>A</v>
          </cell>
          <cell r="F2719" t="str">
            <v>Tape</v>
          </cell>
          <cell r="G2719">
            <v>120</v>
          </cell>
          <cell r="H2719">
            <v>1.4E-2</v>
          </cell>
          <cell r="I2719" t="str">
            <v>Buy</v>
          </cell>
        </row>
        <row r="2720">
          <cell r="A2720" t="str">
            <v>ASY-100017-01</v>
          </cell>
          <cell r="B2720">
            <v>1</v>
          </cell>
          <cell r="C2720" t="str">
            <v>TMP-000027-00</v>
          </cell>
          <cell r="D2720" t="str">
            <v>Thermal Pad, LED PCBA, 1 FT, TROV 2</v>
          </cell>
          <cell r="E2720" t="str">
            <v>B</v>
          </cell>
          <cell r="F2720" t="str">
            <v>Thermal Pad</v>
          </cell>
          <cell r="G2720">
            <v>1</v>
          </cell>
          <cell r="H2720">
            <v>0.72</v>
          </cell>
          <cell r="I2720" t="str">
            <v>Buy</v>
          </cell>
        </row>
        <row r="2721">
          <cell r="A2721" t="str">
            <v>ASY-100017-01</v>
          </cell>
          <cell r="B2721">
            <v>1</v>
          </cell>
          <cell r="C2721" t="str">
            <v>TMP-000029-00</v>
          </cell>
          <cell r="D2721" t="str">
            <v>Thermal Pad, HBA, TROV 2</v>
          </cell>
          <cell r="E2721" t="str">
            <v>B</v>
          </cell>
          <cell r="F2721" t="str">
            <v>Thermal Pad</v>
          </cell>
          <cell r="G2721">
            <v>2</v>
          </cell>
          <cell r="H2721">
            <v>0.14000000000000001</v>
          </cell>
          <cell r="I2721" t="str">
            <v>Buy</v>
          </cell>
        </row>
        <row r="2722">
          <cell r="A2722" t="str">
            <v>ASY-100017-01</v>
          </cell>
          <cell r="B2722">
            <v>1</v>
          </cell>
          <cell r="C2722" t="str">
            <v>TMP-000032-00</v>
          </cell>
          <cell r="D2722" t="str">
            <v>Thermal Pad, HBA, TROV 2</v>
          </cell>
          <cell r="E2722" t="str">
            <v>A</v>
          </cell>
          <cell r="F2722" t="str">
            <v>Thermal Pad</v>
          </cell>
          <cell r="G2722">
            <v>1</v>
          </cell>
          <cell r="H2722">
            <v>0.03</v>
          </cell>
          <cell r="I2722" t="str">
            <v>Buy</v>
          </cell>
        </row>
        <row r="2723">
          <cell r="A2723" t="str">
            <v>ASY-100017-02</v>
          </cell>
          <cell r="B2723">
            <v>0</v>
          </cell>
          <cell r="C2723" t="str">
            <v>ASY-100017-02</v>
          </cell>
          <cell r="D2723" t="str">
            <v>ASSY, MECHANICAL, L45, OUTDOOR, 1 FT, TROV2P2, DYNAMIC, BRONZE</v>
          </cell>
          <cell r="E2723" t="str">
            <v>A</v>
          </cell>
          <cell r="F2723" t="str">
            <v>Sub assembly</v>
          </cell>
          <cell r="H2723">
            <v>0</v>
          </cell>
          <cell r="I2723" t="str">
            <v>Make</v>
          </cell>
        </row>
        <row r="2724">
          <cell r="A2724" t="str">
            <v>ASY-100017-02</v>
          </cell>
          <cell r="B2724">
            <v>1</v>
          </cell>
          <cell r="C2724" t="str">
            <v>ACB-000275-00</v>
          </cell>
          <cell r="D2724" t="str">
            <v>CABLE, CANBUS, SHORT, TROV 2</v>
          </cell>
          <cell r="E2724" t="str">
            <v>A</v>
          </cell>
          <cell r="F2724" t="str">
            <v>Cable</v>
          </cell>
          <cell r="G2724">
            <v>1</v>
          </cell>
          <cell r="H2724">
            <v>0.7</v>
          </cell>
          <cell r="I2724" t="str">
            <v>Buy</v>
          </cell>
        </row>
        <row r="2725">
          <cell r="A2725" t="str">
            <v>ASY-100017-02</v>
          </cell>
          <cell r="B2725">
            <v>1</v>
          </cell>
          <cell r="C2725" t="str">
            <v>ASY-100009-00</v>
          </cell>
          <cell r="D2725" t="str">
            <v>Cable Subassembly, Driver housing, 1ft, Trov 2</v>
          </cell>
          <cell r="E2725" t="str">
            <v>B</v>
          </cell>
          <cell r="F2725" t="str">
            <v>Sub assembly</v>
          </cell>
          <cell r="G2725">
            <v>1</v>
          </cell>
          <cell r="H2725">
            <v>0</v>
          </cell>
          <cell r="I2725" t="str">
            <v>Make</v>
          </cell>
        </row>
        <row r="2726">
          <cell r="A2726" t="str">
            <v>ASY-100017-02</v>
          </cell>
          <cell r="B2726">
            <v>2</v>
          </cell>
          <cell r="C2726" t="str">
            <v>ACB-000278-00</v>
          </cell>
          <cell r="D2726" t="str">
            <v>CABLE ASSY, INTRA-FIXTURE, 1FT, TROV 2.0</v>
          </cell>
          <cell r="E2726" t="str">
            <v>A</v>
          </cell>
          <cell r="F2726" t="str">
            <v>Cable Assembly</v>
          </cell>
          <cell r="G2726">
            <v>1</v>
          </cell>
          <cell r="H2726">
            <v>12.75</v>
          </cell>
          <cell r="I2726" t="str">
            <v>Buy</v>
          </cell>
        </row>
        <row r="2727">
          <cell r="A2727" t="str">
            <v>ASY-100017-02</v>
          </cell>
          <cell r="B2727">
            <v>3</v>
          </cell>
          <cell r="C2727" t="str">
            <v>ACB-000273-00</v>
          </cell>
          <cell r="D2727" t="str">
            <v>6 CONDUCTOR CABLE, 3X22AWG, 3X16AWG, AL MYLAR, TROV 2</v>
          </cell>
          <cell r="E2727" t="str">
            <v>A</v>
          </cell>
          <cell r="F2727" t="str">
            <v>Cable</v>
          </cell>
          <cell r="G2727">
            <v>1</v>
          </cell>
          <cell r="H2727">
            <v>0</v>
          </cell>
          <cell r="I2727" t="str">
            <v>N/A</v>
          </cell>
        </row>
        <row r="2728">
          <cell r="A2728" t="str">
            <v>ASY-100017-02</v>
          </cell>
          <cell r="B2728">
            <v>3</v>
          </cell>
          <cell r="C2728" t="str">
            <v>ACB-000274-01</v>
          </cell>
          <cell r="D2728" t="str">
            <v>CABLE ASSEMBLY, INTERNAL, DRIVER SIDE, 1FT, TROV 2</v>
          </cell>
          <cell r="E2728" t="str">
            <v>A</v>
          </cell>
          <cell r="F2728" t="str">
            <v>Cable Assembly</v>
          </cell>
          <cell r="G2728">
            <v>1</v>
          </cell>
          <cell r="H2728">
            <v>0</v>
          </cell>
          <cell r="I2728" t="str">
            <v>N/A</v>
          </cell>
        </row>
        <row r="2729">
          <cell r="A2729" t="str">
            <v>ASY-100017-02</v>
          </cell>
          <cell r="B2729">
            <v>3</v>
          </cell>
          <cell r="C2729" t="str">
            <v>CON-000259-00</v>
          </cell>
          <cell r="D2729" t="str">
            <v>CONNECTOR, MALE, 6 PIN, TROV 2</v>
          </cell>
          <cell r="E2729" t="str">
            <v>B</v>
          </cell>
          <cell r="F2729" t="str">
            <v>Connector</v>
          </cell>
          <cell r="G2729">
            <v>1</v>
          </cell>
          <cell r="H2729">
            <v>0</v>
          </cell>
          <cell r="I2729" t="str">
            <v>N/A</v>
          </cell>
        </row>
        <row r="2730">
          <cell r="A2730" t="str">
            <v>ASY-100017-02</v>
          </cell>
          <cell r="B2730">
            <v>3</v>
          </cell>
          <cell r="C2730" t="str">
            <v>CON-000260-00</v>
          </cell>
          <cell r="D2730" t="str">
            <v>CONNECTOR, FEMALE, 6 PIN, TROV 2</v>
          </cell>
          <cell r="E2730" t="str">
            <v>A</v>
          </cell>
          <cell r="F2730" t="str">
            <v>Connector</v>
          </cell>
          <cell r="G2730">
            <v>1</v>
          </cell>
          <cell r="H2730">
            <v>0</v>
          </cell>
          <cell r="I2730" t="str">
            <v>N/A</v>
          </cell>
        </row>
        <row r="2731">
          <cell r="A2731" t="str">
            <v>ASY-100017-02</v>
          </cell>
          <cell r="B2731">
            <v>3</v>
          </cell>
          <cell r="C2731" t="str">
            <v>ORG-000060-00</v>
          </cell>
          <cell r="D2731" t="str">
            <v>O-RING, CABLE, TROV 2</v>
          </cell>
          <cell r="E2731" t="str">
            <v>A</v>
          </cell>
          <cell r="F2731" t="str">
            <v>O-Ring</v>
          </cell>
          <cell r="G2731">
            <v>1</v>
          </cell>
          <cell r="H2731">
            <v>0</v>
          </cell>
          <cell r="I2731" t="str">
            <v>N/A</v>
          </cell>
        </row>
        <row r="2732">
          <cell r="A2732" t="str">
            <v>ASY-100017-02</v>
          </cell>
          <cell r="B2732">
            <v>3</v>
          </cell>
          <cell r="C2732" t="str">
            <v>SRF-000030-00</v>
          </cell>
          <cell r="D2732" t="str">
            <v>STRAIN RELIEF, CABLE, TROV 2</v>
          </cell>
          <cell r="E2732" t="str">
            <v>A</v>
          </cell>
          <cell r="F2732" t="str">
            <v>Strain Relief</v>
          </cell>
          <cell r="G2732">
            <v>1</v>
          </cell>
          <cell r="H2732">
            <v>0</v>
          </cell>
          <cell r="I2732" t="str">
            <v>N/A</v>
          </cell>
        </row>
        <row r="2733">
          <cell r="A2733" t="str">
            <v>ASY-100017-02</v>
          </cell>
          <cell r="B2733">
            <v>2</v>
          </cell>
          <cell r="C2733" t="str">
            <v>HSG-000488-01</v>
          </cell>
          <cell r="D2733" t="str">
            <v>HOUSING, PSU, 1 FT, MOLDED HOLE, TROV 2.0</v>
          </cell>
          <cell r="E2733" t="str">
            <v>B</v>
          </cell>
          <cell r="F2733" t="str">
            <v>Housing</v>
          </cell>
          <cell r="G2733">
            <v>1</v>
          </cell>
          <cell r="H2733">
            <v>1.17</v>
          </cell>
          <cell r="I2733" t="str">
            <v>Buy</v>
          </cell>
        </row>
        <row r="2734">
          <cell r="A2734" t="str">
            <v>ASY-100017-02</v>
          </cell>
          <cell r="B2734">
            <v>2</v>
          </cell>
          <cell r="C2734" t="str">
            <v>SCW-000577-00</v>
          </cell>
          <cell r="D2734" t="str">
            <v>SCREW, TORX HEAD, LOW PROFILE, M3X8mm, ALLOY STEEL</v>
          </cell>
          <cell r="E2734" t="str">
            <v>A</v>
          </cell>
          <cell r="F2734" t="str">
            <v>Screw</v>
          </cell>
          <cell r="G2734">
            <v>2</v>
          </cell>
          <cell r="H2734">
            <v>0.03</v>
          </cell>
          <cell r="I2734" t="str">
            <v>Buy</v>
          </cell>
        </row>
        <row r="2735">
          <cell r="A2735" t="str">
            <v>ASY-100017-02</v>
          </cell>
          <cell r="B2735">
            <v>1</v>
          </cell>
          <cell r="C2735" t="str">
            <v>BAS-000020-00</v>
          </cell>
          <cell r="D2735" t="str">
            <v>BASE, 1FT, TROV 2.0</v>
          </cell>
          <cell r="E2735" t="str">
            <v>E</v>
          </cell>
          <cell r="F2735" t="str">
            <v>Base</v>
          </cell>
          <cell r="G2735">
            <v>1</v>
          </cell>
          <cell r="H2735">
            <v>5.8</v>
          </cell>
          <cell r="I2735" t="str">
            <v>Buy</v>
          </cell>
        </row>
        <row r="2736">
          <cell r="A2736" t="str">
            <v>ASY-100017-02</v>
          </cell>
          <cell r="B2736">
            <v>1</v>
          </cell>
          <cell r="C2736" t="str">
            <v>BKT-000457-03</v>
          </cell>
          <cell r="D2736" t="str">
            <v>BRACKET, MOUNT, LEFT, BLACK, TROV 2.0</v>
          </cell>
          <cell r="E2736" t="str">
            <v>C</v>
          </cell>
          <cell r="F2736" t="str">
            <v>Bracket</v>
          </cell>
          <cell r="G2736">
            <v>1</v>
          </cell>
          <cell r="H2736">
            <v>0.99</v>
          </cell>
          <cell r="I2736" t="str">
            <v>Buy</v>
          </cell>
        </row>
        <row r="2737">
          <cell r="A2737" t="str">
            <v>ASY-100017-02</v>
          </cell>
          <cell r="B2737">
            <v>1</v>
          </cell>
          <cell r="C2737" t="str">
            <v>BKT-000458-03</v>
          </cell>
          <cell r="D2737" t="str">
            <v>BRACKET, MOUNT, RIGHT, BLACK, TROV 2.0</v>
          </cell>
          <cell r="E2737" t="str">
            <v>C</v>
          </cell>
          <cell r="F2737" t="str">
            <v>Bracket</v>
          </cell>
          <cell r="G2737">
            <v>1</v>
          </cell>
          <cell r="H2737">
            <v>0.99</v>
          </cell>
          <cell r="I2737" t="str">
            <v>Buy</v>
          </cell>
        </row>
        <row r="2738">
          <cell r="A2738" t="str">
            <v>ASY-100017-02</v>
          </cell>
          <cell r="B2738">
            <v>1</v>
          </cell>
          <cell r="C2738" t="str">
            <v>CVR-000791-02</v>
          </cell>
          <cell r="D2738" t="str">
            <v>END COVER, FC, BRONZE, L45, TROV 2.0</v>
          </cell>
          <cell r="E2738" t="str">
            <v>D</v>
          </cell>
          <cell r="F2738" t="str">
            <v>Cover</v>
          </cell>
          <cell r="G2738">
            <v>1</v>
          </cell>
          <cell r="H2738">
            <v>1.07</v>
          </cell>
          <cell r="I2738" t="str">
            <v>Buy</v>
          </cell>
        </row>
        <row r="2739">
          <cell r="A2739" t="str">
            <v>ASY-100017-02</v>
          </cell>
          <cell r="B2739">
            <v>1</v>
          </cell>
          <cell r="C2739" t="str">
            <v>CVR-000894-02</v>
          </cell>
          <cell r="D2739" t="str">
            <v>END COVER, MC, BRONZE, L45, TROV 2.0</v>
          </cell>
          <cell r="E2739" t="str">
            <v>B</v>
          </cell>
          <cell r="F2739" t="str">
            <v>Cover</v>
          </cell>
          <cell r="G2739">
            <v>1</v>
          </cell>
          <cell r="H2739">
            <v>1.07</v>
          </cell>
          <cell r="I2739" t="str">
            <v>Buy</v>
          </cell>
        </row>
        <row r="2740">
          <cell r="A2740" t="str">
            <v>ASY-100017-02</v>
          </cell>
          <cell r="B2740">
            <v>1</v>
          </cell>
          <cell r="C2740" t="str">
            <v>FOM-000029-00</v>
          </cell>
          <cell r="D2740" t="str">
            <v>FOAM, LIGHTBLOCK, ENDCAP, L45, TROV2</v>
          </cell>
          <cell r="E2740" t="str">
            <v>A</v>
          </cell>
          <cell r="F2740" t="str">
            <v>Foam</v>
          </cell>
          <cell r="G2740">
            <v>2</v>
          </cell>
          <cell r="H2740">
            <v>0.02</v>
          </cell>
          <cell r="I2740" t="str">
            <v>Buy</v>
          </cell>
        </row>
        <row r="2741">
          <cell r="A2741" t="str">
            <v>ASY-100017-02</v>
          </cell>
          <cell r="B2741">
            <v>1</v>
          </cell>
          <cell r="C2741" t="str">
            <v>GSK-000112-01</v>
          </cell>
          <cell r="D2741" t="str">
            <v>GASKET, TERTIARY LENS, 3M, 1 FT, L45, TROV 2.0</v>
          </cell>
          <cell r="E2741" t="str">
            <v>D</v>
          </cell>
          <cell r="F2741" t="str">
            <v>Gasket</v>
          </cell>
          <cell r="G2741">
            <v>1</v>
          </cell>
          <cell r="H2741">
            <v>1.75</v>
          </cell>
          <cell r="I2741" t="str">
            <v>Buy</v>
          </cell>
        </row>
        <row r="2742">
          <cell r="A2742" t="str">
            <v>ASY-100017-02</v>
          </cell>
          <cell r="B2742">
            <v>1</v>
          </cell>
          <cell r="C2742" t="str">
            <v>GSK-000121-01</v>
          </cell>
          <cell r="D2742" t="str">
            <v>GASKET, DRIVER ENCLOSURE, 3M, 1 FT, TROV 2.0</v>
          </cell>
          <cell r="E2742" t="str">
            <v>B</v>
          </cell>
          <cell r="F2742" t="str">
            <v>Gasket</v>
          </cell>
          <cell r="G2742">
            <v>1</v>
          </cell>
          <cell r="H2742">
            <v>1.7</v>
          </cell>
          <cell r="I2742" t="str">
            <v>Buy</v>
          </cell>
        </row>
        <row r="2743">
          <cell r="A2743" t="str">
            <v>ASY-100017-02</v>
          </cell>
          <cell r="B2743">
            <v>1</v>
          </cell>
          <cell r="C2743" t="str">
            <v>HSG-000491-02</v>
          </cell>
          <cell r="D2743" t="str">
            <v>HOUSING, TOP, 1 FT, L45, BRONZE, TROV 2.0</v>
          </cell>
          <cell r="E2743" t="str">
            <v>E</v>
          </cell>
          <cell r="F2743" t="str">
            <v>Housing</v>
          </cell>
          <cell r="G2743">
            <v>1</v>
          </cell>
          <cell r="H2743">
            <v>0</v>
          </cell>
          <cell r="I2743" t="str">
            <v>Buy</v>
          </cell>
        </row>
        <row r="2744">
          <cell r="A2744" t="str">
            <v>ASY-100017-02</v>
          </cell>
          <cell r="B2744">
            <v>1</v>
          </cell>
          <cell r="C2744" t="str">
            <v>HSG-000492-02</v>
          </cell>
          <cell r="D2744" t="str">
            <v>HOUSING, BOTTOM, 1 FT, BRONZE, TROV 2.0</v>
          </cell>
          <cell r="E2744" t="str">
            <v>F</v>
          </cell>
          <cell r="F2744" t="str">
            <v>Housing</v>
          </cell>
          <cell r="G2744">
            <v>1</v>
          </cell>
          <cell r="H2744">
            <v>3.34</v>
          </cell>
          <cell r="I2744" t="str">
            <v>Buy</v>
          </cell>
        </row>
        <row r="2745">
          <cell r="A2745" t="str">
            <v>ASY-100017-02</v>
          </cell>
          <cell r="B2745">
            <v>1</v>
          </cell>
          <cell r="C2745" t="str">
            <v>LBA-000003-00</v>
          </cell>
          <cell r="D2745" t="str">
            <v>Label: TROV 2 P1/P2, Model L45/L60</v>
          </cell>
          <cell r="E2745" t="str">
            <v>A</v>
          </cell>
          <cell r="F2745" t="str">
            <v>Label BOM</v>
          </cell>
          <cell r="G2745">
            <v>1</v>
          </cell>
          <cell r="H2745">
            <v>0</v>
          </cell>
          <cell r="I2745" t="str">
            <v>Make</v>
          </cell>
        </row>
        <row r="2746">
          <cell r="A2746" t="str">
            <v>ASY-100017-02</v>
          </cell>
          <cell r="B2746">
            <v>2</v>
          </cell>
          <cell r="C2746" t="str">
            <v>LBL-000243-00</v>
          </cell>
          <cell r="D2746" t="str">
            <v>Blank Product Label: Trov 2 P1/P2, Model L45/L60</v>
          </cell>
          <cell r="E2746" t="str">
            <v>A</v>
          </cell>
          <cell r="F2746" t="str">
            <v>Label</v>
          </cell>
          <cell r="G2746">
            <v>1</v>
          </cell>
          <cell r="H2746">
            <v>0.33</v>
          </cell>
          <cell r="I2746" t="str">
            <v>Buy</v>
          </cell>
        </row>
        <row r="2747">
          <cell r="A2747" t="str">
            <v>ASY-100017-02</v>
          </cell>
          <cell r="B2747">
            <v>1</v>
          </cell>
          <cell r="C2747" t="str">
            <v>PLG-000009-01</v>
          </cell>
          <cell r="D2747" t="str">
            <v>Porex Vent, Trov, L50 Exterior</v>
          </cell>
          <cell r="E2747" t="str">
            <v>B</v>
          </cell>
          <cell r="F2747" t="str">
            <v>Plug</v>
          </cell>
          <cell r="G2747">
            <v>1</v>
          </cell>
          <cell r="H2747">
            <v>0.17</v>
          </cell>
          <cell r="I2747" t="str">
            <v>Buy</v>
          </cell>
        </row>
        <row r="2748">
          <cell r="A2748" t="str">
            <v>ASY-100017-02</v>
          </cell>
          <cell r="B2748">
            <v>1</v>
          </cell>
          <cell r="C2748" t="str">
            <v>SCW-000156-00</v>
          </cell>
          <cell r="D2748" t="str">
            <v>SCREW, M3 x 0.5 X 8mm, PAND HEAD, PHILLIPS, STEEL</v>
          </cell>
          <cell r="E2748" t="str">
            <v>B</v>
          </cell>
          <cell r="F2748" t="str">
            <v>Screw</v>
          </cell>
          <cell r="G2748">
            <v>2</v>
          </cell>
          <cell r="H2748">
            <v>4.4400000000000002E-2</v>
          </cell>
          <cell r="I2748" t="str">
            <v>Buy</v>
          </cell>
        </row>
        <row r="2749">
          <cell r="A2749" t="str">
            <v>ASY-100017-02</v>
          </cell>
          <cell r="B2749">
            <v>1</v>
          </cell>
          <cell r="C2749" t="str">
            <v>SCW-000483-00</v>
          </cell>
          <cell r="D2749" t="str">
            <v>SCREW, PHILIPS FLAT HEAD, M2.5x0.45x5 , 18-8 SST</v>
          </cell>
          <cell r="E2749" t="str">
            <v>A</v>
          </cell>
          <cell r="F2749" t="str">
            <v>Screw</v>
          </cell>
          <cell r="G2749">
            <v>4</v>
          </cell>
          <cell r="H2749">
            <v>0.02</v>
          </cell>
          <cell r="I2749" t="str">
            <v>Buy</v>
          </cell>
        </row>
        <row r="2750">
          <cell r="A2750" t="str">
            <v>ASY-100017-02</v>
          </cell>
          <cell r="B2750">
            <v>1</v>
          </cell>
          <cell r="C2750" t="str">
            <v>SCW-000556-00</v>
          </cell>
          <cell r="D2750" t="str">
            <v>SCREW, HEX, SERRATED, #8-32, GROUNDING, TROV 2</v>
          </cell>
          <cell r="E2750" t="str">
            <v>A</v>
          </cell>
          <cell r="F2750" t="str">
            <v>Screw</v>
          </cell>
          <cell r="G2750">
            <v>1</v>
          </cell>
          <cell r="H2750">
            <v>0.04</v>
          </cell>
          <cell r="I2750" t="str">
            <v>Buy</v>
          </cell>
        </row>
        <row r="2751">
          <cell r="A2751" t="str">
            <v>ASY-100017-02</v>
          </cell>
          <cell r="B2751">
            <v>1</v>
          </cell>
          <cell r="C2751" t="str">
            <v>SCW-000574-00</v>
          </cell>
          <cell r="D2751" t="str">
            <v>SCREW, TORX HEAD, 1/4-28x1/2", LOW PROFILE, ALLOY STEEL</v>
          </cell>
          <cell r="E2751" t="str">
            <v>A</v>
          </cell>
          <cell r="F2751" t="str">
            <v>Screw</v>
          </cell>
          <cell r="G2751">
            <v>2</v>
          </cell>
          <cell r="H2751">
            <v>0.14000000000000001</v>
          </cell>
          <cell r="I2751" t="str">
            <v>Buy</v>
          </cell>
        </row>
        <row r="2752">
          <cell r="A2752" t="str">
            <v>ASY-100017-02</v>
          </cell>
          <cell r="B2752">
            <v>1</v>
          </cell>
          <cell r="C2752" t="str">
            <v>SHT-000042-00</v>
          </cell>
          <cell r="D2752" t="str">
            <v>INSULATION SHEET, MP/LP HBA, TROV 2</v>
          </cell>
          <cell r="E2752" t="str">
            <v>D</v>
          </cell>
          <cell r="F2752" t="str">
            <v>Sheet</v>
          </cell>
          <cell r="G2752">
            <v>1</v>
          </cell>
          <cell r="H2752">
            <v>0.16</v>
          </cell>
          <cell r="I2752" t="str">
            <v>Buy</v>
          </cell>
        </row>
        <row r="2753">
          <cell r="A2753" t="str">
            <v>ASY-100017-02</v>
          </cell>
          <cell r="B2753">
            <v>1</v>
          </cell>
          <cell r="C2753" t="str">
            <v>SPG-000023-00</v>
          </cell>
          <cell r="D2753" t="str">
            <v>SPRING, DISC, STACKED WAVE, TROV 2.0</v>
          </cell>
          <cell r="E2753" t="str">
            <v>A</v>
          </cell>
          <cell r="F2753" t="str">
            <v>Spring</v>
          </cell>
          <cell r="G2753">
            <v>2</v>
          </cell>
          <cell r="H2753">
            <v>1.74</v>
          </cell>
          <cell r="I2753" t="str">
            <v>Buy</v>
          </cell>
        </row>
        <row r="2754">
          <cell r="A2754" t="str">
            <v>ASY-100017-02</v>
          </cell>
          <cell r="B2754">
            <v>1</v>
          </cell>
          <cell r="C2754" t="str">
            <v>TAP-000031-00</v>
          </cell>
          <cell r="D2754" t="str">
            <v>3M Electrical Tape 92</v>
          </cell>
          <cell r="E2754" t="str">
            <v>A</v>
          </cell>
          <cell r="F2754" t="str">
            <v>Tape</v>
          </cell>
          <cell r="G2754">
            <v>120</v>
          </cell>
          <cell r="H2754">
            <v>1.4E-2</v>
          </cell>
          <cell r="I2754" t="str">
            <v>Buy</v>
          </cell>
        </row>
        <row r="2755">
          <cell r="A2755" t="str">
            <v>ASY-100017-02</v>
          </cell>
          <cell r="B2755">
            <v>1</v>
          </cell>
          <cell r="C2755" t="str">
            <v>TMP-000027-00</v>
          </cell>
          <cell r="D2755" t="str">
            <v>Thermal Pad, LED PCBA, 1 FT, TROV 2</v>
          </cell>
          <cell r="E2755" t="str">
            <v>B</v>
          </cell>
          <cell r="F2755" t="str">
            <v>Thermal Pad</v>
          </cell>
          <cell r="G2755">
            <v>1</v>
          </cell>
          <cell r="H2755">
            <v>0.72</v>
          </cell>
          <cell r="I2755" t="str">
            <v>Buy</v>
          </cell>
        </row>
        <row r="2756">
          <cell r="A2756" t="str">
            <v>ASY-100017-02</v>
          </cell>
          <cell r="B2756">
            <v>1</v>
          </cell>
          <cell r="C2756" t="str">
            <v>TMP-000029-00</v>
          </cell>
          <cell r="D2756" t="str">
            <v>Thermal Pad, HBA, TROV 2</v>
          </cell>
          <cell r="E2756" t="str">
            <v>B</v>
          </cell>
          <cell r="F2756" t="str">
            <v>Thermal Pad</v>
          </cell>
          <cell r="G2756">
            <v>2</v>
          </cell>
          <cell r="H2756">
            <v>0.14000000000000001</v>
          </cell>
          <cell r="I2756" t="str">
            <v>Buy</v>
          </cell>
        </row>
        <row r="2757">
          <cell r="A2757" t="str">
            <v>ASY-100017-02</v>
          </cell>
          <cell r="B2757">
            <v>1</v>
          </cell>
          <cell r="C2757" t="str">
            <v>TMP-000032-00</v>
          </cell>
          <cell r="D2757" t="str">
            <v>Thermal Pad, HBA, TROV 2</v>
          </cell>
          <cell r="E2757" t="str">
            <v>A</v>
          </cell>
          <cell r="F2757" t="str">
            <v>Thermal Pad</v>
          </cell>
          <cell r="G2757">
            <v>1</v>
          </cell>
          <cell r="H2757">
            <v>0.03</v>
          </cell>
          <cell r="I2757" t="str">
            <v>Buy</v>
          </cell>
        </row>
        <row r="2758">
          <cell r="A2758" t="str">
            <v>ASY-100017-03</v>
          </cell>
          <cell r="B2758">
            <v>0</v>
          </cell>
          <cell r="C2758" t="str">
            <v>ASY-100017-03</v>
          </cell>
          <cell r="D2758" t="str">
            <v>ASSY, MECHANICAL, L45, OUTDOOR, 1 FT, TROV2P2, DYNAMIC, BLACK</v>
          </cell>
          <cell r="E2758" t="str">
            <v>A</v>
          </cell>
          <cell r="F2758" t="str">
            <v>Sub assembly</v>
          </cell>
          <cell r="H2758">
            <v>0</v>
          </cell>
          <cell r="I2758" t="str">
            <v>Make</v>
          </cell>
        </row>
        <row r="2759">
          <cell r="A2759" t="str">
            <v>ASY-100017-03</v>
          </cell>
          <cell r="B2759">
            <v>1</v>
          </cell>
          <cell r="C2759" t="str">
            <v>ACB-000275-00</v>
          </cell>
          <cell r="D2759" t="str">
            <v>CABLE, CANBUS, SHORT, TROV 2</v>
          </cell>
          <cell r="E2759" t="str">
            <v>A</v>
          </cell>
          <cell r="F2759" t="str">
            <v>Cable</v>
          </cell>
          <cell r="G2759">
            <v>1</v>
          </cell>
          <cell r="H2759">
            <v>0.7</v>
          </cell>
          <cell r="I2759" t="str">
            <v>Buy</v>
          </cell>
        </row>
        <row r="2760">
          <cell r="A2760" t="str">
            <v>ASY-100017-03</v>
          </cell>
          <cell r="B2760">
            <v>1</v>
          </cell>
          <cell r="C2760" t="str">
            <v>ASY-100009-00</v>
          </cell>
          <cell r="D2760" t="str">
            <v>Cable Subassembly, Driver housing, 1ft, Trov 2</v>
          </cell>
          <cell r="E2760" t="str">
            <v>B</v>
          </cell>
          <cell r="F2760" t="str">
            <v>Sub assembly</v>
          </cell>
          <cell r="G2760">
            <v>1</v>
          </cell>
          <cell r="H2760">
            <v>0</v>
          </cell>
          <cell r="I2760" t="str">
            <v>Make</v>
          </cell>
        </row>
        <row r="2761">
          <cell r="A2761" t="str">
            <v>ASY-100017-03</v>
          </cell>
          <cell r="B2761">
            <v>2</v>
          </cell>
          <cell r="C2761" t="str">
            <v>ACB-000278-00</v>
          </cell>
          <cell r="D2761" t="str">
            <v>CABLE ASSY, INTRA-FIXTURE, 1FT, TROV 2.0</v>
          </cell>
          <cell r="E2761" t="str">
            <v>A</v>
          </cell>
          <cell r="F2761" t="str">
            <v>Cable Assembly</v>
          </cell>
          <cell r="G2761">
            <v>1</v>
          </cell>
          <cell r="H2761">
            <v>12.75</v>
          </cell>
          <cell r="I2761" t="str">
            <v>Buy</v>
          </cell>
        </row>
        <row r="2762">
          <cell r="A2762" t="str">
            <v>ASY-100017-03</v>
          </cell>
          <cell r="B2762">
            <v>3</v>
          </cell>
          <cell r="C2762" t="str">
            <v>ACB-000273-00</v>
          </cell>
          <cell r="D2762" t="str">
            <v>6 CONDUCTOR CABLE, 3X22AWG, 3X16AWG, AL MYLAR, TROV 2</v>
          </cell>
          <cell r="E2762" t="str">
            <v>A</v>
          </cell>
          <cell r="F2762" t="str">
            <v>Cable</v>
          </cell>
          <cell r="G2762">
            <v>1</v>
          </cell>
          <cell r="H2762">
            <v>0</v>
          </cell>
          <cell r="I2762" t="str">
            <v>N/A</v>
          </cell>
        </row>
        <row r="2763">
          <cell r="A2763" t="str">
            <v>ASY-100017-03</v>
          </cell>
          <cell r="B2763">
            <v>3</v>
          </cell>
          <cell r="C2763" t="str">
            <v>ACB-000274-01</v>
          </cell>
          <cell r="D2763" t="str">
            <v>CABLE ASSEMBLY, INTERNAL, DRIVER SIDE, 1FT, TROV 2</v>
          </cell>
          <cell r="E2763" t="str">
            <v>A</v>
          </cell>
          <cell r="F2763" t="str">
            <v>Cable Assembly</v>
          </cell>
          <cell r="G2763">
            <v>1</v>
          </cell>
          <cell r="H2763">
            <v>0</v>
          </cell>
          <cell r="I2763" t="str">
            <v>N/A</v>
          </cell>
        </row>
        <row r="2764">
          <cell r="A2764" t="str">
            <v>ASY-100017-03</v>
          </cell>
          <cell r="B2764">
            <v>3</v>
          </cell>
          <cell r="C2764" t="str">
            <v>CON-000259-00</v>
          </cell>
          <cell r="D2764" t="str">
            <v>CONNECTOR, MALE, 6 PIN, TROV 2</v>
          </cell>
          <cell r="E2764" t="str">
            <v>B</v>
          </cell>
          <cell r="F2764" t="str">
            <v>Connector</v>
          </cell>
          <cell r="G2764">
            <v>1</v>
          </cell>
          <cell r="H2764">
            <v>0</v>
          </cell>
          <cell r="I2764" t="str">
            <v>N/A</v>
          </cell>
        </row>
        <row r="2765">
          <cell r="A2765" t="str">
            <v>ASY-100017-03</v>
          </cell>
          <cell r="B2765">
            <v>3</v>
          </cell>
          <cell r="C2765" t="str">
            <v>CON-000260-00</v>
          </cell>
          <cell r="D2765" t="str">
            <v>CONNECTOR, FEMALE, 6 PIN, TROV 2</v>
          </cell>
          <cell r="E2765" t="str">
            <v>A</v>
          </cell>
          <cell r="F2765" t="str">
            <v>Connector</v>
          </cell>
          <cell r="G2765">
            <v>1</v>
          </cell>
          <cell r="H2765">
            <v>0</v>
          </cell>
          <cell r="I2765" t="str">
            <v>N/A</v>
          </cell>
        </row>
        <row r="2766">
          <cell r="A2766" t="str">
            <v>ASY-100017-03</v>
          </cell>
          <cell r="B2766">
            <v>3</v>
          </cell>
          <cell r="C2766" t="str">
            <v>ORG-000060-00</v>
          </cell>
          <cell r="D2766" t="str">
            <v>O-RING, CABLE, TROV 2</v>
          </cell>
          <cell r="E2766" t="str">
            <v>A</v>
          </cell>
          <cell r="F2766" t="str">
            <v>O-Ring</v>
          </cell>
          <cell r="G2766">
            <v>1</v>
          </cell>
          <cell r="H2766">
            <v>0</v>
          </cell>
          <cell r="I2766" t="str">
            <v>N/A</v>
          </cell>
        </row>
        <row r="2767">
          <cell r="A2767" t="str">
            <v>ASY-100017-03</v>
          </cell>
          <cell r="B2767">
            <v>3</v>
          </cell>
          <cell r="C2767" t="str">
            <v>SRF-000030-00</v>
          </cell>
          <cell r="D2767" t="str">
            <v>STRAIN RELIEF, CABLE, TROV 2</v>
          </cell>
          <cell r="E2767" t="str">
            <v>A</v>
          </cell>
          <cell r="F2767" t="str">
            <v>Strain Relief</v>
          </cell>
          <cell r="G2767">
            <v>1</v>
          </cell>
          <cell r="H2767">
            <v>0</v>
          </cell>
          <cell r="I2767" t="str">
            <v>N/A</v>
          </cell>
        </row>
        <row r="2768">
          <cell r="A2768" t="str">
            <v>ASY-100017-03</v>
          </cell>
          <cell r="B2768">
            <v>2</v>
          </cell>
          <cell r="C2768" t="str">
            <v>HSG-000488-01</v>
          </cell>
          <cell r="D2768" t="str">
            <v>HOUSING, PSU, 1 FT, MOLDED HOLE, TROV 2.0</v>
          </cell>
          <cell r="E2768" t="str">
            <v>B</v>
          </cell>
          <cell r="F2768" t="str">
            <v>Housing</v>
          </cell>
          <cell r="G2768">
            <v>1</v>
          </cell>
          <cell r="H2768">
            <v>1.17</v>
          </cell>
          <cell r="I2768" t="str">
            <v>Buy</v>
          </cell>
        </row>
        <row r="2769">
          <cell r="A2769" t="str">
            <v>ASY-100017-03</v>
          </cell>
          <cell r="B2769">
            <v>2</v>
          </cell>
          <cell r="C2769" t="str">
            <v>SCW-000577-00</v>
          </cell>
          <cell r="D2769" t="str">
            <v>SCREW, TORX HEAD, LOW PROFILE, M3X8mm, ALLOY STEEL</v>
          </cell>
          <cell r="E2769" t="str">
            <v>A</v>
          </cell>
          <cell r="F2769" t="str">
            <v>Screw</v>
          </cell>
          <cell r="G2769">
            <v>2</v>
          </cell>
          <cell r="H2769">
            <v>0.03</v>
          </cell>
          <cell r="I2769" t="str">
            <v>Buy</v>
          </cell>
        </row>
        <row r="2770">
          <cell r="A2770" t="str">
            <v>ASY-100017-03</v>
          </cell>
          <cell r="B2770">
            <v>1</v>
          </cell>
          <cell r="C2770" t="str">
            <v>BAS-000020-00</v>
          </cell>
          <cell r="D2770" t="str">
            <v>BASE, 1FT, TROV 2.0</v>
          </cell>
          <cell r="E2770" t="str">
            <v>E</v>
          </cell>
          <cell r="F2770" t="str">
            <v>Base</v>
          </cell>
          <cell r="G2770">
            <v>1</v>
          </cell>
          <cell r="H2770">
            <v>5.8</v>
          </cell>
          <cell r="I2770" t="str">
            <v>Buy</v>
          </cell>
        </row>
        <row r="2771">
          <cell r="A2771" t="str">
            <v>ASY-100017-03</v>
          </cell>
          <cell r="B2771">
            <v>1</v>
          </cell>
          <cell r="C2771" t="str">
            <v>BKT-000457-03</v>
          </cell>
          <cell r="D2771" t="str">
            <v>BRACKET, MOUNT, LEFT, BLACK, TROV 2.0</v>
          </cell>
          <cell r="E2771" t="str">
            <v>C</v>
          </cell>
          <cell r="F2771" t="str">
            <v>Bracket</v>
          </cell>
          <cell r="G2771">
            <v>1</v>
          </cell>
          <cell r="H2771">
            <v>0.99</v>
          </cell>
          <cell r="I2771" t="str">
            <v>Buy</v>
          </cell>
        </row>
        <row r="2772">
          <cell r="A2772" t="str">
            <v>ASY-100017-03</v>
          </cell>
          <cell r="B2772">
            <v>1</v>
          </cell>
          <cell r="C2772" t="str">
            <v>BKT-000458-03</v>
          </cell>
          <cell r="D2772" t="str">
            <v>BRACKET, MOUNT, RIGHT, BLACK, TROV 2.0</v>
          </cell>
          <cell r="E2772" t="str">
            <v>C</v>
          </cell>
          <cell r="F2772" t="str">
            <v>Bracket</v>
          </cell>
          <cell r="G2772">
            <v>1</v>
          </cell>
          <cell r="H2772">
            <v>0.99</v>
          </cell>
          <cell r="I2772" t="str">
            <v>Buy</v>
          </cell>
        </row>
        <row r="2773">
          <cell r="A2773" t="str">
            <v>ASY-100017-03</v>
          </cell>
          <cell r="B2773">
            <v>1</v>
          </cell>
          <cell r="C2773" t="str">
            <v>CVR-000791-03</v>
          </cell>
          <cell r="D2773" t="str">
            <v>END COVER, FC, BLACK, L45, TROV 2.0</v>
          </cell>
          <cell r="E2773" t="str">
            <v>D</v>
          </cell>
          <cell r="F2773" t="str">
            <v>Cover</v>
          </cell>
          <cell r="G2773">
            <v>1</v>
          </cell>
          <cell r="H2773">
            <v>1.07</v>
          </cell>
          <cell r="I2773" t="str">
            <v>Buy</v>
          </cell>
        </row>
        <row r="2774">
          <cell r="A2774" t="str">
            <v>ASY-100017-03</v>
          </cell>
          <cell r="B2774">
            <v>1</v>
          </cell>
          <cell r="C2774" t="str">
            <v>CVR-000894-03</v>
          </cell>
          <cell r="D2774" t="str">
            <v>END COVER, MC, BLACK, L45, TROV 2.0</v>
          </cell>
          <cell r="E2774" t="str">
            <v>B</v>
          </cell>
          <cell r="F2774" t="str">
            <v>Cover</v>
          </cell>
          <cell r="G2774">
            <v>1</v>
          </cell>
          <cell r="H2774">
            <v>1.07</v>
          </cell>
          <cell r="I2774" t="str">
            <v>Buy</v>
          </cell>
        </row>
        <row r="2775">
          <cell r="A2775" t="str">
            <v>ASY-100017-03</v>
          </cell>
          <cell r="B2775">
            <v>1</v>
          </cell>
          <cell r="C2775" t="str">
            <v>FOM-000029-00</v>
          </cell>
          <cell r="D2775" t="str">
            <v>FOAM, LIGHTBLOCK, ENDCAP, L45, TROV2</v>
          </cell>
          <cell r="E2775" t="str">
            <v>A</v>
          </cell>
          <cell r="F2775" t="str">
            <v>Foam</v>
          </cell>
          <cell r="G2775">
            <v>2</v>
          </cell>
          <cell r="H2775">
            <v>0.02</v>
          </cell>
          <cell r="I2775" t="str">
            <v>Buy</v>
          </cell>
        </row>
        <row r="2776">
          <cell r="A2776" t="str">
            <v>ASY-100017-03</v>
          </cell>
          <cell r="B2776">
            <v>1</v>
          </cell>
          <cell r="C2776" t="str">
            <v>GSK-000112-01</v>
          </cell>
          <cell r="D2776" t="str">
            <v>GASKET, TERTIARY LENS, 3M, 1 FT, L45, TROV 2.0</v>
          </cell>
          <cell r="E2776" t="str">
            <v>D</v>
          </cell>
          <cell r="F2776" t="str">
            <v>Gasket</v>
          </cell>
          <cell r="G2776">
            <v>1</v>
          </cell>
          <cell r="H2776">
            <v>1.75</v>
          </cell>
          <cell r="I2776" t="str">
            <v>Buy</v>
          </cell>
        </row>
        <row r="2777">
          <cell r="A2777" t="str">
            <v>ASY-100017-03</v>
          </cell>
          <cell r="B2777">
            <v>1</v>
          </cell>
          <cell r="C2777" t="str">
            <v>GSK-000121-01</v>
          </cell>
          <cell r="D2777" t="str">
            <v>GASKET, DRIVER ENCLOSURE, 3M, 1 FT, TROV 2.0</v>
          </cell>
          <cell r="E2777" t="str">
            <v>B</v>
          </cell>
          <cell r="F2777" t="str">
            <v>Gasket</v>
          </cell>
          <cell r="G2777">
            <v>1</v>
          </cell>
          <cell r="H2777">
            <v>1.7</v>
          </cell>
          <cell r="I2777" t="str">
            <v>Buy</v>
          </cell>
        </row>
        <row r="2778">
          <cell r="A2778" t="str">
            <v>ASY-100017-03</v>
          </cell>
          <cell r="B2778">
            <v>1</v>
          </cell>
          <cell r="C2778" t="str">
            <v>HSG-000491-03</v>
          </cell>
          <cell r="D2778" t="str">
            <v>HOUSING, TOP, 1 FT, L45, BLACK, TROV 2.0</v>
          </cell>
          <cell r="E2778" t="str">
            <v>E</v>
          </cell>
          <cell r="F2778" t="str">
            <v>Housing</v>
          </cell>
          <cell r="G2778">
            <v>1</v>
          </cell>
          <cell r="H2778">
            <v>4.3499999999999996</v>
          </cell>
          <cell r="I2778" t="str">
            <v>Buy</v>
          </cell>
        </row>
        <row r="2779">
          <cell r="A2779" t="str">
            <v>ASY-100017-03</v>
          </cell>
          <cell r="B2779">
            <v>1</v>
          </cell>
          <cell r="C2779" t="str">
            <v>HSG-000492-03</v>
          </cell>
          <cell r="D2779" t="str">
            <v>HOUSING, BOTTOM, 1 FT, BLACK, TROV 2.0</v>
          </cell>
          <cell r="E2779" t="str">
            <v>F</v>
          </cell>
          <cell r="F2779" t="str">
            <v>Housing</v>
          </cell>
          <cell r="G2779">
            <v>1</v>
          </cell>
          <cell r="H2779">
            <v>3.22</v>
          </cell>
          <cell r="I2779" t="str">
            <v>Buy</v>
          </cell>
        </row>
        <row r="2780">
          <cell r="A2780" t="str">
            <v>ASY-100017-03</v>
          </cell>
          <cell r="B2780">
            <v>1</v>
          </cell>
          <cell r="C2780" t="str">
            <v>LBA-000003-00</v>
          </cell>
          <cell r="D2780" t="str">
            <v>Label: TROV 2 P1/P2, Model L45/L60</v>
          </cell>
          <cell r="E2780" t="str">
            <v>A</v>
          </cell>
          <cell r="F2780" t="str">
            <v>Label BOM</v>
          </cell>
          <cell r="G2780">
            <v>1</v>
          </cell>
          <cell r="H2780">
            <v>0</v>
          </cell>
          <cell r="I2780" t="str">
            <v>Make</v>
          </cell>
        </row>
        <row r="2781">
          <cell r="A2781" t="str">
            <v>ASY-100017-03</v>
          </cell>
          <cell r="B2781">
            <v>2</v>
          </cell>
          <cell r="C2781" t="str">
            <v>LBL-000243-00</v>
          </cell>
          <cell r="D2781" t="str">
            <v>Blank Product Label: Trov 2 P1/P2, Model L45/L60</v>
          </cell>
          <cell r="E2781" t="str">
            <v>A</v>
          </cell>
          <cell r="F2781" t="str">
            <v>Label</v>
          </cell>
          <cell r="G2781">
            <v>1</v>
          </cell>
          <cell r="H2781">
            <v>0.33</v>
          </cell>
          <cell r="I2781" t="str">
            <v>Buy</v>
          </cell>
        </row>
        <row r="2782">
          <cell r="A2782" t="str">
            <v>ASY-100017-03</v>
          </cell>
          <cell r="B2782">
            <v>1</v>
          </cell>
          <cell r="C2782" t="str">
            <v>PLG-000009-01</v>
          </cell>
          <cell r="D2782" t="str">
            <v>Porex Vent, Trov, L50 Exterior</v>
          </cell>
          <cell r="E2782" t="str">
            <v>B</v>
          </cell>
          <cell r="F2782" t="str">
            <v>Plug</v>
          </cell>
          <cell r="G2782">
            <v>1</v>
          </cell>
          <cell r="H2782">
            <v>0.17</v>
          </cell>
          <cell r="I2782" t="str">
            <v>Buy</v>
          </cell>
        </row>
        <row r="2783">
          <cell r="A2783" t="str">
            <v>ASY-100017-03</v>
          </cell>
          <cell r="B2783">
            <v>1</v>
          </cell>
          <cell r="C2783" t="str">
            <v>SCW-000156-00</v>
          </cell>
          <cell r="D2783" t="str">
            <v>SCREW, M3 x 0.5 X 8mm, PAND HEAD, PHILLIPS, STEEL</v>
          </cell>
          <cell r="E2783" t="str">
            <v>B</v>
          </cell>
          <cell r="F2783" t="str">
            <v>Screw</v>
          </cell>
          <cell r="G2783">
            <v>2</v>
          </cell>
          <cell r="H2783">
            <v>4.4400000000000002E-2</v>
          </cell>
          <cell r="I2783" t="str">
            <v>Buy</v>
          </cell>
        </row>
        <row r="2784">
          <cell r="A2784" t="str">
            <v>ASY-100017-03</v>
          </cell>
          <cell r="B2784">
            <v>1</v>
          </cell>
          <cell r="C2784" t="str">
            <v>SCW-000483-00</v>
          </cell>
          <cell r="D2784" t="str">
            <v>SCREW, PHILIPS FLAT HEAD, M2.5x0.45x5 , 18-8 SST</v>
          </cell>
          <cell r="E2784" t="str">
            <v>A</v>
          </cell>
          <cell r="F2784" t="str">
            <v>Screw</v>
          </cell>
          <cell r="G2784">
            <v>4</v>
          </cell>
          <cell r="H2784">
            <v>0.02</v>
          </cell>
          <cell r="I2784" t="str">
            <v>Buy</v>
          </cell>
        </row>
        <row r="2785">
          <cell r="A2785" t="str">
            <v>ASY-100017-03</v>
          </cell>
          <cell r="B2785">
            <v>1</v>
          </cell>
          <cell r="C2785" t="str">
            <v>SCW-000556-00</v>
          </cell>
          <cell r="D2785" t="str">
            <v>SCREW, HEX, SERRATED, #8-32, GROUNDING, TROV 2</v>
          </cell>
          <cell r="E2785" t="str">
            <v>A</v>
          </cell>
          <cell r="F2785" t="str">
            <v>Screw</v>
          </cell>
          <cell r="G2785">
            <v>1</v>
          </cell>
          <cell r="H2785">
            <v>0.04</v>
          </cell>
          <cell r="I2785" t="str">
            <v>Buy</v>
          </cell>
        </row>
        <row r="2786">
          <cell r="A2786" t="str">
            <v>ASY-100017-03</v>
          </cell>
          <cell r="B2786">
            <v>1</v>
          </cell>
          <cell r="C2786" t="str">
            <v>SCW-000574-00</v>
          </cell>
          <cell r="D2786" t="str">
            <v>SCREW, TORX HEAD, 1/4-28x1/2", LOW PROFILE, ALLOY STEEL</v>
          </cell>
          <cell r="E2786" t="str">
            <v>A</v>
          </cell>
          <cell r="F2786" t="str">
            <v>Screw</v>
          </cell>
          <cell r="G2786">
            <v>2</v>
          </cell>
          <cell r="H2786">
            <v>0.14000000000000001</v>
          </cell>
          <cell r="I2786" t="str">
            <v>Buy</v>
          </cell>
        </row>
        <row r="2787">
          <cell r="A2787" t="str">
            <v>ASY-100017-03</v>
          </cell>
          <cell r="B2787">
            <v>1</v>
          </cell>
          <cell r="C2787" t="str">
            <v>SHT-000042-00</v>
          </cell>
          <cell r="D2787" t="str">
            <v>INSULATION SHEET, MP/LP HBA, TROV 2</v>
          </cell>
          <cell r="E2787" t="str">
            <v>D</v>
          </cell>
          <cell r="F2787" t="str">
            <v>Sheet</v>
          </cell>
          <cell r="G2787">
            <v>1</v>
          </cell>
          <cell r="H2787">
            <v>0.16</v>
          </cell>
          <cell r="I2787" t="str">
            <v>Buy</v>
          </cell>
        </row>
        <row r="2788">
          <cell r="A2788" t="str">
            <v>ASY-100017-03</v>
          </cell>
          <cell r="B2788">
            <v>1</v>
          </cell>
          <cell r="C2788" t="str">
            <v>SPG-000023-00</v>
          </cell>
          <cell r="D2788" t="str">
            <v>SPRING, DISC, STACKED WAVE, TROV 2.0</v>
          </cell>
          <cell r="E2788" t="str">
            <v>A</v>
          </cell>
          <cell r="F2788" t="str">
            <v>Spring</v>
          </cell>
          <cell r="G2788">
            <v>2</v>
          </cell>
          <cell r="H2788">
            <v>1.74</v>
          </cell>
          <cell r="I2788" t="str">
            <v>Buy</v>
          </cell>
        </row>
        <row r="2789">
          <cell r="A2789" t="str">
            <v>ASY-100017-03</v>
          </cell>
          <cell r="B2789">
            <v>1</v>
          </cell>
          <cell r="C2789" t="str">
            <v>TAP-000031-00</v>
          </cell>
          <cell r="D2789" t="str">
            <v>3M Electrical Tape 92</v>
          </cell>
          <cell r="E2789" t="str">
            <v>A</v>
          </cell>
          <cell r="F2789" t="str">
            <v>Tape</v>
          </cell>
          <cell r="G2789">
            <v>120</v>
          </cell>
          <cell r="H2789">
            <v>1.4E-2</v>
          </cell>
          <cell r="I2789" t="str">
            <v>Buy</v>
          </cell>
        </row>
        <row r="2790">
          <cell r="A2790" t="str">
            <v>ASY-100017-03</v>
          </cell>
          <cell r="B2790">
            <v>1</v>
          </cell>
          <cell r="C2790" t="str">
            <v>TMP-000027-00</v>
          </cell>
          <cell r="D2790" t="str">
            <v>Thermal Pad, LED PCBA, 1 FT, TROV 2</v>
          </cell>
          <cell r="E2790" t="str">
            <v>B</v>
          </cell>
          <cell r="F2790" t="str">
            <v>Thermal Pad</v>
          </cell>
          <cell r="G2790">
            <v>1</v>
          </cell>
          <cell r="H2790">
            <v>0.72</v>
          </cell>
          <cell r="I2790" t="str">
            <v>Buy</v>
          </cell>
        </row>
        <row r="2791">
          <cell r="A2791" t="str">
            <v>ASY-100017-03</v>
          </cell>
          <cell r="B2791">
            <v>1</v>
          </cell>
          <cell r="C2791" t="str">
            <v>TMP-000029-00</v>
          </cell>
          <cell r="D2791" t="str">
            <v>Thermal Pad, HBA, TROV 2</v>
          </cell>
          <cell r="E2791" t="str">
            <v>B</v>
          </cell>
          <cell r="F2791" t="str">
            <v>Thermal Pad</v>
          </cell>
          <cell r="G2791">
            <v>2</v>
          </cell>
          <cell r="H2791">
            <v>0.14000000000000001</v>
          </cell>
          <cell r="I2791" t="str">
            <v>Buy</v>
          </cell>
        </row>
        <row r="2792">
          <cell r="A2792" t="str">
            <v>ASY-100017-03</v>
          </cell>
          <cell r="B2792">
            <v>1</v>
          </cell>
          <cell r="C2792" t="str">
            <v>TMP-000032-00</v>
          </cell>
          <cell r="D2792" t="str">
            <v>Thermal Pad, HBA, TROV 2</v>
          </cell>
          <cell r="E2792" t="str">
            <v>A</v>
          </cell>
          <cell r="F2792" t="str">
            <v>Thermal Pad</v>
          </cell>
          <cell r="G2792">
            <v>1</v>
          </cell>
          <cell r="H2792">
            <v>0.03</v>
          </cell>
          <cell r="I2792" t="str">
            <v>Buy</v>
          </cell>
        </row>
        <row r="2793">
          <cell r="A2793" t="str">
            <v>ASY-100017-04</v>
          </cell>
          <cell r="B2793">
            <v>0</v>
          </cell>
          <cell r="C2793" t="str">
            <v>ASY-100017-04</v>
          </cell>
          <cell r="D2793" t="str">
            <v>ASSY, MECHANICAL, L45, OUTDOOR, 1 FT, TROV2P2, DYNAMIC, WHITE</v>
          </cell>
          <cell r="E2793" t="str">
            <v>A</v>
          </cell>
          <cell r="F2793" t="str">
            <v>Sub assembly</v>
          </cell>
          <cell r="H2793">
            <v>0</v>
          </cell>
          <cell r="I2793" t="str">
            <v>Make</v>
          </cell>
        </row>
        <row r="2794">
          <cell r="A2794" t="str">
            <v>ASY-100017-04</v>
          </cell>
          <cell r="B2794">
            <v>1</v>
          </cell>
          <cell r="C2794" t="str">
            <v>ACB-000275-00</v>
          </cell>
          <cell r="D2794" t="str">
            <v>CABLE, CANBUS, SHORT, TROV 2</v>
          </cell>
          <cell r="E2794" t="str">
            <v>A</v>
          </cell>
          <cell r="F2794" t="str">
            <v>Cable</v>
          </cell>
          <cell r="G2794">
            <v>1</v>
          </cell>
          <cell r="H2794">
            <v>0.7</v>
          </cell>
          <cell r="I2794" t="str">
            <v>Buy</v>
          </cell>
        </row>
        <row r="2795">
          <cell r="A2795" t="str">
            <v>ASY-100017-04</v>
          </cell>
          <cell r="B2795">
            <v>1</v>
          </cell>
          <cell r="C2795" t="str">
            <v>ASY-100009-00</v>
          </cell>
          <cell r="D2795" t="str">
            <v>Cable Subassembly, Driver housing, 1ft, Trov 2</v>
          </cell>
          <cell r="E2795" t="str">
            <v>B</v>
          </cell>
          <cell r="F2795" t="str">
            <v>Sub assembly</v>
          </cell>
          <cell r="G2795">
            <v>1</v>
          </cell>
          <cell r="H2795">
            <v>0</v>
          </cell>
          <cell r="I2795" t="str">
            <v>Make</v>
          </cell>
        </row>
        <row r="2796">
          <cell r="A2796" t="str">
            <v>ASY-100017-04</v>
          </cell>
          <cell r="B2796">
            <v>2</v>
          </cell>
          <cell r="C2796" t="str">
            <v>ACB-000278-00</v>
          </cell>
          <cell r="D2796" t="str">
            <v>CABLE ASSY, INTRA-FIXTURE, 1FT, TROV 2.0</v>
          </cell>
          <cell r="E2796" t="str">
            <v>A</v>
          </cell>
          <cell r="F2796" t="str">
            <v>Cable Assembly</v>
          </cell>
          <cell r="G2796">
            <v>1</v>
          </cell>
          <cell r="H2796">
            <v>12.75</v>
          </cell>
          <cell r="I2796" t="str">
            <v>Buy</v>
          </cell>
        </row>
        <row r="2797">
          <cell r="A2797" t="str">
            <v>ASY-100017-04</v>
          </cell>
          <cell r="B2797">
            <v>3</v>
          </cell>
          <cell r="C2797" t="str">
            <v>ACB-000273-00</v>
          </cell>
          <cell r="D2797" t="str">
            <v>6 CONDUCTOR CABLE, 3X22AWG, 3X16AWG, AL MYLAR, TROV 2</v>
          </cell>
          <cell r="E2797" t="str">
            <v>A</v>
          </cell>
          <cell r="F2797" t="str">
            <v>Cable</v>
          </cell>
          <cell r="G2797">
            <v>1</v>
          </cell>
          <cell r="H2797">
            <v>0</v>
          </cell>
          <cell r="I2797" t="str">
            <v>N/A</v>
          </cell>
        </row>
        <row r="2798">
          <cell r="A2798" t="str">
            <v>ASY-100017-04</v>
          </cell>
          <cell r="B2798">
            <v>3</v>
          </cell>
          <cell r="C2798" t="str">
            <v>ACB-000274-01</v>
          </cell>
          <cell r="D2798" t="str">
            <v>CABLE ASSEMBLY, INTERNAL, DRIVER SIDE, 1FT, TROV 2</v>
          </cell>
          <cell r="E2798" t="str">
            <v>A</v>
          </cell>
          <cell r="F2798" t="str">
            <v>Cable Assembly</v>
          </cell>
          <cell r="G2798">
            <v>1</v>
          </cell>
          <cell r="H2798">
            <v>0</v>
          </cell>
          <cell r="I2798" t="str">
            <v>N/A</v>
          </cell>
        </row>
        <row r="2799">
          <cell r="A2799" t="str">
            <v>ASY-100017-04</v>
          </cell>
          <cell r="B2799">
            <v>3</v>
          </cell>
          <cell r="C2799" t="str">
            <v>CON-000259-00</v>
          </cell>
          <cell r="D2799" t="str">
            <v>CONNECTOR, MALE, 6 PIN, TROV 2</v>
          </cell>
          <cell r="E2799" t="str">
            <v>B</v>
          </cell>
          <cell r="F2799" t="str">
            <v>Connector</v>
          </cell>
          <cell r="G2799">
            <v>1</v>
          </cell>
          <cell r="H2799">
            <v>0</v>
          </cell>
          <cell r="I2799" t="str">
            <v>N/A</v>
          </cell>
        </row>
        <row r="2800">
          <cell r="A2800" t="str">
            <v>ASY-100017-04</v>
          </cell>
          <cell r="B2800">
            <v>3</v>
          </cell>
          <cell r="C2800" t="str">
            <v>CON-000260-00</v>
          </cell>
          <cell r="D2800" t="str">
            <v>CONNECTOR, FEMALE, 6 PIN, TROV 2</v>
          </cell>
          <cell r="E2800" t="str">
            <v>A</v>
          </cell>
          <cell r="F2800" t="str">
            <v>Connector</v>
          </cell>
          <cell r="G2800">
            <v>1</v>
          </cell>
          <cell r="H2800">
            <v>0</v>
          </cell>
          <cell r="I2800" t="str">
            <v>N/A</v>
          </cell>
        </row>
        <row r="2801">
          <cell r="A2801" t="str">
            <v>ASY-100017-04</v>
          </cell>
          <cell r="B2801">
            <v>3</v>
          </cell>
          <cell r="C2801" t="str">
            <v>ORG-000060-00</v>
          </cell>
          <cell r="D2801" t="str">
            <v>O-RING, CABLE, TROV 2</v>
          </cell>
          <cell r="E2801" t="str">
            <v>A</v>
          </cell>
          <cell r="F2801" t="str">
            <v>O-Ring</v>
          </cell>
          <cell r="G2801">
            <v>1</v>
          </cell>
          <cell r="H2801">
            <v>0</v>
          </cell>
          <cell r="I2801" t="str">
            <v>N/A</v>
          </cell>
        </row>
        <row r="2802">
          <cell r="A2802" t="str">
            <v>ASY-100017-04</v>
          </cell>
          <cell r="B2802">
            <v>3</v>
          </cell>
          <cell r="C2802" t="str">
            <v>SRF-000030-00</v>
          </cell>
          <cell r="D2802" t="str">
            <v>STRAIN RELIEF, CABLE, TROV 2</v>
          </cell>
          <cell r="E2802" t="str">
            <v>A</v>
          </cell>
          <cell r="F2802" t="str">
            <v>Strain Relief</v>
          </cell>
          <cell r="G2802">
            <v>1</v>
          </cell>
          <cell r="H2802">
            <v>0</v>
          </cell>
          <cell r="I2802" t="str">
            <v>N/A</v>
          </cell>
        </row>
        <row r="2803">
          <cell r="A2803" t="str">
            <v>ASY-100017-04</v>
          </cell>
          <cell r="B2803">
            <v>2</v>
          </cell>
          <cell r="C2803" t="str">
            <v>HSG-000488-01</v>
          </cell>
          <cell r="D2803" t="str">
            <v>HOUSING, PSU, 1 FT, MOLDED HOLE, TROV 2.0</v>
          </cell>
          <cell r="E2803" t="str">
            <v>B</v>
          </cell>
          <cell r="F2803" t="str">
            <v>Housing</v>
          </cell>
          <cell r="G2803">
            <v>1</v>
          </cell>
          <cell r="H2803">
            <v>1.17</v>
          </cell>
          <cell r="I2803" t="str">
            <v>Buy</v>
          </cell>
        </row>
        <row r="2804">
          <cell r="A2804" t="str">
            <v>ASY-100017-04</v>
          </cell>
          <cell r="B2804">
            <v>2</v>
          </cell>
          <cell r="C2804" t="str">
            <v>SCW-000577-00</v>
          </cell>
          <cell r="D2804" t="str">
            <v>SCREW, TORX HEAD, LOW PROFILE, M3X8mm, ALLOY STEEL</v>
          </cell>
          <cell r="E2804" t="str">
            <v>A</v>
          </cell>
          <cell r="F2804" t="str">
            <v>Screw</v>
          </cell>
          <cell r="G2804">
            <v>2</v>
          </cell>
          <cell r="H2804">
            <v>0.03</v>
          </cell>
          <cell r="I2804" t="str">
            <v>Buy</v>
          </cell>
        </row>
        <row r="2805">
          <cell r="A2805" t="str">
            <v>ASY-100017-04</v>
          </cell>
          <cell r="B2805">
            <v>1</v>
          </cell>
          <cell r="C2805" t="str">
            <v>BAS-000020-00</v>
          </cell>
          <cell r="D2805" t="str">
            <v>BASE, 1FT, TROV 2.0</v>
          </cell>
          <cell r="E2805" t="str">
            <v>E</v>
          </cell>
          <cell r="F2805" t="str">
            <v>Base</v>
          </cell>
          <cell r="G2805">
            <v>1</v>
          </cell>
          <cell r="H2805">
            <v>5.8</v>
          </cell>
          <cell r="I2805" t="str">
            <v>Buy</v>
          </cell>
        </row>
        <row r="2806">
          <cell r="A2806" t="str">
            <v>ASY-100017-04</v>
          </cell>
          <cell r="B2806">
            <v>1</v>
          </cell>
          <cell r="C2806" t="str">
            <v>BKT-000457-03</v>
          </cell>
          <cell r="D2806" t="str">
            <v>BRACKET, MOUNT, LEFT, BLACK, TROV 2.0</v>
          </cell>
          <cell r="E2806" t="str">
            <v>C</v>
          </cell>
          <cell r="F2806" t="str">
            <v>Bracket</v>
          </cell>
          <cell r="G2806">
            <v>1</v>
          </cell>
          <cell r="H2806">
            <v>0.99</v>
          </cell>
          <cell r="I2806" t="str">
            <v>Buy</v>
          </cell>
        </row>
        <row r="2807">
          <cell r="A2807" t="str">
            <v>ASY-100017-04</v>
          </cell>
          <cell r="B2807">
            <v>1</v>
          </cell>
          <cell r="C2807" t="str">
            <v>BKT-000458-03</v>
          </cell>
          <cell r="D2807" t="str">
            <v>BRACKET, MOUNT, RIGHT, BLACK, TROV 2.0</v>
          </cell>
          <cell r="E2807" t="str">
            <v>C</v>
          </cell>
          <cell r="F2807" t="str">
            <v>Bracket</v>
          </cell>
          <cell r="G2807">
            <v>1</v>
          </cell>
          <cell r="H2807">
            <v>0.99</v>
          </cell>
          <cell r="I2807" t="str">
            <v>Buy</v>
          </cell>
        </row>
        <row r="2808">
          <cell r="A2808" t="str">
            <v>ASY-100017-04</v>
          </cell>
          <cell r="B2808">
            <v>1</v>
          </cell>
          <cell r="C2808" t="str">
            <v>CVR-000791-04</v>
          </cell>
          <cell r="D2808" t="str">
            <v>END COVER, FC, WHITE, L45, TROV 2.0</v>
          </cell>
          <cell r="E2808" t="str">
            <v>D</v>
          </cell>
          <cell r="F2808" t="str">
            <v>Cover</v>
          </cell>
          <cell r="G2808">
            <v>1</v>
          </cell>
          <cell r="H2808">
            <v>1.07</v>
          </cell>
          <cell r="I2808" t="str">
            <v>Buy</v>
          </cell>
        </row>
        <row r="2809">
          <cell r="A2809" t="str">
            <v>ASY-100017-04</v>
          </cell>
          <cell r="B2809">
            <v>1</v>
          </cell>
          <cell r="C2809" t="str">
            <v>CVR-000894-04</v>
          </cell>
          <cell r="D2809" t="str">
            <v>END COVER, MC, WHITE, L45, TROV 2.0</v>
          </cell>
          <cell r="E2809" t="str">
            <v>B</v>
          </cell>
          <cell r="F2809" t="str">
            <v>Cover</v>
          </cell>
          <cell r="G2809">
            <v>1</v>
          </cell>
          <cell r="H2809">
            <v>1.07</v>
          </cell>
          <cell r="I2809" t="str">
            <v>Buy</v>
          </cell>
        </row>
        <row r="2810">
          <cell r="A2810" t="str">
            <v>ASY-100017-04</v>
          </cell>
          <cell r="B2810">
            <v>1</v>
          </cell>
          <cell r="C2810" t="str">
            <v>FOM-000029-00</v>
          </cell>
          <cell r="D2810" t="str">
            <v>FOAM, LIGHTBLOCK, ENDCAP, L45, TROV2</v>
          </cell>
          <cell r="E2810" t="str">
            <v>A</v>
          </cell>
          <cell r="F2810" t="str">
            <v>Foam</v>
          </cell>
          <cell r="G2810">
            <v>2</v>
          </cell>
          <cell r="H2810">
            <v>0.02</v>
          </cell>
          <cell r="I2810" t="str">
            <v>Buy</v>
          </cell>
        </row>
        <row r="2811">
          <cell r="A2811" t="str">
            <v>ASY-100017-04</v>
          </cell>
          <cell r="B2811">
            <v>1</v>
          </cell>
          <cell r="C2811" t="str">
            <v>GSK-000112-01</v>
          </cell>
          <cell r="D2811" t="str">
            <v>GASKET, TERTIARY LENS, 3M, 1 FT, L45, TROV 2.0</v>
          </cell>
          <cell r="E2811" t="str">
            <v>D</v>
          </cell>
          <cell r="F2811" t="str">
            <v>Gasket</v>
          </cell>
          <cell r="G2811">
            <v>1</v>
          </cell>
          <cell r="H2811">
            <v>1.75</v>
          </cell>
          <cell r="I2811" t="str">
            <v>Buy</v>
          </cell>
        </row>
        <row r="2812">
          <cell r="A2812" t="str">
            <v>ASY-100017-04</v>
          </cell>
          <cell r="B2812">
            <v>1</v>
          </cell>
          <cell r="C2812" t="str">
            <v>GSK-000121-01</v>
          </cell>
          <cell r="D2812" t="str">
            <v>GASKET, DRIVER ENCLOSURE, 3M, 1 FT, TROV 2.0</v>
          </cell>
          <cell r="E2812" t="str">
            <v>B</v>
          </cell>
          <cell r="F2812" t="str">
            <v>Gasket</v>
          </cell>
          <cell r="G2812">
            <v>1</v>
          </cell>
          <cell r="H2812">
            <v>1.7</v>
          </cell>
          <cell r="I2812" t="str">
            <v>Buy</v>
          </cell>
        </row>
        <row r="2813">
          <cell r="A2813" t="str">
            <v>ASY-100017-04</v>
          </cell>
          <cell r="B2813">
            <v>1</v>
          </cell>
          <cell r="C2813" t="str">
            <v>HSG-000491-04</v>
          </cell>
          <cell r="D2813" t="str">
            <v>HOUSING, TOP, 1 FT, L45, WHITE, TROV 2.0</v>
          </cell>
          <cell r="E2813" t="str">
            <v>E</v>
          </cell>
          <cell r="F2813" t="str">
            <v>Housing</v>
          </cell>
          <cell r="G2813">
            <v>1</v>
          </cell>
          <cell r="H2813">
            <v>4.2</v>
          </cell>
          <cell r="I2813" t="str">
            <v>Buy</v>
          </cell>
        </row>
        <row r="2814">
          <cell r="A2814" t="str">
            <v>ASY-100017-04</v>
          </cell>
          <cell r="B2814">
            <v>1</v>
          </cell>
          <cell r="C2814" t="str">
            <v>HSG-000492-04</v>
          </cell>
          <cell r="D2814" t="str">
            <v>HOUSING, BOTTOM, 1 FT, WHITE, TROV 2.0</v>
          </cell>
          <cell r="E2814" t="str">
            <v>F</v>
          </cell>
          <cell r="F2814" t="str">
            <v>Housing</v>
          </cell>
          <cell r="G2814">
            <v>1</v>
          </cell>
          <cell r="H2814">
            <v>3.34</v>
          </cell>
          <cell r="I2814" t="str">
            <v>Buy</v>
          </cell>
        </row>
        <row r="2815">
          <cell r="A2815" t="str">
            <v>ASY-100017-04</v>
          </cell>
          <cell r="B2815">
            <v>1</v>
          </cell>
          <cell r="C2815" t="str">
            <v>LBA-000003-00</v>
          </cell>
          <cell r="D2815" t="str">
            <v>Label: TROV 2 P1/P2, Model L45/L60</v>
          </cell>
          <cell r="E2815" t="str">
            <v>A</v>
          </cell>
          <cell r="F2815" t="str">
            <v>Label BOM</v>
          </cell>
          <cell r="G2815">
            <v>1</v>
          </cell>
          <cell r="H2815">
            <v>0</v>
          </cell>
          <cell r="I2815" t="str">
            <v>Make</v>
          </cell>
        </row>
        <row r="2816">
          <cell r="A2816" t="str">
            <v>ASY-100017-04</v>
          </cell>
          <cell r="B2816">
            <v>2</v>
          </cell>
          <cell r="C2816" t="str">
            <v>LBL-000243-00</v>
          </cell>
          <cell r="D2816" t="str">
            <v>Blank Product Label: Trov 2 P1/P2, Model L45/L60</v>
          </cell>
          <cell r="E2816" t="str">
            <v>A</v>
          </cell>
          <cell r="F2816" t="str">
            <v>Label</v>
          </cell>
          <cell r="G2816">
            <v>1</v>
          </cell>
          <cell r="H2816">
            <v>0.33</v>
          </cell>
          <cell r="I2816" t="str">
            <v>Buy</v>
          </cell>
        </row>
        <row r="2817">
          <cell r="A2817" t="str">
            <v>ASY-100017-04</v>
          </cell>
          <cell r="B2817">
            <v>1</v>
          </cell>
          <cell r="C2817" t="str">
            <v>PLG-000009-01</v>
          </cell>
          <cell r="D2817" t="str">
            <v>Porex Vent, Trov, L50 Exterior</v>
          </cell>
          <cell r="E2817" t="str">
            <v>B</v>
          </cell>
          <cell r="F2817" t="str">
            <v>Plug</v>
          </cell>
          <cell r="G2817">
            <v>1</v>
          </cell>
          <cell r="H2817">
            <v>0.17</v>
          </cell>
          <cell r="I2817" t="str">
            <v>Buy</v>
          </cell>
        </row>
        <row r="2818">
          <cell r="A2818" t="str">
            <v>ASY-100017-04</v>
          </cell>
          <cell r="B2818">
            <v>1</v>
          </cell>
          <cell r="C2818" t="str">
            <v>SCW-000156-00</v>
          </cell>
          <cell r="D2818" t="str">
            <v>SCREW, M3 x 0.5 X 8mm, PAND HEAD, PHILLIPS, STEEL</v>
          </cell>
          <cell r="E2818" t="str">
            <v>B</v>
          </cell>
          <cell r="F2818" t="str">
            <v>Screw</v>
          </cell>
          <cell r="G2818">
            <v>2</v>
          </cell>
          <cell r="H2818">
            <v>4.4400000000000002E-2</v>
          </cell>
          <cell r="I2818" t="str">
            <v>Buy</v>
          </cell>
        </row>
        <row r="2819">
          <cell r="A2819" t="str">
            <v>ASY-100017-04</v>
          </cell>
          <cell r="B2819">
            <v>1</v>
          </cell>
          <cell r="C2819" t="str">
            <v>SCW-000483-00</v>
          </cell>
          <cell r="D2819" t="str">
            <v>SCREW, PHILIPS FLAT HEAD, M2.5x0.45x5 , 18-8 SST</v>
          </cell>
          <cell r="E2819" t="str">
            <v>A</v>
          </cell>
          <cell r="F2819" t="str">
            <v>Screw</v>
          </cell>
          <cell r="G2819">
            <v>4</v>
          </cell>
          <cell r="H2819">
            <v>0.02</v>
          </cell>
          <cell r="I2819" t="str">
            <v>Buy</v>
          </cell>
        </row>
        <row r="2820">
          <cell r="A2820" t="str">
            <v>ASY-100017-04</v>
          </cell>
          <cell r="B2820">
            <v>1</v>
          </cell>
          <cell r="C2820" t="str">
            <v>SCW-000556-00</v>
          </cell>
          <cell r="D2820" t="str">
            <v>SCREW, HEX, SERRATED, #8-32, GROUNDING, TROV 2</v>
          </cell>
          <cell r="E2820" t="str">
            <v>A</v>
          </cell>
          <cell r="F2820" t="str">
            <v>Screw</v>
          </cell>
          <cell r="G2820">
            <v>1</v>
          </cell>
          <cell r="H2820">
            <v>0.04</v>
          </cell>
          <cell r="I2820" t="str">
            <v>Buy</v>
          </cell>
        </row>
        <row r="2821">
          <cell r="A2821" t="str">
            <v>ASY-100017-04</v>
          </cell>
          <cell r="B2821">
            <v>1</v>
          </cell>
          <cell r="C2821" t="str">
            <v>SCW-000574-00</v>
          </cell>
          <cell r="D2821" t="str">
            <v>SCREW, TORX HEAD, 1/4-28x1/2", LOW PROFILE, ALLOY STEEL</v>
          </cell>
          <cell r="E2821" t="str">
            <v>A</v>
          </cell>
          <cell r="F2821" t="str">
            <v>Screw</v>
          </cell>
          <cell r="G2821">
            <v>2</v>
          </cell>
          <cell r="H2821">
            <v>0.14000000000000001</v>
          </cell>
          <cell r="I2821" t="str">
            <v>Buy</v>
          </cell>
        </row>
        <row r="2822">
          <cell r="A2822" t="str">
            <v>ASY-100017-04</v>
          </cell>
          <cell r="B2822">
            <v>1</v>
          </cell>
          <cell r="C2822" t="str">
            <v>SHT-000042-00</v>
          </cell>
          <cell r="D2822" t="str">
            <v>INSULATION SHEET, MP/LP HBA, TROV 2</v>
          </cell>
          <cell r="E2822" t="str">
            <v>D</v>
          </cell>
          <cell r="F2822" t="str">
            <v>Sheet</v>
          </cell>
          <cell r="G2822">
            <v>1</v>
          </cell>
          <cell r="H2822">
            <v>0.16</v>
          </cell>
          <cell r="I2822" t="str">
            <v>Buy</v>
          </cell>
        </row>
        <row r="2823">
          <cell r="A2823" t="str">
            <v>ASY-100017-04</v>
          </cell>
          <cell r="B2823">
            <v>1</v>
          </cell>
          <cell r="C2823" t="str">
            <v>SPG-000023-00</v>
          </cell>
          <cell r="D2823" t="str">
            <v>SPRING, DISC, STACKED WAVE, TROV 2.0</v>
          </cell>
          <cell r="E2823" t="str">
            <v>A</v>
          </cell>
          <cell r="F2823" t="str">
            <v>Spring</v>
          </cell>
          <cell r="G2823">
            <v>2</v>
          </cell>
          <cell r="H2823">
            <v>1.74</v>
          </cell>
          <cell r="I2823" t="str">
            <v>Buy</v>
          </cell>
        </row>
        <row r="2824">
          <cell r="A2824" t="str">
            <v>ASY-100017-04</v>
          </cell>
          <cell r="B2824">
            <v>1</v>
          </cell>
          <cell r="C2824" t="str">
            <v>TAP-000031-00</v>
          </cell>
          <cell r="D2824" t="str">
            <v>3M Electrical Tape 92</v>
          </cell>
          <cell r="E2824" t="str">
            <v>A</v>
          </cell>
          <cell r="F2824" t="str">
            <v>Tape</v>
          </cell>
          <cell r="G2824">
            <v>120</v>
          </cell>
          <cell r="H2824">
            <v>1.4E-2</v>
          </cell>
          <cell r="I2824" t="str">
            <v>Buy</v>
          </cell>
        </row>
        <row r="2825">
          <cell r="A2825" t="str">
            <v>ASY-100017-04</v>
          </cell>
          <cell r="B2825">
            <v>1</v>
          </cell>
          <cell r="C2825" t="str">
            <v>TMP-000027-00</v>
          </cell>
          <cell r="D2825" t="str">
            <v>Thermal Pad, LED PCBA, 1 FT, TROV 2</v>
          </cell>
          <cell r="E2825" t="str">
            <v>B</v>
          </cell>
          <cell r="F2825" t="str">
            <v>Thermal Pad</v>
          </cell>
          <cell r="G2825">
            <v>1</v>
          </cell>
          <cell r="H2825">
            <v>0.72</v>
          </cell>
          <cell r="I2825" t="str">
            <v>Buy</v>
          </cell>
        </row>
        <row r="2826">
          <cell r="A2826" t="str">
            <v>ASY-100017-04</v>
          </cell>
          <cell r="B2826">
            <v>1</v>
          </cell>
          <cell r="C2826" t="str">
            <v>TMP-000029-00</v>
          </cell>
          <cell r="D2826" t="str">
            <v>Thermal Pad, HBA, TROV 2</v>
          </cell>
          <cell r="E2826" t="str">
            <v>B</v>
          </cell>
          <cell r="F2826" t="str">
            <v>Thermal Pad</v>
          </cell>
          <cell r="G2826">
            <v>2</v>
          </cell>
          <cell r="H2826">
            <v>0.14000000000000001</v>
          </cell>
          <cell r="I2826" t="str">
            <v>Buy</v>
          </cell>
        </row>
        <row r="2827">
          <cell r="A2827" t="str">
            <v>ASY-100017-04</v>
          </cell>
          <cell r="B2827">
            <v>1</v>
          </cell>
          <cell r="C2827" t="str">
            <v>TMP-000032-00</v>
          </cell>
          <cell r="D2827" t="str">
            <v>Thermal Pad, HBA, TROV 2</v>
          </cell>
          <cell r="E2827" t="str">
            <v>A</v>
          </cell>
          <cell r="F2827" t="str">
            <v>Thermal Pad</v>
          </cell>
          <cell r="G2827">
            <v>1</v>
          </cell>
          <cell r="H2827">
            <v>0.03</v>
          </cell>
          <cell r="I2827" t="str">
            <v>Buy</v>
          </cell>
        </row>
        <row r="2828">
          <cell r="A2828" t="str">
            <v>ASY-100017-0C</v>
          </cell>
          <cell r="B2828">
            <v>0</v>
          </cell>
          <cell r="C2828" t="str">
            <v>ASY-100017-0C</v>
          </cell>
          <cell r="D2828" t="str">
            <v>ASSY, MECHANICAL, L45, OUTDOOR, 1 FT, TROV2P2, DYNAMIC, CUSTOM</v>
          </cell>
          <cell r="E2828" t="str">
            <v>A</v>
          </cell>
          <cell r="F2828" t="str">
            <v>Sub assembly</v>
          </cell>
          <cell r="H2828">
            <v>0</v>
          </cell>
          <cell r="I2828" t="str">
            <v>Make</v>
          </cell>
        </row>
        <row r="2829">
          <cell r="A2829" t="str">
            <v>ASY-100017-0C</v>
          </cell>
          <cell r="B2829">
            <v>1</v>
          </cell>
          <cell r="C2829" t="str">
            <v>ACB-000275-00</v>
          </cell>
          <cell r="D2829" t="str">
            <v>CABLE, CANBUS, SHORT, TROV 2</v>
          </cell>
          <cell r="E2829" t="str">
            <v>A</v>
          </cell>
          <cell r="F2829" t="str">
            <v>Cable</v>
          </cell>
          <cell r="G2829">
            <v>1</v>
          </cell>
          <cell r="H2829">
            <v>0.7</v>
          </cell>
          <cell r="I2829" t="str">
            <v>Buy</v>
          </cell>
        </row>
        <row r="2830">
          <cell r="A2830" t="str">
            <v>ASY-100017-0C</v>
          </cell>
          <cell r="B2830">
            <v>1</v>
          </cell>
          <cell r="C2830" t="str">
            <v>ASY-100009-00</v>
          </cell>
          <cell r="D2830" t="str">
            <v>Cable Subassembly, Driver housing, 1ft, Trov 2</v>
          </cell>
          <cell r="E2830" t="str">
            <v>B</v>
          </cell>
          <cell r="F2830" t="str">
            <v>Sub assembly</v>
          </cell>
          <cell r="G2830">
            <v>1</v>
          </cell>
          <cell r="H2830">
            <v>0</v>
          </cell>
          <cell r="I2830" t="str">
            <v>Make</v>
          </cell>
        </row>
        <row r="2831">
          <cell r="A2831" t="str">
            <v>ASY-100017-0C</v>
          </cell>
          <cell r="B2831">
            <v>2</v>
          </cell>
          <cell r="C2831" t="str">
            <v>ACB-000278-00</v>
          </cell>
          <cell r="D2831" t="str">
            <v>CABLE ASSY, INTRA-FIXTURE, 1FT, TROV 2.0</v>
          </cell>
          <cell r="E2831" t="str">
            <v>A</v>
          </cell>
          <cell r="F2831" t="str">
            <v>Cable Assembly</v>
          </cell>
          <cell r="G2831">
            <v>1</v>
          </cell>
          <cell r="H2831">
            <v>12.75</v>
          </cell>
          <cell r="I2831" t="str">
            <v>Buy</v>
          </cell>
        </row>
        <row r="2832">
          <cell r="A2832" t="str">
            <v>ASY-100017-0C</v>
          </cell>
          <cell r="B2832">
            <v>3</v>
          </cell>
          <cell r="C2832" t="str">
            <v>ACB-000273-00</v>
          </cell>
          <cell r="D2832" t="str">
            <v>6 CONDUCTOR CABLE, 3X22AWG, 3X16AWG, AL MYLAR, TROV 2</v>
          </cell>
          <cell r="E2832" t="str">
            <v>A</v>
          </cell>
          <cell r="F2832" t="str">
            <v>Cable</v>
          </cell>
          <cell r="G2832">
            <v>1</v>
          </cell>
          <cell r="H2832">
            <v>0</v>
          </cell>
          <cell r="I2832" t="str">
            <v>N/A</v>
          </cell>
        </row>
        <row r="2833">
          <cell r="A2833" t="str">
            <v>ASY-100017-0C</v>
          </cell>
          <cell r="B2833">
            <v>3</v>
          </cell>
          <cell r="C2833" t="str">
            <v>ACB-000274-01</v>
          </cell>
          <cell r="D2833" t="str">
            <v>CABLE ASSEMBLY, INTERNAL, DRIVER SIDE, 1FT, TROV 2</v>
          </cell>
          <cell r="E2833" t="str">
            <v>A</v>
          </cell>
          <cell r="F2833" t="str">
            <v>Cable Assembly</v>
          </cell>
          <cell r="G2833">
            <v>1</v>
          </cell>
          <cell r="H2833">
            <v>0</v>
          </cell>
          <cell r="I2833" t="str">
            <v>N/A</v>
          </cell>
        </row>
        <row r="2834">
          <cell r="A2834" t="str">
            <v>ASY-100017-0C</v>
          </cell>
          <cell r="B2834">
            <v>3</v>
          </cell>
          <cell r="C2834" t="str">
            <v>CON-000259-00</v>
          </cell>
          <cell r="D2834" t="str">
            <v>CONNECTOR, MALE, 6 PIN, TROV 2</v>
          </cell>
          <cell r="E2834" t="str">
            <v>B</v>
          </cell>
          <cell r="F2834" t="str">
            <v>Connector</v>
          </cell>
          <cell r="G2834">
            <v>1</v>
          </cell>
          <cell r="H2834">
            <v>0</v>
          </cell>
          <cell r="I2834" t="str">
            <v>N/A</v>
          </cell>
        </row>
        <row r="2835">
          <cell r="A2835" t="str">
            <v>ASY-100017-0C</v>
          </cell>
          <cell r="B2835">
            <v>3</v>
          </cell>
          <cell r="C2835" t="str">
            <v>CON-000260-00</v>
          </cell>
          <cell r="D2835" t="str">
            <v>CONNECTOR, FEMALE, 6 PIN, TROV 2</v>
          </cell>
          <cell r="E2835" t="str">
            <v>A</v>
          </cell>
          <cell r="F2835" t="str">
            <v>Connector</v>
          </cell>
          <cell r="G2835">
            <v>1</v>
          </cell>
          <cell r="H2835">
            <v>0</v>
          </cell>
          <cell r="I2835" t="str">
            <v>N/A</v>
          </cell>
        </row>
        <row r="2836">
          <cell r="A2836" t="str">
            <v>ASY-100017-0C</v>
          </cell>
          <cell r="B2836">
            <v>3</v>
          </cell>
          <cell r="C2836" t="str">
            <v>ORG-000060-00</v>
          </cell>
          <cell r="D2836" t="str">
            <v>O-RING, CABLE, TROV 2</v>
          </cell>
          <cell r="E2836" t="str">
            <v>A</v>
          </cell>
          <cell r="F2836" t="str">
            <v>O-Ring</v>
          </cell>
          <cell r="G2836">
            <v>1</v>
          </cell>
          <cell r="H2836">
            <v>0</v>
          </cell>
          <cell r="I2836" t="str">
            <v>N/A</v>
          </cell>
        </row>
        <row r="2837">
          <cell r="A2837" t="str">
            <v>ASY-100017-0C</v>
          </cell>
          <cell r="B2837">
            <v>3</v>
          </cell>
          <cell r="C2837" t="str">
            <v>SRF-000030-00</v>
          </cell>
          <cell r="D2837" t="str">
            <v>STRAIN RELIEF, CABLE, TROV 2</v>
          </cell>
          <cell r="E2837" t="str">
            <v>A</v>
          </cell>
          <cell r="F2837" t="str">
            <v>Strain Relief</v>
          </cell>
          <cell r="G2837">
            <v>1</v>
          </cell>
          <cell r="H2837">
            <v>0</v>
          </cell>
          <cell r="I2837" t="str">
            <v>N/A</v>
          </cell>
        </row>
        <row r="2838">
          <cell r="A2838" t="str">
            <v>ASY-100017-0C</v>
          </cell>
          <cell r="B2838">
            <v>2</v>
          </cell>
          <cell r="C2838" t="str">
            <v>HSG-000488-01</v>
          </cell>
          <cell r="D2838" t="str">
            <v>HOUSING, PSU, 1 FT, MOLDED HOLE, TROV 2.0</v>
          </cell>
          <cell r="E2838" t="str">
            <v>B</v>
          </cell>
          <cell r="F2838" t="str">
            <v>Housing</v>
          </cell>
          <cell r="G2838">
            <v>1</v>
          </cell>
          <cell r="H2838">
            <v>1.17</v>
          </cell>
          <cell r="I2838" t="str">
            <v>Buy</v>
          </cell>
        </row>
        <row r="2839">
          <cell r="A2839" t="str">
            <v>ASY-100017-0C</v>
          </cell>
          <cell r="B2839">
            <v>2</v>
          </cell>
          <cell r="C2839" t="str">
            <v>SCW-000577-00</v>
          </cell>
          <cell r="D2839" t="str">
            <v>SCREW, TORX HEAD, LOW PROFILE, M3X8mm, ALLOY STEEL</v>
          </cell>
          <cell r="E2839" t="str">
            <v>A</v>
          </cell>
          <cell r="F2839" t="str">
            <v>Screw</v>
          </cell>
          <cell r="G2839">
            <v>2</v>
          </cell>
          <cell r="H2839">
            <v>0.03</v>
          </cell>
          <cell r="I2839" t="str">
            <v>Buy</v>
          </cell>
        </row>
        <row r="2840">
          <cell r="A2840" t="str">
            <v>ASY-100017-0C</v>
          </cell>
          <cell r="B2840">
            <v>1</v>
          </cell>
          <cell r="C2840" t="str">
            <v>BAS-000020-00</v>
          </cell>
          <cell r="D2840" t="str">
            <v>BASE, 1FT, TROV 2.0</v>
          </cell>
          <cell r="E2840" t="str">
            <v>E</v>
          </cell>
          <cell r="F2840" t="str">
            <v>Base</v>
          </cell>
          <cell r="G2840">
            <v>1</v>
          </cell>
          <cell r="H2840">
            <v>5.8</v>
          </cell>
          <cell r="I2840" t="str">
            <v>Buy</v>
          </cell>
        </row>
        <row r="2841">
          <cell r="A2841" t="str">
            <v>ASY-100017-0C</v>
          </cell>
          <cell r="B2841">
            <v>1</v>
          </cell>
          <cell r="C2841" t="str">
            <v>BKT-000457-03</v>
          </cell>
          <cell r="D2841" t="str">
            <v>BRACKET, MOUNT, LEFT, BLACK, TROV 2.0</v>
          </cell>
          <cell r="E2841" t="str">
            <v>C</v>
          </cell>
          <cell r="F2841" t="str">
            <v>Bracket</v>
          </cell>
          <cell r="G2841">
            <v>1</v>
          </cell>
          <cell r="H2841">
            <v>0.99</v>
          </cell>
          <cell r="I2841" t="str">
            <v>Buy</v>
          </cell>
        </row>
        <row r="2842">
          <cell r="A2842" t="str">
            <v>ASY-100017-0C</v>
          </cell>
          <cell r="B2842">
            <v>1</v>
          </cell>
          <cell r="C2842" t="str">
            <v>BKT-000458-03</v>
          </cell>
          <cell r="D2842" t="str">
            <v>BRACKET, MOUNT, RIGHT, BLACK, TROV 2.0</v>
          </cell>
          <cell r="E2842" t="str">
            <v>C</v>
          </cell>
          <cell r="F2842" t="str">
            <v>Bracket</v>
          </cell>
          <cell r="G2842">
            <v>1</v>
          </cell>
          <cell r="H2842">
            <v>0.99</v>
          </cell>
          <cell r="I2842" t="str">
            <v>Buy</v>
          </cell>
        </row>
        <row r="2843">
          <cell r="A2843" t="str">
            <v>ASY-100017-0C</v>
          </cell>
          <cell r="B2843">
            <v>1</v>
          </cell>
          <cell r="C2843" t="str">
            <v>CVR-000791-0C</v>
          </cell>
          <cell r="D2843" t="str">
            <v>END COVER, FC, CUSTOM FINISH, L45, TROV 2.0</v>
          </cell>
          <cell r="E2843" t="str">
            <v>E</v>
          </cell>
          <cell r="F2843" t="str">
            <v>Cover</v>
          </cell>
          <cell r="G2843">
            <v>1</v>
          </cell>
          <cell r="H2843">
            <v>0</v>
          </cell>
          <cell r="I2843" t="str">
            <v>Buy</v>
          </cell>
        </row>
        <row r="2844">
          <cell r="A2844" t="str">
            <v>ASY-100017-0C</v>
          </cell>
          <cell r="B2844">
            <v>1</v>
          </cell>
          <cell r="C2844" t="str">
            <v>CVR-000894-0C</v>
          </cell>
          <cell r="D2844" t="str">
            <v>END COVER, MC, CUSTOM FINISH, L45, TROV 2.0</v>
          </cell>
          <cell r="E2844" t="str">
            <v>C</v>
          </cell>
          <cell r="F2844" t="str">
            <v>Cover</v>
          </cell>
          <cell r="G2844">
            <v>1</v>
          </cell>
          <cell r="H2844">
            <v>0</v>
          </cell>
          <cell r="I2844" t="str">
            <v>Buy</v>
          </cell>
        </row>
        <row r="2845">
          <cell r="A2845" t="str">
            <v>ASY-100017-0C</v>
          </cell>
          <cell r="B2845">
            <v>1</v>
          </cell>
          <cell r="C2845" t="str">
            <v>FOM-000029-00</v>
          </cell>
          <cell r="D2845" t="str">
            <v>FOAM, LIGHTBLOCK, ENDCAP, L45, TROV2</v>
          </cell>
          <cell r="E2845" t="str">
            <v>A</v>
          </cell>
          <cell r="F2845" t="str">
            <v>Foam</v>
          </cell>
          <cell r="G2845">
            <v>2</v>
          </cell>
          <cell r="H2845">
            <v>0.02</v>
          </cell>
          <cell r="I2845" t="str">
            <v>Buy</v>
          </cell>
        </row>
        <row r="2846">
          <cell r="A2846" t="str">
            <v>ASY-100017-0C</v>
          </cell>
          <cell r="B2846">
            <v>1</v>
          </cell>
          <cell r="C2846" t="str">
            <v>GSK-000112-01</v>
          </cell>
          <cell r="D2846" t="str">
            <v>GASKET, TERTIARY LENS, 3M, 1 FT, L45, TROV 2.0</v>
          </cell>
          <cell r="E2846" t="str">
            <v>D</v>
          </cell>
          <cell r="F2846" t="str">
            <v>Gasket</v>
          </cell>
          <cell r="G2846">
            <v>1</v>
          </cell>
          <cell r="H2846">
            <v>1.75</v>
          </cell>
          <cell r="I2846" t="str">
            <v>Buy</v>
          </cell>
        </row>
        <row r="2847">
          <cell r="A2847" t="str">
            <v>ASY-100017-0C</v>
          </cell>
          <cell r="B2847">
            <v>1</v>
          </cell>
          <cell r="C2847" t="str">
            <v>GSK-000121-01</v>
          </cell>
          <cell r="D2847" t="str">
            <v>GASKET, DRIVER ENCLOSURE, 3M, 1 FT, TROV 2.0</v>
          </cell>
          <cell r="E2847" t="str">
            <v>B</v>
          </cell>
          <cell r="F2847" t="str">
            <v>Gasket</v>
          </cell>
          <cell r="G2847">
            <v>1</v>
          </cell>
          <cell r="H2847">
            <v>1.7</v>
          </cell>
          <cell r="I2847" t="str">
            <v>Buy</v>
          </cell>
        </row>
        <row r="2848">
          <cell r="A2848" t="str">
            <v>ASY-100017-0C</v>
          </cell>
          <cell r="B2848">
            <v>1</v>
          </cell>
          <cell r="C2848" t="str">
            <v>HSG-000491-0C</v>
          </cell>
          <cell r="D2848" t="str">
            <v>HOUSING, TOP, 1 FT, L45, CUSTOM FINISH, TROV 2.0</v>
          </cell>
          <cell r="E2848" t="str">
            <v>E</v>
          </cell>
          <cell r="F2848" t="str">
            <v>Housing</v>
          </cell>
          <cell r="G2848">
            <v>1</v>
          </cell>
          <cell r="H2848">
            <v>0</v>
          </cell>
          <cell r="I2848" t="str">
            <v>Buy</v>
          </cell>
        </row>
        <row r="2849">
          <cell r="A2849" t="str">
            <v>ASY-100017-0C</v>
          </cell>
          <cell r="B2849">
            <v>1</v>
          </cell>
          <cell r="C2849" t="str">
            <v>HSG-000492-0C</v>
          </cell>
          <cell r="D2849" t="str">
            <v>HOUSING, BOTTOM, 1 FT, CUSTOM FINISH, TROV 2.0</v>
          </cell>
          <cell r="E2849" t="str">
            <v>F</v>
          </cell>
          <cell r="F2849" t="str">
            <v>Housing</v>
          </cell>
          <cell r="G2849">
            <v>1</v>
          </cell>
          <cell r="H2849">
            <v>3.34</v>
          </cell>
          <cell r="I2849" t="str">
            <v>Buy</v>
          </cell>
        </row>
        <row r="2850">
          <cell r="A2850" t="str">
            <v>ASY-100017-0C</v>
          </cell>
          <cell r="B2850">
            <v>1</v>
          </cell>
          <cell r="C2850" t="str">
            <v>LBA-000003-00</v>
          </cell>
          <cell r="D2850" t="str">
            <v>Label: TROV 2 P1/P2, Model L45/L60</v>
          </cell>
          <cell r="E2850" t="str">
            <v>A</v>
          </cell>
          <cell r="F2850" t="str">
            <v>Label BOM</v>
          </cell>
          <cell r="G2850">
            <v>1</v>
          </cell>
          <cell r="H2850">
            <v>0</v>
          </cell>
          <cell r="I2850" t="str">
            <v>Make</v>
          </cell>
        </row>
        <row r="2851">
          <cell r="A2851" t="str">
            <v>ASY-100017-0C</v>
          </cell>
          <cell r="B2851">
            <v>2</v>
          </cell>
          <cell r="C2851" t="str">
            <v>LBL-000243-00</v>
          </cell>
          <cell r="D2851" t="str">
            <v>Blank Product Label: Trov 2 P1/P2, Model L45/L60</v>
          </cell>
          <cell r="E2851" t="str">
            <v>A</v>
          </cell>
          <cell r="F2851" t="str">
            <v>Label</v>
          </cell>
          <cell r="G2851">
            <v>1</v>
          </cell>
          <cell r="H2851">
            <v>0.33</v>
          </cell>
          <cell r="I2851" t="str">
            <v>Buy</v>
          </cell>
        </row>
        <row r="2852">
          <cell r="A2852" t="str">
            <v>ASY-100017-0C</v>
          </cell>
          <cell r="B2852">
            <v>1</v>
          </cell>
          <cell r="C2852" t="str">
            <v>PLG-000009-01</v>
          </cell>
          <cell r="D2852" t="str">
            <v>Porex Vent, Trov, L50 Exterior</v>
          </cell>
          <cell r="E2852" t="str">
            <v>B</v>
          </cell>
          <cell r="F2852" t="str">
            <v>Plug</v>
          </cell>
          <cell r="G2852">
            <v>1</v>
          </cell>
          <cell r="H2852">
            <v>0.17</v>
          </cell>
          <cell r="I2852" t="str">
            <v>Buy</v>
          </cell>
        </row>
        <row r="2853">
          <cell r="A2853" t="str">
            <v>ASY-100017-0C</v>
          </cell>
          <cell r="B2853">
            <v>1</v>
          </cell>
          <cell r="C2853" t="str">
            <v>SCW-000156-00</v>
          </cell>
          <cell r="D2853" t="str">
            <v>SCREW, M3 x 0.5 X 8mm, PAND HEAD, PHILLIPS, STEEL</v>
          </cell>
          <cell r="E2853" t="str">
            <v>B</v>
          </cell>
          <cell r="F2853" t="str">
            <v>Screw</v>
          </cell>
          <cell r="G2853">
            <v>2</v>
          </cell>
          <cell r="H2853">
            <v>4.4400000000000002E-2</v>
          </cell>
          <cell r="I2853" t="str">
            <v>Buy</v>
          </cell>
        </row>
        <row r="2854">
          <cell r="A2854" t="str">
            <v>ASY-100017-0C</v>
          </cell>
          <cell r="B2854">
            <v>1</v>
          </cell>
          <cell r="C2854" t="str">
            <v>SCW-000483-00</v>
          </cell>
          <cell r="D2854" t="str">
            <v>SCREW, PHILIPS FLAT HEAD, M2.5x0.45x5 , 18-8 SST</v>
          </cell>
          <cell r="E2854" t="str">
            <v>A</v>
          </cell>
          <cell r="F2854" t="str">
            <v>Screw</v>
          </cell>
          <cell r="G2854">
            <v>4</v>
          </cell>
          <cell r="H2854">
            <v>0.02</v>
          </cell>
          <cell r="I2854" t="str">
            <v>Buy</v>
          </cell>
        </row>
        <row r="2855">
          <cell r="A2855" t="str">
            <v>ASY-100017-0C</v>
          </cell>
          <cell r="B2855">
            <v>1</v>
          </cell>
          <cell r="C2855" t="str">
            <v>SCW-000556-00</v>
          </cell>
          <cell r="D2855" t="str">
            <v>SCREW, HEX, SERRATED, #8-32, GROUNDING, TROV 2</v>
          </cell>
          <cell r="E2855" t="str">
            <v>A</v>
          </cell>
          <cell r="F2855" t="str">
            <v>Screw</v>
          </cell>
          <cell r="G2855">
            <v>1</v>
          </cell>
          <cell r="H2855">
            <v>0.04</v>
          </cell>
          <cell r="I2855" t="str">
            <v>Buy</v>
          </cell>
        </row>
        <row r="2856">
          <cell r="A2856" t="str">
            <v>ASY-100017-0C</v>
          </cell>
          <cell r="B2856">
            <v>1</v>
          </cell>
          <cell r="C2856" t="str">
            <v>SCW-000574-00</v>
          </cell>
          <cell r="D2856" t="str">
            <v>SCREW, TORX HEAD, 1/4-28x1/2", LOW PROFILE, ALLOY STEEL</v>
          </cell>
          <cell r="E2856" t="str">
            <v>A</v>
          </cell>
          <cell r="F2856" t="str">
            <v>Screw</v>
          </cell>
          <cell r="G2856">
            <v>2</v>
          </cell>
          <cell r="H2856">
            <v>0.14000000000000001</v>
          </cell>
          <cell r="I2856" t="str">
            <v>Buy</v>
          </cell>
        </row>
        <row r="2857">
          <cell r="A2857" t="str">
            <v>ASY-100017-0C</v>
          </cell>
          <cell r="B2857">
            <v>1</v>
          </cell>
          <cell r="C2857" t="str">
            <v>SHT-000042-00</v>
          </cell>
          <cell r="D2857" t="str">
            <v>INSULATION SHEET, MP/LP HBA, TROV 2</v>
          </cell>
          <cell r="E2857" t="str">
            <v>D</v>
          </cell>
          <cell r="F2857" t="str">
            <v>Sheet</v>
          </cell>
          <cell r="G2857">
            <v>1</v>
          </cell>
          <cell r="H2857">
            <v>0.16</v>
          </cell>
          <cell r="I2857" t="str">
            <v>Buy</v>
          </cell>
        </row>
        <row r="2858">
          <cell r="A2858" t="str">
            <v>ASY-100017-0C</v>
          </cell>
          <cell r="B2858">
            <v>1</v>
          </cell>
          <cell r="C2858" t="str">
            <v>SPG-000023-00</v>
          </cell>
          <cell r="D2858" t="str">
            <v>SPRING, DISC, STACKED WAVE, TROV 2.0</v>
          </cell>
          <cell r="E2858" t="str">
            <v>A</v>
          </cell>
          <cell r="F2858" t="str">
            <v>Spring</v>
          </cell>
          <cell r="G2858">
            <v>2</v>
          </cell>
          <cell r="H2858">
            <v>1.74</v>
          </cell>
          <cell r="I2858" t="str">
            <v>Buy</v>
          </cell>
        </row>
        <row r="2859">
          <cell r="A2859" t="str">
            <v>ASY-100017-0C</v>
          </cell>
          <cell r="B2859">
            <v>1</v>
          </cell>
          <cell r="C2859" t="str">
            <v>TAP-000031-00</v>
          </cell>
          <cell r="D2859" t="str">
            <v>3M Electrical Tape 92</v>
          </cell>
          <cell r="E2859" t="str">
            <v>A</v>
          </cell>
          <cell r="F2859" t="str">
            <v>Tape</v>
          </cell>
          <cell r="G2859">
            <v>120</v>
          </cell>
          <cell r="H2859">
            <v>1.4E-2</v>
          </cell>
          <cell r="I2859" t="str">
            <v>Buy</v>
          </cell>
        </row>
        <row r="2860">
          <cell r="A2860" t="str">
            <v>ASY-100017-0C</v>
          </cell>
          <cell r="B2860">
            <v>1</v>
          </cell>
          <cell r="C2860" t="str">
            <v>TMP-000027-00</v>
          </cell>
          <cell r="D2860" t="str">
            <v>Thermal Pad, LED PCBA, 1 FT, TROV 2</v>
          </cell>
          <cell r="E2860" t="str">
            <v>B</v>
          </cell>
          <cell r="F2860" t="str">
            <v>Thermal Pad</v>
          </cell>
          <cell r="G2860">
            <v>1</v>
          </cell>
          <cell r="H2860">
            <v>0.72</v>
          </cell>
          <cell r="I2860" t="str">
            <v>Buy</v>
          </cell>
        </row>
        <row r="2861">
          <cell r="A2861" t="str">
            <v>ASY-100017-0C</v>
          </cell>
          <cell r="B2861">
            <v>1</v>
          </cell>
          <cell r="C2861" t="str">
            <v>TMP-000029-00</v>
          </cell>
          <cell r="D2861" t="str">
            <v>Thermal Pad, HBA, TROV 2</v>
          </cell>
          <cell r="E2861" t="str">
            <v>B</v>
          </cell>
          <cell r="F2861" t="str">
            <v>Thermal Pad</v>
          </cell>
          <cell r="G2861">
            <v>2</v>
          </cell>
          <cell r="H2861">
            <v>0.14000000000000001</v>
          </cell>
          <cell r="I2861" t="str">
            <v>Buy</v>
          </cell>
        </row>
        <row r="2862">
          <cell r="A2862" t="str">
            <v>ASY-100017-0C</v>
          </cell>
          <cell r="B2862">
            <v>1</v>
          </cell>
          <cell r="C2862" t="str">
            <v>TMP-000032-00</v>
          </cell>
          <cell r="D2862" t="str">
            <v>Thermal Pad, HBA, TROV 2</v>
          </cell>
          <cell r="E2862" t="str">
            <v>A</v>
          </cell>
          <cell r="F2862" t="str">
            <v>Thermal Pad</v>
          </cell>
          <cell r="G2862">
            <v>1</v>
          </cell>
          <cell r="H2862">
            <v>0.03</v>
          </cell>
          <cell r="I2862" t="str">
            <v>Buy</v>
          </cell>
        </row>
        <row r="2863">
          <cell r="A2863" t="str">
            <v>ASY-100018-01</v>
          </cell>
          <cell r="B2863">
            <v>0</v>
          </cell>
          <cell r="C2863" t="str">
            <v>ASY-100018-01</v>
          </cell>
          <cell r="D2863" t="str">
            <v>ASSY, MECHANICAL, L45, OUTDOOR, 4 FT, TROV2P2, DYNAMIC, SILVER</v>
          </cell>
          <cell r="E2863" t="str">
            <v>A</v>
          </cell>
          <cell r="F2863" t="str">
            <v>Sub assembly</v>
          </cell>
          <cell r="H2863">
            <v>0</v>
          </cell>
          <cell r="I2863" t="str">
            <v>Make</v>
          </cell>
        </row>
        <row r="2864">
          <cell r="A2864" t="str">
            <v>ASY-100018-01</v>
          </cell>
          <cell r="B2864">
            <v>1</v>
          </cell>
          <cell r="C2864" t="str">
            <v>ACB-000275-00</v>
          </cell>
          <cell r="D2864" t="str">
            <v>CABLE, CANBUS, SHORT, TROV 2</v>
          </cell>
          <cell r="E2864" t="str">
            <v>A</v>
          </cell>
          <cell r="F2864" t="str">
            <v>Cable</v>
          </cell>
          <cell r="G2864">
            <v>1</v>
          </cell>
          <cell r="H2864">
            <v>0.7</v>
          </cell>
          <cell r="I2864" t="str">
            <v>Buy</v>
          </cell>
        </row>
        <row r="2865">
          <cell r="A2865" t="str">
            <v>ASY-100018-01</v>
          </cell>
          <cell r="B2865">
            <v>1</v>
          </cell>
          <cell r="C2865" t="str">
            <v>ACB-000275-01</v>
          </cell>
          <cell r="D2865" t="str">
            <v>CABLE, CANBUS, LONG, TROV 2</v>
          </cell>
          <cell r="E2865" t="str">
            <v>A</v>
          </cell>
          <cell r="F2865" t="str">
            <v>Cable</v>
          </cell>
          <cell r="G2865">
            <v>1</v>
          </cell>
          <cell r="H2865">
            <v>0.81</v>
          </cell>
          <cell r="I2865" t="str">
            <v>Buy</v>
          </cell>
        </row>
        <row r="2866">
          <cell r="A2866" t="str">
            <v>ASY-100018-01</v>
          </cell>
          <cell r="B2866">
            <v>1</v>
          </cell>
          <cell r="C2866" t="str">
            <v>ASY-100008-00</v>
          </cell>
          <cell r="D2866" t="str">
            <v>Cable Subassembly, Driver housing, 4ft, Trov 2</v>
          </cell>
          <cell r="E2866" t="str">
            <v>A</v>
          </cell>
          <cell r="F2866" t="str">
            <v>Sub assembly</v>
          </cell>
          <cell r="G2866">
            <v>1</v>
          </cell>
          <cell r="H2866">
            <v>0</v>
          </cell>
          <cell r="I2866" t="str">
            <v>Make</v>
          </cell>
        </row>
        <row r="2867">
          <cell r="A2867" t="str">
            <v>ASY-100018-01</v>
          </cell>
          <cell r="B2867">
            <v>2</v>
          </cell>
          <cell r="C2867" t="str">
            <v>ACB-000272-00</v>
          </cell>
          <cell r="D2867" t="str">
            <v>CABLE ASSY, INTRA-FIXTURE, 4FT, TROV 2.0</v>
          </cell>
          <cell r="E2867" t="str">
            <v>B</v>
          </cell>
          <cell r="F2867" t="str">
            <v>Cable Assembly</v>
          </cell>
          <cell r="G2867">
            <v>1</v>
          </cell>
          <cell r="H2867">
            <v>20.420000000000002</v>
          </cell>
          <cell r="I2867" t="str">
            <v>Buy</v>
          </cell>
        </row>
        <row r="2868">
          <cell r="A2868" t="str">
            <v>ASY-100018-01</v>
          </cell>
          <cell r="B2868">
            <v>3</v>
          </cell>
          <cell r="C2868" t="str">
            <v>ACB-000273-00</v>
          </cell>
          <cell r="D2868" t="str">
            <v>6 CONDUCTOR CABLE, 3X22AWG, 3X16AWG, AL MYLAR, TROV 2</v>
          </cell>
          <cell r="E2868" t="str">
            <v>A</v>
          </cell>
          <cell r="F2868" t="str">
            <v>Cable</v>
          </cell>
          <cell r="G2868">
            <v>1</v>
          </cell>
          <cell r="H2868">
            <v>0</v>
          </cell>
          <cell r="I2868" t="str">
            <v>N/A</v>
          </cell>
        </row>
        <row r="2869">
          <cell r="A2869" t="str">
            <v>ASY-100018-01</v>
          </cell>
          <cell r="B2869">
            <v>3</v>
          </cell>
          <cell r="C2869" t="str">
            <v>ACB-000274-00</v>
          </cell>
          <cell r="D2869" t="str">
            <v>CABLE ASSEMBLY, INTERNAL, DRIVER SIDE, 4FT, TROV 2</v>
          </cell>
          <cell r="E2869" t="str">
            <v>A</v>
          </cell>
          <cell r="F2869" t="str">
            <v>Cable Assembly</v>
          </cell>
          <cell r="G2869">
            <v>1</v>
          </cell>
          <cell r="H2869">
            <v>0</v>
          </cell>
          <cell r="I2869" t="str">
            <v>N/A</v>
          </cell>
        </row>
        <row r="2870">
          <cell r="A2870" t="str">
            <v>ASY-100018-01</v>
          </cell>
          <cell r="B2870">
            <v>3</v>
          </cell>
          <cell r="C2870" t="str">
            <v>CON-000259-00</v>
          </cell>
          <cell r="D2870" t="str">
            <v>CONNECTOR, MALE, 6 PIN, TROV 2</v>
          </cell>
          <cell r="E2870" t="str">
            <v>B</v>
          </cell>
          <cell r="F2870" t="str">
            <v>Connector</v>
          </cell>
          <cell r="G2870">
            <v>1</v>
          </cell>
          <cell r="H2870">
            <v>0</v>
          </cell>
          <cell r="I2870" t="str">
            <v>N/A</v>
          </cell>
        </row>
        <row r="2871">
          <cell r="A2871" t="str">
            <v>ASY-100018-01</v>
          </cell>
          <cell r="B2871">
            <v>3</v>
          </cell>
          <cell r="C2871" t="str">
            <v>CON-000260-00</v>
          </cell>
          <cell r="D2871" t="str">
            <v>CONNECTOR, FEMALE, 6 PIN, TROV 2</v>
          </cell>
          <cell r="E2871" t="str">
            <v>A</v>
          </cell>
          <cell r="F2871" t="str">
            <v>Connector</v>
          </cell>
          <cell r="G2871">
            <v>1</v>
          </cell>
          <cell r="H2871">
            <v>0</v>
          </cell>
          <cell r="I2871" t="str">
            <v>N/A</v>
          </cell>
        </row>
        <row r="2872">
          <cell r="A2872" t="str">
            <v>ASY-100018-01</v>
          </cell>
          <cell r="B2872">
            <v>3</v>
          </cell>
          <cell r="C2872" t="str">
            <v>HSG-000330-00</v>
          </cell>
          <cell r="D2872" t="str">
            <v>DRIVER HOUSING, 4 FT, TROV 2</v>
          </cell>
          <cell r="E2872" t="str">
            <v>A</v>
          </cell>
          <cell r="F2872" t="str">
            <v>Housing</v>
          </cell>
          <cell r="G2872">
            <v>1</v>
          </cell>
          <cell r="H2872">
            <v>0</v>
          </cell>
          <cell r="I2872" t="str">
            <v>N/A</v>
          </cell>
        </row>
        <row r="2873">
          <cell r="A2873" t="str">
            <v>ASY-100018-01</v>
          </cell>
          <cell r="B2873">
            <v>3</v>
          </cell>
          <cell r="C2873" t="str">
            <v>ORG-000060-00</v>
          </cell>
          <cell r="D2873" t="str">
            <v>O-RING, CABLE, TROV 2</v>
          </cell>
          <cell r="E2873" t="str">
            <v>A</v>
          </cell>
          <cell r="F2873" t="str">
            <v>O-Ring</v>
          </cell>
          <cell r="G2873">
            <v>1</v>
          </cell>
          <cell r="H2873">
            <v>0</v>
          </cell>
          <cell r="I2873" t="str">
            <v>N/A</v>
          </cell>
        </row>
        <row r="2874">
          <cell r="A2874" t="str">
            <v>ASY-100018-01</v>
          </cell>
          <cell r="B2874">
            <v>3</v>
          </cell>
          <cell r="C2874" t="str">
            <v>SRF-000030-00</v>
          </cell>
          <cell r="D2874" t="str">
            <v>STRAIN RELIEF, CABLE, TROV 2</v>
          </cell>
          <cell r="E2874" t="str">
            <v>A</v>
          </cell>
          <cell r="F2874" t="str">
            <v>Strain Relief</v>
          </cell>
          <cell r="G2874">
            <v>1</v>
          </cell>
          <cell r="H2874">
            <v>0</v>
          </cell>
          <cell r="I2874" t="str">
            <v>N/A</v>
          </cell>
        </row>
        <row r="2875">
          <cell r="A2875" t="str">
            <v>ASY-100018-01</v>
          </cell>
          <cell r="B2875">
            <v>2</v>
          </cell>
          <cell r="C2875" t="str">
            <v>BKT-000517-00</v>
          </cell>
          <cell r="D2875" t="str">
            <v>BRACKET, ROTATING LOCK, 4 FT, TROV 2.0</v>
          </cell>
          <cell r="E2875" t="str">
            <v>B</v>
          </cell>
          <cell r="F2875" t="str">
            <v>Bracket</v>
          </cell>
          <cell r="G2875">
            <v>1</v>
          </cell>
          <cell r="H2875">
            <v>0.9</v>
          </cell>
          <cell r="I2875" t="str">
            <v>Buy</v>
          </cell>
        </row>
        <row r="2876">
          <cell r="A2876" t="str">
            <v>ASY-100018-01</v>
          </cell>
          <cell r="B2876">
            <v>2</v>
          </cell>
          <cell r="C2876" t="str">
            <v>BKT-000518-00</v>
          </cell>
          <cell r="D2876" t="str">
            <v>BRACKET, PANEL MOUNT, 4 FT, TROV 2.0</v>
          </cell>
          <cell r="E2876" t="str">
            <v>B</v>
          </cell>
          <cell r="F2876" t="str">
            <v>Bracket</v>
          </cell>
          <cell r="G2876">
            <v>1</v>
          </cell>
          <cell r="H2876">
            <v>0.9</v>
          </cell>
          <cell r="I2876" t="str">
            <v>Buy</v>
          </cell>
        </row>
        <row r="2877">
          <cell r="A2877" t="str">
            <v>ASY-100018-01</v>
          </cell>
          <cell r="B2877">
            <v>2</v>
          </cell>
          <cell r="C2877" t="str">
            <v>SCW-000509-00</v>
          </cell>
          <cell r="D2877" t="str">
            <v>SCREW, SEALING FLAT HEAD, M3x0.5x8MM</v>
          </cell>
          <cell r="E2877" t="str">
            <v>B</v>
          </cell>
          <cell r="F2877" t="str">
            <v>Screw</v>
          </cell>
          <cell r="G2877">
            <v>2</v>
          </cell>
          <cell r="H2877">
            <v>0.4</v>
          </cell>
          <cell r="I2877" t="str">
            <v>Buy</v>
          </cell>
        </row>
        <row r="2878">
          <cell r="A2878" t="str">
            <v>ASY-100018-01</v>
          </cell>
          <cell r="B2878">
            <v>1</v>
          </cell>
          <cell r="C2878" t="str">
            <v>BAS-000021-00</v>
          </cell>
          <cell r="D2878" t="str">
            <v>BASE, 4FT, TROV 2.0</v>
          </cell>
          <cell r="E2878" t="str">
            <v>F</v>
          </cell>
          <cell r="F2878" t="str">
            <v>Base</v>
          </cell>
          <cell r="G2878">
            <v>1</v>
          </cell>
          <cell r="H2878">
            <v>14.25</v>
          </cell>
          <cell r="I2878" t="str">
            <v>Buy</v>
          </cell>
        </row>
        <row r="2879">
          <cell r="A2879" t="str">
            <v>ASY-100018-01</v>
          </cell>
          <cell r="B2879">
            <v>1</v>
          </cell>
          <cell r="C2879" t="str">
            <v>BKT-000457-03</v>
          </cell>
          <cell r="D2879" t="str">
            <v>BRACKET, MOUNT, LEFT, BLACK, TROV 2.0</v>
          </cell>
          <cell r="E2879" t="str">
            <v>C</v>
          </cell>
          <cell r="F2879" t="str">
            <v>Bracket</v>
          </cell>
          <cell r="G2879">
            <v>1</v>
          </cell>
          <cell r="H2879">
            <v>0.99</v>
          </cell>
          <cell r="I2879" t="str">
            <v>Buy</v>
          </cell>
        </row>
        <row r="2880">
          <cell r="A2880" t="str">
            <v>ASY-100018-01</v>
          </cell>
          <cell r="B2880">
            <v>1</v>
          </cell>
          <cell r="C2880" t="str">
            <v>BKT-000458-03</v>
          </cell>
          <cell r="D2880" t="str">
            <v>BRACKET, MOUNT, RIGHT, BLACK, TROV 2.0</v>
          </cell>
          <cell r="E2880" t="str">
            <v>C</v>
          </cell>
          <cell r="F2880" t="str">
            <v>Bracket</v>
          </cell>
          <cell r="G2880">
            <v>1</v>
          </cell>
          <cell r="H2880">
            <v>0.99</v>
          </cell>
          <cell r="I2880" t="str">
            <v>Buy</v>
          </cell>
        </row>
        <row r="2881">
          <cell r="A2881" t="str">
            <v>ASY-100018-01</v>
          </cell>
          <cell r="B2881">
            <v>1</v>
          </cell>
          <cell r="C2881" t="str">
            <v>CVR-000791-03</v>
          </cell>
          <cell r="D2881" t="str">
            <v>END COVER, FC, BLACK, L45, TROV 2.0</v>
          </cell>
          <cell r="E2881" t="str">
            <v>D</v>
          </cell>
          <cell r="F2881" t="str">
            <v>Cover</v>
          </cell>
          <cell r="G2881">
            <v>1</v>
          </cell>
          <cell r="H2881">
            <v>1.07</v>
          </cell>
          <cell r="I2881" t="str">
            <v>Buy</v>
          </cell>
        </row>
        <row r="2882">
          <cell r="A2882" t="str">
            <v>ASY-100018-01</v>
          </cell>
          <cell r="B2882">
            <v>1</v>
          </cell>
          <cell r="C2882" t="str">
            <v>CVR-000894-03</v>
          </cell>
          <cell r="D2882" t="str">
            <v>END COVER, MC, BLACK, L45, TROV 2.0</v>
          </cell>
          <cell r="E2882" t="str">
            <v>B</v>
          </cell>
          <cell r="F2882" t="str">
            <v>Cover</v>
          </cell>
          <cell r="G2882">
            <v>1</v>
          </cell>
          <cell r="H2882">
            <v>1.07</v>
          </cell>
          <cell r="I2882" t="str">
            <v>Buy</v>
          </cell>
        </row>
        <row r="2883">
          <cell r="A2883" t="str">
            <v>ASY-100018-01</v>
          </cell>
          <cell r="B2883">
            <v>1</v>
          </cell>
          <cell r="C2883" t="str">
            <v>FOM-000029-00</v>
          </cell>
          <cell r="D2883" t="str">
            <v>FOAM, LIGHTBLOCK, ENDCAP, L45, TROV2</v>
          </cell>
          <cell r="E2883" t="str">
            <v>A</v>
          </cell>
          <cell r="F2883" t="str">
            <v>Foam</v>
          </cell>
          <cell r="G2883">
            <v>2</v>
          </cell>
          <cell r="H2883">
            <v>0.02</v>
          </cell>
          <cell r="I2883" t="str">
            <v>Buy</v>
          </cell>
        </row>
        <row r="2884">
          <cell r="A2884" t="str">
            <v>ASY-100018-01</v>
          </cell>
          <cell r="B2884">
            <v>1</v>
          </cell>
          <cell r="C2884" t="str">
            <v>GSK-000114-01</v>
          </cell>
          <cell r="D2884" t="str">
            <v>GASKET, TERTIARY LENS, 3M, 2 FT, L45, TROV 2.0</v>
          </cell>
          <cell r="E2884" t="str">
            <v>D</v>
          </cell>
          <cell r="F2884" t="str">
            <v>Gasket</v>
          </cell>
          <cell r="G2884">
            <v>2</v>
          </cell>
          <cell r="H2884">
            <v>2.65</v>
          </cell>
          <cell r="I2884" t="str">
            <v>Buy</v>
          </cell>
        </row>
        <row r="2885">
          <cell r="A2885" t="str">
            <v>ASY-100018-01</v>
          </cell>
          <cell r="B2885">
            <v>1</v>
          </cell>
          <cell r="C2885" t="str">
            <v>GSK-000122-01</v>
          </cell>
          <cell r="D2885" t="str">
            <v>GASKET, DRIVER ENCLOSURE, 3M, 4 FT, TROV 2.0</v>
          </cell>
          <cell r="E2885" t="str">
            <v>B</v>
          </cell>
          <cell r="F2885" t="str">
            <v>Gasket</v>
          </cell>
          <cell r="G2885">
            <v>1</v>
          </cell>
          <cell r="H2885">
            <v>2.0299999999999998</v>
          </cell>
          <cell r="I2885" t="str">
            <v>Buy</v>
          </cell>
        </row>
        <row r="2886">
          <cell r="A2886" t="str">
            <v>ASY-100018-01</v>
          </cell>
          <cell r="B2886">
            <v>1</v>
          </cell>
          <cell r="C2886" t="str">
            <v>HSG-000494-01</v>
          </cell>
          <cell r="D2886" t="str">
            <v>HOUSING, TOP, 4 FT, L45, SILVER, TROV 2.0</v>
          </cell>
          <cell r="E2886" t="str">
            <v>E</v>
          </cell>
          <cell r="F2886" t="str">
            <v>Housing</v>
          </cell>
          <cell r="G2886">
            <v>1</v>
          </cell>
          <cell r="H2886">
            <v>14.25</v>
          </cell>
          <cell r="I2886" t="str">
            <v>Buy</v>
          </cell>
        </row>
        <row r="2887">
          <cell r="A2887" t="str">
            <v>ASY-100018-01</v>
          </cell>
          <cell r="B2887">
            <v>1</v>
          </cell>
          <cell r="C2887" t="str">
            <v>HSG-000495-01</v>
          </cell>
          <cell r="D2887" t="str">
            <v>HOUSING, BOTTOM, 4 FT, SILVER, TROV 2.0</v>
          </cell>
          <cell r="E2887" t="str">
            <v>F</v>
          </cell>
          <cell r="F2887" t="str">
            <v>Housing</v>
          </cell>
          <cell r="G2887">
            <v>1</v>
          </cell>
          <cell r="H2887">
            <v>32.49</v>
          </cell>
          <cell r="I2887" t="str">
            <v>Buy</v>
          </cell>
        </row>
        <row r="2888">
          <cell r="A2888" t="str">
            <v>ASY-100018-01</v>
          </cell>
          <cell r="B2888">
            <v>1</v>
          </cell>
          <cell r="C2888" t="str">
            <v>LBA-000003-00</v>
          </cell>
          <cell r="D2888" t="str">
            <v>Label: TROV 2 P1/P2, Model L45/L60</v>
          </cell>
          <cell r="E2888" t="str">
            <v>A</v>
          </cell>
          <cell r="F2888" t="str">
            <v>Label BOM</v>
          </cell>
          <cell r="G2888">
            <v>1</v>
          </cell>
          <cell r="H2888">
            <v>0</v>
          </cell>
          <cell r="I2888" t="str">
            <v>Make</v>
          </cell>
        </row>
        <row r="2889">
          <cell r="A2889" t="str">
            <v>ASY-100018-01</v>
          </cell>
          <cell r="B2889">
            <v>2</v>
          </cell>
          <cell r="C2889" t="str">
            <v>LBL-000243-00</v>
          </cell>
          <cell r="D2889" t="str">
            <v>Blank Product Label: Trov 2 P1/P2, Model L45/L60</v>
          </cell>
          <cell r="E2889" t="str">
            <v>A</v>
          </cell>
          <cell r="F2889" t="str">
            <v>Label</v>
          </cell>
          <cell r="G2889">
            <v>1</v>
          </cell>
          <cell r="H2889">
            <v>0.33</v>
          </cell>
          <cell r="I2889" t="str">
            <v>Buy</v>
          </cell>
        </row>
        <row r="2890">
          <cell r="A2890" t="str">
            <v>ASY-100018-01</v>
          </cell>
          <cell r="B2890">
            <v>1</v>
          </cell>
          <cell r="C2890" t="str">
            <v>PLG-000009-01</v>
          </cell>
          <cell r="D2890" t="str">
            <v>Porex Vent, Trov, L50 Exterior</v>
          </cell>
          <cell r="E2890" t="str">
            <v>B</v>
          </cell>
          <cell r="F2890" t="str">
            <v>Plug</v>
          </cell>
          <cell r="G2890">
            <v>2</v>
          </cell>
          <cell r="H2890">
            <v>0.17</v>
          </cell>
          <cell r="I2890" t="str">
            <v>Buy</v>
          </cell>
        </row>
        <row r="2891">
          <cell r="A2891" t="str">
            <v>ASY-100018-01</v>
          </cell>
          <cell r="B2891">
            <v>1</v>
          </cell>
          <cell r="C2891" t="str">
            <v>SCW-000156-00</v>
          </cell>
          <cell r="D2891" t="str">
            <v>SCREW, M3 x 0.5 X 8mm, PAND HEAD, PHILLIPS, STEEL</v>
          </cell>
          <cell r="E2891" t="str">
            <v>B</v>
          </cell>
          <cell r="F2891" t="str">
            <v>Screw</v>
          </cell>
          <cell r="G2891">
            <v>6</v>
          </cell>
          <cell r="H2891">
            <v>4.4400000000000002E-2</v>
          </cell>
          <cell r="I2891" t="str">
            <v>Buy</v>
          </cell>
        </row>
        <row r="2892">
          <cell r="A2892" t="str">
            <v>ASY-100018-01</v>
          </cell>
          <cell r="B2892">
            <v>1</v>
          </cell>
          <cell r="C2892" t="str">
            <v>SCW-000483-00</v>
          </cell>
          <cell r="D2892" t="str">
            <v>SCREW, PHILIPS FLAT HEAD, M2.5x0.45x5 , 18-8 SST</v>
          </cell>
          <cell r="E2892" t="str">
            <v>A</v>
          </cell>
          <cell r="F2892" t="str">
            <v>Screw</v>
          </cell>
          <cell r="G2892">
            <v>4</v>
          </cell>
          <cell r="H2892">
            <v>0.02</v>
          </cell>
          <cell r="I2892" t="str">
            <v>Buy</v>
          </cell>
        </row>
        <row r="2893">
          <cell r="A2893" t="str">
            <v>ASY-100018-01</v>
          </cell>
          <cell r="B2893">
            <v>1</v>
          </cell>
          <cell r="C2893" t="str">
            <v>SCW-000556-00</v>
          </cell>
          <cell r="D2893" t="str">
            <v>SCREW, HEX, SERRATED, #8-32, GROUNDING, TROV 2</v>
          </cell>
          <cell r="E2893" t="str">
            <v>A</v>
          </cell>
          <cell r="F2893" t="str">
            <v>Screw</v>
          </cell>
          <cell r="G2893">
            <v>1</v>
          </cell>
          <cell r="H2893">
            <v>0.04</v>
          </cell>
          <cell r="I2893" t="str">
            <v>Buy</v>
          </cell>
        </row>
        <row r="2894">
          <cell r="A2894" t="str">
            <v>ASY-100018-01</v>
          </cell>
          <cell r="B2894">
            <v>1</v>
          </cell>
          <cell r="C2894" t="str">
            <v>SCW-000567-00</v>
          </cell>
          <cell r="D2894" t="str">
            <v>SCREW, M2.5 x 0.45 x 12.0mm LENGTH, PAN HD, PHILLIPS, ZINC-PLATED STEEL</v>
          </cell>
          <cell r="E2894" t="str">
            <v>A</v>
          </cell>
          <cell r="F2894" t="str">
            <v>Screw</v>
          </cell>
          <cell r="G2894">
            <v>4</v>
          </cell>
          <cell r="H2894">
            <v>0.06</v>
          </cell>
          <cell r="I2894" t="str">
            <v>Buy</v>
          </cell>
        </row>
        <row r="2895">
          <cell r="A2895" t="str">
            <v>ASY-100018-01</v>
          </cell>
          <cell r="B2895">
            <v>1</v>
          </cell>
          <cell r="C2895" t="str">
            <v>SCW-000574-00</v>
          </cell>
          <cell r="D2895" t="str">
            <v>SCREW, TORX HEAD, 1/4-28x1/2", LOW PROFILE, ALLOY STEEL</v>
          </cell>
          <cell r="E2895" t="str">
            <v>A</v>
          </cell>
          <cell r="F2895" t="str">
            <v>Screw</v>
          </cell>
          <cell r="G2895">
            <v>2</v>
          </cell>
          <cell r="H2895">
            <v>0.14000000000000001</v>
          </cell>
          <cell r="I2895" t="str">
            <v>Buy</v>
          </cell>
        </row>
        <row r="2896">
          <cell r="A2896" t="str">
            <v>ASY-100018-01</v>
          </cell>
          <cell r="B2896">
            <v>1</v>
          </cell>
          <cell r="C2896" t="str">
            <v>SHT-000043-00</v>
          </cell>
          <cell r="D2896" t="str">
            <v>INSULATION SHEET, HBA, 4FT,TROV 2</v>
          </cell>
          <cell r="E2896" t="str">
            <v>D</v>
          </cell>
          <cell r="F2896" t="str">
            <v>Sheet</v>
          </cell>
          <cell r="G2896">
            <v>1</v>
          </cell>
          <cell r="H2896">
            <v>0.25</v>
          </cell>
          <cell r="I2896" t="str">
            <v>Buy</v>
          </cell>
        </row>
        <row r="2897">
          <cell r="A2897" t="str">
            <v>ASY-100018-01</v>
          </cell>
          <cell r="B2897">
            <v>1</v>
          </cell>
          <cell r="C2897" t="str">
            <v>SPG-000023-00</v>
          </cell>
          <cell r="D2897" t="str">
            <v>SPRING, DISC, STACKED WAVE, TROV 2.0</v>
          </cell>
          <cell r="E2897" t="str">
            <v>A</v>
          </cell>
          <cell r="F2897" t="str">
            <v>Spring</v>
          </cell>
          <cell r="G2897">
            <v>2</v>
          </cell>
          <cell r="H2897">
            <v>1.74</v>
          </cell>
          <cell r="I2897" t="str">
            <v>Buy</v>
          </cell>
        </row>
        <row r="2898">
          <cell r="A2898" t="str">
            <v>ASY-100018-01</v>
          </cell>
          <cell r="B2898">
            <v>1</v>
          </cell>
          <cell r="C2898" t="str">
            <v>TAP-000031-00</v>
          </cell>
          <cell r="D2898" t="str">
            <v>3M Electrical Tape 92</v>
          </cell>
          <cell r="E2898" t="str">
            <v>A</v>
          </cell>
          <cell r="F2898" t="str">
            <v>Tape</v>
          </cell>
          <cell r="G2898">
            <v>120</v>
          </cell>
          <cell r="H2898">
            <v>1.4E-2</v>
          </cell>
          <cell r="I2898" t="str">
            <v>Buy</v>
          </cell>
        </row>
        <row r="2899">
          <cell r="A2899" t="str">
            <v>ASY-100018-01</v>
          </cell>
          <cell r="B2899">
            <v>1</v>
          </cell>
          <cell r="C2899" t="str">
            <v>TMP-000028-00</v>
          </cell>
          <cell r="D2899" t="str">
            <v>Thermal Pad, LED PCBA, 2 FT, TROV 2</v>
          </cell>
          <cell r="E2899" t="str">
            <v>B</v>
          </cell>
          <cell r="F2899" t="str">
            <v>Thermal Pad</v>
          </cell>
          <cell r="G2899">
            <v>2</v>
          </cell>
          <cell r="H2899">
            <v>1.32</v>
          </cell>
          <cell r="I2899" t="str">
            <v>Buy</v>
          </cell>
        </row>
        <row r="2900">
          <cell r="A2900" t="str">
            <v>ASY-100018-01</v>
          </cell>
          <cell r="B2900">
            <v>1</v>
          </cell>
          <cell r="C2900" t="str">
            <v>TMP-000029-00</v>
          </cell>
          <cell r="D2900" t="str">
            <v>Thermal Pad, HBA, TROV 2</v>
          </cell>
          <cell r="E2900" t="str">
            <v>B</v>
          </cell>
          <cell r="F2900" t="str">
            <v>Thermal Pad</v>
          </cell>
          <cell r="G2900">
            <v>2</v>
          </cell>
          <cell r="H2900">
            <v>0.14000000000000001</v>
          </cell>
          <cell r="I2900" t="str">
            <v>Buy</v>
          </cell>
        </row>
        <row r="2901">
          <cell r="A2901" t="str">
            <v>ASY-100018-01</v>
          </cell>
          <cell r="B2901">
            <v>1</v>
          </cell>
          <cell r="C2901" t="str">
            <v>TMP-000032-00</v>
          </cell>
          <cell r="D2901" t="str">
            <v>Thermal Pad, HBA, TROV 2</v>
          </cell>
          <cell r="E2901" t="str">
            <v>A</v>
          </cell>
          <cell r="F2901" t="str">
            <v>Thermal Pad</v>
          </cell>
          <cell r="G2901">
            <v>1</v>
          </cell>
          <cell r="H2901">
            <v>0.03</v>
          </cell>
          <cell r="I2901" t="str">
            <v>Buy</v>
          </cell>
        </row>
        <row r="2902">
          <cell r="A2902" t="str">
            <v>ASY-100018-02</v>
          </cell>
          <cell r="B2902">
            <v>0</v>
          </cell>
          <cell r="C2902" t="str">
            <v>ASY-100018-02</v>
          </cell>
          <cell r="D2902" t="str">
            <v>ASSY, MECHANICAL, L45, OUTDOOR, 4 FT, TROV2P2, DYNAMIC, BRONZE</v>
          </cell>
          <cell r="E2902" t="str">
            <v>A</v>
          </cell>
          <cell r="F2902" t="str">
            <v>Sub assembly</v>
          </cell>
          <cell r="H2902">
            <v>0</v>
          </cell>
          <cell r="I2902" t="str">
            <v>Make</v>
          </cell>
        </row>
        <row r="2903">
          <cell r="A2903" t="str">
            <v>ASY-100018-02</v>
          </cell>
          <cell r="B2903">
            <v>1</v>
          </cell>
          <cell r="C2903" t="str">
            <v>ACB-000275-00</v>
          </cell>
          <cell r="D2903" t="str">
            <v>CABLE, CANBUS, SHORT, TROV 2</v>
          </cell>
          <cell r="E2903" t="str">
            <v>A</v>
          </cell>
          <cell r="F2903" t="str">
            <v>Cable</v>
          </cell>
          <cell r="G2903">
            <v>1</v>
          </cell>
          <cell r="H2903">
            <v>0.7</v>
          </cell>
          <cell r="I2903" t="str">
            <v>Buy</v>
          </cell>
        </row>
        <row r="2904">
          <cell r="A2904" t="str">
            <v>ASY-100018-02</v>
          </cell>
          <cell r="B2904">
            <v>1</v>
          </cell>
          <cell r="C2904" t="str">
            <v>ACB-000275-01</v>
          </cell>
          <cell r="D2904" t="str">
            <v>CABLE, CANBUS, LONG, TROV 2</v>
          </cell>
          <cell r="E2904" t="str">
            <v>A</v>
          </cell>
          <cell r="F2904" t="str">
            <v>Cable</v>
          </cell>
          <cell r="G2904">
            <v>1</v>
          </cell>
          <cell r="H2904">
            <v>0.81</v>
          </cell>
          <cell r="I2904" t="str">
            <v>Buy</v>
          </cell>
        </row>
        <row r="2905">
          <cell r="A2905" t="str">
            <v>ASY-100018-02</v>
          </cell>
          <cell r="B2905">
            <v>1</v>
          </cell>
          <cell r="C2905" t="str">
            <v>ASY-100008-00</v>
          </cell>
          <cell r="D2905" t="str">
            <v>Cable Subassembly, Driver housing, 4ft, Trov 2</v>
          </cell>
          <cell r="E2905" t="str">
            <v>A</v>
          </cell>
          <cell r="F2905" t="str">
            <v>Sub assembly</v>
          </cell>
          <cell r="G2905">
            <v>1</v>
          </cell>
          <cell r="H2905">
            <v>0</v>
          </cell>
          <cell r="I2905" t="str">
            <v>Make</v>
          </cell>
        </row>
        <row r="2906">
          <cell r="A2906" t="str">
            <v>ASY-100018-02</v>
          </cell>
          <cell r="B2906">
            <v>2</v>
          </cell>
          <cell r="C2906" t="str">
            <v>ACB-000272-00</v>
          </cell>
          <cell r="D2906" t="str">
            <v>CABLE ASSY, INTRA-FIXTURE, 4FT, TROV 2.0</v>
          </cell>
          <cell r="E2906" t="str">
            <v>B</v>
          </cell>
          <cell r="F2906" t="str">
            <v>Cable Assembly</v>
          </cell>
          <cell r="G2906">
            <v>1</v>
          </cell>
          <cell r="H2906">
            <v>20.420000000000002</v>
          </cell>
          <cell r="I2906" t="str">
            <v>Buy</v>
          </cell>
        </row>
        <row r="2907">
          <cell r="A2907" t="str">
            <v>ASY-100018-02</v>
          </cell>
          <cell r="B2907">
            <v>3</v>
          </cell>
          <cell r="C2907" t="str">
            <v>ACB-000273-00</v>
          </cell>
          <cell r="D2907" t="str">
            <v>6 CONDUCTOR CABLE, 3X22AWG, 3X16AWG, AL MYLAR, TROV 2</v>
          </cell>
          <cell r="E2907" t="str">
            <v>A</v>
          </cell>
          <cell r="F2907" t="str">
            <v>Cable</v>
          </cell>
          <cell r="G2907">
            <v>1</v>
          </cell>
          <cell r="H2907">
            <v>0</v>
          </cell>
          <cell r="I2907" t="str">
            <v>N/A</v>
          </cell>
        </row>
        <row r="2908">
          <cell r="A2908" t="str">
            <v>ASY-100018-02</v>
          </cell>
          <cell r="B2908">
            <v>3</v>
          </cell>
          <cell r="C2908" t="str">
            <v>ACB-000274-00</v>
          </cell>
          <cell r="D2908" t="str">
            <v>CABLE ASSEMBLY, INTERNAL, DRIVER SIDE, 4FT, TROV 2</v>
          </cell>
          <cell r="E2908" t="str">
            <v>A</v>
          </cell>
          <cell r="F2908" t="str">
            <v>Cable Assembly</v>
          </cell>
          <cell r="G2908">
            <v>1</v>
          </cell>
          <cell r="H2908">
            <v>0</v>
          </cell>
          <cell r="I2908" t="str">
            <v>N/A</v>
          </cell>
        </row>
        <row r="2909">
          <cell r="A2909" t="str">
            <v>ASY-100018-02</v>
          </cell>
          <cell r="B2909">
            <v>3</v>
          </cell>
          <cell r="C2909" t="str">
            <v>CON-000259-00</v>
          </cell>
          <cell r="D2909" t="str">
            <v>CONNECTOR, MALE, 6 PIN, TROV 2</v>
          </cell>
          <cell r="E2909" t="str">
            <v>B</v>
          </cell>
          <cell r="F2909" t="str">
            <v>Connector</v>
          </cell>
          <cell r="G2909">
            <v>1</v>
          </cell>
          <cell r="H2909">
            <v>0</v>
          </cell>
          <cell r="I2909" t="str">
            <v>N/A</v>
          </cell>
        </row>
        <row r="2910">
          <cell r="A2910" t="str">
            <v>ASY-100018-02</v>
          </cell>
          <cell r="B2910">
            <v>3</v>
          </cell>
          <cell r="C2910" t="str">
            <v>CON-000260-00</v>
          </cell>
          <cell r="D2910" t="str">
            <v>CONNECTOR, FEMALE, 6 PIN, TROV 2</v>
          </cell>
          <cell r="E2910" t="str">
            <v>A</v>
          </cell>
          <cell r="F2910" t="str">
            <v>Connector</v>
          </cell>
          <cell r="G2910">
            <v>1</v>
          </cell>
          <cell r="H2910">
            <v>0</v>
          </cell>
          <cell r="I2910" t="str">
            <v>N/A</v>
          </cell>
        </row>
        <row r="2911">
          <cell r="A2911" t="str">
            <v>ASY-100018-02</v>
          </cell>
          <cell r="B2911">
            <v>3</v>
          </cell>
          <cell r="C2911" t="str">
            <v>HSG-000330-00</v>
          </cell>
          <cell r="D2911" t="str">
            <v>DRIVER HOUSING, 4 FT, TROV 2</v>
          </cell>
          <cell r="E2911" t="str">
            <v>A</v>
          </cell>
          <cell r="F2911" t="str">
            <v>Housing</v>
          </cell>
          <cell r="G2911">
            <v>1</v>
          </cell>
          <cell r="H2911">
            <v>0</v>
          </cell>
          <cell r="I2911" t="str">
            <v>N/A</v>
          </cell>
        </row>
        <row r="2912">
          <cell r="A2912" t="str">
            <v>ASY-100018-02</v>
          </cell>
          <cell r="B2912">
            <v>3</v>
          </cell>
          <cell r="C2912" t="str">
            <v>ORG-000060-00</v>
          </cell>
          <cell r="D2912" t="str">
            <v>O-RING, CABLE, TROV 2</v>
          </cell>
          <cell r="E2912" t="str">
            <v>A</v>
          </cell>
          <cell r="F2912" t="str">
            <v>O-Ring</v>
          </cell>
          <cell r="G2912">
            <v>1</v>
          </cell>
          <cell r="H2912">
            <v>0</v>
          </cell>
          <cell r="I2912" t="str">
            <v>N/A</v>
          </cell>
        </row>
        <row r="2913">
          <cell r="A2913" t="str">
            <v>ASY-100018-02</v>
          </cell>
          <cell r="B2913">
            <v>3</v>
          </cell>
          <cell r="C2913" t="str">
            <v>SRF-000030-00</v>
          </cell>
          <cell r="D2913" t="str">
            <v>STRAIN RELIEF, CABLE, TROV 2</v>
          </cell>
          <cell r="E2913" t="str">
            <v>A</v>
          </cell>
          <cell r="F2913" t="str">
            <v>Strain Relief</v>
          </cell>
          <cell r="G2913">
            <v>1</v>
          </cell>
          <cell r="H2913">
            <v>0</v>
          </cell>
          <cell r="I2913" t="str">
            <v>N/A</v>
          </cell>
        </row>
        <row r="2914">
          <cell r="A2914" t="str">
            <v>ASY-100018-02</v>
          </cell>
          <cell r="B2914">
            <v>2</v>
          </cell>
          <cell r="C2914" t="str">
            <v>BKT-000517-00</v>
          </cell>
          <cell r="D2914" t="str">
            <v>BRACKET, ROTATING LOCK, 4 FT, TROV 2.0</v>
          </cell>
          <cell r="E2914" t="str">
            <v>B</v>
          </cell>
          <cell r="F2914" t="str">
            <v>Bracket</v>
          </cell>
          <cell r="G2914">
            <v>1</v>
          </cell>
          <cell r="H2914">
            <v>0.9</v>
          </cell>
          <cell r="I2914" t="str">
            <v>Buy</v>
          </cell>
        </row>
        <row r="2915">
          <cell r="A2915" t="str">
            <v>ASY-100018-02</v>
          </cell>
          <cell r="B2915">
            <v>2</v>
          </cell>
          <cell r="C2915" t="str">
            <v>BKT-000518-00</v>
          </cell>
          <cell r="D2915" t="str">
            <v>BRACKET, PANEL MOUNT, 4 FT, TROV 2.0</v>
          </cell>
          <cell r="E2915" t="str">
            <v>B</v>
          </cell>
          <cell r="F2915" t="str">
            <v>Bracket</v>
          </cell>
          <cell r="G2915">
            <v>1</v>
          </cell>
          <cell r="H2915">
            <v>0.9</v>
          </cell>
          <cell r="I2915" t="str">
            <v>Buy</v>
          </cell>
        </row>
        <row r="2916">
          <cell r="A2916" t="str">
            <v>ASY-100018-02</v>
          </cell>
          <cell r="B2916">
            <v>2</v>
          </cell>
          <cell r="C2916" t="str">
            <v>SCW-000509-00</v>
          </cell>
          <cell r="D2916" t="str">
            <v>SCREW, SEALING FLAT HEAD, M3x0.5x8MM</v>
          </cell>
          <cell r="E2916" t="str">
            <v>B</v>
          </cell>
          <cell r="F2916" t="str">
            <v>Screw</v>
          </cell>
          <cell r="G2916">
            <v>2</v>
          </cell>
          <cell r="H2916">
            <v>0.4</v>
          </cell>
          <cell r="I2916" t="str">
            <v>Buy</v>
          </cell>
        </row>
        <row r="2917">
          <cell r="A2917" t="str">
            <v>ASY-100018-02</v>
          </cell>
          <cell r="B2917">
            <v>1</v>
          </cell>
          <cell r="C2917" t="str">
            <v>BAS-000021-00</v>
          </cell>
          <cell r="D2917" t="str">
            <v>BASE, 4FT, TROV 2.0</v>
          </cell>
          <cell r="E2917" t="str">
            <v>F</v>
          </cell>
          <cell r="F2917" t="str">
            <v>Base</v>
          </cell>
          <cell r="G2917">
            <v>1</v>
          </cell>
          <cell r="H2917">
            <v>14.25</v>
          </cell>
          <cell r="I2917" t="str">
            <v>Buy</v>
          </cell>
        </row>
        <row r="2918">
          <cell r="A2918" t="str">
            <v>ASY-100018-02</v>
          </cell>
          <cell r="B2918">
            <v>1</v>
          </cell>
          <cell r="C2918" t="str">
            <v>BKT-000457-03</v>
          </cell>
          <cell r="D2918" t="str">
            <v>BRACKET, MOUNT, LEFT, BLACK, TROV 2.0</v>
          </cell>
          <cell r="E2918" t="str">
            <v>C</v>
          </cell>
          <cell r="F2918" t="str">
            <v>Bracket</v>
          </cell>
          <cell r="G2918">
            <v>1</v>
          </cell>
          <cell r="H2918">
            <v>0.99</v>
          </cell>
          <cell r="I2918" t="str">
            <v>Buy</v>
          </cell>
        </row>
        <row r="2919">
          <cell r="A2919" t="str">
            <v>ASY-100018-02</v>
          </cell>
          <cell r="B2919">
            <v>1</v>
          </cell>
          <cell r="C2919" t="str">
            <v>BKT-000458-03</v>
          </cell>
          <cell r="D2919" t="str">
            <v>BRACKET, MOUNT, RIGHT, BLACK, TROV 2.0</v>
          </cell>
          <cell r="E2919" t="str">
            <v>C</v>
          </cell>
          <cell r="F2919" t="str">
            <v>Bracket</v>
          </cell>
          <cell r="G2919">
            <v>1</v>
          </cell>
          <cell r="H2919">
            <v>0.99</v>
          </cell>
          <cell r="I2919" t="str">
            <v>Buy</v>
          </cell>
        </row>
        <row r="2920">
          <cell r="A2920" t="str">
            <v>ASY-100018-02</v>
          </cell>
          <cell r="B2920">
            <v>1</v>
          </cell>
          <cell r="C2920" t="str">
            <v>CVR-000791-02</v>
          </cell>
          <cell r="D2920" t="str">
            <v>END COVER, FC, BRONZE, L45, TROV 2.0</v>
          </cell>
          <cell r="E2920" t="str">
            <v>D</v>
          </cell>
          <cell r="F2920" t="str">
            <v>Cover</v>
          </cell>
          <cell r="G2920">
            <v>1</v>
          </cell>
          <cell r="H2920">
            <v>1.07</v>
          </cell>
          <cell r="I2920" t="str">
            <v>Buy</v>
          </cell>
        </row>
        <row r="2921">
          <cell r="A2921" t="str">
            <v>ASY-100018-02</v>
          </cell>
          <cell r="B2921">
            <v>1</v>
          </cell>
          <cell r="C2921" t="str">
            <v>CVR-000894-02</v>
          </cell>
          <cell r="D2921" t="str">
            <v>END COVER, MC, BRONZE, L45, TROV 2.0</v>
          </cell>
          <cell r="E2921" t="str">
            <v>B</v>
          </cell>
          <cell r="F2921" t="str">
            <v>Cover</v>
          </cell>
          <cell r="G2921">
            <v>1</v>
          </cell>
          <cell r="H2921">
            <v>1.07</v>
          </cell>
          <cell r="I2921" t="str">
            <v>Buy</v>
          </cell>
        </row>
        <row r="2922">
          <cell r="A2922" t="str">
            <v>ASY-100018-02</v>
          </cell>
          <cell r="B2922">
            <v>1</v>
          </cell>
          <cell r="C2922" t="str">
            <v>FOM-000029-00</v>
          </cell>
          <cell r="D2922" t="str">
            <v>FOAM, LIGHTBLOCK, ENDCAP, L45, TROV2</v>
          </cell>
          <cell r="E2922" t="str">
            <v>A</v>
          </cell>
          <cell r="F2922" t="str">
            <v>Foam</v>
          </cell>
          <cell r="G2922">
            <v>2</v>
          </cell>
          <cell r="H2922">
            <v>0.02</v>
          </cell>
          <cell r="I2922" t="str">
            <v>Buy</v>
          </cell>
        </row>
        <row r="2923">
          <cell r="A2923" t="str">
            <v>ASY-100018-02</v>
          </cell>
          <cell r="B2923">
            <v>1</v>
          </cell>
          <cell r="C2923" t="str">
            <v>GSK-000114-01</v>
          </cell>
          <cell r="D2923" t="str">
            <v>GASKET, TERTIARY LENS, 3M, 2 FT, L45, TROV 2.0</v>
          </cell>
          <cell r="E2923" t="str">
            <v>D</v>
          </cell>
          <cell r="F2923" t="str">
            <v>Gasket</v>
          </cell>
          <cell r="G2923">
            <v>2</v>
          </cell>
          <cell r="H2923">
            <v>2.65</v>
          </cell>
          <cell r="I2923" t="str">
            <v>Buy</v>
          </cell>
        </row>
        <row r="2924">
          <cell r="A2924" t="str">
            <v>ASY-100018-02</v>
          </cell>
          <cell r="B2924">
            <v>1</v>
          </cell>
          <cell r="C2924" t="str">
            <v>GSK-000122-01</v>
          </cell>
          <cell r="D2924" t="str">
            <v>GASKET, DRIVER ENCLOSURE, 3M, 4 FT, TROV 2.0</v>
          </cell>
          <cell r="E2924" t="str">
            <v>B</v>
          </cell>
          <cell r="F2924" t="str">
            <v>Gasket</v>
          </cell>
          <cell r="G2924">
            <v>1</v>
          </cell>
          <cell r="H2924">
            <v>2.0299999999999998</v>
          </cell>
          <cell r="I2924" t="str">
            <v>Buy</v>
          </cell>
        </row>
        <row r="2925">
          <cell r="A2925" t="str">
            <v>ASY-100018-02</v>
          </cell>
          <cell r="B2925">
            <v>1</v>
          </cell>
          <cell r="C2925" t="str">
            <v>HSG-000494-02</v>
          </cell>
          <cell r="D2925" t="str">
            <v>HOUSING, TOP, 4 FT, L45, BRONZE, TROV 2.0</v>
          </cell>
          <cell r="E2925" t="str">
            <v>E</v>
          </cell>
          <cell r="F2925" t="str">
            <v>Housing</v>
          </cell>
          <cell r="G2925">
            <v>1</v>
          </cell>
          <cell r="H2925">
            <v>0</v>
          </cell>
          <cell r="I2925" t="str">
            <v>Buy</v>
          </cell>
        </row>
        <row r="2926">
          <cell r="A2926" t="str">
            <v>ASY-100018-02</v>
          </cell>
          <cell r="B2926">
            <v>1</v>
          </cell>
          <cell r="C2926" t="str">
            <v>HSG-000495-02</v>
          </cell>
          <cell r="D2926" t="str">
            <v>HOUSING, BOTTOM, 4 FT, BRONZE, TROV 2.0</v>
          </cell>
          <cell r="E2926" t="str">
            <v>F</v>
          </cell>
          <cell r="F2926" t="str">
            <v>Housing</v>
          </cell>
          <cell r="G2926">
            <v>1</v>
          </cell>
          <cell r="H2926">
            <v>29.32</v>
          </cell>
          <cell r="I2926" t="str">
            <v>Buy</v>
          </cell>
        </row>
        <row r="2927">
          <cell r="A2927" t="str">
            <v>ASY-100018-02</v>
          </cell>
          <cell r="B2927">
            <v>1</v>
          </cell>
          <cell r="C2927" t="str">
            <v>LBA-000003-00</v>
          </cell>
          <cell r="D2927" t="str">
            <v>Label: TROV 2 P1/P2, Model L45/L60</v>
          </cell>
          <cell r="E2927" t="str">
            <v>A</v>
          </cell>
          <cell r="F2927" t="str">
            <v>Label BOM</v>
          </cell>
          <cell r="G2927">
            <v>1</v>
          </cell>
          <cell r="H2927">
            <v>0</v>
          </cell>
          <cell r="I2927" t="str">
            <v>Make</v>
          </cell>
        </row>
        <row r="2928">
          <cell r="A2928" t="str">
            <v>ASY-100018-02</v>
          </cell>
          <cell r="B2928">
            <v>2</v>
          </cell>
          <cell r="C2928" t="str">
            <v>LBL-000243-00</v>
          </cell>
          <cell r="D2928" t="str">
            <v>Blank Product Label: Trov 2 P1/P2, Model L45/L60</v>
          </cell>
          <cell r="E2928" t="str">
            <v>A</v>
          </cell>
          <cell r="F2928" t="str">
            <v>Label</v>
          </cell>
          <cell r="G2928">
            <v>1</v>
          </cell>
          <cell r="H2928">
            <v>0.33</v>
          </cell>
          <cell r="I2928" t="str">
            <v>Buy</v>
          </cell>
        </row>
        <row r="2929">
          <cell r="A2929" t="str">
            <v>ASY-100018-02</v>
          </cell>
          <cell r="B2929">
            <v>1</v>
          </cell>
          <cell r="C2929" t="str">
            <v>PLG-000009-01</v>
          </cell>
          <cell r="D2929" t="str">
            <v>Porex Vent, Trov, L50 Exterior</v>
          </cell>
          <cell r="E2929" t="str">
            <v>B</v>
          </cell>
          <cell r="F2929" t="str">
            <v>Plug</v>
          </cell>
          <cell r="G2929">
            <v>2</v>
          </cell>
          <cell r="H2929">
            <v>0.17</v>
          </cell>
          <cell r="I2929" t="str">
            <v>Buy</v>
          </cell>
        </row>
        <row r="2930">
          <cell r="A2930" t="str">
            <v>ASY-100018-02</v>
          </cell>
          <cell r="B2930">
            <v>1</v>
          </cell>
          <cell r="C2930" t="str">
            <v>SCW-000156-00</v>
          </cell>
          <cell r="D2930" t="str">
            <v>SCREW, M3 x 0.5 X 8mm, PAND HEAD, PHILLIPS, STEEL</v>
          </cell>
          <cell r="E2930" t="str">
            <v>B</v>
          </cell>
          <cell r="F2930" t="str">
            <v>Screw</v>
          </cell>
          <cell r="G2930">
            <v>6</v>
          </cell>
          <cell r="H2930">
            <v>4.4400000000000002E-2</v>
          </cell>
          <cell r="I2930" t="str">
            <v>Buy</v>
          </cell>
        </row>
        <row r="2931">
          <cell r="A2931" t="str">
            <v>ASY-100018-02</v>
          </cell>
          <cell r="B2931">
            <v>1</v>
          </cell>
          <cell r="C2931" t="str">
            <v>SCW-000483-00</v>
          </cell>
          <cell r="D2931" t="str">
            <v>SCREW, PHILIPS FLAT HEAD, M2.5x0.45x5 , 18-8 SST</v>
          </cell>
          <cell r="E2931" t="str">
            <v>A</v>
          </cell>
          <cell r="F2931" t="str">
            <v>Screw</v>
          </cell>
          <cell r="G2931">
            <v>4</v>
          </cell>
          <cell r="H2931">
            <v>0.02</v>
          </cell>
          <cell r="I2931" t="str">
            <v>Buy</v>
          </cell>
        </row>
        <row r="2932">
          <cell r="A2932" t="str">
            <v>ASY-100018-02</v>
          </cell>
          <cell r="B2932">
            <v>1</v>
          </cell>
          <cell r="C2932" t="str">
            <v>SCW-000556-00</v>
          </cell>
          <cell r="D2932" t="str">
            <v>SCREW, HEX, SERRATED, #8-32, GROUNDING, TROV 2</v>
          </cell>
          <cell r="E2932" t="str">
            <v>A</v>
          </cell>
          <cell r="F2932" t="str">
            <v>Screw</v>
          </cell>
          <cell r="G2932">
            <v>1</v>
          </cell>
          <cell r="H2932">
            <v>0.04</v>
          </cell>
          <cell r="I2932" t="str">
            <v>Buy</v>
          </cell>
        </row>
        <row r="2933">
          <cell r="A2933" t="str">
            <v>ASY-100018-02</v>
          </cell>
          <cell r="B2933">
            <v>1</v>
          </cell>
          <cell r="C2933" t="str">
            <v>SCW-000567-00</v>
          </cell>
          <cell r="D2933" t="str">
            <v>SCREW, M2.5 x 0.45 x 12.0mm LENGTH, PAN HD, PHILLIPS, ZINC-PLATED STEEL</v>
          </cell>
          <cell r="E2933" t="str">
            <v>A</v>
          </cell>
          <cell r="F2933" t="str">
            <v>Screw</v>
          </cell>
          <cell r="G2933">
            <v>4</v>
          </cell>
          <cell r="H2933">
            <v>0.06</v>
          </cell>
          <cell r="I2933" t="str">
            <v>Buy</v>
          </cell>
        </row>
        <row r="2934">
          <cell r="A2934" t="str">
            <v>ASY-100018-02</v>
          </cell>
          <cell r="B2934">
            <v>1</v>
          </cell>
          <cell r="C2934" t="str">
            <v>SCW-000574-00</v>
          </cell>
          <cell r="D2934" t="str">
            <v>SCREW, TORX HEAD, 1/4-28x1/2", LOW PROFILE, ALLOY STEEL</v>
          </cell>
          <cell r="E2934" t="str">
            <v>A</v>
          </cell>
          <cell r="F2934" t="str">
            <v>Screw</v>
          </cell>
          <cell r="G2934">
            <v>2</v>
          </cell>
          <cell r="H2934">
            <v>0.14000000000000001</v>
          </cell>
          <cell r="I2934" t="str">
            <v>Buy</v>
          </cell>
        </row>
        <row r="2935">
          <cell r="A2935" t="str">
            <v>ASY-100018-02</v>
          </cell>
          <cell r="B2935">
            <v>1</v>
          </cell>
          <cell r="C2935" t="str">
            <v>SHT-000043-00</v>
          </cell>
          <cell r="D2935" t="str">
            <v>INSULATION SHEET, HBA, 4FT,TROV 2</v>
          </cell>
          <cell r="E2935" t="str">
            <v>D</v>
          </cell>
          <cell r="F2935" t="str">
            <v>Sheet</v>
          </cell>
          <cell r="G2935">
            <v>1</v>
          </cell>
          <cell r="H2935">
            <v>0.25</v>
          </cell>
          <cell r="I2935" t="str">
            <v>Buy</v>
          </cell>
        </row>
        <row r="2936">
          <cell r="A2936" t="str">
            <v>ASY-100018-02</v>
          </cell>
          <cell r="B2936">
            <v>1</v>
          </cell>
          <cell r="C2936" t="str">
            <v>SPG-000023-00</v>
          </cell>
          <cell r="D2936" t="str">
            <v>SPRING, DISC, STACKED WAVE, TROV 2.0</v>
          </cell>
          <cell r="E2936" t="str">
            <v>A</v>
          </cell>
          <cell r="F2936" t="str">
            <v>Spring</v>
          </cell>
          <cell r="G2936">
            <v>2</v>
          </cell>
          <cell r="H2936">
            <v>1.74</v>
          </cell>
          <cell r="I2936" t="str">
            <v>Buy</v>
          </cell>
        </row>
        <row r="2937">
          <cell r="A2937" t="str">
            <v>ASY-100018-02</v>
          </cell>
          <cell r="B2937">
            <v>1</v>
          </cell>
          <cell r="C2937" t="str">
            <v>TAP-000031-00</v>
          </cell>
          <cell r="D2937" t="str">
            <v>3M Electrical Tape 92</v>
          </cell>
          <cell r="E2937" t="str">
            <v>A</v>
          </cell>
          <cell r="F2937" t="str">
            <v>Tape</v>
          </cell>
          <cell r="G2937">
            <v>120</v>
          </cell>
          <cell r="H2937">
            <v>1.4E-2</v>
          </cell>
          <cell r="I2937" t="str">
            <v>Buy</v>
          </cell>
        </row>
        <row r="2938">
          <cell r="A2938" t="str">
            <v>ASY-100018-02</v>
          </cell>
          <cell r="B2938">
            <v>1</v>
          </cell>
          <cell r="C2938" t="str">
            <v>TMP-000028-00</v>
          </cell>
          <cell r="D2938" t="str">
            <v>Thermal Pad, LED PCBA, 2 FT, TROV 2</v>
          </cell>
          <cell r="E2938" t="str">
            <v>B</v>
          </cell>
          <cell r="F2938" t="str">
            <v>Thermal Pad</v>
          </cell>
          <cell r="G2938">
            <v>2</v>
          </cell>
          <cell r="H2938">
            <v>1.32</v>
          </cell>
          <cell r="I2938" t="str">
            <v>Buy</v>
          </cell>
        </row>
        <row r="2939">
          <cell r="A2939" t="str">
            <v>ASY-100018-02</v>
          </cell>
          <cell r="B2939">
            <v>1</v>
          </cell>
          <cell r="C2939" t="str">
            <v>TMP-000029-00</v>
          </cell>
          <cell r="D2939" t="str">
            <v>Thermal Pad, HBA, TROV 2</v>
          </cell>
          <cell r="E2939" t="str">
            <v>B</v>
          </cell>
          <cell r="F2939" t="str">
            <v>Thermal Pad</v>
          </cell>
          <cell r="G2939">
            <v>2</v>
          </cell>
          <cell r="H2939">
            <v>0.14000000000000001</v>
          </cell>
          <cell r="I2939" t="str">
            <v>Buy</v>
          </cell>
        </row>
        <row r="2940">
          <cell r="A2940" t="str">
            <v>ASY-100018-02</v>
          </cell>
          <cell r="B2940">
            <v>1</v>
          </cell>
          <cell r="C2940" t="str">
            <v>TMP-000032-00</v>
          </cell>
          <cell r="D2940" t="str">
            <v>Thermal Pad, HBA, TROV 2</v>
          </cell>
          <cell r="E2940" t="str">
            <v>A</v>
          </cell>
          <cell r="F2940" t="str">
            <v>Thermal Pad</v>
          </cell>
          <cell r="G2940">
            <v>1</v>
          </cell>
          <cell r="H2940">
            <v>0.03</v>
          </cell>
          <cell r="I2940" t="str">
            <v>Buy</v>
          </cell>
        </row>
        <row r="2941">
          <cell r="A2941" t="str">
            <v>ASY-100018-03</v>
          </cell>
          <cell r="B2941">
            <v>0</v>
          </cell>
          <cell r="C2941" t="str">
            <v>ASY-100018-03</v>
          </cell>
          <cell r="D2941" t="str">
            <v>ASSY, MECHANICAL, L45, OUTDOOR, 4 FT, TROV2P2, DYNAMIC, BLACK</v>
          </cell>
          <cell r="E2941" t="str">
            <v>A</v>
          </cell>
          <cell r="F2941" t="str">
            <v>Sub assembly</v>
          </cell>
          <cell r="H2941">
            <v>0</v>
          </cell>
          <cell r="I2941" t="str">
            <v>Make</v>
          </cell>
        </row>
        <row r="2942">
          <cell r="A2942" t="str">
            <v>ASY-100018-03</v>
          </cell>
          <cell r="B2942">
            <v>1</v>
          </cell>
          <cell r="C2942" t="str">
            <v>ACB-000275-00</v>
          </cell>
          <cell r="D2942" t="str">
            <v>CABLE, CANBUS, SHORT, TROV 2</v>
          </cell>
          <cell r="E2942" t="str">
            <v>A</v>
          </cell>
          <cell r="F2942" t="str">
            <v>Cable</v>
          </cell>
          <cell r="G2942">
            <v>1</v>
          </cell>
          <cell r="H2942">
            <v>0.7</v>
          </cell>
          <cell r="I2942" t="str">
            <v>Buy</v>
          </cell>
        </row>
        <row r="2943">
          <cell r="A2943" t="str">
            <v>ASY-100018-03</v>
          </cell>
          <cell r="B2943">
            <v>1</v>
          </cell>
          <cell r="C2943" t="str">
            <v>ACB-000275-01</v>
          </cell>
          <cell r="D2943" t="str">
            <v>CABLE, CANBUS, LONG, TROV 2</v>
          </cell>
          <cell r="E2943" t="str">
            <v>A</v>
          </cell>
          <cell r="F2943" t="str">
            <v>Cable</v>
          </cell>
          <cell r="G2943">
            <v>1</v>
          </cell>
          <cell r="H2943">
            <v>0.81</v>
          </cell>
          <cell r="I2943" t="str">
            <v>Buy</v>
          </cell>
        </row>
        <row r="2944">
          <cell r="A2944" t="str">
            <v>ASY-100018-03</v>
          </cell>
          <cell r="B2944">
            <v>1</v>
          </cell>
          <cell r="C2944" t="str">
            <v>ASY-100008-00</v>
          </cell>
          <cell r="D2944" t="str">
            <v>Cable Subassembly, Driver housing, 4ft, Trov 2</v>
          </cell>
          <cell r="E2944" t="str">
            <v>A</v>
          </cell>
          <cell r="F2944" t="str">
            <v>Sub assembly</v>
          </cell>
          <cell r="G2944">
            <v>1</v>
          </cell>
          <cell r="H2944">
            <v>0</v>
          </cell>
          <cell r="I2944" t="str">
            <v>Make</v>
          </cell>
        </row>
        <row r="2945">
          <cell r="A2945" t="str">
            <v>ASY-100018-03</v>
          </cell>
          <cell r="B2945">
            <v>2</v>
          </cell>
          <cell r="C2945" t="str">
            <v>ACB-000272-00</v>
          </cell>
          <cell r="D2945" t="str">
            <v>CABLE ASSY, INTRA-FIXTURE, 4FT, TROV 2.0</v>
          </cell>
          <cell r="E2945" t="str">
            <v>B</v>
          </cell>
          <cell r="F2945" t="str">
            <v>Cable Assembly</v>
          </cell>
          <cell r="G2945">
            <v>1</v>
          </cell>
          <cell r="H2945">
            <v>20.420000000000002</v>
          </cell>
          <cell r="I2945" t="str">
            <v>Buy</v>
          </cell>
        </row>
        <row r="2946">
          <cell r="A2946" t="str">
            <v>ASY-100018-03</v>
          </cell>
          <cell r="B2946">
            <v>3</v>
          </cell>
          <cell r="C2946" t="str">
            <v>ACB-000273-00</v>
          </cell>
          <cell r="D2946" t="str">
            <v>6 CONDUCTOR CABLE, 3X22AWG, 3X16AWG, AL MYLAR, TROV 2</v>
          </cell>
          <cell r="E2946" t="str">
            <v>A</v>
          </cell>
          <cell r="F2946" t="str">
            <v>Cable</v>
          </cell>
          <cell r="G2946">
            <v>1</v>
          </cell>
          <cell r="H2946">
            <v>0</v>
          </cell>
          <cell r="I2946" t="str">
            <v>N/A</v>
          </cell>
        </row>
        <row r="2947">
          <cell r="A2947" t="str">
            <v>ASY-100018-03</v>
          </cell>
          <cell r="B2947">
            <v>3</v>
          </cell>
          <cell r="C2947" t="str">
            <v>ACB-000274-00</v>
          </cell>
          <cell r="D2947" t="str">
            <v>CABLE ASSEMBLY, INTERNAL, DRIVER SIDE, 4FT, TROV 2</v>
          </cell>
          <cell r="E2947" t="str">
            <v>A</v>
          </cell>
          <cell r="F2947" t="str">
            <v>Cable Assembly</v>
          </cell>
          <cell r="G2947">
            <v>1</v>
          </cell>
          <cell r="H2947">
            <v>0</v>
          </cell>
          <cell r="I2947" t="str">
            <v>N/A</v>
          </cell>
        </row>
        <row r="2948">
          <cell r="A2948" t="str">
            <v>ASY-100018-03</v>
          </cell>
          <cell r="B2948">
            <v>3</v>
          </cell>
          <cell r="C2948" t="str">
            <v>CON-000259-00</v>
          </cell>
          <cell r="D2948" t="str">
            <v>CONNECTOR, MALE, 6 PIN, TROV 2</v>
          </cell>
          <cell r="E2948" t="str">
            <v>B</v>
          </cell>
          <cell r="F2948" t="str">
            <v>Connector</v>
          </cell>
          <cell r="G2948">
            <v>1</v>
          </cell>
          <cell r="H2948">
            <v>0</v>
          </cell>
          <cell r="I2948" t="str">
            <v>N/A</v>
          </cell>
        </row>
        <row r="2949">
          <cell r="A2949" t="str">
            <v>ASY-100018-03</v>
          </cell>
          <cell r="B2949">
            <v>3</v>
          </cell>
          <cell r="C2949" t="str">
            <v>CON-000260-00</v>
          </cell>
          <cell r="D2949" t="str">
            <v>CONNECTOR, FEMALE, 6 PIN, TROV 2</v>
          </cell>
          <cell r="E2949" t="str">
            <v>A</v>
          </cell>
          <cell r="F2949" t="str">
            <v>Connector</v>
          </cell>
          <cell r="G2949">
            <v>1</v>
          </cell>
          <cell r="H2949">
            <v>0</v>
          </cell>
          <cell r="I2949" t="str">
            <v>N/A</v>
          </cell>
        </row>
        <row r="2950">
          <cell r="A2950" t="str">
            <v>ASY-100018-03</v>
          </cell>
          <cell r="B2950">
            <v>3</v>
          </cell>
          <cell r="C2950" t="str">
            <v>HSG-000330-00</v>
          </cell>
          <cell r="D2950" t="str">
            <v>DRIVER HOUSING, 4 FT, TROV 2</v>
          </cell>
          <cell r="E2950" t="str">
            <v>A</v>
          </cell>
          <cell r="F2950" t="str">
            <v>Housing</v>
          </cell>
          <cell r="G2950">
            <v>1</v>
          </cell>
          <cell r="H2950">
            <v>0</v>
          </cell>
          <cell r="I2950" t="str">
            <v>N/A</v>
          </cell>
        </row>
        <row r="2951">
          <cell r="A2951" t="str">
            <v>ASY-100018-03</v>
          </cell>
          <cell r="B2951">
            <v>3</v>
          </cell>
          <cell r="C2951" t="str">
            <v>ORG-000060-00</v>
          </cell>
          <cell r="D2951" t="str">
            <v>O-RING, CABLE, TROV 2</v>
          </cell>
          <cell r="E2951" t="str">
            <v>A</v>
          </cell>
          <cell r="F2951" t="str">
            <v>O-Ring</v>
          </cell>
          <cell r="G2951">
            <v>1</v>
          </cell>
          <cell r="H2951">
            <v>0</v>
          </cell>
          <cell r="I2951" t="str">
            <v>N/A</v>
          </cell>
        </row>
        <row r="2952">
          <cell r="A2952" t="str">
            <v>ASY-100018-03</v>
          </cell>
          <cell r="B2952">
            <v>3</v>
          </cell>
          <cell r="C2952" t="str">
            <v>SRF-000030-00</v>
          </cell>
          <cell r="D2952" t="str">
            <v>STRAIN RELIEF, CABLE, TROV 2</v>
          </cell>
          <cell r="E2952" t="str">
            <v>A</v>
          </cell>
          <cell r="F2952" t="str">
            <v>Strain Relief</v>
          </cell>
          <cell r="G2952">
            <v>1</v>
          </cell>
          <cell r="H2952">
            <v>0</v>
          </cell>
          <cell r="I2952" t="str">
            <v>N/A</v>
          </cell>
        </row>
        <row r="2953">
          <cell r="A2953" t="str">
            <v>ASY-100018-03</v>
          </cell>
          <cell r="B2953">
            <v>2</v>
          </cell>
          <cell r="C2953" t="str">
            <v>BKT-000517-00</v>
          </cell>
          <cell r="D2953" t="str">
            <v>BRACKET, ROTATING LOCK, 4 FT, TROV 2.0</v>
          </cell>
          <cell r="E2953" t="str">
            <v>B</v>
          </cell>
          <cell r="F2953" t="str">
            <v>Bracket</v>
          </cell>
          <cell r="G2953">
            <v>1</v>
          </cell>
          <cell r="H2953">
            <v>0.9</v>
          </cell>
          <cell r="I2953" t="str">
            <v>Buy</v>
          </cell>
        </row>
        <row r="2954">
          <cell r="A2954" t="str">
            <v>ASY-100018-03</v>
          </cell>
          <cell r="B2954">
            <v>2</v>
          </cell>
          <cell r="C2954" t="str">
            <v>BKT-000518-00</v>
          </cell>
          <cell r="D2954" t="str">
            <v>BRACKET, PANEL MOUNT, 4 FT, TROV 2.0</v>
          </cell>
          <cell r="E2954" t="str">
            <v>B</v>
          </cell>
          <cell r="F2954" t="str">
            <v>Bracket</v>
          </cell>
          <cell r="G2954">
            <v>1</v>
          </cell>
          <cell r="H2954">
            <v>0.9</v>
          </cell>
          <cell r="I2954" t="str">
            <v>Buy</v>
          </cell>
        </row>
        <row r="2955">
          <cell r="A2955" t="str">
            <v>ASY-100018-03</v>
          </cell>
          <cell r="B2955">
            <v>2</v>
          </cell>
          <cell r="C2955" t="str">
            <v>SCW-000509-00</v>
          </cell>
          <cell r="D2955" t="str">
            <v>SCREW, SEALING FLAT HEAD, M3x0.5x8MM</v>
          </cell>
          <cell r="E2955" t="str">
            <v>B</v>
          </cell>
          <cell r="F2955" t="str">
            <v>Screw</v>
          </cell>
          <cell r="G2955">
            <v>2</v>
          </cell>
          <cell r="H2955">
            <v>0.4</v>
          </cell>
          <cell r="I2955" t="str">
            <v>Buy</v>
          </cell>
        </row>
        <row r="2956">
          <cell r="A2956" t="str">
            <v>ASY-100018-03</v>
          </cell>
          <cell r="B2956">
            <v>1</v>
          </cell>
          <cell r="C2956" t="str">
            <v>BAS-000021-00</v>
          </cell>
          <cell r="D2956" t="str">
            <v>BASE, 4FT, TROV 2.0</v>
          </cell>
          <cell r="E2956" t="str">
            <v>F</v>
          </cell>
          <cell r="F2956" t="str">
            <v>Base</v>
          </cell>
          <cell r="G2956">
            <v>1</v>
          </cell>
          <cell r="H2956">
            <v>14.25</v>
          </cell>
          <cell r="I2956" t="str">
            <v>Buy</v>
          </cell>
        </row>
        <row r="2957">
          <cell r="A2957" t="str">
            <v>ASY-100018-03</v>
          </cell>
          <cell r="B2957">
            <v>1</v>
          </cell>
          <cell r="C2957" t="str">
            <v>BKT-000457-03</v>
          </cell>
          <cell r="D2957" t="str">
            <v>BRACKET, MOUNT, LEFT, BLACK, TROV 2.0</v>
          </cell>
          <cell r="E2957" t="str">
            <v>C</v>
          </cell>
          <cell r="F2957" t="str">
            <v>Bracket</v>
          </cell>
          <cell r="G2957">
            <v>1</v>
          </cell>
          <cell r="H2957">
            <v>0.99</v>
          </cell>
          <cell r="I2957" t="str">
            <v>Buy</v>
          </cell>
        </row>
        <row r="2958">
          <cell r="A2958" t="str">
            <v>ASY-100018-03</v>
          </cell>
          <cell r="B2958">
            <v>1</v>
          </cell>
          <cell r="C2958" t="str">
            <v>BKT-000458-03</v>
          </cell>
          <cell r="D2958" t="str">
            <v>BRACKET, MOUNT, RIGHT, BLACK, TROV 2.0</v>
          </cell>
          <cell r="E2958" t="str">
            <v>C</v>
          </cell>
          <cell r="F2958" t="str">
            <v>Bracket</v>
          </cell>
          <cell r="G2958">
            <v>1</v>
          </cell>
          <cell r="H2958">
            <v>0.99</v>
          </cell>
          <cell r="I2958" t="str">
            <v>Buy</v>
          </cell>
        </row>
        <row r="2959">
          <cell r="A2959" t="str">
            <v>ASY-100018-03</v>
          </cell>
          <cell r="B2959">
            <v>1</v>
          </cell>
          <cell r="C2959" t="str">
            <v>CVR-000791-03</v>
          </cell>
          <cell r="D2959" t="str">
            <v>END COVER, FC, BLACK, L45, TROV 2.0</v>
          </cell>
          <cell r="E2959" t="str">
            <v>D</v>
          </cell>
          <cell r="F2959" t="str">
            <v>Cover</v>
          </cell>
          <cell r="G2959">
            <v>1</v>
          </cell>
          <cell r="H2959">
            <v>1.07</v>
          </cell>
          <cell r="I2959" t="str">
            <v>Buy</v>
          </cell>
        </row>
        <row r="2960">
          <cell r="A2960" t="str">
            <v>ASY-100018-03</v>
          </cell>
          <cell r="B2960">
            <v>1</v>
          </cell>
          <cell r="C2960" t="str">
            <v>CVR-000894-03</v>
          </cell>
          <cell r="D2960" t="str">
            <v>END COVER, MC, BLACK, L45, TROV 2.0</v>
          </cell>
          <cell r="E2960" t="str">
            <v>B</v>
          </cell>
          <cell r="F2960" t="str">
            <v>Cover</v>
          </cell>
          <cell r="G2960">
            <v>1</v>
          </cell>
          <cell r="H2960">
            <v>1.07</v>
          </cell>
          <cell r="I2960" t="str">
            <v>Buy</v>
          </cell>
        </row>
        <row r="2961">
          <cell r="A2961" t="str">
            <v>ASY-100018-03</v>
          </cell>
          <cell r="B2961">
            <v>1</v>
          </cell>
          <cell r="C2961" t="str">
            <v>FOM-000029-00</v>
          </cell>
          <cell r="D2961" t="str">
            <v>FOAM, LIGHTBLOCK, ENDCAP, L45, TROV2</v>
          </cell>
          <cell r="E2961" t="str">
            <v>A</v>
          </cell>
          <cell r="F2961" t="str">
            <v>Foam</v>
          </cell>
          <cell r="G2961">
            <v>2</v>
          </cell>
          <cell r="H2961">
            <v>0.02</v>
          </cell>
          <cell r="I2961" t="str">
            <v>Buy</v>
          </cell>
        </row>
        <row r="2962">
          <cell r="A2962" t="str">
            <v>ASY-100018-03</v>
          </cell>
          <cell r="B2962">
            <v>1</v>
          </cell>
          <cell r="C2962" t="str">
            <v>GSK-000114-01</v>
          </cell>
          <cell r="D2962" t="str">
            <v>GASKET, TERTIARY LENS, 3M, 2 FT, L45, TROV 2.0</v>
          </cell>
          <cell r="E2962" t="str">
            <v>D</v>
          </cell>
          <cell r="F2962" t="str">
            <v>Gasket</v>
          </cell>
          <cell r="G2962">
            <v>2</v>
          </cell>
          <cell r="H2962">
            <v>2.65</v>
          </cell>
          <cell r="I2962" t="str">
            <v>Buy</v>
          </cell>
        </row>
        <row r="2963">
          <cell r="A2963" t="str">
            <v>ASY-100018-03</v>
          </cell>
          <cell r="B2963">
            <v>1</v>
          </cell>
          <cell r="C2963" t="str">
            <v>GSK-000122-01</v>
          </cell>
          <cell r="D2963" t="str">
            <v>GASKET, DRIVER ENCLOSURE, 3M, 4 FT, TROV 2.0</v>
          </cell>
          <cell r="E2963" t="str">
            <v>B</v>
          </cell>
          <cell r="F2963" t="str">
            <v>Gasket</v>
          </cell>
          <cell r="G2963">
            <v>1</v>
          </cell>
          <cell r="H2963">
            <v>2.0299999999999998</v>
          </cell>
          <cell r="I2963" t="str">
            <v>Buy</v>
          </cell>
        </row>
        <row r="2964">
          <cell r="A2964" t="str">
            <v>ASY-100018-03</v>
          </cell>
          <cell r="B2964">
            <v>1</v>
          </cell>
          <cell r="C2964" t="str">
            <v>HSG-000494-03</v>
          </cell>
          <cell r="D2964" t="str">
            <v>HOUSING, TOP, 4 FT, L45, BLACK, TROV 2.0</v>
          </cell>
          <cell r="E2964" t="str">
            <v>E</v>
          </cell>
          <cell r="F2964" t="str">
            <v>Housing</v>
          </cell>
          <cell r="G2964">
            <v>1</v>
          </cell>
          <cell r="H2964">
            <v>14.25</v>
          </cell>
          <cell r="I2964" t="str">
            <v>Buy</v>
          </cell>
        </row>
        <row r="2965">
          <cell r="A2965" t="str">
            <v>ASY-100018-03</v>
          </cell>
          <cell r="B2965">
            <v>1</v>
          </cell>
          <cell r="C2965" t="str">
            <v>HSG-000495-03</v>
          </cell>
          <cell r="D2965" t="str">
            <v>HOUSING, BOTTOM, 4 FT, BLACK, TROV 2.0</v>
          </cell>
          <cell r="E2965" t="str">
            <v>F</v>
          </cell>
          <cell r="F2965" t="str">
            <v>Housing</v>
          </cell>
          <cell r="G2965">
            <v>1</v>
          </cell>
          <cell r="H2965">
            <v>13.73</v>
          </cell>
          <cell r="I2965" t="str">
            <v>Buy</v>
          </cell>
        </row>
        <row r="2966">
          <cell r="A2966" t="str">
            <v>ASY-100018-03</v>
          </cell>
          <cell r="B2966">
            <v>1</v>
          </cell>
          <cell r="C2966" t="str">
            <v>LBA-000003-00</v>
          </cell>
          <cell r="D2966" t="str">
            <v>Label: TROV 2 P1/P2, Model L45/L60</v>
          </cell>
          <cell r="E2966" t="str">
            <v>A</v>
          </cell>
          <cell r="F2966" t="str">
            <v>Label BOM</v>
          </cell>
          <cell r="G2966">
            <v>1</v>
          </cell>
          <cell r="H2966">
            <v>0</v>
          </cell>
          <cell r="I2966" t="str">
            <v>Make</v>
          </cell>
        </row>
        <row r="2967">
          <cell r="A2967" t="str">
            <v>ASY-100018-03</v>
          </cell>
          <cell r="B2967">
            <v>2</v>
          </cell>
          <cell r="C2967" t="str">
            <v>LBL-000243-00</v>
          </cell>
          <cell r="D2967" t="str">
            <v>Blank Product Label: Trov 2 P1/P2, Model L45/L60</v>
          </cell>
          <cell r="E2967" t="str">
            <v>A</v>
          </cell>
          <cell r="F2967" t="str">
            <v>Label</v>
          </cell>
          <cell r="G2967">
            <v>1</v>
          </cell>
          <cell r="H2967">
            <v>0.33</v>
          </cell>
          <cell r="I2967" t="str">
            <v>Buy</v>
          </cell>
        </row>
        <row r="2968">
          <cell r="A2968" t="str">
            <v>ASY-100018-03</v>
          </cell>
          <cell r="B2968">
            <v>1</v>
          </cell>
          <cell r="C2968" t="str">
            <v>PLG-000009-01</v>
          </cell>
          <cell r="D2968" t="str">
            <v>Porex Vent, Trov, L50 Exterior</v>
          </cell>
          <cell r="E2968" t="str">
            <v>B</v>
          </cell>
          <cell r="F2968" t="str">
            <v>Plug</v>
          </cell>
          <cell r="G2968">
            <v>2</v>
          </cell>
          <cell r="H2968">
            <v>0.17</v>
          </cell>
          <cell r="I2968" t="str">
            <v>Buy</v>
          </cell>
        </row>
        <row r="2969">
          <cell r="A2969" t="str">
            <v>ASY-100018-03</v>
          </cell>
          <cell r="B2969">
            <v>1</v>
          </cell>
          <cell r="C2969" t="str">
            <v>SCW-000156-00</v>
          </cell>
          <cell r="D2969" t="str">
            <v>SCREW, M3 x 0.5 X 8mm, PAND HEAD, PHILLIPS, STEEL</v>
          </cell>
          <cell r="E2969" t="str">
            <v>B</v>
          </cell>
          <cell r="F2969" t="str">
            <v>Screw</v>
          </cell>
          <cell r="G2969">
            <v>6</v>
          </cell>
          <cell r="H2969">
            <v>4.4400000000000002E-2</v>
          </cell>
          <cell r="I2969" t="str">
            <v>Buy</v>
          </cell>
        </row>
        <row r="2970">
          <cell r="A2970" t="str">
            <v>ASY-100018-03</v>
          </cell>
          <cell r="B2970">
            <v>1</v>
          </cell>
          <cell r="C2970" t="str">
            <v>SCW-000483-00</v>
          </cell>
          <cell r="D2970" t="str">
            <v>SCREW, PHILIPS FLAT HEAD, M2.5x0.45x5 , 18-8 SST</v>
          </cell>
          <cell r="E2970" t="str">
            <v>A</v>
          </cell>
          <cell r="F2970" t="str">
            <v>Screw</v>
          </cell>
          <cell r="G2970">
            <v>4</v>
          </cell>
          <cell r="H2970">
            <v>0.02</v>
          </cell>
          <cell r="I2970" t="str">
            <v>Buy</v>
          </cell>
        </row>
        <row r="2971">
          <cell r="A2971" t="str">
            <v>ASY-100018-03</v>
          </cell>
          <cell r="B2971">
            <v>1</v>
          </cell>
          <cell r="C2971" t="str">
            <v>SCW-000556-00</v>
          </cell>
          <cell r="D2971" t="str">
            <v>SCREW, HEX, SERRATED, #8-32, GROUNDING, TROV 2</v>
          </cell>
          <cell r="E2971" t="str">
            <v>A</v>
          </cell>
          <cell r="F2971" t="str">
            <v>Screw</v>
          </cell>
          <cell r="G2971">
            <v>1</v>
          </cell>
          <cell r="H2971">
            <v>0.04</v>
          </cell>
          <cell r="I2971" t="str">
            <v>Buy</v>
          </cell>
        </row>
        <row r="2972">
          <cell r="A2972" t="str">
            <v>ASY-100018-03</v>
          </cell>
          <cell r="B2972">
            <v>1</v>
          </cell>
          <cell r="C2972" t="str">
            <v>SCW-000567-00</v>
          </cell>
          <cell r="D2972" t="str">
            <v>SCREW, M2.5 x 0.45 x 12.0mm LENGTH, PAN HD, PHILLIPS, ZINC-PLATED STEEL</v>
          </cell>
          <cell r="E2972" t="str">
            <v>A</v>
          </cell>
          <cell r="F2972" t="str">
            <v>Screw</v>
          </cell>
          <cell r="G2972">
            <v>4</v>
          </cell>
          <cell r="H2972">
            <v>0.06</v>
          </cell>
          <cell r="I2972" t="str">
            <v>Buy</v>
          </cell>
        </row>
        <row r="2973">
          <cell r="A2973" t="str">
            <v>ASY-100018-03</v>
          </cell>
          <cell r="B2973">
            <v>1</v>
          </cell>
          <cell r="C2973" t="str">
            <v>SCW-000574-00</v>
          </cell>
          <cell r="D2973" t="str">
            <v>SCREW, TORX HEAD, 1/4-28x1/2", LOW PROFILE, ALLOY STEEL</v>
          </cell>
          <cell r="E2973" t="str">
            <v>A</v>
          </cell>
          <cell r="F2973" t="str">
            <v>Screw</v>
          </cell>
          <cell r="G2973">
            <v>2</v>
          </cell>
          <cell r="H2973">
            <v>0.14000000000000001</v>
          </cell>
          <cell r="I2973" t="str">
            <v>Buy</v>
          </cell>
        </row>
        <row r="2974">
          <cell r="A2974" t="str">
            <v>ASY-100018-03</v>
          </cell>
          <cell r="B2974">
            <v>1</v>
          </cell>
          <cell r="C2974" t="str">
            <v>SHT-000043-00</v>
          </cell>
          <cell r="D2974" t="str">
            <v>INSULATION SHEET, HBA, 4FT,TROV 2</v>
          </cell>
          <cell r="E2974" t="str">
            <v>D</v>
          </cell>
          <cell r="F2974" t="str">
            <v>Sheet</v>
          </cell>
          <cell r="G2974">
            <v>1</v>
          </cell>
          <cell r="H2974">
            <v>0.25</v>
          </cell>
          <cell r="I2974" t="str">
            <v>Buy</v>
          </cell>
        </row>
        <row r="2975">
          <cell r="A2975" t="str">
            <v>ASY-100018-03</v>
          </cell>
          <cell r="B2975">
            <v>1</v>
          </cell>
          <cell r="C2975" t="str">
            <v>SPG-000023-00</v>
          </cell>
          <cell r="D2975" t="str">
            <v>SPRING, DISC, STACKED WAVE, TROV 2.0</v>
          </cell>
          <cell r="E2975" t="str">
            <v>A</v>
          </cell>
          <cell r="F2975" t="str">
            <v>Spring</v>
          </cell>
          <cell r="G2975">
            <v>2</v>
          </cell>
          <cell r="H2975">
            <v>1.74</v>
          </cell>
          <cell r="I2975" t="str">
            <v>Buy</v>
          </cell>
        </row>
        <row r="2976">
          <cell r="A2976" t="str">
            <v>ASY-100018-03</v>
          </cell>
          <cell r="B2976">
            <v>1</v>
          </cell>
          <cell r="C2976" t="str">
            <v>TAP-000031-00</v>
          </cell>
          <cell r="D2976" t="str">
            <v>3M Electrical Tape 92</v>
          </cell>
          <cell r="E2976" t="str">
            <v>A</v>
          </cell>
          <cell r="F2976" t="str">
            <v>Tape</v>
          </cell>
          <cell r="G2976">
            <v>120</v>
          </cell>
          <cell r="H2976">
            <v>1.4E-2</v>
          </cell>
          <cell r="I2976" t="str">
            <v>Buy</v>
          </cell>
        </row>
        <row r="2977">
          <cell r="A2977" t="str">
            <v>ASY-100018-03</v>
          </cell>
          <cell r="B2977">
            <v>1</v>
          </cell>
          <cell r="C2977" t="str">
            <v>TMP-000028-00</v>
          </cell>
          <cell r="D2977" t="str">
            <v>Thermal Pad, LED PCBA, 2 FT, TROV 2</v>
          </cell>
          <cell r="E2977" t="str">
            <v>B</v>
          </cell>
          <cell r="F2977" t="str">
            <v>Thermal Pad</v>
          </cell>
          <cell r="G2977">
            <v>2</v>
          </cell>
          <cell r="H2977">
            <v>1.32</v>
          </cell>
          <cell r="I2977" t="str">
            <v>Buy</v>
          </cell>
        </row>
        <row r="2978">
          <cell r="A2978" t="str">
            <v>ASY-100018-03</v>
          </cell>
          <cell r="B2978">
            <v>1</v>
          </cell>
          <cell r="C2978" t="str">
            <v>TMP-000029-00</v>
          </cell>
          <cell r="D2978" t="str">
            <v>Thermal Pad, HBA, TROV 2</v>
          </cell>
          <cell r="E2978" t="str">
            <v>B</v>
          </cell>
          <cell r="F2978" t="str">
            <v>Thermal Pad</v>
          </cell>
          <cell r="G2978">
            <v>2</v>
          </cell>
          <cell r="H2978">
            <v>0.14000000000000001</v>
          </cell>
          <cell r="I2978" t="str">
            <v>Buy</v>
          </cell>
        </row>
        <row r="2979">
          <cell r="A2979" t="str">
            <v>ASY-100018-03</v>
          </cell>
          <cell r="B2979">
            <v>1</v>
          </cell>
          <cell r="C2979" t="str">
            <v>TMP-000032-00</v>
          </cell>
          <cell r="D2979" t="str">
            <v>Thermal Pad, HBA, TROV 2</v>
          </cell>
          <cell r="E2979" t="str">
            <v>A</v>
          </cell>
          <cell r="F2979" t="str">
            <v>Thermal Pad</v>
          </cell>
          <cell r="G2979">
            <v>1</v>
          </cell>
          <cell r="H2979">
            <v>0.03</v>
          </cell>
          <cell r="I2979" t="str">
            <v>Buy</v>
          </cell>
        </row>
        <row r="2980">
          <cell r="A2980" t="str">
            <v>ASY-100018-04</v>
          </cell>
          <cell r="B2980">
            <v>0</v>
          </cell>
          <cell r="C2980" t="str">
            <v>ASY-100018-04</v>
          </cell>
          <cell r="D2980" t="str">
            <v>ASSY, MECHANICAL, L45, OUTDOOR, 4 FT, TROV2P2, DYNAMIC, WHITE</v>
          </cell>
          <cell r="E2980" t="str">
            <v>A</v>
          </cell>
          <cell r="F2980" t="str">
            <v>Sub assembly</v>
          </cell>
          <cell r="H2980">
            <v>0</v>
          </cell>
          <cell r="I2980" t="str">
            <v>Make</v>
          </cell>
        </row>
        <row r="2981">
          <cell r="A2981" t="str">
            <v>ASY-100018-04</v>
          </cell>
          <cell r="B2981">
            <v>1</v>
          </cell>
          <cell r="C2981" t="str">
            <v>ACB-000275-00</v>
          </cell>
          <cell r="D2981" t="str">
            <v>CABLE, CANBUS, SHORT, TROV 2</v>
          </cell>
          <cell r="E2981" t="str">
            <v>A</v>
          </cell>
          <cell r="F2981" t="str">
            <v>Cable</v>
          </cell>
          <cell r="G2981">
            <v>1</v>
          </cell>
          <cell r="H2981">
            <v>0.7</v>
          </cell>
          <cell r="I2981" t="str">
            <v>Buy</v>
          </cell>
        </row>
        <row r="2982">
          <cell r="A2982" t="str">
            <v>ASY-100018-04</v>
          </cell>
          <cell r="B2982">
            <v>1</v>
          </cell>
          <cell r="C2982" t="str">
            <v>ACB-000275-01</v>
          </cell>
          <cell r="D2982" t="str">
            <v>CABLE, CANBUS, LONG, TROV 2</v>
          </cell>
          <cell r="E2982" t="str">
            <v>A</v>
          </cell>
          <cell r="F2982" t="str">
            <v>Cable</v>
          </cell>
          <cell r="G2982">
            <v>1</v>
          </cell>
          <cell r="H2982">
            <v>0.81</v>
          </cell>
          <cell r="I2982" t="str">
            <v>Buy</v>
          </cell>
        </row>
        <row r="2983">
          <cell r="A2983" t="str">
            <v>ASY-100018-04</v>
          </cell>
          <cell r="B2983">
            <v>1</v>
          </cell>
          <cell r="C2983" t="str">
            <v>ASY-100008-00</v>
          </cell>
          <cell r="D2983" t="str">
            <v>Cable Subassembly, Driver housing, 4ft, Trov 2</v>
          </cell>
          <cell r="E2983" t="str">
            <v>A</v>
          </cell>
          <cell r="F2983" t="str">
            <v>Sub assembly</v>
          </cell>
          <cell r="G2983">
            <v>1</v>
          </cell>
          <cell r="H2983">
            <v>0</v>
          </cell>
          <cell r="I2983" t="str">
            <v>Make</v>
          </cell>
        </row>
        <row r="2984">
          <cell r="A2984" t="str">
            <v>ASY-100018-04</v>
          </cell>
          <cell r="B2984">
            <v>2</v>
          </cell>
          <cell r="C2984" t="str">
            <v>ACB-000272-00</v>
          </cell>
          <cell r="D2984" t="str">
            <v>CABLE ASSY, INTRA-FIXTURE, 4FT, TROV 2.0</v>
          </cell>
          <cell r="E2984" t="str">
            <v>B</v>
          </cell>
          <cell r="F2984" t="str">
            <v>Cable Assembly</v>
          </cell>
          <cell r="G2984">
            <v>1</v>
          </cell>
          <cell r="H2984">
            <v>20.420000000000002</v>
          </cell>
          <cell r="I2984" t="str">
            <v>Buy</v>
          </cell>
        </row>
        <row r="2985">
          <cell r="A2985" t="str">
            <v>ASY-100018-04</v>
          </cell>
          <cell r="B2985">
            <v>3</v>
          </cell>
          <cell r="C2985" t="str">
            <v>ACB-000273-00</v>
          </cell>
          <cell r="D2985" t="str">
            <v>6 CONDUCTOR CABLE, 3X22AWG, 3X16AWG, AL MYLAR, TROV 2</v>
          </cell>
          <cell r="E2985" t="str">
            <v>A</v>
          </cell>
          <cell r="F2985" t="str">
            <v>Cable</v>
          </cell>
          <cell r="G2985">
            <v>1</v>
          </cell>
          <cell r="H2985">
            <v>0</v>
          </cell>
          <cell r="I2985" t="str">
            <v>N/A</v>
          </cell>
        </row>
        <row r="2986">
          <cell r="A2986" t="str">
            <v>ASY-100018-04</v>
          </cell>
          <cell r="B2986">
            <v>3</v>
          </cell>
          <cell r="C2986" t="str">
            <v>ACB-000274-00</v>
          </cell>
          <cell r="D2986" t="str">
            <v>CABLE ASSEMBLY, INTERNAL, DRIVER SIDE, 4FT, TROV 2</v>
          </cell>
          <cell r="E2986" t="str">
            <v>A</v>
          </cell>
          <cell r="F2986" t="str">
            <v>Cable Assembly</v>
          </cell>
          <cell r="G2986">
            <v>1</v>
          </cell>
          <cell r="H2986">
            <v>0</v>
          </cell>
          <cell r="I2986" t="str">
            <v>N/A</v>
          </cell>
        </row>
        <row r="2987">
          <cell r="A2987" t="str">
            <v>ASY-100018-04</v>
          </cell>
          <cell r="B2987">
            <v>3</v>
          </cell>
          <cell r="C2987" t="str">
            <v>CON-000259-00</v>
          </cell>
          <cell r="D2987" t="str">
            <v>CONNECTOR, MALE, 6 PIN, TROV 2</v>
          </cell>
          <cell r="E2987" t="str">
            <v>B</v>
          </cell>
          <cell r="F2987" t="str">
            <v>Connector</v>
          </cell>
          <cell r="G2987">
            <v>1</v>
          </cell>
          <cell r="H2987">
            <v>0</v>
          </cell>
          <cell r="I2987" t="str">
            <v>N/A</v>
          </cell>
        </row>
        <row r="2988">
          <cell r="A2988" t="str">
            <v>ASY-100018-04</v>
          </cell>
          <cell r="B2988">
            <v>3</v>
          </cell>
          <cell r="C2988" t="str">
            <v>CON-000260-00</v>
          </cell>
          <cell r="D2988" t="str">
            <v>CONNECTOR, FEMALE, 6 PIN, TROV 2</v>
          </cell>
          <cell r="E2988" t="str">
            <v>A</v>
          </cell>
          <cell r="F2988" t="str">
            <v>Connector</v>
          </cell>
          <cell r="G2988">
            <v>1</v>
          </cell>
          <cell r="H2988">
            <v>0</v>
          </cell>
          <cell r="I2988" t="str">
            <v>N/A</v>
          </cell>
        </row>
        <row r="2989">
          <cell r="A2989" t="str">
            <v>ASY-100018-04</v>
          </cell>
          <cell r="B2989">
            <v>3</v>
          </cell>
          <cell r="C2989" t="str">
            <v>HSG-000330-00</v>
          </cell>
          <cell r="D2989" t="str">
            <v>DRIVER HOUSING, 4 FT, TROV 2</v>
          </cell>
          <cell r="E2989" t="str">
            <v>A</v>
          </cell>
          <cell r="F2989" t="str">
            <v>Housing</v>
          </cell>
          <cell r="G2989">
            <v>1</v>
          </cell>
          <cell r="H2989">
            <v>0</v>
          </cell>
          <cell r="I2989" t="str">
            <v>N/A</v>
          </cell>
        </row>
        <row r="2990">
          <cell r="A2990" t="str">
            <v>ASY-100018-04</v>
          </cell>
          <cell r="B2990">
            <v>3</v>
          </cell>
          <cell r="C2990" t="str">
            <v>ORG-000060-00</v>
          </cell>
          <cell r="D2990" t="str">
            <v>O-RING, CABLE, TROV 2</v>
          </cell>
          <cell r="E2990" t="str">
            <v>A</v>
          </cell>
          <cell r="F2990" t="str">
            <v>O-Ring</v>
          </cell>
          <cell r="G2990">
            <v>1</v>
          </cell>
          <cell r="H2990">
            <v>0</v>
          </cell>
          <cell r="I2990" t="str">
            <v>N/A</v>
          </cell>
        </row>
        <row r="2991">
          <cell r="A2991" t="str">
            <v>ASY-100018-04</v>
          </cell>
          <cell r="B2991">
            <v>3</v>
          </cell>
          <cell r="C2991" t="str">
            <v>SRF-000030-00</v>
          </cell>
          <cell r="D2991" t="str">
            <v>STRAIN RELIEF, CABLE, TROV 2</v>
          </cell>
          <cell r="E2991" t="str">
            <v>A</v>
          </cell>
          <cell r="F2991" t="str">
            <v>Strain Relief</v>
          </cell>
          <cell r="G2991">
            <v>1</v>
          </cell>
          <cell r="H2991">
            <v>0</v>
          </cell>
          <cell r="I2991" t="str">
            <v>N/A</v>
          </cell>
        </row>
        <row r="2992">
          <cell r="A2992" t="str">
            <v>ASY-100018-04</v>
          </cell>
          <cell r="B2992">
            <v>2</v>
          </cell>
          <cell r="C2992" t="str">
            <v>BKT-000517-00</v>
          </cell>
          <cell r="D2992" t="str">
            <v>BRACKET, ROTATING LOCK, 4 FT, TROV 2.0</v>
          </cell>
          <cell r="E2992" t="str">
            <v>B</v>
          </cell>
          <cell r="F2992" t="str">
            <v>Bracket</v>
          </cell>
          <cell r="G2992">
            <v>1</v>
          </cell>
          <cell r="H2992">
            <v>0.9</v>
          </cell>
          <cell r="I2992" t="str">
            <v>Buy</v>
          </cell>
        </row>
        <row r="2993">
          <cell r="A2993" t="str">
            <v>ASY-100018-04</v>
          </cell>
          <cell r="B2993">
            <v>2</v>
          </cell>
          <cell r="C2993" t="str">
            <v>BKT-000518-00</v>
          </cell>
          <cell r="D2993" t="str">
            <v>BRACKET, PANEL MOUNT, 4 FT, TROV 2.0</v>
          </cell>
          <cell r="E2993" t="str">
            <v>B</v>
          </cell>
          <cell r="F2993" t="str">
            <v>Bracket</v>
          </cell>
          <cell r="G2993">
            <v>1</v>
          </cell>
          <cell r="H2993">
            <v>0.9</v>
          </cell>
          <cell r="I2993" t="str">
            <v>Buy</v>
          </cell>
        </row>
        <row r="2994">
          <cell r="A2994" t="str">
            <v>ASY-100018-04</v>
          </cell>
          <cell r="B2994">
            <v>2</v>
          </cell>
          <cell r="C2994" t="str">
            <v>SCW-000509-00</v>
          </cell>
          <cell r="D2994" t="str">
            <v>SCREW, SEALING FLAT HEAD, M3x0.5x8MM</v>
          </cell>
          <cell r="E2994" t="str">
            <v>B</v>
          </cell>
          <cell r="F2994" t="str">
            <v>Screw</v>
          </cell>
          <cell r="G2994">
            <v>2</v>
          </cell>
          <cell r="H2994">
            <v>0.4</v>
          </cell>
          <cell r="I2994" t="str">
            <v>Buy</v>
          </cell>
        </row>
        <row r="2995">
          <cell r="A2995" t="str">
            <v>ASY-100018-04</v>
          </cell>
          <cell r="B2995">
            <v>1</v>
          </cell>
          <cell r="C2995" t="str">
            <v>BAS-000021-00</v>
          </cell>
          <cell r="D2995" t="str">
            <v>BASE, 4FT, TROV 2.0</v>
          </cell>
          <cell r="E2995" t="str">
            <v>F</v>
          </cell>
          <cell r="F2995" t="str">
            <v>Base</v>
          </cell>
          <cell r="G2995">
            <v>1</v>
          </cell>
          <cell r="H2995">
            <v>14.25</v>
          </cell>
          <cell r="I2995" t="str">
            <v>Buy</v>
          </cell>
        </row>
        <row r="2996">
          <cell r="A2996" t="str">
            <v>ASY-100018-04</v>
          </cell>
          <cell r="B2996">
            <v>1</v>
          </cell>
          <cell r="C2996" t="str">
            <v>BKT-000457-03</v>
          </cell>
          <cell r="D2996" t="str">
            <v>BRACKET, MOUNT, LEFT, BLACK, TROV 2.0</v>
          </cell>
          <cell r="E2996" t="str">
            <v>C</v>
          </cell>
          <cell r="F2996" t="str">
            <v>Bracket</v>
          </cell>
          <cell r="G2996">
            <v>1</v>
          </cell>
          <cell r="H2996">
            <v>0.99</v>
          </cell>
          <cell r="I2996" t="str">
            <v>Buy</v>
          </cell>
        </row>
        <row r="2997">
          <cell r="A2997" t="str">
            <v>ASY-100018-04</v>
          </cell>
          <cell r="B2997">
            <v>1</v>
          </cell>
          <cell r="C2997" t="str">
            <v>BKT-000458-03</v>
          </cell>
          <cell r="D2997" t="str">
            <v>BRACKET, MOUNT, RIGHT, BLACK, TROV 2.0</v>
          </cell>
          <cell r="E2997" t="str">
            <v>C</v>
          </cell>
          <cell r="F2997" t="str">
            <v>Bracket</v>
          </cell>
          <cell r="G2997">
            <v>1</v>
          </cell>
          <cell r="H2997">
            <v>0.99</v>
          </cell>
          <cell r="I2997" t="str">
            <v>Buy</v>
          </cell>
        </row>
        <row r="2998">
          <cell r="A2998" t="str">
            <v>ASY-100018-04</v>
          </cell>
          <cell r="B2998">
            <v>1</v>
          </cell>
          <cell r="C2998" t="str">
            <v>CVR-000791-04</v>
          </cell>
          <cell r="D2998" t="str">
            <v>END COVER, FC, WHITE, L45, TROV 2.0</v>
          </cell>
          <cell r="E2998" t="str">
            <v>D</v>
          </cell>
          <cell r="F2998" t="str">
            <v>Cover</v>
          </cell>
          <cell r="G2998">
            <v>1</v>
          </cell>
          <cell r="H2998">
            <v>1.07</v>
          </cell>
          <cell r="I2998" t="str">
            <v>Buy</v>
          </cell>
        </row>
        <row r="2999">
          <cell r="A2999" t="str">
            <v>ASY-100018-04</v>
          </cell>
          <cell r="B2999">
            <v>1</v>
          </cell>
          <cell r="C2999" t="str">
            <v>CVR-000894-04</v>
          </cell>
          <cell r="D2999" t="str">
            <v>END COVER, MC, WHITE, L45, TROV 2.0</v>
          </cell>
          <cell r="E2999" t="str">
            <v>B</v>
          </cell>
          <cell r="F2999" t="str">
            <v>Cover</v>
          </cell>
          <cell r="G2999">
            <v>1</v>
          </cell>
          <cell r="H2999">
            <v>1.07</v>
          </cell>
          <cell r="I2999" t="str">
            <v>Buy</v>
          </cell>
        </row>
        <row r="3000">
          <cell r="A3000" t="str">
            <v>ASY-100018-04</v>
          </cell>
          <cell r="B3000">
            <v>1</v>
          </cell>
          <cell r="C3000" t="str">
            <v>FOM-000029-00</v>
          </cell>
          <cell r="D3000" t="str">
            <v>FOAM, LIGHTBLOCK, ENDCAP, L45, TROV2</v>
          </cell>
          <cell r="E3000" t="str">
            <v>A</v>
          </cell>
          <cell r="F3000" t="str">
            <v>Foam</v>
          </cell>
          <cell r="G3000">
            <v>2</v>
          </cell>
          <cell r="H3000">
            <v>0.02</v>
          </cell>
          <cell r="I3000" t="str">
            <v>Buy</v>
          </cell>
        </row>
        <row r="3001">
          <cell r="A3001" t="str">
            <v>ASY-100018-04</v>
          </cell>
          <cell r="B3001">
            <v>1</v>
          </cell>
          <cell r="C3001" t="str">
            <v>GSK-000114-01</v>
          </cell>
          <cell r="D3001" t="str">
            <v>GASKET, TERTIARY LENS, 3M, 2 FT, L45, TROV 2.0</v>
          </cell>
          <cell r="E3001" t="str">
            <v>D</v>
          </cell>
          <cell r="F3001" t="str">
            <v>Gasket</v>
          </cell>
          <cell r="G3001">
            <v>2</v>
          </cell>
          <cell r="H3001">
            <v>2.65</v>
          </cell>
          <cell r="I3001" t="str">
            <v>Buy</v>
          </cell>
        </row>
        <row r="3002">
          <cell r="A3002" t="str">
            <v>ASY-100018-04</v>
          </cell>
          <cell r="B3002">
            <v>1</v>
          </cell>
          <cell r="C3002" t="str">
            <v>GSK-000122-01</v>
          </cell>
          <cell r="D3002" t="str">
            <v>GASKET, DRIVER ENCLOSURE, 3M, 4 FT, TROV 2.0</v>
          </cell>
          <cell r="E3002" t="str">
            <v>B</v>
          </cell>
          <cell r="F3002" t="str">
            <v>Gasket</v>
          </cell>
          <cell r="G3002">
            <v>1</v>
          </cell>
          <cell r="H3002">
            <v>2.0299999999999998</v>
          </cell>
          <cell r="I3002" t="str">
            <v>Buy</v>
          </cell>
        </row>
        <row r="3003">
          <cell r="A3003" t="str">
            <v>ASY-100018-04</v>
          </cell>
          <cell r="B3003">
            <v>1</v>
          </cell>
          <cell r="C3003" t="str">
            <v>HSG-000494-04</v>
          </cell>
          <cell r="D3003" t="str">
            <v>HOUSING, TOP, 4 FT, L45, WHITE, TROV 2.0</v>
          </cell>
          <cell r="E3003" t="str">
            <v>E</v>
          </cell>
          <cell r="F3003" t="str">
            <v>Housing</v>
          </cell>
          <cell r="G3003">
            <v>1</v>
          </cell>
          <cell r="H3003">
            <v>14.25</v>
          </cell>
          <cell r="I3003" t="str">
            <v>Buy</v>
          </cell>
        </row>
        <row r="3004">
          <cell r="A3004" t="str">
            <v>ASY-100018-04</v>
          </cell>
          <cell r="B3004">
            <v>1</v>
          </cell>
          <cell r="C3004" t="str">
            <v>HSG-000495-04</v>
          </cell>
          <cell r="D3004" t="str">
            <v>HOUSING, BOTTOM, 4 FT, WHITE, TROV 2.0</v>
          </cell>
          <cell r="E3004" t="str">
            <v>F</v>
          </cell>
          <cell r="F3004" t="str">
            <v>Housing</v>
          </cell>
          <cell r="G3004">
            <v>1</v>
          </cell>
          <cell r="H3004">
            <v>13.18</v>
          </cell>
          <cell r="I3004" t="str">
            <v>Buy</v>
          </cell>
        </row>
        <row r="3005">
          <cell r="A3005" t="str">
            <v>ASY-100018-04</v>
          </cell>
          <cell r="B3005">
            <v>1</v>
          </cell>
          <cell r="C3005" t="str">
            <v>LBA-000003-00</v>
          </cell>
          <cell r="D3005" t="str">
            <v>Label: TROV 2 P1/P2, Model L45/L60</v>
          </cell>
          <cell r="E3005" t="str">
            <v>A</v>
          </cell>
          <cell r="F3005" t="str">
            <v>Label BOM</v>
          </cell>
          <cell r="G3005">
            <v>1</v>
          </cell>
          <cell r="H3005">
            <v>0</v>
          </cell>
          <cell r="I3005" t="str">
            <v>Make</v>
          </cell>
        </row>
        <row r="3006">
          <cell r="A3006" t="str">
            <v>ASY-100018-04</v>
          </cell>
          <cell r="B3006">
            <v>2</v>
          </cell>
          <cell r="C3006" t="str">
            <v>LBL-000243-00</v>
          </cell>
          <cell r="D3006" t="str">
            <v>Blank Product Label: Trov 2 P1/P2, Model L45/L60</v>
          </cell>
          <cell r="E3006" t="str">
            <v>A</v>
          </cell>
          <cell r="F3006" t="str">
            <v>Label</v>
          </cell>
          <cell r="G3006">
            <v>1</v>
          </cell>
          <cell r="H3006">
            <v>0.33</v>
          </cell>
          <cell r="I3006" t="str">
            <v>Buy</v>
          </cell>
        </row>
        <row r="3007">
          <cell r="A3007" t="str">
            <v>ASY-100018-04</v>
          </cell>
          <cell r="B3007">
            <v>1</v>
          </cell>
          <cell r="C3007" t="str">
            <v>PLG-000009-01</v>
          </cell>
          <cell r="D3007" t="str">
            <v>Porex Vent, Trov, L50 Exterior</v>
          </cell>
          <cell r="E3007" t="str">
            <v>B</v>
          </cell>
          <cell r="F3007" t="str">
            <v>Plug</v>
          </cell>
          <cell r="G3007">
            <v>2</v>
          </cell>
          <cell r="H3007">
            <v>0.17</v>
          </cell>
          <cell r="I3007" t="str">
            <v>Buy</v>
          </cell>
        </row>
        <row r="3008">
          <cell r="A3008" t="str">
            <v>ASY-100018-04</v>
          </cell>
          <cell r="B3008">
            <v>1</v>
          </cell>
          <cell r="C3008" t="str">
            <v>SCW-000156-00</v>
          </cell>
          <cell r="D3008" t="str">
            <v>SCREW, M3 x 0.5 X 8mm, PAND HEAD, PHILLIPS, STEEL</v>
          </cell>
          <cell r="E3008" t="str">
            <v>B</v>
          </cell>
          <cell r="F3008" t="str">
            <v>Screw</v>
          </cell>
          <cell r="G3008">
            <v>6</v>
          </cell>
          <cell r="H3008">
            <v>4.4400000000000002E-2</v>
          </cell>
          <cell r="I3008" t="str">
            <v>Buy</v>
          </cell>
        </row>
        <row r="3009">
          <cell r="A3009" t="str">
            <v>ASY-100018-04</v>
          </cell>
          <cell r="B3009">
            <v>1</v>
          </cell>
          <cell r="C3009" t="str">
            <v>SCW-000483-00</v>
          </cell>
          <cell r="D3009" t="str">
            <v>SCREW, PHILIPS FLAT HEAD, M2.5x0.45x5 , 18-8 SST</v>
          </cell>
          <cell r="E3009" t="str">
            <v>A</v>
          </cell>
          <cell r="F3009" t="str">
            <v>Screw</v>
          </cell>
          <cell r="G3009">
            <v>4</v>
          </cell>
          <cell r="H3009">
            <v>0.02</v>
          </cell>
          <cell r="I3009" t="str">
            <v>Buy</v>
          </cell>
        </row>
        <row r="3010">
          <cell r="A3010" t="str">
            <v>ASY-100018-04</v>
          </cell>
          <cell r="B3010">
            <v>1</v>
          </cell>
          <cell r="C3010" t="str">
            <v>SCW-000556-00</v>
          </cell>
          <cell r="D3010" t="str">
            <v>SCREW, HEX, SERRATED, #8-32, GROUNDING, TROV 2</v>
          </cell>
          <cell r="E3010" t="str">
            <v>A</v>
          </cell>
          <cell r="F3010" t="str">
            <v>Screw</v>
          </cell>
          <cell r="G3010">
            <v>1</v>
          </cell>
          <cell r="H3010">
            <v>0.04</v>
          </cell>
          <cell r="I3010" t="str">
            <v>Buy</v>
          </cell>
        </row>
        <row r="3011">
          <cell r="A3011" t="str">
            <v>ASY-100018-04</v>
          </cell>
          <cell r="B3011">
            <v>1</v>
          </cell>
          <cell r="C3011" t="str">
            <v>SCW-000567-00</v>
          </cell>
          <cell r="D3011" t="str">
            <v>SCREW, M2.5 x 0.45 x 12.0mm LENGTH, PAN HD, PHILLIPS, ZINC-PLATED STEEL</v>
          </cell>
          <cell r="E3011" t="str">
            <v>A</v>
          </cell>
          <cell r="F3011" t="str">
            <v>Screw</v>
          </cell>
          <cell r="G3011">
            <v>4</v>
          </cell>
          <cell r="H3011">
            <v>0.06</v>
          </cell>
          <cell r="I3011" t="str">
            <v>Buy</v>
          </cell>
        </row>
        <row r="3012">
          <cell r="A3012" t="str">
            <v>ASY-100018-04</v>
          </cell>
          <cell r="B3012">
            <v>1</v>
          </cell>
          <cell r="C3012" t="str">
            <v>SCW-000574-00</v>
          </cell>
          <cell r="D3012" t="str">
            <v>SCREW, TORX HEAD, 1/4-28x1/2", LOW PROFILE, ALLOY STEEL</v>
          </cell>
          <cell r="E3012" t="str">
            <v>A</v>
          </cell>
          <cell r="F3012" t="str">
            <v>Screw</v>
          </cell>
          <cell r="G3012">
            <v>2</v>
          </cell>
          <cell r="H3012">
            <v>0.14000000000000001</v>
          </cell>
          <cell r="I3012" t="str">
            <v>Buy</v>
          </cell>
        </row>
        <row r="3013">
          <cell r="A3013" t="str">
            <v>ASY-100018-04</v>
          </cell>
          <cell r="B3013">
            <v>1</v>
          </cell>
          <cell r="C3013" t="str">
            <v>SHT-000043-00</v>
          </cell>
          <cell r="D3013" t="str">
            <v>INSULATION SHEET, HBA, 4FT,TROV 2</v>
          </cell>
          <cell r="E3013" t="str">
            <v>D</v>
          </cell>
          <cell r="F3013" t="str">
            <v>Sheet</v>
          </cell>
          <cell r="G3013">
            <v>1</v>
          </cell>
          <cell r="H3013">
            <v>0.25</v>
          </cell>
          <cell r="I3013" t="str">
            <v>Buy</v>
          </cell>
        </row>
        <row r="3014">
          <cell r="A3014" t="str">
            <v>ASY-100018-04</v>
          </cell>
          <cell r="B3014">
            <v>1</v>
          </cell>
          <cell r="C3014" t="str">
            <v>SPG-000023-00</v>
          </cell>
          <cell r="D3014" t="str">
            <v>SPRING, DISC, STACKED WAVE, TROV 2.0</v>
          </cell>
          <cell r="E3014" t="str">
            <v>A</v>
          </cell>
          <cell r="F3014" t="str">
            <v>Spring</v>
          </cell>
          <cell r="G3014">
            <v>2</v>
          </cell>
          <cell r="H3014">
            <v>1.74</v>
          </cell>
          <cell r="I3014" t="str">
            <v>Buy</v>
          </cell>
        </row>
        <row r="3015">
          <cell r="A3015" t="str">
            <v>ASY-100018-04</v>
          </cell>
          <cell r="B3015">
            <v>1</v>
          </cell>
          <cell r="C3015" t="str">
            <v>TAP-000031-00</v>
          </cell>
          <cell r="D3015" t="str">
            <v>3M Electrical Tape 92</v>
          </cell>
          <cell r="E3015" t="str">
            <v>A</v>
          </cell>
          <cell r="F3015" t="str">
            <v>Tape</v>
          </cell>
          <cell r="G3015">
            <v>120</v>
          </cell>
          <cell r="H3015">
            <v>1.4E-2</v>
          </cell>
          <cell r="I3015" t="str">
            <v>Buy</v>
          </cell>
        </row>
        <row r="3016">
          <cell r="A3016" t="str">
            <v>ASY-100018-04</v>
          </cell>
          <cell r="B3016">
            <v>1</v>
          </cell>
          <cell r="C3016" t="str">
            <v>TMP-000028-00</v>
          </cell>
          <cell r="D3016" t="str">
            <v>Thermal Pad, LED PCBA, 2 FT, TROV 2</v>
          </cell>
          <cell r="E3016" t="str">
            <v>B</v>
          </cell>
          <cell r="F3016" t="str">
            <v>Thermal Pad</v>
          </cell>
          <cell r="G3016">
            <v>2</v>
          </cell>
          <cell r="H3016">
            <v>1.32</v>
          </cell>
          <cell r="I3016" t="str">
            <v>Buy</v>
          </cell>
        </row>
        <row r="3017">
          <cell r="A3017" t="str">
            <v>ASY-100018-04</v>
          </cell>
          <cell r="B3017">
            <v>1</v>
          </cell>
          <cell r="C3017" t="str">
            <v>TMP-000029-00</v>
          </cell>
          <cell r="D3017" t="str">
            <v>Thermal Pad, HBA, TROV 2</v>
          </cell>
          <cell r="E3017" t="str">
            <v>B</v>
          </cell>
          <cell r="F3017" t="str">
            <v>Thermal Pad</v>
          </cell>
          <cell r="G3017">
            <v>2</v>
          </cell>
          <cell r="H3017">
            <v>0.14000000000000001</v>
          </cell>
          <cell r="I3017" t="str">
            <v>Buy</v>
          </cell>
        </row>
        <row r="3018">
          <cell r="A3018" t="str">
            <v>ASY-100018-04</v>
          </cell>
          <cell r="B3018">
            <v>1</v>
          </cell>
          <cell r="C3018" t="str">
            <v>TMP-000032-00</v>
          </cell>
          <cell r="D3018" t="str">
            <v>Thermal Pad, HBA, TROV 2</v>
          </cell>
          <cell r="E3018" t="str">
            <v>A</v>
          </cell>
          <cell r="F3018" t="str">
            <v>Thermal Pad</v>
          </cell>
          <cell r="G3018">
            <v>1</v>
          </cell>
          <cell r="H3018">
            <v>0.03</v>
          </cell>
          <cell r="I3018" t="str">
            <v>Buy</v>
          </cell>
        </row>
        <row r="3019">
          <cell r="A3019" t="str">
            <v>ASY-100018-0C</v>
          </cell>
          <cell r="B3019">
            <v>0</v>
          </cell>
          <cell r="C3019" t="str">
            <v>ASY-100018-0C</v>
          </cell>
          <cell r="D3019" t="str">
            <v>ASSY, MECHANICAL, L45, OUTDOOR, 4 FT, TROV2P2, DYNAMIC, CUSTOM</v>
          </cell>
          <cell r="E3019" t="str">
            <v>A</v>
          </cell>
          <cell r="F3019" t="str">
            <v>Sub assembly</v>
          </cell>
          <cell r="H3019">
            <v>0</v>
          </cell>
          <cell r="I3019" t="str">
            <v>Make</v>
          </cell>
        </row>
        <row r="3020">
          <cell r="A3020" t="str">
            <v>ASY-100018-0C</v>
          </cell>
          <cell r="B3020">
            <v>1</v>
          </cell>
          <cell r="C3020" t="str">
            <v>ACB-000275-00</v>
          </cell>
          <cell r="D3020" t="str">
            <v>CABLE, CANBUS, SHORT, TROV 2</v>
          </cell>
          <cell r="E3020" t="str">
            <v>A</v>
          </cell>
          <cell r="F3020" t="str">
            <v>Cable</v>
          </cell>
          <cell r="G3020">
            <v>1</v>
          </cell>
          <cell r="H3020">
            <v>0.7</v>
          </cell>
          <cell r="I3020" t="str">
            <v>Buy</v>
          </cell>
        </row>
        <row r="3021">
          <cell r="A3021" t="str">
            <v>ASY-100018-0C</v>
          </cell>
          <cell r="B3021">
            <v>1</v>
          </cell>
          <cell r="C3021" t="str">
            <v>ACB-000275-01</v>
          </cell>
          <cell r="D3021" t="str">
            <v>CABLE, CANBUS, LONG, TROV 2</v>
          </cell>
          <cell r="E3021" t="str">
            <v>A</v>
          </cell>
          <cell r="F3021" t="str">
            <v>Cable</v>
          </cell>
          <cell r="G3021">
            <v>1</v>
          </cell>
          <cell r="H3021">
            <v>0.81</v>
          </cell>
          <cell r="I3021" t="str">
            <v>Buy</v>
          </cell>
        </row>
        <row r="3022">
          <cell r="A3022" t="str">
            <v>ASY-100018-0C</v>
          </cell>
          <cell r="B3022">
            <v>1</v>
          </cell>
          <cell r="C3022" t="str">
            <v>ASY-100008-00</v>
          </cell>
          <cell r="D3022" t="str">
            <v>Cable Subassembly, Driver housing, 4ft, Trov 2</v>
          </cell>
          <cell r="E3022" t="str">
            <v>A</v>
          </cell>
          <cell r="F3022" t="str">
            <v>Sub assembly</v>
          </cell>
          <cell r="G3022">
            <v>1</v>
          </cell>
          <cell r="H3022">
            <v>0</v>
          </cell>
          <cell r="I3022" t="str">
            <v>Make</v>
          </cell>
        </row>
        <row r="3023">
          <cell r="A3023" t="str">
            <v>ASY-100018-0C</v>
          </cell>
          <cell r="B3023">
            <v>2</v>
          </cell>
          <cell r="C3023" t="str">
            <v>ACB-000272-00</v>
          </cell>
          <cell r="D3023" t="str">
            <v>CABLE ASSY, INTRA-FIXTURE, 4FT, TROV 2.0</v>
          </cell>
          <cell r="E3023" t="str">
            <v>B</v>
          </cell>
          <cell r="F3023" t="str">
            <v>Cable Assembly</v>
          </cell>
          <cell r="G3023">
            <v>1</v>
          </cell>
          <cell r="H3023">
            <v>20.420000000000002</v>
          </cell>
          <cell r="I3023" t="str">
            <v>Buy</v>
          </cell>
        </row>
        <row r="3024">
          <cell r="A3024" t="str">
            <v>ASY-100018-0C</v>
          </cell>
          <cell r="B3024">
            <v>3</v>
          </cell>
          <cell r="C3024" t="str">
            <v>ACB-000273-00</v>
          </cell>
          <cell r="D3024" t="str">
            <v>6 CONDUCTOR CABLE, 3X22AWG, 3X16AWG, AL MYLAR, TROV 2</v>
          </cell>
          <cell r="E3024" t="str">
            <v>A</v>
          </cell>
          <cell r="F3024" t="str">
            <v>Cable</v>
          </cell>
          <cell r="G3024">
            <v>1</v>
          </cell>
          <cell r="H3024">
            <v>0</v>
          </cell>
          <cell r="I3024" t="str">
            <v>N/A</v>
          </cell>
        </row>
        <row r="3025">
          <cell r="A3025" t="str">
            <v>ASY-100018-0C</v>
          </cell>
          <cell r="B3025">
            <v>3</v>
          </cell>
          <cell r="C3025" t="str">
            <v>ACB-000274-00</v>
          </cell>
          <cell r="D3025" t="str">
            <v>CABLE ASSEMBLY, INTERNAL, DRIVER SIDE, 4FT, TROV 2</v>
          </cell>
          <cell r="E3025" t="str">
            <v>A</v>
          </cell>
          <cell r="F3025" t="str">
            <v>Cable Assembly</v>
          </cell>
          <cell r="G3025">
            <v>1</v>
          </cell>
          <cell r="H3025">
            <v>0</v>
          </cell>
          <cell r="I3025" t="str">
            <v>N/A</v>
          </cell>
        </row>
        <row r="3026">
          <cell r="A3026" t="str">
            <v>ASY-100018-0C</v>
          </cell>
          <cell r="B3026">
            <v>3</v>
          </cell>
          <cell r="C3026" t="str">
            <v>CON-000259-00</v>
          </cell>
          <cell r="D3026" t="str">
            <v>CONNECTOR, MALE, 6 PIN, TROV 2</v>
          </cell>
          <cell r="E3026" t="str">
            <v>B</v>
          </cell>
          <cell r="F3026" t="str">
            <v>Connector</v>
          </cell>
          <cell r="G3026">
            <v>1</v>
          </cell>
          <cell r="H3026">
            <v>0</v>
          </cell>
          <cell r="I3026" t="str">
            <v>N/A</v>
          </cell>
        </row>
        <row r="3027">
          <cell r="A3027" t="str">
            <v>ASY-100018-0C</v>
          </cell>
          <cell r="B3027">
            <v>3</v>
          </cell>
          <cell r="C3027" t="str">
            <v>CON-000260-00</v>
          </cell>
          <cell r="D3027" t="str">
            <v>CONNECTOR, FEMALE, 6 PIN, TROV 2</v>
          </cell>
          <cell r="E3027" t="str">
            <v>A</v>
          </cell>
          <cell r="F3027" t="str">
            <v>Connector</v>
          </cell>
          <cell r="G3027">
            <v>1</v>
          </cell>
          <cell r="H3027">
            <v>0</v>
          </cell>
          <cell r="I3027" t="str">
            <v>N/A</v>
          </cell>
        </row>
        <row r="3028">
          <cell r="A3028" t="str">
            <v>ASY-100018-0C</v>
          </cell>
          <cell r="B3028">
            <v>3</v>
          </cell>
          <cell r="C3028" t="str">
            <v>HSG-000330-00</v>
          </cell>
          <cell r="D3028" t="str">
            <v>DRIVER HOUSING, 4 FT, TROV 2</v>
          </cell>
          <cell r="E3028" t="str">
            <v>A</v>
          </cell>
          <cell r="F3028" t="str">
            <v>Housing</v>
          </cell>
          <cell r="G3028">
            <v>1</v>
          </cell>
          <cell r="H3028">
            <v>0</v>
          </cell>
          <cell r="I3028" t="str">
            <v>N/A</v>
          </cell>
        </row>
        <row r="3029">
          <cell r="A3029" t="str">
            <v>ASY-100018-0C</v>
          </cell>
          <cell r="B3029">
            <v>3</v>
          </cell>
          <cell r="C3029" t="str">
            <v>ORG-000060-00</v>
          </cell>
          <cell r="D3029" t="str">
            <v>O-RING, CABLE, TROV 2</v>
          </cell>
          <cell r="E3029" t="str">
            <v>A</v>
          </cell>
          <cell r="F3029" t="str">
            <v>O-Ring</v>
          </cell>
          <cell r="G3029">
            <v>1</v>
          </cell>
          <cell r="H3029">
            <v>0</v>
          </cell>
          <cell r="I3029" t="str">
            <v>N/A</v>
          </cell>
        </row>
        <row r="3030">
          <cell r="A3030" t="str">
            <v>ASY-100018-0C</v>
          </cell>
          <cell r="B3030">
            <v>3</v>
          </cell>
          <cell r="C3030" t="str">
            <v>SRF-000030-00</v>
          </cell>
          <cell r="D3030" t="str">
            <v>STRAIN RELIEF, CABLE, TROV 2</v>
          </cell>
          <cell r="E3030" t="str">
            <v>A</v>
          </cell>
          <cell r="F3030" t="str">
            <v>Strain Relief</v>
          </cell>
          <cell r="G3030">
            <v>1</v>
          </cell>
          <cell r="H3030">
            <v>0</v>
          </cell>
          <cell r="I3030" t="str">
            <v>N/A</v>
          </cell>
        </row>
        <row r="3031">
          <cell r="A3031" t="str">
            <v>ASY-100018-0C</v>
          </cell>
          <cell r="B3031">
            <v>2</v>
          </cell>
          <cell r="C3031" t="str">
            <v>BKT-000517-00</v>
          </cell>
          <cell r="D3031" t="str">
            <v>BRACKET, ROTATING LOCK, 4 FT, TROV 2.0</v>
          </cell>
          <cell r="E3031" t="str">
            <v>B</v>
          </cell>
          <cell r="F3031" t="str">
            <v>Bracket</v>
          </cell>
          <cell r="G3031">
            <v>1</v>
          </cell>
          <cell r="H3031">
            <v>0.9</v>
          </cell>
          <cell r="I3031" t="str">
            <v>Buy</v>
          </cell>
        </row>
        <row r="3032">
          <cell r="A3032" t="str">
            <v>ASY-100018-0C</v>
          </cell>
          <cell r="B3032">
            <v>2</v>
          </cell>
          <cell r="C3032" t="str">
            <v>BKT-000518-00</v>
          </cell>
          <cell r="D3032" t="str">
            <v>BRACKET, PANEL MOUNT, 4 FT, TROV 2.0</v>
          </cell>
          <cell r="E3032" t="str">
            <v>B</v>
          </cell>
          <cell r="F3032" t="str">
            <v>Bracket</v>
          </cell>
          <cell r="G3032">
            <v>1</v>
          </cell>
          <cell r="H3032">
            <v>0.9</v>
          </cell>
          <cell r="I3032" t="str">
            <v>Buy</v>
          </cell>
        </row>
        <row r="3033">
          <cell r="A3033" t="str">
            <v>ASY-100018-0C</v>
          </cell>
          <cell r="B3033">
            <v>2</v>
          </cell>
          <cell r="C3033" t="str">
            <v>SCW-000509-00</v>
          </cell>
          <cell r="D3033" t="str">
            <v>SCREW, SEALING FLAT HEAD, M3x0.5x8MM</v>
          </cell>
          <cell r="E3033" t="str">
            <v>B</v>
          </cell>
          <cell r="F3033" t="str">
            <v>Screw</v>
          </cell>
          <cell r="G3033">
            <v>2</v>
          </cell>
          <cell r="H3033">
            <v>0.4</v>
          </cell>
          <cell r="I3033" t="str">
            <v>Buy</v>
          </cell>
        </row>
        <row r="3034">
          <cell r="A3034" t="str">
            <v>ASY-100018-0C</v>
          </cell>
          <cell r="B3034">
            <v>1</v>
          </cell>
          <cell r="C3034" t="str">
            <v>BAS-000021-00</v>
          </cell>
          <cell r="D3034" t="str">
            <v>BASE, 4FT, TROV 2.0</v>
          </cell>
          <cell r="E3034" t="str">
            <v>F</v>
          </cell>
          <cell r="F3034" t="str">
            <v>Base</v>
          </cell>
          <cell r="G3034">
            <v>1</v>
          </cell>
          <cell r="H3034">
            <v>14.25</v>
          </cell>
          <cell r="I3034" t="str">
            <v>Buy</v>
          </cell>
        </row>
        <row r="3035">
          <cell r="A3035" t="str">
            <v>ASY-100018-0C</v>
          </cell>
          <cell r="B3035">
            <v>1</v>
          </cell>
          <cell r="C3035" t="str">
            <v>BKT-000457-03</v>
          </cell>
          <cell r="D3035" t="str">
            <v>BRACKET, MOUNT, LEFT, BLACK, TROV 2.0</v>
          </cell>
          <cell r="E3035" t="str">
            <v>C</v>
          </cell>
          <cell r="F3035" t="str">
            <v>Bracket</v>
          </cell>
          <cell r="G3035">
            <v>1</v>
          </cell>
          <cell r="H3035">
            <v>0.99</v>
          </cell>
          <cell r="I3035" t="str">
            <v>Buy</v>
          </cell>
        </row>
        <row r="3036">
          <cell r="A3036" t="str">
            <v>ASY-100018-0C</v>
          </cell>
          <cell r="B3036">
            <v>1</v>
          </cell>
          <cell r="C3036" t="str">
            <v>BKT-000458-03</v>
          </cell>
          <cell r="D3036" t="str">
            <v>BRACKET, MOUNT, RIGHT, BLACK, TROV 2.0</v>
          </cell>
          <cell r="E3036" t="str">
            <v>C</v>
          </cell>
          <cell r="F3036" t="str">
            <v>Bracket</v>
          </cell>
          <cell r="G3036">
            <v>1</v>
          </cell>
          <cell r="H3036">
            <v>0.99</v>
          </cell>
          <cell r="I3036" t="str">
            <v>Buy</v>
          </cell>
        </row>
        <row r="3037">
          <cell r="A3037" t="str">
            <v>ASY-100018-0C</v>
          </cell>
          <cell r="B3037">
            <v>1</v>
          </cell>
          <cell r="C3037" t="str">
            <v>CVR-000791-0C</v>
          </cell>
          <cell r="D3037" t="str">
            <v>END COVER, FC, CUSTOM FINISH, L45, TROV 2.0</v>
          </cell>
          <cell r="E3037" t="str">
            <v>E</v>
          </cell>
          <cell r="F3037" t="str">
            <v>Cover</v>
          </cell>
          <cell r="G3037">
            <v>1</v>
          </cell>
          <cell r="H3037">
            <v>0</v>
          </cell>
          <cell r="I3037" t="str">
            <v>Buy</v>
          </cell>
        </row>
        <row r="3038">
          <cell r="A3038" t="str">
            <v>ASY-100018-0C</v>
          </cell>
          <cell r="B3038">
            <v>1</v>
          </cell>
          <cell r="C3038" t="str">
            <v>CVR-000894-0C</v>
          </cell>
          <cell r="D3038" t="str">
            <v>END COVER, MC, CUSTOM FINISH, L45, TROV 2.0</v>
          </cell>
          <cell r="E3038" t="str">
            <v>C</v>
          </cell>
          <cell r="F3038" t="str">
            <v>Cover</v>
          </cell>
          <cell r="G3038">
            <v>1</v>
          </cell>
          <cell r="H3038">
            <v>0</v>
          </cell>
          <cell r="I3038" t="str">
            <v>Buy</v>
          </cell>
        </row>
        <row r="3039">
          <cell r="A3039" t="str">
            <v>ASY-100018-0C</v>
          </cell>
          <cell r="B3039">
            <v>1</v>
          </cell>
          <cell r="C3039" t="str">
            <v>FOM-000029-00</v>
          </cell>
          <cell r="D3039" t="str">
            <v>FOAM, LIGHTBLOCK, ENDCAP, L45, TROV2</v>
          </cell>
          <cell r="E3039" t="str">
            <v>A</v>
          </cell>
          <cell r="F3039" t="str">
            <v>Foam</v>
          </cell>
          <cell r="G3039">
            <v>2</v>
          </cell>
          <cell r="H3039">
            <v>0.02</v>
          </cell>
          <cell r="I3039" t="str">
            <v>Buy</v>
          </cell>
        </row>
        <row r="3040">
          <cell r="A3040" t="str">
            <v>ASY-100018-0C</v>
          </cell>
          <cell r="B3040">
            <v>1</v>
          </cell>
          <cell r="C3040" t="str">
            <v>GSK-000114-01</v>
          </cell>
          <cell r="D3040" t="str">
            <v>GASKET, TERTIARY LENS, 3M, 2 FT, L45, TROV 2.0</v>
          </cell>
          <cell r="E3040" t="str">
            <v>D</v>
          </cell>
          <cell r="F3040" t="str">
            <v>Gasket</v>
          </cell>
          <cell r="G3040">
            <v>2</v>
          </cell>
          <cell r="H3040">
            <v>2.65</v>
          </cell>
          <cell r="I3040" t="str">
            <v>Buy</v>
          </cell>
        </row>
        <row r="3041">
          <cell r="A3041" t="str">
            <v>ASY-100018-0C</v>
          </cell>
          <cell r="B3041">
            <v>1</v>
          </cell>
          <cell r="C3041" t="str">
            <v>GSK-000122-01</v>
          </cell>
          <cell r="D3041" t="str">
            <v>GASKET, DRIVER ENCLOSURE, 3M, 4 FT, TROV 2.0</v>
          </cell>
          <cell r="E3041" t="str">
            <v>B</v>
          </cell>
          <cell r="F3041" t="str">
            <v>Gasket</v>
          </cell>
          <cell r="G3041">
            <v>1</v>
          </cell>
          <cell r="H3041">
            <v>2.0299999999999998</v>
          </cell>
          <cell r="I3041" t="str">
            <v>Buy</v>
          </cell>
        </row>
        <row r="3042">
          <cell r="A3042" t="str">
            <v>ASY-100018-0C</v>
          </cell>
          <cell r="B3042">
            <v>1</v>
          </cell>
          <cell r="C3042" t="str">
            <v>HSG-000494-0C</v>
          </cell>
          <cell r="D3042" t="str">
            <v>HOUSING, TOP, 4 FT, L45, CUSTOM FINISH, TROV 2.0</v>
          </cell>
          <cell r="E3042" t="str">
            <v>E</v>
          </cell>
          <cell r="F3042" t="str">
            <v>Housing</v>
          </cell>
          <cell r="G3042">
            <v>1</v>
          </cell>
          <cell r="H3042">
            <v>0</v>
          </cell>
          <cell r="I3042" t="str">
            <v>Buy</v>
          </cell>
        </row>
        <row r="3043">
          <cell r="A3043" t="str">
            <v>ASY-100018-0C</v>
          </cell>
          <cell r="B3043">
            <v>1</v>
          </cell>
          <cell r="C3043" t="str">
            <v>HSG-000495-0C</v>
          </cell>
          <cell r="D3043" t="str">
            <v>HOUSING, BOTTOM, 4 FT, CUSTOM FINISH, TROV 2.0</v>
          </cell>
          <cell r="E3043" t="str">
            <v>F</v>
          </cell>
          <cell r="F3043" t="str">
            <v>Housing</v>
          </cell>
          <cell r="G3043">
            <v>1</v>
          </cell>
          <cell r="H3043">
            <v>0</v>
          </cell>
          <cell r="I3043" t="str">
            <v>Buy</v>
          </cell>
        </row>
        <row r="3044">
          <cell r="A3044" t="str">
            <v>ASY-100018-0C</v>
          </cell>
          <cell r="B3044">
            <v>1</v>
          </cell>
          <cell r="C3044" t="str">
            <v>LBA-000003-00</v>
          </cell>
          <cell r="D3044" t="str">
            <v>Label: TROV 2 P1/P2, Model L45/L60</v>
          </cell>
          <cell r="E3044" t="str">
            <v>A</v>
          </cell>
          <cell r="F3044" t="str">
            <v>Label BOM</v>
          </cell>
          <cell r="G3044">
            <v>1</v>
          </cell>
          <cell r="H3044">
            <v>0</v>
          </cell>
          <cell r="I3044" t="str">
            <v>Make</v>
          </cell>
        </row>
        <row r="3045">
          <cell r="A3045" t="str">
            <v>ASY-100018-0C</v>
          </cell>
          <cell r="B3045">
            <v>2</v>
          </cell>
          <cell r="C3045" t="str">
            <v>LBL-000243-00</v>
          </cell>
          <cell r="D3045" t="str">
            <v>Blank Product Label: Trov 2 P1/P2, Model L45/L60</v>
          </cell>
          <cell r="E3045" t="str">
            <v>A</v>
          </cell>
          <cell r="F3045" t="str">
            <v>Label</v>
          </cell>
          <cell r="G3045">
            <v>1</v>
          </cell>
          <cell r="H3045">
            <v>0.33</v>
          </cell>
          <cell r="I3045" t="str">
            <v>Buy</v>
          </cell>
        </row>
        <row r="3046">
          <cell r="A3046" t="str">
            <v>ASY-100018-0C</v>
          </cell>
          <cell r="B3046">
            <v>1</v>
          </cell>
          <cell r="C3046" t="str">
            <v>PLG-000009-01</v>
          </cell>
          <cell r="D3046" t="str">
            <v>Porex Vent, Trov, L50 Exterior</v>
          </cell>
          <cell r="E3046" t="str">
            <v>B</v>
          </cell>
          <cell r="F3046" t="str">
            <v>Plug</v>
          </cell>
          <cell r="G3046">
            <v>2</v>
          </cell>
          <cell r="H3046">
            <v>0.17</v>
          </cell>
          <cell r="I3046" t="str">
            <v>Buy</v>
          </cell>
        </row>
        <row r="3047">
          <cell r="A3047" t="str">
            <v>ASY-100018-0C</v>
          </cell>
          <cell r="B3047">
            <v>1</v>
          </cell>
          <cell r="C3047" t="str">
            <v>SCW-000156-00</v>
          </cell>
          <cell r="D3047" t="str">
            <v>SCREW, M3 x 0.5 X 8mm, PAND HEAD, PHILLIPS, STEEL</v>
          </cell>
          <cell r="E3047" t="str">
            <v>B</v>
          </cell>
          <cell r="F3047" t="str">
            <v>Screw</v>
          </cell>
          <cell r="G3047">
            <v>6</v>
          </cell>
          <cell r="H3047">
            <v>4.4400000000000002E-2</v>
          </cell>
          <cell r="I3047" t="str">
            <v>Buy</v>
          </cell>
        </row>
        <row r="3048">
          <cell r="A3048" t="str">
            <v>ASY-100018-0C</v>
          </cell>
          <cell r="B3048">
            <v>1</v>
          </cell>
          <cell r="C3048" t="str">
            <v>SCW-000483-00</v>
          </cell>
          <cell r="D3048" t="str">
            <v>SCREW, PHILIPS FLAT HEAD, M2.5x0.45x5 , 18-8 SST</v>
          </cell>
          <cell r="E3048" t="str">
            <v>A</v>
          </cell>
          <cell r="F3048" t="str">
            <v>Screw</v>
          </cell>
          <cell r="G3048">
            <v>4</v>
          </cell>
          <cell r="H3048">
            <v>0.02</v>
          </cell>
          <cell r="I3048" t="str">
            <v>Buy</v>
          </cell>
        </row>
        <row r="3049">
          <cell r="A3049" t="str">
            <v>ASY-100018-0C</v>
          </cell>
          <cell r="B3049">
            <v>1</v>
          </cell>
          <cell r="C3049" t="str">
            <v>SCW-000556-00</v>
          </cell>
          <cell r="D3049" t="str">
            <v>SCREW, HEX, SERRATED, #8-32, GROUNDING, TROV 2</v>
          </cell>
          <cell r="E3049" t="str">
            <v>A</v>
          </cell>
          <cell r="F3049" t="str">
            <v>Screw</v>
          </cell>
          <cell r="G3049">
            <v>1</v>
          </cell>
          <cell r="H3049">
            <v>0.04</v>
          </cell>
          <cell r="I3049" t="str">
            <v>Buy</v>
          </cell>
        </row>
        <row r="3050">
          <cell r="A3050" t="str">
            <v>ASY-100018-0C</v>
          </cell>
          <cell r="B3050">
            <v>1</v>
          </cell>
          <cell r="C3050" t="str">
            <v>SCW-000567-00</v>
          </cell>
          <cell r="D3050" t="str">
            <v>SCREW, M2.5 x 0.45 x 12.0mm LENGTH, PAN HD, PHILLIPS, ZINC-PLATED STEEL</v>
          </cell>
          <cell r="E3050" t="str">
            <v>A</v>
          </cell>
          <cell r="F3050" t="str">
            <v>Screw</v>
          </cell>
          <cell r="G3050">
            <v>4</v>
          </cell>
          <cell r="H3050">
            <v>0.06</v>
          </cell>
          <cell r="I3050" t="str">
            <v>Buy</v>
          </cell>
        </row>
        <row r="3051">
          <cell r="A3051" t="str">
            <v>ASY-100018-0C</v>
          </cell>
          <cell r="B3051">
            <v>1</v>
          </cell>
          <cell r="C3051" t="str">
            <v>SCW-000574-00</v>
          </cell>
          <cell r="D3051" t="str">
            <v>SCREW, TORX HEAD, 1/4-28x1/2", LOW PROFILE, ALLOY STEEL</v>
          </cell>
          <cell r="E3051" t="str">
            <v>A</v>
          </cell>
          <cell r="F3051" t="str">
            <v>Screw</v>
          </cell>
          <cell r="G3051">
            <v>2</v>
          </cell>
          <cell r="H3051">
            <v>0.14000000000000001</v>
          </cell>
          <cell r="I3051" t="str">
            <v>Buy</v>
          </cell>
        </row>
        <row r="3052">
          <cell r="A3052" t="str">
            <v>ASY-100018-0C</v>
          </cell>
          <cell r="B3052">
            <v>1</v>
          </cell>
          <cell r="C3052" t="str">
            <v>SHT-000043-00</v>
          </cell>
          <cell r="D3052" t="str">
            <v>INSULATION SHEET, HBA, 4FT,TROV 2</v>
          </cell>
          <cell r="E3052" t="str">
            <v>D</v>
          </cell>
          <cell r="F3052" t="str">
            <v>Sheet</v>
          </cell>
          <cell r="G3052">
            <v>1</v>
          </cell>
          <cell r="H3052">
            <v>0.25</v>
          </cell>
          <cell r="I3052" t="str">
            <v>Buy</v>
          </cell>
        </row>
        <row r="3053">
          <cell r="A3053" t="str">
            <v>ASY-100018-0C</v>
          </cell>
          <cell r="B3053">
            <v>1</v>
          </cell>
          <cell r="C3053" t="str">
            <v>SPG-000023-00</v>
          </cell>
          <cell r="D3053" t="str">
            <v>SPRING, DISC, STACKED WAVE, TROV 2.0</v>
          </cell>
          <cell r="E3053" t="str">
            <v>A</v>
          </cell>
          <cell r="F3053" t="str">
            <v>Spring</v>
          </cell>
          <cell r="G3053">
            <v>2</v>
          </cell>
          <cell r="H3053">
            <v>1.74</v>
          </cell>
          <cell r="I3053" t="str">
            <v>Buy</v>
          </cell>
        </row>
        <row r="3054">
          <cell r="A3054" t="str">
            <v>ASY-100018-0C</v>
          </cell>
          <cell r="B3054">
            <v>1</v>
          </cell>
          <cell r="C3054" t="str">
            <v>TAP-000031-00</v>
          </cell>
          <cell r="D3054" t="str">
            <v>3M Electrical Tape 92</v>
          </cell>
          <cell r="E3054" t="str">
            <v>A</v>
          </cell>
          <cell r="F3054" t="str">
            <v>Tape</v>
          </cell>
          <cell r="G3054">
            <v>120</v>
          </cell>
          <cell r="H3054">
            <v>1.4E-2</v>
          </cell>
          <cell r="I3054" t="str">
            <v>Buy</v>
          </cell>
        </row>
        <row r="3055">
          <cell r="A3055" t="str">
            <v>ASY-100018-0C</v>
          </cell>
          <cell r="B3055">
            <v>1</v>
          </cell>
          <cell r="C3055" t="str">
            <v>TMP-000028-00</v>
          </cell>
          <cell r="D3055" t="str">
            <v>Thermal Pad, LED PCBA, 2 FT, TROV 2</v>
          </cell>
          <cell r="E3055" t="str">
            <v>B</v>
          </cell>
          <cell r="F3055" t="str">
            <v>Thermal Pad</v>
          </cell>
          <cell r="G3055">
            <v>2</v>
          </cell>
          <cell r="H3055">
            <v>1.32</v>
          </cell>
          <cell r="I3055" t="str">
            <v>Buy</v>
          </cell>
        </row>
        <row r="3056">
          <cell r="A3056" t="str">
            <v>ASY-100018-0C</v>
          </cell>
          <cell r="B3056">
            <v>1</v>
          </cell>
          <cell r="C3056" t="str">
            <v>TMP-000029-00</v>
          </cell>
          <cell r="D3056" t="str">
            <v>Thermal Pad, HBA, TROV 2</v>
          </cell>
          <cell r="E3056" t="str">
            <v>B</v>
          </cell>
          <cell r="F3056" t="str">
            <v>Thermal Pad</v>
          </cell>
          <cell r="G3056">
            <v>2</v>
          </cell>
          <cell r="H3056">
            <v>0.14000000000000001</v>
          </cell>
          <cell r="I3056" t="str">
            <v>Buy</v>
          </cell>
        </row>
        <row r="3057">
          <cell r="A3057" t="str">
            <v>ASY-100018-0C</v>
          </cell>
          <cell r="B3057">
            <v>1</v>
          </cell>
          <cell r="C3057" t="str">
            <v>TMP-000032-00</v>
          </cell>
          <cell r="D3057" t="str">
            <v>Thermal Pad, HBA, TROV 2</v>
          </cell>
          <cell r="E3057" t="str">
            <v>A</v>
          </cell>
          <cell r="F3057" t="str">
            <v>Thermal Pad</v>
          </cell>
          <cell r="G3057">
            <v>1</v>
          </cell>
          <cell r="H3057">
            <v>0.03</v>
          </cell>
          <cell r="I3057" t="str">
            <v>Buy</v>
          </cell>
        </row>
        <row r="3058">
          <cell r="A3058" t="str">
            <v>APC-000421-00</v>
          </cell>
          <cell r="B3058">
            <v>0</v>
          </cell>
          <cell r="C3058" t="str">
            <v>APC-000421-00</v>
          </cell>
          <cell r="D3058" t="str">
            <v>PCBA: Hecate, RGB4 ,1FT</v>
          </cell>
          <cell r="E3058" t="str">
            <v>B</v>
          </cell>
          <cell r="F3058" t="str">
            <v>PC Board Assembly</v>
          </cell>
          <cell r="H3058">
            <v>35.56</v>
          </cell>
          <cell r="I3058" t="str">
            <v>Buy</v>
          </cell>
          <cell r="J3058">
            <v>652</v>
          </cell>
          <cell r="K3058">
            <v>468</v>
          </cell>
          <cell r="L3058">
            <v>35.56</v>
          </cell>
        </row>
        <row r="3059">
          <cell r="A3059" t="str">
            <v>APC-000421-01</v>
          </cell>
          <cell r="B3059">
            <v>0</v>
          </cell>
          <cell r="C3059" t="str">
            <v>APC-000421-01</v>
          </cell>
          <cell r="D3059" t="str">
            <v>PCBA: Hecate, RGB3 ,1FT</v>
          </cell>
          <cell r="E3059" t="str">
            <v>A</v>
          </cell>
          <cell r="F3059" t="str">
            <v>PC Board Assembly</v>
          </cell>
          <cell r="H3059">
            <v>35.56</v>
          </cell>
          <cell r="I3059" t="str">
            <v>Buy</v>
          </cell>
          <cell r="J3059">
            <v>96</v>
          </cell>
          <cell r="K3059">
            <v>80</v>
          </cell>
          <cell r="L3059">
            <v>35.56</v>
          </cell>
        </row>
        <row r="3060">
          <cell r="A3060" t="str">
            <v>APC-000422-00</v>
          </cell>
          <cell r="B3060">
            <v>0</v>
          </cell>
          <cell r="C3060" t="str">
            <v>APC-000422-00</v>
          </cell>
          <cell r="D3060" t="str">
            <v>PCBA, Hybrid Atlas, CAN_BUS, Power Supply, 48W MP</v>
          </cell>
          <cell r="E3060">
            <v>9</v>
          </cell>
          <cell r="F3060" t="str">
            <v>PC Board Assembly</v>
          </cell>
          <cell r="H3060">
            <v>25.59</v>
          </cell>
          <cell r="I3060" t="str">
            <v>Buy</v>
          </cell>
          <cell r="J3060">
            <v>405</v>
          </cell>
          <cell r="K3060">
            <v>297</v>
          </cell>
          <cell r="L3060">
            <v>25.59</v>
          </cell>
        </row>
        <row r="3061">
          <cell r="A3061" t="str">
            <v>APC-000422-01</v>
          </cell>
          <cell r="B3061">
            <v>0</v>
          </cell>
          <cell r="C3061" t="str">
            <v>APC-000422-01</v>
          </cell>
          <cell r="D3061" t="str">
            <v>PCBA, Hybrid Atlas, CAN_BUS, Power Supply, 18W LP</v>
          </cell>
          <cell r="E3061">
            <v>7</v>
          </cell>
          <cell r="F3061" t="str">
            <v>PC Board Assembly</v>
          </cell>
          <cell r="H3061">
            <v>24.42</v>
          </cell>
          <cell r="I3061" t="str">
            <v>Buy</v>
          </cell>
          <cell r="J3061">
            <v>755</v>
          </cell>
          <cell r="K3061">
            <v>555</v>
          </cell>
          <cell r="L3061">
            <v>24.42</v>
          </cell>
        </row>
        <row r="3062">
          <cell r="A3062" t="str">
            <v>APC-000422-02</v>
          </cell>
          <cell r="B3062">
            <v>0</v>
          </cell>
          <cell r="C3062" t="str">
            <v>APC-000422-02</v>
          </cell>
          <cell r="D3062" t="str">
            <v>PCBA, Hybrid Atlas, CAN_BUS, Power Supply, 72W HP</v>
          </cell>
          <cell r="E3062">
            <v>7</v>
          </cell>
          <cell r="F3062" t="str">
            <v>PC Board Assembly</v>
          </cell>
          <cell r="H3062">
            <v>27.18</v>
          </cell>
          <cell r="I3062" t="str">
            <v>Buy</v>
          </cell>
          <cell r="J3062">
            <v>399</v>
          </cell>
          <cell r="K3062">
            <v>290</v>
          </cell>
          <cell r="L3062">
            <v>27.18</v>
          </cell>
        </row>
        <row r="3063">
          <cell r="A3063" t="str">
            <v>APC-000430-00</v>
          </cell>
          <cell r="B3063">
            <v>0</v>
          </cell>
          <cell r="C3063" t="str">
            <v>APC-000430-00</v>
          </cell>
          <cell r="D3063" t="str">
            <v>PCBA: Hecate, RGB4, 2FT</v>
          </cell>
          <cell r="E3063" t="str">
            <v>B</v>
          </cell>
          <cell r="F3063" t="str">
            <v>PC Board Assembly</v>
          </cell>
          <cell r="H3063">
            <v>65.06</v>
          </cell>
          <cell r="I3063" t="str">
            <v>Buy</v>
          </cell>
          <cell r="J3063">
            <v>1184</v>
          </cell>
          <cell r="K3063">
            <v>766</v>
          </cell>
          <cell r="L3063">
            <v>65.06</v>
          </cell>
        </row>
        <row r="3064">
          <cell r="A3064" t="str">
            <v>APC-000430-01</v>
          </cell>
          <cell r="B3064">
            <v>0</v>
          </cell>
          <cell r="C3064" t="str">
            <v>APC-000430-01</v>
          </cell>
          <cell r="D3064" t="str">
            <v>PCBA: Hecate, RGB3, 2FT</v>
          </cell>
          <cell r="E3064" t="str">
            <v>A</v>
          </cell>
          <cell r="F3064" t="str">
            <v>PC Board Assembly</v>
          </cell>
          <cell r="H3064">
            <v>65.06</v>
          </cell>
          <cell r="I3064" t="str">
            <v>Buy</v>
          </cell>
          <cell r="J3064">
            <v>85</v>
          </cell>
          <cell r="K3064">
            <v>69</v>
          </cell>
          <cell r="L3064">
            <v>65.06</v>
          </cell>
        </row>
        <row r="3065">
          <cell r="A3065" t="str">
            <v>APG-000230-00</v>
          </cell>
          <cell r="B3065">
            <v>0</v>
          </cell>
          <cell r="C3065" t="str">
            <v>APG-000230-00</v>
          </cell>
          <cell r="D3065" t="str">
            <v>PACKAGE ASSY, L45, 1FT, TROV 2P2</v>
          </cell>
          <cell r="E3065" t="str">
            <v>A</v>
          </cell>
          <cell r="F3065" t="str">
            <v>Packaging Assembly</v>
          </cell>
          <cell r="H3065">
            <v>0</v>
          </cell>
          <cell r="I3065" t="str">
            <v>Make</v>
          </cell>
        </row>
        <row r="3066">
          <cell r="A3066" t="str">
            <v>APG-000230-00</v>
          </cell>
          <cell r="B3066">
            <v>1</v>
          </cell>
          <cell r="C3066" t="str">
            <v>BOX-000145-00</v>
          </cell>
          <cell r="D3066" t="str">
            <v>Trov L45 1ft Unit Box</v>
          </cell>
          <cell r="E3066" t="str">
            <v>B</v>
          </cell>
          <cell r="F3066" t="str">
            <v>Box</v>
          </cell>
          <cell r="G3066">
            <v>1</v>
          </cell>
          <cell r="H3066">
            <v>0.88</v>
          </cell>
          <cell r="I3066" t="str">
            <v>Buy</v>
          </cell>
        </row>
        <row r="3067">
          <cell r="A3067" t="str">
            <v>APG-000230-00</v>
          </cell>
          <cell r="B3067">
            <v>1</v>
          </cell>
          <cell r="C3067" t="str">
            <v>CTN-000081-00</v>
          </cell>
          <cell r="D3067" t="str">
            <v>Trov L45 1ft Master Box</v>
          </cell>
          <cell r="E3067" t="str">
            <v>A</v>
          </cell>
          <cell r="F3067" t="str">
            <v>Box</v>
          </cell>
          <cell r="G3067">
            <v>8.3000000000000004E-2</v>
          </cell>
          <cell r="H3067">
            <v>3.17</v>
          </cell>
          <cell r="I3067" t="str">
            <v>Buy</v>
          </cell>
        </row>
        <row r="3068">
          <cell r="A3068" t="str">
            <v>APG-000230-00</v>
          </cell>
          <cell r="B3068">
            <v>1</v>
          </cell>
          <cell r="C3068" t="str">
            <v>LBL-000044-00</v>
          </cell>
          <cell r="D3068" t="str">
            <v>Label, TROV/T2P1/T2P2, Unit Box</v>
          </cell>
          <cell r="E3068" t="str">
            <v>F</v>
          </cell>
          <cell r="F3068" t="str">
            <v>Label</v>
          </cell>
          <cell r="G3068">
            <v>1</v>
          </cell>
          <cell r="H3068">
            <v>0.02</v>
          </cell>
          <cell r="I3068" t="str">
            <v>Buy</v>
          </cell>
        </row>
        <row r="3069">
          <cell r="A3069" t="str">
            <v>APG-000230-00</v>
          </cell>
          <cell r="B3069">
            <v>1</v>
          </cell>
          <cell r="C3069" t="str">
            <v>LBL-000051-00</v>
          </cell>
          <cell r="D3069" t="str">
            <v>Label, TROV/T2P1/T2P2 Carton Box</v>
          </cell>
          <cell r="E3069" t="str">
            <v>D</v>
          </cell>
          <cell r="F3069" t="str">
            <v>Label</v>
          </cell>
          <cell r="G3069">
            <v>8.3000000000000004E-2</v>
          </cell>
          <cell r="H3069">
            <v>8.7599999999999997E-2</v>
          </cell>
          <cell r="I3069" t="str">
            <v>Buy</v>
          </cell>
        </row>
        <row r="3070">
          <cell r="A3070" t="str">
            <v>APG-000230-00</v>
          </cell>
          <cell r="B3070">
            <v>1</v>
          </cell>
          <cell r="C3070" t="str">
            <v>LBL-000104-00</v>
          </cell>
          <cell r="D3070" t="str">
            <v>Master Carton Label</v>
          </cell>
          <cell r="E3070" t="str">
            <v>A</v>
          </cell>
          <cell r="F3070" t="str">
            <v>Label</v>
          </cell>
          <cell r="G3070">
            <v>8.3000000000000004E-2</v>
          </cell>
          <cell r="H3070">
            <v>0.01</v>
          </cell>
          <cell r="I3070" t="str">
            <v>Buy</v>
          </cell>
        </row>
        <row r="3071">
          <cell r="A3071" t="str">
            <v>APG-000230-00</v>
          </cell>
          <cell r="B3071">
            <v>1</v>
          </cell>
          <cell r="C3071" t="str">
            <v>MNL-000171-00</v>
          </cell>
          <cell r="D3071" t="str">
            <v>Install Guide: TROV L45 RGBW</v>
          </cell>
          <cell r="E3071" t="str">
            <v>A</v>
          </cell>
          <cell r="F3071" t="str">
            <v>Manual, Installation Guide</v>
          </cell>
          <cell r="G3071">
            <v>1</v>
          </cell>
          <cell r="H3071">
            <v>0</v>
          </cell>
          <cell r="I3071" t="str">
            <v>N/A</v>
          </cell>
        </row>
        <row r="3072">
          <cell r="A3072" t="str">
            <v>APG-000230-00</v>
          </cell>
          <cell r="B3072">
            <v>1</v>
          </cell>
          <cell r="C3072" t="str">
            <v>PBG-000017-00</v>
          </cell>
          <cell r="D3072" t="str">
            <v>Foam Bag, trov 1ft</v>
          </cell>
          <cell r="E3072" t="str">
            <v>F</v>
          </cell>
          <cell r="F3072" t="str">
            <v>Polybag</v>
          </cell>
          <cell r="G3072">
            <v>1</v>
          </cell>
          <cell r="H3072">
            <v>0.09</v>
          </cell>
          <cell r="I3072" t="str">
            <v>Buy</v>
          </cell>
        </row>
        <row r="3073">
          <cell r="A3073" t="str">
            <v>APG-000231-00</v>
          </cell>
          <cell r="B3073">
            <v>0</v>
          </cell>
          <cell r="C3073" t="str">
            <v>APG-000231-00</v>
          </cell>
          <cell r="D3073" t="str">
            <v>PACKAGE ASSY, L45, 4FT, TROV 2P2</v>
          </cell>
          <cell r="E3073" t="str">
            <v>A</v>
          </cell>
          <cell r="F3073" t="str">
            <v>Packaging Assembly</v>
          </cell>
          <cell r="H3073">
            <v>0</v>
          </cell>
          <cell r="I3073" t="str">
            <v>Make</v>
          </cell>
        </row>
        <row r="3074">
          <cell r="A3074" t="str">
            <v>APG-000231-00</v>
          </cell>
          <cell r="B3074">
            <v>1</v>
          </cell>
          <cell r="C3074" t="str">
            <v>BOX-000146-00</v>
          </cell>
          <cell r="D3074" t="str">
            <v>Trov L45 4ft Unit Box</v>
          </cell>
          <cell r="E3074" t="str">
            <v>B</v>
          </cell>
          <cell r="F3074" t="str">
            <v>Box</v>
          </cell>
          <cell r="G3074">
            <v>1</v>
          </cell>
          <cell r="H3074">
            <v>1.71</v>
          </cell>
          <cell r="I3074" t="str">
            <v>Buy</v>
          </cell>
        </row>
        <row r="3075">
          <cell r="A3075" t="str">
            <v>APG-000231-00</v>
          </cell>
          <cell r="B3075">
            <v>1</v>
          </cell>
          <cell r="C3075" t="str">
            <v>CTN-000082-00</v>
          </cell>
          <cell r="D3075" t="str">
            <v>Trov L45 4ft Master Box</v>
          </cell>
          <cell r="E3075" t="str">
            <v>A</v>
          </cell>
          <cell r="F3075" t="str">
            <v>Box</v>
          </cell>
          <cell r="G3075">
            <v>8.3000000000000004E-2</v>
          </cell>
          <cell r="H3075">
            <v>5.2</v>
          </cell>
          <cell r="I3075" t="str">
            <v>Buy</v>
          </cell>
        </row>
        <row r="3076">
          <cell r="A3076" t="str">
            <v>APG-000231-00</v>
          </cell>
          <cell r="B3076">
            <v>1</v>
          </cell>
          <cell r="C3076" t="str">
            <v>LBL-000044-00</v>
          </cell>
          <cell r="D3076" t="str">
            <v>Label, TROV/T2P1/T2P2, Unit Box</v>
          </cell>
          <cell r="E3076" t="str">
            <v>F</v>
          </cell>
          <cell r="F3076" t="str">
            <v>Label</v>
          </cell>
          <cell r="G3076">
            <v>1</v>
          </cell>
          <cell r="H3076">
            <v>0.02</v>
          </cell>
          <cell r="I3076" t="str">
            <v>Buy</v>
          </cell>
        </row>
        <row r="3077">
          <cell r="A3077" t="str">
            <v>APG-000231-00</v>
          </cell>
          <cell r="B3077">
            <v>1</v>
          </cell>
          <cell r="C3077" t="str">
            <v>LBL-000051-00</v>
          </cell>
          <cell r="D3077" t="str">
            <v>Label, TROV/T2P1/T2P2 Carton Box</v>
          </cell>
          <cell r="E3077" t="str">
            <v>D</v>
          </cell>
          <cell r="F3077" t="str">
            <v>Label</v>
          </cell>
          <cell r="G3077">
            <v>8.3000000000000004E-2</v>
          </cell>
          <cell r="H3077">
            <v>8.7599999999999997E-2</v>
          </cell>
          <cell r="I3077" t="str">
            <v>Buy</v>
          </cell>
        </row>
        <row r="3078">
          <cell r="A3078" t="str">
            <v>APG-000231-00</v>
          </cell>
          <cell r="B3078">
            <v>1</v>
          </cell>
          <cell r="C3078" t="str">
            <v>LBL-000104-00</v>
          </cell>
          <cell r="D3078" t="str">
            <v>Master Carton Label</v>
          </cell>
          <cell r="E3078" t="str">
            <v>A</v>
          </cell>
          <cell r="F3078" t="str">
            <v>Label</v>
          </cell>
          <cell r="G3078">
            <v>8.3000000000000004E-2</v>
          </cell>
          <cell r="H3078">
            <v>0.01</v>
          </cell>
          <cell r="I3078" t="str">
            <v>Buy</v>
          </cell>
        </row>
        <row r="3079">
          <cell r="A3079" t="str">
            <v>APG-000231-00</v>
          </cell>
          <cell r="B3079">
            <v>1</v>
          </cell>
          <cell r="C3079" t="str">
            <v>MNL-000171-00</v>
          </cell>
          <cell r="D3079" t="str">
            <v>Install Guide: TROV L45 RGBW</v>
          </cell>
          <cell r="E3079" t="str">
            <v>A</v>
          </cell>
          <cell r="F3079" t="str">
            <v>Manual, Installation Guide</v>
          </cell>
          <cell r="G3079">
            <v>1</v>
          </cell>
          <cell r="H3079">
            <v>0</v>
          </cell>
          <cell r="I3079" t="str">
            <v>N/A</v>
          </cell>
        </row>
        <row r="3080">
          <cell r="A3080" t="str">
            <v>APG-000231-00</v>
          </cell>
          <cell r="B3080">
            <v>1</v>
          </cell>
          <cell r="C3080" t="str">
            <v>PBG-000018-00</v>
          </cell>
          <cell r="D3080" t="str">
            <v>Foam Bag, trov 4ft</v>
          </cell>
          <cell r="E3080" t="str">
            <v>F</v>
          </cell>
          <cell r="F3080" t="str">
            <v>Polybag</v>
          </cell>
          <cell r="G3080">
            <v>1</v>
          </cell>
          <cell r="H3080">
            <v>0.1089</v>
          </cell>
          <cell r="I3080" t="str">
            <v>Buy</v>
          </cell>
        </row>
        <row r="3081">
          <cell r="A3081" t="str">
            <v>APG-000232-00</v>
          </cell>
          <cell r="B3081">
            <v>0</v>
          </cell>
          <cell r="C3081" t="str">
            <v>APG-000232-00</v>
          </cell>
          <cell r="D3081" t="str">
            <v>PACKAGE ASSY, L60, 1FT, TROV 2P2</v>
          </cell>
          <cell r="E3081" t="str">
            <v>A</v>
          </cell>
          <cell r="F3081" t="str">
            <v>Packaging Assembly</v>
          </cell>
          <cell r="H3081">
            <v>0</v>
          </cell>
          <cell r="I3081" t="str">
            <v>Make</v>
          </cell>
        </row>
        <row r="3082">
          <cell r="A3082" t="str">
            <v>APG-000232-00</v>
          </cell>
          <cell r="B3082">
            <v>1</v>
          </cell>
          <cell r="C3082" t="str">
            <v>BOX-000147-00</v>
          </cell>
          <cell r="D3082" t="str">
            <v>Trov L60 1ft Unit Box</v>
          </cell>
          <cell r="E3082" t="str">
            <v>B</v>
          </cell>
          <cell r="F3082" t="str">
            <v>Box</v>
          </cell>
          <cell r="G3082">
            <v>1</v>
          </cell>
          <cell r="H3082">
            <v>0.73</v>
          </cell>
          <cell r="I3082" t="str">
            <v>Buy</v>
          </cell>
        </row>
        <row r="3083">
          <cell r="A3083" t="str">
            <v>APG-000232-00</v>
          </cell>
          <cell r="B3083">
            <v>1</v>
          </cell>
          <cell r="C3083" t="str">
            <v>CTN-000083-00</v>
          </cell>
          <cell r="D3083" t="str">
            <v>Trov L60 1ft Master Box</v>
          </cell>
          <cell r="E3083" t="str">
            <v>A</v>
          </cell>
          <cell r="F3083" t="str">
            <v>Box</v>
          </cell>
          <cell r="G3083">
            <v>8.3000000000000004E-2</v>
          </cell>
          <cell r="H3083">
            <v>3.36</v>
          </cell>
          <cell r="I3083" t="str">
            <v>Buy</v>
          </cell>
        </row>
        <row r="3084">
          <cell r="A3084" t="str">
            <v>APG-000232-00</v>
          </cell>
          <cell r="B3084">
            <v>1</v>
          </cell>
          <cell r="C3084" t="str">
            <v>LBL-000044-00</v>
          </cell>
          <cell r="D3084" t="str">
            <v>Label, TROV/T2P1/T2P2, Unit Box</v>
          </cell>
          <cell r="E3084" t="str">
            <v>F</v>
          </cell>
          <cell r="F3084" t="str">
            <v>Label</v>
          </cell>
          <cell r="G3084">
            <v>1</v>
          </cell>
          <cell r="H3084">
            <v>0.02</v>
          </cell>
          <cell r="I3084" t="str">
            <v>Buy</v>
          </cell>
        </row>
        <row r="3085">
          <cell r="A3085" t="str">
            <v>APG-000232-00</v>
          </cell>
          <cell r="B3085">
            <v>1</v>
          </cell>
          <cell r="C3085" t="str">
            <v>LBL-000051-00</v>
          </cell>
          <cell r="D3085" t="str">
            <v>Label, TROV/T2P1/T2P2 Carton Box</v>
          </cell>
          <cell r="E3085" t="str">
            <v>D</v>
          </cell>
          <cell r="F3085" t="str">
            <v>Label</v>
          </cell>
          <cell r="G3085">
            <v>8.3000000000000004E-2</v>
          </cell>
          <cell r="H3085">
            <v>8.7599999999999997E-2</v>
          </cell>
          <cell r="I3085" t="str">
            <v>Buy</v>
          </cell>
        </row>
        <row r="3086">
          <cell r="A3086" t="str">
            <v>APG-000232-00</v>
          </cell>
          <cell r="B3086">
            <v>1</v>
          </cell>
          <cell r="C3086" t="str">
            <v>LBL-000104-00</v>
          </cell>
          <cell r="D3086" t="str">
            <v>Master Carton Label</v>
          </cell>
          <cell r="E3086" t="str">
            <v>A</v>
          </cell>
          <cell r="F3086" t="str">
            <v>Label</v>
          </cell>
          <cell r="G3086">
            <v>8.3000000000000004E-2</v>
          </cell>
          <cell r="H3086">
            <v>0.01</v>
          </cell>
          <cell r="I3086" t="str">
            <v>Buy</v>
          </cell>
        </row>
        <row r="3087">
          <cell r="A3087" t="str">
            <v>APG-000232-00</v>
          </cell>
          <cell r="B3087">
            <v>1</v>
          </cell>
          <cell r="C3087" t="str">
            <v>MNL-000172-00</v>
          </cell>
          <cell r="D3087" t="str">
            <v>Install Guide: TROV L60 RGBW</v>
          </cell>
          <cell r="E3087" t="str">
            <v>A</v>
          </cell>
          <cell r="F3087" t="str">
            <v>Manual, Installation Guide</v>
          </cell>
          <cell r="G3087">
            <v>1</v>
          </cell>
          <cell r="H3087">
            <v>0</v>
          </cell>
          <cell r="I3087" t="str">
            <v>N/A</v>
          </cell>
        </row>
        <row r="3088">
          <cell r="A3088" t="str">
            <v>APG-000232-00</v>
          </cell>
          <cell r="B3088">
            <v>1</v>
          </cell>
          <cell r="C3088" t="str">
            <v>PBG-000027-00</v>
          </cell>
          <cell r="D3088" t="str">
            <v>Polybag cuttable, Size 2, 6”x500’</v>
          </cell>
          <cell r="E3088" t="str">
            <v>D</v>
          </cell>
          <cell r="F3088" t="str">
            <v>Polybag</v>
          </cell>
          <cell r="G3088">
            <v>1</v>
          </cell>
          <cell r="H3088">
            <v>0.54</v>
          </cell>
          <cell r="I3088" t="str">
            <v>Buy</v>
          </cell>
        </row>
        <row r="3089">
          <cell r="A3089" t="str">
            <v>APG-000233-00</v>
          </cell>
          <cell r="B3089">
            <v>0</v>
          </cell>
          <cell r="C3089" t="str">
            <v>APG-000233-00</v>
          </cell>
          <cell r="D3089" t="str">
            <v>PACKAGE ASSY, L60, 4FT, TROV 2P2</v>
          </cell>
          <cell r="E3089" t="str">
            <v>A</v>
          </cell>
          <cell r="F3089" t="str">
            <v>Packaging Assembly</v>
          </cell>
          <cell r="H3089">
            <v>0</v>
          </cell>
          <cell r="I3089" t="str">
            <v>Make</v>
          </cell>
        </row>
        <row r="3090">
          <cell r="A3090" t="str">
            <v>APG-000233-00</v>
          </cell>
          <cell r="B3090">
            <v>1</v>
          </cell>
          <cell r="C3090" t="str">
            <v>BOX-000148-00</v>
          </cell>
          <cell r="D3090" t="str">
            <v>Trov L60 4ft Unit Box</v>
          </cell>
          <cell r="E3090" t="str">
            <v>B</v>
          </cell>
          <cell r="F3090" t="str">
            <v>Box</v>
          </cell>
          <cell r="G3090">
            <v>1</v>
          </cell>
          <cell r="H3090">
            <v>1.8</v>
          </cell>
          <cell r="I3090" t="str">
            <v>Buy</v>
          </cell>
        </row>
        <row r="3091">
          <cell r="A3091" t="str">
            <v>APG-000233-00</v>
          </cell>
          <cell r="B3091">
            <v>1</v>
          </cell>
          <cell r="C3091" t="str">
            <v>CTN-000084-00</v>
          </cell>
          <cell r="D3091" t="str">
            <v>Trov L60 4ft Master Box</v>
          </cell>
          <cell r="E3091" t="str">
            <v>A</v>
          </cell>
          <cell r="F3091" t="str">
            <v>Box</v>
          </cell>
          <cell r="G3091">
            <v>8.3000000000000004E-2</v>
          </cell>
          <cell r="H3091">
            <v>5.93</v>
          </cell>
          <cell r="I3091" t="str">
            <v>Buy</v>
          </cell>
        </row>
        <row r="3092">
          <cell r="A3092" t="str">
            <v>APG-000233-00</v>
          </cell>
          <cell r="B3092">
            <v>1</v>
          </cell>
          <cell r="C3092" t="str">
            <v>LBL-000044-00</v>
          </cell>
          <cell r="D3092" t="str">
            <v>Label, TROV/T2P1/T2P2, Unit Box</v>
          </cell>
          <cell r="E3092" t="str">
            <v>F</v>
          </cell>
          <cell r="F3092" t="str">
            <v>Label</v>
          </cell>
          <cell r="G3092">
            <v>1</v>
          </cell>
          <cell r="H3092">
            <v>0.02</v>
          </cell>
          <cell r="I3092" t="str">
            <v>Buy</v>
          </cell>
        </row>
        <row r="3093">
          <cell r="A3093" t="str">
            <v>APG-000233-00</v>
          </cell>
          <cell r="B3093">
            <v>1</v>
          </cell>
          <cell r="C3093" t="str">
            <v>LBL-000051-00</v>
          </cell>
          <cell r="D3093" t="str">
            <v>Label, TROV/T2P1/T2P2 Carton Box</v>
          </cell>
          <cell r="E3093" t="str">
            <v>D</v>
          </cell>
          <cell r="F3093" t="str">
            <v>Label</v>
          </cell>
          <cell r="G3093">
            <v>8.3000000000000004E-2</v>
          </cell>
          <cell r="H3093">
            <v>8.7599999999999997E-2</v>
          </cell>
          <cell r="I3093" t="str">
            <v>Buy</v>
          </cell>
        </row>
        <row r="3094">
          <cell r="A3094" t="str">
            <v>APG-000233-00</v>
          </cell>
          <cell r="B3094">
            <v>1</v>
          </cell>
          <cell r="C3094" t="str">
            <v>LBL-000104-00</v>
          </cell>
          <cell r="D3094" t="str">
            <v>Master Carton Label</v>
          </cell>
          <cell r="E3094" t="str">
            <v>A</v>
          </cell>
          <cell r="F3094" t="str">
            <v>Label</v>
          </cell>
          <cell r="G3094">
            <v>8.3000000000000004E-2</v>
          </cell>
          <cell r="H3094">
            <v>0.01</v>
          </cell>
          <cell r="I3094" t="str">
            <v>Buy</v>
          </cell>
        </row>
        <row r="3095">
          <cell r="A3095" t="str">
            <v>APG-000233-00</v>
          </cell>
          <cell r="B3095">
            <v>1</v>
          </cell>
          <cell r="C3095" t="str">
            <v>MNL-000172-00</v>
          </cell>
          <cell r="D3095" t="str">
            <v>Install Guide: TROV L60 RGBW</v>
          </cell>
          <cell r="E3095" t="str">
            <v>A</v>
          </cell>
          <cell r="F3095" t="str">
            <v>Manual, Installation Guide</v>
          </cell>
          <cell r="G3095">
            <v>1</v>
          </cell>
          <cell r="H3095">
            <v>0</v>
          </cell>
          <cell r="I3095" t="str">
            <v>N/A</v>
          </cell>
        </row>
        <row r="3096">
          <cell r="A3096" t="str">
            <v>APG-000233-00</v>
          </cell>
          <cell r="B3096">
            <v>1</v>
          </cell>
          <cell r="C3096" t="str">
            <v>PBG-000027-00</v>
          </cell>
          <cell r="D3096" t="str">
            <v>Polybag cuttable, Size 2, 6”x500’</v>
          </cell>
          <cell r="E3096" t="str">
            <v>D</v>
          </cell>
          <cell r="F3096" t="str">
            <v>Polybag</v>
          </cell>
          <cell r="G3096">
            <v>4</v>
          </cell>
          <cell r="H3096">
            <v>0.54</v>
          </cell>
          <cell r="I3096" t="str">
            <v>Buy</v>
          </cell>
        </row>
        <row r="3097">
          <cell r="A3097" t="str">
            <v>ASY-006898-01</v>
          </cell>
          <cell r="B3097">
            <v>0</v>
          </cell>
          <cell r="C3097" t="str">
            <v>ASY-006898-01</v>
          </cell>
          <cell r="D3097" t="str">
            <v>ASSY, 15D LENS W/ CARRIER, Dynamic Color, TROV 2.0</v>
          </cell>
          <cell r="E3097">
            <v>1</v>
          </cell>
          <cell r="F3097" t="str">
            <v>Sub assembly</v>
          </cell>
          <cell r="H3097">
            <v>2.65</v>
          </cell>
          <cell r="I3097" t="str">
            <v>Buy</v>
          </cell>
          <cell r="J3097">
            <v>3415</v>
          </cell>
          <cell r="K3097">
            <v>2333</v>
          </cell>
          <cell r="L3097">
            <v>2.65</v>
          </cell>
        </row>
        <row r="3098">
          <cell r="A3098" t="str">
            <v>ASY-006898-02</v>
          </cell>
          <cell r="B3098">
            <v>0</v>
          </cell>
          <cell r="C3098" t="str">
            <v>ASY-006898-02</v>
          </cell>
          <cell r="D3098" t="str">
            <v>ASSY, 30D LENS W/ CARRIER, Dynamic Color, TROV 2.0</v>
          </cell>
          <cell r="E3098">
            <v>1</v>
          </cell>
          <cell r="F3098" t="str">
            <v>Sub assembly</v>
          </cell>
          <cell r="H3098">
            <v>2.65</v>
          </cell>
          <cell r="I3098" t="str">
            <v>Buy</v>
          </cell>
          <cell r="J3098">
            <v>376</v>
          </cell>
          <cell r="K3098">
            <v>272</v>
          </cell>
          <cell r="L3098">
            <v>2.65</v>
          </cell>
        </row>
        <row r="3099">
          <cell r="A3099" t="str">
            <v>ASY-006898-03</v>
          </cell>
          <cell r="B3099">
            <v>0</v>
          </cell>
          <cell r="C3099" t="str">
            <v>ASY-006898-03</v>
          </cell>
          <cell r="D3099" t="str">
            <v>ASSY, 60D LENS W/ CARRIER, Dynamic Color, TROV 2.0</v>
          </cell>
          <cell r="E3099">
            <v>1</v>
          </cell>
          <cell r="F3099" t="str">
            <v>Sub assembly</v>
          </cell>
          <cell r="H3099">
            <v>2.65</v>
          </cell>
          <cell r="I3099" t="str">
            <v>Buy</v>
          </cell>
          <cell r="J3099">
            <v>172</v>
          </cell>
          <cell r="K3099">
            <v>98</v>
          </cell>
          <cell r="L3099">
            <v>2.65</v>
          </cell>
        </row>
      </sheetData>
      <sheetData sheetId="5"/>
      <sheetData sheetId="6">
        <row r="3">
          <cell r="D3" t="str">
            <v>Row Labels</v>
          </cell>
          <cell r="E3" t="str">
            <v>Sum of ext</v>
          </cell>
        </row>
        <row r="4">
          <cell r="D4" t="str">
            <v>APG-000220-00</v>
          </cell>
          <cell r="E4">
            <v>1.2612108000000002</v>
          </cell>
        </row>
        <row r="5">
          <cell r="D5" t="str">
            <v>APG-000221-00</v>
          </cell>
          <cell r="E5">
            <v>2.2786008000000004</v>
          </cell>
        </row>
        <row r="6">
          <cell r="D6" t="str">
            <v>APG-000222-00</v>
          </cell>
          <cell r="E6">
            <v>1.5769808000000001</v>
          </cell>
        </row>
        <row r="7">
          <cell r="D7" t="str">
            <v>APG-000223-00</v>
          </cell>
          <cell r="E7">
            <v>4.4802908000000006</v>
          </cell>
        </row>
        <row r="8">
          <cell r="D8" t="str">
            <v>APG-000230-00</v>
          </cell>
          <cell r="E8">
            <v>1.2612108000000002</v>
          </cell>
        </row>
        <row r="9">
          <cell r="D9" t="str">
            <v>APG-000231-00</v>
          </cell>
          <cell r="E9">
            <v>2.2786008000000004</v>
          </cell>
        </row>
        <row r="10">
          <cell r="D10" t="str">
            <v>APG-000232-00</v>
          </cell>
          <cell r="E10">
            <v>1.5769808000000001</v>
          </cell>
        </row>
        <row r="11">
          <cell r="D11" t="str">
            <v>APG-000233-00</v>
          </cell>
          <cell r="E11">
            <v>4.4802908000000006</v>
          </cell>
        </row>
        <row r="12">
          <cell r="D12" t="str">
            <v>ASY-006794-00</v>
          </cell>
          <cell r="E12">
            <v>8.5599999999999987</v>
          </cell>
        </row>
        <row r="13">
          <cell r="D13" t="str">
            <v>ASY-006796-00</v>
          </cell>
          <cell r="E13">
            <v>43.89879999999998</v>
          </cell>
        </row>
        <row r="14">
          <cell r="D14" t="str">
            <v>ASY-006796-01</v>
          </cell>
          <cell r="E14">
            <v>43.318799999999982</v>
          </cell>
        </row>
        <row r="15">
          <cell r="D15" t="str">
            <v>ASY-006796-02</v>
          </cell>
          <cell r="E15">
            <v>43.638799999999989</v>
          </cell>
        </row>
        <row r="16">
          <cell r="D16" t="str">
            <v>ASY-006796-03</v>
          </cell>
          <cell r="E16">
            <v>51.308799999999991</v>
          </cell>
        </row>
        <row r="17">
          <cell r="D17" t="str">
            <v>ASY-006796-04</v>
          </cell>
          <cell r="E17">
            <v>42.338799999999992</v>
          </cell>
        </row>
        <row r="18">
          <cell r="D18" t="str">
            <v>ASY-006797-00</v>
          </cell>
          <cell r="E18">
            <v>95.796400000000034</v>
          </cell>
        </row>
        <row r="19">
          <cell r="D19" t="str">
            <v>ASY-006797-01</v>
          </cell>
          <cell r="E19">
            <v>95.796400000000034</v>
          </cell>
        </row>
        <row r="20">
          <cell r="D20" t="str">
            <v>ASY-006797-02</v>
          </cell>
          <cell r="E20">
            <v>95.246400000000023</v>
          </cell>
        </row>
        <row r="21">
          <cell r="D21" t="str">
            <v>ASY-006797-03</v>
          </cell>
          <cell r="E21">
            <v>103.20640000000003</v>
          </cell>
        </row>
        <row r="22">
          <cell r="D22" t="str">
            <v>ASY-006797-04</v>
          </cell>
          <cell r="E22">
            <v>94.696400000000025</v>
          </cell>
        </row>
        <row r="23">
          <cell r="D23" t="str">
            <v>ASY-006798-00</v>
          </cell>
          <cell r="E23">
            <v>43.14879999999998</v>
          </cell>
        </row>
        <row r="24">
          <cell r="D24" t="str">
            <v>ASY-006798-01</v>
          </cell>
          <cell r="E24">
            <v>43.028799999999983</v>
          </cell>
        </row>
        <row r="25">
          <cell r="D25" t="str">
            <v>ASY-006798-02</v>
          </cell>
          <cell r="E25">
            <v>42.998799999999989</v>
          </cell>
        </row>
        <row r="26">
          <cell r="D26" t="str">
            <v>ASY-006798-03</v>
          </cell>
          <cell r="E26">
            <v>43.14879999999998</v>
          </cell>
        </row>
        <row r="27">
          <cell r="D27" t="str">
            <v>ASY-006798-04</v>
          </cell>
          <cell r="E27">
            <v>48.148799999999994</v>
          </cell>
        </row>
        <row r="28">
          <cell r="D28" t="str">
            <v>ASY-006799-00</v>
          </cell>
          <cell r="E28">
            <v>88.226400000000027</v>
          </cell>
        </row>
        <row r="29">
          <cell r="D29" t="str">
            <v>ASY-006799-01</v>
          </cell>
          <cell r="E29">
            <v>88.226400000000027</v>
          </cell>
        </row>
        <row r="30">
          <cell r="D30" t="str">
            <v>ASY-006799-02</v>
          </cell>
          <cell r="E30">
            <v>87.676400000000029</v>
          </cell>
        </row>
        <row r="31">
          <cell r="D31" t="str">
            <v>ASY-006799-03</v>
          </cell>
          <cell r="E31">
            <v>88.226400000000027</v>
          </cell>
        </row>
        <row r="32">
          <cell r="D32" t="str">
            <v>ASY-006799-04</v>
          </cell>
          <cell r="E32">
            <v>93.226400000000027</v>
          </cell>
        </row>
        <row r="33">
          <cell r="D33" t="str">
            <v>ASY-006803-00</v>
          </cell>
          <cell r="E33">
            <v>1.85</v>
          </cell>
        </row>
        <row r="34">
          <cell r="D34" t="str">
            <v>ASY-006804-00</v>
          </cell>
          <cell r="E34">
            <v>2.0499999999999998</v>
          </cell>
        </row>
        <row r="35">
          <cell r="D35" t="str">
            <v>ASY-006805-00</v>
          </cell>
          <cell r="E35">
            <v>1.9</v>
          </cell>
        </row>
        <row r="36">
          <cell r="D36" t="str">
            <v>ASY-006806-00</v>
          </cell>
          <cell r="E36">
            <v>1.9</v>
          </cell>
        </row>
        <row r="37">
          <cell r="D37" t="str">
            <v>ASY-006807-00</v>
          </cell>
          <cell r="E37">
            <v>2.3400000000000003</v>
          </cell>
        </row>
        <row r="38">
          <cell r="D38" t="str">
            <v>ASY-006808-00</v>
          </cell>
          <cell r="E38">
            <v>7.2</v>
          </cell>
        </row>
        <row r="39">
          <cell r="D39" t="str">
            <v>ASY-006809-00</v>
          </cell>
          <cell r="E39">
            <v>6.44</v>
          </cell>
        </row>
        <row r="40">
          <cell r="D40" t="str">
            <v>ASY-006810-00</v>
          </cell>
          <cell r="E40">
            <v>7.04</v>
          </cell>
        </row>
        <row r="41">
          <cell r="D41" t="str">
            <v>ASY-006811-00</v>
          </cell>
          <cell r="E41">
            <v>7</v>
          </cell>
        </row>
        <row r="42">
          <cell r="D42" t="str">
            <v>ASY-006812-00</v>
          </cell>
          <cell r="E42">
            <v>8.51</v>
          </cell>
        </row>
        <row r="43">
          <cell r="D43" t="str">
            <v>ASY-006813-00</v>
          </cell>
          <cell r="E43">
            <v>15.3</v>
          </cell>
        </row>
        <row r="44">
          <cell r="D44" t="str">
            <v>ASY-006883-00</v>
          </cell>
          <cell r="E44">
            <v>43.89879999999998</v>
          </cell>
        </row>
        <row r="45">
          <cell r="D45" t="str">
            <v>ASY-006883-01</v>
          </cell>
          <cell r="E45">
            <v>43.318799999999982</v>
          </cell>
        </row>
        <row r="46">
          <cell r="D46" t="str">
            <v>ASY-006883-02</v>
          </cell>
          <cell r="E46">
            <v>43.638799999999989</v>
          </cell>
        </row>
        <row r="47">
          <cell r="D47" t="str">
            <v>ASY-006883-03</v>
          </cell>
          <cell r="E47">
            <v>51.308799999999991</v>
          </cell>
        </row>
        <row r="48">
          <cell r="D48" t="str">
            <v>ASY-006883-04</v>
          </cell>
          <cell r="E48">
            <v>42.338799999999992</v>
          </cell>
        </row>
        <row r="49">
          <cell r="D49" t="str">
            <v>ASY-006884-00</v>
          </cell>
          <cell r="E49">
            <v>95.796400000000034</v>
          </cell>
        </row>
        <row r="50">
          <cell r="D50" t="str">
            <v>ASY-006884-01</v>
          </cell>
          <cell r="E50">
            <v>95.796400000000034</v>
          </cell>
        </row>
        <row r="51">
          <cell r="D51" t="str">
            <v>ASY-006884-02</v>
          </cell>
          <cell r="E51">
            <v>95.246400000000023</v>
          </cell>
        </row>
        <row r="52">
          <cell r="D52" t="str">
            <v>ASY-006884-03</v>
          </cell>
          <cell r="E52">
            <v>103.20640000000003</v>
          </cell>
        </row>
        <row r="53">
          <cell r="D53" t="str">
            <v>ASY-006884-04</v>
          </cell>
          <cell r="E53">
            <v>94.696400000000025</v>
          </cell>
        </row>
        <row r="54">
          <cell r="D54" t="str">
            <v>ASY-006885-00</v>
          </cell>
          <cell r="E54">
            <v>43.14879999999998</v>
          </cell>
        </row>
        <row r="55">
          <cell r="D55" t="str">
            <v>ASY-006885-01</v>
          </cell>
          <cell r="E55">
            <v>43.028799999999983</v>
          </cell>
        </row>
        <row r="56">
          <cell r="D56" t="str">
            <v>ASY-006885-02</v>
          </cell>
          <cell r="E56">
            <v>42.998799999999989</v>
          </cell>
        </row>
        <row r="57">
          <cell r="D57" t="str">
            <v>ASY-006885-03</v>
          </cell>
          <cell r="E57">
            <v>43.14879999999998</v>
          </cell>
        </row>
        <row r="58">
          <cell r="D58" t="str">
            <v>ASY-006885-04</v>
          </cell>
          <cell r="E58">
            <v>48.148799999999994</v>
          </cell>
        </row>
        <row r="59">
          <cell r="D59" t="str">
            <v>ASY-006886-00</v>
          </cell>
          <cell r="E59">
            <v>88.226400000000027</v>
          </cell>
        </row>
        <row r="60">
          <cell r="D60" t="str">
            <v>ASY-006886-01</v>
          </cell>
          <cell r="E60">
            <v>88.226400000000027</v>
          </cell>
        </row>
        <row r="61">
          <cell r="D61" t="str">
            <v>ASY-006886-02</v>
          </cell>
          <cell r="E61">
            <v>87.676400000000029</v>
          </cell>
        </row>
        <row r="62">
          <cell r="D62" t="str">
            <v>ASY-006886-03</v>
          </cell>
          <cell r="E62">
            <v>88.226400000000027</v>
          </cell>
        </row>
        <row r="63">
          <cell r="D63" t="str">
            <v>ASY-006886-04</v>
          </cell>
          <cell r="E63">
            <v>93.226400000000027</v>
          </cell>
        </row>
        <row r="64">
          <cell r="D64" t="str">
            <v>ASY-100011-01</v>
          </cell>
          <cell r="E64">
            <v>43.868799999999993</v>
          </cell>
        </row>
        <row r="65">
          <cell r="D65" t="str">
            <v>ASY-100011-02</v>
          </cell>
          <cell r="E65">
            <v>51.27879999999999</v>
          </cell>
        </row>
        <row r="66">
          <cell r="D66" t="str">
            <v>ASY-100011-03</v>
          </cell>
          <cell r="E66">
            <v>43.288799999999988</v>
          </cell>
        </row>
        <row r="67">
          <cell r="D67" t="str">
            <v>ASY-100011-04</v>
          </cell>
          <cell r="E67">
            <v>43.608799999999988</v>
          </cell>
        </row>
        <row r="68">
          <cell r="D68" t="str">
            <v>ASY-100011-0C</v>
          </cell>
          <cell r="E68">
            <v>42.308799999999991</v>
          </cell>
        </row>
        <row r="69">
          <cell r="D69" t="str">
            <v>ASY-100012-01</v>
          </cell>
          <cell r="E69">
            <v>95.756400000000042</v>
          </cell>
        </row>
        <row r="70">
          <cell r="D70" t="str">
            <v>ASY-100012-02</v>
          </cell>
          <cell r="E70">
            <v>103.16640000000004</v>
          </cell>
        </row>
        <row r="71">
          <cell r="D71" t="str">
            <v>ASY-100012-03</v>
          </cell>
          <cell r="E71">
            <v>95.756400000000042</v>
          </cell>
        </row>
        <row r="72">
          <cell r="D72" t="str">
            <v>ASY-100012-04</v>
          </cell>
          <cell r="E72">
            <v>95.206400000000031</v>
          </cell>
        </row>
        <row r="73">
          <cell r="D73" t="str">
            <v>ASY-100012-0C</v>
          </cell>
          <cell r="E73">
            <v>94.656400000000033</v>
          </cell>
        </row>
        <row r="74">
          <cell r="D74" t="str">
            <v>ASY-100013-01</v>
          </cell>
          <cell r="E74">
            <v>95.756400000000042</v>
          </cell>
        </row>
        <row r="75">
          <cell r="D75" t="str">
            <v>ASY-100013-02</v>
          </cell>
          <cell r="E75">
            <v>103.16640000000004</v>
          </cell>
        </row>
        <row r="76">
          <cell r="D76" t="str">
            <v>ASY-100013-03</v>
          </cell>
          <cell r="E76">
            <v>95.756400000000042</v>
          </cell>
        </row>
        <row r="77">
          <cell r="D77" t="str">
            <v>ASY-100013-04</v>
          </cell>
          <cell r="E77">
            <v>95.206400000000031</v>
          </cell>
        </row>
        <row r="78">
          <cell r="D78" t="str">
            <v>ASY-100013-0C</v>
          </cell>
          <cell r="E78">
            <v>94.656400000000033</v>
          </cell>
        </row>
        <row r="79">
          <cell r="D79" t="str">
            <v>ASY-100014-01</v>
          </cell>
          <cell r="E79">
            <v>43.118799999999993</v>
          </cell>
        </row>
        <row r="80">
          <cell r="D80" t="str">
            <v>ASY-100014-02</v>
          </cell>
          <cell r="E80">
            <v>43.118799999999993</v>
          </cell>
        </row>
        <row r="81">
          <cell r="D81" t="str">
            <v>ASY-100014-03</v>
          </cell>
          <cell r="E81">
            <v>42.998799999999989</v>
          </cell>
        </row>
        <row r="82">
          <cell r="D82" t="str">
            <v>ASY-100014-04</v>
          </cell>
          <cell r="E82">
            <v>42.968799999999987</v>
          </cell>
        </row>
        <row r="83">
          <cell r="D83" t="str">
            <v>ASY-100014-0C</v>
          </cell>
          <cell r="E83">
            <v>48.118799999999993</v>
          </cell>
        </row>
        <row r="84">
          <cell r="D84" t="str">
            <v>ASY-100015-01</v>
          </cell>
          <cell r="E84">
            <v>88.186400000000035</v>
          </cell>
        </row>
        <row r="85">
          <cell r="D85" t="str">
            <v>ASY-100015-02</v>
          </cell>
          <cell r="E85">
            <v>88.186400000000035</v>
          </cell>
        </row>
        <row r="86">
          <cell r="D86" t="str">
            <v>ASY-100015-03</v>
          </cell>
          <cell r="E86">
            <v>88.186400000000035</v>
          </cell>
        </row>
        <row r="87">
          <cell r="D87" t="str">
            <v>ASY-100015-04</v>
          </cell>
          <cell r="E87">
            <v>87.636400000000037</v>
          </cell>
        </row>
        <row r="88">
          <cell r="D88" t="str">
            <v>ASY-100015-0C</v>
          </cell>
          <cell r="E88">
            <v>93.186400000000035</v>
          </cell>
        </row>
        <row r="89">
          <cell r="D89" t="str">
            <v>ASY-100016-01</v>
          </cell>
          <cell r="E89">
            <v>43.868799999999993</v>
          </cell>
        </row>
        <row r="90">
          <cell r="D90" t="str">
            <v>ASY-100016-02</v>
          </cell>
          <cell r="E90">
            <v>51.27879999999999</v>
          </cell>
        </row>
        <row r="91">
          <cell r="D91" t="str">
            <v>ASY-100016-03</v>
          </cell>
          <cell r="E91">
            <v>43.288799999999988</v>
          </cell>
        </row>
        <row r="92">
          <cell r="D92" t="str">
            <v>ASY-100016-04</v>
          </cell>
          <cell r="E92">
            <v>43.608799999999988</v>
          </cell>
        </row>
        <row r="93">
          <cell r="D93" t="str">
            <v>ASY-100016-0C</v>
          </cell>
          <cell r="E93">
            <v>42.308799999999991</v>
          </cell>
        </row>
        <row r="94">
          <cell r="D94" t="str">
            <v>ASY-100017-01</v>
          </cell>
          <cell r="E94">
            <v>43.118799999999993</v>
          </cell>
        </row>
        <row r="95">
          <cell r="D95" t="str">
            <v>ASY-100017-02</v>
          </cell>
          <cell r="E95">
            <v>43.118799999999993</v>
          </cell>
        </row>
        <row r="96">
          <cell r="D96" t="str">
            <v>ASY-100017-03</v>
          </cell>
          <cell r="E96">
            <v>42.998799999999989</v>
          </cell>
        </row>
        <row r="97">
          <cell r="D97" t="str">
            <v>ASY-100017-04</v>
          </cell>
          <cell r="E97">
            <v>42.968799999999987</v>
          </cell>
        </row>
        <row r="98">
          <cell r="D98" t="str">
            <v>ASY-100017-0C</v>
          </cell>
          <cell r="E98">
            <v>48.118799999999993</v>
          </cell>
        </row>
        <row r="99">
          <cell r="D99" t="str">
            <v>ASY-100018-01</v>
          </cell>
          <cell r="E99">
            <v>88.186400000000035</v>
          </cell>
        </row>
        <row r="100">
          <cell r="D100" t="str">
            <v>ASY-100018-02</v>
          </cell>
          <cell r="E100">
            <v>88.186400000000035</v>
          </cell>
        </row>
        <row r="101">
          <cell r="D101" t="str">
            <v>ASY-100018-03</v>
          </cell>
          <cell r="E101">
            <v>88.186400000000035</v>
          </cell>
        </row>
        <row r="102">
          <cell r="D102" t="str">
            <v>ASY-100018-04</v>
          </cell>
          <cell r="E102">
            <v>87.636400000000037</v>
          </cell>
        </row>
        <row r="103">
          <cell r="D103" t="str">
            <v>ASY-100018-0C</v>
          </cell>
          <cell r="E103">
            <v>93.186400000000035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EA304-8AB0-4E7C-A10D-0478E027746D}">
  <dimension ref="A1:KA2401"/>
  <sheetViews>
    <sheetView tabSelected="1" zoomScale="84" zoomScaleNormal="84" workbookViewId="0">
      <pane ySplit="1" topLeftCell="A2381" activePane="bottomLeft" state="frozen"/>
      <selection pane="bottomLeft" activeCell="C2" sqref="C2:C2401"/>
    </sheetView>
  </sheetViews>
  <sheetFormatPr defaultColWidth="9.1796875" defaultRowHeight="14.5" x14ac:dyDescent="0.35"/>
  <cols>
    <col min="1" max="1" width="34" style="2" customWidth="1"/>
    <col min="2" max="2" width="18.54296875" style="2" customWidth="1"/>
    <col min="3" max="3" width="12.453125" style="2" customWidth="1"/>
    <col min="4" max="4" width="16.1796875" style="1" customWidth="1"/>
    <col min="5" max="5" width="6.7265625" style="1" bestFit="1" customWidth="1"/>
    <col min="6" max="6" width="33.1796875" style="1" customWidth="1"/>
    <col min="7" max="7" width="11.08984375" style="1" customWidth="1"/>
    <col min="8" max="8" width="17.54296875" style="2" customWidth="1"/>
    <col min="9" max="9" width="3.81640625" style="2" customWidth="1"/>
    <col min="10" max="10" width="47.81640625" style="2" bestFit="1" customWidth="1"/>
    <col min="11" max="11" width="12.81640625" style="2" customWidth="1"/>
    <col min="12" max="12" width="15.81640625" style="1" customWidth="1"/>
    <col min="13" max="13" width="6.26953125" style="1" customWidth="1"/>
    <col min="14" max="14" width="62.7265625" style="1" customWidth="1"/>
    <col min="15" max="15" width="15" style="1" customWidth="1"/>
    <col min="16" max="16" width="15.81640625" style="2" customWidth="1"/>
    <col min="17" max="17" width="6.7265625" style="2" bestFit="1" customWidth="1"/>
    <col min="18" max="18" width="32" style="2" customWidth="1"/>
    <col min="19" max="19" width="15.81640625" style="41" customWidth="1"/>
    <col min="20" max="20" width="15.54296875" style="1" bestFit="1" customWidth="1"/>
    <col min="21" max="21" width="6.7265625" style="1" bestFit="1" customWidth="1"/>
    <col min="22" max="23" width="45.26953125" style="1" customWidth="1"/>
    <col min="24" max="24" width="17.1796875" style="2" customWidth="1"/>
    <col min="25" max="25" width="6.7265625" style="2" bestFit="1" customWidth="1"/>
    <col min="26" max="26" width="29" style="2" bestFit="1" customWidth="1"/>
    <col min="27" max="27" width="12.90625" style="2" customWidth="1"/>
    <col min="28" max="16384" width="9.1796875" style="2"/>
  </cols>
  <sheetData>
    <row r="1" spans="1:27" s="3" customFormat="1" x14ac:dyDescent="0.35">
      <c r="A1" s="6" t="s">
        <v>0</v>
      </c>
      <c r="B1" s="6" t="s">
        <v>1</v>
      </c>
      <c r="C1" s="11" t="s">
        <v>4944</v>
      </c>
      <c r="D1" s="7" t="s">
        <v>2</v>
      </c>
      <c r="E1" s="7" t="s">
        <v>6</v>
      </c>
      <c r="F1" s="7" t="s">
        <v>1</v>
      </c>
      <c r="G1" s="7"/>
      <c r="H1" s="8" t="s">
        <v>3</v>
      </c>
      <c r="I1" s="8" t="s">
        <v>6</v>
      </c>
      <c r="J1" s="8" t="s">
        <v>1</v>
      </c>
      <c r="K1" s="8"/>
      <c r="L1" s="9" t="s">
        <v>612</v>
      </c>
      <c r="M1" s="9" t="s">
        <v>38</v>
      </c>
      <c r="N1" s="9" t="s">
        <v>1</v>
      </c>
      <c r="O1" s="9"/>
      <c r="P1" s="10" t="s">
        <v>4</v>
      </c>
      <c r="Q1" s="10" t="s">
        <v>6</v>
      </c>
      <c r="R1" s="10" t="s">
        <v>1</v>
      </c>
      <c r="S1" s="39"/>
      <c r="T1" s="11" t="s">
        <v>5</v>
      </c>
      <c r="U1" s="11" t="s">
        <v>6</v>
      </c>
      <c r="V1" s="11" t="s">
        <v>1</v>
      </c>
      <c r="W1" s="11"/>
      <c r="X1" s="12" t="s">
        <v>502</v>
      </c>
      <c r="Y1" s="12" t="s">
        <v>6</v>
      </c>
      <c r="Z1" s="12" t="s">
        <v>1</v>
      </c>
      <c r="AA1" s="12"/>
    </row>
    <row r="2" spans="1:27" s="3" customFormat="1" x14ac:dyDescent="0.35">
      <c r="A2" s="13" t="s">
        <v>498</v>
      </c>
      <c r="B2" s="13" t="s">
        <v>3984</v>
      </c>
      <c r="C2" s="42">
        <f>SUM(G2+K2+O2+S2+W2+AA2)</f>
        <v>117.8700108</v>
      </c>
      <c r="D2" s="14" t="s">
        <v>42</v>
      </c>
      <c r="E2" s="14">
        <v>1</v>
      </c>
      <c r="F2" s="14" t="s">
        <v>3982</v>
      </c>
      <c r="G2" s="14">
        <f>(VLOOKUP(D2,'[1]BOM Info General'!$A:$L,12,0))*E2</f>
        <v>35.56</v>
      </c>
      <c r="H2" s="15" t="s">
        <v>39</v>
      </c>
      <c r="I2" s="15">
        <v>1</v>
      </c>
      <c r="J2" s="15" t="s">
        <v>46</v>
      </c>
      <c r="K2" s="15">
        <f>(VLOOKUP(H2,'[1]BOM Info General'!$A:$L,12,0))*I2</f>
        <v>24.42</v>
      </c>
      <c r="L2" s="9" t="s">
        <v>525</v>
      </c>
      <c r="M2" s="9">
        <v>1</v>
      </c>
      <c r="N2" s="9" t="s">
        <v>97</v>
      </c>
      <c r="O2" s="9">
        <f>(VLOOKUP(L2,'[1]Simulation pricing per sub assy'!$D:$E,2,0))*M2</f>
        <v>48.118799999999993</v>
      </c>
      <c r="P2" s="16">
        <v>0</v>
      </c>
      <c r="Q2" s="16">
        <v>0</v>
      </c>
      <c r="R2" s="16" t="e">
        <v>#N/A</v>
      </c>
      <c r="S2" s="40">
        <v>0</v>
      </c>
      <c r="T2" s="17" t="s">
        <v>32</v>
      </c>
      <c r="U2" s="17">
        <v>1</v>
      </c>
      <c r="V2" s="17" t="s">
        <v>33</v>
      </c>
      <c r="W2" s="17">
        <f>(VLOOKUP(T2,'[1]Simulation pricing per sub assy'!$D:$E,2,0))*U2</f>
        <v>8.51</v>
      </c>
      <c r="X2" s="18" t="s">
        <v>613</v>
      </c>
      <c r="Y2" s="18">
        <v>1</v>
      </c>
      <c r="Z2" s="18" t="s">
        <v>34</v>
      </c>
      <c r="AA2" s="18">
        <f>(VLOOKUP(X2,'[1]Simulation pricing per sub assy'!$D:$E,2,0))*Y2</f>
        <v>1.2612108000000002</v>
      </c>
    </row>
    <row r="3" spans="1:27" s="3" customFormat="1" ht="16.5" x14ac:dyDescent="0.45">
      <c r="A3" s="13" t="s">
        <v>483</v>
      </c>
      <c r="B3" s="13" t="s">
        <v>3985</v>
      </c>
      <c r="C3" s="42">
        <f t="shared" ref="C3:C66" si="0">SUM(G3+K3+O3+S3+W3+AA3)</f>
        <v>112.7500108</v>
      </c>
      <c r="D3" s="14" t="s">
        <v>42</v>
      </c>
      <c r="E3" s="14">
        <v>1</v>
      </c>
      <c r="F3" s="14" t="s">
        <v>3982</v>
      </c>
      <c r="G3" s="14">
        <f>(VLOOKUP(D3,'[1]BOM Info General'!$A:$L,12,0))*E3</f>
        <v>35.56</v>
      </c>
      <c r="H3" s="15" t="s">
        <v>39</v>
      </c>
      <c r="I3" s="15">
        <v>1</v>
      </c>
      <c r="J3" s="15" t="s">
        <v>46</v>
      </c>
      <c r="K3" s="15">
        <f>(VLOOKUP(H3,'[1]BOM Info General'!$A:$L,12,0))*I3</f>
        <v>24.42</v>
      </c>
      <c r="L3" s="9" t="s">
        <v>94</v>
      </c>
      <c r="M3" s="9">
        <v>1</v>
      </c>
      <c r="N3" s="9" t="s">
        <v>91</v>
      </c>
      <c r="O3" s="9">
        <f>(VLOOKUP(L3,'[1]Simulation pricing per sub assy'!$D:$E,2,0))*M3</f>
        <v>42.998799999999989</v>
      </c>
      <c r="P3" s="16">
        <v>0</v>
      </c>
      <c r="Q3" s="16">
        <v>0</v>
      </c>
      <c r="R3" s="16" t="e">
        <v>#N/A</v>
      </c>
      <c r="S3" s="40">
        <v>0</v>
      </c>
      <c r="T3" s="17" t="s">
        <v>32</v>
      </c>
      <c r="U3" s="17">
        <v>1</v>
      </c>
      <c r="V3" s="17" t="s">
        <v>33</v>
      </c>
      <c r="W3" s="17">
        <f>(VLOOKUP(T3,'[1]Simulation pricing per sub assy'!$D:$E,2,0))*U3</f>
        <v>8.51</v>
      </c>
      <c r="X3" s="19" t="s">
        <v>613</v>
      </c>
      <c r="Y3" s="18">
        <v>1</v>
      </c>
      <c r="Z3" s="18" t="s">
        <v>34</v>
      </c>
      <c r="AA3" s="18">
        <f>(VLOOKUP(X3,'[1]Simulation pricing per sub assy'!$D:$E,2,0))*Y3</f>
        <v>1.2612108000000002</v>
      </c>
    </row>
    <row r="4" spans="1:27" s="3" customFormat="1" x14ac:dyDescent="0.35">
      <c r="A4" s="13" t="s">
        <v>496</v>
      </c>
      <c r="B4" s="13" t="s">
        <v>3986</v>
      </c>
      <c r="C4" s="42">
        <f t="shared" si="0"/>
        <v>112.8700108</v>
      </c>
      <c r="D4" s="14" t="s">
        <v>42</v>
      </c>
      <c r="E4" s="14">
        <v>1</v>
      </c>
      <c r="F4" s="14" t="s">
        <v>3982</v>
      </c>
      <c r="G4" s="14">
        <f>(VLOOKUP(D4,'[1]BOM Info General'!$A:$L,12,0))*E4</f>
        <v>35.56</v>
      </c>
      <c r="H4" s="15" t="s">
        <v>39</v>
      </c>
      <c r="I4" s="15">
        <v>1</v>
      </c>
      <c r="J4" s="15" t="s">
        <v>46</v>
      </c>
      <c r="K4" s="15">
        <f>(VLOOKUP(H4,'[1]BOM Info General'!$A:$L,12,0))*I4</f>
        <v>24.42</v>
      </c>
      <c r="L4" s="9" t="s">
        <v>90</v>
      </c>
      <c r="M4" s="9">
        <v>1</v>
      </c>
      <c r="N4" s="9" t="s">
        <v>89</v>
      </c>
      <c r="O4" s="9">
        <f>(VLOOKUP(L4,'[1]Simulation pricing per sub assy'!$D:$E,2,0))*M4</f>
        <v>43.118799999999993</v>
      </c>
      <c r="P4" s="16">
        <v>0</v>
      </c>
      <c r="Q4" s="16">
        <v>0</v>
      </c>
      <c r="R4" s="16" t="e">
        <v>#N/A</v>
      </c>
      <c r="S4" s="40">
        <v>0</v>
      </c>
      <c r="T4" s="17" t="s">
        <v>32</v>
      </c>
      <c r="U4" s="17">
        <v>1</v>
      </c>
      <c r="V4" s="17" t="s">
        <v>33</v>
      </c>
      <c r="W4" s="17">
        <f>(VLOOKUP(T4,'[1]Simulation pricing per sub assy'!$D:$E,2,0))*U4</f>
        <v>8.51</v>
      </c>
      <c r="X4" s="18" t="s">
        <v>613</v>
      </c>
      <c r="Y4" s="18">
        <v>1</v>
      </c>
      <c r="Z4" s="18" t="s">
        <v>34</v>
      </c>
      <c r="AA4" s="18">
        <f>(VLOOKUP(X4,'[1]Simulation pricing per sub assy'!$D:$E,2,0))*Y4</f>
        <v>1.2612108000000002</v>
      </c>
    </row>
    <row r="5" spans="1:27" s="3" customFormat="1" x14ac:dyDescent="0.35">
      <c r="A5" s="13" t="s">
        <v>487</v>
      </c>
      <c r="B5" s="13" t="s">
        <v>3987</v>
      </c>
      <c r="C5" s="42">
        <f t="shared" si="0"/>
        <v>112.7200108</v>
      </c>
      <c r="D5" s="14" t="s">
        <v>42</v>
      </c>
      <c r="E5" s="14">
        <v>1</v>
      </c>
      <c r="F5" s="14" t="s">
        <v>3982</v>
      </c>
      <c r="G5" s="14">
        <f>(VLOOKUP(D5,'[1]BOM Info General'!$A:$L,12,0))*E5</f>
        <v>35.56</v>
      </c>
      <c r="H5" s="15" t="s">
        <v>39</v>
      </c>
      <c r="I5" s="15">
        <v>1</v>
      </c>
      <c r="J5" s="15" t="s">
        <v>46</v>
      </c>
      <c r="K5" s="15">
        <f>(VLOOKUP(H5,'[1]BOM Info General'!$A:$L,12,0))*I5</f>
        <v>24.42</v>
      </c>
      <c r="L5" s="9" t="s">
        <v>96</v>
      </c>
      <c r="M5" s="9">
        <v>1</v>
      </c>
      <c r="N5" s="9" t="s">
        <v>93</v>
      </c>
      <c r="O5" s="9">
        <f>(VLOOKUP(L5,'[1]Simulation pricing per sub assy'!$D:$E,2,0))*M5</f>
        <v>42.968799999999987</v>
      </c>
      <c r="P5" s="16">
        <v>0</v>
      </c>
      <c r="Q5" s="16">
        <v>0</v>
      </c>
      <c r="R5" s="16" t="e">
        <v>#N/A</v>
      </c>
      <c r="S5" s="40">
        <v>0</v>
      </c>
      <c r="T5" s="17" t="s">
        <v>32</v>
      </c>
      <c r="U5" s="17">
        <v>1</v>
      </c>
      <c r="V5" s="17" t="s">
        <v>33</v>
      </c>
      <c r="W5" s="17">
        <f>(VLOOKUP(T5,'[1]Simulation pricing per sub assy'!$D:$E,2,0))*U5</f>
        <v>8.51</v>
      </c>
      <c r="X5" s="18" t="s">
        <v>613</v>
      </c>
      <c r="Y5" s="18">
        <v>1</v>
      </c>
      <c r="Z5" s="18" t="s">
        <v>34</v>
      </c>
      <c r="AA5" s="18">
        <f>(VLOOKUP(X5,'[1]Simulation pricing per sub assy'!$D:$E,2,0))*Y5</f>
        <v>1.2612108000000002</v>
      </c>
    </row>
    <row r="6" spans="1:27" s="3" customFormat="1" x14ac:dyDescent="0.35">
      <c r="A6" s="13" t="s">
        <v>497</v>
      </c>
      <c r="B6" s="13" t="s">
        <v>3988</v>
      </c>
      <c r="C6" s="42">
        <f t="shared" si="0"/>
        <v>112.8700108</v>
      </c>
      <c r="D6" s="14" t="s">
        <v>42</v>
      </c>
      <c r="E6" s="14">
        <v>1</v>
      </c>
      <c r="F6" s="14" t="s">
        <v>3982</v>
      </c>
      <c r="G6" s="14">
        <f>(VLOOKUP(D6,'[1]BOM Info General'!$A:$L,12,0))*E6</f>
        <v>35.56</v>
      </c>
      <c r="H6" s="15" t="s">
        <v>39</v>
      </c>
      <c r="I6" s="15">
        <v>1</v>
      </c>
      <c r="J6" s="15" t="s">
        <v>46</v>
      </c>
      <c r="K6" s="15">
        <f>(VLOOKUP(H6,'[1]BOM Info General'!$A:$L,12,0))*I6</f>
        <v>24.42</v>
      </c>
      <c r="L6" s="9" t="s">
        <v>92</v>
      </c>
      <c r="M6" s="9">
        <v>1</v>
      </c>
      <c r="N6" s="9" t="s">
        <v>95</v>
      </c>
      <c r="O6" s="9">
        <f>(VLOOKUP(L6,'[1]Simulation pricing per sub assy'!$D:$E,2,0))*M6</f>
        <v>43.118799999999993</v>
      </c>
      <c r="P6" s="16">
        <v>0</v>
      </c>
      <c r="Q6" s="16">
        <v>0</v>
      </c>
      <c r="R6" s="16" t="e">
        <v>#N/A</v>
      </c>
      <c r="S6" s="40">
        <v>0</v>
      </c>
      <c r="T6" s="17" t="s">
        <v>32</v>
      </c>
      <c r="U6" s="17">
        <v>1</v>
      </c>
      <c r="V6" s="17" t="s">
        <v>33</v>
      </c>
      <c r="W6" s="17">
        <f>(VLOOKUP(T6,'[1]Simulation pricing per sub assy'!$D:$E,2,0))*U6</f>
        <v>8.51</v>
      </c>
      <c r="X6" s="18" t="s">
        <v>613</v>
      </c>
      <c r="Y6" s="18">
        <v>1</v>
      </c>
      <c r="Z6" s="18" t="s">
        <v>34</v>
      </c>
      <c r="AA6" s="18">
        <f>(VLOOKUP(X6,'[1]Simulation pricing per sub assy'!$D:$E,2,0))*Y6</f>
        <v>1.2612108000000002</v>
      </c>
    </row>
    <row r="7" spans="1:27" s="3" customFormat="1" x14ac:dyDescent="0.35">
      <c r="A7" s="13" t="s">
        <v>1975</v>
      </c>
      <c r="B7" s="13" t="s">
        <v>1976</v>
      </c>
      <c r="C7" s="42">
        <f t="shared" si="0"/>
        <v>117.8700108</v>
      </c>
      <c r="D7" s="20" t="s">
        <v>42</v>
      </c>
      <c r="E7" s="20">
        <v>1</v>
      </c>
      <c r="F7" s="20" t="s">
        <v>3982</v>
      </c>
      <c r="G7" s="14">
        <f>(VLOOKUP(D7,'[1]BOM Info General'!$A:$L,12,0))*E7</f>
        <v>35.56</v>
      </c>
      <c r="H7" s="21" t="s">
        <v>39</v>
      </c>
      <c r="I7" s="21">
        <v>1</v>
      </c>
      <c r="J7" s="21" t="s">
        <v>46</v>
      </c>
      <c r="K7" s="15">
        <f>(VLOOKUP(H7,'[1]BOM Info General'!$A:$L,12,0))*I7</f>
        <v>24.42</v>
      </c>
      <c r="L7" s="22" t="s">
        <v>525</v>
      </c>
      <c r="M7" s="22">
        <v>1</v>
      </c>
      <c r="N7" s="22" t="s">
        <v>97</v>
      </c>
      <c r="O7" s="9">
        <f>(VLOOKUP(L7,'[1]Simulation pricing per sub assy'!$D:$E,2,0))*M7</f>
        <v>48.118799999999993</v>
      </c>
      <c r="P7" s="23">
        <v>0</v>
      </c>
      <c r="Q7" s="23">
        <v>0</v>
      </c>
      <c r="R7" s="23" t="e">
        <v>#N/A</v>
      </c>
      <c r="S7" s="40">
        <v>0</v>
      </c>
      <c r="T7" s="24" t="s">
        <v>32</v>
      </c>
      <c r="U7" s="24">
        <v>1</v>
      </c>
      <c r="V7" s="24" t="s">
        <v>33</v>
      </c>
      <c r="W7" s="17">
        <f>(VLOOKUP(T7,'[1]Simulation pricing per sub assy'!$D:$E,2,0))*U7</f>
        <v>8.51</v>
      </c>
      <c r="X7" s="18" t="s">
        <v>613</v>
      </c>
      <c r="Y7" s="25">
        <v>1</v>
      </c>
      <c r="Z7" s="25" t="s">
        <v>34</v>
      </c>
      <c r="AA7" s="18">
        <f>(VLOOKUP(X7,'[1]Simulation pricing per sub assy'!$D:$E,2,0))*Y7</f>
        <v>1.2612108000000002</v>
      </c>
    </row>
    <row r="8" spans="1:27" s="3" customFormat="1" x14ac:dyDescent="0.35">
      <c r="A8" s="13" t="s">
        <v>1967</v>
      </c>
      <c r="B8" s="13" t="s">
        <v>1968</v>
      </c>
      <c r="C8" s="42">
        <f t="shared" si="0"/>
        <v>112.7500108</v>
      </c>
      <c r="D8" s="20" t="s">
        <v>42</v>
      </c>
      <c r="E8" s="20">
        <v>1</v>
      </c>
      <c r="F8" s="20" t="s">
        <v>3982</v>
      </c>
      <c r="G8" s="14">
        <f>(VLOOKUP(D8,'[1]BOM Info General'!$A:$L,12,0))*E8</f>
        <v>35.56</v>
      </c>
      <c r="H8" s="21" t="s">
        <v>39</v>
      </c>
      <c r="I8" s="21">
        <v>1</v>
      </c>
      <c r="J8" s="21" t="s">
        <v>46</v>
      </c>
      <c r="K8" s="15">
        <f>(VLOOKUP(H8,'[1]BOM Info General'!$A:$L,12,0))*I8</f>
        <v>24.42</v>
      </c>
      <c r="L8" s="22" t="s">
        <v>94</v>
      </c>
      <c r="M8" s="22">
        <v>1</v>
      </c>
      <c r="N8" s="22" t="s">
        <v>91</v>
      </c>
      <c r="O8" s="9">
        <f>(VLOOKUP(L8,'[1]Simulation pricing per sub assy'!$D:$E,2,0))*M8</f>
        <v>42.998799999999989</v>
      </c>
      <c r="P8" s="23">
        <v>0</v>
      </c>
      <c r="Q8" s="23">
        <v>0</v>
      </c>
      <c r="R8" s="23" t="e">
        <v>#N/A</v>
      </c>
      <c r="S8" s="40">
        <v>0</v>
      </c>
      <c r="T8" s="24" t="s">
        <v>32</v>
      </c>
      <c r="U8" s="24">
        <v>1</v>
      </c>
      <c r="V8" s="24" t="s">
        <v>33</v>
      </c>
      <c r="W8" s="17">
        <f>(VLOOKUP(T8,'[1]Simulation pricing per sub assy'!$D:$E,2,0))*U8</f>
        <v>8.51</v>
      </c>
      <c r="X8" s="18" t="s">
        <v>613</v>
      </c>
      <c r="Y8" s="25">
        <v>1</v>
      </c>
      <c r="Z8" s="25" t="s">
        <v>34</v>
      </c>
      <c r="AA8" s="18">
        <f>(VLOOKUP(X8,'[1]Simulation pricing per sub assy'!$D:$E,2,0))*Y8</f>
        <v>1.2612108000000002</v>
      </c>
    </row>
    <row r="9" spans="1:27" s="3" customFormat="1" x14ac:dyDescent="0.35">
      <c r="A9" s="13" t="s">
        <v>1971</v>
      </c>
      <c r="B9" s="13" t="s">
        <v>1972</v>
      </c>
      <c r="C9" s="42">
        <f t="shared" si="0"/>
        <v>112.8700108</v>
      </c>
      <c r="D9" s="20" t="s">
        <v>42</v>
      </c>
      <c r="E9" s="20">
        <v>1</v>
      </c>
      <c r="F9" s="20" t="s">
        <v>3982</v>
      </c>
      <c r="G9" s="14">
        <f>(VLOOKUP(D9,'[1]BOM Info General'!$A:$L,12,0))*E9</f>
        <v>35.56</v>
      </c>
      <c r="H9" s="21" t="s">
        <v>39</v>
      </c>
      <c r="I9" s="21">
        <v>1</v>
      </c>
      <c r="J9" s="21" t="s">
        <v>46</v>
      </c>
      <c r="K9" s="15">
        <f>(VLOOKUP(H9,'[1]BOM Info General'!$A:$L,12,0))*I9</f>
        <v>24.42</v>
      </c>
      <c r="L9" s="22" t="s">
        <v>90</v>
      </c>
      <c r="M9" s="22">
        <v>1</v>
      </c>
      <c r="N9" s="22" t="s">
        <v>89</v>
      </c>
      <c r="O9" s="9">
        <f>(VLOOKUP(L9,'[1]Simulation pricing per sub assy'!$D:$E,2,0))*M9</f>
        <v>43.118799999999993</v>
      </c>
      <c r="P9" s="23">
        <v>0</v>
      </c>
      <c r="Q9" s="23">
        <v>0</v>
      </c>
      <c r="R9" s="23" t="e">
        <v>#N/A</v>
      </c>
      <c r="S9" s="40">
        <v>0</v>
      </c>
      <c r="T9" s="24" t="s">
        <v>32</v>
      </c>
      <c r="U9" s="24">
        <v>1</v>
      </c>
      <c r="V9" s="24" t="s">
        <v>33</v>
      </c>
      <c r="W9" s="17">
        <f>(VLOOKUP(T9,'[1]Simulation pricing per sub assy'!$D:$E,2,0))*U9</f>
        <v>8.51</v>
      </c>
      <c r="X9" s="18" t="s">
        <v>613</v>
      </c>
      <c r="Y9" s="25">
        <v>1</v>
      </c>
      <c r="Z9" s="25" t="s">
        <v>34</v>
      </c>
      <c r="AA9" s="18">
        <f>(VLOOKUP(X9,'[1]Simulation pricing per sub assy'!$D:$E,2,0))*Y9</f>
        <v>1.2612108000000002</v>
      </c>
    </row>
    <row r="10" spans="1:27" s="3" customFormat="1" x14ac:dyDescent="0.35">
      <c r="A10" s="13" t="s">
        <v>1969</v>
      </c>
      <c r="B10" s="13" t="s">
        <v>1970</v>
      </c>
      <c r="C10" s="42">
        <f t="shared" si="0"/>
        <v>112.7200108</v>
      </c>
      <c r="D10" s="20" t="s">
        <v>42</v>
      </c>
      <c r="E10" s="20">
        <v>1</v>
      </c>
      <c r="F10" s="20" t="s">
        <v>3982</v>
      </c>
      <c r="G10" s="14">
        <f>(VLOOKUP(D10,'[1]BOM Info General'!$A:$L,12,0))*E10</f>
        <v>35.56</v>
      </c>
      <c r="H10" s="21" t="s">
        <v>39</v>
      </c>
      <c r="I10" s="21">
        <v>1</v>
      </c>
      <c r="J10" s="21" t="s">
        <v>46</v>
      </c>
      <c r="K10" s="15">
        <f>(VLOOKUP(H10,'[1]BOM Info General'!$A:$L,12,0))*I10</f>
        <v>24.42</v>
      </c>
      <c r="L10" s="22" t="s">
        <v>96</v>
      </c>
      <c r="M10" s="22">
        <v>1</v>
      </c>
      <c r="N10" s="22" t="s">
        <v>93</v>
      </c>
      <c r="O10" s="9">
        <f>(VLOOKUP(L10,'[1]Simulation pricing per sub assy'!$D:$E,2,0))*M10</f>
        <v>42.968799999999987</v>
      </c>
      <c r="P10" s="23">
        <v>0</v>
      </c>
      <c r="Q10" s="23">
        <v>0</v>
      </c>
      <c r="R10" s="23" t="e">
        <v>#N/A</v>
      </c>
      <c r="S10" s="40">
        <v>0</v>
      </c>
      <c r="T10" s="24" t="s">
        <v>32</v>
      </c>
      <c r="U10" s="24">
        <v>1</v>
      </c>
      <c r="V10" s="24" t="s">
        <v>33</v>
      </c>
      <c r="W10" s="17">
        <f>(VLOOKUP(T10,'[1]Simulation pricing per sub assy'!$D:$E,2,0))*U10</f>
        <v>8.51</v>
      </c>
      <c r="X10" s="18" t="s">
        <v>613</v>
      </c>
      <c r="Y10" s="25">
        <v>1</v>
      </c>
      <c r="Z10" s="25" t="s">
        <v>34</v>
      </c>
      <c r="AA10" s="18">
        <f>(VLOOKUP(X10,'[1]Simulation pricing per sub assy'!$D:$E,2,0))*Y10</f>
        <v>1.2612108000000002</v>
      </c>
    </row>
    <row r="11" spans="1:27" s="3" customFormat="1" x14ac:dyDescent="0.35">
      <c r="A11" s="13" t="s">
        <v>1973</v>
      </c>
      <c r="B11" s="13" t="s">
        <v>1974</v>
      </c>
      <c r="C11" s="42">
        <f t="shared" si="0"/>
        <v>112.8700108</v>
      </c>
      <c r="D11" s="20" t="s">
        <v>42</v>
      </c>
      <c r="E11" s="20">
        <v>1</v>
      </c>
      <c r="F11" s="20" t="s">
        <v>3982</v>
      </c>
      <c r="G11" s="14">
        <f>(VLOOKUP(D11,'[1]BOM Info General'!$A:$L,12,0))*E11</f>
        <v>35.56</v>
      </c>
      <c r="H11" s="21" t="s">
        <v>39</v>
      </c>
      <c r="I11" s="21">
        <v>1</v>
      </c>
      <c r="J11" s="21" t="s">
        <v>46</v>
      </c>
      <c r="K11" s="15">
        <f>(VLOOKUP(H11,'[1]BOM Info General'!$A:$L,12,0))*I11</f>
        <v>24.42</v>
      </c>
      <c r="L11" s="22" t="s">
        <v>92</v>
      </c>
      <c r="M11" s="22">
        <v>1</v>
      </c>
      <c r="N11" s="22" t="s">
        <v>95</v>
      </c>
      <c r="O11" s="9">
        <f>(VLOOKUP(L11,'[1]Simulation pricing per sub assy'!$D:$E,2,0))*M11</f>
        <v>43.118799999999993</v>
      </c>
      <c r="P11" s="23">
        <v>0</v>
      </c>
      <c r="Q11" s="23">
        <v>0</v>
      </c>
      <c r="R11" s="23" t="e">
        <v>#N/A</v>
      </c>
      <c r="S11" s="40">
        <v>0</v>
      </c>
      <c r="T11" s="24" t="s">
        <v>32</v>
      </c>
      <c r="U11" s="24">
        <v>1</v>
      </c>
      <c r="V11" s="24" t="s">
        <v>33</v>
      </c>
      <c r="W11" s="17">
        <f>(VLOOKUP(T11,'[1]Simulation pricing per sub assy'!$D:$E,2,0))*U11</f>
        <v>8.51</v>
      </c>
      <c r="X11" s="18" t="s">
        <v>613</v>
      </c>
      <c r="Y11" s="25">
        <v>1</v>
      </c>
      <c r="Z11" s="25" t="s">
        <v>34</v>
      </c>
      <c r="AA11" s="18">
        <f>(VLOOKUP(X11,'[1]Simulation pricing per sub assy'!$D:$E,2,0))*Y11</f>
        <v>1.2612108000000002</v>
      </c>
    </row>
    <row r="12" spans="1:27" s="3" customFormat="1" x14ac:dyDescent="0.35">
      <c r="A12" s="13" t="s">
        <v>1985</v>
      </c>
      <c r="B12" s="13" t="s">
        <v>1986</v>
      </c>
      <c r="C12" s="42">
        <f t="shared" si="0"/>
        <v>117.8700108</v>
      </c>
      <c r="D12" s="20" t="s">
        <v>42</v>
      </c>
      <c r="E12" s="20">
        <v>1</v>
      </c>
      <c r="F12" s="20" t="s">
        <v>3982</v>
      </c>
      <c r="G12" s="14">
        <f>(VLOOKUP(D12,'[1]BOM Info General'!$A:$L,12,0))*E12</f>
        <v>35.56</v>
      </c>
      <c r="H12" s="21" t="s">
        <v>39</v>
      </c>
      <c r="I12" s="21">
        <v>1</v>
      </c>
      <c r="J12" s="21" t="s">
        <v>46</v>
      </c>
      <c r="K12" s="15">
        <f>(VLOOKUP(H12,'[1]BOM Info General'!$A:$L,12,0))*I12</f>
        <v>24.42</v>
      </c>
      <c r="L12" s="22" t="s">
        <v>525</v>
      </c>
      <c r="M12" s="22">
        <v>1</v>
      </c>
      <c r="N12" s="22" t="s">
        <v>97</v>
      </c>
      <c r="O12" s="9">
        <f>(VLOOKUP(L12,'[1]Simulation pricing per sub assy'!$D:$E,2,0))*M12</f>
        <v>48.118799999999993</v>
      </c>
      <c r="P12" s="23">
        <v>0</v>
      </c>
      <c r="Q12" s="23">
        <v>0</v>
      </c>
      <c r="R12" s="23" t="e">
        <v>#N/A</v>
      </c>
      <c r="S12" s="40">
        <v>0</v>
      </c>
      <c r="T12" s="24" t="s">
        <v>32</v>
      </c>
      <c r="U12" s="24">
        <v>1</v>
      </c>
      <c r="V12" s="24" t="s">
        <v>33</v>
      </c>
      <c r="W12" s="17">
        <f>(VLOOKUP(T12,'[1]Simulation pricing per sub assy'!$D:$E,2,0))*U12</f>
        <v>8.51</v>
      </c>
      <c r="X12" s="18" t="s">
        <v>613</v>
      </c>
      <c r="Y12" s="25">
        <v>1</v>
      </c>
      <c r="Z12" s="25" t="s">
        <v>34</v>
      </c>
      <c r="AA12" s="18">
        <f>(VLOOKUP(X12,'[1]Simulation pricing per sub assy'!$D:$E,2,0))*Y12</f>
        <v>1.2612108000000002</v>
      </c>
    </row>
    <row r="13" spans="1:27" s="3" customFormat="1" x14ac:dyDescent="0.35">
      <c r="A13" s="13" t="s">
        <v>1977</v>
      </c>
      <c r="B13" s="13" t="s">
        <v>1978</v>
      </c>
      <c r="C13" s="42">
        <f t="shared" si="0"/>
        <v>112.7500108</v>
      </c>
      <c r="D13" s="20" t="s">
        <v>42</v>
      </c>
      <c r="E13" s="20">
        <v>1</v>
      </c>
      <c r="F13" s="20" t="s">
        <v>3982</v>
      </c>
      <c r="G13" s="14">
        <f>(VLOOKUP(D13,'[1]BOM Info General'!$A:$L,12,0))*E13</f>
        <v>35.56</v>
      </c>
      <c r="H13" s="21" t="s">
        <v>39</v>
      </c>
      <c r="I13" s="21">
        <v>1</v>
      </c>
      <c r="J13" s="21" t="s">
        <v>46</v>
      </c>
      <c r="K13" s="15">
        <f>(VLOOKUP(H13,'[1]BOM Info General'!$A:$L,12,0))*I13</f>
        <v>24.42</v>
      </c>
      <c r="L13" s="22" t="s">
        <v>94</v>
      </c>
      <c r="M13" s="22">
        <v>1</v>
      </c>
      <c r="N13" s="22" t="s">
        <v>91</v>
      </c>
      <c r="O13" s="9">
        <f>(VLOOKUP(L13,'[1]Simulation pricing per sub assy'!$D:$E,2,0))*M13</f>
        <v>42.998799999999989</v>
      </c>
      <c r="P13" s="23">
        <v>0</v>
      </c>
      <c r="Q13" s="23">
        <v>0</v>
      </c>
      <c r="R13" s="23" t="e">
        <v>#N/A</v>
      </c>
      <c r="S13" s="40">
        <v>0</v>
      </c>
      <c r="T13" s="24" t="s">
        <v>32</v>
      </c>
      <c r="U13" s="24">
        <v>1</v>
      </c>
      <c r="V13" s="24" t="s">
        <v>33</v>
      </c>
      <c r="W13" s="17">
        <f>(VLOOKUP(T13,'[1]Simulation pricing per sub assy'!$D:$E,2,0))*U13</f>
        <v>8.51</v>
      </c>
      <c r="X13" s="18" t="s">
        <v>613</v>
      </c>
      <c r="Y13" s="25">
        <v>1</v>
      </c>
      <c r="Z13" s="25" t="s">
        <v>34</v>
      </c>
      <c r="AA13" s="18">
        <f>(VLOOKUP(X13,'[1]Simulation pricing per sub assy'!$D:$E,2,0))*Y13</f>
        <v>1.2612108000000002</v>
      </c>
    </row>
    <row r="14" spans="1:27" s="3" customFormat="1" x14ac:dyDescent="0.35">
      <c r="A14" s="13" t="s">
        <v>1981</v>
      </c>
      <c r="B14" s="13" t="s">
        <v>1982</v>
      </c>
      <c r="C14" s="42">
        <f t="shared" si="0"/>
        <v>112.8700108</v>
      </c>
      <c r="D14" s="20" t="s">
        <v>42</v>
      </c>
      <c r="E14" s="20">
        <v>1</v>
      </c>
      <c r="F14" s="20" t="s">
        <v>3982</v>
      </c>
      <c r="G14" s="14">
        <f>(VLOOKUP(D14,'[1]BOM Info General'!$A:$L,12,0))*E14</f>
        <v>35.56</v>
      </c>
      <c r="H14" s="21" t="s">
        <v>39</v>
      </c>
      <c r="I14" s="21">
        <v>1</v>
      </c>
      <c r="J14" s="21" t="s">
        <v>46</v>
      </c>
      <c r="K14" s="15">
        <f>(VLOOKUP(H14,'[1]BOM Info General'!$A:$L,12,0))*I14</f>
        <v>24.42</v>
      </c>
      <c r="L14" s="22" t="s">
        <v>90</v>
      </c>
      <c r="M14" s="22">
        <v>1</v>
      </c>
      <c r="N14" s="22" t="s">
        <v>89</v>
      </c>
      <c r="O14" s="9">
        <f>(VLOOKUP(L14,'[1]Simulation pricing per sub assy'!$D:$E,2,0))*M14</f>
        <v>43.118799999999993</v>
      </c>
      <c r="P14" s="23">
        <v>0</v>
      </c>
      <c r="Q14" s="23">
        <v>0</v>
      </c>
      <c r="R14" s="23" t="e">
        <v>#N/A</v>
      </c>
      <c r="S14" s="40">
        <v>0</v>
      </c>
      <c r="T14" s="24" t="s">
        <v>32</v>
      </c>
      <c r="U14" s="24">
        <v>1</v>
      </c>
      <c r="V14" s="24" t="s">
        <v>33</v>
      </c>
      <c r="W14" s="17">
        <f>(VLOOKUP(T14,'[1]Simulation pricing per sub assy'!$D:$E,2,0))*U14</f>
        <v>8.51</v>
      </c>
      <c r="X14" s="18" t="s">
        <v>613</v>
      </c>
      <c r="Y14" s="25">
        <v>1</v>
      </c>
      <c r="Z14" s="25" t="s">
        <v>34</v>
      </c>
      <c r="AA14" s="18">
        <f>(VLOOKUP(X14,'[1]Simulation pricing per sub assy'!$D:$E,2,0))*Y14</f>
        <v>1.2612108000000002</v>
      </c>
    </row>
    <row r="15" spans="1:27" s="3" customFormat="1" x14ac:dyDescent="0.35">
      <c r="A15" s="13" t="s">
        <v>1979</v>
      </c>
      <c r="B15" s="13" t="s">
        <v>1980</v>
      </c>
      <c r="C15" s="42">
        <f t="shared" si="0"/>
        <v>112.7200108</v>
      </c>
      <c r="D15" s="20" t="s">
        <v>42</v>
      </c>
      <c r="E15" s="20">
        <v>1</v>
      </c>
      <c r="F15" s="20" t="s">
        <v>3982</v>
      </c>
      <c r="G15" s="14">
        <f>(VLOOKUP(D15,'[1]BOM Info General'!$A:$L,12,0))*E15</f>
        <v>35.56</v>
      </c>
      <c r="H15" s="21" t="s">
        <v>39</v>
      </c>
      <c r="I15" s="21">
        <v>1</v>
      </c>
      <c r="J15" s="21" t="s">
        <v>46</v>
      </c>
      <c r="K15" s="15">
        <f>(VLOOKUP(H15,'[1]BOM Info General'!$A:$L,12,0))*I15</f>
        <v>24.42</v>
      </c>
      <c r="L15" s="22" t="s">
        <v>96</v>
      </c>
      <c r="M15" s="22">
        <v>1</v>
      </c>
      <c r="N15" s="22" t="s">
        <v>93</v>
      </c>
      <c r="O15" s="9">
        <f>(VLOOKUP(L15,'[1]Simulation pricing per sub assy'!$D:$E,2,0))*M15</f>
        <v>42.968799999999987</v>
      </c>
      <c r="P15" s="23">
        <v>0</v>
      </c>
      <c r="Q15" s="23">
        <v>0</v>
      </c>
      <c r="R15" s="23" t="e">
        <v>#N/A</v>
      </c>
      <c r="S15" s="40">
        <v>0</v>
      </c>
      <c r="T15" s="24" t="s">
        <v>32</v>
      </c>
      <c r="U15" s="24">
        <v>1</v>
      </c>
      <c r="V15" s="24" t="s">
        <v>33</v>
      </c>
      <c r="W15" s="17">
        <f>(VLOOKUP(T15,'[1]Simulation pricing per sub assy'!$D:$E,2,0))*U15</f>
        <v>8.51</v>
      </c>
      <c r="X15" s="18" t="s">
        <v>613</v>
      </c>
      <c r="Y15" s="25">
        <v>1</v>
      </c>
      <c r="Z15" s="25" t="s">
        <v>34</v>
      </c>
      <c r="AA15" s="18">
        <f>(VLOOKUP(X15,'[1]Simulation pricing per sub assy'!$D:$E,2,0))*Y15</f>
        <v>1.2612108000000002</v>
      </c>
    </row>
    <row r="16" spans="1:27" s="3" customFormat="1" x14ac:dyDescent="0.35">
      <c r="A16" s="13" t="s">
        <v>1983</v>
      </c>
      <c r="B16" s="13" t="s">
        <v>1984</v>
      </c>
      <c r="C16" s="42">
        <f t="shared" si="0"/>
        <v>112.8700108</v>
      </c>
      <c r="D16" s="20" t="s">
        <v>42</v>
      </c>
      <c r="E16" s="20">
        <v>1</v>
      </c>
      <c r="F16" s="20" t="s">
        <v>3982</v>
      </c>
      <c r="G16" s="14">
        <f>(VLOOKUP(D16,'[1]BOM Info General'!$A:$L,12,0))*E16</f>
        <v>35.56</v>
      </c>
      <c r="H16" s="21" t="s">
        <v>39</v>
      </c>
      <c r="I16" s="21">
        <v>1</v>
      </c>
      <c r="J16" s="21" t="s">
        <v>46</v>
      </c>
      <c r="K16" s="15">
        <f>(VLOOKUP(H16,'[1]BOM Info General'!$A:$L,12,0))*I16</f>
        <v>24.42</v>
      </c>
      <c r="L16" s="22" t="s">
        <v>92</v>
      </c>
      <c r="M16" s="22">
        <v>1</v>
      </c>
      <c r="N16" s="22" t="s">
        <v>95</v>
      </c>
      <c r="O16" s="9">
        <f>(VLOOKUP(L16,'[1]Simulation pricing per sub assy'!$D:$E,2,0))*M16</f>
        <v>43.118799999999993</v>
      </c>
      <c r="P16" s="23">
        <v>0</v>
      </c>
      <c r="Q16" s="23">
        <v>0</v>
      </c>
      <c r="R16" s="23" t="e">
        <v>#N/A</v>
      </c>
      <c r="S16" s="40">
        <v>0</v>
      </c>
      <c r="T16" s="24" t="s">
        <v>32</v>
      </c>
      <c r="U16" s="24">
        <v>1</v>
      </c>
      <c r="V16" s="24" t="s">
        <v>33</v>
      </c>
      <c r="W16" s="17">
        <f>(VLOOKUP(T16,'[1]Simulation pricing per sub assy'!$D:$E,2,0))*U16</f>
        <v>8.51</v>
      </c>
      <c r="X16" s="18" t="s">
        <v>613</v>
      </c>
      <c r="Y16" s="25">
        <v>1</v>
      </c>
      <c r="Z16" s="25" t="s">
        <v>34</v>
      </c>
      <c r="AA16" s="18">
        <f>(VLOOKUP(X16,'[1]Simulation pricing per sub assy'!$D:$E,2,0))*Y16</f>
        <v>1.2612108000000002</v>
      </c>
    </row>
    <row r="17" spans="1:27" s="3" customFormat="1" x14ac:dyDescent="0.35">
      <c r="A17" s="13" t="s">
        <v>1995</v>
      </c>
      <c r="B17" s="13" t="s">
        <v>1996</v>
      </c>
      <c r="C17" s="42">
        <f t="shared" si="0"/>
        <v>117.8700108</v>
      </c>
      <c r="D17" s="20" t="s">
        <v>42</v>
      </c>
      <c r="E17" s="20">
        <v>1</v>
      </c>
      <c r="F17" s="20" t="s">
        <v>3982</v>
      </c>
      <c r="G17" s="14">
        <f>(VLOOKUP(D17,'[1]BOM Info General'!$A:$L,12,0))*E17</f>
        <v>35.56</v>
      </c>
      <c r="H17" s="21" t="s">
        <v>39</v>
      </c>
      <c r="I17" s="21">
        <v>1</v>
      </c>
      <c r="J17" s="21" t="s">
        <v>46</v>
      </c>
      <c r="K17" s="15">
        <f>(VLOOKUP(H17,'[1]BOM Info General'!$A:$L,12,0))*I17</f>
        <v>24.42</v>
      </c>
      <c r="L17" s="22" t="s">
        <v>525</v>
      </c>
      <c r="M17" s="22">
        <v>1</v>
      </c>
      <c r="N17" s="22" t="s">
        <v>97</v>
      </c>
      <c r="O17" s="9">
        <f>(VLOOKUP(L17,'[1]Simulation pricing per sub assy'!$D:$E,2,0))*M17</f>
        <v>48.118799999999993</v>
      </c>
      <c r="P17" s="23">
        <v>0</v>
      </c>
      <c r="Q17" s="23">
        <v>0</v>
      </c>
      <c r="R17" s="23" t="e">
        <v>#N/A</v>
      </c>
      <c r="S17" s="40">
        <v>0</v>
      </c>
      <c r="T17" s="24" t="s">
        <v>32</v>
      </c>
      <c r="U17" s="24">
        <v>1</v>
      </c>
      <c r="V17" s="24" t="s">
        <v>33</v>
      </c>
      <c r="W17" s="17">
        <f>(VLOOKUP(T17,'[1]Simulation pricing per sub assy'!$D:$E,2,0))*U17</f>
        <v>8.51</v>
      </c>
      <c r="X17" s="18" t="s">
        <v>613</v>
      </c>
      <c r="Y17" s="25">
        <v>1</v>
      </c>
      <c r="Z17" s="25" t="s">
        <v>34</v>
      </c>
      <c r="AA17" s="18">
        <f>(VLOOKUP(X17,'[1]Simulation pricing per sub assy'!$D:$E,2,0))*Y17</f>
        <v>1.2612108000000002</v>
      </c>
    </row>
    <row r="18" spans="1:27" s="3" customFormat="1" x14ac:dyDescent="0.35">
      <c r="A18" s="13" t="s">
        <v>1987</v>
      </c>
      <c r="B18" s="13" t="s">
        <v>1988</v>
      </c>
      <c r="C18" s="42">
        <f t="shared" si="0"/>
        <v>112.7500108</v>
      </c>
      <c r="D18" s="20" t="s">
        <v>42</v>
      </c>
      <c r="E18" s="20">
        <v>1</v>
      </c>
      <c r="F18" s="20" t="s">
        <v>3982</v>
      </c>
      <c r="G18" s="14">
        <f>(VLOOKUP(D18,'[1]BOM Info General'!$A:$L,12,0))*E18</f>
        <v>35.56</v>
      </c>
      <c r="H18" s="21" t="s">
        <v>39</v>
      </c>
      <c r="I18" s="21">
        <v>1</v>
      </c>
      <c r="J18" s="21" t="s">
        <v>46</v>
      </c>
      <c r="K18" s="15">
        <f>(VLOOKUP(H18,'[1]BOM Info General'!$A:$L,12,0))*I18</f>
        <v>24.42</v>
      </c>
      <c r="L18" s="22" t="s">
        <v>94</v>
      </c>
      <c r="M18" s="22">
        <v>1</v>
      </c>
      <c r="N18" s="22" t="s">
        <v>91</v>
      </c>
      <c r="O18" s="9">
        <f>(VLOOKUP(L18,'[1]Simulation pricing per sub assy'!$D:$E,2,0))*M18</f>
        <v>42.998799999999989</v>
      </c>
      <c r="P18" s="23">
        <v>0</v>
      </c>
      <c r="Q18" s="23">
        <v>0</v>
      </c>
      <c r="R18" s="23" t="e">
        <v>#N/A</v>
      </c>
      <c r="S18" s="40">
        <v>0</v>
      </c>
      <c r="T18" s="24" t="s">
        <v>32</v>
      </c>
      <c r="U18" s="24">
        <v>1</v>
      </c>
      <c r="V18" s="24" t="s">
        <v>33</v>
      </c>
      <c r="W18" s="17">
        <f>(VLOOKUP(T18,'[1]Simulation pricing per sub assy'!$D:$E,2,0))*U18</f>
        <v>8.51</v>
      </c>
      <c r="X18" s="18" t="s">
        <v>613</v>
      </c>
      <c r="Y18" s="25">
        <v>1</v>
      </c>
      <c r="Z18" s="25" t="s">
        <v>34</v>
      </c>
      <c r="AA18" s="18">
        <f>(VLOOKUP(X18,'[1]Simulation pricing per sub assy'!$D:$E,2,0))*Y18</f>
        <v>1.2612108000000002</v>
      </c>
    </row>
    <row r="19" spans="1:27" s="3" customFormat="1" x14ac:dyDescent="0.35">
      <c r="A19" s="13" t="s">
        <v>1991</v>
      </c>
      <c r="B19" s="13" t="s">
        <v>1992</v>
      </c>
      <c r="C19" s="42">
        <f t="shared" si="0"/>
        <v>112.8700108</v>
      </c>
      <c r="D19" s="20" t="s">
        <v>42</v>
      </c>
      <c r="E19" s="20">
        <v>1</v>
      </c>
      <c r="F19" s="20" t="s">
        <v>3982</v>
      </c>
      <c r="G19" s="14">
        <f>(VLOOKUP(D19,'[1]BOM Info General'!$A:$L,12,0))*E19</f>
        <v>35.56</v>
      </c>
      <c r="H19" s="21" t="s">
        <v>39</v>
      </c>
      <c r="I19" s="21">
        <v>1</v>
      </c>
      <c r="J19" s="21" t="s">
        <v>46</v>
      </c>
      <c r="K19" s="15">
        <f>(VLOOKUP(H19,'[1]BOM Info General'!$A:$L,12,0))*I19</f>
        <v>24.42</v>
      </c>
      <c r="L19" s="22" t="s">
        <v>90</v>
      </c>
      <c r="M19" s="22">
        <v>1</v>
      </c>
      <c r="N19" s="22" t="s">
        <v>89</v>
      </c>
      <c r="O19" s="9">
        <f>(VLOOKUP(L19,'[1]Simulation pricing per sub assy'!$D:$E,2,0))*M19</f>
        <v>43.118799999999993</v>
      </c>
      <c r="P19" s="23">
        <v>0</v>
      </c>
      <c r="Q19" s="23">
        <v>0</v>
      </c>
      <c r="R19" s="23" t="e">
        <v>#N/A</v>
      </c>
      <c r="S19" s="40">
        <v>0</v>
      </c>
      <c r="T19" s="24" t="s">
        <v>32</v>
      </c>
      <c r="U19" s="24">
        <v>1</v>
      </c>
      <c r="V19" s="24" t="s">
        <v>33</v>
      </c>
      <c r="W19" s="17">
        <f>(VLOOKUP(T19,'[1]Simulation pricing per sub assy'!$D:$E,2,0))*U19</f>
        <v>8.51</v>
      </c>
      <c r="X19" s="18" t="s">
        <v>613</v>
      </c>
      <c r="Y19" s="25">
        <v>1</v>
      </c>
      <c r="Z19" s="25" t="s">
        <v>34</v>
      </c>
      <c r="AA19" s="18">
        <f>(VLOOKUP(X19,'[1]Simulation pricing per sub assy'!$D:$E,2,0))*Y19</f>
        <v>1.2612108000000002</v>
      </c>
    </row>
    <row r="20" spans="1:27" s="3" customFormat="1" x14ac:dyDescent="0.35">
      <c r="A20" s="13" t="s">
        <v>1989</v>
      </c>
      <c r="B20" s="13" t="s">
        <v>1990</v>
      </c>
      <c r="C20" s="42">
        <f t="shared" si="0"/>
        <v>112.7200108</v>
      </c>
      <c r="D20" s="20" t="s">
        <v>42</v>
      </c>
      <c r="E20" s="20">
        <v>1</v>
      </c>
      <c r="F20" s="20" t="s">
        <v>3982</v>
      </c>
      <c r="G20" s="14">
        <f>(VLOOKUP(D20,'[1]BOM Info General'!$A:$L,12,0))*E20</f>
        <v>35.56</v>
      </c>
      <c r="H20" s="21" t="s">
        <v>39</v>
      </c>
      <c r="I20" s="21">
        <v>1</v>
      </c>
      <c r="J20" s="21" t="s">
        <v>46</v>
      </c>
      <c r="K20" s="15">
        <f>(VLOOKUP(H20,'[1]BOM Info General'!$A:$L,12,0))*I20</f>
        <v>24.42</v>
      </c>
      <c r="L20" s="22" t="s">
        <v>96</v>
      </c>
      <c r="M20" s="22">
        <v>1</v>
      </c>
      <c r="N20" s="22" t="s">
        <v>93</v>
      </c>
      <c r="O20" s="9">
        <f>(VLOOKUP(L20,'[1]Simulation pricing per sub assy'!$D:$E,2,0))*M20</f>
        <v>42.968799999999987</v>
      </c>
      <c r="P20" s="23">
        <v>0</v>
      </c>
      <c r="Q20" s="23">
        <v>0</v>
      </c>
      <c r="R20" s="23" t="e">
        <v>#N/A</v>
      </c>
      <c r="S20" s="40">
        <v>0</v>
      </c>
      <c r="T20" s="24" t="s">
        <v>32</v>
      </c>
      <c r="U20" s="24">
        <v>1</v>
      </c>
      <c r="V20" s="24" t="s">
        <v>33</v>
      </c>
      <c r="W20" s="17">
        <f>(VLOOKUP(T20,'[1]Simulation pricing per sub assy'!$D:$E,2,0))*U20</f>
        <v>8.51</v>
      </c>
      <c r="X20" s="18" t="s">
        <v>613</v>
      </c>
      <c r="Y20" s="25">
        <v>1</v>
      </c>
      <c r="Z20" s="25" t="s">
        <v>34</v>
      </c>
      <c r="AA20" s="18">
        <f>(VLOOKUP(X20,'[1]Simulation pricing per sub assy'!$D:$E,2,0))*Y20</f>
        <v>1.2612108000000002</v>
      </c>
    </row>
    <row r="21" spans="1:27" s="3" customFormat="1" x14ac:dyDescent="0.35">
      <c r="A21" s="13" t="s">
        <v>1993</v>
      </c>
      <c r="B21" s="13" t="s">
        <v>1994</v>
      </c>
      <c r="C21" s="42">
        <f t="shared" si="0"/>
        <v>112.8700108</v>
      </c>
      <c r="D21" s="20" t="s">
        <v>42</v>
      </c>
      <c r="E21" s="20">
        <v>1</v>
      </c>
      <c r="F21" s="20" t="s">
        <v>3982</v>
      </c>
      <c r="G21" s="14">
        <f>(VLOOKUP(D21,'[1]BOM Info General'!$A:$L,12,0))*E21</f>
        <v>35.56</v>
      </c>
      <c r="H21" s="21" t="s">
        <v>39</v>
      </c>
      <c r="I21" s="21">
        <v>1</v>
      </c>
      <c r="J21" s="21" t="s">
        <v>46</v>
      </c>
      <c r="K21" s="15">
        <f>(VLOOKUP(H21,'[1]BOM Info General'!$A:$L,12,0))*I21</f>
        <v>24.42</v>
      </c>
      <c r="L21" s="22" t="s">
        <v>92</v>
      </c>
      <c r="M21" s="22">
        <v>1</v>
      </c>
      <c r="N21" s="22" t="s">
        <v>95</v>
      </c>
      <c r="O21" s="9">
        <f>(VLOOKUP(L21,'[1]Simulation pricing per sub assy'!$D:$E,2,0))*M21</f>
        <v>43.118799999999993</v>
      </c>
      <c r="P21" s="23">
        <v>0</v>
      </c>
      <c r="Q21" s="23">
        <v>0</v>
      </c>
      <c r="R21" s="23" t="e">
        <v>#N/A</v>
      </c>
      <c r="S21" s="40">
        <v>0</v>
      </c>
      <c r="T21" s="24" t="s">
        <v>32</v>
      </c>
      <c r="U21" s="24">
        <v>1</v>
      </c>
      <c r="V21" s="24" t="s">
        <v>33</v>
      </c>
      <c r="W21" s="17">
        <f>(VLOOKUP(T21,'[1]Simulation pricing per sub assy'!$D:$E,2,0))*U21</f>
        <v>8.51</v>
      </c>
      <c r="X21" s="18" t="s">
        <v>613</v>
      </c>
      <c r="Y21" s="25">
        <v>1</v>
      </c>
      <c r="Z21" s="25" t="s">
        <v>34</v>
      </c>
      <c r="AA21" s="18">
        <f>(VLOOKUP(X21,'[1]Simulation pricing per sub assy'!$D:$E,2,0))*Y21</f>
        <v>1.2612108000000002</v>
      </c>
    </row>
    <row r="22" spans="1:27" s="3" customFormat="1" x14ac:dyDescent="0.35">
      <c r="A22" s="13" t="s">
        <v>512</v>
      </c>
      <c r="B22" s="13" t="s">
        <v>3989</v>
      </c>
      <c r="C22" s="42">
        <f t="shared" si="0"/>
        <v>117.8700108</v>
      </c>
      <c r="D22" s="14" t="s">
        <v>42</v>
      </c>
      <c r="E22" s="14">
        <v>1</v>
      </c>
      <c r="F22" s="14" t="s">
        <v>3982</v>
      </c>
      <c r="G22" s="14">
        <f>(VLOOKUP(D22,'[1]BOM Info General'!$A:$L,12,0))*E22</f>
        <v>35.56</v>
      </c>
      <c r="H22" s="15" t="s">
        <v>39</v>
      </c>
      <c r="I22" s="15">
        <v>1</v>
      </c>
      <c r="J22" s="15" t="s">
        <v>46</v>
      </c>
      <c r="K22" s="15">
        <f>(VLOOKUP(H22,'[1]BOM Info General'!$A:$L,12,0))*I22</f>
        <v>24.42</v>
      </c>
      <c r="L22" s="9" t="s">
        <v>525</v>
      </c>
      <c r="M22" s="9">
        <v>1</v>
      </c>
      <c r="N22" s="9" t="s">
        <v>97</v>
      </c>
      <c r="O22" s="9">
        <f>(VLOOKUP(L22,'[1]Simulation pricing per sub assy'!$D:$E,2,0))*M22</f>
        <v>48.118799999999993</v>
      </c>
      <c r="P22" s="16">
        <v>0</v>
      </c>
      <c r="Q22" s="16">
        <v>0</v>
      </c>
      <c r="R22" s="16" t="e">
        <v>#N/A</v>
      </c>
      <c r="S22" s="40">
        <v>0</v>
      </c>
      <c r="T22" s="17" t="s">
        <v>32</v>
      </c>
      <c r="U22" s="17">
        <v>1</v>
      </c>
      <c r="V22" s="17" t="s">
        <v>33</v>
      </c>
      <c r="W22" s="17">
        <f>(VLOOKUP(T22,'[1]Simulation pricing per sub assy'!$D:$E,2,0))*U22</f>
        <v>8.51</v>
      </c>
      <c r="X22" s="18" t="s">
        <v>613</v>
      </c>
      <c r="Y22" s="18">
        <v>1</v>
      </c>
      <c r="Z22" s="18" t="s">
        <v>34</v>
      </c>
      <c r="AA22" s="18">
        <f>(VLOOKUP(X22,'[1]Simulation pricing per sub assy'!$D:$E,2,0))*Y22</f>
        <v>1.2612108000000002</v>
      </c>
    </row>
    <row r="23" spans="1:27" s="3" customFormat="1" x14ac:dyDescent="0.35">
      <c r="A23" s="13" t="s">
        <v>504</v>
      </c>
      <c r="B23" s="13" t="s">
        <v>3990</v>
      </c>
      <c r="C23" s="42">
        <f t="shared" si="0"/>
        <v>112.7500108</v>
      </c>
      <c r="D23" s="14" t="s">
        <v>42</v>
      </c>
      <c r="E23" s="14">
        <v>1</v>
      </c>
      <c r="F23" s="14" t="s">
        <v>3982</v>
      </c>
      <c r="G23" s="14">
        <f>(VLOOKUP(D23,'[1]BOM Info General'!$A:$L,12,0))*E23</f>
        <v>35.56</v>
      </c>
      <c r="H23" s="15" t="s">
        <v>39</v>
      </c>
      <c r="I23" s="15">
        <v>1</v>
      </c>
      <c r="J23" s="15" t="s">
        <v>46</v>
      </c>
      <c r="K23" s="15">
        <f>(VLOOKUP(H23,'[1]BOM Info General'!$A:$L,12,0))*I23</f>
        <v>24.42</v>
      </c>
      <c r="L23" s="9" t="s">
        <v>94</v>
      </c>
      <c r="M23" s="9">
        <v>1</v>
      </c>
      <c r="N23" s="9" t="s">
        <v>91</v>
      </c>
      <c r="O23" s="9">
        <f>(VLOOKUP(L23,'[1]Simulation pricing per sub assy'!$D:$E,2,0))*M23</f>
        <v>42.998799999999989</v>
      </c>
      <c r="P23" s="16">
        <v>0</v>
      </c>
      <c r="Q23" s="16">
        <v>0</v>
      </c>
      <c r="R23" s="16" t="e">
        <v>#N/A</v>
      </c>
      <c r="S23" s="40">
        <v>0</v>
      </c>
      <c r="T23" s="17" t="s">
        <v>32</v>
      </c>
      <c r="U23" s="17">
        <v>1</v>
      </c>
      <c r="V23" s="17" t="s">
        <v>33</v>
      </c>
      <c r="W23" s="17">
        <f>(VLOOKUP(T23,'[1]Simulation pricing per sub assy'!$D:$E,2,0))*U23</f>
        <v>8.51</v>
      </c>
      <c r="X23" s="18" t="s">
        <v>613</v>
      </c>
      <c r="Y23" s="18">
        <v>1</v>
      </c>
      <c r="Z23" s="18" t="s">
        <v>34</v>
      </c>
      <c r="AA23" s="18">
        <f>(VLOOKUP(X23,'[1]Simulation pricing per sub assy'!$D:$E,2,0))*Y23</f>
        <v>1.2612108000000002</v>
      </c>
    </row>
    <row r="24" spans="1:27" s="3" customFormat="1" x14ac:dyDescent="0.35">
      <c r="A24" s="13" t="s">
        <v>508</v>
      </c>
      <c r="B24" s="13" t="s">
        <v>3991</v>
      </c>
      <c r="C24" s="42">
        <f t="shared" si="0"/>
        <v>112.8700108</v>
      </c>
      <c r="D24" s="14" t="s">
        <v>42</v>
      </c>
      <c r="E24" s="14">
        <v>1</v>
      </c>
      <c r="F24" s="14" t="s">
        <v>3982</v>
      </c>
      <c r="G24" s="14">
        <f>(VLOOKUP(D24,'[1]BOM Info General'!$A:$L,12,0))*E24</f>
        <v>35.56</v>
      </c>
      <c r="H24" s="15" t="s">
        <v>39</v>
      </c>
      <c r="I24" s="15">
        <v>1</v>
      </c>
      <c r="J24" s="15" t="s">
        <v>46</v>
      </c>
      <c r="K24" s="15">
        <f>(VLOOKUP(H24,'[1]BOM Info General'!$A:$L,12,0))*I24</f>
        <v>24.42</v>
      </c>
      <c r="L24" s="9" t="s">
        <v>90</v>
      </c>
      <c r="M24" s="9">
        <v>1</v>
      </c>
      <c r="N24" s="9" t="s">
        <v>89</v>
      </c>
      <c r="O24" s="9">
        <f>(VLOOKUP(L24,'[1]Simulation pricing per sub assy'!$D:$E,2,0))*M24</f>
        <v>43.118799999999993</v>
      </c>
      <c r="P24" s="16">
        <v>0</v>
      </c>
      <c r="Q24" s="16">
        <v>0</v>
      </c>
      <c r="R24" s="16" t="e">
        <v>#N/A</v>
      </c>
      <c r="S24" s="40">
        <v>0</v>
      </c>
      <c r="T24" s="17" t="s">
        <v>32</v>
      </c>
      <c r="U24" s="17">
        <v>1</v>
      </c>
      <c r="V24" s="17" t="s">
        <v>33</v>
      </c>
      <c r="W24" s="17">
        <f>(VLOOKUP(T24,'[1]Simulation pricing per sub assy'!$D:$E,2,0))*U24</f>
        <v>8.51</v>
      </c>
      <c r="X24" s="18" t="s">
        <v>613</v>
      </c>
      <c r="Y24" s="18">
        <v>1</v>
      </c>
      <c r="Z24" s="18" t="s">
        <v>34</v>
      </c>
      <c r="AA24" s="18">
        <f>(VLOOKUP(X24,'[1]Simulation pricing per sub assy'!$D:$E,2,0))*Y24</f>
        <v>1.2612108000000002</v>
      </c>
    </row>
    <row r="25" spans="1:27" s="3" customFormat="1" x14ac:dyDescent="0.35">
      <c r="A25" s="13" t="s">
        <v>506</v>
      </c>
      <c r="B25" s="13" t="s">
        <v>3992</v>
      </c>
      <c r="C25" s="42">
        <f t="shared" si="0"/>
        <v>112.7200108</v>
      </c>
      <c r="D25" s="14" t="s">
        <v>42</v>
      </c>
      <c r="E25" s="14">
        <v>1</v>
      </c>
      <c r="F25" s="14" t="s">
        <v>3982</v>
      </c>
      <c r="G25" s="14">
        <f>(VLOOKUP(D25,'[1]BOM Info General'!$A:$L,12,0))*E25</f>
        <v>35.56</v>
      </c>
      <c r="H25" s="15" t="s">
        <v>39</v>
      </c>
      <c r="I25" s="15">
        <v>1</v>
      </c>
      <c r="J25" s="15" t="s">
        <v>46</v>
      </c>
      <c r="K25" s="15">
        <f>(VLOOKUP(H25,'[1]BOM Info General'!$A:$L,12,0))*I25</f>
        <v>24.42</v>
      </c>
      <c r="L25" s="9" t="s">
        <v>96</v>
      </c>
      <c r="M25" s="9">
        <v>1</v>
      </c>
      <c r="N25" s="9" t="s">
        <v>93</v>
      </c>
      <c r="O25" s="9">
        <f>(VLOOKUP(L25,'[1]Simulation pricing per sub assy'!$D:$E,2,0))*M25</f>
        <v>42.968799999999987</v>
      </c>
      <c r="P25" s="16">
        <v>0</v>
      </c>
      <c r="Q25" s="16">
        <v>0</v>
      </c>
      <c r="R25" s="16" t="e">
        <v>#N/A</v>
      </c>
      <c r="S25" s="40">
        <v>0</v>
      </c>
      <c r="T25" s="17" t="s">
        <v>32</v>
      </c>
      <c r="U25" s="17">
        <v>1</v>
      </c>
      <c r="V25" s="17" t="s">
        <v>33</v>
      </c>
      <c r="W25" s="17">
        <f>(VLOOKUP(T25,'[1]Simulation pricing per sub assy'!$D:$E,2,0))*U25</f>
        <v>8.51</v>
      </c>
      <c r="X25" s="18" t="s">
        <v>613</v>
      </c>
      <c r="Y25" s="18">
        <v>1</v>
      </c>
      <c r="Z25" s="18" t="s">
        <v>34</v>
      </c>
      <c r="AA25" s="18">
        <f>(VLOOKUP(X25,'[1]Simulation pricing per sub assy'!$D:$E,2,0))*Y25</f>
        <v>1.2612108000000002</v>
      </c>
    </row>
    <row r="26" spans="1:27" s="3" customFormat="1" x14ac:dyDescent="0.35">
      <c r="A26" s="13" t="s">
        <v>510</v>
      </c>
      <c r="B26" s="13" t="s">
        <v>3993</v>
      </c>
      <c r="C26" s="42">
        <f t="shared" si="0"/>
        <v>112.8700108</v>
      </c>
      <c r="D26" s="14" t="s">
        <v>42</v>
      </c>
      <c r="E26" s="14">
        <v>1</v>
      </c>
      <c r="F26" s="14" t="s">
        <v>3982</v>
      </c>
      <c r="G26" s="14">
        <f>(VLOOKUP(D26,'[1]BOM Info General'!$A:$L,12,0))*E26</f>
        <v>35.56</v>
      </c>
      <c r="H26" s="15" t="s">
        <v>39</v>
      </c>
      <c r="I26" s="15">
        <v>1</v>
      </c>
      <c r="J26" s="15" t="s">
        <v>46</v>
      </c>
      <c r="K26" s="15">
        <f>(VLOOKUP(H26,'[1]BOM Info General'!$A:$L,12,0))*I26</f>
        <v>24.42</v>
      </c>
      <c r="L26" s="9" t="s">
        <v>92</v>
      </c>
      <c r="M26" s="9">
        <v>1</v>
      </c>
      <c r="N26" s="9" t="s">
        <v>95</v>
      </c>
      <c r="O26" s="9">
        <f>(VLOOKUP(L26,'[1]Simulation pricing per sub assy'!$D:$E,2,0))*M26</f>
        <v>43.118799999999993</v>
      </c>
      <c r="P26" s="16">
        <v>0</v>
      </c>
      <c r="Q26" s="16">
        <v>0</v>
      </c>
      <c r="R26" s="16" t="e">
        <v>#N/A</v>
      </c>
      <c r="S26" s="40">
        <v>0</v>
      </c>
      <c r="T26" s="17" t="s">
        <v>32</v>
      </c>
      <c r="U26" s="17">
        <v>1</v>
      </c>
      <c r="V26" s="17" t="s">
        <v>33</v>
      </c>
      <c r="W26" s="17">
        <f>(VLOOKUP(T26,'[1]Simulation pricing per sub assy'!$D:$E,2,0))*U26</f>
        <v>8.51</v>
      </c>
      <c r="X26" s="18" t="s">
        <v>613</v>
      </c>
      <c r="Y26" s="18">
        <v>1</v>
      </c>
      <c r="Z26" s="18" t="s">
        <v>34</v>
      </c>
      <c r="AA26" s="18">
        <f>(VLOOKUP(X26,'[1]Simulation pricing per sub assy'!$D:$E,2,0))*Y26</f>
        <v>1.2612108000000002</v>
      </c>
    </row>
    <row r="27" spans="1:27" s="3" customFormat="1" x14ac:dyDescent="0.35">
      <c r="A27" s="13" t="s">
        <v>490</v>
      </c>
      <c r="B27" s="13" t="s">
        <v>3994</v>
      </c>
      <c r="C27" s="42">
        <f t="shared" si="0"/>
        <v>266.47500080000003</v>
      </c>
      <c r="D27" s="14" t="s">
        <v>43</v>
      </c>
      <c r="E27" s="14">
        <v>2</v>
      </c>
      <c r="F27" s="14" t="s">
        <v>3983</v>
      </c>
      <c r="G27" s="14">
        <f>(VLOOKUP(D27,'[1]BOM Info General'!$A:$L,12,0))*E27</f>
        <v>130.12</v>
      </c>
      <c r="H27" s="15" t="s">
        <v>40</v>
      </c>
      <c r="I27" s="15">
        <v>1</v>
      </c>
      <c r="J27" s="15" t="s">
        <v>45</v>
      </c>
      <c r="K27" s="15">
        <f>(VLOOKUP(H27,'[1]BOM Info General'!$A:$L,12,0))*I27</f>
        <v>25.59</v>
      </c>
      <c r="L27" s="9" t="s">
        <v>526</v>
      </c>
      <c r="M27" s="9">
        <v>1</v>
      </c>
      <c r="N27" s="9" t="s">
        <v>106</v>
      </c>
      <c r="O27" s="9">
        <f>(VLOOKUP(L27,'[1]Simulation pricing per sub assy'!$D:$E,2,0))*M27</f>
        <v>93.186400000000035</v>
      </c>
      <c r="P27" s="16">
        <v>0</v>
      </c>
      <c r="Q27" s="16">
        <v>0</v>
      </c>
      <c r="R27" s="16" t="e">
        <v>#N/A</v>
      </c>
      <c r="S27" s="40">
        <v>0</v>
      </c>
      <c r="T27" s="17" t="s">
        <v>35</v>
      </c>
      <c r="U27" s="17">
        <v>1</v>
      </c>
      <c r="V27" s="17" t="s">
        <v>36</v>
      </c>
      <c r="W27" s="17">
        <f>(VLOOKUP(T27,'[1]Simulation pricing per sub assy'!$D:$E,2,0))*U27</f>
        <v>15.3</v>
      </c>
      <c r="X27" s="18" t="s">
        <v>614</v>
      </c>
      <c r="Y27" s="18">
        <v>1</v>
      </c>
      <c r="Z27" s="18" t="s">
        <v>37</v>
      </c>
      <c r="AA27" s="18">
        <f>(VLOOKUP(X27,'[1]Simulation pricing per sub assy'!$D:$E,2,0))*Y27</f>
        <v>2.2786008000000004</v>
      </c>
    </row>
    <row r="28" spans="1:27" s="3" customFormat="1" x14ac:dyDescent="0.35">
      <c r="A28" s="13" t="s">
        <v>48</v>
      </c>
      <c r="B28" s="13" t="s">
        <v>3995</v>
      </c>
      <c r="C28" s="42">
        <f t="shared" si="0"/>
        <v>261.47500080000003</v>
      </c>
      <c r="D28" s="14" t="s">
        <v>43</v>
      </c>
      <c r="E28" s="14">
        <v>2</v>
      </c>
      <c r="F28" s="14" t="s">
        <v>3983</v>
      </c>
      <c r="G28" s="14">
        <f>(VLOOKUP(D28,'[1]BOM Info General'!$A:$L,12,0))*E28</f>
        <v>130.12</v>
      </c>
      <c r="H28" s="15" t="s">
        <v>40</v>
      </c>
      <c r="I28" s="15">
        <v>1</v>
      </c>
      <c r="J28" s="15" t="s">
        <v>45</v>
      </c>
      <c r="K28" s="15">
        <f>(VLOOKUP(H28,'[1]BOM Info General'!$A:$L,12,0))*I28</f>
        <v>25.59</v>
      </c>
      <c r="L28" s="9" t="s">
        <v>103</v>
      </c>
      <c r="M28" s="9">
        <v>1</v>
      </c>
      <c r="N28" s="9" t="s">
        <v>100</v>
      </c>
      <c r="O28" s="9">
        <f>(VLOOKUP(L28,'[1]Simulation pricing per sub assy'!$D:$E,2,0))*M28</f>
        <v>88.186400000000035</v>
      </c>
      <c r="P28" s="16">
        <v>0</v>
      </c>
      <c r="Q28" s="16">
        <v>0</v>
      </c>
      <c r="R28" s="16" t="e">
        <v>#N/A</v>
      </c>
      <c r="S28" s="40">
        <v>0</v>
      </c>
      <c r="T28" s="17" t="s">
        <v>35</v>
      </c>
      <c r="U28" s="17">
        <v>1</v>
      </c>
      <c r="V28" s="17" t="s">
        <v>36</v>
      </c>
      <c r="W28" s="17">
        <f>(VLOOKUP(T28,'[1]Simulation pricing per sub assy'!$D:$E,2,0))*U28</f>
        <v>15.3</v>
      </c>
      <c r="X28" s="18" t="s">
        <v>614</v>
      </c>
      <c r="Y28" s="18">
        <v>1</v>
      </c>
      <c r="Z28" s="18" t="s">
        <v>37</v>
      </c>
      <c r="AA28" s="18">
        <f>(VLOOKUP(X28,'[1]Simulation pricing per sub assy'!$D:$E,2,0))*Y28</f>
        <v>2.2786008000000004</v>
      </c>
    </row>
    <row r="29" spans="1:27" s="3" customFormat="1" x14ac:dyDescent="0.35">
      <c r="A29" s="13" t="s">
        <v>488</v>
      </c>
      <c r="B29" s="13" t="s">
        <v>3996</v>
      </c>
      <c r="C29" s="42">
        <f t="shared" si="0"/>
        <v>261.47500080000003</v>
      </c>
      <c r="D29" s="14" t="s">
        <v>43</v>
      </c>
      <c r="E29" s="14">
        <v>2</v>
      </c>
      <c r="F29" s="14" t="s">
        <v>3983</v>
      </c>
      <c r="G29" s="14">
        <f>(VLOOKUP(D29,'[1]BOM Info General'!$A:$L,12,0))*E29</f>
        <v>130.12</v>
      </c>
      <c r="H29" s="15" t="s">
        <v>40</v>
      </c>
      <c r="I29" s="15">
        <v>1</v>
      </c>
      <c r="J29" s="15" t="s">
        <v>45</v>
      </c>
      <c r="K29" s="15">
        <f>(VLOOKUP(H29,'[1]BOM Info General'!$A:$L,12,0))*I29</f>
        <v>25.59</v>
      </c>
      <c r="L29" s="9" t="s">
        <v>99</v>
      </c>
      <c r="M29" s="9">
        <v>1</v>
      </c>
      <c r="N29" s="9" t="s">
        <v>98</v>
      </c>
      <c r="O29" s="9">
        <f>(VLOOKUP(L29,'[1]Simulation pricing per sub assy'!$D:$E,2,0))*M29</f>
        <v>88.186400000000035</v>
      </c>
      <c r="P29" s="16">
        <v>0</v>
      </c>
      <c r="Q29" s="16">
        <v>0</v>
      </c>
      <c r="R29" s="16" t="e">
        <v>#N/A</v>
      </c>
      <c r="S29" s="40">
        <v>0</v>
      </c>
      <c r="T29" s="17" t="s">
        <v>35</v>
      </c>
      <c r="U29" s="17">
        <v>1</v>
      </c>
      <c r="V29" s="17" t="s">
        <v>36</v>
      </c>
      <c r="W29" s="17">
        <f>(VLOOKUP(T29,'[1]Simulation pricing per sub assy'!$D:$E,2,0))*U29</f>
        <v>15.3</v>
      </c>
      <c r="X29" s="18" t="s">
        <v>614</v>
      </c>
      <c r="Y29" s="18">
        <v>1</v>
      </c>
      <c r="Z29" s="18" t="s">
        <v>37</v>
      </c>
      <c r="AA29" s="18">
        <f>(VLOOKUP(X29,'[1]Simulation pricing per sub assy'!$D:$E,2,0))*Y29</f>
        <v>2.2786008000000004</v>
      </c>
    </row>
    <row r="30" spans="1:27" s="3" customFormat="1" x14ac:dyDescent="0.35">
      <c r="A30" s="13" t="s">
        <v>486</v>
      </c>
      <c r="B30" s="13" t="s">
        <v>3997</v>
      </c>
      <c r="C30" s="42">
        <f t="shared" si="0"/>
        <v>260.92500080000002</v>
      </c>
      <c r="D30" s="14" t="s">
        <v>43</v>
      </c>
      <c r="E30" s="14">
        <v>2</v>
      </c>
      <c r="F30" s="14" t="s">
        <v>3983</v>
      </c>
      <c r="G30" s="14">
        <f>(VLOOKUP(D30,'[1]BOM Info General'!$A:$L,12,0))*E30</f>
        <v>130.12</v>
      </c>
      <c r="H30" s="15" t="s">
        <v>40</v>
      </c>
      <c r="I30" s="15">
        <v>1</v>
      </c>
      <c r="J30" s="15" t="s">
        <v>45</v>
      </c>
      <c r="K30" s="15">
        <f>(VLOOKUP(H30,'[1]BOM Info General'!$A:$L,12,0))*I30</f>
        <v>25.59</v>
      </c>
      <c r="L30" s="9" t="s">
        <v>105</v>
      </c>
      <c r="M30" s="9">
        <v>1</v>
      </c>
      <c r="N30" s="9" t="s">
        <v>102</v>
      </c>
      <c r="O30" s="9">
        <f>(VLOOKUP(L30,'[1]Simulation pricing per sub assy'!$D:$E,2,0))*M30</f>
        <v>87.636400000000037</v>
      </c>
      <c r="P30" s="16">
        <v>0</v>
      </c>
      <c r="Q30" s="16">
        <v>0</v>
      </c>
      <c r="R30" s="16" t="e">
        <v>#N/A</v>
      </c>
      <c r="S30" s="40">
        <v>0</v>
      </c>
      <c r="T30" s="17" t="s">
        <v>35</v>
      </c>
      <c r="U30" s="17">
        <v>1</v>
      </c>
      <c r="V30" s="17" t="s">
        <v>36</v>
      </c>
      <c r="W30" s="17">
        <f>(VLOOKUP(T30,'[1]Simulation pricing per sub assy'!$D:$E,2,0))*U30</f>
        <v>15.3</v>
      </c>
      <c r="X30" s="18" t="s">
        <v>614</v>
      </c>
      <c r="Y30" s="18">
        <v>1</v>
      </c>
      <c r="Z30" s="18" t="s">
        <v>37</v>
      </c>
      <c r="AA30" s="18">
        <f>(VLOOKUP(X30,'[1]Simulation pricing per sub assy'!$D:$E,2,0))*Y30</f>
        <v>2.2786008000000004</v>
      </c>
    </row>
    <row r="31" spans="1:27" s="3" customFormat="1" x14ac:dyDescent="0.35">
      <c r="A31" s="13" t="s">
        <v>489</v>
      </c>
      <c r="B31" s="13" t="s">
        <v>3998</v>
      </c>
      <c r="C31" s="42">
        <f t="shared" si="0"/>
        <v>261.47500080000003</v>
      </c>
      <c r="D31" s="14" t="s">
        <v>43</v>
      </c>
      <c r="E31" s="14">
        <v>2</v>
      </c>
      <c r="F31" s="14" t="s">
        <v>3983</v>
      </c>
      <c r="G31" s="14">
        <f>(VLOOKUP(D31,'[1]BOM Info General'!$A:$L,12,0))*E31</f>
        <v>130.12</v>
      </c>
      <c r="H31" s="15" t="s">
        <v>40</v>
      </c>
      <c r="I31" s="15">
        <v>1</v>
      </c>
      <c r="J31" s="15" t="s">
        <v>45</v>
      </c>
      <c r="K31" s="15">
        <f>(VLOOKUP(H31,'[1]BOM Info General'!$A:$L,12,0))*I31</f>
        <v>25.59</v>
      </c>
      <c r="L31" s="9" t="s">
        <v>101</v>
      </c>
      <c r="M31" s="9">
        <v>1</v>
      </c>
      <c r="N31" s="9" t="s">
        <v>104</v>
      </c>
      <c r="O31" s="9">
        <f>(VLOOKUP(L31,'[1]Simulation pricing per sub assy'!$D:$E,2,0))*M31</f>
        <v>88.186400000000035</v>
      </c>
      <c r="P31" s="16">
        <v>0</v>
      </c>
      <c r="Q31" s="16">
        <v>0</v>
      </c>
      <c r="R31" s="16" t="e">
        <v>#N/A</v>
      </c>
      <c r="S31" s="40">
        <v>0</v>
      </c>
      <c r="T31" s="17" t="s">
        <v>35</v>
      </c>
      <c r="U31" s="17">
        <v>1</v>
      </c>
      <c r="V31" s="17" t="s">
        <v>36</v>
      </c>
      <c r="W31" s="17">
        <f>(VLOOKUP(T31,'[1]Simulation pricing per sub assy'!$D:$E,2,0))*U31</f>
        <v>15.3</v>
      </c>
      <c r="X31" s="18" t="s">
        <v>614</v>
      </c>
      <c r="Y31" s="18">
        <v>1</v>
      </c>
      <c r="Z31" s="18" t="s">
        <v>37</v>
      </c>
      <c r="AA31" s="18">
        <f>(VLOOKUP(X31,'[1]Simulation pricing per sub assy'!$D:$E,2,0))*Y31</f>
        <v>2.2786008000000004</v>
      </c>
    </row>
    <row r="32" spans="1:27" s="3" customFormat="1" x14ac:dyDescent="0.35">
      <c r="A32" s="13" t="s">
        <v>1945</v>
      </c>
      <c r="B32" s="13" t="s">
        <v>1946</v>
      </c>
      <c r="C32" s="42">
        <f t="shared" si="0"/>
        <v>266.47500080000003</v>
      </c>
      <c r="D32" s="20" t="s">
        <v>43</v>
      </c>
      <c r="E32" s="20">
        <v>2</v>
      </c>
      <c r="F32" s="20" t="s">
        <v>3983</v>
      </c>
      <c r="G32" s="14">
        <f>(VLOOKUP(D32,'[1]BOM Info General'!$A:$L,12,0))*E32</f>
        <v>130.12</v>
      </c>
      <c r="H32" s="21" t="s">
        <v>40</v>
      </c>
      <c r="I32" s="21">
        <v>1</v>
      </c>
      <c r="J32" s="21" t="s">
        <v>45</v>
      </c>
      <c r="K32" s="15">
        <f>(VLOOKUP(H32,'[1]BOM Info General'!$A:$L,12,0))*I32</f>
        <v>25.59</v>
      </c>
      <c r="L32" s="22" t="s">
        <v>526</v>
      </c>
      <c r="M32" s="22">
        <v>1</v>
      </c>
      <c r="N32" s="22" t="s">
        <v>106</v>
      </c>
      <c r="O32" s="9">
        <f>(VLOOKUP(L32,'[1]Simulation pricing per sub assy'!$D:$E,2,0))*M32</f>
        <v>93.186400000000035</v>
      </c>
      <c r="P32" s="23">
        <v>0</v>
      </c>
      <c r="Q32" s="23">
        <v>0</v>
      </c>
      <c r="R32" s="23" t="e">
        <v>#N/A</v>
      </c>
      <c r="S32" s="40">
        <v>0</v>
      </c>
      <c r="T32" s="24" t="s">
        <v>35</v>
      </c>
      <c r="U32" s="24">
        <v>1</v>
      </c>
      <c r="V32" s="24" t="s">
        <v>36</v>
      </c>
      <c r="W32" s="17">
        <f>(VLOOKUP(T32,'[1]Simulation pricing per sub assy'!$D:$E,2,0))*U32</f>
        <v>15.3</v>
      </c>
      <c r="X32" s="18" t="s">
        <v>614</v>
      </c>
      <c r="Y32" s="25">
        <v>1</v>
      </c>
      <c r="Z32" s="25" t="s">
        <v>37</v>
      </c>
      <c r="AA32" s="18">
        <f>(VLOOKUP(X32,'[1]Simulation pricing per sub assy'!$D:$E,2,0))*Y32</f>
        <v>2.2786008000000004</v>
      </c>
    </row>
    <row r="33" spans="1:27" s="3" customFormat="1" x14ac:dyDescent="0.35">
      <c r="A33" s="13" t="s">
        <v>1937</v>
      </c>
      <c r="B33" s="13" t="s">
        <v>1938</v>
      </c>
      <c r="C33" s="42">
        <f t="shared" si="0"/>
        <v>261.47500080000003</v>
      </c>
      <c r="D33" s="20" t="s">
        <v>43</v>
      </c>
      <c r="E33" s="20">
        <v>2</v>
      </c>
      <c r="F33" s="20" t="s">
        <v>3983</v>
      </c>
      <c r="G33" s="14">
        <f>(VLOOKUP(D33,'[1]BOM Info General'!$A:$L,12,0))*E33</f>
        <v>130.12</v>
      </c>
      <c r="H33" s="21" t="s">
        <v>40</v>
      </c>
      <c r="I33" s="21">
        <v>1</v>
      </c>
      <c r="J33" s="21" t="s">
        <v>45</v>
      </c>
      <c r="K33" s="15">
        <f>(VLOOKUP(H33,'[1]BOM Info General'!$A:$L,12,0))*I33</f>
        <v>25.59</v>
      </c>
      <c r="L33" s="22" t="s">
        <v>103</v>
      </c>
      <c r="M33" s="22">
        <v>1</v>
      </c>
      <c r="N33" s="22" t="s">
        <v>100</v>
      </c>
      <c r="O33" s="9">
        <f>(VLOOKUP(L33,'[1]Simulation pricing per sub assy'!$D:$E,2,0))*M33</f>
        <v>88.186400000000035</v>
      </c>
      <c r="P33" s="23">
        <v>0</v>
      </c>
      <c r="Q33" s="23">
        <v>0</v>
      </c>
      <c r="R33" s="23" t="e">
        <v>#N/A</v>
      </c>
      <c r="S33" s="40">
        <v>0</v>
      </c>
      <c r="T33" s="24" t="s">
        <v>35</v>
      </c>
      <c r="U33" s="24">
        <v>1</v>
      </c>
      <c r="V33" s="24" t="s">
        <v>36</v>
      </c>
      <c r="W33" s="17">
        <f>(VLOOKUP(T33,'[1]Simulation pricing per sub assy'!$D:$E,2,0))*U33</f>
        <v>15.3</v>
      </c>
      <c r="X33" s="18" t="s">
        <v>614</v>
      </c>
      <c r="Y33" s="25">
        <v>1</v>
      </c>
      <c r="Z33" s="25" t="s">
        <v>37</v>
      </c>
      <c r="AA33" s="18">
        <f>(VLOOKUP(X33,'[1]Simulation pricing per sub assy'!$D:$E,2,0))*Y33</f>
        <v>2.2786008000000004</v>
      </c>
    </row>
    <row r="34" spans="1:27" s="3" customFormat="1" x14ac:dyDescent="0.35">
      <c r="A34" s="13" t="s">
        <v>1941</v>
      </c>
      <c r="B34" s="13" t="s">
        <v>1942</v>
      </c>
      <c r="C34" s="42">
        <f t="shared" si="0"/>
        <v>261.47500080000003</v>
      </c>
      <c r="D34" s="20" t="s">
        <v>43</v>
      </c>
      <c r="E34" s="20">
        <v>2</v>
      </c>
      <c r="F34" s="20" t="s">
        <v>3983</v>
      </c>
      <c r="G34" s="14">
        <f>(VLOOKUP(D34,'[1]BOM Info General'!$A:$L,12,0))*E34</f>
        <v>130.12</v>
      </c>
      <c r="H34" s="21" t="s">
        <v>40</v>
      </c>
      <c r="I34" s="21">
        <v>1</v>
      </c>
      <c r="J34" s="21" t="s">
        <v>45</v>
      </c>
      <c r="K34" s="15">
        <f>(VLOOKUP(H34,'[1]BOM Info General'!$A:$L,12,0))*I34</f>
        <v>25.59</v>
      </c>
      <c r="L34" s="22" t="s">
        <v>99</v>
      </c>
      <c r="M34" s="22">
        <v>1</v>
      </c>
      <c r="N34" s="22" t="s">
        <v>98</v>
      </c>
      <c r="O34" s="9">
        <f>(VLOOKUP(L34,'[1]Simulation pricing per sub assy'!$D:$E,2,0))*M34</f>
        <v>88.186400000000035</v>
      </c>
      <c r="P34" s="23">
        <v>0</v>
      </c>
      <c r="Q34" s="23">
        <v>0</v>
      </c>
      <c r="R34" s="23" t="e">
        <v>#N/A</v>
      </c>
      <c r="S34" s="40">
        <v>0</v>
      </c>
      <c r="T34" s="24" t="s">
        <v>35</v>
      </c>
      <c r="U34" s="24">
        <v>1</v>
      </c>
      <c r="V34" s="24" t="s">
        <v>36</v>
      </c>
      <c r="W34" s="17">
        <f>(VLOOKUP(T34,'[1]Simulation pricing per sub assy'!$D:$E,2,0))*U34</f>
        <v>15.3</v>
      </c>
      <c r="X34" s="18" t="s">
        <v>614</v>
      </c>
      <c r="Y34" s="25">
        <v>1</v>
      </c>
      <c r="Z34" s="25" t="s">
        <v>37</v>
      </c>
      <c r="AA34" s="18">
        <f>(VLOOKUP(X34,'[1]Simulation pricing per sub assy'!$D:$E,2,0))*Y34</f>
        <v>2.2786008000000004</v>
      </c>
    </row>
    <row r="35" spans="1:27" s="3" customFormat="1" x14ac:dyDescent="0.35">
      <c r="A35" s="13" t="s">
        <v>1939</v>
      </c>
      <c r="B35" s="13" t="s">
        <v>1940</v>
      </c>
      <c r="C35" s="42">
        <f t="shared" si="0"/>
        <v>260.92500080000002</v>
      </c>
      <c r="D35" s="20" t="s">
        <v>43</v>
      </c>
      <c r="E35" s="20">
        <v>2</v>
      </c>
      <c r="F35" s="20" t="s">
        <v>3983</v>
      </c>
      <c r="G35" s="14">
        <f>(VLOOKUP(D35,'[1]BOM Info General'!$A:$L,12,0))*E35</f>
        <v>130.12</v>
      </c>
      <c r="H35" s="21" t="s">
        <v>40</v>
      </c>
      <c r="I35" s="21">
        <v>1</v>
      </c>
      <c r="J35" s="21" t="s">
        <v>45</v>
      </c>
      <c r="K35" s="15">
        <f>(VLOOKUP(H35,'[1]BOM Info General'!$A:$L,12,0))*I35</f>
        <v>25.59</v>
      </c>
      <c r="L35" s="22" t="s">
        <v>105</v>
      </c>
      <c r="M35" s="22">
        <v>1</v>
      </c>
      <c r="N35" s="22" t="s">
        <v>102</v>
      </c>
      <c r="O35" s="9">
        <f>(VLOOKUP(L35,'[1]Simulation pricing per sub assy'!$D:$E,2,0))*M35</f>
        <v>87.636400000000037</v>
      </c>
      <c r="P35" s="23">
        <v>0</v>
      </c>
      <c r="Q35" s="23">
        <v>0</v>
      </c>
      <c r="R35" s="23" t="e">
        <v>#N/A</v>
      </c>
      <c r="S35" s="40">
        <v>0</v>
      </c>
      <c r="T35" s="24" t="s">
        <v>35</v>
      </c>
      <c r="U35" s="24">
        <v>1</v>
      </c>
      <c r="V35" s="24" t="s">
        <v>36</v>
      </c>
      <c r="W35" s="17">
        <f>(VLOOKUP(T35,'[1]Simulation pricing per sub assy'!$D:$E,2,0))*U35</f>
        <v>15.3</v>
      </c>
      <c r="X35" s="18" t="s">
        <v>614</v>
      </c>
      <c r="Y35" s="25">
        <v>1</v>
      </c>
      <c r="Z35" s="25" t="s">
        <v>37</v>
      </c>
      <c r="AA35" s="18">
        <f>(VLOOKUP(X35,'[1]Simulation pricing per sub assy'!$D:$E,2,0))*Y35</f>
        <v>2.2786008000000004</v>
      </c>
    </row>
    <row r="36" spans="1:27" s="3" customFormat="1" x14ac:dyDescent="0.35">
      <c r="A36" s="13" t="s">
        <v>1943</v>
      </c>
      <c r="B36" s="13" t="s">
        <v>1944</v>
      </c>
      <c r="C36" s="42">
        <f t="shared" si="0"/>
        <v>261.47500080000003</v>
      </c>
      <c r="D36" s="20" t="s">
        <v>43</v>
      </c>
      <c r="E36" s="20">
        <v>2</v>
      </c>
      <c r="F36" s="20" t="s">
        <v>3983</v>
      </c>
      <c r="G36" s="14">
        <f>(VLOOKUP(D36,'[1]BOM Info General'!$A:$L,12,0))*E36</f>
        <v>130.12</v>
      </c>
      <c r="H36" s="21" t="s">
        <v>40</v>
      </c>
      <c r="I36" s="21">
        <v>1</v>
      </c>
      <c r="J36" s="21" t="s">
        <v>45</v>
      </c>
      <c r="K36" s="15">
        <f>(VLOOKUP(H36,'[1]BOM Info General'!$A:$L,12,0))*I36</f>
        <v>25.59</v>
      </c>
      <c r="L36" s="22" t="s">
        <v>101</v>
      </c>
      <c r="M36" s="22">
        <v>1</v>
      </c>
      <c r="N36" s="22" t="s">
        <v>104</v>
      </c>
      <c r="O36" s="9">
        <f>(VLOOKUP(L36,'[1]Simulation pricing per sub assy'!$D:$E,2,0))*M36</f>
        <v>88.186400000000035</v>
      </c>
      <c r="P36" s="23">
        <v>0</v>
      </c>
      <c r="Q36" s="23">
        <v>0</v>
      </c>
      <c r="R36" s="23" t="e">
        <v>#N/A</v>
      </c>
      <c r="S36" s="40">
        <v>0</v>
      </c>
      <c r="T36" s="24" t="s">
        <v>35</v>
      </c>
      <c r="U36" s="24">
        <v>1</v>
      </c>
      <c r="V36" s="24" t="s">
        <v>36</v>
      </c>
      <c r="W36" s="17">
        <f>(VLOOKUP(T36,'[1]Simulation pricing per sub assy'!$D:$E,2,0))*U36</f>
        <v>15.3</v>
      </c>
      <c r="X36" s="18" t="s">
        <v>614</v>
      </c>
      <c r="Y36" s="25">
        <v>1</v>
      </c>
      <c r="Z36" s="25" t="s">
        <v>37</v>
      </c>
      <c r="AA36" s="18">
        <f>(VLOOKUP(X36,'[1]Simulation pricing per sub assy'!$D:$E,2,0))*Y36</f>
        <v>2.2786008000000004</v>
      </c>
    </row>
    <row r="37" spans="1:27" s="3" customFormat="1" x14ac:dyDescent="0.35">
      <c r="A37" s="13" t="s">
        <v>1955</v>
      </c>
      <c r="B37" s="13" t="s">
        <v>1956</v>
      </c>
      <c r="C37" s="42">
        <f t="shared" si="0"/>
        <v>268.06500080000006</v>
      </c>
      <c r="D37" s="20" t="s">
        <v>43</v>
      </c>
      <c r="E37" s="20">
        <v>2</v>
      </c>
      <c r="F37" s="20" t="s">
        <v>3983</v>
      </c>
      <c r="G37" s="14">
        <f>(VLOOKUP(D37,'[1]BOM Info General'!$A:$L,12,0))*E37</f>
        <v>130.12</v>
      </c>
      <c r="H37" s="21" t="s">
        <v>41</v>
      </c>
      <c r="I37" s="21">
        <v>1</v>
      </c>
      <c r="J37" s="21" t="s">
        <v>47</v>
      </c>
      <c r="K37" s="15">
        <f>(VLOOKUP(H37,'[1]BOM Info General'!$A:$L,12,0))*I37</f>
        <v>27.18</v>
      </c>
      <c r="L37" s="22" t="s">
        <v>526</v>
      </c>
      <c r="M37" s="22">
        <v>1</v>
      </c>
      <c r="N37" s="22" t="s">
        <v>106</v>
      </c>
      <c r="O37" s="9">
        <f>(VLOOKUP(L37,'[1]Simulation pricing per sub assy'!$D:$E,2,0))*M37</f>
        <v>93.186400000000035</v>
      </c>
      <c r="P37" s="23">
        <v>0</v>
      </c>
      <c r="Q37" s="23">
        <v>0</v>
      </c>
      <c r="R37" s="23" t="e">
        <v>#N/A</v>
      </c>
      <c r="S37" s="40">
        <v>0</v>
      </c>
      <c r="T37" s="24" t="s">
        <v>35</v>
      </c>
      <c r="U37" s="24">
        <v>1</v>
      </c>
      <c r="V37" s="24" t="s">
        <v>36</v>
      </c>
      <c r="W37" s="17">
        <f>(VLOOKUP(T37,'[1]Simulation pricing per sub assy'!$D:$E,2,0))*U37</f>
        <v>15.3</v>
      </c>
      <c r="X37" s="18" t="s">
        <v>614</v>
      </c>
      <c r="Y37" s="25">
        <v>1</v>
      </c>
      <c r="Z37" s="25" t="s">
        <v>37</v>
      </c>
      <c r="AA37" s="18">
        <f>(VLOOKUP(X37,'[1]Simulation pricing per sub assy'!$D:$E,2,0))*Y37</f>
        <v>2.2786008000000004</v>
      </c>
    </row>
    <row r="38" spans="1:27" s="3" customFormat="1" x14ac:dyDescent="0.35">
      <c r="A38" s="13" t="s">
        <v>1947</v>
      </c>
      <c r="B38" s="13" t="s">
        <v>1948</v>
      </c>
      <c r="C38" s="42">
        <f t="shared" si="0"/>
        <v>263.06500080000006</v>
      </c>
      <c r="D38" s="20" t="s">
        <v>43</v>
      </c>
      <c r="E38" s="20">
        <v>2</v>
      </c>
      <c r="F38" s="20" t="s">
        <v>3983</v>
      </c>
      <c r="G38" s="14">
        <f>(VLOOKUP(D38,'[1]BOM Info General'!$A:$L,12,0))*E38</f>
        <v>130.12</v>
      </c>
      <c r="H38" s="21" t="s">
        <v>41</v>
      </c>
      <c r="I38" s="21">
        <v>1</v>
      </c>
      <c r="J38" s="21" t="s">
        <v>47</v>
      </c>
      <c r="K38" s="15">
        <f>(VLOOKUP(H38,'[1]BOM Info General'!$A:$L,12,0))*I38</f>
        <v>27.18</v>
      </c>
      <c r="L38" s="22" t="s">
        <v>103</v>
      </c>
      <c r="M38" s="22">
        <v>1</v>
      </c>
      <c r="N38" s="22" t="s">
        <v>100</v>
      </c>
      <c r="O38" s="9">
        <f>(VLOOKUP(L38,'[1]Simulation pricing per sub assy'!$D:$E,2,0))*M38</f>
        <v>88.186400000000035</v>
      </c>
      <c r="P38" s="23">
        <v>0</v>
      </c>
      <c r="Q38" s="23">
        <v>0</v>
      </c>
      <c r="R38" s="23" t="e">
        <v>#N/A</v>
      </c>
      <c r="S38" s="40">
        <v>0</v>
      </c>
      <c r="T38" s="24" t="s">
        <v>35</v>
      </c>
      <c r="U38" s="24">
        <v>1</v>
      </c>
      <c r="V38" s="24" t="s">
        <v>36</v>
      </c>
      <c r="W38" s="17">
        <f>(VLOOKUP(T38,'[1]Simulation pricing per sub assy'!$D:$E,2,0))*U38</f>
        <v>15.3</v>
      </c>
      <c r="X38" s="18" t="s">
        <v>614</v>
      </c>
      <c r="Y38" s="25">
        <v>1</v>
      </c>
      <c r="Z38" s="25" t="s">
        <v>37</v>
      </c>
      <c r="AA38" s="18">
        <f>(VLOOKUP(X38,'[1]Simulation pricing per sub assy'!$D:$E,2,0))*Y38</f>
        <v>2.2786008000000004</v>
      </c>
    </row>
    <row r="39" spans="1:27" s="3" customFormat="1" x14ac:dyDescent="0.35">
      <c r="A39" s="13" t="s">
        <v>1951</v>
      </c>
      <c r="B39" s="13" t="s">
        <v>1952</v>
      </c>
      <c r="C39" s="42">
        <f t="shared" si="0"/>
        <v>263.06500080000006</v>
      </c>
      <c r="D39" s="20" t="s">
        <v>43</v>
      </c>
      <c r="E39" s="20">
        <v>2</v>
      </c>
      <c r="F39" s="20" t="s">
        <v>3983</v>
      </c>
      <c r="G39" s="14">
        <f>(VLOOKUP(D39,'[1]BOM Info General'!$A:$L,12,0))*E39</f>
        <v>130.12</v>
      </c>
      <c r="H39" s="21" t="s">
        <v>41</v>
      </c>
      <c r="I39" s="21">
        <v>1</v>
      </c>
      <c r="J39" s="21" t="s">
        <v>47</v>
      </c>
      <c r="K39" s="15">
        <f>(VLOOKUP(H39,'[1]BOM Info General'!$A:$L,12,0))*I39</f>
        <v>27.18</v>
      </c>
      <c r="L39" s="22" t="s">
        <v>99</v>
      </c>
      <c r="M39" s="22">
        <v>1</v>
      </c>
      <c r="N39" s="22" t="s">
        <v>98</v>
      </c>
      <c r="O39" s="9">
        <f>(VLOOKUP(L39,'[1]Simulation pricing per sub assy'!$D:$E,2,0))*M39</f>
        <v>88.186400000000035</v>
      </c>
      <c r="P39" s="23">
        <v>0</v>
      </c>
      <c r="Q39" s="23">
        <v>0</v>
      </c>
      <c r="R39" s="23" t="e">
        <v>#N/A</v>
      </c>
      <c r="S39" s="40">
        <v>0</v>
      </c>
      <c r="T39" s="24" t="s">
        <v>35</v>
      </c>
      <c r="U39" s="24">
        <v>1</v>
      </c>
      <c r="V39" s="24" t="s">
        <v>36</v>
      </c>
      <c r="W39" s="17">
        <f>(VLOOKUP(T39,'[1]Simulation pricing per sub assy'!$D:$E,2,0))*U39</f>
        <v>15.3</v>
      </c>
      <c r="X39" s="18" t="s">
        <v>614</v>
      </c>
      <c r="Y39" s="25">
        <v>1</v>
      </c>
      <c r="Z39" s="25" t="s">
        <v>37</v>
      </c>
      <c r="AA39" s="18">
        <f>(VLOOKUP(X39,'[1]Simulation pricing per sub assy'!$D:$E,2,0))*Y39</f>
        <v>2.2786008000000004</v>
      </c>
    </row>
    <row r="40" spans="1:27" s="3" customFormat="1" x14ac:dyDescent="0.35">
      <c r="A40" s="13" t="s">
        <v>1949</v>
      </c>
      <c r="B40" s="13" t="s">
        <v>1950</v>
      </c>
      <c r="C40" s="42">
        <f t="shared" si="0"/>
        <v>262.51500080000005</v>
      </c>
      <c r="D40" s="20" t="s">
        <v>43</v>
      </c>
      <c r="E40" s="20">
        <v>2</v>
      </c>
      <c r="F40" s="20" t="s">
        <v>3983</v>
      </c>
      <c r="G40" s="14">
        <f>(VLOOKUP(D40,'[1]BOM Info General'!$A:$L,12,0))*E40</f>
        <v>130.12</v>
      </c>
      <c r="H40" s="21" t="s">
        <v>41</v>
      </c>
      <c r="I40" s="21">
        <v>1</v>
      </c>
      <c r="J40" s="21" t="s">
        <v>47</v>
      </c>
      <c r="K40" s="15">
        <f>(VLOOKUP(H40,'[1]BOM Info General'!$A:$L,12,0))*I40</f>
        <v>27.18</v>
      </c>
      <c r="L40" s="22" t="s">
        <v>105</v>
      </c>
      <c r="M40" s="22">
        <v>1</v>
      </c>
      <c r="N40" s="22" t="s">
        <v>102</v>
      </c>
      <c r="O40" s="9">
        <f>(VLOOKUP(L40,'[1]Simulation pricing per sub assy'!$D:$E,2,0))*M40</f>
        <v>87.636400000000037</v>
      </c>
      <c r="P40" s="23">
        <v>0</v>
      </c>
      <c r="Q40" s="23">
        <v>0</v>
      </c>
      <c r="R40" s="23" t="e">
        <v>#N/A</v>
      </c>
      <c r="S40" s="40">
        <v>0</v>
      </c>
      <c r="T40" s="24" t="s">
        <v>35</v>
      </c>
      <c r="U40" s="24">
        <v>1</v>
      </c>
      <c r="V40" s="24" t="s">
        <v>36</v>
      </c>
      <c r="W40" s="17">
        <f>(VLOOKUP(T40,'[1]Simulation pricing per sub assy'!$D:$E,2,0))*U40</f>
        <v>15.3</v>
      </c>
      <c r="X40" s="18" t="s">
        <v>614</v>
      </c>
      <c r="Y40" s="25">
        <v>1</v>
      </c>
      <c r="Z40" s="25" t="s">
        <v>37</v>
      </c>
      <c r="AA40" s="18">
        <f>(VLOOKUP(X40,'[1]Simulation pricing per sub assy'!$D:$E,2,0))*Y40</f>
        <v>2.2786008000000004</v>
      </c>
    </row>
    <row r="41" spans="1:27" s="3" customFormat="1" x14ac:dyDescent="0.35">
      <c r="A41" s="13" t="s">
        <v>1953</v>
      </c>
      <c r="B41" s="13" t="s">
        <v>1954</v>
      </c>
      <c r="C41" s="42">
        <f t="shared" si="0"/>
        <v>263.06500080000006</v>
      </c>
      <c r="D41" s="20" t="s">
        <v>43</v>
      </c>
      <c r="E41" s="20">
        <v>2</v>
      </c>
      <c r="F41" s="20" t="s">
        <v>3983</v>
      </c>
      <c r="G41" s="14">
        <f>(VLOOKUP(D41,'[1]BOM Info General'!$A:$L,12,0))*E41</f>
        <v>130.12</v>
      </c>
      <c r="H41" s="21" t="s">
        <v>41</v>
      </c>
      <c r="I41" s="21">
        <v>1</v>
      </c>
      <c r="J41" s="21" t="s">
        <v>47</v>
      </c>
      <c r="K41" s="15">
        <f>(VLOOKUP(H41,'[1]BOM Info General'!$A:$L,12,0))*I41</f>
        <v>27.18</v>
      </c>
      <c r="L41" s="22" t="s">
        <v>101</v>
      </c>
      <c r="M41" s="22">
        <v>1</v>
      </c>
      <c r="N41" s="22" t="s">
        <v>104</v>
      </c>
      <c r="O41" s="9">
        <f>(VLOOKUP(L41,'[1]Simulation pricing per sub assy'!$D:$E,2,0))*M41</f>
        <v>88.186400000000035</v>
      </c>
      <c r="P41" s="23">
        <v>0</v>
      </c>
      <c r="Q41" s="23">
        <v>0</v>
      </c>
      <c r="R41" s="23" t="e">
        <v>#N/A</v>
      </c>
      <c r="S41" s="40">
        <v>0</v>
      </c>
      <c r="T41" s="24" t="s">
        <v>35</v>
      </c>
      <c r="U41" s="24">
        <v>1</v>
      </c>
      <c r="V41" s="24" t="s">
        <v>36</v>
      </c>
      <c r="W41" s="17">
        <f>(VLOOKUP(T41,'[1]Simulation pricing per sub assy'!$D:$E,2,0))*U41</f>
        <v>15.3</v>
      </c>
      <c r="X41" s="18" t="s">
        <v>614</v>
      </c>
      <c r="Y41" s="25">
        <v>1</v>
      </c>
      <c r="Z41" s="25" t="s">
        <v>37</v>
      </c>
      <c r="AA41" s="18">
        <f>(VLOOKUP(X41,'[1]Simulation pricing per sub assy'!$D:$E,2,0))*Y41</f>
        <v>2.2786008000000004</v>
      </c>
    </row>
    <row r="42" spans="1:27" s="3" customFormat="1" x14ac:dyDescent="0.35">
      <c r="A42" s="13" t="s">
        <v>1965</v>
      </c>
      <c r="B42" s="13" t="s">
        <v>1966</v>
      </c>
      <c r="C42" s="42">
        <f t="shared" si="0"/>
        <v>268.06500080000006</v>
      </c>
      <c r="D42" s="20" t="s">
        <v>43</v>
      </c>
      <c r="E42" s="20">
        <v>2</v>
      </c>
      <c r="F42" s="20" t="s">
        <v>3983</v>
      </c>
      <c r="G42" s="14">
        <f>(VLOOKUP(D42,'[1]BOM Info General'!$A:$L,12,0))*E42</f>
        <v>130.12</v>
      </c>
      <c r="H42" s="21" t="s">
        <v>41</v>
      </c>
      <c r="I42" s="21">
        <v>1</v>
      </c>
      <c r="J42" s="21" t="s">
        <v>47</v>
      </c>
      <c r="K42" s="15">
        <f>(VLOOKUP(H42,'[1]BOM Info General'!$A:$L,12,0))*I42</f>
        <v>27.18</v>
      </c>
      <c r="L42" s="22" t="s">
        <v>526</v>
      </c>
      <c r="M42" s="22">
        <v>1</v>
      </c>
      <c r="N42" s="22" t="s">
        <v>106</v>
      </c>
      <c r="O42" s="9">
        <f>(VLOOKUP(L42,'[1]Simulation pricing per sub assy'!$D:$E,2,0))*M42</f>
        <v>93.186400000000035</v>
      </c>
      <c r="P42" s="23">
        <v>0</v>
      </c>
      <c r="Q42" s="23">
        <v>0</v>
      </c>
      <c r="R42" s="23" t="e">
        <v>#N/A</v>
      </c>
      <c r="S42" s="40">
        <v>0</v>
      </c>
      <c r="T42" s="24" t="s">
        <v>35</v>
      </c>
      <c r="U42" s="24">
        <v>1</v>
      </c>
      <c r="V42" s="24" t="s">
        <v>36</v>
      </c>
      <c r="W42" s="17">
        <f>(VLOOKUP(T42,'[1]Simulation pricing per sub assy'!$D:$E,2,0))*U42</f>
        <v>15.3</v>
      </c>
      <c r="X42" s="18" t="s">
        <v>614</v>
      </c>
      <c r="Y42" s="25">
        <v>1</v>
      </c>
      <c r="Z42" s="25" t="s">
        <v>37</v>
      </c>
      <c r="AA42" s="18">
        <f>(VLOOKUP(X42,'[1]Simulation pricing per sub assy'!$D:$E,2,0))*Y42</f>
        <v>2.2786008000000004</v>
      </c>
    </row>
    <row r="43" spans="1:27" s="3" customFormat="1" x14ac:dyDescent="0.35">
      <c r="A43" s="13" t="s">
        <v>1957</v>
      </c>
      <c r="B43" s="13" t="s">
        <v>1958</v>
      </c>
      <c r="C43" s="42">
        <f t="shared" si="0"/>
        <v>263.06500080000006</v>
      </c>
      <c r="D43" s="20" t="s">
        <v>43</v>
      </c>
      <c r="E43" s="20">
        <v>2</v>
      </c>
      <c r="F43" s="20" t="s">
        <v>3983</v>
      </c>
      <c r="G43" s="14">
        <f>(VLOOKUP(D43,'[1]BOM Info General'!$A:$L,12,0))*E43</f>
        <v>130.12</v>
      </c>
      <c r="H43" s="21" t="s">
        <v>41</v>
      </c>
      <c r="I43" s="21">
        <v>1</v>
      </c>
      <c r="J43" s="21" t="s">
        <v>47</v>
      </c>
      <c r="K43" s="15">
        <f>(VLOOKUP(H43,'[1]BOM Info General'!$A:$L,12,0))*I43</f>
        <v>27.18</v>
      </c>
      <c r="L43" s="22" t="s">
        <v>103</v>
      </c>
      <c r="M43" s="22">
        <v>1</v>
      </c>
      <c r="N43" s="22" t="s">
        <v>100</v>
      </c>
      <c r="O43" s="9">
        <f>(VLOOKUP(L43,'[1]Simulation pricing per sub assy'!$D:$E,2,0))*M43</f>
        <v>88.186400000000035</v>
      </c>
      <c r="P43" s="23">
        <v>0</v>
      </c>
      <c r="Q43" s="23">
        <v>0</v>
      </c>
      <c r="R43" s="23" t="e">
        <v>#N/A</v>
      </c>
      <c r="S43" s="40">
        <v>0</v>
      </c>
      <c r="T43" s="24" t="s">
        <v>35</v>
      </c>
      <c r="U43" s="24">
        <v>1</v>
      </c>
      <c r="V43" s="24" t="s">
        <v>36</v>
      </c>
      <c r="W43" s="17">
        <f>(VLOOKUP(T43,'[1]Simulation pricing per sub assy'!$D:$E,2,0))*U43</f>
        <v>15.3</v>
      </c>
      <c r="X43" s="18" t="s">
        <v>614</v>
      </c>
      <c r="Y43" s="25">
        <v>1</v>
      </c>
      <c r="Z43" s="25" t="s">
        <v>37</v>
      </c>
      <c r="AA43" s="18">
        <f>(VLOOKUP(X43,'[1]Simulation pricing per sub assy'!$D:$E,2,0))*Y43</f>
        <v>2.2786008000000004</v>
      </c>
    </row>
    <row r="44" spans="1:27" s="3" customFormat="1" x14ac:dyDescent="0.35">
      <c r="A44" s="13" t="s">
        <v>1961</v>
      </c>
      <c r="B44" s="13" t="s">
        <v>1962</v>
      </c>
      <c r="C44" s="42">
        <f t="shared" si="0"/>
        <v>263.06500080000006</v>
      </c>
      <c r="D44" s="20" t="s">
        <v>43</v>
      </c>
      <c r="E44" s="20">
        <v>2</v>
      </c>
      <c r="F44" s="20" t="s">
        <v>3983</v>
      </c>
      <c r="G44" s="14">
        <f>(VLOOKUP(D44,'[1]BOM Info General'!$A:$L,12,0))*E44</f>
        <v>130.12</v>
      </c>
      <c r="H44" s="21" t="s">
        <v>41</v>
      </c>
      <c r="I44" s="21">
        <v>1</v>
      </c>
      <c r="J44" s="21" t="s">
        <v>47</v>
      </c>
      <c r="K44" s="15">
        <f>(VLOOKUP(H44,'[1]BOM Info General'!$A:$L,12,0))*I44</f>
        <v>27.18</v>
      </c>
      <c r="L44" s="22" t="s">
        <v>99</v>
      </c>
      <c r="M44" s="22">
        <v>1</v>
      </c>
      <c r="N44" s="22" t="s">
        <v>98</v>
      </c>
      <c r="O44" s="9">
        <f>(VLOOKUP(L44,'[1]Simulation pricing per sub assy'!$D:$E,2,0))*M44</f>
        <v>88.186400000000035</v>
      </c>
      <c r="P44" s="23">
        <v>0</v>
      </c>
      <c r="Q44" s="23">
        <v>0</v>
      </c>
      <c r="R44" s="23" t="e">
        <v>#N/A</v>
      </c>
      <c r="S44" s="40">
        <v>0</v>
      </c>
      <c r="T44" s="24" t="s">
        <v>35</v>
      </c>
      <c r="U44" s="24">
        <v>1</v>
      </c>
      <c r="V44" s="24" t="s">
        <v>36</v>
      </c>
      <c r="W44" s="17">
        <f>(VLOOKUP(T44,'[1]Simulation pricing per sub assy'!$D:$E,2,0))*U44</f>
        <v>15.3</v>
      </c>
      <c r="X44" s="18" t="s">
        <v>614</v>
      </c>
      <c r="Y44" s="25">
        <v>1</v>
      </c>
      <c r="Z44" s="25" t="s">
        <v>37</v>
      </c>
      <c r="AA44" s="18">
        <f>(VLOOKUP(X44,'[1]Simulation pricing per sub assy'!$D:$E,2,0))*Y44</f>
        <v>2.2786008000000004</v>
      </c>
    </row>
    <row r="45" spans="1:27" s="3" customFormat="1" x14ac:dyDescent="0.35">
      <c r="A45" s="13" t="s">
        <v>1959</v>
      </c>
      <c r="B45" s="13" t="s">
        <v>1960</v>
      </c>
      <c r="C45" s="42">
        <f t="shared" si="0"/>
        <v>262.51500080000005</v>
      </c>
      <c r="D45" s="20" t="s">
        <v>43</v>
      </c>
      <c r="E45" s="20">
        <v>2</v>
      </c>
      <c r="F45" s="20" t="s">
        <v>3983</v>
      </c>
      <c r="G45" s="14">
        <f>(VLOOKUP(D45,'[1]BOM Info General'!$A:$L,12,0))*E45</f>
        <v>130.12</v>
      </c>
      <c r="H45" s="21" t="s">
        <v>41</v>
      </c>
      <c r="I45" s="21">
        <v>1</v>
      </c>
      <c r="J45" s="21" t="s">
        <v>47</v>
      </c>
      <c r="K45" s="15">
        <f>(VLOOKUP(H45,'[1]BOM Info General'!$A:$L,12,0))*I45</f>
        <v>27.18</v>
      </c>
      <c r="L45" s="22" t="s">
        <v>105</v>
      </c>
      <c r="M45" s="22">
        <v>1</v>
      </c>
      <c r="N45" s="22" t="s">
        <v>102</v>
      </c>
      <c r="O45" s="9">
        <f>(VLOOKUP(L45,'[1]Simulation pricing per sub assy'!$D:$E,2,0))*M45</f>
        <v>87.636400000000037</v>
      </c>
      <c r="P45" s="23">
        <v>0</v>
      </c>
      <c r="Q45" s="23">
        <v>0</v>
      </c>
      <c r="R45" s="23" t="e">
        <v>#N/A</v>
      </c>
      <c r="S45" s="40">
        <v>0</v>
      </c>
      <c r="T45" s="24" t="s">
        <v>35</v>
      </c>
      <c r="U45" s="24">
        <v>1</v>
      </c>
      <c r="V45" s="24" t="s">
        <v>36</v>
      </c>
      <c r="W45" s="17">
        <f>(VLOOKUP(T45,'[1]Simulation pricing per sub assy'!$D:$E,2,0))*U45</f>
        <v>15.3</v>
      </c>
      <c r="X45" s="18" t="s">
        <v>614</v>
      </c>
      <c r="Y45" s="25">
        <v>1</v>
      </c>
      <c r="Z45" s="25" t="s">
        <v>37</v>
      </c>
      <c r="AA45" s="18">
        <f>(VLOOKUP(X45,'[1]Simulation pricing per sub assy'!$D:$E,2,0))*Y45</f>
        <v>2.2786008000000004</v>
      </c>
    </row>
    <row r="46" spans="1:27" s="3" customFormat="1" x14ac:dyDescent="0.35">
      <c r="A46" s="13" t="s">
        <v>1963</v>
      </c>
      <c r="B46" s="13" t="s">
        <v>1964</v>
      </c>
      <c r="C46" s="42">
        <f t="shared" si="0"/>
        <v>263.06500080000006</v>
      </c>
      <c r="D46" s="20" t="s">
        <v>43</v>
      </c>
      <c r="E46" s="20">
        <v>2</v>
      </c>
      <c r="F46" s="20" t="s">
        <v>3983</v>
      </c>
      <c r="G46" s="14">
        <f>(VLOOKUP(D46,'[1]BOM Info General'!$A:$L,12,0))*E46</f>
        <v>130.12</v>
      </c>
      <c r="H46" s="21" t="s">
        <v>41</v>
      </c>
      <c r="I46" s="21">
        <v>1</v>
      </c>
      <c r="J46" s="21" t="s">
        <v>47</v>
      </c>
      <c r="K46" s="15">
        <f>(VLOOKUP(H46,'[1]BOM Info General'!$A:$L,12,0))*I46</f>
        <v>27.18</v>
      </c>
      <c r="L46" s="22" t="s">
        <v>101</v>
      </c>
      <c r="M46" s="22">
        <v>1</v>
      </c>
      <c r="N46" s="22" t="s">
        <v>104</v>
      </c>
      <c r="O46" s="9">
        <f>(VLOOKUP(L46,'[1]Simulation pricing per sub assy'!$D:$E,2,0))*M46</f>
        <v>88.186400000000035</v>
      </c>
      <c r="P46" s="23">
        <v>0</v>
      </c>
      <c r="Q46" s="23">
        <v>0</v>
      </c>
      <c r="R46" s="23" t="e">
        <v>#N/A</v>
      </c>
      <c r="S46" s="40">
        <v>0</v>
      </c>
      <c r="T46" s="24" t="s">
        <v>35</v>
      </c>
      <c r="U46" s="24">
        <v>1</v>
      </c>
      <c r="V46" s="24" t="s">
        <v>36</v>
      </c>
      <c r="W46" s="17">
        <f>(VLOOKUP(T46,'[1]Simulation pricing per sub assy'!$D:$E,2,0))*U46</f>
        <v>15.3</v>
      </c>
      <c r="X46" s="18" t="s">
        <v>614</v>
      </c>
      <c r="Y46" s="25">
        <v>1</v>
      </c>
      <c r="Z46" s="25" t="s">
        <v>37</v>
      </c>
      <c r="AA46" s="18">
        <f>(VLOOKUP(X46,'[1]Simulation pricing per sub assy'!$D:$E,2,0))*Y46</f>
        <v>2.2786008000000004</v>
      </c>
    </row>
    <row r="47" spans="1:27" s="3" customFormat="1" x14ac:dyDescent="0.35">
      <c r="A47" s="13" t="s">
        <v>511</v>
      </c>
      <c r="B47" s="13" t="s">
        <v>3999</v>
      </c>
      <c r="C47" s="42">
        <f t="shared" si="0"/>
        <v>268.06500080000006</v>
      </c>
      <c r="D47" s="14" t="s">
        <v>43</v>
      </c>
      <c r="E47" s="14">
        <v>2</v>
      </c>
      <c r="F47" s="14" t="s">
        <v>3983</v>
      </c>
      <c r="G47" s="14">
        <f>(VLOOKUP(D47,'[1]BOM Info General'!$A:$L,12,0))*E47</f>
        <v>130.12</v>
      </c>
      <c r="H47" s="15" t="s">
        <v>41</v>
      </c>
      <c r="I47" s="15">
        <v>1</v>
      </c>
      <c r="J47" s="15" t="s">
        <v>47</v>
      </c>
      <c r="K47" s="15">
        <f>(VLOOKUP(H47,'[1]BOM Info General'!$A:$L,12,0))*I47</f>
        <v>27.18</v>
      </c>
      <c r="L47" s="9" t="s">
        <v>526</v>
      </c>
      <c r="M47" s="9">
        <v>1</v>
      </c>
      <c r="N47" s="9" t="s">
        <v>106</v>
      </c>
      <c r="O47" s="9">
        <f>(VLOOKUP(L47,'[1]Simulation pricing per sub assy'!$D:$E,2,0))*M47</f>
        <v>93.186400000000035</v>
      </c>
      <c r="P47" s="16">
        <v>0</v>
      </c>
      <c r="Q47" s="16">
        <v>0</v>
      </c>
      <c r="R47" s="16" t="e">
        <v>#N/A</v>
      </c>
      <c r="S47" s="40">
        <v>0</v>
      </c>
      <c r="T47" s="17" t="s">
        <v>35</v>
      </c>
      <c r="U47" s="17">
        <v>1</v>
      </c>
      <c r="V47" s="17" t="s">
        <v>36</v>
      </c>
      <c r="W47" s="17">
        <f>(VLOOKUP(T47,'[1]Simulation pricing per sub assy'!$D:$E,2,0))*U47</f>
        <v>15.3</v>
      </c>
      <c r="X47" s="18" t="s">
        <v>614</v>
      </c>
      <c r="Y47" s="18">
        <v>1</v>
      </c>
      <c r="Z47" s="18" t="s">
        <v>37</v>
      </c>
      <c r="AA47" s="18">
        <f>(VLOOKUP(X47,'[1]Simulation pricing per sub assy'!$D:$E,2,0))*Y47</f>
        <v>2.2786008000000004</v>
      </c>
    </row>
    <row r="48" spans="1:27" s="3" customFormat="1" x14ac:dyDescent="0.35">
      <c r="A48" s="13" t="s">
        <v>503</v>
      </c>
      <c r="B48" s="13" t="s">
        <v>4000</v>
      </c>
      <c r="C48" s="42">
        <f t="shared" si="0"/>
        <v>263.06500080000006</v>
      </c>
      <c r="D48" s="14" t="s">
        <v>43</v>
      </c>
      <c r="E48" s="14">
        <v>2</v>
      </c>
      <c r="F48" s="14" t="s">
        <v>3983</v>
      </c>
      <c r="G48" s="14">
        <f>(VLOOKUP(D48,'[1]BOM Info General'!$A:$L,12,0))*E48</f>
        <v>130.12</v>
      </c>
      <c r="H48" s="15" t="s">
        <v>41</v>
      </c>
      <c r="I48" s="15">
        <v>1</v>
      </c>
      <c r="J48" s="15" t="s">
        <v>47</v>
      </c>
      <c r="K48" s="15">
        <f>(VLOOKUP(H48,'[1]BOM Info General'!$A:$L,12,0))*I48</f>
        <v>27.18</v>
      </c>
      <c r="L48" s="9" t="s">
        <v>103</v>
      </c>
      <c r="M48" s="9">
        <v>1</v>
      </c>
      <c r="N48" s="9" t="s">
        <v>100</v>
      </c>
      <c r="O48" s="9">
        <f>(VLOOKUP(L48,'[1]Simulation pricing per sub assy'!$D:$E,2,0))*M48</f>
        <v>88.186400000000035</v>
      </c>
      <c r="P48" s="16">
        <v>0</v>
      </c>
      <c r="Q48" s="16">
        <v>0</v>
      </c>
      <c r="R48" s="16" t="e">
        <v>#N/A</v>
      </c>
      <c r="S48" s="40">
        <v>0</v>
      </c>
      <c r="T48" s="17" t="s">
        <v>35</v>
      </c>
      <c r="U48" s="17">
        <v>1</v>
      </c>
      <c r="V48" s="17" t="s">
        <v>36</v>
      </c>
      <c r="W48" s="17">
        <f>(VLOOKUP(T48,'[1]Simulation pricing per sub assy'!$D:$E,2,0))*U48</f>
        <v>15.3</v>
      </c>
      <c r="X48" s="18" t="s">
        <v>614</v>
      </c>
      <c r="Y48" s="18">
        <v>1</v>
      </c>
      <c r="Z48" s="18" t="s">
        <v>37</v>
      </c>
      <c r="AA48" s="18">
        <f>(VLOOKUP(X48,'[1]Simulation pricing per sub assy'!$D:$E,2,0))*Y48</f>
        <v>2.2786008000000004</v>
      </c>
    </row>
    <row r="49" spans="1:27" s="3" customFormat="1" x14ac:dyDescent="0.35">
      <c r="A49" s="13" t="s">
        <v>507</v>
      </c>
      <c r="B49" s="13" t="s">
        <v>4001</v>
      </c>
      <c r="C49" s="42">
        <f t="shared" si="0"/>
        <v>263.06500080000006</v>
      </c>
      <c r="D49" s="14" t="s">
        <v>43</v>
      </c>
      <c r="E49" s="14">
        <v>2</v>
      </c>
      <c r="F49" s="14" t="s">
        <v>3983</v>
      </c>
      <c r="G49" s="14">
        <f>(VLOOKUP(D49,'[1]BOM Info General'!$A:$L,12,0))*E49</f>
        <v>130.12</v>
      </c>
      <c r="H49" s="15" t="s">
        <v>41</v>
      </c>
      <c r="I49" s="15">
        <v>1</v>
      </c>
      <c r="J49" s="15" t="s">
        <v>47</v>
      </c>
      <c r="K49" s="15">
        <f>(VLOOKUP(H49,'[1]BOM Info General'!$A:$L,12,0))*I49</f>
        <v>27.18</v>
      </c>
      <c r="L49" s="9" t="s">
        <v>99</v>
      </c>
      <c r="M49" s="9">
        <v>1</v>
      </c>
      <c r="N49" s="9" t="s">
        <v>98</v>
      </c>
      <c r="O49" s="9">
        <f>(VLOOKUP(L49,'[1]Simulation pricing per sub assy'!$D:$E,2,0))*M49</f>
        <v>88.186400000000035</v>
      </c>
      <c r="P49" s="16">
        <v>0</v>
      </c>
      <c r="Q49" s="16">
        <v>0</v>
      </c>
      <c r="R49" s="16" t="e">
        <v>#N/A</v>
      </c>
      <c r="S49" s="40">
        <v>0</v>
      </c>
      <c r="T49" s="17" t="s">
        <v>35</v>
      </c>
      <c r="U49" s="17">
        <v>1</v>
      </c>
      <c r="V49" s="17" t="s">
        <v>36</v>
      </c>
      <c r="W49" s="17">
        <f>(VLOOKUP(T49,'[1]Simulation pricing per sub assy'!$D:$E,2,0))*U49</f>
        <v>15.3</v>
      </c>
      <c r="X49" s="18" t="s">
        <v>614</v>
      </c>
      <c r="Y49" s="18">
        <v>1</v>
      </c>
      <c r="Z49" s="18" t="s">
        <v>37</v>
      </c>
      <c r="AA49" s="18">
        <f>(VLOOKUP(X49,'[1]Simulation pricing per sub assy'!$D:$E,2,0))*Y49</f>
        <v>2.2786008000000004</v>
      </c>
    </row>
    <row r="50" spans="1:27" s="3" customFormat="1" x14ac:dyDescent="0.35">
      <c r="A50" s="13" t="s">
        <v>505</v>
      </c>
      <c r="B50" s="13" t="s">
        <v>4002</v>
      </c>
      <c r="C50" s="42">
        <f t="shared" si="0"/>
        <v>262.51500080000005</v>
      </c>
      <c r="D50" s="14" t="s">
        <v>43</v>
      </c>
      <c r="E50" s="14">
        <v>2</v>
      </c>
      <c r="F50" s="14" t="s">
        <v>3983</v>
      </c>
      <c r="G50" s="14">
        <f>(VLOOKUP(D50,'[1]BOM Info General'!$A:$L,12,0))*E50</f>
        <v>130.12</v>
      </c>
      <c r="H50" s="15" t="s">
        <v>41</v>
      </c>
      <c r="I50" s="15">
        <v>1</v>
      </c>
      <c r="J50" s="15" t="s">
        <v>47</v>
      </c>
      <c r="K50" s="15">
        <f>(VLOOKUP(H50,'[1]BOM Info General'!$A:$L,12,0))*I50</f>
        <v>27.18</v>
      </c>
      <c r="L50" s="9" t="s">
        <v>105</v>
      </c>
      <c r="M50" s="9">
        <v>1</v>
      </c>
      <c r="N50" s="9" t="s">
        <v>102</v>
      </c>
      <c r="O50" s="9">
        <f>(VLOOKUP(L50,'[1]Simulation pricing per sub assy'!$D:$E,2,0))*M50</f>
        <v>87.636400000000037</v>
      </c>
      <c r="P50" s="16">
        <v>0</v>
      </c>
      <c r="Q50" s="16">
        <v>0</v>
      </c>
      <c r="R50" s="16" t="e">
        <v>#N/A</v>
      </c>
      <c r="S50" s="40">
        <v>0</v>
      </c>
      <c r="T50" s="17" t="s">
        <v>35</v>
      </c>
      <c r="U50" s="17">
        <v>1</v>
      </c>
      <c r="V50" s="17" t="s">
        <v>36</v>
      </c>
      <c r="W50" s="17">
        <f>(VLOOKUP(T50,'[1]Simulation pricing per sub assy'!$D:$E,2,0))*U50</f>
        <v>15.3</v>
      </c>
      <c r="X50" s="18" t="s">
        <v>614</v>
      </c>
      <c r="Y50" s="18">
        <v>1</v>
      </c>
      <c r="Z50" s="18" t="s">
        <v>37</v>
      </c>
      <c r="AA50" s="18">
        <f>(VLOOKUP(X50,'[1]Simulation pricing per sub assy'!$D:$E,2,0))*Y50</f>
        <v>2.2786008000000004</v>
      </c>
    </row>
    <row r="51" spans="1:27" s="3" customFormat="1" x14ac:dyDescent="0.35">
      <c r="A51" s="13" t="s">
        <v>509</v>
      </c>
      <c r="B51" s="13" t="s">
        <v>4003</v>
      </c>
      <c r="C51" s="42">
        <f t="shared" si="0"/>
        <v>263.06500080000006</v>
      </c>
      <c r="D51" s="14" t="s">
        <v>43</v>
      </c>
      <c r="E51" s="14">
        <v>2</v>
      </c>
      <c r="F51" s="14" t="s">
        <v>3983</v>
      </c>
      <c r="G51" s="14">
        <f>(VLOOKUP(D51,'[1]BOM Info General'!$A:$L,12,0))*E51</f>
        <v>130.12</v>
      </c>
      <c r="H51" s="15" t="s">
        <v>41</v>
      </c>
      <c r="I51" s="15">
        <v>1</v>
      </c>
      <c r="J51" s="15" t="s">
        <v>47</v>
      </c>
      <c r="K51" s="15">
        <f>(VLOOKUP(H51,'[1]BOM Info General'!$A:$L,12,0))*I51</f>
        <v>27.18</v>
      </c>
      <c r="L51" s="9" t="s">
        <v>101</v>
      </c>
      <c r="M51" s="9">
        <v>1</v>
      </c>
      <c r="N51" s="9" t="s">
        <v>104</v>
      </c>
      <c r="O51" s="9">
        <f>(VLOOKUP(L51,'[1]Simulation pricing per sub assy'!$D:$E,2,0))*M51</f>
        <v>88.186400000000035</v>
      </c>
      <c r="P51" s="16">
        <v>0</v>
      </c>
      <c r="Q51" s="16">
        <v>0</v>
      </c>
      <c r="R51" s="16" t="e">
        <v>#N/A</v>
      </c>
      <c r="S51" s="40">
        <v>0</v>
      </c>
      <c r="T51" s="17" t="s">
        <v>35</v>
      </c>
      <c r="U51" s="17">
        <v>1</v>
      </c>
      <c r="V51" s="17" t="s">
        <v>36</v>
      </c>
      <c r="W51" s="17">
        <f>(VLOOKUP(T51,'[1]Simulation pricing per sub assy'!$D:$E,2,0))*U51</f>
        <v>15.3</v>
      </c>
      <c r="X51" s="18" t="s">
        <v>614</v>
      </c>
      <c r="Y51" s="18">
        <v>1</v>
      </c>
      <c r="Z51" s="18" t="s">
        <v>37</v>
      </c>
      <c r="AA51" s="18">
        <f>(VLOOKUP(X51,'[1]Simulation pricing per sub assy'!$D:$E,2,0))*Y51</f>
        <v>2.2786008000000004</v>
      </c>
    </row>
    <row r="52" spans="1:27" s="3" customFormat="1" x14ac:dyDescent="0.35">
      <c r="A52" s="13" t="s">
        <v>501</v>
      </c>
      <c r="B52" s="13" t="s">
        <v>4004</v>
      </c>
      <c r="C52" s="42">
        <f t="shared" si="0"/>
        <v>117.8700108</v>
      </c>
      <c r="D52" s="14" t="s">
        <v>42</v>
      </c>
      <c r="E52" s="14">
        <v>1</v>
      </c>
      <c r="F52" s="14" t="s">
        <v>3982</v>
      </c>
      <c r="G52" s="14">
        <f>(VLOOKUP(D52,'[1]BOM Info General'!$A:$L,12,0))*E52</f>
        <v>35.56</v>
      </c>
      <c r="H52" s="15" t="s">
        <v>39</v>
      </c>
      <c r="I52" s="15">
        <v>1</v>
      </c>
      <c r="J52" s="15" t="s">
        <v>46</v>
      </c>
      <c r="K52" s="15">
        <f>(VLOOKUP(H52,'[1]BOM Info General'!$A:$L,12,0))*I52</f>
        <v>24.42</v>
      </c>
      <c r="L52" s="9" t="s">
        <v>529</v>
      </c>
      <c r="M52" s="9">
        <v>1</v>
      </c>
      <c r="N52" s="9" t="s">
        <v>115</v>
      </c>
      <c r="O52" s="9">
        <f>(VLOOKUP(L52,'[1]Simulation pricing per sub assy'!$D:$E,2,0))*M52</f>
        <v>48.118799999999993</v>
      </c>
      <c r="P52" s="16">
        <v>0</v>
      </c>
      <c r="Q52" s="16">
        <v>0</v>
      </c>
      <c r="R52" s="16" t="e">
        <v>#N/A</v>
      </c>
      <c r="S52" s="40">
        <v>0</v>
      </c>
      <c r="T52" s="17" t="s">
        <v>32</v>
      </c>
      <c r="U52" s="17">
        <v>1</v>
      </c>
      <c r="V52" s="17" t="s">
        <v>33</v>
      </c>
      <c r="W52" s="17">
        <f>(VLOOKUP(T52,'[1]Simulation pricing per sub assy'!$D:$E,2,0))*U52</f>
        <v>8.51</v>
      </c>
      <c r="X52" s="18" t="s">
        <v>613</v>
      </c>
      <c r="Y52" s="18">
        <v>1</v>
      </c>
      <c r="Z52" s="18" t="s">
        <v>34</v>
      </c>
      <c r="AA52" s="18">
        <f>(VLOOKUP(X52,'[1]Simulation pricing per sub assy'!$D:$E,2,0))*Y52</f>
        <v>1.2612108000000002</v>
      </c>
    </row>
    <row r="53" spans="1:27" s="3" customFormat="1" x14ac:dyDescent="0.35">
      <c r="A53" s="13" t="s">
        <v>485</v>
      </c>
      <c r="B53" s="13" t="s">
        <v>4005</v>
      </c>
      <c r="C53" s="42">
        <f t="shared" si="0"/>
        <v>112.7500108</v>
      </c>
      <c r="D53" s="14" t="s">
        <v>42</v>
      </c>
      <c r="E53" s="14">
        <v>1</v>
      </c>
      <c r="F53" s="14" t="s">
        <v>3982</v>
      </c>
      <c r="G53" s="14">
        <f>(VLOOKUP(D53,'[1]BOM Info General'!$A:$L,12,0))*E53</f>
        <v>35.56</v>
      </c>
      <c r="H53" s="15" t="s">
        <v>39</v>
      </c>
      <c r="I53" s="15">
        <v>1</v>
      </c>
      <c r="J53" s="15" t="s">
        <v>46</v>
      </c>
      <c r="K53" s="15">
        <f>(VLOOKUP(H53,'[1]BOM Info General'!$A:$L,12,0))*I53</f>
        <v>24.42</v>
      </c>
      <c r="L53" s="9" t="s">
        <v>112</v>
      </c>
      <c r="M53" s="9">
        <v>1</v>
      </c>
      <c r="N53" s="9" t="s">
        <v>109</v>
      </c>
      <c r="O53" s="9">
        <f>(VLOOKUP(L53,'[1]Simulation pricing per sub assy'!$D:$E,2,0))*M53</f>
        <v>42.998799999999989</v>
      </c>
      <c r="P53" s="16">
        <v>0</v>
      </c>
      <c r="Q53" s="16">
        <v>0</v>
      </c>
      <c r="R53" s="16" t="e">
        <v>#N/A</v>
      </c>
      <c r="S53" s="40">
        <v>0</v>
      </c>
      <c r="T53" s="17" t="s">
        <v>32</v>
      </c>
      <c r="U53" s="17">
        <v>1</v>
      </c>
      <c r="V53" s="17" t="s">
        <v>33</v>
      </c>
      <c r="W53" s="17">
        <f>(VLOOKUP(T53,'[1]Simulation pricing per sub assy'!$D:$E,2,0))*U53</f>
        <v>8.51</v>
      </c>
      <c r="X53" s="18" t="s">
        <v>613</v>
      </c>
      <c r="Y53" s="18">
        <v>1</v>
      </c>
      <c r="Z53" s="18" t="s">
        <v>34</v>
      </c>
      <c r="AA53" s="18">
        <f>(VLOOKUP(X53,'[1]Simulation pricing per sub assy'!$D:$E,2,0))*Y53</f>
        <v>1.2612108000000002</v>
      </c>
    </row>
    <row r="54" spans="1:27" s="3" customFormat="1" x14ac:dyDescent="0.35">
      <c r="A54" s="13" t="s">
        <v>499</v>
      </c>
      <c r="B54" s="13" t="s">
        <v>4006</v>
      </c>
      <c r="C54" s="42">
        <f t="shared" si="0"/>
        <v>112.8700108</v>
      </c>
      <c r="D54" s="14" t="s">
        <v>42</v>
      </c>
      <c r="E54" s="14">
        <v>1</v>
      </c>
      <c r="F54" s="14" t="s">
        <v>3982</v>
      </c>
      <c r="G54" s="14">
        <f>(VLOOKUP(D54,'[1]BOM Info General'!$A:$L,12,0))*E54</f>
        <v>35.56</v>
      </c>
      <c r="H54" s="15" t="s">
        <v>39</v>
      </c>
      <c r="I54" s="15">
        <v>1</v>
      </c>
      <c r="J54" s="15" t="s">
        <v>46</v>
      </c>
      <c r="K54" s="15">
        <f>(VLOOKUP(H54,'[1]BOM Info General'!$A:$L,12,0))*I54</f>
        <v>24.42</v>
      </c>
      <c r="L54" s="9" t="s">
        <v>108</v>
      </c>
      <c r="M54" s="9">
        <v>1</v>
      </c>
      <c r="N54" s="9" t="s">
        <v>107</v>
      </c>
      <c r="O54" s="9">
        <f>(VLOOKUP(L54,'[1]Simulation pricing per sub assy'!$D:$E,2,0))*M54</f>
        <v>43.118799999999993</v>
      </c>
      <c r="P54" s="16">
        <v>0</v>
      </c>
      <c r="Q54" s="16">
        <v>0</v>
      </c>
      <c r="R54" s="16" t="e">
        <v>#N/A</v>
      </c>
      <c r="S54" s="40">
        <v>0</v>
      </c>
      <c r="T54" s="17" t="s">
        <v>32</v>
      </c>
      <c r="U54" s="17">
        <v>1</v>
      </c>
      <c r="V54" s="17" t="s">
        <v>33</v>
      </c>
      <c r="W54" s="17">
        <f>(VLOOKUP(T54,'[1]Simulation pricing per sub assy'!$D:$E,2,0))*U54</f>
        <v>8.51</v>
      </c>
      <c r="X54" s="18" t="s">
        <v>613</v>
      </c>
      <c r="Y54" s="18">
        <v>1</v>
      </c>
      <c r="Z54" s="18" t="s">
        <v>34</v>
      </c>
      <c r="AA54" s="18">
        <f>(VLOOKUP(X54,'[1]Simulation pricing per sub assy'!$D:$E,2,0))*Y54</f>
        <v>1.2612108000000002</v>
      </c>
    </row>
    <row r="55" spans="1:27" s="3" customFormat="1" x14ac:dyDescent="0.35">
      <c r="A55" s="13" t="s">
        <v>492</v>
      </c>
      <c r="B55" s="13" t="s">
        <v>4007</v>
      </c>
      <c r="C55" s="42">
        <f t="shared" si="0"/>
        <v>112.7200108</v>
      </c>
      <c r="D55" s="14" t="s">
        <v>42</v>
      </c>
      <c r="E55" s="14">
        <v>1</v>
      </c>
      <c r="F55" s="14" t="s">
        <v>3982</v>
      </c>
      <c r="G55" s="14">
        <f>(VLOOKUP(D55,'[1]BOM Info General'!$A:$L,12,0))*E55</f>
        <v>35.56</v>
      </c>
      <c r="H55" s="15" t="s">
        <v>39</v>
      </c>
      <c r="I55" s="15">
        <v>1</v>
      </c>
      <c r="J55" s="15" t="s">
        <v>46</v>
      </c>
      <c r="K55" s="15">
        <f>(VLOOKUP(H55,'[1]BOM Info General'!$A:$L,12,0))*I55</f>
        <v>24.42</v>
      </c>
      <c r="L55" s="9" t="s">
        <v>114</v>
      </c>
      <c r="M55" s="9">
        <v>1</v>
      </c>
      <c r="N55" s="9" t="s">
        <v>111</v>
      </c>
      <c r="O55" s="9">
        <f>(VLOOKUP(L55,'[1]Simulation pricing per sub assy'!$D:$E,2,0))*M55</f>
        <v>42.968799999999987</v>
      </c>
      <c r="P55" s="16">
        <v>0</v>
      </c>
      <c r="Q55" s="16">
        <v>0</v>
      </c>
      <c r="R55" s="16" t="e">
        <v>#N/A</v>
      </c>
      <c r="S55" s="40">
        <v>0</v>
      </c>
      <c r="T55" s="17" t="s">
        <v>32</v>
      </c>
      <c r="U55" s="17">
        <v>1</v>
      </c>
      <c r="V55" s="17" t="s">
        <v>33</v>
      </c>
      <c r="W55" s="17">
        <f>(VLOOKUP(T55,'[1]Simulation pricing per sub assy'!$D:$E,2,0))*U55</f>
        <v>8.51</v>
      </c>
      <c r="X55" s="18" t="s">
        <v>613</v>
      </c>
      <c r="Y55" s="18">
        <v>1</v>
      </c>
      <c r="Z55" s="18" t="s">
        <v>34</v>
      </c>
      <c r="AA55" s="18">
        <f>(VLOOKUP(X55,'[1]Simulation pricing per sub assy'!$D:$E,2,0))*Y55</f>
        <v>1.2612108000000002</v>
      </c>
    </row>
    <row r="56" spans="1:27" s="3" customFormat="1" x14ac:dyDescent="0.35">
      <c r="A56" s="13" t="s">
        <v>500</v>
      </c>
      <c r="B56" s="13" t="s">
        <v>4008</v>
      </c>
      <c r="C56" s="42">
        <f t="shared" si="0"/>
        <v>112.8700108</v>
      </c>
      <c r="D56" s="14" t="s">
        <v>42</v>
      </c>
      <c r="E56" s="14">
        <v>1</v>
      </c>
      <c r="F56" s="14" t="s">
        <v>3982</v>
      </c>
      <c r="G56" s="14">
        <f>(VLOOKUP(D56,'[1]BOM Info General'!$A:$L,12,0))*E56</f>
        <v>35.56</v>
      </c>
      <c r="H56" s="15" t="s">
        <v>39</v>
      </c>
      <c r="I56" s="15">
        <v>1</v>
      </c>
      <c r="J56" s="15" t="s">
        <v>46</v>
      </c>
      <c r="K56" s="15">
        <f>(VLOOKUP(H56,'[1]BOM Info General'!$A:$L,12,0))*I56</f>
        <v>24.42</v>
      </c>
      <c r="L56" s="9" t="s">
        <v>110</v>
      </c>
      <c r="M56" s="9">
        <v>1</v>
      </c>
      <c r="N56" s="9" t="s">
        <v>113</v>
      </c>
      <c r="O56" s="9">
        <f>(VLOOKUP(L56,'[1]Simulation pricing per sub assy'!$D:$E,2,0))*M56</f>
        <v>43.118799999999993</v>
      </c>
      <c r="P56" s="16">
        <v>0</v>
      </c>
      <c r="Q56" s="16">
        <v>0</v>
      </c>
      <c r="R56" s="16" t="e">
        <v>#N/A</v>
      </c>
      <c r="S56" s="40">
        <v>0</v>
      </c>
      <c r="T56" s="17" t="s">
        <v>32</v>
      </c>
      <c r="U56" s="17">
        <v>1</v>
      </c>
      <c r="V56" s="17" t="s">
        <v>33</v>
      </c>
      <c r="W56" s="17">
        <f>(VLOOKUP(T56,'[1]Simulation pricing per sub assy'!$D:$E,2,0))*U56</f>
        <v>8.51</v>
      </c>
      <c r="X56" s="18" t="s">
        <v>613</v>
      </c>
      <c r="Y56" s="18">
        <v>1</v>
      </c>
      <c r="Z56" s="18" t="s">
        <v>34</v>
      </c>
      <c r="AA56" s="18">
        <f>(VLOOKUP(X56,'[1]Simulation pricing per sub assy'!$D:$E,2,0))*Y56</f>
        <v>1.2612108000000002</v>
      </c>
    </row>
    <row r="57" spans="1:27" s="3" customFormat="1" x14ac:dyDescent="0.35">
      <c r="A57" s="13" t="s">
        <v>2035</v>
      </c>
      <c r="B57" s="13" t="s">
        <v>2036</v>
      </c>
      <c r="C57" s="42">
        <f t="shared" si="0"/>
        <v>117.8700108</v>
      </c>
      <c r="D57" s="20" t="s">
        <v>42</v>
      </c>
      <c r="E57" s="20">
        <v>1</v>
      </c>
      <c r="F57" s="20" t="s">
        <v>3982</v>
      </c>
      <c r="G57" s="14">
        <f>(VLOOKUP(D57,'[1]BOM Info General'!$A:$L,12,0))*E57</f>
        <v>35.56</v>
      </c>
      <c r="H57" s="21" t="s">
        <v>39</v>
      </c>
      <c r="I57" s="21">
        <v>1</v>
      </c>
      <c r="J57" s="21" t="s">
        <v>46</v>
      </c>
      <c r="K57" s="15">
        <f>(VLOOKUP(H57,'[1]BOM Info General'!$A:$L,12,0))*I57</f>
        <v>24.42</v>
      </c>
      <c r="L57" s="22" t="s">
        <v>529</v>
      </c>
      <c r="M57" s="22">
        <v>1</v>
      </c>
      <c r="N57" s="22" t="s">
        <v>115</v>
      </c>
      <c r="O57" s="9">
        <f>(VLOOKUP(L57,'[1]Simulation pricing per sub assy'!$D:$E,2,0))*M57</f>
        <v>48.118799999999993</v>
      </c>
      <c r="P57" s="23">
        <v>0</v>
      </c>
      <c r="Q57" s="23">
        <v>0</v>
      </c>
      <c r="R57" s="23" t="e">
        <v>#N/A</v>
      </c>
      <c r="S57" s="40">
        <v>0</v>
      </c>
      <c r="T57" s="24" t="s">
        <v>32</v>
      </c>
      <c r="U57" s="24">
        <v>1</v>
      </c>
      <c r="V57" s="24" t="s">
        <v>33</v>
      </c>
      <c r="W57" s="17">
        <f>(VLOOKUP(T57,'[1]Simulation pricing per sub assy'!$D:$E,2,0))*U57</f>
        <v>8.51</v>
      </c>
      <c r="X57" s="18" t="s">
        <v>613</v>
      </c>
      <c r="Y57" s="25">
        <v>1</v>
      </c>
      <c r="Z57" s="25" t="s">
        <v>34</v>
      </c>
      <c r="AA57" s="18">
        <f>(VLOOKUP(X57,'[1]Simulation pricing per sub assy'!$D:$E,2,0))*Y57</f>
        <v>1.2612108000000002</v>
      </c>
    </row>
    <row r="58" spans="1:27" s="3" customFormat="1" x14ac:dyDescent="0.35">
      <c r="A58" s="13" t="s">
        <v>2027</v>
      </c>
      <c r="B58" s="13" t="s">
        <v>2028</v>
      </c>
      <c r="C58" s="42">
        <f t="shared" si="0"/>
        <v>112.7500108</v>
      </c>
      <c r="D58" s="20" t="s">
        <v>42</v>
      </c>
      <c r="E58" s="20">
        <v>1</v>
      </c>
      <c r="F58" s="20" t="s">
        <v>3982</v>
      </c>
      <c r="G58" s="14">
        <f>(VLOOKUP(D58,'[1]BOM Info General'!$A:$L,12,0))*E58</f>
        <v>35.56</v>
      </c>
      <c r="H58" s="21" t="s">
        <v>39</v>
      </c>
      <c r="I58" s="21">
        <v>1</v>
      </c>
      <c r="J58" s="21" t="s">
        <v>46</v>
      </c>
      <c r="K58" s="15">
        <f>(VLOOKUP(H58,'[1]BOM Info General'!$A:$L,12,0))*I58</f>
        <v>24.42</v>
      </c>
      <c r="L58" s="22" t="s">
        <v>112</v>
      </c>
      <c r="M58" s="22">
        <v>1</v>
      </c>
      <c r="N58" s="22" t="s">
        <v>109</v>
      </c>
      <c r="O58" s="9">
        <f>(VLOOKUP(L58,'[1]Simulation pricing per sub assy'!$D:$E,2,0))*M58</f>
        <v>42.998799999999989</v>
      </c>
      <c r="P58" s="23">
        <v>0</v>
      </c>
      <c r="Q58" s="23">
        <v>0</v>
      </c>
      <c r="R58" s="23" t="e">
        <v>#N/A</v>
      </c>
      <c r="S58" s="40">
        <v>0</v>
      </c>
      <c r="T58" s="24" t="s">
        <v>32</v>
      </c>
      <c r="U58" s="24">
        <v>1</v>
      </c>
      <c r="V58" s="24" t="s">
        <v>33</v>
      </c>
      <c r="W58" s="17">
        <f>(VLOOKUP(T58,'[1]Simulation pricing per sub assy'!$D:$E,2,0))*U58</f>
        <v>8.51</v>
      </c>
      <c r="X58" s="18" t="s">
        <v>613</v>
      </c>
      <c r="Y58" s="25">
        <v>1</v>
      </c>
      <c r="Z58" s="25" t="s">
        <v>34</v>
      </c>
      <c r="AA58" s="18">
        <f>(VLOOKUP(X58,'[1]Simulation pricing per sub assy'!$D:$E,2,0))*Y58</f>
        <v>1.2612108000000002</v>
      </c>
    </row>
    <row r="59" spans="1:27" s="3" customFormat="1" x14ac:dyDescent="0.35">
      <c r="A59" s="13" t="s">
        <v>2031</v>
      </c>
      <c r="B59" s="13" t="s">
        <v>2032</v>
      </c>
      <c r="C59" s="42">
        <f t="shared" si="0"/>
        <v>112.8700108</v>
      </c>
      <c r="D59" s="20" t="s">
        <v>42</v>
      </c>
      <c r="E59" s="20">
        <v>1</v>
      </c>
      <c r="F59" s="20" t="s">
        <v>3982</v>
      </c>
      <c r="G59" s="14">
        <f>(VLOOKUP(D59,'[1]BOM Info General'!$A:$L,12,0))*E59</f>
        <v>35.56</v>
      </c>
      <c r="H59" s="21" t="s">
        <v>39</v>
      </c>
      <c r="I59" s="21">
        <v>1</v>
      </c>
      <c r="J59" s="21" t="s">
        <v>46</v>
      </c>
      <c r="K59" s="15">
        <f>(VLOOKUP(H59,'[1]BOM Info General'!$A:$L,12,0))*I59</f>
        <v>24.42</v>
      </c>
      <c r="L59" s="22" t="s">
        <v>108</v>
      </c>
      <c r="M59" s="22">
        <v>1</v>
      </c>
      <c r="N59" s="22" t="s">
        <v>107</v>
      </c>
      <c r="O59" s="9">
        <f>(VLOOKUP(L59,'[1]Simulation pricing per sub assy'!$D:$E,2,0))*M59</f>
        <v>43.118799999999993</v>
      </c>
      <c r="P59" s="23">
        <v>0</v>
      </c>
      <c r="Q59" s="23">
        <v>0</v>
      </c>
      <c r="R59" s="23" t="e">
        <v>#N/A</v>
      </c>
      <c r="S59" s="40">
        <v>0</v>
      </c>
      <c r="T59" s="24" t="s">
        <v>32</v>
      </c>
      <c r="U59" s="24">
        <v>1</v>
      </c>
      <c r="V59" s="24" t="s">
        <v>33</v>
      </c>
      <c r="W59" s="17">
        <f>(VLOOKUP(T59,'[1]Simulation pricing per sub assy'!$D:$E,2,0))*U59</f>
        <v>8.51</v>
      </c>
      <c r="X59" s="18" t="s">
        <v>613</v>
      </c>
      <c r="Y59" s="25">
        <v>1</v>
      </c>
      <c r="Z59" s="25" t="s">
        <v>34</v>
      </c>
      <c r="AA59" s="18">
        <f>(VLOOKUP(X59,'[1]Simulation pricing per sub assy'!$D:$E,2,0))*Y59</f>
        <v>1.2612108000000002</v>
      </c>
    </row>
    <row r="60" spans="1:27" s="3" customFormat="1" x14ac:dyDescent="0.35">
      <c r="A60" s="13" t="s">
        <v>2029</v>
      </c>
      <c r="B60" s="13" t="s">
        <v>2030</v>
      </c>
      <c r="C60" s="42">
        <f t="shared" si="0"/>
        <v>112.7200108</v>
      </c>
      <c r="D60" s="20" t="s">
        <v>42</v>
      </c>
      <c r="E60" s="20">
        <v>1</v>
      </c>
      <c r="F60" s="20" t="s">
        <v>3982</v>
      </c>
      <c r="G60" s="14">
        <f>(VLOOKUP(D60,'[1]BOM Info General'!$A:$L,12,0))*E60</f>
        <v>35.56</v>
      </c>
      <c r="H60" s="21" t="s">
        <v>39</v>
      </c>
      <c r="I60" s="21">
        <v>1</v>
      </c>
      <c r="J60" s="21" t="s">
        <v>46</v>
      </c>
      <c r="K60" s="15">
        <f>(VLOOKUP(H60,'[1]BOM Info General'!$A:$L,12,0))*I60</f>
        <v>24.42</v>
      </c>
      <c r="L60" s="22" t="s">
        <v>114</v>
      </c>
      <c r="M60" s="22">
        <v>1</v>
      </c>
      <c r="N60" s="22" t="s">
        <v>111</v>
      </c>
      <c r="O60" s="9">
        <f>(VLOOKUP(L60,'[1]Simulation pricing per sub assy'!$D:$E,2,0))*M60</f>
        <v>42.968799999999987</v>
      </c>
      <c r="P60" s="23">
        <v>0</v>
      </c>
      <c r="Q60" s="23">
        <v>0</v>
      </c>
      <c r="R60" s="23" t="e">
        <v>#N/A</v>
      </c>
      <c r="S60" s="40">
        <v>0</v>
      </c>
      <c r="T60" s="24" t="s">
        <v>32</v>
      </c>
      <c r="U60" s="24">
        <v>1</v>
      </c>
      <c r="V60" s="24" t="s">
        <v>33</v>
      </c>
      <c r="W60" s="17">
        <f>(VLOOKUP(T60,'[1]Simulation pricing per sub assy'!$D:$E,2,0))*U60</f>
        <v>8.51</v>
      </c>
      <c r="X60" s="18" t="s">
        <v>613</v>
      </c>
      <c r="Y60" s="25">
        <v>1</v>
      </c>
      <c r="Z60" s="25" t="s">
        <v>34</v>
      </c>
      <c r="AA60" s="18">
        <f>(VLOOKUP(X60,'[1]Simulation pricing per sub assy'!$D:$E,2,0))*Y60</f>
        <v>1.2612108000000002</v>
      </c>
    </row>
    <row r="61" spans="1:27" s="3" customFormat="1" x14ac:dyDescent="0.35">
      <c r="A61" s="13" t="s">
        <v>2033</v>
      </c>
      <c r="B61" s="13" t="s">
        <v>2034</v>
      </c>
      <c r="C61" s="42">
        <f t="shared" si="0"/>
        <v>112.8700108</v>
      </c>
      <c r="D61" s="20" t="s">
        <v>42</v>
      </c>
      <c r="E61" s="20">
        <v>1</v>
      </c>
      <c r="F61" s="20" t="s">
        <v>3982</v>
      </c>
      <c r="G61" s="14">
        <f>(VLOOKUP(D61,'[1]BOM Info General'!$A:$L,12,0))*E61</f>
        <v>35.56</v>
      </c>
      <c r="H61" s="21" t="s">
        <v>39</v>
      </c>
      <c r="I61" s="21">
        <v>1</v>
      </c>
      <c r="J61" s="21" t="s">
        <v>46</v>
      </c>
      <c r="K61" s="15">
        <f>(VLOOKUP(H61,'[1]BOM Info General'!$A:$L,12,0))*I61</f>
        <v>24.42</v>
      </c>
      <c r="L61" s="22" t="s">
        <v>110</v>
      </c>
      <c r="M61" s="22">
        <v>1</v>
      </c>
      <c r="N61" s="22" t="s">
        <v>113</v>
      </c>
      <c r="O61" s="9">
        <f>(VLOOKUP(L61,'[1]Simulation pricing per sub assy'!$D:$E,2,0))*M61</f>
        <v>43.118799999999993</v>
      </c>
      <c r="P61" s="23">
        <v>0</v>
      </c>
      <c r="Q61" s="23">
        <v>0</v>
      </c>
      <c r="R61" s="23" t="e">
        <v>#N/A</v>
      </c>
      <c r="S61" s="40">
        <v>0</v>
      </c>
      <c r="T61" s="24" t="s">
        <v>32</v>
      </c>
      <c r="U61" s="24">
        <v>1</v>
      </c>
      <c r="V61" s="24" t="s">
        <v>33</v>
      </c>
      <c r="W61" s="17">
        <f>(VLOOKUP(T61,'[1]Simulation pricing per sub assy'!$D:$E,2,0))*U61</f>
        <v>8.51</v>
      </c>
      <c r="X61" s="18" t="s">
        <v>613</v>
      </c>
      <c r="Y61" s="25">
        <v>1</v>
      </c>
      <c r="Z61" s="25" t="s">
        <v>34</v>
      </c>
      <c r="AA61" s="18">
        <f>(VLOOKUP(X61,'[1]Simulation pricing per sub assy'!$D:$E,2,0))*Y61</f>
        <v>1.2612108000000002</v>
      </c>
    </row>
    <row r="62" spans="1:27" s="3" customFormat="1" x14ac:dyDescent="0.35">
      <c r="A62" s="13" t="s">
        <v>2045</v>
      </c>
      <c r="B62" s="13" t="s">
        <v>2046</v>
      </c>
      <c r="C62" s="42">
        <f t="shared" si="0"/>
        <v>117.8700108</v>
      </c>
      <c r="D62" s="20" t="s">
        <v>42</v>
      </c>
      <c r="E62" s="20">
        <v>1</v>
      </c>
      <c r="F62" s="20" t="s">
        <v>3982</v>
      </c>
      <c r="G62" s="14">
        <f>(VLOOKUP(D62,'[1]BOM Info General'!$A:$L,12,0))*E62</f>
        <v>35.56</v>
      </c>
      <c r="H62" s="21" t="s">
        <v>39</v>
      </c>
      <c r="I62" s="21">
        <v>1</v>
      </c>
      <c r="J62" s="21" t="s">
        <v>46</v>
      </c>
      <c r="K62" s="15">
        <f>(VLOOKUP(H62,'[1]BOM Info General'!$A:$L,12,0))*I62</f>
        <v>24.42</v>
      </c>
      <c r="L62" s="22" t="s">
        <v>529</v>
      </c>
      <c r="M62" s="22">
        <v>1</v>
      </c>
      <c r="N62" s="22" t="s">
        <v>115</v>
      </c>
      <c r="O62" s="9">
        <f>(VLOOKUP(L62,'[1]Simulation pricing per sub assy'!$D:$E,2,0))*M62</f>
        <v>48.118799999999993</v>
      </c>
      <c r="P62" s="23">
        <v>0</v>
      </c>
      <c r="Q62" s="23">
        <v>0</v>
      </c>
      <c r="R62" s="23" t="e">
        <v>#N/A</v>
      </c>
      <c r="S62" s="40">
        <v>0</v>
      </c>
      <c r="T62" s="24" t="s">
        <v>32</v>
      </c>
      <c r="U62" s="24">
        <v>1</v>
      </c>
      <c r="V62" s="24" t="s">
        <v>33</v>
      </c>
      <c r="W62" s="17">
        <f>(VLOOKUP(T62,'[1]Simulation pricing per sub assy'!$D:$E,2,0))*U62</f>
        <v>8.51</v>
      </c>
      <c r="X62" s="18" t="s">
        <v>613</v>
      </c>
      <c r="Y62" s="25">
        <v>1</v>
      </c>
      <c r="Z62" s="25" t="s">
        <v>34</v>
      </c>
      <c r="AA62" s="18">
        <f>(VLOOKUP(X62,'[1]Simulation pricing per sub assy'!$D:$E,2,0))*Y62</f>
        <v>1.2612108000000002</v>
      </c>
    </row>
    <row r="63" spans="1:27" s="3" customFormat="1" x14ac:dyDescent="0.35">
      <c r="A63" s="13" t="s">
        <v>2037</v>
      </c>
      <c r="B63" s="13" t="s">
        <v>2038</v>
      </c>
      <c r="C63" s="42">
        <f t="shared" si="0"/>
        <v>112.7500108</v>
      </c>
      <c r="D63" s="20" t="s">
        <v>42</v>
      </c>
      <c r="E63" s="20">
        <v>1</v>
      </c>
      <c r="F63" s="20" t="s">
        <v>3982</v>
      </c>
      <c r="G63" s="14">
        <f>(VLOOKUP(D63,'[1]BOM Info General'!$A:$L,12,0))*E63</f>
        <v>35.56</v>
      </c>
      <c r="H63" s="21" t="s">
        <v>39</v>
      </c>
      <c r="I63" s="21">
        <v>1</v>
      </c>
      <c r="J63" s="21" t="s">
        <v>46</v>
      </c>
      <c r="K63" s="15">
        <f>(VLOOKUP(H63,'[1]BOM Info General'!$A:$L,12,0))*I63</f>
        <v>24.42</v>
      </c>
      <c r="L63" s="22" t="s">
        <v>112</v>
      </c>
      <c r="M63" s="22">
        <v>1</v>
      </c>
      <c r="N63" s="22" t="s">
        <v>109</v>
      </c>
      <c r="O63" s="9">
        <f>(VLOOKUP(L63,'[1]Simulation pricing per sub assy'!$D:$E,2,0))*M63</f>
        <v>42.998799999999989</v>
      </c>
      <c r="P63" s="23">
        <v>0</v>
      </c>
      <c r="Q63" s="23">
        <v>0</v>
      </c>
      <c r="R63" s="23" t="e">
        <v>#N/A</v>
      </c>
      <c r="S63" s="40">
        <v>0</v>
      </c>
      <c r="T63" s="24" t="s">
        <v>32</v>
      </c>
      <c r="U63" s="24">
        <v>1</v>
      </c>
      <c r="V63" s="24" t="s">
        <v>33</v>
      </c>
      <c r="W63" s="17">
        <f>(VLOOKUP(T63,'[1]Simulation pricing per sub assy'!$D:$E,2,0))*U63</f>
        <v>8.51</v>
      </c>
      <c r="X63" s="18" t="s">
        <v>613</v>
      </c>
      <c r="Y63" s="25">
        <v>1</v>
      </c>
      <c r="Z63" s="25" t="s">
        <v>34</v>
      </c>
      <c r="AA63" s="18">
        <f>(VLOOKUP(X63,'[1]Simulation pricing per sub assy'!$D:$E,2,0))*Y63</f>
        <v>1.2612108000000002</v>
      </c>
    </row>
    <row r="64" spans="1:27" s="3" customFormat="1" x14ac:dyDescent="0.35">
      <c r="A64" s="13" t="s">
        <v>2041</v>
      </c>
      <c r="B64" s="13" t="s">
        <v>2042</v>
      </c>
      <c r="C64" s="42">
        <f t="shared" si="0"/>
        <v>112.8700108</v>
      </c>
      <c r="D64" s="20" t="s">
        <v>42</v>
      </c>
      <c r="E64" s="20">
        <v>1</v>
      </c>
      <c r="F64" s="20" t="s">
        <v>3982</v>
      </c>
      <c r="G64" s="14">
        <f>(VLOOKUP(D64,'[1]BOM Info General'!$A:$L,12,0))*E64</f>
        <v>35.56</v>
      </c>
      <c r="H64" s="21" t="s">
        <v>39</v>
      </c>
      <c r="I64" s="21">
        <v>1</v>
      </c>
      <c r="J64" s="21" t="s">
        <v>46</v>
      </c>
      <c r="K64" s="15">
        <f>(VLOOKUP(H64,'[1]BOM Info General'!$A:$L,12,0))*I64</f>
        <v>24.42</v>
      </c>
      <c r="L64" s="22" t="s">
        <v>108</v>
      </c>
      <c r="M64" s="22">
        <v>1</v>
      </c>
      <c r="N64" s="22" t="s">
        <v>107</v>
      </c>
      <c r="O64" s="9">
        <f>(VLOOKUP(L64,'[1]Simulation pricing per sub assy'!$D:$E,2,0))*M64</f>
        <v>43.118799999999993</v>
      </c>
      <c r="P64" s="23">
        <v>0</v>
      </c>
      <c r="Q64" s="23">
        <v>0</v>
      </c>
      <c r="R64" s="23" t="e">
        <v>#N/A</v>
      </c>
      <c r="S64" s="40">
        <v>0</v>
      </c>
      <c r="T64" s="24" t="s">
        <v>32</v>
      </c>
      <c r="U64" s="24">
        <v>1</v>
      </c>
      <c r="V64" s="24" t="s">
        <v>33</v>
      </c>
      <c r="W64" s="17">
        <f>(VLOOKUP(T64,'[1]Simulation pricing per sub assy'!$D:$E,2,0))*U64</f>
        <v>8.51</v>
      </c>
      <c r="X64" s="18" t="s">
        <v>613</v>
      </c>
      <c r="Y64" s="25">
        <v>1</v>
      </c>
      <c r="Z64" s="25" t="s">
        <v>34</v>
      </c>
      <c r="AA64" s="18">
        <f>(VLOOKUP(X64,'[1]Simulation pricing per sub assy'!$D:$E,2,0))*Y64</f>
        <v>1.2612108000000002</v>
      </c>
    </row>
    <row r="65" spans="1:27" s="3" customFormat="1" x14ac:dyDescent="0.35">
      <c r="A65" s="13" t="s">
        <v>2039</v>
      </c>
      <c r="B65" s="13" t="s">
        <v>2040</v>
      </c>
      <c r="C65" s="42">
        <f t="shared" si="0"/>
        <v>112.7200108</v>
      </c>
      <c r="D65" s="20" t="s">
        <v>42</v>
      </c>
      <c r="E65" s="20">
        <v>1</v>
      </c>
      <c r="F65" s="20" t="s">
        <v>3982</v>
      </c>
      <c r="G65" s="14">
        <f>(VLOOKUP(D65,'[1]BOM Info General'!$A:$L,12,0))*E65</f>
        <v>35.56</v>
      </c>
      <c r="H65" s="21" t="s">
        <v>39</v>
      </c>
      <c r="I65" s="21">
        <v>1</v>
      </c>
      <c r="J65" s="21" t="s">
        <v>46</v>
      </c>
      <c r="K65" s="15">
        <f>(VLOOKUP(H65,'[1]BOM Info General'!$A:$L,12,0))*I65</f>
        <v>24.42</v>
      </c>
      <c r="L65" s="22" t="s">
        <v>114</v>
      </c>
      <c r="M65" s="22">
        <v>1</v>
      </c>
      <c r="N65" s="22" t="s">
        <v>111</v>
      </c>
      <c r="O65" s="9">
        <f>(VLOOKUP(L65,'[1]Simulation pricing per sub assy'!$D:$E,2,0))*M65</f>
        <v>42.968799999999987</v>
      </c>
      <c r="P65" s="23">
        <v>0</v>
      </c>
      <c r="Q65" s="23">
        <v>0</v>
      </c>
      <c r="R65" s="23" t="e">
        <v>#N/A</v>
      </c>
      <c r="S65" s="40">
        <v>0</v>
      </c>
      <c r="T65" s="24" t="s">
        <v>32</v>
      </c>
      <c r="U65" s="24">
        <v>1</v>
      </c>
      <c r="V65" s="24" t="s">
        <v>33</v>
      </c>
      <c r="W65" s="17">
        <f>(VLOOKUP(T65,'[1]Simulation pricing per sub assy'!$D:$E,2,0))*U65</f>
        <v>8.51</v>
      </c>
      <c r="X65" s="18" t="s">
        <v>613</v>
      </c>
      <c r="Y65" s="25">
        <v>1</v>
      </c>
      <c r="Z65" s="25" t="s">
        <v>34</v>
      </c>
      <c r="AA65" s="18">
        <f>(VLOOKUP(X65,'[1]Simulation pricing per sub assy'!$D:$E,2,0))*Y65</f>
        <v>1.2612108000000002</v>
      </c>
    </row>
    <row r="66" spans="1:27" s="3" customFormat="1" x14ac:dyDescent="0.35">
      <c r="A66" s="13" t="s">
        <v>2043</v>
      </c>
      <c r="B66" s="13" t="s">
        <v>2044</v>
      </c>
      <c r="C66" s="42">
        <f t="shared" si="0"/>
        <v>112.8700108</v>
      </c>
      <c r="D66" s="20" t="s">
        <v>42</v>
      </c>
      <c r="E66" s="20">
        <v>1</v>
      </c>
      <c r="F66" s="20" t="s">
        <v>3982</v>
      </c>
      <c r="G66" s="14">
        <f>(VLOOKUP(D66,'[1]BOM Info General'!$A:$L,12,0))*E66</f>
        <v>35.56</v>
      </c>
      <c r="H66" s="21" t="s">
        <v>39</v>
      </c>
      <c r="I66" s="21">
        <v>1</v>
      </c>
      <c r="J66" s="21" t="s">
        <v>46</v>
      </c>
      <c r="K66" s="15">
        <f>(VLOOKUP(H66,'[1]BOM Info General'!$A:$L,12,0))*I66</f>
        <v>24.42</v>
      </c>
      <c r="L66" s="22" t="s">
        <v>110</v>
      </c>
      <c r="M66" s="22">
        <v>1</v>
      </c>
      <c r="N66" s="22" t="s">
        <v>113</v>
      </c>
      <c r="O66" s="9">
        <f>(VLOOKUP(L66,'[1]Simulation pricing per sub assy'!$D:$E,2,0))*M66</f>
        <v>43.118799999999993</v>
      </c>
      <c r="P66" s="23">
        <v>0</v>
      </c>
      <c r="Q66" s="23">
        <v>0</v>
      </c>
      <c r="R66" s="23" t="e">
        <v>#N/A</v>
      </c>
      <c r="S66" s="40">
        <v>0</v>
      </c>
      <c r="T66" s="24" t="s">
        <v>32</v>
      </c>
      <c r="U66" s="24">
        <v>1</v>
      </c>
      <c r="V66" s="24" t="s">
        <v>33</v>
      </c>
      <c r="W66" s="17">
        <f>(VLOOKUP(T66,'[1]Simulation pricing per sub assy'!$D:$E,2,0))*U66</f>
        <v>8.51</v>
      </c>
      <c r="X66" s="18" t="s">
        <v>613</v>
      </c>
      <c r="Y66" s="25">
        <v>1</v>
      </c>
      <c r="Z66" s="25" t="s">
        <v>34</v>
      </c>
      <c r="AA66" s="18">
        <f>(VLOOKUP(X66,'[1]Simulation pricing per sub assy'!$D:$E,2,0))*Y66</f>
        <v>1.2612108000000002</v>
      </c>
    </row>
    <row r="67" spans="1:27" s="3" customFormat="1" x14ac:dyDescent="0.35">
      <c r="A67" s="13" t="s">
        <v>2055</v>
      </c>
      <c r="B67" s="13" t="s">
        <v>2056</v>
      </c>
      <c r="C67" s="42">
        <f t="shared" ref="C67:C130" si="1">SUM(G67+K67+O67+S67+W67+AA67)</f>
        <v>117.8700108</v>
      </c>
      <c r="D67" s="20" t="s">
        <v>42</v>
      </c>
      <c r="E67" s="20">
        <v>1</v>
      </c>
      <c r="F67" s="20" t="s">
        <v>3982</v>
      </c>
      <c r="G67" s="14">
        <f>(VLOOKUP(D67,'[1]BOM Info General'!$A:$L,12,0))*E67</f>
        <v>35.56</v>
      </c>
      <c r="H67" s="21" t="s">
        <v>39</v>
      </c>
      <c r="I67" s="21">
        <v>1</v>
      </c>
      <c r="J67" s="21" t="s">
        <v>46</v>
      </c>
      <c r="K67" s="15">
        <f>(VLOOKUP(H67,'[1]BOM Info General'!$A:$L,12,0))*I67</f>
        <v>24.42</v>
      </c>
      <c r="L67" s="22" t="s">
        <v>529</v>
      </c>
      <c r="M67" s="22">
        <v>1</v>
      </c>
      <c r="N67" s="22" t="s">
        <v>115</v>
      </c>
      <c r="O67" s="9">
        <f>(VLOOKUP(L67,'[1]Simulation pricing per sub assy'!$D:$E,2,0))*M67</f>
        <v>48.118799999999993</v>
      </c>
      <c r="P67" s="23">
        <v>0</v>
      </c>
      <c r="Q67" s="23">
        <v>0</v>
      </c>
      <c r="R67" s="23" t="e">
        <v>#N/A</v>
      </c>
      <c r="S67" s="40">
        <v>0</v>
      </c>
      <c r="T67" s="24" t="s">
        <v>32</v>
      </c>
      <c r="U67" s="24">
        <v>1</v>
      </c>
      <c r="V67" s="24" t="s">
        <v>33</v>
      </c>
      <c r="W67" s="17">
        <f>(VLOOKUP(T67,'[1]Simulation pricing per sub assy'!$D:$E,2,0))*U67</f>
        <v>8.51</v>
      </c>
      <c r="X67" s="18" t="s">
        <v>613</v>
      </c>
      <c r="Y67" s="25">
        <v>1</v>
      </c>
      <c r="Z67" s="25" t="s">
        <v>34</v>
      </c>
      <c r="AA67" s="18">
        <f>(VLOOKUP(X67,'[1]Simulation pricing per sub assy'!$D:$E,2,0))*Y67</f>
        <v>1.2612108000000002</v>
      </c>
    </row>
    <row r="68" spans="1:27" s="3" customFormat="1" x14ac:dyDescent="0.35">
      <c r="A68" s="13" t="s">
        <v>2047</v>
      </c>
      <c r="B68" s="13" t="s">
        <v>2048</v>
      </c>
      <c r="C68" s="42">
        <f t="shared" si="1"/>
        <v>112.7500108</v>
      </c>
      <c r="D68" s="20" t="s">
        <v>42</v>
      </c>
      <c r="E68" s="20">
        <v>1</v>
      </c>
      <c r="F68" s="20" t="s">
        <v>3982</v>
      </c>
      <c r="G68" s="14">
        <f>(VLOOKUP(D68,'[1]BOM Info General'!$A:$L,12,0))*E68</f>
        <v>35.56</v>
      </c>
      <c r="H68" s="21" t="s">
        <v>39</v>
      </c>
      <c r="I68" s="21">
        <v>1</v>
      </c>
      <c r="J68" s="21" t="s">
        <v>46</v>
      </c>
      <c r="K68" s="15">
        <f>(VLOOKUP(H68,'[1]BOM Info General'!$A:$L,12,0))*I68</f>
        <v>24.42</v>
      </c>
      <c r="L68" s="22" t="s">
        <v>112</v>
      </c>
      <c r="M68" s="22">
        <v>1</v>
      </c>
      <c r="N68" s="22" t="s">
        <v>109</v>
      </c>
      <c r="O68" s="9">
        <f>(VLOOKUP(L68,'[1]Simulation pricing per sub assy'!$D:$E,2,0))*M68</f>
        <v>42.998799999999989</v>
      </c>
      <c r="P68" s="23">
        <v>0</v>
      </c>
      <c r="Q68" s="23">
        <v>0</v>
      </c>
      <c r="R68" s="23" t="e">
        <v>#N/A</v>
      </c>
      <c r="S68" s="40">
        <v>0</v>
      </c>
      <c r="T68" s="24" t="s">
        <v>32</v>
      </c>
      <c r="U68" s="24">
        <v>1</v>
      </c>
      <c r="V68" s="24" t="s">
        <v>33</v>
      </c>
      <c r="W68" s="17">
        <f>(VLOOKUP(T68,'[1]Simulation pricing per sub assy'!$D:$E,2,0))*U68</f>
        <v>8.51</v>
      </c>
      <c r="X68" s="18" t="s">
        <v>613</v>
      </c>
      <c r="Y68" s="25">
        <v>1</v>
      </c>
      <c r="Z68" s="25" t="s">
        <v>34</v>
      </c>
      <c r="AA68" s="18">
        <f>(VLOOKUP(X68,'[1]Simulation pricing per sub assy'!$D:$E,2,0))*Y68</f>
        <v>1.2612108000000002</v>
      </c>
    </row>
    <row r="69" spans="1:27" s="3" customFormat="1" x14ac:dyDescent="0.35">
      <c r="A69" s="13" t="s">
        <v>2051</v>
      </c>
      <c r="B69" s="13" t="s">
        <v>2052</v>
      </c>
      <c r="C69" s="42">
        <f t="shared" si="1"/>
        <v>112.8700108</v>
      </c>
      <c r="D69" s="20" t="s">
        <v>42</v>
      </c>
      <c r="E69" s="20">
        <v>1</v>
      </c>
      <c r="F69" s="20" t="s">
        <v>3982</v>
      </c>
      <c r="G69" s="14">
        <f>(VLOOKUP(D69,'[1]BOM Info General'!$A:$L,12,0))*E69</f>
        <v>35.56</v>
      </c>
      <c r="H69" s="21" t="s">
        <v>39</v>
      </c>
      <c r="I69" s="21">
        <v>1</v>
      </c>
      <c r="J69" s="21" t="s">
        <v>46</v>
      </c>
      <c r="K69" s="15">
        <f>(VLOOKUP(H69,'[1]BOM Info General'!$A:$L,12,0))*I69</f>
        <v>24.42</v>
      </c>
      <c r="L69" s="22" t="s">
        <v>108</v>
      </c>
      <c r="M69" s="22">
        <v>1</v>
      </c>
      <c r="N69" s="22" t="s">
        <v>107</v>
      </c>
      <c r="O69" s="9">
        <f>(VLOOKUP(L69,'[1]Simulation pricing per sub assy'!$D:$E,2,0))*M69</f>
        <v>43.118799999999993</v>
      </c>
      <c r="P69" s="23">
        <v>0</v>
      </c>
      <c r="Q69" s="23">
        <v>0</v>
      </c>
      <c r="R69" s="23" t="e">
        <v>#N/A</v>
      </c>
      <c r="S69" s="40">
        <v>0</v>
      </c>
      <c r="T69" s="24" t="s">
        <v>32</v>
      </c>
      <c r="U69" s="24">
        <v>1</v>
      </c>
      <c r="V69" s="24" t="s">
        <v>33</v>
      </c>
      <c r="W69" s="17">
        <f>(VLOOKUP(T69,'[1]Simulation pricing per sub assy'!$D:$E,2,0))*U69</f>
        <v>8.51</v>
      </c>
      <c r="X69" s="18" t="s">
        <v>613</v>
      </c>
      <c r="Y69" s="25">
        <v>1</v>
      </c>
      <c r="Z69" s="25" t="s">
        <v>34</v>
      </c>
      <c r="AA69" s="18">
        <f>(VLOOKUP(X69,'[1]Simulation pricing per sub assy'!$D:$E,2,0))*Y69</f>
        <v>1.2612108000000002</v>
      </c>
    </row>
    <row r="70" spans="1:27" s="3" customFormat="1" x14ac:dyDescent="0.35">
      <c r="A70" s="13" t="s">
        <v>2049</v>
      </c>
      <c r="B70" s="13" t="s">
        <v>2050</v>
      </c>
      <c r="C70" s="42">
        <f t="shared" si="1"/>
        <v>112.7200108</v>
      </c>
      <c r="D70" s="20" t="s">
        <v>42</v>
      </c>
      <c r="E70" s="20">
        <v>1</v>
      </c>
      <c r="F70" s="20" t="s">
        <v>3982</v>
      </c>
      <c r="G70" s="14">
        <f>(VLOOKUP(D70,'[1]BOM Info General'!$A:$L,12,0))*E70</f>
        <v>35.56</v>
      </c>
      <c r="H70" s="21" t="s">
        <v>39</v>
      </c>
      <c r="I70" s="21">
        <v>1</v>
      </c>
      <c r="J70" s="21" t="s">
        <v>46</v>
      </c>
      <c r="K70" s="15">
        <f>(VLOOKUP(H70,'[1]BOM Info General'!$A:$L,12,0))*I70</f>
        <v>24.42</v>
      </c>
      <c r="L70" s="22" t="s">
        <v>114</v>
      </c>
      <c r="M70" s="22">
        <v>1</v>
      </c>
      <c r="N70" s="22" t="s">
        <v>111</v>
      </c>
      <c r="O70" s="9">
        <f>(VLOOKUP(L70,'[1]Simulation pricing per sub assy'!$D:$E,2,0))*M70</f>
        <v>42.968799999999987</v>
      </c>
      <c r="P70" s="23">
        <v>0</v>
      </c>
      <c r="Q70" s="23">
        <v>0</v>
      </c>
      <c r="R70" s="23" t="e">
        <v>#N/A</v>
      </c>
      <c r="S70" s="40">
        <v>0</v>
      </c>
      <c r="T70" s="24" t="s">
        <v>32</v>
      </c>
      <c r="U70" s="24">
        <v>1</v>
      </c>
      <c r="V70" s="24" t="s">
        <v>33</v>
      </c>
      <c r="W70" s="17">
        <f>(VLOOKUP(T70,'[1]Simulation pricing per sub assy'!$D:$E,2,0))*U70</f>
        <v>8.51</v>
      </c>
      <c r="X70" s="18" t="s">
        <v>613</v>
      </c>
      <c r="Y70" s="25">
        <v>1</v>
      </c>
      <c r="Z70" s="25" t="s">
        <v>34</v>
      </c>
      <c r="AA70" s="18">
        <f>(VLOOKUP(X70,'[1]Simulation pricing per sub assy'!$D:$E,2,0))*Y70</f>
        <v>1.2612108000000002</v>
      </c>
    </row>
    <row r="71" spans="1:27" s="3" customFormat="1" x14ac:dyDescent="0.35">
      <c r="A71" s="13" t="s">
        <v>2053</v>
      </c>
      <c r="B71" s="13" t="s">
        <v>2054</v>
      </c>
      <c r="C71" s="42">
        <f t="shared" si="1"/>
        <v>112.8700108</v>
      </c>
      <c r="D71" s="20" t="s">
        <v>42</v>
      </c>
      <c r="E71" s="20">
        <v>1</v>
      </c>
      <c r="F71" s="20" t="s">
        <v>3982</v>
      </c>
      <c r="G71" s="14">
        <f>(VLOOKUP(D71,'[1]BOM Info General'!$A:$L,12,0))*E71</f>
        <v>35.56</v>
      </c>
      <c r="H71" s="21" t="s">
        <v>39</v>
      </c>
      <c r="I71" s="21">
        <v>1</v>
      </c>
      <c r="J71" s="21" t="s">
        <v>46</v>
      </c>
      <c r="K71" s="15">
        <f>(VLOOKUP(H71,'[1]BOM Info General'!$A:$L,12,0))*I71</f>
        <v>24.42</v>
      </c>
      <c r="L71" s="22" t="s">
        <v>110</v>
      </c>
      <c r="M71" s="22">
        <v>1</v>
      </c>
      <c r="N71" s="22" t="s">
        <v>113</v>
      </c>
      <c r="O71" s="9">
        <f>(VLOOKUP(L71,'[1]Simulation pricing per sub assy'!$D:$E,2,0))*M71</f>
        <v>43.118799999999993</v>
      </c>
      <c r="P71" s="23">
        <v>0</v>
      </c>
      <c r="Q71" s="23">
        <v>0</v>
      </c>
      <c r="R71" s="23" t="e">
        <v>#N/A</v>
      </c>
      <c r="S71" s="40">
        <v>0</v>
      </c>
      <c r="T71" s="24" t="s">
        <v>32</v>
      </c>
      <c r="U71" s="24">
        <v>1</v>
      </c>
      <c r="V71" s="24" t="s">
        <v>33</v>
      </c>
      <c r="W71" s="17">
        <f>(VLOOKUP(T71,'[1]Simulation pricing per sub assy'!$D:$E,2,0))*U71</f>
        <v>8.51</v>
      </c>
      <c r="X71" s="18" t="s">
        <v>613</v>
      </c>
      <c r="Y71" s="25">
        <v>1</v>
      </c>
      <c r="Z71" s="25" t="s">
        <v>34</v>
      </c>
      <c r="AA71" s="18">
        <f>(VLOOKUP(X71,'[1]Simulation pricing per sub assy'!$D:$E,2,0))*Y71</f>
        <v>1.2612108000000002</v>
      </c>
    </row>
    <row r="72" spans="1:27" s="3" customFormat="1" x14ac:dyDescent="0.35">
      <c r="A72" s="13" t="s">
        <v>522</v>
      </c>
      <c r="B72" s="13" t="s">
        <v>4009</v>
      </c>
      <c r="C72" s="42">
        <f t="shared" si="1"/>
        <v>117.8700108</v>
      </c>
      <c r="D72" s="14" t="s">
        <v>42</v>
      </c>
      <c r="E72" s="14">
        <v>1</v>
      </c>
      <c r="F72" s="14" t="s">
        <v>3982</v>
      </c>
      <c r="G72" s="14">
        <f>(VLOOKUP(D72,'[1]BOM Info General'!$A:$L,12,0))*E72</f>
        <v>35.56</v>
      </c>
      <c r="H72" s="15" t="s">
        <v>39</v>
      </c>
      <c r="I72" s="15">
        <v>1</v>
      </c>
      <c r="J72" s="15" t="s">
        <v>46</v>
      </c>
      <c r="K72" s="15">
        <f>(VLOOKUP(H72,'[1]BOM Info General'!$A:$L,12,0))*I72</f>
        <v>24.42</v>
      </c>
      <c r="L72" s="9" t="s">
        <v>529</v>
      </c>
      <c r="M72" s="9">
        <v>1</v>
      </c>
      <c r="N72" s="9" t="s">
        <v>115</v>
      </c>
      <c r="O72" s="9">
        <f>(VLOOKUP(L72,'[1]Simulation pricing per sub assy'!$D:$E,2,0))*M72</f>
        <v>48.118799999999993</v>
      </c>
      <c r="P72" s="16">
        <v>0</v>
      </c>
      <c r="Q72" s="16">
        <v>0</v>
      </c>
      <c r="R72" s="16" t="e">
        <v>#N/A</v>
      </c>
      <c r="S72" s="40">
        <v>0</v>
      </c>
      <c r="T72" s="17" t="s">
        <v>32</v>
      </c>
      <c r="U72" s="17">
        <v>1</v>
      </c>
      <c r="V72" s="17" t="s">
        <v>33</v>
      </c>
      <c r="W72" s="17">
        <f>(VLOOKUP(T72,'[1]Simulation pricing per sub assy'!$D:$E,2,0))*U72</f>
        <v>8.51</v>
      </c>
      <c r="X72" s="18" t="s">
        <v>613</v>
      </c>
      <c r="Y72" s="18">
        <v>1</v>
      </c>
      <c r="Z72" s="18" t="s">
        <v>34</v>
      </c>
      <c r="AA72" s="18">
        <f>(VLOOKUP(X72,'[1]Simulation pricing per sub assy'!$D:$E,2,0))*Y72</f>
        <v>1.2612108000000002</v>
      </c>
    </row>
    <row r="73" spans="1:27" s="3" customFormat="1" x14ac:dyDescent="0.35">
      <c r="A73" s="13" t="s">
        <v>514</v>
      </c>
      <c r="B73" s="13" t="s">
        <v>4010</v>
      </c>
      <c r="C73" s="42">
        <f t="shared" si="1"/>
        <v>112.7500108</v>
      </c>
      <c r="D73" s="14" t="s">
        <v>42</v>
      </c>
      <c r="E73" s="14">
        <v>1</v>
      </c>
      <c r="F73" s="14" t="s">
        <v>3982</v>
      </c>
      <c r="G73" s="14">
        <f>(VLOOKUP(D73,'[1]BOM Info General'!$A:$L,12,0))*E73</f>
        <v>35.56</v>
      </c>
      <c r="H73" s="15" t="s">
        <v>39</v>
      </c>
      <c r="I73" s="15">
        <v>1</v>
      </c>
      <c r="J73" s="15" t="s">
        <v>46</v>
      </c>
      <c r="K73" s="15">
        <f>(VLOOKUP(H73,'[1]BOM Info General'!$A:$L,12,0))*I73</f>
        <v>24.42</v>
      </c>
      <c r="L73" s="9" t="s">
        <v>112</v>
      </c>
      <c r="M73" s="9">
        <v>1</v>
      </c>
      <c r="N73" s="9" t="s">
        <v>109</v>
      </c>
      <c r="O73" s="9">
        <f>(VLOOKUP(L73,'[1]Simulation pricing per sub assy'!$D:$E,2,0))*M73</f>
        <v>42.998799999999989</v>
      </c>
      <c r="P73" s="16">
        <v>0</v>
      </c>
      <c r="Q73" s="16">
        <v>0</v>
      </c>
      <c r="R73" s="16" t="e">
        <v>#N/A</v>
      </c>
      <c r="S73" s="40">
        <v>0</v>
      </c>
      <c r="T73" s="17" t="s">
        <v>32</v>
      </c>
      <c r="U73" s="17">
        <v>1</v>
      </c>
      <c r="V73" s="17" t="s">
        <v>33</v>
      </c>
      <c r="W73" s="17">
        <f>(VLOOKUP(T73,'[1]Simulation pricing per sub assy'!$D:$E,2,0))*U73</f>
        <v>8.51</v>
      </c>
      <c r="X73" s="18" t="s">
        <v>613</v>
      </c>
      <c r="Y73" s="18">
        <v>1</v>
      </c>
      <c r="Z73" s="18" t="s">
        <v>34</v>
      </c>
      <c r="AA73" s="18">
        <f>(VLOOKUP(X73,'[1]Simulation pricing per sub assy'!$D:$E,2,0))*Y73</f>
        <v>1.2612108000000002</v>
      </c>
    </row>
    <row r="74" spans="1:27" s="3" customFormat="1" x14ac:dyDescent="0.35">
      <c r="A74" s="13" t="s">
        <v>518</v>
      </c>
      <c r="B74" s="13" t="s">
        <v>4011</v>
      </c>
      <c r="C74" s="42">
        <f t="shared" si="1"/>
        <v>112.8700108</v>
      </c>
      <c r="D74" s="14" t="s">
        <v>42</v>
      </c>
      <c r="E74" s="14">
        <v>1</v>
      </c>
      <c r="F74" s="14" t="s">
        <v>3982</v>
      </c>
      <c r="G74" s="14">
        <f>(VLOOKUP(D74,'[1]BOM Info General'!$A:$L,12,0))*E74</f>
        <v>35.56</v>
      </c>
      <c r="H74" s="15" t="s">
        <v>39</v>
      </c>
      <c r="I74" s="15">
        <v>1</v>
      </c>
      <c r="J74" s="15" t="s">
        <v>46</v>
      </c>
      <c r="K74" s="15">
        <f>(VLOOKUP(H74,'[1]BOM Info General'!$A:$L,12,0))*I74</f>
        <v>24.42</v>
      </c>
      <c r="L74" s="9" t="s">
        <v>108</v>
      </c>
      <c r="M74" s="9">
        <v>1</v>
      </c>
      <c r="N74" s="9" t="s">
        <v>107</v>
      </c>
      <c r="O74" s="9">
        <f>(VLOOKUP(L74,'[1]Simulation pricing per sub assy'!$D:$E,2,0))*M74</f>
        <v>43.118799999999993</v>
      </c>
      <c r="P74" s="16">
        <v>0</v>
      </c>
      <c r="Q74" s="16">
        <v>0</v>
      </c>
      <c r="R74" s="16" t="e">
        <v>#N/A</v>
      </c>
      <c r="S74" s="40">
        <v>0</v>
      </c>
      <c r="T74" s="17" t="s">
        <v>32</v>
      </c>
      <c r="U74" s="17">
        <v>1</v>
      </c>
      <c r="V74" s="17" t="s">
        <v>33</v>
      </c>
      <c r="W74" s="17">
        <f>(VLOOKUP(T74,'[1]Simulation pricing per sub assy'!$D:$E,2,0))*U74</f>
        <v>8.51</v>
      </c>
      <c r="X74" s="18" t="s">
        <v>613</v>
      </c>
      <c r="Y74" s="18">
        <v>1</v>
      </c>
      <c r="Z74" s="18" t="s">
        <v>34</v>
      </c>
      <c r="AA74" s="18">
        <f>(VLOOKUP(X74,'[1]Simulation pricing per sub assy'!$D:$E,2,0))*Y74</f>
        <v>1.2612108000000002</v>
      </c>
    </row>
    <row r="75" spans="1:27" s="3" customFormat="1" x14ac:dyDescent="0.35">
      <c r="A75" s="13" t="s">
        <v>516</v>
      </c>
      <c r="B75" s="13" t="s">
        <v>4012</v>
      </c>
      <c r="C75" s="42">
        <f t="shared" si="1"/>
        <v>112.7200108</v>
      </c>
      <c r="D75" s="14" t="s">
        <v>42</v>
      </c>
      <c r="E75" s="14">
        <v>1</v>
      </c>
      <c r="F75" s="14" t="s">
        <v>3982</v>
      </c>
      <c r="G75" s="14">
        <f>(VLOOKUP(D75,'[1]BOM Info General'!$A:$L,12,0))*E75</f>
        <v>35.56</v>
      </c>
      <c r="H75" s="15" t="s">
        <v>39</v>
      </c>
      <c r="I75" s="15">
        <v>1</v>
      </c>
      <c r="J75" s="15" t="s">
        <v>46</v>
      </c>
      <c r="K75" s="15">
        <f>(VLOOKUP(H75,'[1]BOM Info General'!$A:$L,12,0))*I75</f>
        <v>24.42</v>
      </c>
      <c r="L75" s="9" t="s">
        <v>114</v>
      </c>
      <c r="M75" s="9">
        <v>1</v>
      </c>
      <c r="N75" s="9" t="s">
        <v>111</v>
      </c>
      <c r="O75" s="9">
        <f>(VLOOKUP(L75,'[1]Simulation pricing per sub assy'!$D:$E,2,0))*M75</f>
        <v>42.968799999999987</v>
      </c>
      <c r="P75" s="16">
        <v>0</v>
      </c>
      <c r="Q75" s="16">
        <v>0</v>
      </c>
      <c r="R75" s="16" t="e">
        <v>#N/A</v>
      </c>
      <c r="S75" s="40">
        <v>0</v>
      </c>
      <c r="T75" s="17" t="s">
        <v>32</v>
      </c>
      <c r="U75" s="17">
        <v>1</v>
      </c>
      <c r="V75" s="17" t="s">
        <v>33</v>
      </c>
      <c r="W75" s="17">
        <f>(VLOOKUP(T75,'[1]Simulation pricing per sub assy'!$D:$E,2,0))*U75</f>
        <v>8.51</v>
      </c>
      <c r="X75" s="18" t="s">
        <v>613</v>
      </c>
      <c r="Y75" s="18">
        <v>1</v>
      </c>
      <c r="Z75" s="18" t="s">
        <v>34</v>
      </c>
      <c r="AA75" s="18">
        <f>(VLOOKUP(X75,'[1]Simulation pricing per sub assy'!$D:$E,2,0))*Y75</f>
        <v>1.2612108000000002</v>
      </c>
    </row>
    <row r="76" spans="1:27" s="3" customFormat="1" x14ac:dyDescent="0.35">
      <c r="A76" s="13" t="s">
        <v>520</v>
      </c>
      <c r="B76" s="13" t="s">
        <v>4013</v>
      </c>
      <c r="C76" s="42">
        <f t="shared" si="1"/>
        <v>112.8700108</v>
      </c>
      <c r="D76" s="14" t="s">
        <v>42</v>
      </c>
      <c r="E76" s="14">
        <v>1</v>
      </c>
      <c r="F76" s="14" t="s">
        <v>3982</v>
      </c>
      <c r="G76" s="14">
        <f>(VLOOKUP(D76,'[1]BOM Info General'!$A:$L,12,0))*E76</f>
        <v>35.56</v>
      </c>
      <c r="H76" s="15" t="s">
        <v>39</v>
      </c>
      <c r="I76" s="15">
        <v>1</v>
      </c>
      <c r="J76" s="15" t="s">
        <v>46</v>
      </c>
      <c r="K76" s="15">
        <f>(VLOOKUP(H76,'[1]BOM Info General'!$A:$L,12,0))*I76</f>
        <v>24.42</v>
      </c>
      <c r="L76" s="9" t="s">
        <v>110</v>
      </c>
      <c r="M76" s="9">
        <v>1</v>
      </c>
      <c r="N76" s="9" t="s">
        <v>113</v>
      </c>
      <c r="O76" s="9">
        <f>(VLOOKUP(L76,'[1]Simulation pricing per sub assy'!$D:$E,2,0))*M76</f>
        <v>43.118799999999993</v>
      </c>
      <c r="P76" s="16">
        <v>0</v>
      </c>
      <c r="Q76" s="16">
        <v>0</v>
      </c>
      <c r="R76" s="16" t="e">
        <v>#N/A</v>
      </c>
      <c r="S76" s="40">
        <v>0</v>
      </c>
      <c r="T76" s="17" t="s">
        <v>32</v>
      </c>
      <c r="U76" s="17">
        <v>1</v>
      </c>
      <c r="V76" s="17" t="s">
        <v>33</v>
      </c>
      <c r="W76" s="17">
        <f>(VLOOKUP(T76,'[1]Simulation pricing per sub assy'!$D:$E,2,0))*U76</f>
        <v>8.51</v>
      </c>
      <c r="X76" s="18" t="s">
        <v>613</v>
      </c>
      <c r="Y76" s="18">
        <v>1</v>
      </c>
      <c r="Z76" s="18" t="s">
        <v>34</v>
      </c>
      <c r="AA76" s="18">
        <f>(VLOOKUP(X76,'[1]Simulation pricing per sub assy'!$D:$E,2,0))*Y76</f>
        <v>1.2612108000000002</v>
      </c>
    </row>
    <row r="77" spans="1:27" s="3" customFormat="1" x14ac:dyDescent="0.35">
      <c r="A77" s="13" t="s">
        <v>495</v>
      </c>
      <c r="B77" s="13" t="s">
        <v>4014</v>
      </c>
      <c r="C77" s="42">
        <f t="shared" si="1"/>
        <v>266.47500080000003</v>
      </c>
      <c r="D77" s="14" t="s">
        <v>43</v>
      </c>
      <c r="E77" s="14">
        <v>2</v>
      </c>
      <c r="F77" s="14" t="s">
        <v>3983</v>
      </c>
      <c r="G77" s="14">
        <f>(VLOOKUP(D77,'[1]BOM Info General'!$A:$L,12,0))*E77</f>
        <v>130.12</v>
      </c>
      <c r="H77" s="15" t="s">
        <v>40</v>
      </c>
      <c r="I77" s="15">
        <v>1</v>
      </c>
      <c r="J77" s="15" t="s">
        <v>45</v>
      </c>
      <c r="K77" s="15">
        <f>(VLOOKUP(H77,'[1]BOM Info General'!$A:$L,12,0))*I77</f>
        <v>25.59</v>
      </c>
      <c r="L77" s="9" t="s">
        <v>530</v>
      </c>
      <c r="M77" s="9">
        <v>1</v>
      </c>
      <c r="N77" s="9" t="s">
        <v>124</v>
      </c>
      <c r="O77" s="9">
        <f>(VLOOKUP(L77,'[1]Simulation pricing per sub assy'!$D:$E,2,0))*M77</f>
        <v>93.186400000000035</v>
      </c>
      <c r="P77" s="16">
        <v>0</v>
      </c>
      <c r="Q77" s="16">
        <v>0</v>
      </c>
      <c r="R77" s="16" t="e">
        <v>#N/A</v>
      </c>
      <c r="S77" s="40">
        <v>0</v>
      </c>
      <c r="T77" s="17" t="s">
        <v>35</v>
      </c>
      <c r="U77" s="17">
        <v>1</v>
      </c>
      <c r="V77" s="17" t="s">
        <v>36</v>
      </c>
      <c r="W77" s="17">
        <f>(VLOOKUP(T77,'[1]Simulation pricing per sub assy'!$D:$E,2,0))*U77</f>
        <v>15.3</v>
      </c>
      <c r="X77" s="18" t="s">
        <v>614</v>
      </c>
      <c r="Y77" s="18">
        <v>1</v>
      </c>
      <c r="Z77" s="18" t="s">
        <v>37</v>
      </c>
      <c r="AA77" s="18">
        <f>(VLOOKUP(X77,'[1]Simulation pricing per sub assy'!$D:$E,2,0))*Y77</f>
        <v>2.2786008000000004</v>
      </c>
    </row>
    <row r="78" spans="1:27" s="3" customFormat="1" x14ac:dyDescent="0.35">
      <c r="A78" s="13" t="s">
        <v>484</v>
      </c>
      <c r="B78" s="13" t="s">
        <v>4015</v>
      </c>
      <c r="C78" s="42">
        <f t="shared" si="1"/>
        <v>261.47500080000003</v>
      </c>
      <c r="D78" s="14" t="s">
        <v>43</v>
      </c>
      <c r="E78" s="14">
        <v>2</v>
      </c>
      <c r="F78" s="14" t="s">
        <v>3983</v>
      </c>
      <c r="G78" s="14">
        <f>(VLOOKUP(D78,'[1]BOM Info General'!$A:$L,12,0))*E78</f>
        <v>130.12</v>
      </c>
      <c r="H78" s="15" t="s">
        <v>40</v>
      </c>
      <c r="I78" s="15">
        <v>1</v>
      </c>
      <c r="J78" s="15" t="s">
        <v>45</v>
      </c>
      <c r="K78" s="15">
        <f>(VLOOKUP(H78,'[1]BOM Info General'!$A:$L,12,0))*I78</f>
        <v>25.59</v>
      </c>
      <c r="L78" s="9" t="s">
        <v>121</v>
      </c>
      <c r="M78" s="9">
        <v>1</v>
      </c>
      <c r="N78" s="9" t="s">
        <v>118</v>
      </c>
      <c r="O78" s="9">
        <f>(VLOOKUP(L78,'[1]Simulation pricing per sub assy'!$D:$E,2,0))*M78</f>
        <v>88.186400000000035</v>
      </c>
      <c r="P78" s="16">
        <v>0</v>
      </c>
      <c r="Q78" s="16">
        <v>0</v>
      </c>
      <c r="R78" s="16" t="e">
        <v>#N/A</v>
      </c>
      <c r="S78" s="40">
        <v>0</v>
      </c>
      <c r="T78" s="17" t="s">
        <v>35</v>
      </c>
      <c r="U78" s="17">
        <v>1</v>
      </c>
      <c r="V78" s="17" t="s">
        <v>36</v>
      </c>
      <c r="W78" s="17">
        <f>(VLOOKUP(T78,'[1]Simulation pricing per sub assy'!$D:$E,2,0))*U78</f>
        <v>15.3</v>
      </c>
      <c r="X78" s="18" t="s">
        <v>614</v>
      </c>
      <c r="Y78" s="18">
        <v>1</v>
      </c>
      <c r="Z78" s="18" t="s">
        <v>37</v>
      </c>
      <c r="AA78" s="18">
        <f>(VLOOKUP(X78,'[1]Simulation pricing per sub assy'!$D:$E,2,0))*Y78</f>
        <v>2.2786008000000004</v>
      </c>
    </row>
    <row r="79" spans="1:27" s="3" customFormat="1" x14ac:dyDescent="0.35">
      <c r="A79" s="13" t="s">
        <v>493</v>
      </c>
      <c r="B79" s="13" t="s">
        <v>4016</v>
      </c>
      <c r="C79" s="42">
        <f t="shared" si="1"/>
        <v>261.47500080000003</v>
      </c>
      <c r="D79" s="14" t="s">
        <v>43</v>
      </c>
      <c r="E79" s="14">
        <v>2</v>
      </c>
      <c r="F79" s="14" t="s">
        <v>3983</v>
      </c>
      <c r="G79" s="14">
        <f>(VLOOKUP(D79,'[1]BOM Info General'!$A:$L,12,0))*E79</f>
        <v>130.12</v>
      </c>
      <c r="H79" s="15" t="s">
        <v>40</v>
      </c>
      <c r="I79" s="15">
        <v>1</v>
      </c>
      <c r="J79" s="15" t="s">
        <v>45</v>
      </c>
      <c r="K79" s="15">
        <f>(VLOOKUP(H79,'[1]BOM Info General'!$A:$L,12,0))*I79</f>
        <v>25.59</v>
      </c>
      <c r="L79" s="9" t="s">
        <v>117</v>
      </c>
      <c r="M79" s="9">
        <v>1</v>
      </c>
      <c r="N79" s="9" t="s">
        <v>116</v>
      </c>
      <c r="O79" s="9">
        <f>(VLOOKUP(L79,'[1]Simulation pricing per sub assy'!$D:$E,2,0))*M79</f>
        <v>88.186400000000035</v>
      </c>
      <c r="P79" s="16">
        <v>0</v>
      </c>
      <c r="Q79" s="16">
        <v>0</v>
      </c>
      <c r="R79" s="16" t="e">
        <v>#N/A</v>
      </c>
      <c r="S79" s="40">
        <v>0</v>
      </c>
      <c r="T79" s="17" t="s">
        <v>35</v>
      </c>
      <c r="U79" s="17">
        <v>1</v>
      </c>
      <c r="V79" s="17" t="s">
        <v>36</v>
      </c>
      <c r="W79" s="17">
        <f>(VLOOKUP(T79,'[1]Simulation pricing per sub assy'!$D:$E,2,0))*U79</f>
        <v>15.3</v>
      </c>
      <c r="X79" s="18" t="s">
        <v>614</v>
      </c>
      <c r="Y79" s="18">
        <v>1</v>
      </c>
      <c r="Z79" s="18" t="s">
        <v>37</v>
      </c>
      <c r="AA79" s="18">
        <f>(VLOOKUP(X79,'[1]Simulation pricing per sub assy'!$D:$E,2,0))*Y79</f>
        <v>2.2786008000000004</v>
      </c>
    </row>
    <row r="80" spans="1:27" s="3" customFormat="1" x14ac:dyDescent="0.35">
      <c r="A80" s="13" t="s">
        <v>491</v>
      </c>
      <c r="B80" s="13" t="s">
        <v>4017</v>
      </c>
      <c r="C80" s="42">
        <f t="shared" si="1"/>
        <v>260.92500080000002</v>
      </c>
      <c r="D80" s="14" t="s">
        <v>43</v>
      </c>
      <c r="E80" s="14">
        <v>2</v>
      </c>
      <c r="F80" s="14" t="s">
        <v>3983</v>
      </c>
      <c r="G80" s="14">
        <f>(VLOOKUP(D80,'[1]BOM Info General'!$A:$L,12,0))*E80</f>
        <v>130.12</v>
      </c>
      <c r="H80" s="15" t="s">
        <v>40</v>
      </c>
      <c r="I80" s="15">
        <v>1</v>
      </c>
      <c r="J80" s="15" t="s">
        <v>45</v>
      </c>
      <c r="K80" s="15">
        <f>(VLOOKUP(H80,'[1]BOM Info General'!$A:$L,12,0))*I80</f>
        <v>25.59</v>
      </c>
      <c r="L80" s="9" t="s">
        <v>123</v>
      </c>
      <c r="M80" s="9">
        <v>1</v>
      </c>
      <c r="N80" s="9" t="s">
        <v>120</v>
      </c>
      <c r="O80" s="9">
        <f>(VLOOKUP(L80,'[1]Simulation pricing per sub assy'!$D:$E,2,0))*M80</f>
        <v>87.636400000000037</v>
      </c>
      <c r="P80" s="16">
        <v>0</v>
      </c>
      <c r="Q80" s="16">
        <v>0</v>
      </c>
      <c r="R80" s="16" t="e">
        <v>#N/A</v>
      </c>
      <c r="S80" s="40">
        <v>0</v>
      </c>
      <c r="T80" s="17" t="s">
        <v>35</v>
      </c>
      <c r="U80" s="17">
        <v>1</v>
      </c>
      <c r="V80" s="17" t="s">
        <v>36</v>
      </c>
      <c r="W80" s="17">
        <f>(VLOOKUP(T80,'[1]Simulation pricing per sub assy'!$D:$E,2,0))*U80</f>
        <v>15.3</v>
      </c>
      <c r="X80" s="18" t="s">
        <v>614</v>
      </c>
      <c r="Y80" s="18">
        <v>1</v>
      </c>
      <c r="Z80" s="18" t="s">
        <v>37</v>
      </c>
      <c r="AA80" s="18">
        <f>(VLOOKUP(X80,'[1]Simulation pricing per sub assy'!$D:$E,2,0))*Y80</f>
        <v>2.2786008000000004</v>
      </c>
    </row>
    <row r="81" spans="1:27" s="3" customFormat="1" x14ac:dyDescent="0.35">
      <c r="A81" s="13" t="s">
        <v>494</v>
      </c>
      <c r="B81" s="13" t="s">
        <v>4018</v>
      </c>
      <c r="C81" s="42">
        <f t="shared" si="1"/>
        <v>261.47500080000003</v>
      </c>
      <c r="D81" s="14" t="s">
        <v>43</v>
      </c>
      <c r="E81" s="14">
        <v>2</v>
      </c>
      <c r="F81" s="14" t="s">
        <v>3983</v>
      </c>
      <c r="G81" s="14">
        <f>(VLOOKUP(D81,'[1]BOM Info General'!$A:$L,12,0))*E81</f>
        <v>130.12</v>
      </c>
      <c r="H81" s="15" t="s">
        <v>40</v>
      </c>
      <c r="I81" s="15">
        <v>1</v>
      </c>
      <c r="J81" s="15" t="s">
        <v>45</v>
      </c>
      <c r="K81" s="15">
        <f>(VLOOKUP(H81,'[1]BOM Info General'!$A:$L,12,0))*I81</f>
        <v>25.59</v>
      </c>
      <c r="L81" s="9" t="s">
        <v>119</v>
      </c>
      <c r="M81" s="9">
        <v>1</v>
      </c>
      <c r="N81" s="9" t="s">
        <v>122</v>
      </c>
      <c r="O81" s="9">
        <f>(VLOOKUP(L81,'[1]Simulation pricing per sub assy'!$D:$E,2,0))*M81</f>
        <v>88.186400000000035</v>
      </c>
      <c r="P81" s="16">
        <v>0</v>
      </c>
      <c r="Q81" s="16">
        <v>0</v>
      </c>
      <c r="R81" s="16" t="e">
        <v>#N/A</v>
      </c>
      <c r="S81" s="40">
        <v>0</v>
      </c>
      <c r="T81" s="17" t="s">
        <v>35</v>
      </c>
      <c r="U81" s="17">
        <v>1</v>
      </c>
      <c r="V81" s="17" t="s">
        <v>36</v>
      </c>
      <c r="W81" s="17">
        <f>(VLOOKUP(T81,'[1]Simulation pricing per sub assy'!$D:$E,2,0))*U81</f>
        <v>15.3</v>
      </c>
      <c r="X81" s="18" t="s">
        <v>614</v>
      </c>
      <c r="Y81" s="18">
        <v>1</v>
      </c>
      <c r="Z81" s="18" t="s">
        <v>37</v>
      </c>
      <c r="AA81" s="18">
        <f>(VLOOKUP(X81,'[1]Simulation pricing per sub assy'!$D:$E,2,0))*Y81</f>
        <v>2.2786008000000004</v>
      </c>
    </row>
    <row r="82" spans="1:27" s="3" customFormat="1" x14ac:dyDescent="0.35">
      <c r="A82" s="13" t="s">
        <v>2005</v>
      </c>
      <c r="B82" s="13" t="s">
        <v>2006</v>
      </c>
      <c r="C82" s="42">
        <f t="shared" si="1"/>
        <v>266.47500080000003</v>
      </c>
      <c r="D82" s="20" t="s">
        <v>43</v>
      </c>
      <c r="E82" s="20">
        <v>2</v>
      </c>
      <c r="F82" s="20" t="s">
        <v>3983</v>
      </c>
      <c r="G82" s="14">
        <f>(VLOOKUP(D82,'[1]BOM Info General'!$A:$L,12,0))*E82</f>
        <v>130.12</v>
      </c>
      <c r="H82" s="21" t="s">
        <v>40</v>
      </c>
      <c r="I82" s="21">
        <v>1</v>
      </c>
      <c r="J82" s="21" t="s">
        <v>45</v>
      </c>
      <c r="K82" s="15">
        <f>(VLOOKUP(H82,'[1]BOM Info General'!$A:$L,12,0))*I82</f>
        <v>25.59</v>
      </c>
      <c r="L82" s="22" t="s">
        <v>530</v>
      </c>
      <c r="M82" s="22">
        <v>1</v>
      </c>
      <c r="N82" s="22" t="s">
        <v>124</v>
      </c>
      <c r="O82" s="9">
        <f>(VLOOKUP(L82,'[1]Simulation pricing per sub assy'!$D:$E,2,0))*M82</f>
        <v>93.186400000000035</v>
      </c>
      <c r="P82" s="23">
        <v>0</v>
      </c>
      <c r="Q82" s="23">
        <v>0</v>
      </c>
      <c r="R82" s="23" t="e">
        <v>#N/A</v>
      </c>
      <c r="S82" s="40">
        <v>0</v>
      </c>
      <c r="T82" s="24" t="s">
        <v>35</v>
      </c>
      <c r="U82" s="24">
        <v>1</v>
      </c>
      <c r="V82" s="24" t="s">
        <v>36</v>
      </c>
      <c r="W82" s="17">
        <f>(VLOOKUP(T82,'[1]Simulation pricing per sub assy'!$D:$E,2,0))*U82</f>
        <v>15.3</v>
      </c>
      <c r="X82" s="18" t="s">
        <v>614</v>
      </c>
      <c r="Y82" s="25">
        <v>1</v>
      </c>
      <c r="Z82" s="25" t="s">
        <v>37</v>
      </c>
      <c r="AA82" s="18">
        <f>(VLOOKUP(X82,'[1]Simulation pricing per sub assy'!$D:$E,2,0))*Y82</f>
        <v>2.2786008000000004</v>
      </c>
    </row>
    <row r="83" spans="1:27" x14ac:dyDescent="0.35">
      <c r="A83" s="13" t="s">
        <v>1997</v>
      </c>
      <c r="B83" s="13" t="s">
        <v>1998</v>
      </c>
      <c r="C83" s="42">
        <f t="shared" si="1"/>
        <v>261.47500080000003</v>
      </c>
      <c r="D83" s="20" t="s">
        <v>43</v>
      </c>
      <c r="E83" s="20">
        <v>2</v>
      </c>
      <c r="F83" s="20" t="s">
        <v>3983</v>
      </c>
      <c r="G83" s="14">
        <f>(VLOOKUP(D83,'[1]BOM Info General'!$A:$L,12,0))*E83</f>
        <v>130.12</v>
      </c>
      <c r="H83" s="21" t="s">
        <v>40</v>
      </c>
      <c r="I83" s="21">
        <v>1</v>
      </c>
      <c r="J83" s="21" t="s">
        <v>45</v>
      </c>
      <c r="K83" s="15">
        <f>(VLOOKUP(H83,'[1]BOM Info General'!$A:$L,12,0))*I83</f>
        <v>25.59</v>
      </c>
      <c r="L83" s="22" t="s">
        <v>121</v>
      </c>
      <c r="M83" s="22">
        <v>1</v>
      </c>
      <c r="N83" s="22" t="s">
        <v>118</v>
      </c>
      <c r="O83" s="9">
        <f>(VLOOKUP(L83,'[1]Simulation pricing per sub assy'!$D:$E,2,0))*M83</f>
        <v>88.186400000000035</v>
      </c>
      <c r="P83" s="23">
        <v>0</v>
      </c>
      <c r="Q83" s="23">
        <v>0</v>
      </c>
      <c r="R83" s="23" t="e">
        <v>#N/A</v>
      </c>
      <c r="S83" s="40">
        <v>0</v>
      </c>
      <c r="T83" s="24" t="s">
        <v>35</v>
      </c>
      <c r="U83" s="24">
        <v>1</v>
      </c>
      <c r="V83" s="24" t="s">
        <v>36</v>
      </c>
      <c r="W83" s="17">
        <f>(VLOOKUP(T83,'[1]Simulation pricing per sub assy'!$D:$E,2,0))*U83</f>
        <v>15.3</v>
      </c>
      <c r="X83" s="18" t="s">
        <v>614</v>
      </c>
      <c r="Y83" s="25">
        <v>1</v>
      </c>
      <c r="Z83" s="25" t="s">
        <v>37</v>
      </c>
      <c r="AA83" s="18">
        <f>(VLOOKUP(X83,'[1]Simulation pricing per sub assy'!$D:$E,2,0))*Y83</f>
        <v>2.2786008000000004</v>
      </c>
    </row>
    <row r="84" spans="1:27" x14ac:dyDescent="0.35">
      <c r="A84" s="13" t="s">
        <v>2001</v>
      </c>
      <c r="B84" s="13" t="s">
        <v>2002</v>
      </c>
      <c r="C84" s="42">
        <f t="shared" si="1"/>
        <v>261.47500080000003</v>
      </c>
      <c r="D84" s="20" t="s">
        <v>43</v>
      </c>
      <c r="E84" s="20">
        <v>2</v>
      </c>
      <c r="F84" s="20" t="s">
        <v>3983</v>
      </c>
      <c r="G84" s="14">
        <f>(VLOOKUP(D84,'[1]BOM Info General'!$A:$L,12,0))*E84</f>
        <v>130.12</v>
      </c>
      <c r="H84" s="21" t="s">
        <v>40</v>
      </c>
      <c r="I84" s="21">
        <v>1</v>
      </c>
      <c r="J84" s="21" t="s">
        <v>45</v>
      </c>
      <c r="K84" s="15">
        <f>(VLOOKUP(H84,'[1]BOM Info General'!$A:$L,12,0))*I84</f>
        <v>25.59</v>
      </c>
      <c r="L84" s="22" t="s">
        <v>117</v>
      </c>
      <c r="M84" s="22">
        <v>1</v>
      </c>
      <c r="N84" s="22" t="s">
        <v>116</v>
      </c>
      <c r="O84" s="9">
        <f>(VLOOKUP(L84,'[1]Simulation pricing per sub assy'!$D:$E,2,0))*M84</f>
        <v>88.186400000000035</v>
      </c>
      <c r="P84" s="23">
        <v>0</v>
      </c>
      <c r="Q84" s="23">
        <v>0</v>
      </c>
      <c r="R84" s="23" t="e">
        <v>#N/A</v>
      </c>
      <c r="S84" s="40">
        <v>0</v>
      </c>
      <c r="T84" s="24" t="s">
        <v>35</v>
      </c>
      <c r="U84" s="24">
        <v>1</v>
      </c>
      <c r="V84" s="24" t="s">
        <v>36</v>
      </c>
      <c r="W84" s="17">
        <f>(VLOOKUP(T84,'[1]Simulation pricing per sub assy'!$D:$E,2,0))*U84</f>
        <v>15.3</v>
      </c>
      <c r="X84" s="18" t="s">
        <v>614</v>
      </c>
      <c r="Y84" s="25">
        <v>1</v>
      </c>
      <c r="Z84" s="25" t="s">
        <v>37</v>
      </c>
      <c r="AA84" s="18">
        <f>(VLOOKUP(X84,'[1]Simulation pricing per sub assy'!$D:$E,2,0))*Y84</f>
        <v>2.2786008000000004</v>
      </c>
    </row>
    <row r="85" spans="1:27" x14ac:dyDescent="0.35">
      <c r="A85" s="13" t="s">
        <v>1999</v>
      </c>
      <c r="B85" s="13" t="s">
        <v>2000</v>
      </c>
      <c r="C85" s="42">
        <f t="shared" si="1"/>
        <v>260.92500080000002</v>
      </c>
      <c r="D85" s="20" t="s">
        <v>43</v>
      </c>
      <c r="E85" s="20">
        <v>2</v>
      </c>
      <c r="F85" s="20" t="s">
        <v>3983</v>
      </c>
      <c r="G85" s="14">
        <f>(VLOOKUP(D85,'[1]BOM Info General'!$A:$L,12,0))*E85</f>
        <v>130.12</v>
      </c>
      <c r="H85" s="21" t="s">
        <v>40</v>
      </c>
      <c r="I85" s="21">
        <v>1</v>
      </c>
      <c r="J85" s="21" t="s">
        <v>45</v>
      </c>
      <c r="K85" s="15">
        <f>(VLOOKUP(H85,'[1]BOM Info General'!$A:$L,12,0))*I85</f>
        <v>25.59</v>
      </c>
      <c r="L85" s="22" t="s">
        <v>123</v>
      </c>
      <c r="M85" s="22">
        <v>1</v>
      </c>
      <c r="N85" s="22" t="s">
        <v>120</v>
      </c>
      <c r="O85" s="9">
        <f>(VLOOKUP(L85,'[1]Simulation pricing per sub assy'!$D:$E,2,0))*M85</f>
        <v>87.636400000000037</v>
      </c>
      <c r="P85" s="23">
        <v>0</v>
      </c>
      <c r="Q85" s="23">
        <v>0</v>
      </c>
      <c r="R85" s="23" t="e">
        <v>#N/A</v>
      </c>
      <c r="S85" s="40">
        <v>0</v>
      </c>
      <c r="T85" s="24" t="s">
        <v>35</v>
      </c>
      <c r="U85" s="24">
        <v>1</v>
      </c>
      <c r="V85" s="24" t="s">
        <v>36</v>
      </c>
      <c r="W85" s="17">
        <f>(VLOOKUP(T85,'[1]Simulation pricing per sub assy'!$D:$E,2,0))*U85</f>
        <v>15.3</v>
      </c>
      <c r="X85" s="18" t="s">
        <v>614</v>
      </c>
      <c r="Y85" s="25">
        <v>1</v>
      </c>
      <c r="Z85" s="25" t="s">
        <v>37</v>
      </c>
      <c r="AA85" s="18">
        <f>(VLOOKUP(X85,'[1]Simulation pricing per sub assy'!$D:$E,2,0))*Y85</f>
        <v>2.2786008000000004</v>
      </c>
    </row>
    <row r="86" spans="1:27" x14ac:dyDescent="0.35">
      <c r="A86" s="13" t="s">
        <v>2003</v>
      </c>
      <c r="B86" s="13" t="s">
        <v>2004</v>
      </c>
      <c r="C86" s="42">
        <f t="shared" si="1"/>
        <v>261.47500080000003</v>
      </c>
      <c r="D86" s="20" t="s">
        <v>43</v>
      </c>
      <c r="E86" s="20">
        <v>2</v>
      </c>
      <c r="F86" s="20" t="s">
        <v>3983</v>
      </c>
      <c r="G86" s="14">
        <f>(VLOOKUP(D86,'[1]BOM Info General'!$A:$L,12,0))*E86</f>
        <v>130.12</v>
      </c>
      <c r="H86" s="21" t="s">
        <v>40</v>
      </c>
      <c r="I86" s="21">
        <v>1</v>
      </c>
      <c r="J86" s="21" t="s">
        <v>45</v>
      </c>
      <c r="K86" s="15">
        <f>(VLOOKUP(H86,'[1]BOM Info General'!$A:$L,12,0))*I86</f>
        <v>25.59</v>
      </c>
      <c r="L86" s="22" t="s">
        <v>119</v>
      </c>
      <c r="M86" s="22">
        <v>1</v>
      </c>
      <c r="N86" s="22" t="s">
        <v>122</v>
      </c>
      <c r="O86" s="9">
        <f>(VLOOKUP(L86,'[1]Simulation pricing per sub assy'!$D:$E,2,0))*M86</f>
        <v>88.186400000000035</v>
      </c>
      <c r="P86" s="23">
        <v>0</v>
      </c>
      <c r="Q86" s="23">
        <v>0</v>
      </c>
      <c r="R86" s="23" t="e">
        <v>#N/A</v>
      </c>
      <c r="S86" s="40">
        <v>0</v>
      </c>
      <c r="T86" s="24" t="s">
        <v>35</v>
      </c>
      <c r="U86" s="24">
        <v>1</v>
      </c>
      <c r="V86" s="24" t="s">
        <v>36</v>
      </c>
      <c r="W86" s="17">
        <f>(VLOOKUP(T86,'[1]Simulation pricing per sub assy'!$D:$E,2,0))*U86</f>
        <v>15.3</v>
      </c>
      <c r="X86" s="18" t="s">
        <v>614</v>
      </c>
      <c r="Y86" s="25">
        <v>1</v>
      </c>
      <c r="Z86" s="25" t="s">
        <v>37</v>
      </c>
      <c r="AA86" s="18">
        <f>(VLOOKUP(X86,'[1]Simulation pricing per sub assy'!$D:$E,2,0))*Y86</f>
        <v>2.2786008000000004</v>
      </c>
    </row>
    <row r="87" spans="1:27" x14ac:dyDescent="0.35">
      <c r="A87" s="13" t="s">
        <v>2015</v>
      </c>
      <c r="B87" s="13" t="s">
        <v>2016</v>
      </c>
      <c r="C87" s="42">
        <f t="shared" si="1"/>
        <v>268.06500080000006</v>
      </c>
      <c r="D87" s="20" t="s">
        <v>43</v>
      </c>
      <c r="E87" s="20">
        <v>2</v>
      </c>
      <c r="F87" s="20" t="s">
        <v>3983</v>
      </c>
      <c r="G87" s="14">
        <f>(VLOOKUP(D87,'[1]BOM Info General'!$A:$L,12,0))*E87</f>
        <v>130.12</v>
      </c>
      <c r="H87" s="21" t="s">
        <v>41</v>
      </c>
      <c r="I87" s="21">
        <v>1</v>
      </c>
      <c r="J87" s="21" t="s">
        <v>47</v>
      </c>
      <c r="K87" s="15">
        <f>(VLOOKUP(H87,'[1]BOM Info General'!$A:$L,12,0))*I87</f>
        <v>27.18</v>
      </c>
      <c r="L87" s="22" t="s">
        <v>530</v>
      </c>
      <c r="M87" s="22">
        <v>1</v>
      </c>
      <c r="N87" s="22" t="s">
        <v>124</v>
      </c>
      <c r="O87" s="9">
        <f>(VLOOKUP(L87,'[1]Simulation pricing per sub assy'!$D:$E,2,0))*M87</f>
        <v>93.186400000000035</v>
      </c>
      <c r="P87" s="23">
        <v>0</v>
      </c>
      <c r="Q87" s="23">
        <v>0</v>
      </c>
      <c r="R87" s="23" t="e">
        <v>#N/A</v>
      </c>
      <c r="S87" s="40">
        <v>0</v>
      </c>
      <c r="T87" s="24" t="s">
        <v>35</v>
      </c>
      <c r="U87" s="24">
        <v>1</v>
      </c>
      <c r="V87" s="24" t="s">
        <v>36</v>
      </c>
      <c r="W87" s="17">
        <f>(VLOOKUP(T87,'[1]Simulation pricing per sub assy'!$D:$E,2,0))*U87</f>
        <v>15.3</v>
      </c>
      <c r="X87" s="18" t="s">
        <v>614</v>
      </c>
      <c r="Y87" s="25">
        <v>1</v>
      </c>
      <c r="Z87" s="25" t="s">
        <v>37</v>
      </c>
      <c r="AA87" s="18">
        <f>(VLOOKUP(X87,'[1]Simulation pricing per sub assy'!$D:$E,2,0))*Y87</f>
        <v>2.2786008000000004</v>
      </c>
    </row>
    <row r="88" spans="1:27" x14ac:dyDescent="0.35">
      <c r="A88" s="13" t="s">
        <v>2007</v>
      </c>
      <c r="B88" s="13" t="s">
        <v>2008</v>
      </c>
      <c r="C88" s="42">
        <f t="shared" si="1"/>
        <v>263.06500080000006</v>
      </c>
      <c r="D88" s="20" t="s">
        <v>43</v>
      </c>
      <c r="E88" s="20">
        <v>2</v>
      </c>
      <c r="F88" s="20" t="s">
        <v>3983</v>
      </c>
      <c r="G88" s="14">
        <f>(VLOOKUP(D88,'[1]BOM Info General'!$A:$L,12,0))*E88</f>
        <v>130.12</v>
      </c>
      <c r="H88" s="21" t="s">
        <v>41</v>
      </c>
      <c r="I88" s="21">
        <v>1</v>
      </c>
      <c r="J88" s="21" t="s">
        <v>47</v>
      </c>
      <c r="K88" s="15">
        <f>(VLOOKUP(H88,'[1]BOM Info General'!$A:$L,12,0))*I88</f>
        <v>27.18</v>
      </c>
      <c r="L88" s="22" t="s">
        <v>121</v>
      </c>
      <c r="M88" s="22">
        <v>1</v>
      </c>
      <c r="N88" s="22" t="s">
        <v>118</v>
      </c>
      <c r="O88" s="9">
        <f>(VLOOKUP(L88,'[1]Simulation pricing per sub assy'!$D:$E,2,0))*M88</f>
        <v>88.186400000000035</v>
      </c>
      <c r="P88" s="23">
        <v>0</v>
      </c>
      <c r="Q88" s="23">
        <v>0</v>
      </c>
      <c r="R88" s="23" t="e">
        <v>#N/A</v>
      </c>
      <c r="S88" s="40">
        <v>0</v>
      </c>
      <c r="T88" s="24" t="s">
        <v>35</v>
      </c>
      <c r="U88" s="24">
        <v>1</v>
      </c>
      <c r="V88" s="24" t="s">
        <v>36</v>
      </c>
      <c r="W88" s="17">
        <f>(VLOOKUP(T88,'[1]Simulation pricing per sub assy'!$D:$E,2,0))*U88</f>
        <v>15.3</v>
      </c>
      <c r="X88" s="18" t="s">
        <v>614</v>
      </c>
      <c r="Y88" s="25">
        <v>1</v>
      </c>
      <c r="Z88" s="25" t="s">
        <v>37</v>
      </c>
      <c r="AA88" s="18">
        <f>(VLOOKUP(X88,'[1]Simulation pricing per sub assy'!$D:$E,2,0))*Y88</f>
        <v>2.2786008000000004</v>
      </c>
    </row>
    <row r="89" spans="1:27" x14ac:dyDescent="0.35">
      <c r="A89" s="13" t="s">
        <v>2011</v>
      </c>
      <c r="B89" s="13" t="s">
        <v>2012</v>
      </c>
      <c r="C89" s="42">
        <f t="shared" si="1"/>
        <v>263.06500080000006</v>
      </c>
      <c r="D89" s="20" t="s">
        <v>43</v>
      </c>
      <c r="E89" s="20">
        <v>2</v>
      </c>
      <c r="F89" s="20" t="s">
        <v>3983</v>
      </c>
      <c r="G89" s="14">
        <f>(VLOOKUP(D89,'[1]BOM Info General'!$A:$L,12,0))*E89</f>
        <v>130.12</v>
      </c>
      <c r="H89" s="21" t="s">
        <v>41</v>
      </c>
      <c r="I89" s="21">
        <v>1</v>
      </c>
      <c r="J89" s="21" t="s">
        <v>47</v>
      </c>
      <c r="K89" s="15">
        <f>(VLOOKUP(H89,'[1]BOM Info General'!$A:$L,12,0))*I89</f>
        <v>27.18</v>
      </c>
      <c r="L89" s="22" t="s">
        <v>117</v>
      </c>
      <c r="M89" s="22">
        <v>1</v>
      </c>
      <c r="N89" s="22" t="s">
        <v>116</v>
      </c>
      <c r="O89" s="9">
        <f>(VLOOKUP(L89,'[1]Simulation pricing per sub assy'!$D:$E,2,0))*M89</f>
        <v>88.186400000000035</v>
      </c>
      <c r="P89" s="23">
        <v>0</v>
      </c>
      <c r="Q89" s="23">
        <v>0</v>
      </c>
      <c r="R89" s="23" t="e">
        <v>#N/A</v>
      </c>
      <c r="S89" s="40">
        <v>0</v>
      </c>
      <c r="T89" s="24" t="s">
        <v>35</v>
      </c>
      <c r="U89" s="24">
        <v>1</v>
      </c>
      <c r="V89" s="24" t="s">
        <v>36</v>
      </c>
      <c r="W89" s="17">
        <f>(VLOOKUP(T89,'[1]Simulation pricing per sub assy'!$D:$E,2,0))*U89</f>
        <v>15.3</v>
      </c>
      <c r="X89" s="18" t="s">
        <v>614</v>
      </c>
      <c r="Y89" s="25">
        <v>1</v>
      </c>
      <c r="Z89" s="25" t="s">
        <v>37</v>
      </c>
      <c r="AA89" s="18">
        <f>(VLOOKUP(X89,'[1]Simulation pricing per sub assy'!$D:$E,2,0))*Y89</f>
        <v>2.2786008000000004</v>
      </c>
    </row>
    <row r="90" spans="1:27" x14ac:dyDescent="0.35">
      <c r="A90" s="13" t="s">
        <v>2009</v>
      </c>
      <c r="B90" s="13" t="s">
        <v>2010</v>
      </c>
      <c r="C90" s="42">
        <f t="shared" si="1"/>
        <v>262.51500080000005</v>
      </c>
      <c r="D90" s="20" t="s">
        <v>43</v>
      </c>
      <c r="E90" s="20">
        <v>2</v>
      </c>
      <c r="F90" s="20" t="s">
        <v>3983</v>
      </c>
      <c r="G90" s="14">
        <f>(VLOOKUP(D90,'[1]BOM Info General'!$A:$L,12,0))*E90</f>
        <v>130.12</v>
      </c>
      <c r="H90" s="21" t="s">
        <v>41</v>
      </c>
      <c r="I90" s="21">
        <v>1</v>
      </c>
      <c r="J90" s="21" t="s">
        <v>47</v>
      </c>
      <c r="K90" s="15">
        <f>(VLOOKUP(H90,'[1]BOM Info General'!$A:$L,12,0))*I90</f>
        <v>27.18</v>
      </c>
      <c r="L90" s="22" t="s">
        <v>123</v>
      </c>
      <c r="M90" s="22">
        <v>1</v>
      </c>
      <c r="N90" s="22" t="s">
        <v>120</v>
      </c>
      <c r="O90" s="9">
        <f>(VLOOKUP(L90,'[1]Simulation pricing per sub assy'!$D:$E,2,0))*M90</f>
        <v>87.636400000000037</v>
      </c>
      <c r="P90" s="23">
        <v>0</v>
      </c>
      <c r="Q90" s="23">
        <v>0</v>
      </c>
      <c r="R90" s="23" t="e">
        <v>#N/A</v>
      </c>
      <c r="S90" s="40">
        <v>0</v>
      </c>
      <c r="T90" s="24" t="s">
        <v>35</v>
      </c>
      <c r="U90" s="24">
        <v>1</v>
      </c>
      <c r="V90" s="24" t="s">
        <v>36</v>
      </c>
      <c r="W90" s="17">
        <f>(VLOOKUP(T90,'[1]Simulation pricing per sub assy'!$D:$E,2,0))*U90</f>
        <v>15.3</v>
      </c>
      <c r="X90" s="18" t="s">
        <v>614</v>
      </c>
      <c r="Y90" s="25">
        <v>1</v>
      </c>
      <c r="Z90" s="25" t="s">
        <v>37</v>
      </c>
      <c r="AA90" s="18">
        <f>(VLOOKUP(X90,'[1]Simulation pricing per sub assy'!$D:$E,2,0))*Y90</f>
        <v>2.2786008000000004</v>
      </c>
    </row>
    <row r="91" spans="1:27" x14ac:dyDescent="0.35">
      <c r="A91" s="13" t="s">
        <v>2013</v>
      </c>
      <c r="B91" s="13" t="s">
        <v>2014</v>
      </c>
      <c r="C91" s="42">
        <f t="shared" si="1"/>
        <v>263.06500080000006</v>
      </c>
      <c r="D91" s="20" t="s">
        <v>43</v>
      </c>
      <c r="E91" s="20">
        <v>2</v>
      </c>
      <c r="F91" s="20" t="s">
        <v>3983</v>
      </c>
      <c r="G91" s="14">
        <f>(VLOOKUP(D91,'[1]BOM Info General'!$A:$L,12,0))*E91</f>
        <v>130.12</v>
      </c>
      <c r="H91" s="21" t="s">
        <v>41</v>
      </c>
      <c r="I91" s="21">
        <v>1</v>
      </c>
      <c r="J91" s="21" t="s">
        <v>47</v>
      </c>
      <c r="K91" s="15">
        <f>(VLOOKUP(H91,'[1]BOM Info General'!$A:$L,12,0))*I91</f>
        <v>27.18</v>
      </c>
      <c r="L91" s="22" t="s">
        <v>119</v>
      </c>
      <c r="M91" s="22">
        <v>1</v>
      </c>
      <c r="N91" s="22" t="s">
        <v>122</v>
      </c>
      <c r="O91" s="9">
        <f>(VLOOKUP(L91,'[1]Simulation pricing per sub assy'!$D:$E,2,0))*M91</f>
        <v>88.186400000000035</v>
      </c>
      <c r="P91" s="23">
        <v>0</v>
      </c>
      <c r="Q91" s="23">
        <v>0</v>
      </c>
      <c r="R91" s="23" t="e">
        <v>#N/A</v>
      </c>
      <c r="S91" s="40">
        <v>0</v>
      </c>
      <c r="T91" s="24" t="s">
        <v>35</v>
      </c>
      <c r="U91" s="24">
        <v>1</v>
      </c>
      <c r="V91" s="24" t="s">
        <v>36</v>
      </c>
      <c r="W91" s="17">
        <f>(VLOOKUP(T91,'[1]Simulation pricing per sub assy'!$D:$E,2,0))*U91</f>
        <v>15.3</v>
      </c>
      <c r="X91" s="18" t="s">
        <v>614</v>
      </c>
      <c r="Y91" s="25">
        <v>1</v>
      </c>
      <c r="Z91" s="25" t="s">
        <v>37</v>
      </c>
      <c r="AA91" s="18">
        <f>(VLOOKUP(X91,'[1]Simulation pricing per sub assy'!$D:$E,2,0))*Y91</f>
        <v>2.2786008000000004</v>
      </c>
    </row>
    <row r="92" spans="1:27" x14ac:dyDescent="0.35">
      <c r="A92" s="13" t="s">
        <v>2025</v>
      </c>
      <c r="B92" s="13" t="s">
        <v>2026</v>
      </c>
      <c r="C92" s="42">
        <f t="shared" si="1"/>
        <v>268.06500080000006</v>
      </c>
      <c r="D92" s="20" t="s">
        <v>43</v>
      </c>
      <c r="E92" s="20">
        <v>2</v>
      </c>
      <c r="F92" s="20" t="s">
        <v>3983</v>
      </c>
      <c r="G92" s="14">
        <f>(VLOOKUP(D92,'[1]BOM Info General'!$A:$L,12,0))*E92</f>
        <v>130.12</v>
      </c>
      <c r="H92" s="21" t="s">
        <v>41</v>
      </c>
      <c r="I92" s="21">
        <v>1</v>
      </c>
      <c r="J92" s="21" t="s">
        <v>47</v>
      </c>
      <c r="K92" s="15">
        <f>(VLOOKUP(H92,'[1]BOM Info General'!$A:$L,12,0))*I92</f>
        <v>27.18</v>
      </c>
      <c r="L92" s="22" t="s">
        <v>530</v>
      </c>
      <c r="M92" s="22">
        <v>1</v>
      </c>
      <c r="N92" s="22" t="s">
        <v>124</v>
      </c>
      <c r="O92" s="9">
        <f>(VLOOKUP(L92,'[1]Simulation pricing per sub assy'!$D:$E,2,0))*M92</f>
        <v>93.186400000000035</v>
      </c>
      <c r="P92" s="23">
        <v>0</v>
      </c>
      <c r="Q92" s="23">
        <v>0</v>
      </c>
      <c r="R92" s="23" t="e">
        <v>#N/A</v>
      </c>
      <c r="S92" s="40">
        <v>0</v>
      </c>
      <c r="T92" s="24" t="s">
        <v>35</v>
      </c>
      <c r="U92" s="24">
        <v>1</v>
      </c>
      <c r="V92" s="24" t="s">
        <v>36</v>
      </c>
      <c r="W92" s="17">
        <f>(VLOOKUP(T92,'[1]Simulation pricing per sub assy'!$D:$E,2,0))*U92</f>
        <v>15.3</v>
      </c>
      <c r="X92" s="18" t="s">
        <v>614</v>
      </c>
      <c r="Y92" s="25">
        <v>1</v>
      </c>
      <c r="Z92" s="25" t="s">
        <v>37</v>
      </c>
      <c r="AA92" s="18">
        <f>(VLOOKUP(X92,'[1]Simulation pricing per sub assy'!$D:$E,2,0))*Y92</f>
        <v>2.2786008000000004</v>
      </c>
    </row>
    <row r="93" spans="1:27" x14ac:dyDescent="0.35">
      <c r="A93" s="13" t="s">
        <v>2017</v>
      </c>
      <c r="B93" s="13" t="s">
        <v>2018</v>
      </c>
      <c r="C93" s="42">
        <f t="shared" si="1"/>
        <v>263.06500080000006</v>
      </c>
      <c r="D93" s="20" t="s">
        <v>43</v>
      </c>
      <c r="E93" s="20">
        <v>2</v>
      </c>
      <c r="F93" s="20" t="s">
        <v>3983</v>
      </c>
      <c r="G93" s="14">
        <f>(VLOOKUP(D93,'[1]BOM Info General'!$A:$L,12,0))*E93</f>
        <v>130.12</v>
      </c>
      <c r="H93" s="21" t="s">
        <v>41</v>
      </c>
      <c r="I93" s="21">
        <v>1</v>
      </c>
      <c r="J93" s="21" t="s">
        <v>47</v>
      </c>
      <c r="K93" s="15">
        <f>(VLOOKUP(H93,'[1]BOM Info General'!$A:$L,12,0))*I93</f>
        <v>27.18</v>
      </c>
      <c r="L93" s="22" t="s">
        <v>121</v>
      </c>
      <c r="M93" s="22">
        <v>1</v>
      </c>
      <c r="N93" s="22" t="s">
        <v>118</v>
      </c>
      <c r="O93" s="9">
        <f>(VLOOKUP(L93,'[1]Simulation pricing per sub assy'!$D:$E,2,0))*M93</f>
        <v>88.186400000000035</v>
      </c>
      <c r="P93" s="23">
        <v>0</v>
      </c>
      <c r="Q93" s="23">
        <v>0</v>
      </c>
      <c r="R93" s="23" t="e">
        <v>#N/A</v>
      </c>
      <c r="S93" s="40">
        <v>0</v>
      </c>
      <c r="T93" s="24" t="s">
        <v>35</v>
      </c>
      <c r="U93" s="24">
        <v>1</v>
      </c>
      <c r="V93" s="24" t="s">
        <v>36</v>
      </c>
      <c r="W93" s="17">
        <f>(VLOOKUP(T93,'[1]Simulation pricing per sub assy'!$D:$E,2,0))*U93</f>
        <v>15.3</v>
      </c>
      <c r="X93" s="18" t="s">
        <v>614</v>
      </c>
      <c r="Y93" s="25">
        <v>1</v>
      </c>
      <c r="Z93" s="25" t="s">
        <v>37</v>
      </c>
      <c r="AA93" s="18">
        <f>(VLOOKUP(X93,'[1]Simulation pricing per sub assy'!$D:$E,2,0))*Y93</f>
        <v>2.2786008000000004</v>
      </c>
    </row>
    <row r="94" spans="1:27" x14ac:dyDescent="0.35">
      <c r="A94" s="13" t="s">
        <v>2021</v>
      </c>
      <c r="B94" s="13" t="s">
        <v>2022</v>
      </c>
      <c r="C94" s="42">
        <f t="shared" si="1"/>
        <v>263.06500080000006</v>
      </c>
      <c r="D94" s="20" t="s">
        <v>43</v>
      </c>
      <c r="E94" s="20">
        <v>2</v>
      </c>
      <c r="F94" s="20" t="s">
        <v>3983</v>
      </c>
      <c r="G94" s="14">
        <f>(VLOOKUP(D94,'[1]BOM Info General'!$A:$L,12,0))*E94</f>
        <v>130.12</v>
      </c>
      <c r="H94" s="21" t="s">
        <v>41</v>
      </c>
      <c r="I94" s="21">
        <v>1</v>
      </c>
      <c r="J94" s="21" t="s">
        <v>47</v>
      </c>
      <c r="K94" s="15">
        <f>(VLOOKUP(H94,'[1]BOM Info General'!$A:$L,12,0))*I94</f>
        <v>27.18</v>
      </c>
      <c r="L94" s="22" t="s">
        <v>117</v>
      </c>
      <c r="M94" s="22">
        <v>1</v>
      </c>
      <c r="N94" s="22" t="s">
        <v>116</v>
      </c>
      <c r="O94" s="9">
        <f>(VLOOKUP(L94,'[1]Simulation pricing per sub assy'!$D:$E,2,0))*M94</f>
        <v>88.186400000000035</v>
      </c>
      <c r="P94" s="23">
        <v>0</v>
      </c>
      <c r="Q94" s="23">
        <v>0</v>
      </c>
      <c r="R94" s="23" t="e">
        <v>#N/A</v>
      </c>
      <c r="S94" s="40">
        <v>0</v>
      </c>
      <c r="T94" s="24" t="s">
        <v>35</v>
      </c>
      <c r="U94" s="24">
        <v>1</v>
      </c>
      <c r="V94" s="24" t="s">
        <v>36</v>
      </c>
      <c r="W94" s="17">
        <f>(VLOOKUP(T94,'[1]Simulation pricing per sub assy'!$D:$E,2,0))*U94</f>
        <v>15.3</v>
      </c>
      <c r="X94" s="18" t="s">
        <v>614</v>
      </c>
      <c r="Y94" s="25">
        <v>1</v>
      </c>
      <c r="Z94" s="25" t="s">
        <v>37</v>
      </c>
      <c r="AA94" s="18">
        <f>(VLOOKUP(X94,'[1]Simulation pricing per sub assy'!$D:$E,2,0))*Y94</f>
        <v>2.2786008000000004</v>
      </c>
    </row>
    <row r="95" spans="1:27" x14ac:dyDescent="0.35">
      <c r="A95" s="13" t="s">
        <v>2019</v>
      </c>
      <c r="B95" s="13" t="s">
        <v>2020</v>
      </c>
      <c r="C95" s="42">
        <f t="shared" si="1"/>
        <v>262.51500080000005</v>
      </c>
      <c r="D95" s="20" t="s">
        <v>43</v>
      </c>
      <c r="E95" s="20">
        <v>2</v>
      </c>
      <c r="F95" s="20" t="s">
        <v>3983</v>
      </c>
      <c r="G95" s="14">
        <f>(VLOOKUP(D95,'[1]BOM Info General'!$A:$L,12,0))*E95</f>
        <v>130.12</v>
      </c>
      <c r="H95" s="21" t="s">
        <v>41</v>
      </c>
      <c r="I95" s="21">
        <v>1</v>
      </c>
      <c r="J95" s="21" t="s">
        <v>47</v>
      </c>
      <c r="K95" s="15">
        <f>(VLOOKUP(H95,'[1]BOM Info General'!$A:$L,12,0))*I95</f>
        <v>27.18</v>
      </c>
      <c r="L95" s="22" t="s">
        <v>123</v>
      </c>
      <c r="M95" s="22">
        <v>1</v>
      </c>
      <c r="N95" s="22" t="s">
        <v>120</v>
      </c>
      <c r="O95" s="9">
        <f>(VLOOKUP(L95,'[1]Simulation pricing per sub assy'!$D:$E,2,0))*M95</f>
        <v>87.636400000000037</v>
      </c>
      <c r="P95" s="23">
        <v>0</v>
      </c>
      <c r="Q95" s="23">
        <v>0</v>
      </c>
      <c r="R95" s="23" t="e">
        <v>#N/A</v>
      </c>
      <c r="S95" s="40">
        <v>0</v>
      </c>
      <c r="T95" s="24" t="s">
        <v>35</v>
      </c>
      <c r="U95" s="24">
        <v>1</v>
      </c>
      <c r="V95" s="24" t="s">
        <v>36</v>
      </c>
      <c r="W95" s="17">
        <f>(VLOOKUP(T95,'[1]Simulation pricing per sub assy'!$D:$E,2,0))*U95</f>
        <v>15.3</v>
      </c>
      <c r="X95" s="18" t="s">
        <v>614</v>
      </c>
      <c r="Y95" s="25">
        <v>1</v>
      </c>
      <c r="Z95" s="25" t="s">
        <v>37</v>
      </c>
      <c r="AA95" s="18">
        <f>(VLOOKUP(X95,'[1]Simulation pricing per sub assy'!$D:$E,2,0))*Y95</f>
        <v>2.2786008000000004</v>
      </c>
    </row>
    <row r="96" spans="1:27" x14ac:dyDescent="0.35">
      <c r="A96" s="13" t="s">
        <v>2023</v>
      </c>
      <c r="B96" s="13" t="s">
        <v>2024</v>
      </c>
      <c r="C96" s="42">
        <f t="shared" si="1"/>
        <v>263.06500080000006</v>
      </c>
      <c r="D96" s="20" t="s">
        <v>43</v>
      </c>
      <c r="E96" s="20">
        <v>2</v>
      </c>
      <c r="F96" s="20" t="s">
        <v>3983</v>
      </c>
      <c r="G96" s="14">
        <f>(VLOOKUP(D96,'[1]BOM Info General'!$A:$L,12,0))*E96</f>
        <v>130.12</v>
      </c>
      <c r="H96" s="21" t="s">
        <v>41</v>
      </c>
      <c r="I96" s="21">
        <v>1</v>
      </c>
      <c r="J96" s="21" t="s">
        <v>47</v>
      </c>
      <c r="K96" s="15">
        <f>(VLOOKUP(H96,'[1]BOM Info General'!$A:$L,12,0))*I96</f>
        <v>27.18</v>
      </c>
      <c r="L96" s="22" t="s">
        <v>119</v>
      </c>
      <c r="M96" s="22">
        <v>1</v>
      </c>
      <c r="N96" s="22" t="s">
        <v>122</v>
      </c>
      <c r="O96" s="9">
        <f>(VLOOKUP(L96,'[1]Simulation pricing per sub assy'!$D:$E,2,0))*M96</f>
        <v>88.186400000000035</v>
      </c>
      <c r="P96" s="23">
        <v>0</v>
      </c>
      <c r="Q96" s="23">
        <v>0</v>
      </c>
      <c r="R96" s="23" t="e">
        <v>#N/A</v>
      </c>
      <c r="S96" s="40">
        <v>0</v>
      </c>
      <c r="T96" s="24" t="s">
        <v>35</v>
      </c>
      <c r="U96" s="24">
        <v>1</v>
      </c>
      <c r="V96" s="24" t="s">
        <v>36</v>
      </c>
      <c r="W96" s="17">
        <f>(VLOOKUP(T96,'[1]Simulation pricing per sub assy'!$D:$E,2,0))*U96</f>
        <v>15.3</v>
      </c>
      <c r="X96" s="18" t="s">
        <v>614</v>
      </c>
      <c r="Y96" s="25">
        <v>1</v>
      </c>
      <c r="Z96" s="25" t="s">
        <v>37</v>
      </c>
      <c r="AA96" s="18">
        <f>(VLOOKUP(X96,'[1]Simulation pricing per sub assy'!$D:$E,2,0))*Y96</f>
        <v>2.2786008000000004</v>
      </c>
    </row>
    <row r="97" spans="1:27" x14ac:dyDescent="0.35">
      <c r="A97" s="13" t="s">
        <v>521</v>
      </c>
      <c r="B97" s="13" t="s">
        <v>4019</v>
      </c>
      <c r="C97" s="42">
        <f t="shared" si="1"/>
        <v>268.06500080000006</v>
      </c>
      <c r="D97" s="14" t="s">
        <v>43</v>
      </c>
      <c r="E97" s="14">
        <v>2</v>
      </c>
      <c r="F97" s="14" t="s">
        <v>3983</v>
      </c>
      <c r="G97" s="14">
        <f>(VLOOKUP(D97,'[1]BOM Info General'!$A:$L,12,0))*E97</f>
        <v>130.12</v>
      </c>
      <c r="H97" s="15" t="s">
        <v>41</v>
      </c>
      <c r="I97" s="15">
        <v>1</v>
      </c>
      <c r="J97" s="15" t="s">
        <v>47</v>
      </c>
      <c r="K97" s="15">
        <f>(VLOOKUP(H97,'[1]BOM Info General'!$A:$L,12,0))*I97</f>
        <v>27.18</v>
      </c>
      <c r="L97" s="9" t="s">
        <v>530</v>
      </c>
      <c r="M97" s="9">
        <v>1</v>
      </c>
      <c r="N97" s="9" t="s">
        <v>124</v>
      </c>
      <c r="O97" s="9">
        <f>(VLOOKUP(L97,'[1]Simulation pricing per sub assy'!$D:$E,2,0))*M97</f>
        <v>93.186400000000035</v>
      </c>
      <c r="P97" s="16">
        <v>0</v>
      </c>
      <c r="Q97" s="16">
        <v>0</v>
      </c>
      <c r="R97" s="16" t="e">
        <v>#N/A</v>
      </c>
      <c r="S97" s="40">
        <v>0</v>
      </c>
      <c r="T97" s="17" t="s">
        <v>35</v>
      </c>
      <c r="U97" s="17">
        <v>1</v>
      </c>
      <c r="V97" s="17" t="s">
        <v>36</v>
      </c>
      <c r="W97" s="17">
        <f>(VLOOKUP(T97,'[1]Simulation pricing per sub assy'!$D:$E,2,0))*U97</f>
        <v>15.3</v>
      </c>
      <c r="X97" s="18" t="s">
        <v>614</v>
      </c>
      <c r="Y97" s="18">
        <v>1</v>
      </c>
      <c r="Z97" s="18" t="s">
        <v>37</v>
      </c>
      <c r="AA97" s="18">
        <f>(VLOOKUP(X97,'[1]Simulation pricing per sub assy'!$D:$E,2,0))*Y97</f>
        <v>2.2786008000000004</v>
      </c>
    </row>
    <row r="98" spans="1:27" x14ac:dyDescent="0.35">
      <c r="A98" s="13" t="s">
        <v>513</v>
      </c>
      <c r="B98" s="13" t="s">
        <v>4020</v>
      </c>
      <c r="C98" s="42">
        <f t="shared" si="1"/>
        <v>263.06500080000006</v>
      </c>
      <c r="D98" s="14" t="s">
        <v>43</v>
      </c>
      <c r="E98" s="14">
        <v>2</v>
      </c>
      <c r="F98" s="14" t="s">
        <v>3983</v>
      </c>
      <c r="G98" s="14">
        <f>(VLOOKUP(D98,'[1]BOM Info General'!$A:$L,12,0))*E98</f>
        <v>130.12</v>
      </c>
      <c r="H98" s="15" t="s">
        <v>41</v>
      </c>
      <c r="I98" s="15">
        <v>1</v>
      </c>
      <c r="J98" s="15" t="s">
        <v>47</v>
      </c>
      <c r="K98" s="15">
        <f>(VLOOKUP(H98,'[1]BOM Info General'!$A:$L,12,0))*I98</f>
        <v>27.18</v>
      </c>
      <c r="L98" s="9" t="s">
        <v>121</v>
      </c>
      <c r="M98" s="9">
        <v>1</v>
      </c>
      <c r="N98" s="9" t="s">
        <v>118</v>
      </c>
      <c r="O98" s="9">
        <f>(VLOOKUP(L98,'[1]Simulation pricing per sub assy'!$D:$E,2,0))*M98</f>
        <v>88.186400000000035</v>
      </c>
      <c r="P98" s="16">
        <v>0</v>
      </c>
      <c r="Q98" s="16">
        <v>0</v>
      </c>
      <c r="R98" s="16" t="e">
        <v>#N/A</v>
      </c>
      <c r="S98" s="40">
        <v>0</v>
      </c>
      <c r="T98" s="17" t="s">
        <v>35</v>
      </c>
      <c r="U98" s="17">
        <v>1</v>
      </c>
      <c r="V98" s="17" t="s">
        <v>36</v>
      </c>
      <c r="W98" s="17">
        <f>(VLOOKUP(T98,'[1]Simulation pricing per sub assy'!$D:$E,2,0))*U98</f>
        <v>15.3</v>
      </c>
      <c r="X98" s="18" t="s">
        <v>614</v>
      </c>
      <c r="Y98" s="18">
        <v>1</v>
      </c>
      <c r="Z98" s="18" t="s">
        <v>37</v>
      </c>
      <c r="AA98" s="18">
        <f>(VLOOKUP(X98,'[1]Simulation pricing per sub assy'!$D:$E,2,0))*Y98</f>
        <v>2.2786008000000004</v>
      </c>
    </row>
    <row r="99" spans="1:27" x14ac:dyDescent="0.35">
      <c r="A99" s="13" t="s">
        <v>517</v>
      </c>
      <c r="B99" s="13" t="s">
        <v>4021</v>
      </c>
      <c r="C99" s="42">
        <f t="shared" si="1"/>
        <v>263.06500080000006</v>
      </c>
      <c r="D99" s="14" t="s">
        <v>43</v>
      </c>
      <c r="E99" s="14">
        <v>2</v>
      </c>
      <c r="F99" s="14" t="s">
        <v>3983</v>
      </c>
      <c r="G99" s="14">
        <f>(VLOOKUP(D99,'[1]BOM Info General'!$A:$L,12,0))*E99</f>
        <v>130.12</v>
      </c>
      <c r="H99" s="15" t="s">
        <v>41</v>
      </c>
      <c r="I99" s="15">
        <v>1</v>
      </c>
      <c r="J99" s="15" t="s">
        <v>47</v>
      </c>
      <c r="K99" s="15">
        <f>(VLOOKUP(H99,'[1]BOM Info General'!$A:$L,12,0))*I99</f>
        <v>27.18</v>
      </c>
      <c r="L99" s="9" t="s">
        <v>117</v>
      </c>
      <c r="M99" s="9">
        <v>1</v>
      </c>
      <c r="N99" s="9" t="s">
        <v>116</v>
      </c>
      <c r="O99" s="9">
        <f>(VLOOKUP(L99,'[1]Simulation pricing per sub assy'!$D:$E,2,0))*M99</f>
        <v>88.186400000000035</v>
      </c>
      <c r="P99" s="16">
        <v>0</v>
      </c>
      <c r="Q99" s="16">
        <v>0</v>
      </c>
      <c r="R99" s="16" t="e">
        <v>#N/A</v>
      </c>
      <c r="S99" s="40">
        <v>0</v>
      </c>
      <c r="T99" s="17" t="s">
        <v>35</v>
      </c>
      <c r="U99" s="17">
        <v>1</v>
      </c>
      <c r="V99" s="17" t="s">
        <v>36</v>
      </c>
      <c r="W99" s="17">
        <f>(VLOOKUP(T99,'[1]Simulation pricing per sub assy'!$D:$E,2,0))*U99</f>
        <v>15.3</v>
      </c>
      <c r="X99" s="18" t="s">
        <v>614</v>
      </c>
      <c r="Y99" s="18">
        <v>1</v>
      </c>
      <c r="Z99" s="18" t="s">
        <v>37</v>
      </c>
      <c r="AA99" s="18">
        <f>(VLOOKUP(X99,'[1]Simulation pricing per sub assy'!$D:$E,2,0))*Y99</f>
        <v>2.2786008000000004</v>
      </c>
    </row>
    <row r="100" spans="1:27" x14ac:dyDescent="0.35">
      <c r="A100" s="13" t="s">
        <v>515</v>
      </c>
      <c r="B100" s="13" t="s">
        <v>4022</v>
      </c>
      <c r="C100" s="42">
        <f t="shared" si="1"/>
        <v>262.51500080000005</v>
      </c>
      <c r="D100" s="14" t="s">
        <v>43</v>
      </c>
      <c r="E100" s="14">
        <v>2</v>
      </c>
      <c r="F100" s="14" t="s">
        <v>3983</v>
      </c>
      <c r="G100" s="14">
        <f>(VLOOKUP(D100,'[1]BOM Info General'!$A:$L,12,0))*E100</f>
        <v>130.12</v>
      </c>
      <c r="H100" s="15" t="s">
        <v>41</v>
      </c>
      <c r="I100" s="15">
        <v>1</v>
      </c>
      <c r="J100" s="15" t="s">
        <v>47</v>
      </c>
      <c r="K100" s="15">
        <f>(VLOOKUP(H100,'[1]BOM Info General'!$A:$L,12,0))*I100</f>
        <v>27.18</v>
      </c>
      <c r="L100" s="9" t="s">
        <v>123</v>
      </c>
      <c r="M100" s="9">
        <v>1</v>
      </c>
      <c r="N100" s="9" t="s">
        <v>120</v>
      </c>
      <c r="O100" s="9">
        <f>(VLOOKUP(L100,'[1]Simulation pricing per sub assy'!$D:$E,2,0))*M100</f>
        <v>87.636400000000037</v>
      </c>
      <c r="P100" s="16">
        <v>0</v>
      </c>
      <c r="Q100" s="16">
        <v>0</v>
      </c>
      <c r="R100" s="16" t="e">
        <v>#N/A</v>
      </c>
      <c r="S100" s="40">
        <v>0</v>
      </c>
      <c r="T100" s="17" t="s">
        <v>35</v>
      </c>
      <c r="U100" s="17">
        <v>1</v>
      </c>
      <c r="V100" s="17" t="s">
        <v>36</v>
      </c>
      <c r="W100" s="17">
        <f>(VLOOKUP(T100,'[1]Simulation pricing per sub assy'!$D:$E,2,0))*U100</f>
        <v>15.3</v>
      </c>
      <c r="X100" s="18" t="s">
        <v>614</v>
      </c>
      <c r="Y100" s="18">
        <v>1</v>
      </c>
      <c r="Z100" s="18" t="s">
        <v>37</v>
      </c>
      <c r="AA100" s="18">
        <f>(VLOOKUP(X100,'[1]Simulation pricing per sub assy'!$D:$E,2,0))*Y100</f>
        <v>2.2786008000000004</v>
      </c>
    </row>
    <row r="101" spans="1:27" x14ac:dyDescent="0.35">
      <c r="A101" s="13" t="s">
        <v>519</v>
      </c>
      <c r="B101" s="13" t="s">
        <v>4023</v>
      </c>
      <c r="C101" s="42">
        <f t="shared" si="1"/>
        <v>263.06500080000006</v>
      </c>
      <c r="D101" s="14" t="s">
        <v>43</v>
      </c>
      <c r="E101" s="14">
        <v>2</v>
      </c>
      <c r="F101" s="14" t="s">
        <v>3983</v>
      </c>
      <c r="G101" s="14">
        <f>(VLOOKUP(D101,'[1]BOM Info General'!$A:$L,12,0))*E101</f>
        <v>130.12</v>
      </c>
      <c r="H101" s="15" t="s">
        <v>41</v>
      </c>
      <c r="I101" s="15">
        <v>1</v>
      </c>
      <c r="J101" s="15" t="s">
        <v>47</v>
      </c>
      <c r="K101" s="15">
        <f>(VLOOKUP(H101,'[1]BOM Info General'!$A:$L,12,0))*I101</f>
        <v>27.18</v>
      </c>
      <c r="L101" s="9" t="s">
        <v>119</v>
      </c>
      <c r="M101" s="9">
        <v>1</v>
      </c>
      <c r="N101" s="9" t="s">
        <v>122</v>
      </c>
      <c r="O101" s="9">
        <f>(VLOOKUP(L101,'[1]Simulation pricing per sub assy'!$D:$E,2,0))*M101</f>
        <v>88.186400000000035</v>
      </c>
      <c r="P101" s="16">
        <v>0</v>
      </c>
      <c r="Q101" s="16">
        <v>0</v>
      </c>
      <c r="R101" s="16" t="e">
        <v>#N/A</v>
      </c>
      <c r="S101" s="40">
        <v>0</v>
      </c>
      <c r="T101" s="17" t="s">
        <v>35</v>
      </c>
      <c r="U101" s="17">
        <v>1</v>
      </c>
      <c r="V101" s="17" t="s">
        <v>36</v>
      </c>
      <c r="W101" s="17">
        <f>(VLOOKUP(T101,'[1]Simulation pricing per sub assy'!$D:$E,2,0))*U101</f>
        <v>15.3</v>
      </c>
      <c r="X101" s="18" t="s">
        <v>614</v>
      </c>
      <c r="Y101" s="18">
        <v>1</v>
      </c>
      <c r="Z101" s="18" t="s">
        <v>37</v>
      </c>
      <c r="AA101" s="18">
        <f>(VLOOKUP(X101,'[1]Simulation pricing per sub assy'!$D:$E,2,0))*Y101</f>
        <v>2.2786008000000004</v>
      </c>
    </row>
    <row r="102" spans="1:27" x14ac:dyDescent="0.35">
      <c r="A102" s="13" t="s">
        <v>555</v>
      </c>
      <c r="B102" s="13" t="s">
        <v>4024</v>
      </c>
      <c r="C102" s="42">
        <f t="shared" si="1"/>
        <v>111.01578079999999</v>
      </c>
      <c r="D102" s="14" t="s">
        <v>42</v>
      </c>
      <c r="E102" s="14">
        <v>1</v>
      </c>
      <c r="F102" s="14" t="s">
        <v>3982</v>
      </c>
      <c r="G102" s="14">
        <f>(VLOOKUP(D102,'[1]BOM Info General'!$A:$L,12,0))*E102</f>
        <v>35.56</v>
      </c>
      <c r="H102" s="15" t="s">
        <v>39</v>
      </c>
      <c r="I102" s="15">
        <v>1</v>
      </c>
      <c r="J102" s="15" t="s">
        <v>46</v>
      </c>
      <c r="K102" s="15">
        <f>(VLOOKUP(H102,'[1]BOM Info General'!$A:$L,12,0))*I102</f>
        <v>24.42</v>
      </c>
      <c r="L102" s="9" t="s">
        <v>523</v>
      </c>
      <c r="M102" s="9">
        <v>1</v>
      </c>
      <c r="N102" s="9" t="s">
        <v>61</v>
      </c>
      <c r="O102" s="9">
        <f>(VLOOKUP(L102,'[1]Simulation pricing per sub assy'!$D:$E,2,0))*M102</f>
        <v>42.308799999999991</v>
      </c>
      <c r="P102" s="16" t="s">
        <v>50</v>
      </c>
      <c r="Q102" s="16">
        <v>2</v>
      </c>
      <c r="R102" s="16" t="s">
        <v>611</v>
      </c>
      <c r="S102" s="40">
        <f>(VLOOKUP(P102,'[1]BOM Info General'!$A:$L,12,0))*Q102</f>
        <v>5.3</v>
      </c>
      <c r="T102" s="17" t="s">
        <v>7</v>
      </c>
      <c r="U102" s="17">
        <v>1</v>
      </c>
      <c r="V102" s="17" t="s">
        <v>8</v>
      </c>
      <c r="W102" s="17">
        <f>(VLOOKUP(T102,'[1]Simulation pricing per sub assy'!$D:$E,2,0))*U102</f>
        <v>1.85</v>
      </c>
      <c r="X102" s="18" t="s">
        <v>615</v>
      </c>
      <c r="Y102" s="18">
        <v>1</v>
      </c>
      <c r="Z102" s="18" t="s">
        <v>9</v>
      </c>
      <c r="AA102" s="18">
        <f>(VLOOKUP(X102,'[1]Simulation pricing per sub assy'!$D:$E,2,0))*Y102</f>
        <v>1.5769808000000001</v>
      </c>
    </row>
    <row r="103" spans="1:27" x14ac:dyDescent="0.35">
      <c r="A103" s="13" t="s">
        <v>531</v>
      </c>
      <c r="B103" s="13" t="s">
        <v>4025</v>
      </c>
      <c r="C103" s="42">
        <f t="shared" si="1"/>
        <v>111.99578079999999</v>
      </c>
      <c r="D103" s="14" t="s">
        <v>42</v>
      </c>
      <c r="E103" s="14">
        <v>1</v>
      </c>
      <c r="F103" s="14" t="s">
        <v>3982</v>
      </c>
      <c r="G103" s="14">
        <f>(VLOOKUP(D103,'[1]BOM Info General'!$A:$L,12,0))*E103</f>
        <v>35.56</v>
      </c>
      <c r="H103" s="15" t="s">
        <v>39</v>
      </c>
      <c r="I103" s="15">
        <v>1</v>
      </c>
      <c r="J103" s="15" t="s">
        <v>46</v>
      </c>
      <c r="K103" s="15">
        <f>(VLOOKUP(H103,'[1]BOM Info General'!$A:$L,12,0))*I103</f>
        <v>24.42</v>
      </c>
      <c r="L103" s="9" t="s">
        <v>58</v>
      </c>
      <c r="M103" s="9">
        <v>1</v>
      </c>
      <c r="N103" s="9" t="s">
        <v>55</v>
      </c>
      <c r="O103" s="9">
        <f>(VLOOKUP(L103,'[1]Simulation pricing per sub assy'!$D:$E,2,0))*M103</f>
        <v>43.288799999999988</v>
      </c>
      <c r="P103" s="16" t="s">
        <v>50</v>
      </c>
      <c r="Q103" s="16">
        <v>2</v>
      </c>
      <c r="R103" s="16" t="s">
        <v>611</v>
      </c>
      <c r="S103" s="40">
        <f>(VLOOKUP(P103,'[1]BOM Info General'!$A:$L,12,0))*Q103</f>
        <v>5.3</v>
      </c>
      <c r="T103" s="17" t="s">
        <v>7</v>
      </c>
      <c r="U103" s="17">
        <v>1</v>
      </c>
      <c r="V103" s="17" t="s">
        <v>8</v>
      </c>
      <c r="W103" s="17">
        <f>(VLOOKUP(T103,'[1]Simulation pricing per sub assy'!$D:$E,2,0))*U103</f>
        <v>1.85</v>
      </c>
      <c r="X103" s="18" t="s">
        <v>615</v>
      </c>
      <c r="Y103" s="18">
        <v>1</v>
      </c>
      <c r="Z103" s="18" t="s">
        <v>9</v>
      </c>
      <c r="AA103" s="18">
        <f>(VLOOKUP(X103,'[1]Simulation pricing per sub assy'!$D:$E,2,0))*Y103</f>
        <v>1.5769808000000001</v>
      </c>
    </row>
    <row r="104" spans="1:27" x14ac:dyDescent="0.35">
      <c r="A104" s="13" t="s">
        <v>553</v>
      </c>
      <c r="B104" s="13" t="s">
        <v>4026</v>
      </c>
      <c r="C104" s="42">
        <f t="shared" si="1"/>
        <v>112.57578079999999</v>
      </c>
      <c r="D104" s="14" t="s">
        <v>42</v>
      </c>
      <c r="E104" s="14">
        <v>1</v>
      </c>
      <c r="F104" s="14" t="s">
        <v>3982</v>
      </c>
      <c r="G104" s="14">
        <f>(VLOOKUP(D104,'[1]BOM Info General'!$A:$L,12,0))*E104</f>
        <v>35.56</v>
      </c>
      <c r="H104" s="15" t="s">
        <v>39</v>
      </c>
      <c r="I104" s="15">
        <v>1</v>
      </c>
      <c r="J104" s="15" t="s">
        <v>46</v>
      </c>
      <c r="K104" s="15">
        <f>(VLOOKUP(H104,'[1]BOM Info General'!$A:$L,12,0))*I104</f>
        <v>24.42</v>
      </c>
      <c r="L104" s="9" t="s">
        <v>54</v>
      </c>
      <c r="M104" s="9">
        <v>1</v>
      </c>
      <c r="N104" s="9" t="s">
        <v>53</v>
      </c>
      <c r="O104" s="9">
        <f>(VLOOKUP(L104,'[1]Simulation pricing per sub assy'!$D:$E,2,0))*M104</f>
        <v>43.868799999999993</v>
      </c>
      <c r="P104" s="16" t="s">
        <v>50</v>
      </c>
      <c r="Q104" s="16">
        <v>2</v>
      </c>
      <c r="R104" s="16" t="s">
        <v>611</v>
      </c>
      <c r="S104" s="40">
        <f>(VLOOKUP(P104,'[1]BOM Info General'!$A:$L,12,0))*Q104</f>
        <v>5.3</v>
      </c>
      <c r="T104" s="17" t="s">
        <v>7</v>
      </c>
      <c r="U104" s="17">
        <v>1</v>
      </c>
      <c r="V104" s="17" t="s">
        <v>8</v>
      </c>
      <c r="W104" s="17">
        <f>(VLOOKUP(T104,'[1]Simulation pricing per sub assy'!$D:$E,2,0))*U104</f>
        <v>1.85</v>
      </c>
      <c r="X104" s="18" t="s">
        <v>615</v>
      </c>
      <c r="Y104" s="18">
        <v>1</v>
      </c>
      <c r="Z104" s="18" t="s">
        <v>9</v>
      </c>
      <c r="AA104" s="18">
        <f>(VLOOKUP(X104,'[1]Simulation pricing per sub assy'!$D:$E,2,0))*Y104</f>
        <v>1.5769808000000001</v>
      </c>
    </row>
    <row r="105" spans="1:27" x14ac:dyDescent="0.35">
      <c r="A105" s="13" t="s">
        <v>552</v>
      </c>
      <c r="B105" s="13" t="s">
        <v>4027</v>
      </c>
      <c r="C105" s="42">
        <f t="shared" si="1"/>
        <v>112.31578079999998</v>
      </c>
      <c r="D105" s="14" t="s">
        <v>42</v>
      </c>
      <c r="E105" s="14">
        <v>1</v>
      </c>
      <c r="F105" s="14" t="s">
        <v>3982</v>
      </c>
      <c r="G105" s="14">
        <f>(VLOOKUP(D105,'[1]BOM Info General'!$A:$L,12,0))*E105</f>
        <v>35.56</v>
      </c>
      <c r="H105" s="15" t="s">
        <v>39</v>
      </c>
      <c r="I105" s="15">
        <v>1</v>
      </c>
      <c r="J105" s="15" t="s">
        <v>46</v>
      </c>
      <c r="K105" s="15">
        <f>(VLOOKUP(H105,'[1]BOM Info General'!$A:$L,12,0))*I105</f>
        <v>24.42</v>
      </c>
      <c r="L105" s="9" t="s">
        <v>60</v>
      </c>
      <c r="M105" s="9">
        <v>1</v>
      </c>
      <c r="N105" s="9" t="s">
        <v>57</v>
      </c>
      <c r="O105" s="9">
        <f>(VLOOKUP(L105,'[1]Simulation pricing per sub assy'!$D:$E,2,0))*M105</f>
        <v>43.608799999999988</v>
      </c>
      <c r="P105" s="16" t="s">
        <v>50</v>
      </c>
      <c r="Q105" s="16">
        <v>2</v>
      </c>
      <c r="R105" s="16" t="s">
        <v>611</v>
      </c>
      <c r="S105" s="40">
        <f>(VLOOKUP(P105,'[1]BOM Info General'!$A:$L,12,0))*Q105</f>
        <v>5.3</v>
      </c>
      <c r="T105" s="17" t="s">
        <v>7</v>
      </c>
      <c r="U105" s="17">
        <v>1</v>
      </c>
      <c r="V105" s="17" t="s">
        <v>8</v>
      </c>
      <c r="W105" s="17">
        <f>(VLOOKUP(T105,'[1]Simulation pricing per sub assy'!$D:$E,2,0))*U105</f>
        <v>1.85</v>
      </c>
      <c r="X105" s="18" t="s">
        <v>615</v>
      </c>
      <c r="Y105" s="18">
        <v>1</v>
      </c>
      <c r="Z105" s="18" t="s">
        <v>9</v>
      </c>
      <c r="AA105" s="18">
        <f>(VLOOKUP(X105,'[1]Simulation pricing per sub assy'!$D:$E,2,0))*Y105</f>
        <v>1.5769808000000001</v>
      </c>
    </row>
    <row r="106" spans="1:27" x14ac:dyDescent="0.35">
      <c r="A106" s="13" t="s">
        <v>554</v>
      </c>
      <c r="B106" s="13" t="s">
        <v>4028</v>
      </c>
      <c r="C106" s="42">
        <f t="shared" si="1"/>
        <v>119.98578079999999</v>
      </c>
      <c r="D106" s="14" t="s">
        <v>42</v>
      </c>
      <c r="E106" s="14">
        <v>1</v>
      </c>
      <c r="F106" s="14" t="s">
        <v>3982</v>
      </c>
      <c r="G106" s="14">
        <f>(VLOOKUP(D106,'[1]BOM Info General'!$A:$L,12,0))*E106</f>
        <v>35.56</v>
      </c>
      <c r="H106" s="15" t="s">
        <v>39</v>
      </c>
      <c r="I106" s="15">
        <v>1</v>
      </c>
      <c r="J106" s="15" t="s">
        <v>46</v>
      </c>
      <c r="K106" s="15">
        <f>(VLOOKUP(H106,'[1]BOM Info General'!$A:$L,12,0))*I106</f>
        <v>24.42</v>
      </c>
      <c r="L106" s="9" t="s">
        <v>56</v>
      </c>
      <c r="M106" s="9">
        <v>1</v>
      </c>
      <c r="N106" s="9" t="s">
        <v>59</v>
      </c>
      <c r="O106" s="9">
        <f>(VLOOKUP(L106,'[1]Simulation pricing per sub assy'!$D:$E,2,0))*M106</f>
        <v>51.27879999999999</v>
      </c>
      <c r="P106" s="16" t="s">
        <v>50</v>
      </c>
      <c r="Q106" s="16">
        <v>2</v>
      </c>
      <c r="R106" s="16" t="s">
        <v>611</v>
      </c>
      <c r="S106" s="40">
        <f>(VLOOKUP(P106,'[1]BOM Info General'!$A:$L,12,0))*Q106</f>
        <v>5.3</v>
      </c>
      <c r="T106" s="17" t="s">
        <v>7</v>
      </c>
      <c r="U106" s="17">
        <v>1</v>
      </c>
      <c r="V106" s="17" t="s">
        <v>8</v>
      </c>
      <c r="W106" s="17">
        <f>(VLOOKUP(T106,'[1]Simulation pricing per sub assy'!$D:$E,2,0))*U106</f>
        <v>1.85</v>
      </c>
      <c r="X106" s="18" t="s">
        <v>615</v>
      </c>
      <c r="Y106" s="18">
        <v>1</v>
      </c>
      <c r="Z106" s="18" t="s">
        <v>9</v>
      </c>
      <c r="AA106" s="18">
        <f>(VLOOKUP(X106,'[1]Simulation pricing per sub assy'!$D:$E,2,0))*Y106</f>
        <v>1.5769808000000001</v>
      </c>
    </row>
    <row r="107" spans="1:27" x14ac:dyDescent="0.35">
      <c r="A107" s="13" t="s">
        <v>277</v>
      </c>
      <c r="B107" s="13" t="s">
        <v>4029</v>
      </c>
      <c r="C107" s="42">
        <f t="shared" si="1"/>
        <v>111.21578079999999</v>
      </c>
      <c r="D107" s="14" t="s">
        <v>42</v>
      </c>
      <c r="E107" s="14">
        <v>1</v>
      </c>
      <c r="F107" s="14" t="s">
        <v>3982</v>
      </c>
      <c r="G107" s="14">
        <f>(VLOOKUP(D107,'[1]BOM Info General'!$A:$L,12,0))*E107</f>
        <v>35.56</v>
      </c>
      <c r="H107" s="15" t="s">
        <v>39</v>
      </c>
      <c r="I107" s="15">
        <v>1</v>
      </c>
      <c r="J107" s="15" t="s">
        <v>46</v>
      </c>
      <c r="K107" s="15">
        <f>(VLOOKUP(H107,'[1]BOM Info General'!$A:$L,12,0))*I107</f>
        <v>24.42</v>
      </c>
      <c r="L107" s="9" t="s">
        <v>523</v>
      </c>
      <c r="M107" s="9">
        <v>1</v>
      </c>
      <c r="N107" s="9" t="s">
        <v>61</v>
      </c>
      <c r="O107" s="9">
        <f>(VLOOKUP(L107,'[1]Simulation pricing per sub assy'!$D:$E,2,0))*M107</f>
        <v>42.308799999999991</v>
      </c>
      <c r="P107" s="16" t="s">
        <v>50</v>
      </c>
      <c r="Q107" s="16">
        <v>2</v>
      </c>
      <c r="R107" s="16" t="s">
        <v>16</v>
      </c>
      <c r="S107" s="40">
        <f>(VLOOKUP(P107,'[1]BOM Info General'!$A:$L,12,0))*Q107</f>
        <v>5.3</v>
      </c>
      <c r="T107" s="17" t="s">
        <v>10</v>
      </c>
      <c r="U107" s="17">
        <v>1</v>
      </c>
      <c r="V107" s="17" t="s">
        <v>11</v>
      </c>
      <c r="W107" s="17">
        <f>(VLOOKUP(T107,'[1]Simulation pricing per sub assy'!$D:$E,2,0))*U107</f>
        <v>2.0499999999999998</v>
      </c>
      <c r="X107" s="18" t="s">
        <v>615</v>
      </c>
      <c r="Y107" s="18">
        <v>1</v>
      </c>
      <c r="Z107" s="18" t="s">
        <v>9</v>
      </c>
      <c r="AA107" s="18">
        <f>(VLOOKUP(X107,'[1]Simulation pricing per sub assy'!$D:$E,2,0))*Y107</f>
        <v>1.5769808000000001</v>
      </c>
    </row>
    <row r="108" spans="1:27" x14ac:dyDescent="0.35">
      <c r="A108" s="13" t="s">
        <v>125</v>
      </c>
      <c r="B108" s="13" t="s">
        <v>4030</v>
      </c>
      <c r="C108" s="42">
        <f t="shared" si="1"/>
        <v>112.19578079999999</v>
      </c>
      <c r="D108" s="14" t="s">
        <v>42</v>
      </c>
      <c r="E108" s="14">
        <v>1</v>
      </c>
      <c r="F108" s="14" t="s">
        <v>3982</v>
      </c>
      <c r="G108" s="14">
        <f>(VLOOKUP(D108,'[1]BOM Info General'!$A:$L,12,0))*E108</f>
        <v>35.56</v>
      </c>
      <c r="H108" s="15" t="s">
        <v>39</v>
      </c>
      <c r="I108" s="15">
        <v>1</v>
      </c>
      <c r="J108" s="15" t="s">
        <v>46</v>
      </c>
      <c r="K108" s="15">
        <f>(VLOOKUP(H108,'[1]BOM Info General'!$A:$L,12,0))*I108</f>
        <v>24.42</v>
      </c>
      <c r="L108" s="9" t="s">
        <v>58</v>
      </c>
      <c r="M108" s="9">
        <v>1</v>
      </c>
      <c r="N108" s="9" t="s">
        <v>55</v>
      </c>
      <c r="O108" s="9">
        <f>(VLOOKUP(L108,'[1]Simulation pricing per sub assy'!$D:$E,2,0))*M108</f>
        <v>43.288799999999988</v>
      </c>
      <c r="P108" s="16" t="s">
        <v>50</v>
      </c>
      <c r="Q108" s="16">
        <v>2</v>
      </c>
      <c r="R108" s="16" t="s">
        <v>16</v>
      </c>
      <c r="S108" s="40">
        <f>(VLOOKUP(P108,'[1]BOM Info General'!$A:$L,12,0))*Q108</f>
        <v>5.3</v>
      </c>
      <c r="T108" s="17" t="s">
        <v>10</v>
      </c>
      <c r="U108" s="17">
        <v>1</v>
      </c>
      <c r="V108" s="17" t="s">
        <v>11</v>
      </c>
      <c r="W108" s="17">
        <f>(VLOOKUP(T108,'[1]Simulation pricing per sub assy'!$D:$E,2,0))*U108</f>
        <v>2.0499999999999998</v>
      </c>
      <c r="X108" s="18" t="s">
        <v>615</v>
      </c>
      <c r="Y108" s="18">
        <v>1</v>
      </c>
      <c r="Z108" s="18" t="s">
        <v>9</v>
      </c>
      <c r="AA108" s="18">
        <f>(VLOOKUP(X108,'[1]Simulation pricing per sub assy'!$D:$E,2,0))*Y108</f>
        <v>1.5769808000000001</v>
      </c>
    </row>
    <row r="109" spans="1:27" x14ac:dyDescent="0.35">
      <c r="A109" s="13" t="s">
        <v>205</v>
      </c>
      <c r="B109" s="13" t="s">
        <v>4031</v>
      </c>
      <c r="C109" s="42">
        <f t="shared" si="1"/>
        <v>112.77578079999999</v>
      </c>
      <c r="D109" s="14" t="s">
        <v>42</v>
      </c>
      <c r="E109" s="14">
        <v>1</v>
      </c>
      <c r="F109" s="14" t="s">
        <v>3982</v>
      </c>
      <c r="G109" s="14">
        <f>(VLOOKUP(D109,'[1]BOM Info General'!$A:$L,12,0))*E109</f>
        <v>35.56</v>
      </c>
      <c r="H109" s="15" t="s">
        <v>39</v>
      </c>
      <c r="I109" s="15">
        <v>1</v>
      </c>
      <c r="J109" s="15" t="s">
        <v>46</v>
      </c>
      <c r="K109" s="15">
        <f>(VLOOKUP(H109,'[1]BOM Info General'!$A:$L,12,0))*I109</f>
        <v>24.42</v>
      </c>
      <c r="L109" s="9" t="s">
        <v>54</v>
      </c>
      <c r="M109" s="9">
        <v>1</v>
      </c>
      <c r="N109" s="9" t="s">
        <v>53</v>
      </c>
      <c r="O109" s="9">
        <f>(VLOOKUP(L109,'[1]Simulation pricing per sub assy'!$D:$E,2,0))*M109</f>
        <v>43.868799999999993</v>
      </c>
      <c r="P109" s="16" t="s">
        <v>50</v>
      </c>
      <c r="Q109" s="16">
        <v>2</v>
      </c>
      <c r="R109" s="16" t="s">
        <v>16</v>
      </c>
      <c r="S109" s="40">
        <f>(VLOOKUP(P109,'[1]BOM Info General'!$A:$L,12,0))*Q109</f>
        <v>5.3</v>
      </c>
      <c r="T109" s="17" t="s">
        <v>10</v>
      </c>
      <c r="U109" s="17">
        <v>1</v>
      </c>
      <c r="V109" s="17" t="s">
        <v>11</v>
      </c>
      <c r="W109" s="17">
        <f>(VLOOKUP(T109,'[1]Simulation pricing per sub assy'!$D:$E,2,0))*U109</f>
        <v>2.0499999999999998</v>
      </c>
      <c r="X109" s="18" t="s">
        <v>615</v>
      </c>
      <c r="Y109" s="18">
        <v>1</v>
      </c>
      <c r="Z109" s="18" t="s">
        <v>9</v>
      </c>
      <c r="AA109" s="18">
        <f>(VLOOKUP(X109,'[1]Simulation pricing per sub assy'!$D:$E,2,0))*Y109</f>
        <v>1.5769808000000001</v>
      </c>
    </row>
    <row r="110" spans="1:27" x14ac:dyDescent="0.35">
      <c r="A110" s="13" t="s">
        <v>169</v>
      </c>
      <c r="B110" s="13" t="s">
        <v>4032</v>
      </c>
      <c r="C110" s="42">
        <f t="shared" si="1"/>
        <v>112.51578079999999</v>
      </c>
      <c r="D110" s="14" t="s">
        <v>42</v>
      </c>
      <c r="E110" s="14">
        <v>1</v>
      </c>
      <c r="F110" s="14" t="s">
        <v>3982</v>
      </c>
      <c r="G110" s="14">
        <f>(VLOOKUP(D110,'[1]BOM Info General'!$A:$L,12,0))*E110</f>
        <v>35.56</v>
      </c>
      <c r="H110" s="15" t="s">
        <v>39</v>
      </c>
      <c r="I110" s="15">
        <v>1</v>
      </c>
      <c r="J110" s="15" t="s">
        <v>46</v>
      </c>
      <c r="K110" s="15">
        <f>(VLOOKUP(H110,'[1]BOM Info General'!$A:$L,12,0))*I110</f>
        <v>24.42</v>
      </c>
      <c r="L110" s="9" t="s">
        <v>60</v>
      </c>
      <c r="M110" s="9">
        <v>1</v>
      </c>
      <c r="N110" s="9" t="s">
        <v>57</v>
      </c>
      <c r="O110" s="9">
        <f>(VLOOKUP(L110,'[1]Simulation pricing per sub assy'!$D:$E,2,0))*M110</f>
        <v>43.608799999999988</v>
      </c>
      <c r="P110" s="16" t="s">
        <v>50</v>
      </c>
      <c r="Q110" s="16">
        <v>2</v>
      </c>
      <c r="R110" s="16" t="s">
        <v>16</v>
      </c>
      <c r="S110" s="40">
        <f>(VLOOKUP(P110,'[1]BOM Info General'!$A:$L,12,0))*Q110</f>
        <v>5.3</v>
      </c>
      <c r="T110" s="17" t="s">
        <v>10</v>
      </c>
      <c r="U110" s="17">
        <v>1</v>
      </c>
      <c r="V110" s="17" t="s">
        <v>11</v>
      </c>
      <c r="W110" s="17">
        <f>(VLOOKUP(T110,'[1]Simulation pricing per sub assy'!$D:$E,2,0))*U110</f>
        <v>2.0499999999999998</v>
      </c>
      <c r="X110" s="18" t="s">
        <v>615</v>
      </c>
      <c r="Y110" s="18">
        <v>1</v>
      </c>
      <c r="Z110" s="18" t="s">
        <v>9</v>
      </c>
      <c r="AA110" s="18">
        <f>(VLOOKUP(X110,'[1]Simulation pricing per sub assy'!$D:$E,2,0))*Y110</f>
        <v>1.5769808000000001</v>
      </c>
    </row>
    <row r="111" spans="1:27" x14ac:dyDescent="0.35">
      <c r="A111" s="13" t="s">
        <v>241</v>
      </c>
      <c r="B111" s="13" t="s">
        <v>4033</v>
      </c>
      <c r="C111" s="42">
        <f t="shared" si="1"/>
        <v>120.18578079999999</v>
      </c>
      <c r="D111" s="14" t="s">
        <v>42</v>
      </c>
      <c r="E111" s="14">
        <v>1</v>
      </c>
      <c r="F111" s="14" t="s">
        <v>3982</v>
      </c>
      <c r="G111" s="14">
        <f>(VLOOKUP(D111,'[1]BOM Info General'!$A:$L,12,0))*E111</f>
        <v>35.56</v>
      </c>
      <c r="H111" s="15" t="s">
        <v>39</v>
      </c>
      <c r="I111" s="15">
        <v>1</v>
      </c>
      <c r="J111" s="15" t="s">
        <v>46</v>
      </c>
      <c r="K111" s="15">
        <f>(VLOOKUP(H111,'[1]BOM Info General'!$A:$L,12,0))*I111</f>
        <v>24.42</v>
      </c>
      <c r="L111" s="9" t="s">
        <v>56</v>
      </c>
      <c r="M111" s="9">
        <v>1</v>
      </c>
      <c r="N111" s="9" t="s">
        <v>59</v>
      </c>
      <c r="O111" s="9">
        <f>(VLOOKUP(L111,'[1]Simulation pricing per sub assy'!$D:$E,2,0))*M111</f>
        <v>51.27879999999999</v>
      </c>
      <c r="P111" s="16" t="s">
        <v>50</v>
      </c>
      <c r="Q111" s="16">
        <v>2</v>
      </c>
      <c r="R111" s="16" t="s">
        <v>16</v>
      </c>
      <c r="S111" s="40">
        <f>(VLOOKUP(P111,'[1]BOM Info General'!$A:$L,12,0))*Q111</f>
        <v>5.3</v>
      </c>
      <c r="T111" s="17" t="s">
        <v>10</v>
      </c>
      <c r="U111" s="17">
        <v>1</v>
      </c>
      <c r="V111" s="17" t="s">
        <v>11</v>
      </c>
      <c r="W111" s="17">
        <f>(VLOOKUP(T111,'[1]Simulation pricing per sub assy'!$D:$E,2,0))*U111</f>
        <v>2.0499999999999998</v>
      </c>
      <c r="X111" s="18" t="s">
        <v>615</v>
      </c>
      <c r="Y111" s="18">
        <v>1</v>
      </c>
      <c r="Z111" s="18" t="s">
        <v>9</v>
      </c>
      <c r="AA111" s="18">
        <f>(VLOOKUP(X111,'[1]Simulation pricing per sub assy'!$D:$E,2,0))*Y111</f>
        <v>1.5769808000000001</v>
      </c>
    </row>
    <row r="112" spans="1:27" x14ac:dyDescent="0.35">
      <c r="A112" s="13" t="s">
        <v>278</v>
      </c>
      <c r="B112" s="13" t="s">
        <v>4034</v>
      </c>
      <c r="C112" s="42">
        <f t="shared" si="1"/>
        <v>111.0657808</v>
      </c>
      <c r="D112" s="14" t="s">
        <v>42</v>
      </c>
      <c r="E112" s="14">
        <v>1</v>
      </c>
      <c r="F112" s="14" t="s">
        <v>3982</v>
      </c>
      <c r="G112" s="14">
        <f>(VLOOKUP(D112,'[1]BOM Info General'!$A:$L,12,0))*E112</f>
        <v>35.56</v>
      </c>
      <c r="H112" s="15" t="s">
        <v>39</v>
      </c>
      <c r="I112" s="15">
        <v>1</v>
      </c>
      <c r="J112" s="15" t="s">
        <v>46</v>
      </c>
      <c r="K112" s="15">
        <f>(VLOOKUP(H112,'[1]BOM Info General'!$A:$L,12,0))*I112</f>
        <v>24.42</v>
      </c>
      <c r="L112" s="9" t="s">
        <v>523</v>
      </c>
      <c r="M112" s="9">
        <v>1</v>
      </c>
      <c r="N112" s="9" t="s">
        <v>61</v>
      </c>
      <c r="O112" s="9">
        <f>(VLOOKUP(L112,'[1]Simulation pricing per sub assy'!$D:$E,2,0))*M112</f>
        <v>42.308799999999991</v>
      </c>
      <c r="P112" s="16" t="s">
        <v>50</v>
      </c>
      <c r="Q112" s="16">
        <v>2</v>
      </c>
      <c r="R112" s="16" t="s">
        <v>16</v>
      </c>
      <c r="S112" s="40">
        <f>(VLOOKUP(P112,'[1]BOM Info General'!$A:$L,12,0))*Q112</f>
        <v>5.3</v>
      </c>
      <c r="T112" s="17" t="s">
        <v>12</v>
      </c>
      <c r="U112" s="17">
        <v>1</v>
      </c>
      <c r="V112" s="17" t="s">
        <v>13</v>
      </c>
      <c r="W112" s="17">
        <f>(VLOOKUP(T112,'[1]Simulation pricing per sub assy'!$D:$E,2,0))*U112</f>
        <v>1.9</v>
      </c>
      <c r="X112" s="18" t="s">
        <v>615</v>
      </c>
      <c r="Y112" s="18">
        <v>1</v>
      </c>
      <c r="Z112" s="18" t="s">
        <v>9</v>
      </c>
      <c r="AA112" s="18">
        <f>(VLOOKUP(X112,'[1]Simulation pricing per sub assy'!$D:$E,2,0))*Y112</f>
        <v>1.5769808000000001</v>
      </c>
    </row>
    <row r="113" spans="1:27" x14ac:dyDescent="0.35">
      <c r="A113" s="13" t="s">
        <v>134</v>
      </c>
      <c r="B113" s="13" t="s">
        <v>4035</v>
      </c>
      <c r="C113" s="42">
        <f t="shared" si="1"/>
        <v>112.0457808</v>
      </c>
      <c r="D113" s="14" t="s">
        <v>42</v>
      </c>
      <c r="E113" s="14">
        <v>1</v>
      </c>
      <c r="F113" s="14" t="s">
        <v>3982</v>
      </c>
      <c r="G113" s="14">
        <f>(VLOOKUP(D113,'[1]BOM Info General'!$A:$L,12,0))*E113</f>
        <v>35.56</v>
      </c>
      <c r="H113" s="15" t="s">
        <v>39</v>
      </c>
      <c r="I113" s="15">
        <v>1</v>
      </c>
      <c r="J113" s="15" t="s">
        <v>46</v>
      </c>
      <c r="K113" s="15">
        <f>(VLOOKUP(H113,'[1]BOM Info General'!$A:$L,12,0))*I113</f>
        <v>24.42</v>
      </c>
      <c r="L113" s="9" t="s">
        <v>58</v>
      </c>
      <c r="M113" s="9">
        <v>1</v>
      </c>
      <c r="N113" s="9" t="s">
        <v>55</v>
      </c>
      <c r="O113" s="9">
        <f>(VLOOKUP(L113,'[1]Simulation pricing per sub assy'!$D:$E,2,0))*M113</f>
        <v>43.288799999999988</v>
      </c>
      <c r="P113" s="16" t="s">
        <v>50</v>
      </c>
      <c r="Q113" s="16">
        <v>2</v>
      </c>
      <c r="R113" s="16" t="s">
        <v>16</v>
      </c>
      <c r="S113" s="40">
        <f>(VLOOKUP(P113,'[1]BOM Info General'!$A:$L,12,0))*Q113</f>
        <v>5.3</v>
      </c>
      <c r="T113" s="17" t="s">
        <v>12</v>
      </c>
      <c r="U113" s="17">
        <v>1</v>
      </c>
      <c r="V113" s="17" t="s">
        <v>13</v>
      </c>
      <c r="W113" s="17">
        <f>(VLOOKUP(T113,'[1]Simulation pricing per sub assy'!$D:$E,2,0))*U113</f>
        <v>1.9</v>
      </c>
      <c r="X113" s="18" t="s">
        <v>615</v>
      </c>
      <c r="Y113" s="18">
        <v>1</v>
      </c>
      <c r="Z113" s="18" t="s">
        <v>9</v>
      </c>
      <c r="AA113" s="18">
        <f>(VLOOKUP(X113,'[1]Simulation pricing per sub assy'!$D:$E,2,0))*Y113</f>
        <v>1.5769808000000001</v>
      </c>
    </row>
    <row r="114" spans="1:27" x14ac:dyDescent="0.35">
      <c r="A114" s="13" t="s">
        <v>206</v>
      </c>
      <c r="B114" s="13" t="s">
        <v>4036</v>
      </c>
      <c r="C114" s="42">
        <f t="shared" si="1"/>
        <v>112.6257808</v>
      </c>
      <c r="D114" s="14" t="s">
        <v>42</v>
      </c>
      <c r="E114" s="14">
        <v>1</v>
      </c>
      <c r="F114" s="14" t="s">
        <v>3982</v>
      </c>
      <c r="G114" s="14">
        <f>(VLOOKUP(D114,'[1]BOM Info General'!$A:$L,12,0))*E114</f>
        <v>35.56</v>
      </c>
      <c r="H114" s="15" t="s">
        <v>39</v>
      </c>
      <c r="I114" s="15">
        <v>1</v>
      </c>
      <c r="J114" s="15" t="s">
        <v>46</v>
      </c>
      <c r="K114" s="15">
        <f>(VLOOKUP(H114,'[1]BOM Info General'!$A:$L,12,0))*I114</f>
        <v>24.42</v>
      </c>
      <c r="L114" s="9" t="s">
        <v>54</v>
      </c>
      <c r="M114" s="9">
        <v>1</v>
      </c>
      <c r="N114" s="9" t="s">
        <v>53</v>
      </c>
      <c r="O114" s="9">
        <f>(VLOOKUP(L114,'[1]Simulation pricing per sub assy'!$D:$E,2,0))*M114</f>
        <v>43.868799999999993</v>
      </c>
      <c r="P114" s="16" t="s">
        <v>50</v>
      </c>
      <c r="Q114" s="16">
        <v>2</v>
      </c>
      <c r="R114" s="16" t="s">
        <v>16</v>
      </c>
      <c r="S114" s="40">
        <f>(VLOOKUP(P114,'[1]BOM Info General'!$A:$L,12,0))*Q114</f>
        <v>5.3</v>
      </c>
      <c r="T114" s="17" t="s">
        <v>12</v>
      </c>
      <c r="U114" s="17">
        <v>1</v>
      </c>
      <c r="V114" s="17" t="s">
        <v>13</v>
      </c>
      <c r="W114" s="17">
        <f>(VLOOKUP(T114,'[1]Simulation pricing per sub assy'!$D:$E,2,0))*U114</f>
        <v>1.9</v>
      </c>
      <c r="X114" s="18" t="s">
        <v>615</v>
      </c>
      <c r="Y114" s="18">
        <v>1</v>
      </c>
      <c r="Z114" s="18" t="s">
        <v>9</v>
      </c>
      <c r="AA114" s="18">
        <f>(VLOOKUP(X114,'[1]Simulation pricing per sub assy'!$D:$E,2,0))*Y114</f>
        <v>1.5769808000000001</v>
      </c>
    </row>
    <row r="115" spans="1:27" x14ac:dyDescent="0.35">
      <c r="A115" s="13" t="s">
        <v>170</v>
      </c>
      <c r="B115" s="13" t="s">
        <v>4037</v>
      </c>
      <c r="C115" s="42">
        <f t="shared" si="1"/>
        <v>112.3657808</v>
      </c>
      <c r="D115" s="14" t="s">
        <v>42</v>
      </c>
      <c r="E115" s="14">
        <v>1</v>
      </c>
      <c r="F115" s="14" t="s">
        <v>3982</v>
      </c>
      <c r="G115" s="14">
        <f>(VLOOKUP(D115,'[1]BOM Info General'!$A:$L,12,0))*E115</f>
        <v>35.56</v>
      </c>
      <c r="H115" s="15" t="s">
        <v>39</v>
      </c>
      <c r="I115" s="15">
        <v>1</v>
      </c>
      <c r="J115" s="15" t="s">
        <v>46</v>
      </c>
      <c r="K115" s="15">
        <f>(VLOOKUP(H115,'[1]BOM Info General'!$A:$L,12,0))*I115</f>
        <v>24.42</v>
      </c>
      <c r="L115" s="9" t="s">
        <v>60</v>
      </c>
      <c r="M115" s="9">
        <v>1</v>
      </c>
      <c r="N115" s="9" t="s">
        <v>57</v>
      </c>
      <c r="O115" s="9">
        <f>(VLOOKUP(L115,'[1]Simulation pricing per sub assy'!$D:$E,2,0))*M115</f>
        <v>43.608799999999988</v>
      </c>
      <c r="P115" s="16" t="s">
        <v>50</v>
      </c>
      <c r="Q115" s="16">
        <v>2</v>
      </c>
      <c r="R115" s="16" t="s">
        <v>16</v>
      </c>
      <c r="S115" s="40">
        <f>(VLOOKUP(P115,'[1]BOM Info General'!$A:$L,12,0))*Q115</f>
        <v>5.3</v>
      </c>
      <c r="T115" s="17" t="s">
        <v>12</v>
      </c>
      <c r="U115" s="17">
        <v>1</v>
      </c>
      <c r="V115" s="17" t="s">
        <v>13</v>
      </c>
      <c r="W115" s="17">
        <f>(VLOOKUP(T115,'[1]Simulation pricing per sub assy'!$D:$E,2,0))*U115</f>
        <v>1.9</v>
      </c>
      <c r="X115" s="18" t="s">
        <v>615</v>
      </c>
      <c r="Y115" s="18">
        <v>1</v>
      </c>
      <c r="Z115" s="18" t="s">
        <v>9</v>
      </c>
      <c r="AA115" s="18">
        <f>(VLOOKUP(X115,'[1]Simulation pricing per sub assy'!$D:$E,2,0))*Y115</f>
        <v>1.5769808000000001</v>
      </c>
    </row>
    <row r="116" spans="1:27" x14ac:dyDescent="0.35">
      <c r="A116" s="13" t="s">
        <v>242</v>
      </c>
      <c r="B116" s="13" t="s">
        <v>4038</v>
      </c>
      <c r="C116" s="42">
        <f t="shared" si="1"/>
        <v>120.0357808</v>
      </c>
      <c r="D116" s="14" t="s">
        <v>42</v>
      </c>
      <c r="E116" s="14">
        <v>1</v>
      </c>
      <c r="F116" s="14" t="s">
        <v>3982</v>
      </c>
      <c r="G116" s="14">
        <f>(VLOOKUP(D116,'[1]BOM Info General'!$A:$L,12,0))*E116</f>
        <v>35.56</v>
      </c>
      <c r="H116" s="15" t="s">
        <v>39</v>
      </c>
      <c r="I116" s="15">
        <v>1</v>
      </c>
      <c r="J116" s="15" t="s">
        <v>46</v>
      </c>
      <c r="K116" s="15">
        <f>(VLOOKUP(H116,'[1]BOM Info General'!$A:$L,12,0))*I116</f>
        <v>24.42</v>
      </c>
      <c r="L116" s="9" t="s">
        <v>56</v>
      </c>
      <c r="M116" s="9">
        <v>1</v>
      </c>
      <c r="N116" s="9" t="s">
        <v>59</v>
      </c>
      <c r="O116" s="9">
        <f>(VLOOKUP(L116,'[1]Simulation pricing per sub assy'!$D:$E,2,0))*M116</f>
        <v>51.27879999999999</v>
      </c>
      <c r="P116" s="16" t="s">
        <v>50</v>
      </c>
      <c r="Q116" s="16">
        <v>2</v>
      </c>
      <c r="R116" s="16" t="s">
        <v>16</v>
      </c>
      <c r="S116" s="40">
        <f>(VLOOKUP(P116,'[1]BOM Info General'!$A:$L,12,0))*Q116</f>
        <v>5.3</v>
      </c>
      <c r="T116" s="17" t="s">
        <v>12</v>
      </c>
      <c r="U116" s="17">
        <v>1</v>
      </c>
      <c r="V116" s="17" t="s">
        <v>13</v>
      </c>
      <c r="W116" s="17">
        <f>(VLOOKUP(T116,'[1]Simulation pricing per sub assy'!$D:$E,2,0))*U116</f>
        <v>1.9</v>
      </c>
      <c r="X116" s="18" t="s">
        <v>615</v>
      </c>
      <c r="Y116" s="18">
        <v>1</v>
      </c>
      <c r="Z116" s="18" t="s">
        <v>9</v>
      </c>
      <c r="AA116" s="18">
        <f>(VLOOKUP(X116,'[1]Simulation pricing per sub assy'!$D:$E,2,0))*Y116</f>
        <v>1.5769808000000001</v>
      </c>
    </row>
    <row r="117" spans="1:27" x14ac:dyDescent="0.35">
      <c r="A117" s="13" t="s">
        <v>279</v>
      </c>
      <c r="B117" s="13" t="s">
        <v>4039</v>
      </c>
      <c r="C117" s="42">
        <f t="shared" si="1"/>
        <v>111.0657808</v>
      </c>
      <c r="D117" s="14" t="s">
        <v>42</v>
      </c>
      <c r="E117" s="14">
        <v>1</v>
      </c>
      <c r="F117" s="14" t="s">
        <v>3982</v>
      </c>
      <c r="G117" s="14">
        <f>(VLOOKUP(D117,'[1]BOM Info General'!$A:$L,12,0))*E117</f>
        <v>35.56</v>
      </c>
      <c r="H117" s="15" t="s">
        <v>39</v>
      </c>
      <c r="I117" s="15">
        <v>1</v>
      </c>
      <c r="J117" s="15" t="s">
        <v>46</v>
      </c>
      <c r="K117" s="15">
        <f>(VLOOKUP(H117,'[1]BOM Info General'!$A:$L,12,0))*I117</f>
        <v>24.42</v>
      </c>
      <c r="L117" s="9" t="s">
        <v>523</v>
      </c>
      <c r="M117" s="9">
        <v>1</v>
      </c>
      <c r="N117" s="9" t="s">
        <v>61</v>
      </c>
      <c r="O117" s="9">
        <f>(VLOOKUP(L117,'[1]Simulation pricing per sub assy'!$D:$E,2,0))*M117</f>
        <v>42.308799999999991</v>
      </c>
      <c r="P117" s="16" t="s">
        <v>50</v>
      </c>
      <c r="Q117" s="16">
        <v>2</v>
      </c>
      <c r="R117" s="16" t="s">
        <v>16</v>
      </c>
      <c r="S117" s="40">
        <f>(VLOOKUP(P117,'[1]BOM Info General'!$A:$L,12,0))*Q117</f>
        <v>5.3</v>
      </c>
      <c r="T117" s="17" t="s">
        <v>14</v>
      </c>
      <c r="U117" s="17">
        <v>1</v>
      </c>
      <c r="V117" s="17" t="s">
        <v>15</v>
      </c>
      <c r="W117" s="17">
        <f>(VLOOKUP(T117,'[1]Simulation pricing per sub assy'!$D:$E,2,0))*U117</f>
        <v>1.9</v>
      </c>
      <c r="X117" s="18" t="s">
        <v>615</v>
      </c>
      <c r="Y117" s="18">
        <v>1</v>
      </c>
      <c r="Z117" s="18" t="s">
        <v>9</v>
      </c>
      <c r="AA117" s="18">
        <f>(VLOOKUP(X117,'[1]Simulation pricing per sub assy'!$D:$E,2,0))*Y117</f>
        <v>1.5769808000000001</v>
      </c>
    </row>
    <row r="118" spans="1:27" x14ac:dyDescent="0.35">
      <c r="A118" s="13" t="s">
        <v>135</v>
      </c>
      <c r="B118" s="13" t="s">
        <v>4040</v>
      </c>
      <c r="C118" s="42">
        <f t="shared" si="1"/>
        <v>112.0457808</v>
      </c>
      <c r="D118" s="14" t="s">
        <v>42</v>
      </c>
      <c r="E118" s="14">
        <v>1</v>
      </c>
      <c r="F118" s="14" t="s">
        <v>3982</v>
      </c>
      <c r="G118" s="14">
        <f>(VLOOKUP(D118,'[1]BOM Info General'!$A:$L,12,0))*E118</f>
        <v>35.56</v>
      </c>
      <c r="H118" s="15" t="s">
        <v>39</v>
      </c>
      <c r="I118" s="15">
        <v>1</v>
      </c>
      <c r="J118" s="15" t="s">
        <v>46</v>
      </c>
      <c r="K118" s="15">
        <f>(VLOOKUP(H118,'[1]BOM Info General'!$A:$L,12,0))*I118</f>
        <v>24.42</v>
      </c>
      <c r="L118" s="9" t="s">
        <v>58</v>
      </c>
      <c r="M118" s="9">
        <v>1</v>
      </c>
      <c r="N118" s="9" t="s">
        <v>55</v>
      </c>
      <c r="O118" s="9">
        <f>(VLOOKUP(L118,'[1]Simulation pricing per sub assy'!$D:$E,2,0))*M118</f>
        <v>43.288799999999988</v>
      </c>
      <c r="P118" s="16" t="s">
        <v>50</v>
      </c>
      <c r="Q118" s="16">
        <v>2</v>
      </c>
      <c r="R118" s="16" t="s">
        <v>16</v>
      </c>
      <c r="S118" s="40">
        <f>(VLOOKUP(P118,'[1]BOM Info General'!$A:$L,12,0))*Q118</f>
        <v>5.3</v>
      </c>
      <c r="T118" s="17" t="s">
        <v>14</v>
      </c>
      <c r="U118" s="17">
        <v>1</v>
      </c>
      <c r="V118" s="17" t="s">
        <v>15</v>
      </c>
      <c r="W118" s="17">
        <f>(VLOOKUP(T118,'[1]Simulation pricing per sub assy'!$D:$E,2,0))*U118</f>
        <v>1.9</v>
      </c>
      <c r="X118" s="18" t="s">
        <v>615</v>
      </c>
      <c r="Y118" s="18">
        <v>1</v>
      </c>
      <c r="Z118" s="18" t="s">
        <v>9</v>
      </c>
      <c r="AA118" s="18">
        <f>(VLOOKUP(X118,'[1]Simulation pricing per sub assy'!$D:$E,2,0))*Y118</f>
        <v>1.5769808000000001</v>
      </c>
    </row>
    <row r="119" spans="1:27" x14ac:dyDescent="0.35">
      <c r="A119" s="13" t="s">
        <v>207</v>
      </c>
      <c r="B119" s="13" t="s">
        <v>4041</v>
      </c>
      <c r="C119" s="42">
        <f t="shared" si="1"/>
        <v>112.6257808</v>
      </c>
      <c r="D119" s="14" t="s">
        <v>42</v>
      </c>
      <c r="E119" s="14">
        <v>1</v>
      </c>
      <c r="F119" s="14" t="s">
        <v>3982</v>
      </c>
      <c r="G119" s="14">
        <f>(VLOOKUP(D119,'[1]BOM Info General'!$A:$L,12,0))*E119</f>
        <v>35.56</v>
      </c>
      <c r="H119" s="15" t="s">
        <v>39</v>
      </c>
      <c r="I119" s="15">
        <v>1</v>
      </c>
      <c r="J119" s="15" t="s">
        <v>46</v>
      </c>
      <c r="K119" s="15">
        <f>(VLOOKUP(H119,'[1]BOM Info General'!$A:$L,12,0))*I119</f>
        <v>24.42</v>
      </c>
      <c r="L119" s="9" t="s">
        <v>54</v>
      </c>
      <c r="M119" s="9">
        <v>1</v>
      </c>
      <c r="N119" s="9" t="s">
        <v>53</v>
      </c>
      <c r="O119" s="9">
        <f>(VLOOKUP(L119,'[1]Simulation pricing per sub assy'!$D:$E,2,0))*M119</f>
        <v>43.868799999999993</v>
      </c>
      <c r="P119" s="16" t="s">
        <v>50</v>
      </c>
      <c r="Q119" s="16">
        <v>2</v>
      </c>
      <c r="R119" s="16" t="s">
        <v>16</v>
      </c>
      <c r="S119" s="40">
        <f>(VLOOKUP(P119,'[1]BOM Info General'!$A:$L,12,0))*Q119</f>
        <v>5.3</v>
      </c>
      <c r="T119" s="17" t="s">
        <v>14</v>
      </c>
      <c r="U119" s="17">
        <v>1</v>
      </c>
      <c r="V119" s="17" t="s">
        <v>15</v>
      </c>
      <c r="W119" s="17">
        <f>(VLOOKUP(T119,'[1]Simulation pricing per sub assy'!$D:$E,2,0))*U119</f>
        <v>1.9</v>
      </c>
      <c r="X119" s="18" t="s">
        <v>615</v>
      </c>
      <c r="Y119" s="18">
        <v>1</v>
      </c>
      <c r="Z119" s="18" t="s">
        <v>9</v>
      </c>
      <c r="AA119" s="18">
        <f>(VLOOKUP(X119,'[1]Simulation pricing per sub assy'!$D:$E,2,0))*Y119</f>
        <v>1.5769808000000001</v>
      </c>
    </row>
    <row r="120" spans="1:27" x14ac:dyDescent="0.35">
      <c r="A120" s="13" t="s">
        <v>171</v>
      </c>
      <c r="B120" s="13" t="s">
        <v>4042</v>
      </c>
      <c r="C120" s="42">
        <f t="shared" si="1"/>
        <v>112.3657808</v>
      </c>
      <c r="D120" s="14" t="s">
        <v>42</v>
      </c>
      <c r="E120" s="14">
        <v>1</v>
      </c>
      <c r="F120" s="14" t="s">
        <v>3982</v>
      </c>
      <c r="G120" s="14">
        <f>(VLOOKUP(D120,'[1]BOM Info General'!$A:$L,12,0))*E120</f>
        <v>35.56</v>
      </c>
      <c r="H120" s="15" t="s">
        <v>39</v>
      </c>
      <c r="I120" s="15">
        <v>1</v>
      </c>
      <c r="J120" s="15" t="s">
        <v>46</v>
      </c>
      <c r="K120" s="15">
        <f>(VLOOKUP(H120,'[1]BOM Info General'!$A:$L,12,0))*I120</f>
        <v>24.42</v>
      </c>
      <c r="L120" s="9" t="s">
        <v>60</v>
      </c>
      <c r="M120" s="9">
        <v>1</v>
      </c>
      <c r="N120" s="9" t="s">
        <v>57</v>
      </c>
      <c r="O120" s="9">
        <f>(VLOOKUP(L120,'[1]Simulation pricing per sub assy'!$D:$E,2,0))*M120</f>
        <v>43.608799999999988</v>
      </c>
      <c r="P120" s="16" t="s">
        <v>50</v>
      </c>
      <c r="Q120" s="16">
        <v>2</v>
      </c>
      <c r="R120" s="16" t="s">
        <v>16</v>
      </c>
      <c r="S120" s="40">
        <f>(VLOOKUP(P120,'[1]BOM Info General'!$A:$L,12,0))*Q120</f>
        <v>5.3</v>
      </c>
      <c r="T120" s="17" t="s">
        <v>14</v>
      </c>
      <c r="U120" s="17">
        <v>1</v>
      </c>
      <c r="V120" s="17" t="s">
        <v>15</v>
      </c>
      <c r="W120" s="17">
        <f>(VLOOKUP(T120,'[1]Simulation pricing per sub assy'!$D:$E,2,0))*U120</f>
        <v>1.9</v>
      </c>
      <c r="X120" s="18" t="s">
        <v>615</v>
      </c>
      <c r="Y120" s="18">
        <v>1</v>
      </c>
      <c r="Z120" s="18" t="s">
        <v>9</v>
      </c>
      <c r="AA120" s="18">
        <f>(VLOOKUP(X120,'[1]Simulation pricing per sub assy'!$D:$E,2,0))*Y120</f>
        <v>1.5769808000000001</v>
      </c>
    </row>
    <row r="121" spans="1:27" x14ac:dyDescent="0.35">
      <c r="A121" s="13" t="s">
        <v>243</v>
      </c>
      <c r="B121" s="13" t="s">
        <v>4043</v>
      </c>
      <c r="C121" s="42">
        <f t="shared" si="1"/>
        <v>120.0357808</v>
      </c>
      <c r="D121" s="14" t="s">
        <v>42</v>
      </c>
      <c r="E121" s="14">
        <v>1</v>
      </c>
      <c r="F121" s="14" t="s">
        <v>3982</v>
      </c>
      <c r="G121" s="14">
        <f>(VLOOKUP(D121,'[1]BOM Info General'!$A:$L,12,0))*E121</f>
        <v>35.56</v>
      </c>
      <c r="H121" s="15" t="s">
        <v>39</v>
      </c>
      <c r="I121" s="15">
        <v>1</v>
      </c>
      <c r="J121" s="15" t="s">
        <v>46</v>
      </c>
      <c r="K121" s="15">
        <f>(VLOOKUP(H121,'[1]BOM Info General'!$A:$L,12,0))*I121</f>
        <v>24.42</v>
      </c>
      <c r="L121" s="9" t="s">
        <v>56</v>
      </c>
      <c r="M121" s="9">
        <v>1</v>
      </c>
      <c r="N121" s="9" t="s">
        <v>59</v>
      </c>
      <c r="O121" s="9">
        <f>(VLOOKUP(L121,'[1]Simulation pricing per sub assy'!$D:$E,2,0))*M121</f>
        <v>51.27879999999999</v>
      </c>
      <c r="P121" s="16" t="s">
        <v>50</v>
      </c>
      <c r="Q121" s="16">
        <v>2</v>
      </c>
      <c r="R121" s="16" t="s">
        <v>16</v>
      </c>
      <c r="S121" s="40">
        <f>(VLOOKUP(P121,'[1]BOM Info General'!$A:$L,12,0))*Q121</f>
        <v>5.3</v>
      </c>
      <c r="T121" s="17" t="s">
        <v>14</v>
      </c>
      <c r="U121" s="17">
        <v>1</v>
      </c>
      <c r="V121" s="17" t="s">
        <v>15</v>
      </c>
      <c r="W121" s="17">
        <f>(VLOOKUP(T121,'[1]Simulation pricing per sub assy'!$D:$E,2,0))*U121</f>
        <v>1.9</v>
      </c>
      <c r="X121" s="18" t="s">
        <v>615</v>
      </c>
      <c r="Y121" s="18">
        <v>1</v>
      </c>
      <c r="Z121" s="18" t="s">
        <v>9</v>
      </c>
      <c r="AA121" s="18">
        <f>(VLOOKUP(X121,'[1]Simulation pricing per sub assy'!$D:$E,2,0))*Y121</f>
        <v>1.5769808000000001</v>
      </c>
    </row>
    <row r="122" spans="1:27" x14ac:dyDescent="0.35">
      <c r="A122" s="13" t="s">
        <v>280</v>
      </c>
      <c r="B122" s="13" t="s">
        <v>4044</v>
      </c>
      <c r="C122" s="42">
        <f t="shared" si="1"/>
        <v>111.21578079999999</v>
      </c>
      <c r="D122" s="14" t="s">
        <v>42</v>
      </c>
      <c r="E122" s="14">
        <v>1</v>
      </c>
      <c r="F122" s="14" t="s">
        <v>3982</v>
      </c>
      <c r="G122" s="14">
        <f>(VLOOKUP(D122,'[1]BOM Info General'!$A:$L,12,0))*E122</f>
        <v>35.56</v>
      </c>
      <c r="H122" s="15" t="s">
        <v>39</v>
      </c>
      <c r="I122" s="15">
        <v>1</v>
      </c>
      <c r="J122" s="15" t="s">
        <v>46</v>
      </c>
      <c r="K122" s="15">
        <f>(VLOOKUP(H122,'[1]BOM Info General'!$A:$L,12,0))*I122</f>
        <v>24.42</v>
      </c>
      <c r="L122" s="9" t="s">
        <v>523</v>
      </c>
      <c r="M122" s="9">
        <v>1</v>
      </c>
      <c r="N122" s="9" t="s">
        <v>61</v>
      </c>
      <c r="O122" s="9">
        <f>(VLOOKUP(L122,'[1]Simulation pricing per sub assy'!$D:$E,2,0))*M122</f>
        <v>42.308799999999991</v>
      </c>
      <c r="P122" s="16" t="s">
        <v>51</v>
      </c>
      <c r="Q122" s="16">
        <v>2</v>
      </c>
      <c r="R122" s="16" t="s">
        <v>17</v>
      </c>
      <c r="S122" s="40">
        <f>(VLOOKUP(P122,'[1]BOM Info General'!$A:$L,12,0))*Q122</f>
        <v>5.3</v>
      </c>
      <c r="T122" s="17" t="s">
        <v>10</v>
      </c>
      <c r="U122" s="17">
        <v>1</v>
      </c>
      <c r="V122" s="17" t="s">
        <v>11</v>
      </c>
      <c r="W122" s="17">
        <f>(VLOOKUP(T122,'[1]Simulation pricing per sub assy'!$D:$E,2,0))*U122</f>
        <v>2.0499999999999998</v>
      </c>
      <c r="X122" s="18" t="s">
        <v>615</v>
      </c>
      <c r="Y122" s="18">
        <v>1</v>
      </c>
      <c r="Z122" s="18" t="s">
        <v>9</v>
      </c>
      <c r="AA122" s="18">
        <f>(VLOOKUP(X122,'[1]Simulation pricing per sub assy'!$D:$E,2,0))*Y122</f>
        <v>1.5769808000000001</v>
      </c>
    </row>
    <row r="123" spans="1:27" x14ac:dyDescent="0.35">
      <c r="A123" s="13" t="s">
        <v>136</v>
      </c>
      <c r="B123" s="13" t="s">
        <v>4045</v>
      </c>
      <c r="C123" s="42">
        <f t="shared" si="1"/>
        <v>112.19578079999999</v>
      </c>
      <c r="D123" s="14" t="s">
        <v>42</v>
      </c>
      <c r="E123" s="14">
        <v>1</v>
      </c>
      <c r="F123" s="14" t="s">
        <v>3982</v>
      </c>
      <c r="G123" s="14">
        <f>(VLOOKUP(D123,'[1]BOM Info General'!$A:$L,12,0))*E123</f>
        <v>35.56</v>
      </c>
      <c r="H123" s="15" t="s">
        <v>39</v>
      </c>
      <c r="I123" s="15">
        <v>1</v>
      </c>
      <c r="J123" s="15" t="s">
        <v>46</v>
      </c>
      <c r="K123" s="15">
        <f>(VLOOKUP(H123,'[1]BOM Info General'!$A:$L,12,0))*I123</f>
        <v>24.42</v>
      </c>
      <c r="L123" s="9" t="s">
        <v>58</v>
      </c>
      <c r="M123" s="9">
        <v>1</v>
      </c>
      <c r="N123" s="9" t="s">
        <v>55</v>
      </c>
      <c r="O123" s="9">
        <f>(VLOOKUP(L123,'[1]Simulation pricing per sub assy'!$D:$E,2,0))*M123</f>
        <v>43.288799999999988</v>
      </c>
      <c r="P123" s="16" t="s">
        <v>51</v>
      </c>
      <c r="Q123" s="16">
        <v>2</v>
      </c>
      <c r="R123" s="16" t="s">
        <v>17</v>
      </c>
      <c r="S123" s="40">
        <f>(VLOOKUP(P123,'[1]BOM Info General'!$A:$L,12,0))*Q123</f>
        <v>5.3</v>
      </c>
      <c r="T123" s="17" t="s">
        <v>10</v>
      </c>
      <c r="U123" s="17">
        <v>1</v>
      </c>
      <c r="V123" s="17" t="s">
        <v>11</v>
      </c>
      <c r="W123" s="17">
        <f>(VLOOKUP(T123,'[1]Simulation pricing per sub assy'!$D:$E,2,0))*U123</f>
        <v>2.0499999999999998</v>
      </c>
      <c r="X123" s="18" t="s">
        <v>615</v>
      </c>
      <c r="Y123" s="18">
        <v>1</v>
      </c>
      <c r="Z123" s="18" t="s">
        <v>9</v>
      </c>
      <c r="AA123" s="18">
        <f>(VLOOKUP(X123,'[1]Simulation pricing per sub assy'!$D:$E,2,0))*Y123</f>
        <v>1.5769808000000001</v>
      </c>
    </row>
    <row r="124" spans="1:27" x14ac:dyDescent="0.35">
      <c r="A124" s="13" t="s">
        <v>208</v>
      </c>
      <c r="B124" s="13" t="s">
        <v>4046</v>
      </c>
      <c r="C124" s="42">
        <f t="shared" si="1"/>
        <v>112.77578079999999</v>
      </c>
      <c r="D124" s="14" t="s">
        <v>42</v>
      </c>
      <c r="E124" s="14">
        <v>1</v>
      </c>
      <c r="F124" s="14" t="s">
        <v>3982</v>
      </c>
      <c r="G124" s="14">
        <f>(VLOOKUP(D124,'[1]BOM Info General'!$A:$L,12,0))*E124</f>
        <v>35.56</v>
      </c>
      <c r="H124" s="15" t="s">
        <v>39</v>
      </c>
      <c r="I124" s="15">
        <v>1</v>
      </c>
      <c r="J124" s="15" t="s">
        <v>46</v>
      </c>
      <c r="K124" s="15">
        <f>(VLOOKUP(H124,'[1]BOM Info General'!$A:$L,12,0))*I124</f>
        <v>24.42</v>
      </c>
      <c r="L124" s="9" t="s">
        <v>54</v>
      </c>
      <c r="M124" s="9">
        <v>1</v>
      </c>
      <c r="N124" s="9" t="s">
        <v>53</v>
      </c>
      <c r="O124" s="9">
        <f>(VLOOKUP(L124,'[1]Simulation pricing per sub assy'!$D:$E,2,0))*M124</f>
        <v>43.868799999999993</v>
      </c>
      <c r="P124" s="16" t="s">
        <v>51</v>
      </c>
      <c r="Q124" s="16">
        <v>2</v>
      </c>
      <c r="R124" s="16" t="s">
        <v>17</v>
      </c>
      <c r="S124" s="40">
        <f>(VLOOKUP(P124,'[1]BOM Info General'!$A:$L,12,0))*Q124</f>
        <v>5.3</v>
      </c>
      <c r="T124" s="17" t="s">
        <v>10</v>
      </c>
      <c r="U124" s="17">
        <v>1</v>
      </c>
      <c r="V124" s="17" t="s">
        <v>11</v>
      </c>
      <c r="W124" s="17">
        <f>(VLOOKUP(T124,'[1]Simulation pricing per sub assy'!$D:$E,2,0))*U124</f>
        <v>2.0499999999999998</v>
      </c>
      <c r="X124" s="18" t="s">
        <v>615</v>
      </c>
      <c r="Y124" s="18">
        <v>1</v>
      </c>
      <c r="Z124" s="18" t="s">
        <v>9</v>
      </c>
      <c r="AA124" s="18">
        <f>(VLOOKUP(X124,'[1]Simulation pricing per sub assy'!$D:$E,2,0))*Y124</f>
        <v>1.5769808000000001</v>
      </c>
    </row>
    <row r="125" spans="1:27" x14ac:dyDescent="0.35">
      <c r="A125" s="13" t="s">
        <v>172</v>
      </c>
      <c r="B125" s="13" t="s">
        <v>4047</v>
      </c>
      <c r="C125" s="42">
        <f t="shared" si="1"/>
        <v>112.51578079999999</v>
      </c>
      <c r="D125" s="14" t="s">
        <v>42</v>
      </c>
      <c r="E125" s="14">
        <v>1</v>
      </c>
      <c r="F125" s="14" t="s">
        <v>3982</v>
      </c>
      <c r="G125" s="14">
        <f>(VLOOKUP(D125,'[1]BOM Info General'!$A:$L,12,0))*E125</f>
        <v>35.56</v>
      </c>
      <c r="H125" s="15" t="s">
        <v>39</v>
      </c>
      <c r="I125" s="15">
        <v>1</v>
      </c>
      <c r="J125" s="15" t="s">
        <v>46</v>
      </c>
      <c r="K125" s="15">
        <f>(VLOOKUP(H125,'[1]BOM Info General'!$A:$L,12,0))*I125</f>
        <v>24.42</v>
      </c>
      <c r="L125" s="9" t="s">
        <v>60</v>
      </c>
      <c r="M125" s="9">
        <v>1</v>
      </c>
      <c r="N125" s="9" t="s">
        <v>57</v>
      </c>
      <c r="O125" s="9">
        <f>(VLOOKUP(L125,'[1]Simulation pricing per sub assy'!$D:$E,2,0))*M125</f>
        <v>43.608799999999988</v>
      </c>
      <c r="P125" s="16" t="s">
        <v>51</v>
      </c>
      <c r="Q125" s="16">
        <v>2</v>
      </c>
      <c r="R125" s="16" t="s">
        <v>17</v>
      </c>
      <c r="S125" s="40">
        <f>(VLOOKUP(P125,'[1]BOM Info General'!$A:$L,12,0))*Q125</f>
        <v>5.3</v>
      </c>
      <c r="T125" s="17" t="s">
        <v>10</v>
      </c>
      <c r="U125" s="17">
        <v>1</v>
      </c>
      <c r="V125" s="17" t="s">
        <v>11</v>
      </c>
      <c r="W125" s="17">
        <f>(VLOOKUP(T125,'[1]Simulation pricing per sub assy'!$D:$E,2,0))*U125</f>
        <v>2.0499999999999998</v>
      </c>
      <c r="X125" s="18" t="s">
        <v>615</v>
      </c>
      <c r="Y125" s="18">
        <v>1</v>
      </c>
      <c r="Z125" s="18" t="s">
        <v>9</v>
      </c>
      <c r="AA125" s="18">
        <f>(VLOOKUP(X125,'[1]Simulation pricing per sub assy'!$D:$E,2,0))*Y125</f>
        <v>1.5769808000000001</v>
      </c>
    </row>
    <row r="126" spans="1:27" x14ac:dyDescent="0.35">
      <c r="A126" s="13" t="s">
        <v>244</v>
      </c>
      <c r="B126" s="13" t="s">
        <v>4048</v>
      </c>
      <c r="C126" s="42">
        <f t="shared" si="1"/>
        <v>120.18578079999999</v>
      </c>
      <c r="D126" s="14" t="s">
        <v>42</v>
      </c>
      <c r="E126" s="14">
        <v>1</v>
      </c>
      <c r="F126" s="14" t="s">
        <v>3982</v>
      </c>
      <c r="G126" s="14">
        <f>(VLOOKUP(D126,'[1]BOM Info General'!$A:$L,12,0))*E126</f>
        <v>35.56</v>
      </c>
      <c r="H126" s="15" t="s">
        <v>39</v>
      </c>
      <c r="I126" s="15">
        <v>1</v>
      </c>
      <c r="J126" s="15" t="s">
        <v>46</v>
      </c>
      <c r="K126" s="15">
        <f>(VLOOKUP(H126,'[1]BOM Info General'!$A:$L,12,0))*I126</f>
        <v>24.42</v>
      </c>
      <c r="L126" s="9" t="s">
        <v>56</v>
      </c>
      <c r="M126" s="9">
        <v>1</v>
      </c>
      <c r="N126" s="9" t="s">
        <v>59</v>
      </c>
      <c r="O126" s="9">
        <f>(VLOOKUP(L126,'[1]Simulation pricing per sub assy'!$D:$E,2,0))*M126</f>
        <v>51.27879999999999</v>
      </c>
      <c r="P126" s="16" t="s">
        <v>51</v>
      </c>
      <c r="Q126" s="16">
        <v>2</v>
      </c>
      <c r="R126" s="16" t="s">
        <v>17</v>
      </c>
      <c r="S126" s="40">
        <f>(VLOOKUP(P126,'[1]BOM Info General'!$A:$L,12,0))*Q126</f>
        <v>5.3</v>
      </c>
      <c r="T126" s="17" t="s">
        <v>10</v>
      </c>
      <c r="U126" s="17">
        <v>1</v>
      </c>
      <c r="V126" s="17" t="s">
        <v>11</v>
      </c>
      <c r="W126" s="17">
        <f>(VLOOKUP(T126,'[1]Simulation pricing per sub assy'!$D:$E,2,0))*U126</f>
        <v>2.0499999999999998</v>
      </c>
      <c r="X126" s="18" t="s">
        <v>615</v>
      </c>
      <c r="Y126" s="18">
        <v>1</v>
      </c>
      <c r="Z126" s="18" t="s">
        <v>9</v>
      </c>
      <c r="AA126" s="18">
        <f>(VLOOKUP(X126,'[1]Simulation pricing per sub assy'!$D:$E,2,0))*Y126</f>
        <v>1.5769808000000001</v>
      </c>
    </row>
    <row r="127" spans="1:27" x14ac:dyDescent="0.35">
      <c r="A127" s="13" t="s">
        <v>281</v>
      </c>
      <c r="B127" s="13" t="s">
        <v>4049</v>
      </c>
      <c r="C127" s="42">
        <f t="shared" si="1"/>
        <v>111.0657808</v>
      </c>
      <c r="D127" s="14" t="s">
        <v>42</v>
      </c>
      <c r="E127" s="14">
        <v>1</v>
      </c>
      <c r="F127" s="14" t="s">
        <v>3982</v>
      </c>
      <c r="G127" s="14">
        <f>(VLOOKUP(D127,'[1]BOM Info General'!$A:$L,12,0))*E127</f>
        <v>35.56</v>
      </c>
      <c r="H127" s="15" t="s">
        <v>39</v>
      </c>
      <c r="I127" s="15">
        <v>1</v>
      </c>
      <c r="J127" s="15" t="s">
        <v>46</v>
      </c>
      <c r="K127" s="15">
        <f>(VLOOKUP(H127,'[1]BOM Info General'!$A:$L,12,0))*I127</f>
        <v>24.42</v>
      </c>
      <c r="L127" s="9" t="s">
        <v>523</v>
      </c>
      <c r="M127" s="9">
        <v>1</v>
      </c>
      <c r="N127" s="9" t="s">
        <v>61</v>
      </c>
      <c r="O127" s="9">
        <f>(VLOOKUP(L127,'[1]Simulation pricing per sub assy'!$D:$E,2,0))*M127</f>
        <v>42.308799999999991</v>
      </c>
      <c r="P127" s="16" t="s">
        <v>51</v>
      </c>
      <c r="Q127" s="16">
        <v>2</v>
      </c>
      <c r="R127" s="16" t="s">
        <v>17</v>
      </c>
      <c r="S127" s="40">
        <f>(VLOOKUP(P127,'[1]BOM Info General'!$A:$L,12,0))*Q127</f>
        <v>5.3</v>
      </c>
      <c r="T127" s="17" t="s">
        <v>12</v>
      </c>
      <c r="U127" s="17">
        <v>1</v>
      </c>
      <c r="V127" s="17" t="s">
        <v>13</v>
      </c>
      <c r="W127" s="17">
        <f>(VLOOKUP(T127,'[1]Simulation pricing per sub assy'!$D:$E,2,0))*U127</f>
        <v>1.9</v>
      </c>
      <c r="X127" s="18" t="s">
        <v>615</v>
      </c>
      <c r="Y127" s="18">
        <v>1</v>
      </c>
      <c r="Z127" s="18" t="s">
        <v>9</v>
      </c>
      <c r="AA127" s="18">
        <f>(VLOOKUP(X127,'[1]Simulation pricing per sub assy'!$D:$E,2,0))*Y127</f>
        <v>1.5769808000000001</v>
      </c>
    </row>
    <row r="128" spans="1:27" x14ac:dyDescent="0.35">
      <c r="A128" s="13" t="s">
        <v>137</v>
      </c>
      <c r="B128" s="13" t="s">
        <v>4050</v>
      </c>
      <c r="C128" s="42">
        <f t="shared" si="1"/>
        <v>112.0457808</v>
      </c>
      <c r="D128" s="14" t="s">
        <v>42</v>
      </c>
      <c r="E128" s="14">
        <v>1</v>
      </c>
      <c r="F128" s="14" t="s">
        <v>3982</v>
      </c>
      <c r="G128" s="14">
        <f>(VLOOKUP(D128,'[1]BOM Info General'!$A:$L,12,0))*E128</f>
        <v>35.56</v>
      </c>
      <c r="H128" s="15" t="s">
        <v>39</v>
      </c>
      <c r="I128" s="15">
        <v>1</v>
      </c>
      <c r="J128" s="15" t="s">
        <v>46</v>
      </c>
      <c r="K128" s="15">
        <f>(VLOOKUP(H128,'[1]BOM Info General'!$A:$L,12,0))*I128</f>
        <v>24.42</v>
      </c>
      <c r="L128" s="9" t="s">
        <v>58</v>
      </c>
      <c r="M128" s="9">
        <v>1</v>
      </c>
      <c r="N128" s="9" t="s">
        <v>55</v>
      </c>
      <c r="O128" s="9">
        <f>(VLOOKUP(L128,'[1]Simulation pricing per sub assy'!$D:$E,2,0))*M128</f>
        <v>43.288799999999988</v>
      </c>
      <c r="P128" s="16" t="s">
        <v>51</v>
      </c>
      <c r="Q128" s="16">
        <v>2</v>
      </c>
      <c r="R128" s="16" t="s">
        <v>17</v>
      </c>
      <c r="S128" s="40">
        <f>(VLOOKUP(P128,'[1]BOM Info General'!$A:$L,12,0))*Q128</f>
        <v>5.3</v>
      </c>
      <c r="T128" s="17" t="s">
        <v>12</v>
      </c>
      <c r="U128" s="17">
        <v>1</v>
      </c>
      <c r="V128" s="17" t="s">
        <v>13</v>
      </c>
      <c r="W128" s="17">
        <f>(VLOOKUP(T128,'[1]Simulation pricing per sub assy'!$D:$E,2,0))*U128</f>
        <v>1.9</v>
      </c>
      <c r="X128" s="18" t="s">
        <v>615</v>
      </c>
      <c r="Y128" s="18">
        <v>1</v>
      </c>
      <c r="Z128" s="18" t="s">
        <v>9</v>
      </c>
      <c r="AA128" s="18">
        <f>(VLOOKUP(X128,'[1]Simulation pricing per sub assy'!$D:$E,2,0))*Y128</f>
        <v>1.5769808000000001</v>
      </c>
    </row>
    <row r="129" spans="1:27" x14ac:dyDescent="0.35">
      <c r="A129" s="13" t="s">
        <v>209</v>
      </c>
      <c r="B129" s="13" t="s">
        <v>4051</v>
      </c>
      <c r="C129" s="42">
        <f t="shared" si="1"/>
        <v>112.6257808</v>
      </c>
      <c r="D129" s="14" t="s">
        <v>42</v>
      </c>
      <c r="E129" s="14">
        <v>1</v>
      </c>
      <c r="F129" s="14" t="s">
        <v>3982</v>
      </c>
      <c r="G129" s="14">
        <f>(VLOOKUP(D129,'[1]BOM Info General'!$A:$L,12,0))*E129</f>
        <v>35.56</v>
      </c>
      <c r="H129" s="15" t="s">
        <v>39</v>
      </c>
      <c r="I129" s="15">
        <v>1</v>
      </c>
      <c r="J129" s="15" t="s">
        <v>46</v>
      </c>
      <c r="K129" s="15">
        <f>(VLOOKUP(H129,'[1]BOM Info General'!$A:$L,12,0))*I129</f>
        <v>24.42</v>
      </c>
      <c r="L129" s="9" t="s">
        <v>54</v>
      </c>
      <c r="M129" s="9">
        <v>1</v>
      </c>
      <c r="N129" s="9" t="s">
        <v>53</v>
      </c>
      <c r="O129" s="9">
        <f>(VLOOKUP(L129,'[1]Simulation pricing per sub assy'!$D:$E,2,0))*M129</f>
        <v>43.868799999999993</v>
      </c>
      <c r="P129" s="16" t="s">
        <v>51</v>
      </c>
      <c r="Q129" s="16">
        <v>2</v>
      </c>
      <c r="R129" s="16" t="s">
        <v>17</v>
      </c>
      <c r="S129" s="40">
        <f>(VLOOKUP(P129,'[1]BOM Info General'!$A:$L,12,0))*Q129</f>
        <v>5.3</v>
      </c>
      <c r="T129" s="17" t="s">
        <v>12</v>
      </c>
      <c r="U129" s="17">
        <v>1</v>
      </c>
      <c r="V129" s="17" t="s">
        <v>13</v>
      </c>
      <c r="W129" s="17">
        <f>(VLOOKUP(T129,'[1]Simulation pricing per sub assy'!$D:$E,2,0))*U129</f>
        <v>1.9</v>
      </c>
      <c r="X129" s="18" t="s">
        <v>615</v>
      </c>
      <c r="Y129" s="18">
        <v>1</v>
      </c>
      <c r="Z129" s="18" t="s">
        <v>9</v>
      </c>
      <c r="AA129" s="18">
        <f>(VLOOKUP(X129,'[1]Simulation pricing per sub assy'!$D:$E,2,0))*Y129</f>
        <v>1.5769808000000001</v>
      </c>
    </row>
    <row r="130" spans="1:27" x14ac:dyDescent="0.35">
      <c r="A130" s="13" t="s">
        <v>173</v>
      </c>
      <c r="B130" s="13" t="s">
        <v>4052</v>
      </c>
      <c r="C130" s="42">
        <f t="shared" si="1"/>
        <v>112.3657808</v>
      </c>
      <c r="D130" s="14" t="s">
        <v>42</v>
      </c>
      <c r="E130" s="14">
        <v>1</v>
      </c>
      <c r="F130" s="14" t="s">
        <v>3982</v>
      </c>
      <c r="G130" s="14">
        <f>(VLOOKUP(D130,'[1]BOM Info General'!$A:$L,12,0))*E130</f>
        <v>35.56</v>
      </c>
      <c r="H130" s="15" t="s">
        <v>39</v>
      </c>
      <c r="I130" s="15">
        <v>1</v>
      </c>
      <c r="J130" s="15" t="s">
        <v>46</v>
      </c>
      <c r="K130" s="15">
        <f>(VLOOKUP(H130,'[1]BOM Info General'!$A:$L,12,0))*I130</f>
        <v>24.42</v>
      </c>
      <c r="L130" s="9" t="s">
        <v>60</v>
      </c>
      <c r="M130" s="9">
        <v>1</v>
      </c>
      <c r="N130" s="9" t="s">
        <v>57</v>
      </c>
      <c r="O130" s="9">
        <f>(VLOOKUP(L130,'[1]Simulation pricing per sub assy'!$D:$E,2,0))*M130</f>
        <v>43.608799999999988</v>
      </c>
      <c r="P130" s="16" t="s">
        <v>51</v>
      </c>
      <c r="Q130" s="16">
        <v>2</v>
      </c>
      <c r="R130" s="16" t="s">
        <v>17</v>
      </c>
      <c r="S130" s="40">
        <f>(VLOOKUP(P130,'[1]BOM Info General'!$A:$L,12,0))*Q130</f>
        <v>5.3</v>
      </c>
      <c r="T130" s="17" t="s">
        <v>12</v>
      </c>
      <c r="U130" s="17">
        <v>1</v>
      </c>
      <c r="V130" s="17" t="s">
        <v>13</v>
      </c>
      <c r="W130" s="17">
        <f>(VLOOKUP(T130,'[1]Simulation pricing per sub assy'!$D:$E,2,0))*U130</f>
        <v>1.9</v>
      </c>
      <c r="X130" s="18" t="s">
        <v>615</v>
      </c>
      <c r="Y130" s="18">
        <v>1</v>
      </c>
      <c r="Z130" s="18" t="s">
        <v>9</v>
      </c>
      <c r="AA130" s="18">
        <f>(VLOOKUP(X130,'[1]Simulation pricing per sub assy'!$D:$E,2,0))*Y130</f>
        <v>1.5769808000000001</v>
      </c>
    </row>
    <row r="131" spans="1:27" x14ac:dyDescent="0.35">
      <c r="A131" s="13" t="s">
        <v>245</v>
      </c>
      <c r="B131" s="13" t="s">
        <v>4053</v>
      </c>
      <c r="C131" s="42">
        <f t="shared" ref="C131:C194" si="2">SUM(G131+K131+O131+S131+W131+AA131)</f>
        <v>120.0357808</v>
      </c>
      <c r="D131" s="14" t="s">
        <v>42</v>
      </c>
      <c r="E131" s="14">
        <v>1</v>
      </c>
      <c r="F131" s="14" t="s">
        <v>3982</v>
      </c>
      <c r="G131" s="14">
        <f>(VLOOKUP(D131,'[1]BOM Info General'!$A:$L,12,0))*E131</f>
        <v>35.56</v>
      </c>
      <c r="H131" s="15" t="s">
        <v>39</v>
      </c>
      <c r="I131" s="15">
        <v>1</v>
      </c>
      <c r="J131" s="15" t="s">
        <v>46</v>
      </c>
      <c r="K131" s="15">
        <f>(VLOOKUP(H131,'[1]BOM Info General'!$A:$L,12,0))*I131</f>
        <v>24.42</v>
      </c>
      <c r="L131" s="9" t="s">
        <v>56</v>
      </c>
      <c r="M131" s="9">
        <v>1</v>
      </c>
      <c r="N131" s="9" t="s">
        <v>59</v>
      </c>
      <c r="O131" s="9">
        <f>(VLOOKUP(L131,'[1]Simulation pricing per sub assy'!$D:$E,2,0))*M131</f>
        <v>51.27879999999999</v>
      </c>
      <c r="P131" s="16" t="s">
        <v>51</v>
      </c>
      <c r="Q131" s="16">
        <v>2</v>
      </c>
      <c r="R131" s="16" t="s">
        <v>17</v>
      </c>
      <c r="S131" s="40">
        <f>(VLOOKUP(P131,'[1]BOM Info General'!$A:$L,12,0))*Q131</f>
        <v>5.3</v>
      </c>
      <c r="T131" s="17" t="s">
        <v>12</v>
      </c>
      <c r="U131" s="17">
        <v>1</v>
      </c>
      <c r="V131" s="17" t="s">
        <v>13</v>
      </c>
      <c r="W131" s="17">
        <f>(VLOOKUP(T131,'[1]Simulation pricing per sub assy'!$D:$E,2,0))*U131</f>
        <v>1.9</v>
      </c>
      <c r="X131" s="18" t="s">
        <v>615</v>
      </c>
      <c r="Y131" s="18">
        <v>1</v>
      </c>
      <c r="Z131" s="18" t="s">
        <v>9</v>
      </c>
      <c r="AA131" s="18">
        <f>(VLOOKUP(X131,'[1]Simulation pricing per sub assy'!$D:$E,2,0))*Y131</f>
        <v>1.5769808000000001</v>
      </c>
    </row>
    <row r="132" spans="1:27" x14ac:dyDescent="0.35">
      <c r="A132" s="13" t="s">
        <v>282</v>
      </c>
      <c r="B132" s="13" t="s">
        <v>4054</v>
      </c>
      <c r="C132" s="42">
        <f t="shared" si="2"/>
        <v>111.0657808</v>
      </c>
      <c r="D132" s="14" t="s">
        <v>42</v>
      </c>
      <c r="E132" s="14">
        <v>1</v>
      </c>
      <c r="F132" s="14" t="s">
        <v>3982</v>
      </c>
      <c r="G132" s="14">
        <f>(VLOOKUP(D132,'[1]BOM Info General'!$A:$L,12,0))*E132</f>
        <v>35.56</v>
      </c>
      <c r="H132" s="15" t="s">
        <v>39</v>
      </c>
      <c r="I132" s="15">
        <v>1</v>
      </c>
      <c r="J132" s="15" t="s">
        <v>46</v>
      </c>
      <c r="K132" s="15">
        <f>(VLOOKUP(H132,'[1]BOM Info General'!$A:$L,12,0))*I132</f>
        <v>24.42</v>
      </c>
      <c r="L132" s="9" t="s">
        <v>523</v>
      </c>
      <c r="M132" s="9">
        <v>1</v>
      </c>
      <c r="N132" s="9" t="s">
        <v>61</v>
      </c>
      <c r="O132" s="9">
        <f>(VLOOKUP(L132,'[1]Simulation pricing per sub assy'!$D:$E,2,0))*M132</f>
        <v>42.308799999999991</v>
      </c>
      <c r="P132" s="16" t="s">
        <v>51</v>
      </c>
      <c r="Q132" s="16">
        <v>2</v>
      </c>
      <c r="R132" s="16" t="s">
        <v>17</v>
      </c>
      <c r="S132" s="40">
        <f>(VLOOKUP(P132,'[1]BOM Info General'!$A:$L,12,0))*Q132</f>
        <v>5.3</v>
      </c>
      <c r="T132" s="17" t="s">
        <v>14</v>
      </c>
      <c r="U132" s="17">
        <v>1</v>
      </c>
      <c r="V132" s="17" t="s">
        <v>15</v>
      </c>
      <c r="W132" s="17">
        <f>(VLOOKUP(T132,'[1]Simulation pricing per sub assy'!$D:$E,2,0))*U132</f>
        <v>1.9</v>
      </c>
      <c r="X132" s="18" t="s">
        <v>615</v>
      </c>
      <c r="Y132" s="18">
        <v>1</v>
      </c>
      <c r="Z132" s="18" t="s">
        <v>9</v>
      </c>
      <c r="AA132" s="18">
        <f>(VLOOKUP(X132,'[1]Simulation pricing per sub assy'!$D:$E,2,0))*Y132</f>
        <v>1.5769808000000001</v>
      </c>
    </row>
    <row r="133" spans="1:27" x14ac:dyDescent="0.35">
      <c r="A133" s="13" t="s">
        <v>138</v>
      </c>
      <c r="B133" s="13" t="s">
        <v>4055</v>
      </c>
      <c r="C133" s="42">
        <f t="shared" si="2"/>
        <v>112.0457808</v>
      </c>
      <c r="D133" s="14" t="s">
        <v>42</v>
      </c>
      <c r="E133" s="14">
        <v>1</v>
      </c>
      <c r="F133" s="14" t="s">
        <v>3982</v>
      </c>
      <c r="G133" s="14">
        <f>(VLOOKUP(D133,'[1]BOM Info General'!$A:$L,12,0))*E133</f>
        <v>35.56</v>
      </c>
      <c r="H133" s="15" t="s">
        <v>39</v>
      </c>
      <c r="I133" s="15">
        <v>1</v>
      </c>
      <c r="J133" s="15" t="s">
        <v>46</v>
      </c>
      <c r="K133" s="15">
        <f>(VLOOKUP(H133,'[1]BOM Info General'!$A:$L,12,0))*I133</f>
        <v>24.42</v>
      </c>
      <c r="L133" s="9" t="s">
        <v>58</v>
      </c>
      <c r="M133" s="9">
        <v>1</v>
      </c>
      <c r="N133" s="9" t="s">
        <v>55</v>
      </c>
      <c r="O133" s="9">
        <f>(VLOOKUP(L133,'[1]Simulation pricing per sub assy'!$D:$E,2,0))*M133</f>
        <v>43.288799999999988</v>
      </c>
      <c r="P133" s="16" t="s">
        <v>51</v>
      </c>
      <c r="Q133" s="16">
        <v>2</v>
      </c>
      <c r="R133" s="16" t="s">
        <v>17</v>
      </c>
      <c r="S133" s="40">
        <f>(VLOOKUP(P133,'[1]BOM Info General'!$A:$L,12,0))*Q133</f>
        <v>5.3</v>
      </c>
      <c r="T133" s="17" t="s">
        <v>14</v>
      </c>
      <c r="U133" s="17">
        <v>1</v>
      </c>
      <c r="V133" s="17" t="s">
        <v>15</v>
      </c>
      <c r="W133" s="17">
        <f>(VLOOKUP(T133,'[1]Simulation pricing per sub assy'!$D:$E,2,0))*U133</f>
        <v>1.9</v>
      </c>
      <c r="X133" s="18" t="s">
        <v>615</v>
      </c>
      <c r="Y133" s="18">
        <v>1</v>
      </c>
      <c r="Z133" s="18" t="s">
        <v>9</v>
      </c>
      <c r="AA133" s="18">
        <f>(VLOOKUP(X133,'[1]Simulation pricing per sub assy'!$D:$E,2,0))*Y133</f>
        <v>1.5769808000000001</v>
      </c>
    </row>
    <row r="134" spans="1:27" x14ac:dyDescent="0.35">
      <c r="A134" s="13" t="s">
        <v>210</v>
      </c>
      <c r="B134" s="13" t="s">
        <v>4056</v>
      </c>
      <c r="C134" s="42">
        <f t="shared" si="2"/>
        <v>112.6257808</v>
      </c>
      <c r="D134" s="14" t="s">
        <v>42</v>
      </c>
      <c r="E134" s="14">
        <v>1</v>
      </c>
      <c r="F134" s="14" t="s">
        <v>3982</v>
      </c>
      <c r="G134" s="14">
        <f>(VLOOKUP(D134,'[1]BOM Info General'!$A:$L,12,0))*E134</f>
        <v>35.56</v>
      </c>
      <c r="H134" s="15" t="s">
        <v>39</v>
      </c>
      <c r="I134" s="15">
        <v>1</v>
      </c>
      <c r="J134" s="15" t="s">
        <v>46</v>
      </c>
      <c r="K134" s="15">
        <f>(VLOOKUP(H134,'[1]BOM Info General'!$A:$L,12,0))*I134</f>
        <v>24.42</v>
      </c>
      <c r="L134" s="9" t="s">
        <v>54</v>
      </c>
      <c r="M134" s="9">
        <v>1</v>
      </c>
      <c r="N134" s="9" t="s">
        <v>53</v>
      </c>
      <c r="O134" s="9">
        <f>(VLOOKUP(L134,'[1]Simulation pricing per sub assy'!$D:$E,2,0))*M134</f>
        <v>43.868799999999993</v>
      </c>
      <c r="P134" s="16" t="s">
        <v>51</v>
      </c>
      <c r="Q134" s="16">
        <v>2</v>
      </c>
      <c r="R134" s="16" t="s">
        <v>17</v>
      </c>
      <c r="S134" s="40">
        <f>(VLOOKUP(P134,'[1]BOM Info General'!$A:$L,12,0))*Q134</f>
        <v>5.3</v>
      </c>
      <c r="T134" s="17" t="s">
        <v>14</v>
      </c>
      <c r="U134" s="17">
        <v>1</v>
      </c>
      <c r="V134" s="17" t="s">
        <v>15</v>
      </c>
      <c r="W134" s="17">
        <f>(VLOOKUP(T134,'[1]Simulation pricing per sub assy'!$D:$E,2,0))*U134</f>
        <v>1.9</v>
      </c>
      <c r="X134" s="18" t="s">
        <v>615</v>
      </c>
      <c r="Y134" s="18">
        <v>1</v>
      </c>
      <c r="Z134" s="18" t="s">
        <v>9</v>
      </c>
      <c r="AA134" s="18">
        <f>(VLOOKUP(X134,'[1]Simulation pricing per sub assy'!$D:$E,2,0))*Y134</f>
        <v>1.5769808000000001</v>
      </c>
    </row>
    <row r="135" spans="1:27" x14ac:dyDescent="0.35">
      <c r="A135" s="13" t="s">
        <v>174</v>
      </c>
      <c r="B135" s="13" t="s">
        <v>4057</v>
      </c>
      <c r="C135" s="42">
        <f t="shared" si="2"/>
        <v>112.3657808</v>
      </c>
      <c r="D135" s="14" t="s">
        <v>42</v>
      </c>
      <c r="E135" s="14">
        <v>1</v>
      </c>
      <c r="F135" s="14" t="s">
        <v>3982</v>
      </c>
      <c r="G135" s="14">
        <f>(VLOOKUP(D135,'[1]BOM Info General'!$A:$L,12,0))*E135</f>
        <v>35.56</v>
      </c>
      <c r="H135" s="15" t="s">
        <v>39</v>
      </c>
      <c r="I135" s="15">
        <v>1</v>
      </c>
      <c r="J135" s="15" t="s">
        <v>46</v>
      </c>
      <c r="K135" s="15">
        <f>(VLOOKUP(H135,'[1]BOM Info General'!$A:$L,12,0))*I135</f>
        <v>24.42</v>
      </c>
      <c r="L135" s="9" t="s">
        <v>60</v>
      </c>
      <c r="M135" s="9">
        <v>1</v>
      </c>
      <c r="N135" s="9" t="s">
        <v>57</v>
      </c>
      <c r="O135" s="9">
        <f>(VLOOKUP(L135,'[1]Simulation pricing per sub assy'!$D:$E,2,0))*M135</f>
        <v>43.608799999999988</v>
      </c>
      <c r="P135" s="16" t="s">
        <v>51</v>
      </c>
      <c r="Q135" s="16">
        <v>2</v>
      </c>
      <c r="R135" s="16" t="s">
        <v>17</v>
      </c>
      <c r="S135" s="40">
        <f>(VLOOKUP(P135,'[1]BOM Info General'!$A:$L,12,0))*Q135</f>
        <v>5.3</v>
      </c>
      <c r="T135" s="17" t="s">
        <v>14</v>
      </c>
      <c r="U135" s="17">
        <v>1</v>
      </c>
      <c r="V135" s="17" t="s">
        <v>15</v>
      </c>
      <c r="W135" s="17">
        <f>(VLOOKUP(T135,'[1]Simulation pricing per sub assy'!$D:$E,2,0))*U135</f>
        <v>1.9</v>
      </c>
      <c r="X135" s="18" t="s">
        <v>615</v>
      </c>
      <c r="Y135" s="18">
        <v>1</v>
      </c>
      <c r="Z135" s="18" t="s">
        <v>9</v>
      </c>
      <c r="AA135" s="18">
        <f>(VLOOKUP(X135,'[1]Simulation pricing per sub assy'!$D:$E,2,0))*Y135</f>
        <v>1.5769808000000001</v>
      </c>
    </row>
    <row r="136" spans="1:27" x14ac:dyDescent="0.35">
      <c r="A136" s="13" t="s">
        <v>246</v>
      </c>
      <c r="B136" s="13" t="s">
        <v>4058</v>
      </c>
      <c r="C136" s="42">
        <f t="shared" si="2"/>
        <v>120.0357808</v>
      </c>
      <c r="D136" s="14" t="s">
        <v>42</v>
      </c>
      <c r="E136" s="14">
        <v>1</v>
      </c>
      <c r="F136" s="14" t="s">
        <v>3982</v>
      </c>
      <c r="G136" s="14">
        <f>(VLOOKUP(D136,'[1]BOM Info General'!$A:$L,12,0))*E136</f>
        <v>35.56</v>
      </c>
      <c r="H136" s="15" t="s">
        <v>39</v>
      </c>
      <c r="I136" s="15">
        <v>1</v>
      </c>
      <c r="J136" s="15" t="s">
        <v>46</v>
      </c>
      <c r="K136" s="15">
        <f>(VLOOKUP(H136,'[1]BOM Info General'!$A:$L,12,0))*I136</f>
        <v>24.42</v>
      </c>
      <c r="L136" s="9" t="s">
        <v>56</v>
      </c>
      <c r="M136" s="9">
        <v>1</v>
      </c>
      <c r="N136" s="9" t="s">
        <v>59</v>
      </c>
      <c r="O136" s="9">
        <f>(VLOOKUP(L136,'[1]Simulation pricing per sub assy'!$D:$E,2,0))*M136</f>
        <v>51.27879999999999</v>
      </c>
      <c r="P136" s="16" t="s">
        <v>51</v>
      </c>
      <c r="Q136" s="16">
        <v>2</v>
      </c>
      <c r="R136" s="16" t="s">
        <v>17</v>
      </c>
      <c r="S136" s="40">
        <f>(VLOOKUP(P136,'[1]BOM Info General'!$A:$L,12,0))*Q136</f>
        <v>5.3</v>
      </c>
      <c r="T136" s="17" t="s">
        <v>14</v>
      </c>
      <c r="U136" s="17">
        <v>1</v>
      </c>
      <c r="V136" s="17" t="s">
        <v>15</v>
      </c>
      <c r="W136" s="17">
        <f>(VLOOKUP(T136,'[1]Simulation pricing per sub assy'!$D:$E,2,0))*U136</f>
        <v>1.9</v>
      </c>
      <c r="X136" s="18" t="s">
        <v>615</v>
      </c>
      <c r="Y136" s="18">
        <v>1</v>
      </c>
      <c r="Z136" s="18" t="s">
        <v>9</v>
      </c>
      <c r="AA136" s="18">
        <f>(VLOOKUP(X136,'[1]Simulation pricing per sub assy'!$D:$E,2,0))*Y136</f>
        <v>1.5769808000000001</v>
      </c>
    </row>
    <row r="137" spans="1:27" x14ac:dyDescent="0.35">
      <c r="A137" s="13" t="s">
        <v>283</v>
      </c>
      <c r="B137" s="13" t="s">
        <v>4059</v>
      </c>
      <c r="C137" s="42">
        <f t="shared" si="2"/>
        <v>111.21578079999999</v>
      </c>
      <c r="D137" s="14" t="s">
        <v>42</v>
      </c>
      <c r="E137" s="14">
        <v>1</v>
      </c>
      <c r="F137" s="14" t="s">
        <v>3982</v>
      </c>
      <c r="G137" s="14">
        <f>(VLOOKUP(D137,'[1]BOM Info General'!$A:$L,12,0))*E137</f>
        <v>35.56</v>
      </c>
      <c r="H137" s="15" t="s">
        <v>39</v>
      </c>
      <c r="I137" s="15">
        <v>1</v>
      </c>
      <c r="J137" s="15" t="s">
        <v>46</v>
      </c>
      <c r="K137" s="15">
        <f>(VLOOKUP(H137,'[1]BOM Info General'!$A:$L,12,0))*I137</f>
        <v>24.42</v>
      </c>
      <c r="L137" s="9" t="s">
        <v>523</v>
      </c>
      <c r="M137" s="9">
        <v>1</v>
      </c>
      <c r="N137" s="9" t="s">
        <v>61</v>
      </c>
      <c r="O137" s="9">
        <f>(VLOOKUP(L137,'[1]Simulation pricing per sub assy'!$D:$E,2,0))*M137</f>
        <v>42.308799999999991</v>
      </c>
      <c r="P137" s="16" t="s">
        <v>52</v>
      </c>
      <c r="Q137" s="16">
        <v>2</v>
      </c>
      <c r="R137" s="16" t="s">
        <v>18</v>
      </c>
      <c r="S137" s="40">
        <f>(VLOOKUP(P137,'[1]BOM Info General'!$A:$L,12,0))*Q137</f>
        <v>5.3</v>
      </c>
      <c r="T137" s="17" t="s">
        <v>10</v>
      </c>
      <c r="U137" s="17">
        <v>1</v>
      </c>
      <c r="V137" s="17" t="s">
        <v>11</v>
      </c>
      <c r="W137" s="17">
        <f>(VLOOKUP(T137,'[1]Simulation pricing per sub assy'!$D:$E,2,0))*U137</f>
        <v>2.0499999999999998</v>
      </c>
      <c r="X137" s="18" t="s">
        <v>615</v>
      </c>
      <c r="Y137" s="18">
        <v>1</v>
      </c>
      <c r="Z137" s="18" t="s">
        <v>9</v>
      </c>
      <c r="AA137" s="18">
        <f>(VLOOKUP(X137,'[1]Simulation pricing per sub assy'!$D:$E,2,0))*Y137</f>
        <v>1.5769808000000001</v>
      </c>
    </row>
    <row r="138" spans="1:27" x14ac:dyDescent="0.35">
      <c r="A138" s="13" t="s">
        <v>139</v>
      </c>
      <c r="B138" s="13" t="s">
        <v>4060</v>
      </c>
      <c r="C138" s="42">
        <f t="shared" si="2"/>
        <v>112.19578079999999</v>
      </c>
      <c r="D138" s="14" t="s">
        <v>42</v>
      </c>
      <c r="E138" s="14">
        <v>1</v>
      </c>
      <c r="F138" s="14" t="s">
        <v>3982</v>
      </c>
      <c r="G138" s="14">
        <f>(VLOOKUP(D138,'[1]BOM Info General'!$A:$L,12,0))*E138</f>
        <v>35.56</v>
      </c>
      <c r="H138" s="15" t="s">
        <v>39</v>
      </c>
      <c r="I138" s="15">
        <v>1</v>
      </c>
      <c r="J138" s="15" t="s">
        <v>46</v>
      </c>
      <c r="K138" s="15">
        <f>(VLOOKUP(H138,'[1]BOM Info General'!$A:$L,12,0))*I138</f>
        <v>24.42</v>
      </c>
      <c r="L138" s="9" t="s">
        <v>58</v>
      </c>
      <c r="M138" s="9">
        <v>1</v>
      </c>
      <c r="N138" s="9" t="s">
        <v>55</v>
      </c>
      <c r="O138" s="9">
        <f>(VLOOKUP(L138,'[1]Simulation pricing per sub assy'!$D:$E,2,0))*M138</f>
        <v>43.288799999999988</v>
      </c>
      <c r="P138" s="16" t="s">
        <v>52</v>
      </c>
      <c r="Q138" s="16">
        <v>2</v>
      </c>
      <c r="R138" s="16" t="s">
        <v>18</v>
      </c>
      <c r="S138" s="40">
        <f>(VLOOKUP(P138,'[1]BOM Info General'!$A:$L,12,0))*Q138</f>
        <v>5.3</v>
      </c>
      <c r="T138" s="17" t="s">
        <v>10</v>
      </c>
      <c r="U138" s="17">
        <v>1</v>
      </c>
      <c r="V138" s="17" t="s">
        <v>11</v>
      </c>
      <c r="W138" s="17">
        <f>(VLOOKUP(T138,'[1]Simulation pricing per sub assy'!$D:$E,2,0))*U138</f>
        <v>2.0499999999999998</v>
      </c>
      <c r="X138" s="18" t="s">
        <v>615</v>
      </c>
      <c r="Y138" s="18">
        <v>1</v>
      </c>
      <c r="Z138" s="18" t="s">
        <v>9</v>
      </c>
      <c r="AA138" s="18">
        <f>(VLOOKUP(X138,'[1]Simulation pricing per sub assy'!$D:$E,2,0))*Y138</f>
        <v>1.5769808000000001</v>
      </c>
    </row>
    <row r="139" spans="1:27" x14ac:dyDescent="0.35">
      <c r="A139" s="13" t="s">
        <v>211</v>
      </c>
      <c r="B139" s="13" t="s">
        <v>4061</v>
      </c>
      <c r="C139" s="42">
        <f t="shared" si="2"/>
        <v>112.77578079999999</v>
      </c>
      <c r="D139" s="14" t="s">
        <v>42</v>
      </c>
      <c r="E139" s="14">
        <v>1</v>
      </c>
      <c r="F139" s="14" t="s">
        <v>3982</v>
      </c>
      <c r="G139" s="14">
        <f>(VLOOKUP(D139,'[1]BOM Info General'!$A:$L,12,0))*E139</f>
        <v>35.56</v>
      </c>
      <c r="H139" s="15" t="s">
        <v>39</v>
      </c>
      <c r="I139" s="15">
        <v>1</v>
      </c>
      <c r="J139" s="15" t="s">
        <v>46</v>
      </c>
      <c r="K139" s="15">
        <f>(VLOOKUP(H139,'[1]BOM Info General'!$A:$L,12,0))*I139</f>
        <v>24.42</v>
      </c>
      <c r="L139" s="9" t="s">
        <v>54</v>
      </c>
      <c r="M139" s="9">
        <v>1</v>
      </c>
      <c r="N139" s="9" t="s">
        <v>53</v>
      </c>
      <c r="O139" s="9">
        <f>(VLOOKUP(L139,'[1]Simulation pricing per sub assy'!$D:$E,2,0))*M139</f>
        <v>43.868799999999993</v>
      </c>
      <c r="P139" s="16" t="s">
        <v>52</v>
      </c>
      <c r="Q139" s="16">
        <v>2</v>
      </c>
      <c r="R139" s="16" t="s">
        <v>18</v>
      </c>
      <c r="S139" s="40">
        <f>(VLOOKUP(P139,'[1]BOM Info General'!$A:$L,12,0))*Q139</f>
        <v>5.3</v>
      </c>
      <c r="T139" s="17" t="s">
        <v>10</v>
      </c>
      <c r="U139" s="17">
        <v>1</v>
      </c>
      <c r="V139" s="17" t="s">
        <v>11</v>
      </c>
      <c r="W139" s="17">
        <f>(VLOOKUP(T139,'[1]Simulation pricing per sub assy'!$D:$E,2,0))*U139</f>
        <v>2.0499999999999998</v>
      </c>
      <c r="X139" s="18" t="s">
        <v>615</v>
      </c>
      <c r="Y139" s="18">
        <v>1</v>
      </c>
      <c r="Z139" s="18" t="s">
        <v>9</v>
      </c>
      <c r="AA139" s="18">
        <f>(VLOOKUP(X139,'[1]Simulation pricing per sub assy'!$D:$E,2,0))*Y139</f>
        <v>1.5769808000000001</v>
      </c>
    </row>
    <row r="140" spans="1:27" x14ac:dyDescent="0.35">
      <c r="A140" s="13" t="s">
        <v>175</v>
      </c>
      <c r="B140" s="13" t="s">
        <v>4062</v>
      </c>
      <c r="C140" s="42">
        <f t="shared" si="2"/>
        <v>112.51578079999999</v>
      </c>
      <c r="D140" s="14" t="s">
        <v>42</v>
      </c>
      <c r="E140" s="14">
        <v>1</v>
      </c>
      <c r="F140" s="14" t="s">
        <v>3982</v>
      </c>
      <c r="G140" s="14">
        <f>(VLOOKUP(D140,'[1]BOM Info General'!$A:$L,12,0))*E140</f>
        <v>35.56</v>
      </c>
      <c r="H140" s="15" t="s">
        <v>39</v>
      </c>
      <c r="I140" s="15">
        <v>1</v>
      </c>
      <c r="J140" s="15" t="s">
        <v>46</v>
      </c>
      <c r="K140" s="15">
        <f>(VLOOKUP(H140,'[1]BOM Info General'!$A:$L,12,0))*I140</f>
        <v>24.42</v>
      </c>
      <c r="L140" s="9" t="s">
        <v>60</v>
      </c>
      <c r="M140" s="9">
        <v>1</v>
      </c>
      <c r="N140" s="9" t="s">
        <v>57</v>
      </c>
      <c r="O140" s="9">
        <f>(VLOOKUP(L140,'[1]Simulation pricing per sub assy'!$D:$E,2,0))*M140</f>
        <v>43.608799999999988</v>
      </c>
      <c r="P140" s="16" t="s">
        <v>52</v>
      </c>
      <c r="Q140" s="16">
        <v>2</v>
      </c>
      <c r="R140" s="16" t="s">
        <v>18</v>
      </c>
      <c r="S140" s="40">
        <f>(VLOOKUP(P140,'[1]BOM Info General'!$A:$L,12,0))*Q140</f>
        <v>5.3</v>
      </c>
      <c r="T140" s="17" t="s">
        <v>10</v>
      </c>
      <c r="U140" s="17">
        <v>1</v>
      </c>
      <c r="V140" s="17" t="s">
        <v>11</v>
      </c>
      <c r="W140" s="17">
        <f>(VLOOKUP(T140,'[1]Simulation pricing per sub assy'!$D:$E,2,0))*U140</f>
        <v>2.0499999999999998</v>
      </c>
      <c r="X140" s="18" t="s">
        <v>615</v>
      </c>
      <c r="Y140" s="18">
        <v>1</v>
      </c>
      <c r="Z140" s="18" t="s">
        <v>9</v>
      </c>
      <c r="AA140" s="18">
        <f>(VLOOKUP(X140,'[1]Simulation pricing per sub assy'!$D:$E,2,0))*Y140</f>
        <v>1.5769808000000001</v>
      </c>
    </row>
    <row r="141" spans="1:27" x14ac:dyDescent="0.35">
      <c r="A141" s="13" t="s">
        <v>247</v>
      </c>
      <c r="B141" s="13" t="s">
        <v>4063</v>
      </c>
      <c r="C141" s="42">
        <f t="shared" si="2"/>
        <v>120.18578079999999</v>
      </c>
      <c r="D141" s="14" t="s">
        <v>42</v>
      </c>
      <c r="E141" s="14">
        <v>1</v>
      </c>
      <c r="F141" s="14" t="s">
        <v>3982</v>
      </c>
      <c r="G141" s="14">
        <f>(VLOOKUP(D141,'[1]BOM Info General'!$A:$L,12,0))*E141</f>
        <v>35.56</v>
      </c>
      <c r="H141" s="15" t="s">
        <v>39</v>
      </c>
      <c r="I141" s="15">
        <v>1</v>
      </c>
      <c r="J141" s="15" t="s">
        <v>46</v>
      </c>
      <c r="K141" s="15">
        <f>(VLOOKUP(H141,'[1]BOM Info General'!$A:$L,12,0))*I141</f>
        <v>24.42</v>
      </c>
      <c r="L141" s="9" t="s">
        <v>56</v>
      </c>
      <c r="M141" s="9">
        <v>1</v>
      </c>
      <c r="N141" s="9" t="s">
        <v>59</v>
      </c>
      <c r="O141" s="9">
        <f>(VLOOKUP(L141,'[1]Simulation pricing per sub assy'!$D:$E,2,0))*M141</f>
        <v>51.27879999999999</v>
      </c>
      <c r="P141" s="16" t="s">
        <v>52</v>
      </c>
      <c r="Q141" s="16">
        <v>2</v>
      </c>
      <c r="R141" s="16" t="s">
        <v>18</v>
      </c>
      <c r="S141" s="40">
        <f>(VLOOKUP(P141,'[1]BOM Info General'!$A:$L,12,0))*Q141</f>
        <v>5.3</v>
      </c>
      <c r="T141" s="17" t="s">
        <v>10</v>
      </c>
      <c r="U141" s="17">
        <v>1</v>
      </c>
      <c r="V141" s="17" t="s">
        <v>11</v>
      </c>
      <c r="W141" s="17">
        <f>(VLOOKUP(T141,'[1]Simulation pricing per sub assy'!$D:$E,2,0))*U141</f>
        <v>2.0499999999999998</v>
      </c>
      <c r="X141" s="18" t="s">
        <v>615</v>
      </c>
      <c r="Y141" s="18">
        <v>1</v>
      </c>
      <c r="Z141" s="18" t="s">
        <v>9</v>
      </c>
      <c r="AA141" s="18">
        <f>(VLOOKUP(X141,'[1]Simulation pricing per sub assy'!$D:$E,2,0))*Y141</f>
        <v>1.5769808000000001</v>
      </c>
    </row>
    <row r="142" spans="1:27" x14ac:dyDescent="0.35">
      <c r="A142" s="13" t="s">
        <v>284</v>
      </c>
      <c r="B142" s="13" t="s">
        <v>4064</v>
      </c>
      <c r="C142" s="42">
        <f t="shared" si="2"/>
        <v>111.0657808</v>
      </c>
      <c r="D142" s="14" t="s">
        <v>42</v>
      </c>
      <c r="E142" s="14">
        <v>1</v>
      </c>
      <c r="F142" s="14" t="s">
        <v>3982</v>
      </c>
      <c r="G142" s="14">
        <f>(VLOOKUP(D142,'[1]BOM Info General'!$A:$L,12,0))*E142</f>
        <v>35.56</v>
      </c>
      <c r="H142" s="15" t="s">
        <v>39</v>
      </c>
      <c r="I142" s="15">
        <v>1</v>
      </c>
      <c r="J142" s="15" t="s">
        <v>46</v>
      </c>
      <c r="K142" s="15">
        <f>(VLOOKUP(H142,'[1]BOM Info General'!$A:$L,12,0))*I142</f>
        <v>24.42</v>
      </c>
      <c r="L142" s="9" t="s">
        <v>523</v>
      </c>
      <c r="M142" s="9">
        <v>1</v>
      </c>
      <c r="N142" s="9" t="s">
        <v>61</v>
      </c>
      <c r="O142" s="9">
        <f>(VLOOKUP(L142,'[1]Simulation pricing per sub assy'!$D:$E,2,0))*M142</f>
        <v>42.308799999999991</v>
      </c>
      <c r="P142" s="16" t="s">
        <v>52</v>
      </c>
      <c r="Q142" s="16">
        <v>2</v>
      </c>
      <c r="R142" s="16" t="s">
        <v>18</v>
      </c>
      <c r="S142" s="40">
        <f>(VLOOKUP(P142,'[1]BOM Info General'!$A:$L,12,0))*Q142</f>
        <v>5.3</v>
      </c>
      <c r="T142" s="17" t="s">
        <v>12</v>
      </c>
      <c r="U142" s="17">
        <v>1</v>
      </c>
      <c r="V142" s="17" t="s">
        <v>13</v>
      </c>
      <c r="W142" s="17">
        <f>(VLOOKUP(T142,'[1]Simulation pricing per sub assy'!$D:$E,2,0))*U142</f>
        <v>1.9</v>
      </c>
      <c r="X142" s="18" t="s">
        <v>615</v>
      </c>
      <c r="Y142" s="18">
        <v>1</v>
      </c>
      <c r="Z142" s="18" t="s">
        <v>9</v>
      </c>
      <c r="AA142" s="18">
        <f>(VLOOKUP(X142,'[1]Simulation pricing per sub assy'!$D:$E,2,0))*Y142</f>
        <v>1.5769808000000001</v>
      </c>
    </row>
    <row r="143" spans="1:27" x14ac:dyDescent="0.35">
      <c r="A143" s="13" t="s">
        <v>140</v>
      </c>
      <c r="B143" s="13" t="s">
        <v>4065</v>
      </c>
      <c r="C143" s="42">
        <f t="shared" si="2"/>
        <v>112.0457808</v>
      </c>
      <c r="D143" s="14" t="s">
        <v>42</v>
      </c>
      <c r="E143" s="14">
        <v>1</v>
      </c>
      <c r="F143" s="14" t="s">
        <v>3982</v>
      </c>
      <c r="G143" s="14">
        <f>(VLOOKUP(D143,'[1]BOM Info General'!$A:$L,12,0))*E143</f>
        <v>35.56</v>
      </c>
      <c r="H143" s="15" t="s">
        <v>39</v>
      </c>
      <c r="I143" s="15">
        <v>1</v>
      </c>
      <c r="J143" s="15" t="s">
        <v>46</v>
      </c>
      <c r="K143" s="15">
        <f>(VLOOKUP(H143,'[1]BOM Info General'!$A:$L,12,0))*I143</f>
        <v>24.42</v>
      </c>
      <c r="L143" s="9" t="s">
        <v>58</v>
      </c>
      <c r="M143" s="9">
        <v>1</v>
      </c>
      <c r="N143" s="9" t="s">
        <v>55</v>
      </c>
      <c r="O143" s="9">
        <f>(VLOOKUP(L143,'[1]Simulation pricing per sub assy'!$D:$E,2,0))*M143</f>
        <v>43.288799999999988</v>
      </c>
      <c r="P143" s="16" t="s">
        <v>52</v>
      </c>
      <c r="Q143" s="16">
        <v>2</v>
      </c>
      <c r="R143" s="16" t="s">
        <v>18</v>
      </c>
      <c r="S143" s="40">
        <f>(VLOOKUP(P143,'[1]BOM Info General'!$A:$L,12,0))*Q143</f>
        <v>5.3</v>
      </c>
      <c r="T143" s="17" t="s">
        <v>12</v>
      </c>
      <c r="U143" s="17">
        <v>1</v>
      </c>
      <c r="V143" s="17" t="s">
        <v>13</v>
      </c>
      <c r="W143" s="17">
        <f>(VLOOKUP(T143,'[1]Simulation pricing per sub assy'!$D:$E,2,0))*U143</f>
        <v>1.9</v>
      </c>
      <c r="X143" s="18" t="s">
        <v>615</v>
      </c>
      <c r="Y143" s="18">
        <v>1</v>
      </c>
      <c r="Z143" s="18" t="s">
        <v>9</v>
      </c>
      <c r="AA143" s="18">
        <f>(VLOOKUP(X143,'[1]Simulation pricing per sub assy'!$D:$E,2,0))*Y143</f>
        <v>1.5769808000000001</v>
      </c>
    </row>
    <row r="144" spans="1:27" x14ac:dyDescent="0.35">
      <c r="A144" s="13" t="s">
        <v>212</v>
      </c>
      <c r="B144" s="13" t="s">
        <v>4066</v>
      </c>
      <c r="C144" s="42">
        <f t="shared" si="2"/>
        <v>112.6257808</v>
      </c>
      <c r="D144" s="14" t="s">
        <v>42</v>
      </c>
      <c r="E144" s="14">
        <v>1</v>
      </c>
      <c r="F144" s="14" t="s">
        <v>3982</v>
      </c>
      <c r="G144" s="14">
        <f>(VLOOKUP(D144,'[1]BOM Info General'!$A:$L,12,0))*E144</f>
        <v>35.56</v>
      </c>
      <c r="H144" s="15" t="s">
        <v>39</v>
      </c>
      <c r="I144" s="15">
        <v>1</v>
      </c>
      <c r="J144" s="15" t="s">
        <v>46</v>
      </c>
      <c r="K144" s="15">
        <f>(VLOOKUP(H144,'[1]BOM Info General'!$A:$L,12,0))*I144</f>
        <v>24.42</v>
      </c>
      <c r="L144" s="9" t="s">
        <v>54</v>
      </c>
      <c r="M144" s="9">
        <v>1</v>
      </c>
      <c r="N144" s="9" t="s">
        <v>53</v>
      </c>
      <c r="O144" s="9">
        <f>(VLOOKUP(L144,'[1]Simulation pricing per sub assy'!$D:$E,2,0))*M144</f>
        <v>43.868799999999993</v>
      </c>
      <c r="P144" s="16" t="s">
        <v>52</v>
      </c>
      <c r="Q144" s="16">
        <v>2</v>
      </c>
      <c r="R144" s="16" t="s">
        <v>18</v>
      </c>
      <c r="S144" s="40">
        <f>(VLOOKUP(P144,'[1]BOM Info General'!$A:$L,12,0))*Q144</f>
        <v>5.3</v>
      </c>
      <c r="T144" s="17" t="s">
        <v>12</v>
      </c>
      <c r="U144" s="17">
        <v>1</v>
      </c>
      <c r="V144" s="17" t="s">
        <v>13</v>
      </c>
      <c r="W144" s="17">
        <f>(VLOOKUP(T144,'[1]Simulation pricing per sub assy'!$D:$E,2,0))*U144</f>
        <v>1.9</v>
      </c>
      <c r="X144" s="18" t="s">
        <v>615</v>
      </c>
      <c r="Y144" s="18">
        <v>1</v>
      </c>
      <c r="Z144" s="18" t="s">
        <v>9</v>
      </c>
      <c r="AA144" s="18">
        <f>(VLOOKUP(X144,'[1]Simulation pricing per sub assy'!$D:$E,2,0))*Y144</f>
        <v>1.5769808000000001</v>
      </c>
    </row>
    <row r="145" spans="1:27" x14ac:dyDescent="0.35">
      <c r="A145" s="13" t="s">
        <v>176</v>
      </c>
      <c r="B145" s="13" t="s">
        <v>4067</v>
      </c>
      <c r="C145" s="42">
        <f t="shared" si="2"/>
        <v>112.3657808</v>
      </c>
      <c r="D145" s="14" t="s">
        <v>42</v>
      </c>
      <c r="E145" s="14">
        <v>1</v>
      </c>
      <c r="F145" s="14" t="s">
        <v>3982</v>
      </c>
      <c r="G145" s="14">
        <f>(VLOOKUP(D145,'[1]BOM Info General'!$A:$L,12,0))*E145</f>
        <v>35.56</v>
      </c>
      <c r="H145" s="15" t="s">
        <v>39</v>
      </c>
      <c r="I145" s="15">
        <v>1</v>
      </c>
      <c r="J145" s="15" t="s">
        <v>46</v>
      </c>
      <c r="K145" s="15">
        <f>(VLOOKUP(H145,'[1]BOM Info General'!$A:$L,12,0))*I145</f>
        <v>24.42</v>
      </c>
      <c r="L145" s="9" t="s">
        <v>60</v>
      </c>
      <c r="M145" s="9">
        <v>1</v>
      </c>
      <c r="N145" s="9" t="s">
        <v>57</v>
      </c>
      <c r="O145" s="9">
        <f>(VLOOKUP(L145,'[1]Simulation pricing per sub assy'!$D:$E,2,0))*M145</f>
        <v>43.608799999999988</v>
      </c>
      <c r="P145" s="16" t="s">
        <v>52</v>
      </c>
      <c r="Q145" s="16">
        <v>2</v>
      </c>
      <c r="R145" s="16" t="s">
        <v>18</v>
      </c>
      <c r="S145" s="40">
        <f>(VLOOKUP(P145,'[1]BOM Info General'!$A:$L,12,0))*Q145</f>
        <v>5.3</v>
      </c>
      <c r="T145" s="17" t="s">
        <v>12</v>
      </c>
      <c r="U145" s="17">
        <v>1</v>
      </c>
      <c r="V145" s="17" t="s">
        <v>13</v>
      </c>
      <c r="W145" s="17">
        <f>(VLOOKUP(T145,'[1]Simulation pricing per sub assy'!$D:$E,2,0))*U145</f>
        <v>1.9</v>
      </c>
      <c r="X145" s="18" t="s">
        <v>615</v>
      </c>
      <c r="Y145" s="18">
        <v>1</v>
      </c>
      <c r="Z145" s="18" t="s">
        <v>9</v>
      </c>
      <c r="AA145" s="18">
        <f>(VLOOKUP(X145,'[1]Simulation pricing per sub assy'!$D:$E,2,0))*Y145</f>
        <v>1.5769808000000001</v>
      </c>
    </row>
    <row r="146" spans="1:27" x14ac:dyDescent="0.35">
      <c r="A146" s="13" t="s">
        <v>248</v>
      </c>
      <c r="B146" s="13" t="s">
        <v>4068</v>
      </c>
      <c r="C146" s="42">
        <f t="shared" si="2"/>
        <v>120.0357808</v>
      </c>
      <c r="D146" s="14" t="s">
        <v>42</v>
      </c>
      <c r="E146" s="14">
        <v>1</v>
      </c>
      <c r="F146" s="14" t="s">
        <v>3982</v>
      </c>
      <c r="G146" s="14">
        <f>(VLOOKUP(D146,'[1]BOM Info General'!$A:$L,12,0))*E146</f>
        <v>35.56</v>
      </c>
      <c r="H146" s="15" t="s">
        <v>39</v>
      </c>
      <c r="I146" s="15">
        <v>1</v>
      </c>
      <c r="J146" s="15" t="s">
        <v>46</v>
      </c>
      <c r="K146" s="15">
        <f>(VLOOKUP(H146,'[1]BOM Info General'!$A:$L,12,0))*I146</f>
        <v>24.42</v>
      </c>
      <c r="L146" s="9" t="s">
        <v>56</v>
      </c>
      <c r="M146" s="9">
        <v>1</v>
      </c>
      <c r="N146" s="9" t="s">
        <v>59</v>
      </c>
      <c r="O146" s="9">
        <f>(VLOOKUP(L146,'[1]Simulation pricing per sub assy'!$D:$E,2,0))*M146</f>
        <v>51.27879999999999</v>
      </c>
      <c r="P146" s="16" t="s">
        <v>52</v>
      </c>
      <c r="Q146" s="16">
        <v>2</v>
      </c>
      <c r="R146" s="16" t="s">
        <v>18</v>
      </c>
      <c r="S146" s="40">
        <f>(VLOOKUP(P146,'[1]BOM Info General'!$A:$L,12,0))*Q146</f>
        <v>5.3</v>
      </c>
      <c r="T146" s="17" t="s">
        <v>12</v>
      </c>
      <c r="U146" s="17">
        <v>1</v>
      </c>
      <c r="V146" s="17" t="s">
        <v>13</v>
      </c>
      <c r="W146" s="17">
        <f>(VLOOKUP(T146,'[1]Simulation pricing per sub assy'!$D:$E,2,0))*U146</f>
        <v>1.9</v>
      </c>
      <c r="X146" s="18" t="s">
        <v>615</v>
      </c>
      <c r="Y146" s="18">
        <v>1</v>
      </c>
      <c r="Z146" s="18" t="s">
        <v>9</v>
      </c>
      <c r="AA146" s="18">
        <f>(VLOOKUP(X146,'[1]Simulation pricing per sub assy'!$D:$E,2,0))*Y146</f>
        <v>1.5769808000000001</v>
      </c>
    </row>
    <row r="147" spans="1:27" x14ac:dyDescent="0.35">
      <c r="A147" s="13" t="s">
        <v>285</v>
      </c>
      <c r="B147" s="13" t="s">
        <v>4069</v>
      </c>
      <c r="C147" s="42">
        <f t="shared" si="2"/>
        <v>111.0657808</v>
      </c>
      <c r="D147" s="14" t="s">
        <v>42</v>
      </c>
      <c r="E147" s="14">
        <v>1</v>
      </c>
      <c r="F147" s="14" t="s">
        <v>3982</v>
      </c>
      <c r="G147" s="14">
        <f>(VLOOKUP(D147,'[1]BOM Info General'!$A:$L,12,0))*E147</f>
        <v>35.56</v>
      </c>
      <c r="H147" s="15" t="s">
        <v>39</v>
      </c>
      <c r="I147" s="15">
        <v>1</v>
      </c>
      <c r="J147" s="15" t="s">
        <v>46</v>
      </c>
      <c r="K147" s="15">
        <f>(VLOOKUP(H147,'[1]BOM Info General'!$A:$L,12,0))*I147</f>
        <v>24.42</v>
      </c>
      <c r="L147" s="9" t="s">
        <v>523</v>
      </c>
      <c r="M147" s="9">
        <v>1</v>
      </c>
      <c r="N147" s="9" t="s">
        <v>61</v>
      </c>
      <c r="O147" s="9">
        <f>(VLOOKUP(L147,'[1]Simulation pricing per sub assy'!$D:$E,2,0))*M147</f>
        <v>42.308799999999991</v>
      </c>
      <c r="P147" s="16" t="s">
        <v>52</v>
      </c>
      <c r="Q147" s="16">
        <v>2</v>
      </c>
      <c r="R147" s="16" t="s">
        <v>18</v>
      </c>
      <c r="S147" s="40">
        <f>(VLOOKUP(P147,'[1]BOM Info General'!$A:$L,12,0))*Q147</f>
        <v>5.3</v>
      </c>
      <c r="T147" s="17" t="s">
        <v>14</v>
      </c>
      <c r="U147" s="17">
        <v>1</v>
      </c>
      <c r="V147" s="17" t="s">
        <v>15</v>
      </c>
      <c r="W147" s="17">
        <f>(VLOOKUP(T147,'[1]Simulation pricing per sub assy'!$D:$E,2,0))*U147</f>
        <v>1.9</v>
      </c>
      <c r="X147" s="18" t="s">
        <v>615</v>
      </c>
      <c r="Y147" s="18">
        <v>1</v>
      </c>
      <c r="Z147" s="18" t="s">
        <v>9</v>
      </c>
      <c r="AA147" s="18">
        <f>(VLOOKUP(X147,'[1]Simulation pricing per sub assy'!$D:$E,2,0))*Y147</f>
        <v>1.5769808000000001</v>
      </c>
    </row>
    <row r="148" spans="1:27" x14ac:dyDescent="0.35">
      <c r="A148" s="13" t="s">
        <v>141</v>
      </c>
      <c r="B148" s="13" t="s">
        <v>4070</v>
      </c>
      <c r="C148" s="42">
        <f t="shared" si="2"/>
        <v>112.0457808</v>
      </c>
      <c r="D148" s="14" t="s">
        <v>42</v>
      </c>
      <c r="E148" s="14">
        <v>1</v>
      </c>
      <c r="F148" s="14" t="s">
        <v>3982</v>
      </c>
      <c r="G148" s="14">
        <f>(VLOOKUP(D148,'[1]BOM Info General'!$A:$L,12,0))*E148</f>
        <v>35.56</v>
      </c>
      <c r="H148" s="15" t="s">
        <v>39</v>
      </c>
      <c r="I148" s="15">
        <v>1</v>
      </c>
      <c r="J148" s="15" t="s">
        <v>46</v>
      </c>
      <c r="K148" s="15">
        <f>(VLOOKUP(H148,'[1]BOM Info General'!$A:$L,12,0))*I148</f>
        <v>24.42</v>
      </c>
      <c r="L148" s="9" t="s">
        <v>58</v>
      </c>
      <c r="M148" s="9">
        <v>1</v>
      </c>
      <c r="N148" s="9" t="s">
        <v>55</v>
      </c>
      <c r="O148" s="9">
        <f>(VLOOKUP(L148,'[1]Simulation pricing per sub assy'!$D:$E,2,0))*M148</f>
        <v>43.288799999999988</v>
      </c>
      <c r="P148" s="16" t="s">
        <v>52</v>
      </c>
      <c r="Q148" s="16">
        <v>2</v>
      </c>
      <c r="R148" s="16" t="s">
        <v>18</v>
      </c>
      <c r="S148" s="40">
        <f>(VLOOKUP(P148,'[1]BOM Info General'!$A:$L,12,0))*Q148</f>
        <v>5.3</v>
      </c>
      <c r="T148" s="17" t="s">
        <v>14</v>
      </c>
      <c r="U148" s="17">
        <v>1</v>
      </c>
      <c r="V148" s="17" t="s">
        <v>15</v>
      </c>
      <c r="W148" s="17">
        <f>(VLOOKUP(T148,'[1]Simulation pricing per sub assy'!$D:$E,2,0))*U148</f>
        <v>1.9</v>
      </c>
      <c r="X148" s="18" t="s">
        <v>615</v>
      </c>
      <c r="Y148" s="18">
        <v>1</v>
      </c>
      <c r="Z148" s="18" t="s">
        <v>9</v>
      </c>
      <c r="AA148" s="18">
        <f>(VLOOKUP(X148,'[1]Simulation pricing per sub assy'!$D:$E,2,0))*Y148</f>
        <v>1.5769808000000001</v>
      </c>
    </row>
    <row r="149" spans="1:27" x14ac:dyDescent="0.35">
      <c r="A149" s="13" t="s">
        <v>213</v>
      </c>
      <c r="B149" s="13" t="s">
        <v>4071</v>
      </c>
      <c r="C149" s="42">
        <f t="shared" si="2"/>
        <v>112.6257808</v>
      </c>
      <c r="D149" s="14" t="s">
        <v>42</v>
      </c>
      <c r="E149" s="14">
        <v>1</v>
      </c>
      <c r="F149" s="14" t="s">
        <v>3982</v>
      </c>
      <c r="G149" s="14">
        <f>(VLOOKUP(D149,'[1]BOM Info General'!$A:$L,12,0))*E149</f>
        <v>35.56</v>
      </c>
      <c r="H149" s="15" t="s">
        <v>39</v>
      </c>
      <c r="I149" s="15">
        <v>1</v>
      </c>
      <c r="J149" s="15" t="s">
        <v>46</v>
      </c>
      <c r="K149" s="15">
        <f>(VLOOKUP(H149,'[1]BOM Info General'!$A:$L,12,0))*I149</f>
        <v>24.42</v>
      </c>
      <c r="L149" s="9" t="s">
        <v>54</v>
      </c>
      <c r="M149" s="9">
        <v>1</v>
      </c>
      <c r="N149" s="9" t="s">
        <v>53</v>
      </c>
      <c r="O149" s="9">
        <f>(VLOOKUP(L149,'[1]Simulation pricing per sub assy'!$D:$E,2,0))*M149</f>
        <v>43.868799999999993</v>
      </c>
      <c r="P149" s="16" t="s">
        <v>52</v>
      </c>
      <c r="Q149" s="16">
        <v>2</v>
      </c>
      <c r="R149" s="16" t="s">
        <v>18</v>
      </c>
      <c r="S149" s="40">
        <f>(VLOOKUP(P149,'[1]BOM Info General'!$A:$L,12,0))*Q149</f>
        <v>5.3</v>
      </c>
      <c r="T149" s="17" t="s">
        <v>14</v>
      </c>
      <c r="U149" s="17">
        <v>1</v>
      </c>
      <c r="V149" s="17" t="s">
        <v>15</v>
      </c>
      <c r="W149" s="17">
        <f>(VLOOKUP(T149,'[1]Simulation pricing per sub assy'!$D:$E,2,0))*U149</f>
        <v>1.9</v>
      </c>
      <c r="X149" s="18" t="s">
        <v>615</v>
      </c>
      <c r="Y149" s="18">
        <v>1</v>
      </c>
      <c r="Z149" s="18" t="s">
        <v>9</v>
      </c>
      <c r="AA149" s="18">
        <f>(VLOOKUP(X149,'[1]Simulation pricing per sub assy'!$D:$E,2,0))*Y149</f>
        <v>1.5769808000000001</v>
      </c>
    </row>
    <row r="150" spans="1:27" x14ac:dyDescent="0.35">
      <c r="A150" s="13" t="s">
        <v>177</v>
      </c>
      <c r="B150" s="13" t="s">
        <v>4072</v>
      </c>
      <c r="C150" s="42">
        <f t="shared" si="2"/>
        <v>112.3657808</v>
      </c>
      <c r="D150" s="14" t="s">
        <v>42</v>
      </c>
      <c r="E150" s="14">
        <v>1</v>
      </c>
      <c r="F150" s="14" t="s">
        <v>3982</v>
      </c>
      <c r="G150" s="14">
        <f>(VLOOKUP(D150,'[1]BOM Info General'!$A:$L,12,0))*E150</f>
        <v>35.56</v>
      </c>
      <c r="H150" s="15" t="s">
        <v>39</v>
      </c>
      <c r="I150" s="15">
        <v>1</v>
      </c>
      <c r="J150" s="15" t="s">
        <v>46</v>
      </c>
      <c r="K150" s="15">
        <f>(VLOOKUP(H150,'[1]BOM Info General'!$A:$L,12,0))*I150</f>
        <v>24.42</v>
      </c>
      <c r="L150" s="9" t="s">
        <v>60</v>
      </c>
      <c r="M150" s="9">
        <v>1</v>
      </c>
      <c r="N150" s="9" t="s">
        <v>57</v>
      </c>
      <c r="O150" s="9">
        <f>(VLOOKUP(L150,'[1]Simulation pricing per sub assy'!$D:$E,2,0))*M150</f>
        <v>43.608799999999988</v>
      </c>
      <c r="P150" s="16" t="s">
        <v>52</v>
      </c>
      <c r="Q150" s="16">
        <v>2</v>
      </c>
      <c r="R150" s="16" t="s">
        <v>18</v>
      </c>
      <c r="S150" s="40">
        <f>(VLOOKUP(P150,'[1]BOM Info General'!$A:$L,12,0))*Q150</f>
        <v>5.3</v>
      </c>
      <c r="T150" s="17" t="s">
        <v>14</v>
      </c>
      <c r="U150" s="17">
        <v>1</v>
      </c>
      <c r="V150" s="17" t="s">
        <v>15</v>
      </c>
      <c r="W150" s="17">
        <f>(VLOOKUP(T150,'[1]Simulation pricing per sub assy'!$D:$E,2,0))*U150</f>
        <v>1.9</v>
      </c>
      <c r="X150" s="18" t="s">
        <v>615</v>
      </c>
      <c r="Y150" s="18">
        <v>1</v>
      </c>
      <c r="Z150" s="18" t="s">
        <v>9</v>
      </c>
      <c r="AA150" s="18">
        <f>(VLOOKUP(X150,'[1]Simulation pricing per sub assy'!$D:$E,2,0))*Y150</f>
        <v>1.5769808000000001</v>
      </c>
    </row>
    <row r="151" spans="1:27" x14ac:dyDescent="0.35">
      <c r="A151" s="13" t="s">
        <v>249</v>
      </c>
      <c r="B151" s="13" t="s">
        <v>4073</v>
      </c>
      <c r="C151" s="42">
        <f t="shared" si="2"/>
        <v>120.0357808</v>
      </c>
      <c r="D151" s="14" t="s">
        <v>42</v>
      </c>
      <c r="E151" s="14">
        <v>1</v>
      </c>
      <c r="F151" s="14" t="s">
        <v>3982</v>
      </c>
      <c r="G151" s="14">
        <f>(VLOOKUP(D151,'[1]BOM Info General'!$A:$L,12,0))*E151</f>
        <v>35.56</v>
      </c>
      <c r="H151" s="15" t="s">
        <v>39</v>
      </c>
      <c r="I151" s="15">
        <v>1</v>
      </c>
      <c r="J151" s="15" t="s">
        <v>46</v>
      </c>
      <c r="K151" s="15">
        <f>(VLOOKUP(H151,'[1]BOM Info General'!$A:$L,12,0))*I151</f>
        <v>24.42</v>
      </c>
      <c r="L151" s="9" t="s">
        <v>56</v>
      </c>
      <c r="M151" s="9">
        <v>1</v>
      </c>
      <c r="N151" s="9" t="s">
        <v>59</v>
      </c>
      <c r="O151" s="9">
        <f>(VLOOKUP(L151,'[1]Simulation pricing per sub assy'!$D:$E,2,0))*M151</f>
        <v>51.27879999999999</v>
      </c>
      <c r="P151" s="16" t="s">
        <v>52</v>
      </c>
      <c r="Q151" s="16">
        <v>2</v>
      </c>
      <c r="R151" s="16" t="s">
        <v>18</v>
      </c>
      <c r="S151" s="40">
        <f>(VLOOKUP(P151,'[1]BOM Info General'!$A:$L,12,0))*Q151</f>
        <v>5.3</v>
      </c>
      <c r="T151" s="17" t="s">
        <v>14</v>
      </c>
      <c r="U151" s="17">
        <v>1</v>
      </c>
      <c r="V151" s="17" t="s">
        <v>15</v>
      </c>
      <c r="W151" s="17">
        <f>(VLOOKUP(T151,'[1]Simulation pricing per sub assy'!$D:$E,2,0))*U151</f>
        <v>1.9</v>
      </c>
      <c r="X151" s="18" t="s">
        <v>615</v>
      </c>
      <c r="Y151" s="18">
        <v>1</v>
      </c>
      <c r="Z151" s="18" t="s">
        <v>9</v>
      </c>
      <c r="AA151" s="18">
        <f>(VLOOKUP(X151,'[1]Simulation pricing per sub assy'!$D:$E,2,0))*Y151</f>
        <v>1.5769808000000001</v>
      </c>
    </row>
    <row r="152" spans="1:27" x14ac:dyDescent="0.35">
      <c r="A152" s="13" t="s">
        <v>560</v>
      </c>
      <c r="B152" s="13" t="s">
        <v>4074</v>
      </c>
      <c r="C152" s="42">
        <f t="shared" si="2"/>
        <v>111.5057808</v>
      </c>
      <c r="D152" s="14" t="s">
        <v>42</v>
      </c>
      <c r="E152" s="14">
        <v>1</v>
      </c>
      <c r="F152" s="14" t="s">
        <v>3982</v>
      </c>
      <c r="G152" s="14">
        <f>(VLOOKUP(D152,'[1]BOM Info General'!$A:$L,12,0))*E152</f>
        <v>35.56</v>
      </c>
      <c r="H152" s="15" t="s">
        <v>39</v>
      </c>
      <c r="I152" s="15">
        <v>1</v>
      </c>
      <c r="J152" s="15" t="s">
        <v>46</v>
      </c>
      <c r="K152" s="15">
        <f>(VLOOKUP(H152,'[1]BOM Info General'!$A:$L,12,0))*I152</f>
        <v>24.42</v>
      </c>
      <c r="L152" s="9" t="s">
        <v>523</v>
      </c>
      <c r="M152" s="9">
        <v>1</v>
      </c>
      <c r="N152" s="9" t="s">
        <v>61</v>
      </c>
      <c r="O152" s="9">
        <f>(VLOOKUP(L152,'[1]Simulation pricing per sub assy'!$D:$E,2,0))*M152</f>
        <v>42.308799999999991</v>
      </c>
      <c r="P152" s="16" t="s">
        <v>50</v>
      </c>
      <c r="Q152" s="16">
        <v>2</v>
      </c>
      <c r="R152" s="16" t="s">
        <v>611</v>
      </c>
      <c r="S152" s="40">
        <f>(VLOOKUP(P152,'[1]BOM Info General'!$A:$L,12,0))*Q152</f>
        <v>5.3</v>
      </c>
      <c r="T152" s="17" t="s">
        <v>19</v>
      </c>
      <c r="U152" s="17">
        <v>1</v>
      </c>
      <c r="V152" s="17" t="s">
        <v>20</v>
      </c>
      <c r="W152" s="17">
        <f>(VLOOKUP(T152,'[1]Simulation pricing per sub assy'!$D:$E,2,0))*U152</f>
        <v>2.3400000000000003</v>
      </c>
      <c r="X152" s="18" t="s">
        <v>615</v>
      </c>
      <c r="Y152" s="18">
        <v>1</v>
      </c>
      <c r="Z152" s="18" t="s">
        <v>9</v>
      </c>
      <c r="AA152" s="18">
        <f>(VLOOKUP(X152,'[1]Simulation pricing per sub assy'!$D:$E,2,0))*Y152</f>
        <v>1.5769808000000001</v>
      </c>
    </row>
    <row r="153" spans="1:27" x14ac:dyDescent="0.35">
      <c r="A153" s="13" t="s">
        <v>556</v>
      </c>
      <c r="B153" s="13" t="s">
        <v>4075</v>
      </c>
      <c r="C153" s="42">
        <f t="shared" si="2"/>
        <v>112.4857808</v>
      </c>
      <c r="D153" s="14" t="s">
        <v>42</v>
      </c>
      <c r="E153" s="14">
        <v>1</v>
      </c>
      <c r="F153" s="14" t="s">
        <v>3982</v>
      </c>
      <c r="G153" s="14">
        <f>(VLOOKUP(D153,'[1]BOM Info General'!$A:$L,12,0))*E153</f>
        <v>35.56</v>
      </c>
      <c r="H153" s="15" t="s">
        <v>39</v>
      </c>
      <c r="I153" s="15">
        <v>1</v>
      </c>
      <c r="J153" s="15" t="s">
        <v>46</v>
      </c>
      <c r="K153" s="15">
        <f>(VLOOKUP(H153,'[1]BOM Info General'!$A:$L,12,0))*I153</f>
        <v>24.42</v>
      </c>
      <c r="L153" s="9" t="s">
        <v>58</v>
      </c>
      <c r="M153" s="9">
        <v>1</v>
      </c>
      <c r="N153" s="9" t="s">
        <v>55</v>
      </c>
      <c r="O153" s="9">
        <f>(VLOOKUP(L153,'[1]Simulation pricing per sub assy'!$D:$E,2,0))*M153</f>
        <v>43.288799999999988</v>
      </c>
      <c r="P153" s="16" t="s">
        <v>50</v>
      </c>
      <c r="Q153" s="16">
        <v>2</v>
      </c>
      <c r="R153" s="16" t="s">
        <v>611</v>
      </c>
      <c r="S153" s="40">
        <f>(VLOOKUP(P153,'[1]BOM Info General'!$A:$L,12,0))*Q153</f>
        <v>5.3</v>
      </c>
      <c r="T153" s="17" t="s">
        <v>19</v>
      </c>
      <c r="U153" s="17">
        <v>1</v>
      </c>
      <c r="V153" s="17" t="s">
        <v>20</v>
      </c>
      <c r="W153" s="17">
        <f>(VLOOKUP(T153,'[1]Simulation pricing per sub assy'!$D:$E,2,0))*U153</f>
        <v>2.3400000000000003</v>
      </c>
      <c r="X153" s="18" t="s">
        <v>615</v>
      </c>
      <c r="Y153" s="18">
        <v>1</v>
      </c>
      <c r="Z153" s="18" t="s">
        <v>9</v>
      </c>
      <c r="AA153" s="18">
        <f>(VLOOKUP(X153,'[1]Simulation pricing per sub assy'!$D:$E,2,0))*Y153</f>
        <v>1.5769808000000001</v>
      </c>
    </row>
    <row r="154" spans="1:27" x14ac:dyDescent="0.35">
      <c r="A154" s="13" t="s">
        <v>558</v>
      </c>
      <c r="B154" s="13" t="s">
        <v>4076</v>
      </c>
      <c r="C154" s="42">
        <f t="shared" si="2"/>
        <v>113.0657808</v>
      </c>
      <c r="D154" s="14" t="s">
        <v>42</v>
      </c>
      <c r="E154" s="14">
        <v>1</v>
      </c>
      <c r="F154" s="14" t="s">
        <v>3982</v>
      </c>
      <c r="G154" s="14">
        <f>(VLOOKUP(D154,'[1]BOM Info General'!$A:$L,12,0))*E154</f>
        <v>35.56</v>
      </c>
      <c r="H154" s="15" t="s">
        <v>39</v>
      </c>
      <c r="I154" s="15">
        <v>1</v>
      </c>
      <c r="J154" s="15" t="s">
        <v>46</v>
      </c>
      <c r="K154" s="15">
        <f>(VLOOKUP(H154,'[1]BOM Info General'!$A:$L,12,0))*I154</f>
        <v>24.42</v>
      </c>
      <c r="L154" s="9" t="s">
        <v>54</v>
      </c>
      <c r="M154" s="9">
        <v>1</v>
      </c>
      <c r="N154" s="9" t="s">
        <v>53</v>
      </c>
      <c r="O154" s="9">
        <f>(VLOOKUP(L154,'[1]Simulation pricing per sub assy'!$D:$E,2,0))*M154</f>
        <v>43.868799999999993</v>
      </c>
      <c r="P154" s="16" t="s">
        <v>50</v>
      </c>
      <c r="Q154" s="16">
        <v>2</v>
      </c>
      <c r="R154" s="16" t="s">
        <v>611</v>
      </c>
      <c r="S154" s="40">
        <f>(VLOOKUP(P154,'[1]BOM Info General'!$A:$L,12,0))*Q154</f>
        <v>5.3</v>
      </c>
      <c r="T154" s="17" t="s">
        <v>19</v>
      </c>
      <c r="U154" s="17">
        <v>1</v>
      </c>
      <c r="V154" s="17" t="s">
        <v>20</v>
      </c>
      <c r="W154" s="17">
        <f>(VLOOKUP(T154,'[1]Simulation pricing per sub assy'!$D:$E,2,0))*U154</f>
        <v>2.3400000000000003</v>
      </c>
      <c r="X154" s="18" t="s">
        <v>615</v>
      </c>
      <c r="Y154" s="18">
        <v>1</v>
      </c>
      <c r="Z154" s="18" t="s">
        <v>9</v>
      </c>
      <c r="AA154" s="18">
        <f>(VLOOKUP(X154,'[1]Simulation pricing per sub assy'!$D:$E,2,0))*Y154</f>
        <v>1.5769808000000001</v>
      </c>
    </row>
    <row r="155" spans="1:27" x14ac:dyDescent="0.35">
      <c r="A155" s="13" t="s">
        <v>557</v>
      </c>
      <c r="B155" s="13" t="s">
        <v>4077</v>
      </c>
      <c r="C155" s="42">
        <f t="shared" si="2"/>
        <v>112.80578079999999</v>
      </c>
      <c r="D155" s="14" t="s">
        <v>42</v>
      </c>
      <c r="E155" s="14">
        <v>1</v>
      </c>
      <c r="F155" s="14" t="s">
        <v>3982</v>
      </c>
      <c r="G155" s="14">
        <f>(VLOOKUP(D155,'[1]BOM Info General'!$A:$L,12,0))*E155</f>
        <v>35.56</v>
      </c>
      <c r="H155" s="15" t="s">
        <v>39</v>
      </c>
      <c r="I155" s="15">
        <v>1</v>
      </c>
      <c r="J155" s="15" t="s">
        <v>46</v>
      </c>
      <c r="K155" s="15">
        <f>(VLOOKUP(H155,'[1]BOM Info General'!$A:$L,12,0))*I155</f>
        <v>24.42</v>
      </c>
      <c r="L155" s="9" t="s">
        <v>60</v>
      </c>
      <c r="M155" s="9">
        <v>1</v>
      </c>
      <c r="N155" s="9" t="s">
        <v>57</v>
      </c>
      <c r="O155" s="9">
        <f>(VLOOKUP(L155,'[1]Simulation pricing per sub assy'!$D:$E,2,0))*M155</f>
        <v>43.608799999999988</v>
      </c>
      <c r="P155" s="16" t="s">
        <v>50</v>
      </c>
      <c r="Q155" s="16">
        <v>2</v>
      </c>
      <c r="R155" s="16" t="s">
        <v>611</v>
      </c>
      <c r="S155" s="40">
        <f>(VLOOKUP(P155,'[1]BOM Info General'!$A:$L,12,0))*Q155</f>
        <v>5.3</v>
      </c>
      <c r="T155" s="17" t="s">
        <v>19</v>
      </c>
      <c r="U155" s="17">
        <v>1</v>
      </c>
      <c r="V155" s="17" t="s">
        <v>20</v>
      </c>
      <c r="W155" s="17">
        <f>(VLOOKUP(T155,'[1]Simulation pricing per sub assy'!$D:$E,2,0))*U155</f>
        <v>2.3400000000000003</v>
      </c>
      <c r="X155" s="18" t="s">
        <v>615</v>
      </c>
      <c r="Y155" s="18">
        <v>1</v>
      </c>
      <c r="Z155" s="18" t="s">
        <v>9</v>
      </c>
      <c r="AA155" s="18">
        <f>(VLOOKUP(X155,'[1]Simulation pricing per sub assy'!$D:$E,2,0))*Y155</f>
        <v>1.5769808000000001</v>
      </c>
    </row>
    <row r="156" spans="1:27" x14ac:dyDescent="0.35">
      <c r="A156" s="13" t="s">
        <v>559</v>
      </c>
      <c r="B156" s="13" t="s">
        <v>4078</v>
      </c>
      <c r="C156" s="42">
        <f t="shared" si="2"/>
        <v>120.4757808</v>
      </c>
      <c r="D156" s="14" t="s">
        <v>42</v>
      </c>
      <c r="E156" s="14">
        <v>1</v>
      </c>
      <c r="F156" s="14" t="s">
        <v>3982</v>
      </c>
      <c r="G156" s="14">
        <f>(VLOOKUP(D156,'[1]BOM Info General'!$A:$L,12,0))*E156</f>
        <v>35.56</v>
      </c>
      <c r="H156" s="15" t="s">
        <v>39</v>
      </c>
      <c r="I156" s="15">
        <v>1</v>
      </c>
      <c r="J156" s="15" t="s">
        <v>46</v>
      </c>
      <c r="K156" s="15">
        <f>(VLOOKUP(H156,'[1]BOM Info General'!$A:$L,12,0))*I156</f>
        <v>24.42</v>
      </c>
      <c r="L156" s="9" t="s">
        <v>56</v>
      </c>
      <c r="M156" s="9">
        <v>1</v>
      </c>
      <c r="N156" s="9" t="s">
        <v>59</v>
      </c>
      <c r="O156" s="9">
        <f>(VLOOKUP(L156,'[1]Simulation pricing per sub assy'!$D:$E,2,0))*M156</f>
        <v>51.27879999999999</v>
      </c>
      <c r="P156" s="16" t="s">
        <v>50</v>
      </c>
      <c r="Q156" s="16">
        <v>2</v>
      </c>
      <c r="R156" s="16" t="s">
        <v>611</v>
      </c>
      <c r="S156" s="40">
        <f>(VLOOKUP(P156,'[1]BOM Info General'!$A:$L,12,0))*Q156</f>
        <v>5.3</v>
      </c>
      <c r="T156" s="17" t="s">
        <v>19</v>
      </c>
      <c r="U156" s="17">
        <v>1</v>
      </c>
      <c r="V156" s="17" t="s">
        <v>20</v>
      </c>
      <c r="W156" s="17">
        <f>(VLOOKUP(T156,'[1]Simulation pricing per sub assy'!$D:$E,2,0))*U156</f>
        <v>2.3400000000000003</v>
      </c>
      <c r="X156" s="18" t="s">
        <v>615</v>
      </c>
      <c r="Y156" s="18">
        <v>1</v>
      </c>
      <c r="Z156" s="18" t="s">
        <v>9</v>
      </c>
      <c r="AA156" s="18">
        <f>(VLOOKUP(X156,'[1]Simulation pricing per sub assy'!$D:$E,2,0))*Y156</f>
        <v>1.5769808000000001</v>
      </c>
    </row>
    <row r="157" spans="1:27" x14ac:dyDescent="0.35">
      <c r="A157" s="13" t="s">
        <v>955</v>
      </c>
      <c r="B157" s="13" t="s">
        <v>956</v>
      </c>
      <c r="C157" s="42">
        <f t="shared" si="2"/>
        <v>111.01578079999999</v>
      </c>
      <c r="D157" s="20" t="s">
        <v>42</v>
      </c>
      <c r="E157" s="20">
        <v>1</v>
      </c>
      <c r="F157" s="20" t="s">
        <v>3982</v>
      </c>
      <c r="G157" s="14">
        <f>(VLOOKUP(D157,'[1]BOM Info General'!$A:$L,12,0))*E157</f>
        <v>35.56</v>
      </c>
      <c r="H157" s="21" t="s">
        <v>39</v>
      </c>
      <c r="I157" s="21">
        <v>1</v>
      </c>
      <c r="J157" s="21" t="s">
        <v>46</v>
      </c>
      <c r="K157" s="15">
        <f>(VLOOKUP(H157,'[1]BOM Info General'!$A:$L,12,0))*I157</f>
        <v>24.42</v>
      </c>
      <c r="L157" s="22" t="s">
        <v>523</v>
      </c>
      <c r="M157" s="22">
        <v>1</v>
      </c>
      <c r="N157" s="22" t="s">
        <v>61</v>
      </c>
      <c r="O157" s="9">
        <f>(VLOOKUP(L157,'[1]Simulation pricing per sub assy'!$D:$E,2,0))*M157</f>
        <v>42.308799999999991</v>
      </c>
      <c r="P157" s="23" t="s">
        <v>50</v>
      </c>
      <c r="Q157" s="23">
        <v>2</v>
      </c>
      <c r="R157" s="23" t="s">
        <v>611</v>
      </c>
      <c r="S157" s="40">
        <f>(VLOOKUP(P157,'[1]BOM Info General'!$A:$L,12,0))*Q157</f>
        <v>5.3</v>
      </c>
      <c r="T157" s="24" t="s">
        <v>7</v>
      </c>
      <c r="U157" s="24">
        <v>1</v>
      </c>
      <c r="V157" s="24" t="s">
        <v>8</v>
      </c>
      <c r="W157" s="17">
        <f>(VLOOKUP(T157,'[1]Simulation pricing per sub assy'!$D:$E,2,0))*U157</f>
        <v>1.85</v>
      </c>
      <c r="X157" s="18" t="s">
        <v>615</v>
      </c>
      <c r="Y157" s="25">
        <v>1</v>
      </c>
      <c r="Z157" s="25" t="s">
        <v>9</v>
      </c>
      <c r="AA157" s="18">
        <f>(VLOOKUP(X157,'[1]Simulation pricing per sub assy'!$D:$E,2,0))*Y157</f>
        <v>1.5769808000000001</v>
      </c>
    </row>
    <row r="158" spans="1:27" x14ac:dyDescent="0.35">
      <c r="A158" s="13" t="s">
        <v>947</v>
      </c>
      <c r="B158" s="13" t="s">
        <v>948</v>
      </c>
      <c r="C158" s="42">
        <f t="shared" si="2"/>
        <v>111.99578079999999</v>
      </c>
      <c r="D158" s="20" t="s">
        <v>42</v>
      </c>
      <c r="E158" s="20">
        <v>1</v>
      </c>
      <c r="F158" s="20" t="s">
        <v>3982</v>
      </c>
      <c r="G158" s="14">
        <f>(VLOOKUP(D158,'[1]BOM Info General'!$A:$L,12,0))*E158</f>
        <v>35.56</v>
      </c>
      <c r="H158" s="21" t="s">
        <v>39</v>
      </c>
      <c r="I158" s="21">
        <v>1</v>
      </c>
      <c r="J158" s="21" t="s">
        <v>46</v>
      </c>
      <c r="K158" s="15">
        <f>(VLOOKUP(H158,'[1]BOM Info General'!$A:$L,12,0))*I158</f>
        <v>24.42</v>
      </c>
      <c r="L158" s="22" t="s">
        <v>58</v>
      </c>
      <c r="M158" s="22">
        <v>1</v>
      </c>
      <c r="N158" s="22" t="s">
        <v>55</v>
      </c>
      <c r="O158" s="9">
        <f>(VLOOKUP(L158,'[1]Simulation pricing per sub assy'!$D:$E,2,0))*M158</f>
        <v>43.288799999999988</v>
      </c>
      <c r="P158" s="23" t="s">
        <v>50</v>
      </c>
      <c r="Q158" s="23">
        <v>2</v>
      </c>
      <c r="R158" s="23" t="s">
        <v>611</v>
      </c>
      <c r="S158" s="40">
        <f>(VLOOKUP(P158,'[1]BOM Info General'!$A:$L,12,0))*Q158</f>
        <v>5.3</v>
      </c>
      <c r="T158" s="24" t="s">
        <v>7</v>
      </c>
      <c r="U158" s="24">
        <v>1</v>
      </c>
      <c r="V158" s="24" t="s">
        <v>8</v>
      </c>
      <c r="W158" s="17">
        <f>(VLOOKUP(T158,'[1]Simulation pricing per sub assy'!$D:$E,2,0))*U158</f>
        <v>1.85</v>
      </c>
      <c r="X158" s="18" t="s">
        <v>615</v>
      </c>
      <c r="Y158" s="25">
        <v>1</v>
      </c>
      <c r="Z158" s="25" t="s">
        <v>9</v>
      </c>
      <c r="AA158" s="18">
        <f>(VLOOKUP(X158,'[1]Simulation pricing per sub assy'!$D:$E,2,0))*Y158</f>
        <v>1.5769808000000001</v>
      </c>
    </row>
    <row r="159" spans="1:27" x14ac:dyDescent="0.35">
      <c r="A159" s="13" t="s">
        <v>951</v>
      </c>
      <c r="B159" s="13" t="s">
        <v>952</v>
      </c>
      <c r="C159" s="42">
        <f t="shared" si="2"/>
        <v>112.57578079999999</v>
      </c>
      <c r="D159" s="20" t="s">
        <v>42</v>
      </c>
      <c r="E159" s="20">
        <v>1</v>
      </c>
      <c r="F159" s="20" t="s">
        <v>3982</v>
      </c>
      <c r="G159" s="14">
        <f>(VLOOKUP(D159,'[1]BOM Info General'!$A:$L,12,0))*E159</f>
        <v>35.56</v>
      </c>
      <c r="H159" s="21" t="s">
        <v>39</v>
      </c>
      <c r="I159" s="21">
        <v>1</v>
      </c>
      <c r="J159" s="21" t="s">
        <v>46</v>
      </c>
      <c r="K159" s="15">
        <f>(VLOOKUP(H159,'[1]BOM Info General'!$A:$L,12,0))*I159</f>
        <v>24.42</v>
      </c>
      <c r="L159" s="22" t="s">
        <v>54</v>
      </c>
      <c r="M159" s="22">
        <v>1</v>
      </c>
      <c r="N159" s="22" t="s">
        <v>53</v>
      </c>
      <c r="O159" s="9">
        <f>(VLOOKUP(L159,'[1]Simulation pricing per sub assy'!$D:$E,2,0))*M159</f>
        <v>43.868799999999993</v>
      </c>
      <c r="P159" s="23" t="s">
        <v>50</v>
      </c>
      <c r="Q159" s="23">
        <v>2</v>
      </c>
      <c r="R159" s="23" t="s">
        <v>611</v>
      </c>
      <c r="S159" s="40">
        <f>(VLOOKUP(P159,'[1]BOM Info General'!$A:$L,12,0))*Q159</f>
        <v>5.3</v>
      </c>
      <c r="T159" s="24" t="s">
        <v>7</v>
      </c>
      <c r="U159" s="24">
        <v>1</v>
      </c>
      <c r="V159" s="24" t="s">
        <v>8</v>
      </c>
      <c r="W159" s="17">
        <f>(VLOOKUP(T159,'[1]Simulation pricing per sub assy'!$D:$E,2,0))*U159</f>
        <v>1.85</v>
      </c>
      <c r="X159" s="18" t="s">
        <v>615</v>
      </c>
      <c r="Y159" s="25">
        <v>1</v>
      </c>
      <c r="Z159" s="25" t="s">
        <v>9</v>
      </c>
      <c r="AA159" s="18">
        <f>(VLOOKUP(X159,'[1]Simulation pricing per sub assy'!$D:$E,2,0))*Y159</f>
        <v>1.5769808000000001</v>
      </c>
    </row>
    <row r="160" spans="1:27" x14ac:dyDescent="0.35">
      <c r="A160" s="13" t="s">
        <v>949</v>
      </c>
      <c r="B160" s="13" t="s">
        <v>950</v>
      </c>
      <c r="C160" s="42">
        <f t="shared" si="2"/>
        <v>112.31578079999998</v>
      </c>
      <c r="D160" s="20" t="s">
        <v>42</v>
      </c>
      <c r="E160" s="20">
        <v>1</v>
      </c>
      <c r="F160" s="20" t="s">
        <v>3982</v>
      </c>
      <c r="G160" s="14">
        <f>(VLOOKUP(D160,'[1]BOM Info General'!$A:$L,12,0))*E160</f>
        <v>35.56</v>
      </c>
      <c r="H160" s="21" t="s">
        <v>39</v>
      </c>
      <c r="I160" s="21">
        <v>1</v>
      </c>
      <c r="J160" s="21" t="s">
        <v>46</v>
      </c>
      <c r="K160" s="15">
        <f>(VLOOKUP(H160,'[1]BOM Info General'!$A:$L,12,0))*I160</f>
        <v>24.42</v>
      </c>
      <c r="L160" s="22" t="s">
        <v>60</v>
      </c>
      <c r="M160" s="22">
        <v>1</v>
      </c>
      <c r="N160" s="22" t="s">
        <v>57</v>
      </c>
      <c r="O160" s="9">
        <f>(VLOOKUP(L160,'[1]Simulation pricing per sub assy'!$D:$E,2,0))*M160</f>
        <v>43.608799999999988</v>
      </c>
      <c r="P160" s="23" t="s">
        <v>50</v>
      </c>
      <c r="Q160" s="23">
        <v>2</v>
      </c>
      <c r="R160" s="23" t="s">
        <v>611</v>
      </c>
      <c r="S160" s="40">
        <f>(VLOOKUP(P160,'[1]BOM Info General'!$A:$L,12,0))*Q160</f>
        <v>5.3</v>
      </c>
      <c r="T160" s="24" t="s">
        <v>7</v>
      </c>
      <c r="U160" s="24">
        <v>1</v>
      </c>
      <c r="V160" s="24" t="s">
        <v>8</v>
      </c>
      <c r="W160" s="17">
        <f>(VLOOKUP(T160,'[1]Simulation pricing per sub assy'!$D:$E,2,0))*U160</f>
        <v>1.85</v>
      </c>
      <c r="X160" s="18" t="s">
        <v>615</v>
      </c>
      <c r="Y160" s="25">
        <v>1</v>
      </c>
      <c r="Z160" s="25" t="s">
        <v>9</v>
      </c>
      <c r="AA160" s="18">
        <f>(VLOOKUP(X160,'[1]Simulation pricing per sub assy'!$D:$E,2,0))*Y160</f>
        <v>1.5769808000000001</v>
      </c>
    </row>
    <row r="161" spans="1:27" x14ac:dyDescent="0.35">
      <c r="A161" s="13" t="s">
        <v>953</v>
      </c>
      <c r="B161" s="13" t="s">
        <v>954</v>
      </c>
      <c r="C161" s="42">
        <f t="shared" si="2"/>
        <v>119.98578079999999</v>
      </c>
      <c r="D161" s="20" t="s">
        <v>42</v>
      </c>
      <c r="E161" s="20">
        <v>1</v>
      </c>
      <c r="F161" s="20" t="s">
        <v>3982</v>
      </c>
      <c r="G161" s="14">
        <f>(VLOOKUP(D161,'[1]BOM Info General'!$A:$L,12,0))*E161</f>
        <v>35.56</v>
      </c>
      <c r="H161" s="21" t="s">
        <v>39</v>
      </c>
      <c r="I161" s="21">
        <v>1</v>
      </c>
      <c r="J161" s="21" t="s">
        <v>46</v>
      </c>
      <c r="K161" s="15">
        <f>(VLOOKUP(H161,'[1]BOM Info General'!$A:$L,12,0))*I161</f>
        <v>24.42</v>
      </c>
      <c r="L161" s="22" t="s">
        <v>56</v>
      </c>
      <c r="M161" s="22">
        <v>1</v>
      </c>
      <c r="N161" s="22" t="s">
        <v>59</v>
      </c>
      <c r="O161" s="9">
        <f>(VLOOKUP(L161,'[1]Simulation pricing per sub assy'!$D:$E,2,0))*M161</f>
        <v>51.27879999999999</v>
      </c>
      <c r="P161" s="23" t="s">
        <v>50</v>
      </c>
      <c r="Q161" s="23">
        <v>2</v>
      </c>
      <c r="R161" s="23" t="s">
        <v>611</v>
      </c>
      <c r="S161" s="40">
        <f>(VLOOKUP(P161,'[1]BOM Info General'!$A:$L,12,0))*Q161</f>
        <v>5.3</v>
      </c>
      <c r="T161" s="24" t="s">
        <v>7</v>
      </c>
      <c r="U161" s="24">
        <v>1</v>
      </c>
      <c r="V161" s="24" t="s">
        <v>8</v>
      </c>
      <c r="W161" s="17">
        <f>(VLOOKUP(T161,'[1]Simulation pricing per sub assy'!$D:$E,2,0))*U161</f>
        <v>1.85</v>
      </c>
      <c r="X161" s="18" t="s">
        <v>615</v>
      </c>
      <c r="Y161" s="25">
        <v>1</v>
      </c>
      <c r="Z161" s="25" t="s">
        <v>9</v>
      </c>
      <c r="AA161" s="18">
        <f>(VLOOKUP(X161,'[1]Simulation pricing per sub assy'!$D:$E,2,0))*Y161</f>
        <v>1.5769808000000001</v>
      </c>
    </row>
    <row r="162" spans="1:27" x14ac:dyDescent="0.35">
      <c r="A162" s="13" t="s">
        <v>1039</v>
      </c>
      <c r="B162" s="13" t="s">
        <v>1040</v>
      </c>
      <c r="C162" s="42">
        <f t="shared" si="2"/>
        <v>111.21578079999999</v>
      </c>
      <c r="D162" s="20" t="s">
        <v>42</v>
      </c>
      <c r="E162" s="20">
        <v>1</v>
      </c>
      <c r="F162" s="20" t="s">
        <v>3982</v>
      </c>
      <c r="G162" s="14">
        <f>(VLOOKUP(D162,'[1]BOM Info General'!$A:$L,12,0))*E162</f>
        <v>35.56</v>
      </c>
      <c r="H162" s="21" t="s">
        <v>39</v>
      </c>
      <c r="I162" s="21">
        <v>1</v>
      </c>
      <c r="J162" s="21" t="s">
        <v>46</v>
      </c>
      <c r="K162" s="15">
        <f>(VLOOKUP(H162,'[1]BOM Info General'!$A:$L,12,0))*I162</f>
        <v>24.42</v>
      </c>
      <c r="L162" s="22" t="s">
        <v>523</v>
      </c>
      <c r="M162" s="22">
        <v>1</v>
      </c>
      <c r="N162" s="22" t="s">
        <v>61</v>
      </c>
      <c r="O162" s="9">
        <f>(VLOOKUP(L162,'[1]Simulation pricing per sub assy'!$D:$E,2,0))*M162</f>
        <v>42.308799999999991</v>
      </c>
      <c r="P162" s="23" t="s">
        <v>50</v>
      </c>
      <c r="Q162" s="23">
        <v>2</v>
      </c>
      <c r="R162" s="23" t="s">
        <v>16</v>
      </c>
      <c r="S162" s="40">
        <f>(VLOOKUP(P162,'[1]BOM Info General'!$A:$L,12,0))*Q162</f>
        <v>5.3</v>
      </c>
      <c r="T162" s="24" t="s">
        <v>10</v>
      </c>
      <c r="U162" s="24">
        <v>1</v>
      </c>
      <c r="V162" s="24" t="s">
        <v>11</v>
      </c>
      <c r="W162" s="17">
        <f>(VLOOKUP(T162,'[1]Simulation pricing per sub assy'!$D:$E,2,0))*U162</f>
        <v>2.0499999999999998</v>
      </c>
      <c r="X162" s="18" t="s">
        <v>615</v>
      </c>
      <c r="Y162" s="25">
        <v>1</v>
      </c>
      <c r="Z162" s="25" t="s">
        <v>9</v>
      </c>
      <c r="AA162" s="18">
        <f>(VLOOKUP(X162,'[1]Simulation pricing per sub assy'!$D:$E,2,0))*Y162</f>
        <v>1.5769808000000001</v>
      </c>
    </row>
    <row r="163" spans="1:27" x14ac:dyDescent="0.35">
      <c r="A163" s="13" t="s">
        <v>967</v>
      </c>
      <c r="B163" s="13" t="s">
        <v>968</v>
      </c>
      <c r="C163" s="42">
        <f t="shared" si="2"/>
        <v>112.19578079999999</v>
      </c>
      <c r="D163" s="20" t="s">
        <v>42</v>
      </c>
      <c r="E163" s="20">
        <v>1</v>
      </c>
      <c r="F163" s="20" t="s">
        <v>3982</v>
      </c>
      <c r="G163" s="14">
        <f>(VLOOKUP(D163,'[1]BOM Info General'!$A:$L,12,0))*E163</f>
        <v>35.56</v>
      </c>
      <c r="H163" s="21" t="s">
        <v>39</v>
      </c>
      <c r="I163" s="21">
        <v>1</v>
      </c>
      <c r="J163" s="21" t="s">
        <v>46</v>
      </c>
      <c r="K163" s="15">
        <f>(VLOOKUP(H163,'[1]BOM Info General'!$A:$L,12,0))*I163</f>
        <v>24.42</v>
      </c>
      <c r="L163" s="22" t="s">
        <v>58</v>
      </c>
      <c r="M163" s="22">
        <v>1</v>
      </c>
      <c r="N163" s="22" t="s">
        <v>55</v>
      </c>
      <c r="O163" s="9">
        <f>(VLOOKUP(L163,'[1]Simulation pricing per sub assy'!$D:$E,2,0))*M163</f>
        <v>43.288799999999988</v>
      </c>
      <c r="P163" s="23" t="s">
        <v>50</v>
      </c>
      <c r="Q163" s="23">
        <v>2</v>
      </c>
      <c r="R163" s="23" t="s">
        <v>16</v>
      </c>
      <c r="S163" s="40">
        <f>(VLOOKUP(P163,'[1]BOM Info General'!$A:$L,12,0))*Q163</f>
        <v>5.3</v>
      </c>
      <c r="T163" s="24" t="s">
        <v>10</v>
      </c>
      <c r="U163" s="24">
        <v>1</v>
      </c>
      <c r="V163" s="24" t="s">
        <v>11</v>
      </c>
      <c r="W163" s="17">
        <f>(VLOOKUP(T163,'[1]Simulation pricing per sub assy'!$D:$E,2,0))*U163</f>
        <v>2.0499999999999998</v>
      </c>
      <c r="X163" s="18" t="s">
        <v>615</v>
      </c>
      <c r="Y163" s="25">
        <v>1</v>
      </c>
      <c r="Z163" s="25" t="s">
        <v>9</v>
      </c>
      <c r="AA163" s="18">
        <f>(VLOOKUP(X163,'[1]Simulation pricing per sub assy'!$D:$E,2,0))*Y163</f>
        <v>1.5769808000000001</v>
      </c>
    </row>
    <row r="164" spans="1:27" x14ac:dyDescent="0.35">
      <c r="A164" s="13" t="s">
        <v>1003</v>
      </c>
      <c r="B164" s="13" t="s">
        <v>1004</v>
      </c>
      <c r="C164" s="42">
        <f t="shared" si="2"/>
        <v>112.77578079999999</v>
      </c>
      <c r="D164" s="20" t="s">
        <v>42</v>
      </c>
      <c r="E164" s="20">
        <v>1</v>
      </c>
      <c r="F164" s="20" t="s">
        <v>3982</v>
      </c>
      <c r="G164" s="14">
        <f>(VLOOKUP(D164,'[1]BOM Info General'!$A:$L,12,0))*E164</f>
        <v>35.56</v>
      </c>
      <c r="H164" s="21" t="s">
        <v>39</v>
      </c>
      <c r="I164" s="21">
        <v>1</v>
      </c>
      <c r="J164" s="21" t="s">
        <v>46</v>
      </c>
      <c r="K164" s="15">
        <f>(VLOOKUP(H164,'[1]BOM Info General'!$A:$L,12,0))*I164</f>
        <v>24.42</v>
      </c>
      <c r="L164" s="22" t="s">
        <v>54</v>
      </c>
      <c r="M164" s="22">
        <v>1</v>
      </c>
      <c r="N164" s="22" t="s">
        <v>53</v>
      </c>
      <c r="O164" s="9">
        <f>(VLOOKUP(L164,'[1]Simulation pricing per sub assy'!$D:$E,2,0))*M164</f>
        <v>43.868799999999993</v>
      </c>
      <c r="P164" s="23" t="s">
        <v>50</v>
      </c>
      <c r="Q164" s="23">
        <v>2</v>
      </c>
      <c r="R164" s="23" t="s">
        <v>16</v>
      </c>
      <c r="S164" s="40">
        <f>(VLOOKUP(P164,'[1]BOM Info General'!$A:$L,12,0))*Q164</f>
        <v>5.3</v>
      </c>
      <c r="T164" s="24" t="s">
        <v>10</v>
      </c>
      <c r="U164" s="24">
        <v>1</v>
      </c>
      <c r="V164" s="24" t="s">
        <v>11</v>
      </c>
      <c r="W164" s="17">
        <f>(VLOOKUP(T164,'[1]Simulation pricing per sub assy'!$D:$E,2,0))*U164</f>
        <v>2.0499999999999998</v>
      </c>
      <c r="X164" s="18" t="s">
        <v>615</v>
      </c>
      <c r="Y164" s="25">
        <v>1</v>
      </c>
      <c r="Z164" s="25" t="s">
        <v>9</v>
      </c>
      <c r="AA164" s="18">
        <f>(VLOOKUP(X164,'[1]Simulation pricing per sub assy'!$D:$E,2,0))*Y164</f>
        <v>1.5769808000000001</v>
      </c>
    </row>
    <row r="165" spans="1:27" x14ac:dyDescent="0.35">
      <c r="A165" s="13" t="s">
        <v>985</v>
      </c>
      <c r="B165" s="13" t="s">
        <v>986</v>
      </c>
      <c r="C165" s="42">
        <f t="shared" si="2"/>
        <v>112.51578079999999</v>
      </c>
      <c r="D165" s="20" t="s">
        <v>42</v>
      </c>
      <c r="E165" s="20">
        <v>1</v>
      </c>
      <c r="F165" s="20" t="s">
        <v>3982</v>
      </c>
      <c r="G165" s="14">
        <f>(VLOOKUP(D165,'[1]BOM Info General'!$A:$L,12,0))*E165</f>
        <v>35.56</v>
      </c>
      <c r="H165" s="21" t="s">
        <v>39</v>
      </c>
      <c r="I165" s="21">
        <v>1</v>
      </c>
      <c r="J165" s="21" t="s">
        <v>46</v>
      </c>
      <c r="K165" s="15">
        <f>(VLOOKUP(H165,'[1]BOM Info General'!$A:$L,12,0))*I165</f>
        <v>24.42</v>
      </c>
      <c r="L165" s="22" t="s">
        <v>60</v>
      </c>
      <c r="M165" s="22">
        <v>1</v>
      </c>
      <c r="N165" s="22" t="s">
        <v>57</v>
      </c>
      <c r="O165" s="9">
        <f>(VLOOKUP(L165,'[1]Simulation pricing per sub assy'!$D:$E,2,0))*M165</f>
        <v>43.608799999999988</v>
      </c>
      <c r="P165" s="23" t="s">
        <v>50</v>
      </c>
      <c r="Q165" s="23">
        <v>2</v>
      </c>
      <c r="R165" s="23" t="s">
        <v>16</v>
      </c>
      <c r="S165" s="40">
        <f>(VLOOKUP(P165,'[1]BOM Info General'!$A:$L,12,0))*Q165</f>
        <v>5.3</v>
      </c>
      <c r="T165" s="24" t="s">
        <v>10</v>
      </c>
      <c r="U165" s="24">
        <v>1</v>
      </c>
      <c r="V165" s="24" t="s">
        <v>11</v>
      </c>
      <c r="W165" s="17">
        <f>(VLOOKUP(T165,'[1]Simulation pricing per sub assy'!$D:$E,2,0))*U165</f>
        <v>2.0499999999999998</v>
      </c>
      <c r="X165" s="18" t="s">
        <v>615</v>
      </c>
      <c r="Y165" s="25">
        <v>1</v>
      </c>
      <c r="Z165" s="25" t="s">
        <v>9</v>
      </c>
      <c r="AA165" s="18">
        <f>(VLOOKUP(X165,'[1]Simulation pricing per sub assy'!$D:$E,2,0))*Y165</f>
        <v>1.5769808000000001</v>
      </c>
    </row>
    <row r="166" spans="1:27" x14ac:dyDescent="0.35">
      <c r="A166" s="13" t="s">
        <v>1021</v>
      </c>
      <c r="B166" s="13" t="s">
        <v>1022</v>
      </c>
      <c r="C166" s="42">
        <f t="shared" si="2"/>
        <v>120.18578079999999</v>
      </c>
      <c r="D166" s="20" t="s">
        <v>42</v>
      </c>
      <c r="E166" s="20">
        <v>1</v>
      </c>
      <c r="F166" s="20" t="s">
        <v>3982</v>
      </c>
      <c r="G166" s="14">
        <f>(VLOOKUP(D166,'[1]BOM Info General'!$A:$L,12,0))*E166</f>
        <v>35.56</v>
      </c>
      <c r="H166" s="21" t="s">
        <v>39</v>
      </c>
      <c r="I166" s="21">
        <v>1</v>
      </c>
      <c r="J166" s="21" t="s">
        <v>46</v>
      </c>
      <c r="K166" s="15">
        <f>(VLOOKUP(H166,'[1]BOM Info General'!$A:$L,12,0))*I166</f>
        <v>24.42</v>
      </c>
      <c r="L166" s="22" t="s">
        <v>56</v>
      </c>
      <c r="M166" s="22">
        <v>1</v>
      </c>
      <c r="N166" s="22" t="s">
        <v>59</v>
      </c>
      <c r="O166" s="9">
        <f>(VLOOKUP(L166,'[1]Simulation pricing per sub assy'!$D:$E,2,0))*M166</f>
        <v>51.27879999999999</v>
      </c>
      <c r="P166" s="23" t="s">
        <v>50</v>
      </c>
      <c r="Q166" s="23">
        <v>2</v>
      </c>
      <c r="R166" s="23" t="s">
        <v>16</v>
      </c>
      <c r="S166" s="40">
        <f>(VLOOKUP(P166,'[1]BOM Info General'!$A:$L,12,0))*Q166</f>
        <v>5.3</v>
      </c>
      <c r="T166" s="24" t="s">
        <v>10</v>
      </c>
      <c r="U166" s="24">
        <v>1</v>
      </c>
      <c r="V166" s="24" t="s">
        <v>11</v>
      </c>
      <c r="W166" s="17">
        <f>(VLOOKUP(T166,'[1]Simulation pricing per sub assy'!$D:$E,2,0))*U166</f>
        <v>2.0499999999999998</v>
      </c>
      <c r="X166" s="18" t="s">
        <v>615</v>
      </c>
      <c r="Y166" s="25">
        <v>1</v>
      </c>
      <c r="Z166" s="25" t="s">
        <v>9</v>
      </c>
      <c r="AA166" s="18">
        <f>(VLOOKUP(X166,'[1]Simulation pricing per sub assy'!$D:$E,2,0))*Y166</f>
        <v>1.5769808000000001</v>
      </c>
    </row>
    <row r="167" spans="1:27" x14ac:dyDescent="0.35">
      <c r="A167" s="13" t="s">
        <v>1041</v>
      </c>
      <c r="B167" s="13" t="s">
        <v>1042</v>
      </c>
      <c r="C167" s="42">
        <f t="shared" si="2"/>
        <v>111.0657808</v>
      </c>
      <c r="D167" s="20" t="s">
        <v>42</v>
      </c>
      <c r="E167" s="20">
        <v>1</v>
      </c>
      <c r="F167" s="20" t="s">
        <v>3982</v>
      </c>
      <c r="G167" s="14">
        <f>(VLOOKUP(D167,'[1]BOM Info General'!$A:$L,12,0))*E167</f>
        <v>35.56</v>
      </c>
      <c r="H167" s="21" t="s">
        <v>39</v>
      </c>
      <c r="I167" s="21">
        <v>1</v>
      </c>
      <c r="J167" s="21" t="s">
        <v>46</v>
      </c>
      <c r="K167" s="15">
        <f>(VLOOKUP(H167,'[1]BOM Info General'!$A:$L,12,0))*I167</f>
        <v>24.42</v>
      </c>
      <c r="L167" s="22" t="s">
        <v>523</v>
      </c>
      <c r="M167" s="22">
        <v>1</v>
      </c>
      <c r="N167" s="22" t="s">
        <v>61</v>
      </c>
      <c r="O167" s="9">
        <f>(VLOOKUP(L167,'[1]Simulation pricing per sub assy'!$D:$E,2,0))*M167</f>
        <v>42.308799999999991</v>
      </c>
      <c r="P167" s="23" t="s">
        <v>50</v>
      </c>
      <c r="Q167" s="23">
        <v>2</v>
      </c>
      <c r="R167" s="23" t="s">
        <v>16</v>
      </c>
      <c r="S167" s="40">
        <f>(VLOOKUP(P167,'[1]BOM Info General'!$A:$L,12,0))*Q167</f>
        <v>5.3</v>
      </c>
      <c r="T167" s="24" t="s">
        <v>12</v>
      </c>
      <c r="U167" s="24">
        <v>1</v>
      </c>
      <c r="V167" s="24" t="s">
        <v>13</v>
      </c>
      <c r="W167" s="17">
        <f>(VLOOKUP(T167,'[1]Simulation pricing per sub assy'!$D:$E,2,0))*U167</f>
        <v>1.9</v>
      </c>
      <c r="X167" s="18" t="s">
        <v>615</v>
      </c>
      <c r="Y167" s="25">
        <v>1</v>
      </c>
      <c r="Z167" s="25" t="s">
        <v>9</v>
      </c>
      <c r="AA167" s="18">
        <f>(VLOOKUP(X167,'[1]Simulation pricing per sub assy'!$D:$E,2,0))*Y167</f>
        <v>1.5769808000000001</v>
      </c>
    </row>
    <row r="168" spans="1:27" x14ac:dyDescent="0.35">
      <c r="A168" s="13" t="s">
        <v>969</v>
      </c>
      <c r="B168" s="13" t="s">
        <v>970</v>
      </c>
      <c r="C168" s="42">
        <f t="shared" si="2"/>
        <v>112.0457808</v>
      </c>
      <c r="D168" s="20" t="s">
        <v>42</v>
      </c>
      <c r="E168" s="20">
        <v>1</v>
      </c>
      <c r="F168" s="20" t="s">
        <v>3982</v>
      </c>
      <c r="G168" s="14">
        <f>(VLOOKUP(D168,'[1]BOM Info General'!$A:$L,12,0))*E168</f>
        <v>35.56</v>
      </c>
      <c r="H168" s="21" t="s">
        <v>39</v>
      </c>
      <c r="I168" s="21">
        <v>1</v>
      </c>
      <c r="J168" s="21" t="s">
        <v>46</v>
      </c>
      <c r="K168" s="15">
        <f>(VLOOKUP(H168,'[1]BOM Info General'!$A:$L,12,0))*I168</f>
        <v>24.42</v>
      </c>
      <c r="L168" s="22" t="s">
        <v>58</v>
      </c>
      <c r="M168" s="22">
        <v>1</v>
      </c>
      <c r="N168" s="22" t="s">
        <v>55</v>
      </c>
      <c r="O168" s="9">
        <f>(VLOOKUP(L168,'[1]Simulation pricing per sub assy'!$D:$E,2,0))*M168</f>
        <v>43.288799999999988</v>
      </c>
      <c r="P168" s="23" t="s">
        <v>50</v>
      </c>
      <c r="Q168" s="23">
        <v>2</v>
      </c>
      <c r="R168" s="23" t="s">
        <v>16</v>
      </c>
      <c r="S168" s="40">
        <f>(VLOOKUP(P168,'[1]BOM Info General'!$A:$L,12,0))*Q168</f>
        <v>5.3</v>
      </c>
      <c r="T168" s="24" t="s">
        <v>12</v>
      </c>
      <c r="U168" s="24">
        <v>1</v>
      </c>
      <c r="V168" s="24" t="s">
        <v>13</v>
      </c>
      <c r="W168" s="17">
        <f>(VLOOKUP(T168,'[1]Simulation pricing per sub assy'!$D:$E,2,0))*U168</f>
        <v>1.9</v>
      </c>
      <c r="X168" s="18" t="s">
        <v>615</v>
      </c>
      <c r="Y168" s="25">
        <v>1</v>
      </c>
      <c r="Z168" s="25" t="s">
        <v>9</v>
      </c>
      <c r="AA168" s="18">
        <f>(VLOOKUP(X168,'[1]Simulation pricing per sub assy'!$D:$E,2,0))*Y168</f>
        <v>1.5769808000000001</v>
      </c>
    </row>
    <row r="169" spans="1:27" x14ac:dyDescent="0.35">
      <c r="A169" s="13" t="s">
        <v>1005</v>
      </c>
      <c r="B169" s="13" t="s">
        <v>1006</v>
      </c>
      <c r="C169" s="42">
        <f t="shared" si="2"/>
        <v>112.6257808</v>
      </c>
      <c r="D169" s="20" t="s">
        <v>42</v>
      </c>
      <c r="E169" s="20">
        <v>1</v>
      </c>
      <c r="F169" s="20" t="s">
        <v>3982</v>
      </c>
      <c r="G169" s="14">
        <f>(VLOOKUP(D169,'[1]BOM Info General'!$A:$L,12,0))*E169</f>
        <v>35.56</v>
      </c>
      <c r="H169" s="21" t="s">
        <v>39</v>
      </c>
      <c r="I169" s="21">
        <v>1</v>
      </c>
      <c r="J169" s="21" t="s">
        <v>46</v>
      </c>
      <c r="K169" s="15">
        <f>(VLOOKUP(H169,'[1]BOM Info General'!$A:$L,12,0))*I169</f>
        <v>24.42</v>
      </c>
      <c r="L169" s="22" t="s">
        <v>54</v>
      </c>
      <c r="M169" s="22">
        <v>1</v>
      </c>
      <c r="N169" s="22" t="s">
        <v>53</v>
      </c>
      <c r="O169" s="9">
        <f>(VLOOKUP(L169,'[1]Simulation pricing per sub assy'!$D:$E,2,0))*M169</f>
        <v>43.868799999999993</v>
      </c>
      <c r="P169" s="23" t="s">
        <v>50</v>
      </c>
      <c r="Q169" s="23">
        <v>2</v>
      </c>
      <c r="R169" s="23" t="s">
        <v>16</v>
      </c>
      <c r="S169" s="40">
        <f>(VLOOKUP(P169,'[1]BOM Info General'!$A:$L,12,0))*Q169</f>
        <v>5.3</v>
      </c>
      <c r="T169" s="24" t="s">
        <v>12</v>
      </c>
      <c r="U169" s="24">
        <v>1</v>
      </c>
      <c r="V169" s="24" t="s">
        <v>13</v>
      </c>
      <c r="W169" s="17">
        <f>(VLOOKUP(T169,'[1]Simulation pricing per sub assy'!$D:$E,2,0))*U169</f>
        <v>1.9</v>
      </c>
      <c r="X169" s="18" t="s">
        <v>615</v>
      </c>
      <c r="Y169" s="25">
        <v>1</v>
      </c>
      <c r="Z169" s="25" t="s">
        <v>9</v>
      </c>
      <c r="AA169" s="18">
        <f>(VLOOKUP(X169,'[1]Simulation pricing per sub assy'!$D:$E,2,0))*Y169</f>
        <v>1.5769808000000001</v>
      </c>
    </row>
    <row r="170" spans="1:27" x14ac:dyDescent="0.35">
      <c r="A170" s="13" t="s">
        <v>987</v>
      </c>
      <c r="B170" s="13" t="s">
        <v>988</v>
      </c>
      <c r="C170" s="42">
        <f t="shared" si="2"/>
        <v>112.3657808</v>
      </c>
      <c r="D170" s="20" t="s">
        <v>42</v>
      </c>
      <c r="E170" s="20">
        <v>1</v>
      </c>
      <c r="F170" s="20" t="s">
        <v>3982</v>
      </c>
      <c r="G170" s="14">
        <f>(VLOOKUP(D170,'[1]BOM Info General'!$A:$L,12,0))*E170</f>
        <v>35.56</v>
      </c>
      <c r="H170" s="21" t="s">
        <v>39</v>
      </c>
      <c r="I170" s="21">
        <v>1</v>
      </c>
      <c r="J170" s="21" t="s">
        <v>46</v>
      </c>
      <c r="K170" s="15">
        <f>(VLOOKUP(H170,'[1]BOM Info General'!$A:$L,12,0))*I170</f>
        <v>24.42</v>
      </c>
      <c r="L170" s="22" t="s">
        <v>60</v>
      </c>
      <c r="M170" s="22">
        <v>1</v>
      </c>
      <c r="N170" s="22" t="s">
        <v>57</v>
      </c>
      <c r="O170" s="9">
        <f>(VLOOKUP(L170,'[1]Simulation pricing per sub assy'!$D:$E,2,0))*M170</f>
        <v>43.608799999999988</v>
      </c>
      <c r="P170" s="23" t="s">
        <v>50</v>
      </c>
      <c r="Q170" s="23">
        <v>2</v>
      </c>
      <c r="R170" s="23" t="s">
        <v>16</v>
      </c>
      <c r="S170" s="40">
        <f>(VLOOKUP(P170,'[1]BOM Info General'!$A:$L,12,0))*Q170</f>
        <v>5.3</v>
      </c>
      <c r="T170" s="24" t="s">
        <v>12</v>
      </c>
      <c r="U170" s="24">
        <v>1</v>
      </c>
      <c r="V170" s="24" t="s">
        <v>13</v>
      </c>
      <c r="W170" s="17">
        <f>(VLOOKUP(T170,'[1]Simulation pricing per sub assy'!$D:$E,2,0))*U170</f>
        <v>1.9</v>
      </c>
      <c r="X170" s="18" t="s">
        <v>615</v>
      </c>
      <c r="Y170" s="25">
        <v>1</v>
      </c>
      <c r="Z170" s="25" t="s">
        <v>9</v>
      </c>
      <c r="AA170" s="18">
        <f>(VLOOKUP(X170,'[1]Simulation pricing per sub assy'!$D:$E,2,0))*Y170</f>
        <v>1.5769808000000001</v>
      </c>
    </row>
    <row r="171" spans="1:27" x14ac:dyDescent="0.35">
      <c r="A171" s="13" t="s">
        <v>1023</v>
      </c>
      <c r="B171" s="13" t="s">
        <v>1024</v>
      </c>
      <c r="C171" s="42">
        <f t="shared" si="2"/>
        <v>120.0357808</v>
      </c>
      <c r="D171" s="20" t="s">
        <v>42</v>
      </c>
      <c r="E171" s="20">
        <v>1</v>
      </c>
      <c r="F171" s="20" t="s">
        <v>3982</v>
      </c>
      <c r="G171" s="14">
        <f>(VLOOKUP(D171,'[1]BOM Info General'!$A:$L,12,0))*E171</f>
        <v>35.56</v>
      </c>
      <c r="H171" s="21" t="s">
        <v>39</v>
      </c>
      <c r="I171" s="21">
        <v>1</v>
      </c>
      <c r="J171" s="21" t="s">
        <v>46</v>
      </c>
      <c r="K171" s="15">
        <f>(VLOOKUP(H171,'[1]BOM Info General'!$A:$L,12,0))*I171</f>
        <v>24.42</v>
      </c>
      <c r="L171" s="22" t="s">
        <v>56</v>
      </c>
      <c r="M171" s="22">
        <v>1</v>
      </c>
      <c r="N171" s="22" t="s">
        <v>59</v>
      </c>
      <c r="O171" s="9">
        <f>(VLOOKUP(L171,'[1]Simulation pricing per sub assy'!$D:$E,2,0))*M171</f>
        <v>51.27879999999999</v>
      </c>
      <c r="P171" s="23" t="s">
        <v>50</v>
      </c>
      <c r="Q171" s="23">
        <v>2</v>
      </c>
      <c r="R171" s="23" t="s">
        <v>16</v>
      </c>
      <c r="S171" s="40">
        <f>(VLOOKUP(P171,'[1]BOM Info General'!$A:$L,12,0))*Q171</f>
        <v>5.3</v>
      </c>
      <c r="T171" s="24" t="s">
        <v>12</v>
      </c>
      <c r="U171" s="24">
        <v>1</v>
      </c>
      <c r="V171" s="24" t="s">
        <v>13</v>
      </c>
      <c r="W171" s="17">
        <f>(VLOOKUP(T171,'[1]Simulation pricing per sub assy'!$D:$E,2,0))*U171</f>
        <v>1.9</v>
      </c>
      <c r="X171" s="18" t="s">
        <v>615</v>
      </c>
      <c r="Y171" s="25">
        <v>1</v>
      </c>
      <c r="Z171" s="25" t="s">
        <v>9</v>
      </c>
      <c r="AA171" s="18">
        <f>(VLOOKUP(X171,'[1]Simulation pricing per sub assy'!$D:$E,2,0))*Y171</f>
        <v>1.5769808000000001</v>
      </c>
    </row>
    <row r="172" spans="1:27" x14ac:dyDescent="0.35">
      <c r="A172" s="13" t="s">
        <v>1043</v>
      </c>
      <c r="B172" s="13" t="s">
        <v>1044</v>
      </c>
      <c r="C172" s="42">
        <f t="shared" si="2"/>
        <v>111.0657808</v>
      </c>
      <c r="D172" s="20" t="s">
        <v>42</v>
      </c>
      <c r="E172" s="20">
        <v>1</v>
      </c>
      <c r="F172" s="20" t="s">
        <v>3982</v>
      </c>
      <c r="G172" s="14">
        <f>(VLOOKUP(D172,'[1]BOM Info General'!$A:$L,12,0))*E172</f>
        <v>35.56</v>
      </c>
      <c r="H172" s="21" t="s">
        <v>39</v>
      </c>
      <c r="I172" s="21">
        <v>1</v>
      </c>
      <c r="J172" s="21" t="s">
        <v>46</v>
      </c>
      <c r="K172" s="15">
        <f>(VLOOKUP(H172,'[1]BOM Info General'!$A:$L,12,0))*I172</f>
        <v>24.42</v>
      </c>
      <c r="L172" s="22" t="s">
        <v>523</v>
      </c>
      <c r="M172" s="22">
        <v>1</v>
      </c>
      <c r="N172" s="22" t="s">
        <v>61</v>
      </c>
      <c r="O172" s="9">
        <f>(VLOOKUP(L172,'[1]Simulation pricing per sub assy'!$D:$E,2,0))*M172</f>
        <v>42.308799999999991</v>
      </c>
      <c r="P172" s="23" t="s">
        <v>50</v>
      </c>
      <c r="Q172" s="23">
        <v>2</v>
      </c>
      <c r="R172" s="23" t="s">
        <v>16</v>
      </c>
      <c r="S172" s="40">
        <f>(VLOOKUP(P172,'[1]BOM Info General'!$A:$L,12,0))*Q172</f>
        <v>5.3</v>
      </c>
      <c r="T172" s="24" t="s">
        <v>14</v>
      </c>
      <c r="U172" s="24">
        <v>1</v>
      </c>
      <c r="V172" s="24" t="s">
        <v>15</v>
      </c>
      <c r="W172" s="17">
        <f>(VLOOKUP(T172,'[1]Simulation pricing per sub assy'!$D:$E,2,0))*U172</f>
        <v>1.9</v>
      </c>
      <c r="X172" s="18" t="s">
        <v>615</v>
      </c>
      <c r="Y172" s="25">
        <v>1</v>
      </c>
      <c r="Z172" s="25" t="s">
        <v>9</v>
      </c>
      <c r="AA172" s="18">
        <f>(VLOOKUP(X172,'[1]Simulation pricing per sub assy'!$D:$E,2,0))*Y172</f>
        <v>1.5769808000000001</v>
      </c>
    </row>
    <row r="173" spans="1:27" x14ac:dyDescent="0.35">
      <c r="A173" s="13" t="s">
        <v>971</v>
      </c>
      <c r="B173" s="13" t="s">
        <v>972</v>
      </c>
      <c r="C173" s="42">
        <f t="shared" si="2"/>
        <v>112.0457808</v>
      </c>
      <c r="D173" s="20" t="s">
        <v>42</v>
      </c>
      <c r="E173" s="20">
        <v>1</v>
      </c>
      <c r="F173" s="20" t="s">
        <v>3982</v>
      </c>
      <c r="G173" s="14">
        <f>(VLOOKUP(D173,'[1]BOM Info General'!$A:$L,12,0))*E173</f>
        <v>35.56</v>
      </c>
      <c r="H173" s="21" t="s">
        <v>39</v>
      </c>
      <c r="I173" s="21">
        <v>1</v>
      </c>
      <c r="J173" s="21" t="s">
        <v>46</v>
      </c>
      <c r="K173" s="15">
        <f>(VLOOKUP(H173,'[1]BOM Info General'!$A:$L,12,0))*I173</f>
        <v>24.42</v>
      </c>
      <c r="L173" s="22" t="s">
        <v>58</v>
      </c>
      <c r="M173" s="22">
        <v>1</v>
      </c>
      <c r="N173" s="22" t="s">
        <v>55</v>
      </c>
      <c r="O173" s="9">
        <f>(VLOOKUP(L173,'[1]Simulation pricing per sub assy'!$D:$E,2,0))*M173</f>
        <v>43.288799999999988</v>
      </c>
      <c r="P173" s="23" t="s">
        <v>50</v>
      </c>
      <c r="Q173" s="23">
        <v>2</v>
      </c>
      <c r="R173" s="23" t="s">
        <v>16</v>
      </c>
      <c r="S173" s="40">
        <f>(VLOOKUP(P173,'[1]BOM Info General'!$A:$L,12,0))*Q173</f>
        <v>5.3</v>
      </c>
      <c r="T173" s="24" t="s">
        <v>14</v>
      </c>
      <c r="U173" s="24">
        <v>1</v>
      </c>
      <c r="V173" s="24" t="s">
        <v>15</v>
      </c>
      <c r="W173" s="17">
        <f>(VLOOKUP(T173,'[1]Simulation pricing per sub assy'!$D:$E,2,0))*U173</f>
        <v>1.9</v>
      </c>
      <c r="X173" s="18" t="s">
        <v>615</v>
      </c>
      <c r="Y173" s="25">
        <v>1</v>
      </c>
      <c r="Z173" s="25" t="s">
        <v>9</v>
      </c>
      <c r="AA173" s="18">
        <f>(VLOOKUP(X173,'[1]Simulation pricing per sub assy'!$D:$E,2,0))*Y173</f>
        <v>1.5769808000000001</v>
      </c>
    </row>
    <row r="174" spans="1:27" x14ac:dyDescent="0.35">
      <c r="A174" s="13" t="s">
        <v>1007</v>
      </c>
      <c r="B174" s="13" t="s">
        <v>1008</v>
      </c>
      <c r="C174" s="42">
        <f t="shared" si="2"/>
        <v>112.6257808</v>
      </c>
      <c r="D174" s="20" t="s">
        <v>42</v>
      </c>
      <c r="E174" s="20">
        <v>1</v>
      </c>
      <c r="F174" s="20" t="s">
        <v>3982</v>
      </c>
      <c r="G174" s="14">
        <f>(VLOOKUP(D174,'[1]BOM Info General'!$A:$L,12,0))*E174</f>
        <v>35.56</v>
      </c>
      <c r="H174" s="21" t="s">
        <v>39</v>
      </c>
      <c r="I174" s="21">
        <v>1</v>
      </c>
      <c r="J174" s="21" t="s">
        <v>46</v>
      </c>
      <c r="K174" s="15">
        <f>(VLOOKUP(H174,'[1]BOM Info General'!$A:$L,12,0))*I174</f>
        <v>24.42</v>
      </c>
      <c r="L174" s="22" t="s">
        <v>54</v>
      </c>
      <c r="M174" s="22">
        <v>1</v>
      </c>
      <c r="N174" s="22" t="s">
        <v>53</v>
      </c>
      <c r="O174" s="9">
        <f>(VLOOKUP(L174,'[1]Simulation pricing per sub assy'!$D:$E,2,0))*M174</f>
        <v>43.868799999999993</v>
      </c>
      <c r="P174" s="23" t="s">
        <v>50</v>
      </c>
      <c r="Q174" s="23">
        <v>2</v>
      </c>
      <c r="R174" s="23" t="s">
        <v>16</v>
      </c>
      <c r="S174" s="40">
        <f>(VLOOKUP(P174,'[1]BOM Info General'!$A:$L,12,0))*Q174</f>
        <v>5.3</v>
      </c>
      <c r="T174" s="24" t="s">
        <v>14</v>
      </c>
      <c r="U174" s="24">
        <v>1</v>
      </c>
      <c r="V174" s="24" t="s">
        <v>15</v>
      </c>
      <c r="W174" s="17">
        <f>(VLOOKUP(T174,'[1]Simulation pricing per sub assy'!$D:$E,2,0))*U174</f>
        <v>1.9</v>
      </c>
      <c r="X174" s="18" t="s">
        <v>615</v>
      </c>
      <c r="Y174" s="25">
        <v>1</v>
      </c>
      <c r="Z174" s="25" t="s">
        <v>9</v>
      </c>
      <c r="AA174" s="18">
        <f>(VLOOKUP(X174,'[1]Simulation pricing per sub assy'!$D:$E,2,0))*Y174</f>
        <v>1.5769808000000001</v>
      </c>
    </row>
    <row r="175" spans="1:27" x14ac:dyDescent="0.35">
      <c r="A175" s="13" t="s">
        <v>989</v>
      </c>
      <c r="B175" s="13" t="s">
        <v>990</v>
      </c>
      <c r="C175" s="42">
        <f t="shared" si="2"/>
        <v>112.3657808</v>
      </c>
      <c r="D175" s="20" t="s">
        <v>42</v>
      </c>
      <c r="E175" s="20">
        <v>1</v>
      </c>
      <c r="F175" s="20" t="s">
        <v>3982</v>
      </c>
      <c r="G175" s="14">
        <f>(VLOOKUP(D175,'[1]BOM Info General'!$A:$L,12,0))*E175</f>
        <v>35.56</v>
      </c>
      <c r="H175" s="21" t="s">
        <v>39</v>
      </c>
      <c r="I175" s="21">
        <v>1</v>
      </c>
      <c r="J175" s="21" t="s">
        <v>46</v>
      </c>
      <c r="K175" s="15">
        <f>(VLOOKUP(H175,'[1]BOM Info General'!$A:$L,12,0))*I175</f>
        <v>24.42</v>
      </c>
      <c r="L175" s="22" t="s">
        <v>60</v>
      </c>
      <c r="M175" s="22">
        <v>1</v>
      </c>
      <c r="N175" s="22" t="s">
        <v>57</v>
      </c>
      <c r="O175" s="9">
        <f>(VLOOKUP(L175,'[1]Simulation pricing per sub assy'!$D:$E,2,0))*M175</f>
        <v>43.608799999999988</v>
      </c>
      <c r="P175" s="23" t="s">
        <v>50</v>
      </c>
      <c r="Q175" s="23">
        <v>2</v>
      </c>
      <c r="R175" s="23" t="s">
        <v>16</v>
      </c>
      <c r="S175" s="40">
        <f>(VLOOKUP(P175,'[1]BOM Info General'!$A:$L,12,0))*Q175</f>
        <v>5.3</v>
      </c>
      <c r="T175" s="24" t="s">
        <v>14</v>
      </c>
      <c r="U175" s="24">
        <v>1</v>
      </c>
      <c r="V175" s="24" t="s">
        <v>15</v>
      </c>
      <c r="W175" s="17">
        <f>(VLOOKUP(T175,'[1]Simulation pricing per sub assy'!$D:$E,2,0))*U175</f>
        <v>1.9</v>
      </c>
      <c r="X175" s="18" t="s">
        <v>615</v>
      </c>
      <c r="Y175" s="25">
        <v>1</v>
      </c>
      <c r="Z175" s="25" t="s">
        <v>9</v>
      </c>
      <c r="AA175" s="18">
        <f>(VLOOKUP(X175,'[1]Simulation pricing per sub assy'!$D:$E,2,0))*Y175</f>
        <v>1.5769808000000001</v>
      </c>
    </row>
    <row r="176" spans="1:27" x14ac:dyDescent="0.35">
      <c r="A176" s="13" t="s">
        <v>1025</v>
      </c>
      <c r="B176" s="13" t="s">
        <v>1026</v>
      </c>
      <c r="C176" s="42">
        <f t="shared" si="2"/>
        <v>120.0357808</v>
      </c>
      <c r="D176" s="20" t="s">
        <v>42</v>
      </c>
      <c r="E176" s="20">
        <v>1</v>
      </c>
      <c r="F176" s="20" t="s">
        <v>3982</v>
      </c>
      <c r="G176" s="14">
        <f>(VLOOKUP(D176,'[1]BOM Info General'!$A:$L,12,0))*E176</f>
        <v>35.56</v>
      </c>
      <c r="H176" s="21" t="s">
        <v>39</v>
      </c>
      <c r="I176" s="21">
        <v>1</v>
      </c>
      <c r="J176" s="21" t="s">
        <v>46</v>
      </c>
      <c r="K176" s="15">
        <f>(VLOOKUP(H176,'[1]BOM Info General'!$A:$L,12,0))*I176</f>
        <v>24.42</v>
      </c>
      <c r="L176" s="22" t="s">
        <v>56</v>
      </c>
      <c r="M176" s="22">
        <v>1</v>
      </c>
      <c r="N176" s="22" t="s">
        <v>59</v>
      </c>
      <c r="O176" s="9">
        <f>(VLOOKUP(L176,'[1]Simulation pricing per sub assy'!$D:$E,2,0))*M176</f>
        <v>51.27879999999999</v>
      </c>
      <c r="P176" s="23" t="s">
        <v>50</v>
      </c>
      <c r="Q176" s="23">
        <v>2</v>
      </c>
      <c r="R176" s="23" t="s">
        <v>16</v>
      </c>
      <c r="S176" s="40">
        <f>(VLOOKUP(P176,'[1]BOM Info General'!$A:$L,12,0))*Q176</f>
        <v>5.3</v>
      </c>
      <c r="T176" s="24" t="s">
        <v>14</v>
      </c>
      <c r="U176" s="24">
        <v>1</v>
      </c>
      <c r="V176" s="24" t="s">
        <v>15</v>
      </c>
      <c r="W176" s="17">
        <f>(VLOOKUP(T176,'[1]Simulation pricing per sub assy'!$D:$E,2,0))*U176</f>
        <v>1.9</v>
      </c>
      <c r="X176" s="18" t="s">
        <v>615</v>
      </c>
      <c r="Y176" s="25">
        <v>1</v>
      </c>
      <c r="Z176" s="25" t="s">
        <v>9</v>
      </c>
      <c r="AA176" s="18">
        <f>(VLOOKUP(X176,'[1]Simulation pricing per sub assy'!$D:$E,2,0))*Y176</f>
        <v>1.5769808000000001</v>
      </c>
    </row>
    <row r="177" spans="1:27" x14ac:dyDescent="0.35">
      <c r="A177" s="13" t="s">
        <v>1045</v>
      </c>
      <c r="B177" s="13" t="s">
        <v>1046</v>
      </c>
      <c r="C177" s="42">
        <f t="shared" si="2"/>
        <v>111.21578079999999</v>
      </c>
      <c r="D177" s="20" t="s">
        <v>42</v>
      </c>
      <c r="E177" s="20">
        <v>1</v>
      </c>
      <c r="F177" s="20" t="s">
        <v>3982</v>
      </c>
      <c r="G177" s="14">
        <f>(VLOOKUP(D177,'[1]BOM Info General'!$A:$L,12,0))*E177</f>
        <v>35.56</v>
      </c>
      <c r="H177" s="21" t="s">
        <v>39</v>
      </c>
      <c r="I177" s="21">
        <v>1</v>
      </c>
      <c r="J177" s="21" t="s">
        <v>46</v>
      </c>
      <c r="K177" s="15">
        <f>(VLOOKUP(H177,'[1]BOM Info General'!$A:$L,12,0))*I177</f>
        <v>24.42</v>
      </c>
      <c r="L177" s="22" t="s">
        <v>523</v>
      </c>
      <c r="M177" s="22">
        <v>1</v>
      </c>
      <c r="N177" s="22" t="s">
        <v>61</v>
      </c>
      <c r="O177" s="9">
        <f>(VLOOKUP(L177,'[1]Simulation pricing per sub assy'!$D:$E,2,0))*M177</f>
        <v>42.308799999999991</v>
      </c>
      <c r="P177" s="23" t="s">
        <v>51</v>
      </c>
      <c r="Q177" s="23">
        <v>2</v>
      </c>
      <c r="R177" s="23" t="s">
        <v>17</v>
      </c>
      <c r="S177" s="40">
        <f>(VLOOKUP(P177,'[1]BOM Info General'!$A:$L,12,0))*Q177</f>
        <v>5.3</v>
      </c>
      <c r="T177" s="24" t="s">
        <v>10</v>
      </c>
      <c r="U177" s="24">
        <v>1</v>
      </c>
      <c r="V177" s="24" t="s">
        <v>11</v>
      </c>
      <c r="W177" s="17">
        <f>(VLOOKUP(T177,'[1]Simulation pricing per sub assy'!$D:$E,2,0))*U177</f>
        <v>2.0499999999999998</v>
      </c>
      <c r="X177" s="18" t="s">
        <v>615</v>
      </c>
      <c r="Y177" s="25">
        <v>1</v>
      </c>
      <c r="Z177" s="25" t="s">
        <v>9</v>
      </c>
      <c r="AA177" s="18">
        <f>(VLOOKUP(X177,'[1]Simulation pricing per sub assy'!$D:$E,2,0))*Y177</f>
        <v>1.5769808000000001</v>
      </c>
    </row>
    <row r="178" spans="1:27" x14ac:dyDescent="0.35">
      <c r="A178" s="13" t="s">
        <v>973</v>
      </c>
      <c r="B178" s="13" t="s">
        <v>974</v>
      </c>
      <c r="C178" s="42">
        <f t="shared" si="2"/>
        <v>112.19578079999999</v>
      </c>
      <c r="D178" s="20" t="s">
        <v>42</v>
      </c>
      <c r="E178" s="20">
        <v>1</v>
      </c>
      <c r="F178" s="20" t="s">
        <v>3982</v>
      </c>
      <c r="G178" s="14">
        <f>(VLOOKUP(D178,'[1]BOM Info General'!$A:$L,12,0))*E178</f>
        <v>35.56</v>
      </c>
      <c r="H178" s="21" t="s">
        <v>39</v>
      </c>
      <c r="I178" s="21">
        <v>1</v>
      </c>
      <c r="J178" s="21" t="s">
        <v>46</v>
      </c>
      <c r="K178" s="15">
        <f>(VLOOKUP(H178,'[1]BOM Info General'!$A:$L,12,0))*I178</f>
        <v>24.42</v>
      </c>
      <c r="L178" s="22" t="s">
        <v>58</v>
      </c>
      <c r="M178" s="22">
        <v>1</v>
      </c>
      <c r="N178" s="22" t="s">
        <v>55</v>
      </c>
      <c r="O178" s="9">
        <f>(VLOOKUP(L178,'[1]Simulation pricing per sub assy'!$D:$E,2,0))*M178</f>
        <v>43.288799999999988</v>
      </c>
      <c r="P178" s="23" t="s">
        <v>51</v>
      </c>
      <c r="Q178" s="23">
        <v>2</v>
      </c>
      <c r="R178" s="23" t="s">
        <v>17</v>
      </c>
      <c r="S178" s="40">
        <f>(VLOOKUP(P178,'[1]BOM Info General'!$A:$L,12,0))*Q178</f>
        <v>5.3</v>
      </c>
      <c r="T178" s="24" t="s">
        <v>10</v>
      </c>
      <c r="U178" s="24">
        <v>1</v>
      </c>
      <c r="V178" s="24" t="s">
        <v>11</v>
      </c>
      <c r="W178" s="17">
        <f>(VLOOKUP(T178,'[1]Simulation pricing per sub assy'!$D:$E,2,0))*U178</f>
        <v>2.0499999999999998</v>
      </c>
      <c r="X178" s="18" t="s">
        <v>615</v>
      </c>
      <c r="Y178" s="25">
        <v>1</v>
      </c>
      <c r="Z178" s="25" t="s">
        <v>9</v>
      </c>
      <c r="AA178" s="18">
        <f>(VLOOKUP(X178,'[1]Simulation pricing per sub assy'!$D:$E,2,0))*Y178</f>
        <v>1.5769808000000001</v>
      </c>
    </row>
    <row r="179" spans="1:27" x14ac:dyDescent="0.35">
      <c r="A179" s="13" t="s">
        <v>1009</v>
      </c>
      <c r="B179" s="13" t="s">
        <v>1010</v>
      </c>
      <c r="C179" s="42">
        <f t="shared" si="2"/>
        <v>112.77578079999999</v>
      </c>
      <c r="D179" s="20" t="s">
        <v>42</v>
      </c>
      <c r="E179" s="20">
        <v>1</v>
      </c>
      <c r="F179" s="20" t="s">
        <v>3982</v>
      </c>
      <c r="G179" s="14">
        <f>(VLOOKUP(D179,'[1]BOM Info General'!$A:$L,12,0))*E179</f>
        <v>35.56</v>
      </c>
      <c r="H179" s="21" t="s">
        <v>39</v>
      </c>
      <c r="I179" s="21">
        <v>1</v>
      </c>
      <c r="J179" s="21" t="s">
        <v>46</v>
      </c>
      <c r="K179" s="15">
        <f>(VLOOKUP(H179,'[1]BOM Info General'!$A:$L,12,0))*I179</f>
        <v>24.42</v>
      </c>
      <c r="L179" s="22" t="s">
        <v>54</v>
      </c>
      <c r="M179" s="22">
        <v>1</v>
      </c>
      <c r="N179" s="22" t="s">
        <v>53</v>
      </c>
      <c r="O179" s="9">
        <f>(VLOOKUP(L179,'[1]Simulation pricing per sub assy'!$D:$E,2,0))*M179</f>
        <v>43.868799999999993</v>
      </c>
      <c r="P179" s="23" t="s">
        <v>51</v>
      </c>
      <c r="Q179" s="23">
        <v>2</v>
      </c>
      <c r="R179" s="23" t="s">
        <v>17</v>
      </c>
      <c r="S179" s="40">
        <f>(VLOOKUP(P179,'[1]BOM Info General'!$A:$L,12,0))*Q179</f>
        <v>5.3</v>
      </c>
      <c r="T179" s="24" t="s">
        <v>10</v>
      </c>
      <c r="U179" s="24">
        <v>1</v>
      </c>
      <c r="V179" s="24" t="s">
        <v>11</v>
      </c>
      <c r="W179" s="17">
        <f>(VLOOKUP(T179,'[1]Simulation pricing per sub assy'!$D:$E,2,0))*U179</f>
        <v>2.0499999999999998</v>
      </c>
      <c r="X179" s="18" t="s">
        <v>615</v>
      </c>
      <c r="Y179" s="25">
        <v>1</v>
      </c>
      <c r="Z179" s="25" t="s">
        <v>9</v>
      </c>
      <c r="AA179" s="18">
        <f>(VLOOKUP(X179,'[1]Simulation pricing per sub assy'!$D:$E,2,0))*Y179</f>
        <v>1.5769808000000001</v>
      </c>
    </row>
    <row r="180" spans="1:27" x14ac:dyDescent="0.35">
      <c r="A180" s="13" t="s">
        <v>991</v>
      </c>
      <c r="B180" s="13" t="s">
        <v>992</v>
      </c>
      <c r="C180" s="42">
        <f t="shared" si="2"/>
        <v>112.51578079999999</v>
      </c>
      <c r="D180" s="20" t="s">
        <v>42</v>
      </c>
      <c r="E180" s="20">
        <v>1</v>
      </c>
      <c r="F180" s="20" t="s">
        <v>3982</v>
      </c>
      <c r="G180" s="14">
        <f>(VLOOKUP(D180,'[1]BOM Info General'!$A:$L,12,0))*E180</f>
        <v>35.56</v>
      </c>
      <c r="H180" s="21" t="s">
        <v>39</v>
      </c>
      <c r="I180" s="21">
        <v>1</v>
      </c>
      <c r="J180" s="21" t="s">
        <v>46</v>
      </c>
      <c r="K180" s="15">
        <f>(VLOOKUP(H180,'[1]BOM Info General'!$A:$L,12,0))*I180</f>
        <v>24.42</v>
      </c>
      <c r="L180" s="22" t="s">
        <v>60</v>
      </c>
      <c r="M180" s="22">
        <v>1</v>
      </c>
      <c r="N180" s="22" t="s">
        <v>57</v>
      </c>
      <c r="O180" s="9">
        <f>(VLOOKUP(L180,'[1]Simulation pricing per sub assy'!$D:$E,2,0))*M180</f>
        <v>43.608799999999988</v>
      </c>
      <c r="P180" s="23" t="s">
        <v>51</v>
      </c>
      <c r="Q180" s="23">
        <v>2</v>
      </c>
      <c r="R180" s="23" t="s">
        <v>17</v>
      </c>
      <c r="S180" s="40">
        <f>(VLOOKUP(P180,'[1]BOM Info General'!$A:$L,12,0))*Q180</f>
        <v>5.3</v>
      </c>
      <c r="T180" s="24" t="s">
        <v>10</v>
      </c>
      <c r="U180" s="24">
        <v>1</v>
      </c>
      <c r="V180" s="24" t="s">
        <v>11</v>
      </c>
      <c r="W180" s="17">
        <f>(VLOOKUP(T180,'[1]Simulation pricing per sub assy'!$D:$E,2,0))*U180</f>
        <v>2.0499999999999998</v>
      </c>
      <c r="X180" s="18" t="s">
        <v>615</v>
      </c>
      <c r="Y180" s="25">
        <v>1</v>
      </c>
      <c r="Z180" s="25" t="s">
        <v>9</v>
      </c>
      <c r="AA180" s="18">
        <f>(VLOOKUP(X180,'[1]Simulation pricing per sub assy'!$D:$E,2,0))*Y180</f>
        <v>1.5769808000000001</v>
      </c>
    </row>
    <row r="181" spans="1:27" x14ac:dyDescent="0.35">
      <c r="A181" s="13" t="s">
        <v>1027</v>
      </c>
      <c r="B181" s="13" t="s">
        <v>1028</v>
      </c>
      <c r="C181" s="42">
        <f t="shared" si="2"/>
        <v>120.18578079999999</v>
      </c>
      <c r="D181" s="20" t="s">
        <v>42</v>
      </c>
      <c r="E181" s="20">
        <v>1</v>
      </c>
      <c r="F181" s="20" t="s">
        <v>3982</v>
      </c>
      <c r="G181" s="14">
        <f>(VLOOKUP(D181,'[1]BOM Info General'!$A:$L,12,0))*E181</f>
        <v>35.56</v>
      </c>
      <c r="H181" s="21" t="s">
        <v>39</v>
      </c>
      <c r="I181" s="21">
        <v>1</v>
      </c>
      <c r="J181" s="21" t="s">
        <v>46</v>
      </c>
      <c r="K181" s="15">
        <f>(VLOOKUP(H181,'[1]BOM Info General'!$A:$L,12,0))*I181</f>
        <v>24.42</v>
      </c>
      <c r="L181" s="22" t="s">
        <v>56</v>
      </c>
      <c r="M181" s="22">
        <v>1</v>
      </c>
      <c r="N181" s="22" t="s">
        <v>59</v>
      </c>
      <c r="O181" s="9">
        <f>(VLOOKUP(L181,'[1]Simulation pricing per sub assy'!$D:$E,2,0))*M181</f>
        <v>51.27879999999999</v>
      </c>
      <c r="P181" s="23" t="s">
        <v>51</v>
      </c>
      <c r="Q181" s="23">
        <v>2</v>
      </c>
      <c r="R181" s="23" t="s">
        <v>17</v>
      </c>
      <c r="S181" s="40">
        <f>(VLOOKUP(P181,'[1]BOM Info General'!$A:$L,12,0))*Q181</f>
        <v>5.3</v>
      </c>
      <c r="T181" s="24" t="s">
        <v>10</v>
      </c>
      <c r="U181" s="24">
        <v>1</v>
      </c>
      <c r="V181" s="24" t="s">
        <v>11</v>
      </c>
      <c r="W181" s="17">
        <f>(VLOOKUP(T181,'[1]Simulation pricing per sub assy'!$D:$E,2,0))*U181</f>
        <v>2.0499999999999998</v>
      </c>
      <c r="X181" s="18" t="s">
        <v>615</v>
      </c>
      <c r="Y181" s="25">
        <v>1</v>
      </c>
      <c r="Z181" s="25" t="s">
        <v>9</v>
      </c>
      <c r="AA181" s="18">
        <f>(VLOOKUP(X181,'[1]Simulation pricing per sub assy'!$D:$E,2,0))*Y181</f>
        <v>1.5769808000000001</v>
      </c>
    </row>
    <row r="182" spans="1:27" x14ac:dyDescent="0.35">
      <c r="A182" s="13" t="s">
        <v>1047</v>
      </c>
      <c r="B182" s="13" t="s">
        <v>1048</v>
      </c>
      <c r="C182" s="42">
        <f t="shared" si="2"/>
        <v>111.0657808</v>
      </c>
      <c r="D182" s="20" t="s">
        <v>42</v>
      </c>
      <c r="E182" s="20">
        <v>1</v>
      </c>
      <c r="F182" s="20" t="s">
        <v>3982</v>
      </c>
      <c r="G182" s="14">
        <f>(VLOOKUP(D182,'[1]BOM Info General'!$A:$L,12,0))*E182</f>
        <v>35.56</v>
      </c>
      <c r="H182" s="21" t="s">
        <v>39</v>
      </c>
      <c r="I182" s="21">
        <v>1</v>
      </c>
      <c r="J182" s="21" t="s">
        <v>46</v>
      </c>
      <c r="K182" s="15">
        <f>(VLOOKUP(H182,'[1]BOM Info General'!$A:$L,12,0))*I182</f>
        <v>24.42</v>
      </c>
      <c r="L182" s="22" t="s">
        <v>523</v>
      </c>
      <c r="M182" s="22">
        <v>1</v>
      </c>
      <c r="N182" s="22" t="s">
        <v>61</v>
      </c>
      <c r="O182" s="9">
        <f>(VLOOKUP(L182,'[1]Simulation pricing per sub assy'!$D:$E,2,0))*M182</f>
        <v>42.308799999999991</v>
      </c>
      <c r="P182" s="23" t="s">
        <v>51</v>
      </c>
      <c r="Q182" s="23">
        <v>2</v>
      </c>
      <c r="R182" s="23" t="s">
        <v>17</v>
      </c>
      <c r="S182" s="40">
        <f>(VLOOKUP(P182,'[1]BOM Info General'!$A:$L,12,0))*Q182</f>
        <v>5.3</v>
      </c>
      <c r="T182" s="24" t="s">
        <v>12</v>
      </c>
      <c r="U182" s="24">
        <v>1</v>
      </c>
      <c r="V182" s="24" t="s">
        <v>13</v>
      </c>
      <c r="W182" s="17">
        <f>(VLOOKUP(T182,'[1]Simulation pricing per sub assy'!$D:$E,2,0))*U182</f>
        <v>1.9</v>
      </c>
      <c r="X182" s="18" t="s">
        <v>615</v>
      </c>
      <c r="Y182" s="25">
        <v>1</v>
      </c>
      <c r="Z182" s="25" t="s">
        <v>9</v>
      </c>
      <c r="AA182" s="18">
        <f>(VLOOKUP(X182,'[1]Simulation pricing per sub assy'!$D:$E,2,0))*Y182</f>
        <v>1.5769808000000001</v>
      </c>
    </row>
    <row r="183" spans="1:27" x14ac:dyDescent="0.35">
      <c r="A183" s="13" t="s">
        <v>975</v>
      </c>
      <c r="B183" s="13" t="s">
        <v>976</v>
      </c>
      <c r="C183" s="42">
        <f t="shared" si="2"/>
        <v>112.0457808</v>
      </c>
      <c r="D183" s="20" t="s">
        <v>42</v>
      </c>
      <c r="E183" s="20">
        <v>1</v>
      </c>
      <c r="F183" s="20" t="s">
        <v>3982</v>
      </c>
      <c r="G183" s="14">
        <f>(VLOOKUP(D183,'[1]BOM Info General'!$A:$L,12,0))*E183</f>
        <v>35.56</v>
      </c>
      <c r="H183" s="21" t="s">
        <v>39</v>
      </c>
      <c r="I183" s="21">
        <v>1</v>
      </c>
      <c r="J183" s="21" t="s">
        <v>46</v>
      </c>
      <c r="K183" s="15">
        <f>(VLOOKUP(H183,'[1]BOM Info General'!$A:$L,12,0))*I183</f>
        <v>24.42</v>
      </c>
      <c r="L183" s="22" t="s">
        <v>58</v>
      </c>
      <c r="M183" s="22">
        <v>1</v>
      </c>
      <c r="N183" s="22" t="s">
        <v>55</v>
      </c>
      <c r="O183" s="9">
        <f>(VLOOKUP(L183,'[1]Simulation pricing per sub assy'!$D:$E,2,0))*M183</f>
        <v>43.288799999999988</v>
      </c>
      <c r="P183" s="23" t="s">
        <v>51</v>
      </c>
      <c r="Q183" s="23">
        <v>2</v>
      </c>
      <c r="R183" s="23" t="s">
        <v>17</v>
      </c>
      <c r="S183" s="40">
        <f>(VLOOKUP(P183,'[1]BOM Info General'!$A:$L,12,0))*Q183</f>
        <v>5.3</v>
      </c>
      <c r="T183" s="24" t="s">
        <v>12</v>
      </c>
      <c r="U183" s="24">
        <v>1</v>
      </c>
      <c r="V183" s="24" t="s">
        <v>13</v>
      </c>
      <c r="W183" s="17">
        <f>(VLOOKUP(T183,'[1]Simulation pricing per sub assy'!$D:$E,2,0))*U183</f>
        <v>1.9</v>
      </c>
      <c r="X183" s="18" t="s">
        <v>615</v>
      </c>
      <c r="Y183" s="25">
        <v>1</v>
      </c>
      <c r="Z183" s="25" t="s">
        <v>9</v>
      </c>
      <c r="AA183" s="18">
        <f>(VLOOKUP(X183,'[1]Simulation pricing per sub assy'!$D:$E,2,0))*Y183</f>
        <v>1.5769808000000001</v>
      </c>
    </row>
    <row r="184" spans="1:27" x14ac:dyDescent="0.35">
      <c r="A184" s="13" t="s">
        <v>1011</v>
      </c>
      <c r="B184" s="13" t="s">
        <v>1012</v>
      </c>
      <c r="C184" s="42">
        <f t="shared" si="2"/>
        <v>112.6257808</v>
      </c>
      <c r="D184" s="20" t="s">
        <v>42</v>
      </c>
      <c r="E184" s="20">
        <v>1</v>
      </c>
      <c r="F184" s="20" t="s">
        <v>3982</v>
      </c>
      <c r="G184" s="14">
        <f>(VLOOKUP(D184,'[1]BOM Info General'!$A:$L,12,0))*E184</f>
        <v>35.56</v>
      </c>
      <c r="H184" s="21" t="s">
        <v>39</v>
      </c>
      <c r="I184" s="21">
        <v>1</v>
      </c>
      <c r="J184" s="21" t="s">
        <v>46</v>
      </c>
      <c r="K184" s="15">
        <f>(VLOOKUP(H184,'[1]BOM Info General'!$A:$L,12,0))*I184</f>
        <v>24.42</v>
      </c>
      <c r="L184" s="22" t="s">
        <v>54</v>
      </c>
      <c r="M184" s="22">
        <v>1</v>
      </c>
      <c r="N184" s="22" t="s">
        <v>53</v>
      </c>
      <c r="O184" s="9">
        <f>(VLOOKUP(L184,'[1]Simulation pricing per sub assy'!$D:$E,2,0))*M184</f>
        <v>43.868799999999993</v>
      </c>
      <c r="P184" s="23" t="s">
        <v>51</v>
      </c>
      <c r="Q184" s="23">
        <v>2</v>
      </c>
      <c r="R184" s="23" t="s">
        <v>17</v>
      </c>
      <c r="S184" s="40">
        <f>(VLOOKUP(P184,'[1]BOM Info General'!$A:$L,12,0))*Q184</f>
        <v>5.3</v>
      </c>
      <c r="T184" s="24" t="s">
        <v>12</v>
      </c>
      <c r="U184" s="24">
        <v>1</v>
      </c>
      <c r="V184" s="24" t="s">
        <v>13</v>
      </c>
      <c r="W184" s="17">
        <f>(VLOOKUP(T184,'[1]Simulation pricing per sub assy'!$D:$E,2,0))*U184</f>
        <v>1.9</v>
      </c>
      <c r="X184" s="18" t="s">
        <v>615</v>
      </c>
      <c r="Y184" s="25">
        <v>1</v>
      </c>
      <c r="Z184" s="25" t="s">
        <v>9</v>
      </c>
      <c r="AA184" s="18">
        <f>(VLOOKUP(X184,'[1]Simulation pricing per sub assy'!$D:$E,2,0))*Y184</f>
        <v>1.5769808000000001</v>
      </c>
    </row>
    <row r="185" spans="1:27" x14ac:dyDescent="0.35">
      <c r="A185" s="13" t="s">
        <v>993</v>
      </c>
      <c r="B185" s="13" t="s">
        <v>994</v>
      </c>
      <c r="C185" s="42">
        <f t="shared" si="2"/>
        <v>112.3657808</v>
      </c>
      <c r="D185" s="20" t="s">
        <v>42</v>
      </c>
      <c r="E185" s="20">
        <v>1</v>
      </c>
      <c r="F185" s="20" t="s">
        <v>3982</v>
      </c>
      <c r="G185" s="14">
        <f>(VLOOKUP(D185,'[1]BOM Info General'!$A:$L,12,0))*E185</f>
        <v>35.56</v>
      </c>
      <c r="H185" s="21" t="s">
        <v>39</v>
      </c>
      <c r="I185" s="21">
        <v>1</v>
      </c>
      <c r="J185" s="21" t="s">
        <v>46</v>
      </c>
      <c r="K185" s="15">
        <f>(VLOOKUP(H185,'[1]BOM Info General'!$A:$L,12,0))*I185</f>
        <v>24.42</v>
      </c>
      <c r="L185" s="22" t="s">
        <v>60</v>
      </c>
      <c r="M185" s="22">
        <v>1</v>
      </c>
      <c r="N185" s="22" t="s">
        <v>57</v>
      </c>
      <c r="O185" s="9">
        <f>(VLOOKUP(L185,'[1]Simulation pricing per sub assy'!$D:$E,2,0))*M185</f>
        <v>43.608799999999988</v>
      </c>
      <c r="P185" s="23" t="s">
        <v>51</v>
      </c>
      <c r="Q185" s="23">
        <v>2</v>
      </c>
      <c r="R185" s="23" t="s">
        <v>17</v>
      </c>
      <c r="S185" s="40">
        <f>(VLOOKUP(P185,'[1]BOM Info General'!$A:$L,12,0))*Q185</f>
        <v>5.3</v>
      </c>
      <c r="T185" s="24" t="s">
        <v>12</v>
      </c>
      <c r="U185" s="24">
        <v>1</v>
      </c>
      <c r="V185" s="24" t="s">
        <v>13</v>
      </c>
      <c r="W185" s="17">
        <f>(VLOOKUP(T185,'[1]Simulation pricing per sub assy'!$D:$E,2,0))*U185</f>
        <v>1.9</v>
      </c>
      <c r="X185" s="18" t="s">
        <v>615</v>
      </c>
      <c r="Y185" s="25">
        <v>1</v>
      </c>
      <c r="Z185" s="25" t="s">
        <v>9</v>
      </c>
      <c r="AA185" s="18">
        <f>(VLOOKUP(X185,'[1]Simulation pricing per sub assy'!$D:$E,2,0))*Y185</f>
        <v>1.5769808000000001</v>
      </c>
    </row>
    <row r="186" spans="1:27" x14ac:dyDescent="0.35">
      <c r="A186" s="13" t="s">
        <v>1029</v>
      </c>
      <c r="B186" s="13" t="s">
        <v>1030</v>
      </c>
      <c r="C186" s="42">
        <f t="shared" si="2"/>
        <v>120.0357808</v>
      </c>
      <c r="D186" s="20" t="s">
        <v>42</v>
      </c>
      <c r="E186" s="20">
        <v>1</v>
      </c>
      <c r="F186" s="20" t="s">
        <v>3982</v>
      </c>
      <c r="G186" s="14">
        <f>(VLOOKUP(D186,'[1]BOM Info General'!$A:$L,12,0))*E186</f>
        <v>35.56</v>
      </c>
      <c r="H186" s="21" t="s">
        <v>39</v>
      </c>
      <c r="I186" s="21">
        <v>1</v>
      </c>
      <c r="J186" s="21" t="s">
        <v>46</v>
      </c>
      <c r="K186" s="15">
        <f>(VLOOKUP(H186,'[1]BOM Info General'!$A:$L,12,0))*I186</f>
        <v>24.42</v>
      </c>
      <c r="L186" s="22" t="s">
        <v>56</v>
      </c>
      <c r="M186" s="22">
        <v>1</v>
      </c>
      <c r="N186" s="22" t="s">
        <v>59</v>
      </c>
      <c r="O186" s="9">
        <f>(VLOOKUP(L186,'[1]Simulation pricing per sub assy'!$D:$E,2,0))*M186</f>
        <v>51.27879999999999</v>
      </c>
      <c r="P186" s="23" t="s">
        <v>51</v>
      </c>
      <c r="Q186" s="23">
        <v>2</v>
      </c>
      <c r="R186" s="23" t="s">
        <v>17</v>
      </c>
      <c r="S186" s="40">
        <f>(VLOOKUP(P186,'[1]BOM Info General'!$A:$L,12,0))*Q186</f>
        <v>5.3</v>
      </c>
      <c r="T186" s="24" t="s">
        <v>12</v>
      </c>
      <c r="U186" s="24">
        <v>1</v>
      </c>
      <c r="V186" s="24" t="s">
        <v>13</v>
      </c>
      <c r="W186" s="17">
        <f>(VLOOKUP(T186,'[1]Simulation pricing per sub assy'!$D:$E,2,0))*U186</f>
        <v>1.9</v>
      </c>
      <c r="X186" s="18" t="s">
        <v>615</v>
      </c>
      <c r="Y186" s="25">
        <v>1</v>
      </c>
      <c r="Z186" s="25" t="s">
        <v>9</v>
      </c>
      <c r="AA186" s="18">
        <f>(VLOOKUP(X186,'[1]Simulation pricing per sub assy'!$D:$E,2,0))*Y186</f>
        <v>1.5769808000000001</v>
      </c>
    </row>
    <row r="187" spans="1:27" x14ac:dyDescent="0.35">
      <c r="A187" s="13" t="s">
        <v>1049</v>
      </c>
      <c r="B187" s="13" t="s">
        <v>1050</v>
      </c>
      <c r="C187" s="42">
        <f t="shared" si="2"/>
        <v>111.0657808</v>
      </c>
      <c r="D187" s="20" t="s">
        <v>42</v>
      </c>
      <c r="E187" s="20">
        <v>1</v>
      </c>
      <c r="F187" s="20" t="s">
        <v>3982</v>
      </c>
      <c r="G187" s="14">
        <f>(VLOOKUP(D187,'[1]BOM Info General'!$A:$L,12,0))*E187</f>
        <v>35.56</v>
      </c>
      <c r="H187" s="21" t="s">
        <v>39</v>
      </c>
      <c r="I187" s="21">
        <v>1</v>
      </c>
      <c r="J187" s="21" t="s">
        <v>46</v>
      </c>
      <c r="K187" s="15">
        <f>(VLOOKUP(H187,'[1]BOM Info General'!$A:$L,12,0))*I187</f>
        <v>24.42</v>
      </c>
      <c r="L187" s="22" t="s">
        <v>523</v>
      </c>
      <c r="M187" s="22">
        <v>1</v>
      </c>
      <c r="N187" s="22" t="s">
        <v>61</v>
      </c>
      <c r="O187" s="9">
        <f>(VLOOKUP(L187,'[1]Simulation pricing per sub assy'!$D:$E,2,0))*M187</f>
        <v>42.308799999999991</v>
      </c>
      <c r="P187" s="23" t="s">
        <v>51</v>
      </c>
      <c r="Q187" s="23">
        <v>2</v>
      </c>
      <c r="R187" s="23" t="s">
        <v>17</v>
      </c>
      <c r="S187" s="40">
        <f>(VLOOKUP(P187,'[1]BOM Info General'!$A:$L,12,0))*Q187</f>
        <v>5.3</v>
      </c>
      <c r="T187" s="24" t="s">
        <v>14</v>
      </c>
      <c r="U187" s="24">
        <v>1</v>
      </c>
      <c r="V187" s="24" t="s">
        <v>15</v>
      </c>
      <c r="W187" s="17">
        <f>(VLOOKUP(T187,'[1]Simulation pricing per sub assy'!$D:$E,2,0))*U187</f>
        <v>1.9</v>
      </c>
      <c r="X187" s="18" t="s">
        <v>615</v>
      </c>
      <c r="Y187" s="25">
        <v>1</v>
      </c>
      <c r="Z187" s="25" t="s">
        <v>9</v>
      </c>
      <c r="AA187" s="18">
        <f>(VLOOKUP(X187,'[1]Simulation pricing per sub assy'!$D:$E,2,0))*Y187</f>
        <v>1.5769808000000001</v>
      </c>
    </row>
    <row r="188" spans="1:27" x14ac:dyDescent="0.35">
      <c r="A188" s="13" t="s">
        <v>977</v>
      </c>
      <c r="B188" s="13" t="s">
        <v>978</v>
      </c>
      <c r="C188" s="42">
        <f t="shared" si="2"/>
        <v>112.0457808</v>
      </c>
      <c r="D188" s="20" t="s">
        <v>42</v>
      </c>
      <c r="E188" s="20">
        <v>1</v>
      </c>
      <c r="F188" s="20" t="s">
        <v>3982</v>
      </c>
      <c r="G188" s="14">
        <f>(VLOOKUP(D188,'[1]BOM Info General'!$A:$L,12,0))*E188</f>
        <v>35.56</v>
      </c>
      <c r="H188" s="21" t="s">
        <v>39</v>
      </c>
      <c r="I188" s="21">
        <v>1</v>
      </c>
      <c r="J188" s="21" t="s">
        <v>46</v>
      </c>
      <c r="K188" s="15">
        <f>(VLOOKUP(H188,'[1]BOM Info General'!$A:$L,12,0))*I188</f>
        <v>24.42</v>
      </c>
      <c r="L188" s="22" t="s">
        <v>58</v>
      </c>
      <c r="M188" s="22">
        <v>1</v>
      </c>
      <c r="N188" s="22" t="s">
        <v>55</v>
      </c>
      <c r="O188" s="9">
        <f>(VLOOKUP(L188,'[1]Simulation pricing per sub assy'!$D:$E,2,0))*M188</f>
        <v>43.288799999999988</v>
      </c>
      <c r="P188" s="23" t="s">
        <v>51</v>
      </c>
      <c r="Q188" s="23">
        <v>2</v>
      </c>
      <c r="R188" s="23" t="s">
        <v>17</v>
      </c>
      <c r="S188" s="40">
        <f>(VLOOKUP(P188,'[1]BOM Info General'!$A:$L,12,0))*Q188</f>
        <v>5.3</v>
      </c>
      <c r="T188" s="24" t="s">
        <v>14</v>
      </c>
      <c r="U188" s="24">
        <v>1</v>
      </c>
      <c r="V188" s="24" t="s">
        <v>15</v>
      </c>
      <c r="W188" s="17">
        <f>(VLOOKUP(T188,'[1]Simulation pricing per sub assy'!$D:$E,2,0))*U188</f>
        <v>1.9</v>
      </c>
      <c r="X188" s="18" t="s">
        <v>615</v>
      </c>
      <c r="Y188" s="25">
        <v>1</v>
      </c>
      <c r="Z188" s="25" t="s">
        <v>9</v>
      </c>
      <c r="AA188" s="18">
        <f>(VLOOKUP(X188,'[1]Simulation pricing per sub assy'!$D:$E,2,0))*Y188</f>
        <v>1.5769808000000001</v>
      </c>
    </row>
    <row r="189" spans="1:27" x14ac:dyDescent="0.35">
      <c r="A189" s="13" t="s">
        <v>1013</v>
      </c>
      <c r="B189" s="13" t="s">
        <v>1014</v>
      </c>
      <c r="C189" s="42">
        <f t="shared" si="2"/>
        <v>112.6257808</v>
      </c>
      <c r="D189" s="20" t="s">
        <v>42</v>
      </c>
      <c r="E189" s="20">
        <v>1</v>
      </c>
      <c r="F189" s="20" t="s">
        <v>3982</v>
      </c>
      <c r="G189" s="14">
        <f>(VLOOKUP(D189,'[1]BOM Info General'!$A:$L,12,0))*E189</f>
        <v>35.56</v>
      </c>
      <c r="H189" s="21" t="s">
        <v>39</v>
      </c>
      <c r="I189" s="21">
        <v>1</v>
      </c>
      <c r="J189" s="21" t="s">
        <v>46</v>
      </c>
      <c r="K189" s="15">
        <f>(VLOOKUP(H189,'[1]BOM Info General'!$A:$L,12,0))*I189</f>
        <v>24.42</v>
      </c>
      <c r="L189" s="22" t="s">
        <v>54</v>
      </c>
      <c r="M189" s="22">
        <v>1</v>
      </c>
      <c r="N189" s="22" t="s">
        <v>53</v>
      </c>
      <c r="O189" s="9">
        <f>(VLOOKUP(L189,'[1]Simulation pricing per sub assy'!$D:$E,2,0))*M189</f>
        <v>43.868799999999993</v>
      </c>
      <c r="P189" s="23" t="s">
        <v>51</v>
      </c>
      <c r="Q189" s="23">
        <v>2</v>
      </c>
      <c r="R189" s="23" t="s">
        <v>17</v>
      </c>
      <c r="S189" s="40">
        <f>(VLOOKUP(P189,'[1]BOM Info General'!$A:$L,12,0))*Q189</f>
        <v>5.3</v>
      </c>
      <c r="T189" s="24" t="s">
        <v>14</v>
      </c>
      <c r="U189" s="24">
        <v>1</v>
      </c>
      <c r="V189" s="24" t="s">
        <v>15</v>
      </c>
      <c r="W189" s="17">
        <f>(VLOOKUP(T189,'[1]Simulation pricing per sub assy'!$D:$E,2,0))*U189</f>
        <v>1.9</v>
      </c>
      <c r="X189" s="18" t="s">
        <v>615</v>
      </c>
      <c r="Y189" s="25">
        <v>1</v>
      </c>
      <c r="Z189" s="25" t="s">
        <v>9</v>
      </c>
      <c r="AA189" s="18">
        <f>(VLOOKUP(X189,'[1]Simulation pricing per sub assy'!$D:$E,2,0))*Y189</f>
        <v>1.5769808000000001</v>
      </c>
    </row>
    <row r="190" spans="1:27" x14ac:dyDescent="0.35">
      <c r="A190" s="13" t="s">
        <v>995</v>
      </c>
      <c r="B190" s="13" t="s">
        <v>996</v>
      </c>
      <c r="C190" s="42">
        <f t="shared" si="2"/>
        <v>112.3657808</v>
      </c>
      <c r="D190" s="20" t="s">
        <v>42</v>
      </c>
      <c r="E190" s="20">
        <v>1</v>
      </c>
      <c r="F190" s="20" t="s">
        <v>3982</v>
      </c>
      <c r="G190" s="14">
        <f>(VLOOKUP(D190,'[1]BOM Info General'!$A:$L,12,0))*E190</f>
        <v>35.56</v>
      </c>
      <c r="H190" s="21" t="s">
        <v>39</v>
      </c>
      <c r="I190" s="21">
        <v>1</v>
      </c>
      <c r="J190" s="21" t="s">
        <v>46</v>
      </c>
      <c r="K190" s="15">
        <f>(VLOOKUP(H190,'[1]BOM Info General'!$A:$L,12,0))*I190</f>
        <v>24.42</v>
      </c>
      <c r="L190" s="22" t="s">
        <v>60</v>
      </c>
      <c r="M190" s="22">
        <v>1</v>
      </c>
      <c r="N190" s="22" t="s">
        <v>57</v>
      </c>
      <c r="O190" s="9">
        <f>(VLOOKUP(L190,'[1]Simulation pricing per sub assy'!$D:$E,2,0))*M190</f>
        <v>43.608799999999988</v>
      </c>
      <c r="P190" s="23" t="s">
        <v>51</v>
      </c>
      <c r="Q190" s="23">
        <v>2</v>
      </c>
      <c r="R190" s="23" t="s">
        <v>17</v>
      </c>
      <c r="S190" s="40">
        <f>(VLOOKUP(P190,'[1]BOM Info General'!$A:$L,12,0))*Q190</f>
        <v>5.3</v>
      </c>
      <c r="T190" s="24" t="s">
        <v>14</v>
      </c>
      <c r="U190" s="24">
        <v>1</v>
      </c>
      <c r="V190" s="24" t="s">
        <v>15</v>
      </c>
      <c r="W190" s="17">
        <f>(VLOOKUP(T190,'[1]Simulation pricing per sub assy'!$D:$E,2,0))*U190</f>
        <v>1.9</v>
      </c>
      <c r="X190" s="18" t="s">
        <v>615</v>
      </c>
      <c r="Y190" s="25">
        <v>1</v>
      </c>
      <c r="Z190" s="25" t="s">
        <v>9</v>
      </c>
      <c r="AA190" s="18">
        <f>(VLOOKUP(X190,'[1]Simulation pricing per sub assy'!$D:$E,2,0))*Y190</f>
        <v>1.5769808000000001</v>
      </c>
    </row>
    <row r="191" spans="1:27" x14ac:dyDescent="0.35">
      <c r="A191" s="13" t="s">
        <v>1031</v>
      </c>
      <c r="B191" s="13" t="s">
        <v>1032</v>
      </c>
      <c r="C191" s="42">
        <f t="shared" si="2"/>
        <v>120.0357808</v>
      </c>
      <c r="D191" s="20" t="s">
        <v>42</v>
      </c>
      <c r="E191" s="20">
        <v>1</v>
      </c>
      <c r="F191" s="20" t="s">
        <v>3982</v>
      </c>
      <c r="G191" s="14">
        <f>(VLOOKUP(D191,'[1]BOM Info General'!$A:$L,12,0))*E191</f>
        <v>35.56</v>
      </c>
      <c r="H191" s="21" t="s">
        <v>39</v>
      </c>
      <c r="I191" s="21">
        <v>1</v>
      </c>
      <c r="J191" s="21" t="s">
        <v>46</v>
      </c>
      <c r="K191" s="15">
        <f>(VLOOKUP(H191,'[1]BOM Info General'!$A:$L,12,0))*I191</f>
        <v>24.42</v>
      </c>
      <c r="L191" s="22" t="s">
        <v>56</v>
      </c>
      <c r="M191" s="22">
        <v>1</v>
      </c>
      <c r="N191" s="22" t="s">
        <v>59</v>
      </c>
      <c r="O191" s="9">
        <f>(VLOOKUP(L191,'[1]Simulation pricing per sub assy'!$D:$E,2,0))*M191</f>
        <v>51.27879999999999</v>
      </c>
      <c r="P191" s="23" t="s">
        <v>51</v>
      </c>
      <c r="Q191" s="23">
        <v>2</v>
      </c>
      <c r="R191" s="23" t="s">
        <v>17</v>
      </c>
      <c r="S191" s="40">
        <f>(VLOOKUP(P191,'[1]BOM Info General'!$A:$L,12,0))*Q191</f>
        <v>5.3</v>
      </c>
      <c r="T191" s="24" t="s">
        <v>14</v>
      </c>
      <c r="U191" s="24">
        <v>1</v>
      </c>
      <c r="V191" s="24" t="s">
        <v>15</v>
      </c>
      <c r="W191" s="17">
        <f>(VLOOKUP(T191,'[1]Simulation pricing per sub assy'!$D:$E,2,0))*U191</f>
        <v>1.9</v>
      </c>
      <c r="X191" s="18" t="s">
        <v>615</v>
      </c>
      <c r="Y191" s="25">
        <v>1</v>
      </c>
      <c r="Z191" s="25" t="s">
        <v>9</v>
      </c>
      <c r="AA191" s="18">
        <f>(VLOOKUP(X191,'[1]Simulation pricing per sub assy'!$D:$E,2,0))*Y191</f>
        <v>1.5769808000000001</v>
      </c>
    </row>
    <row r="192" spans="1:27" x14ac:dyDescent="0.35">
      <c r="A192" s="13" t="s">
        <v>1051</v>
      </c>
      <c r="B192" s="13" t="s">
        <v>1052</v>
      </c>
      <c r="C192" s="42">
        <f t="shared" si="2"/>
        <v>111.21578079999999</v>
      </c>
      <c r="D192" s="20" t="s">
        <v>42</v>
      </c>
      <c r="E192" s="20">
        <v>1</v>
      </c>
      <c r="F192" s="20" t="s">
        <v>3982</v>
      </c>
      <c r="G192" s="14">
        <f>(VLOOKUP(D192,'[1]BOM Info General'!$A:$L,12,0))*E192</f>
        <v>35.56</v>
      </c>
      <c r="H192" s="21" t="s">
        <v>39</v>
      </c>
      <c r="I192" s="21">
        <v>1</v>
      </c>
      <c r="J192" s="21" t="s">
        <v>46</v>
      </c>
      <c r="K192" s="15">
        <f>(VLOOKUP(H192,'[1]BOM Info General'!$A:$L,12,0))*I192</f>
        <v>24.42</v>
      </c>
      <c r="L192" s="22" t="s">
        <v>523</v>
      </c>
      <c r="M192" s="22">
        <v>1</v>
      </c>
      <c r="N192" s="22" t="s">
        <v>61</v>
      </c>
      <c r="O192" s="9">
        <f>(VLOOKUP(L192,'[1]Simulation pricing per sub assy'!$D:$E,2,0))*M192</f>
        <v>42.308799999999991</v>
      </c>
      <c r="P192" s="23" t="s">
        <v>52</v>
      </c>
      <c r="Q192" s="23">
        <v>2</v>
      </c>
      <c r="R192" s="23" t="s">
        <v>18</v>
      </c>
      <c r="S192" s="40">
        <f>(VLOOKUP(P192,'[1]BOM Info General'!$A:$L,12,0))*Q192</f>
        <v>5.3</v>
      </c>
      <c r="T192" s="24" t="s">
        <v>10</v>
      </c>
      <c r="U192" s="24">
        <v>1</v>
      </c>
      <c r="V192" s="24" t="s">
        <v>11</v>
      </c>
      <c r="W192" s="17">
        <f>(VLOOKUP(T192,'[1]Simulation pricing per sub assy'!$D:$E,2,0))*U192</f>
        <v>2.0499999999999998</v>
      </c>
      <c r="X192" s="18" t="s">
        <v>615</v>
      </c>
      <c r="Y192" s="25">
        <v>1</v>
      </c>
      <c r="Z192" s="25" t="s">
        <v>9</v>
      </c>
      <c r="AA192" s="18">
        <f>(VLOOKUP(X192,'[1]Simulation pricing per sub assy'!$D:$E,2,0))*Y192</f>
        <v>1.5769808000000001</v>
      </c>
    </row>
    <row r="193" spans="1:27" x14ac:dyDescent="0.35">
      <c r="A193" s="13" t="s">
        <v>979</v>
      </c>
      <c r="B193" s="13" t="s">
        <v>980</v>
      </c>
      <c r="C193" s="42">
        <f t="shared" si="2"/>
        <v>112.19578079999999</v>
      </c>
      <c r="D193" s="20" t="s">
        <v>42</v>
      </c>
      <c r="E193" s="20">
        <v>1</v>
      </c>
      <c r="F193" s="20" t="s">
        <v>3982</v>
      </c>
      <c r="G193" s="14">
        <f>(VLOOKUP(D193,'[1]BOM Info General'!$A:$L,12,0))*E193</f>
        <v>35.56</v>
      </c>
      <c r="H193" s="21" t="s">
        <v>39</v>
      </c>
      <c r="I193" s="21">
        <v>1</v>
      </c>
      <c r="J193" s="21" t="s">
        <v>46</v>
      </c>
      <c r="K193" s="15">
        <f>(VLOOKUP(H193,'[1]BOM Info General'!$A:$L,12,0))*I193</f>
        <v>24.42</v>
      </c>
      <c r="L193" s="22" t="s">
        <v>58</v>
      </c>
      <c r="M193" s="22">
        <v>1</v>
      </c>
      <c r="N193" s="22" t="s">
        <v>55</v>
      </c>
      <c r="O193" s="9">
        <f>(VLOOKUP(L193,'[1]Simulation pricing per sub assy'!$D:$E,2,0))*M193</f>
        <v>43.288799999999988</v>
      </c>
      <c r="P193" s="23" t="s">
        <v>52</v>
      </c>
      <c r="Q193" s="23">
        <v>2</v>
      </c>
      <c r="R193" s="23" t="s">
        <v>18</v>
      </c>
      <c r="S193" s="40">
        <f>(VLOOKUP(P193,'[1]BOM Info General'!$A:$L,12,0))*Q193</f>
        <v>5.3</v>
      </c>
      <c r="T193" s="24" t="s">
        <v>10</v>
      </c>
      <c r="U193" s="24">
        <v>1</v>
      </c>
      <c r="V193" s="24" t="s">
        <v>11</v>
      </c>
      <c r="W193" s="17">
        <f>(VLOOKUP(T193,'[1]Simulation pricing per sub assy'!$D:$E,2,0))*U193</f>
        <v>2.0499999999999998</v>
      </c>
      <c r="X193" s="18" t="s">
        <v>615</v>
      </c>
      <c r="Y193" s="25">
        <v>1</v>
      </c>
      <c r="Z193" s="25" t="s">
        <v>9</v>
      </c>
      <c r="AA193" s="18">
        <f>(VLOOKUP(X193,'[1]Simulation pricing per sub assy'!$D:$E,2,0))*Y193</f>
        <v>1.5769808000000001</v>
      </c>
    </row>
    <row r="194" spans="1:27" x14ac:dyDescent="0.35">
      <c r="A194" s="13" t="s">
        <v>1015</v>
      </c>
      <c r="B194" s="13" t="s">
        <v>1016</v>
      </c>
      <c r="C194" s="42">
        <f t="shared" si="2"/>
        <v>112.77578079999999</v>
      </c>
      <c r="D194" s="20" t="s">
        <v>42</v>
      </c>
      <c r="E194" s="20">
        <v>1</v>
      </c>
      <c r="F194" s="20" t="s">
        <v>3982</v>
      </c>
      <c r="G194" s="14">
        <f>(VLOOKUP(D194,'[1]BOM Info General'!$A:$L,12,0))*E194</f>
        <v>35.56</v>
      </c>
      <c r="H194" s="21" t="s">
        <v>39</v>
      </c>
      <c r="I194" s="21">
        <v>1</v>
      </c>
      <c r="J194" s="21" t="s">
        <v>46</v>
      </c>
      <c r="K194" s="15">
        <f>(VLOOKUP(H194,'[1]BOM Info General'!$A:$L,12,0))*I194</f>
        <v>24.42</v>
      </c>
      <c r="L194" s="22" t="s">
        <v>54</v>
      </c>
      <c r="M194" s="22">
        <v>1</v>
      </c>
      <c r="N194" s="22" t="s">
        <v>53</v>
      </c>
      <c r="O194" s="9">
        <f>(VLOOKUP(L194,'[1]Simulation pricing per sub assy'!$D:$E,2,0))*M194</f>
        <v>43.868799999999993</v>
      </c>
      <c r="P194" s="23" t="s">
        <v>52</v>
      </c>
      <c r="Q194" s="23">
        <v>2</v>
      </c>
      <c r="R194" s="23" t="s">
        <v>18</v>
      </c>
      <c r="S194" s="40">
        <f>(VLOOKUP(P194,'[1]BOM Info General'!$A:$L,12,0))*Q194</f>
        <v>5.3</v>
      </c>
      <c r="T194" s="24" t="s">
        <v>10</v>
      </c>
      <c r="U194" s="24">
        <v>1</v>
      </c>
      <c r="V194" s="24" t="s">
        <v>11</v>
      </c>
      <c r="W194" s="17">
        <f>(VLOOKUP(T194,'[1]Simulation pricing per sub assy'!$D:$E,2,0))*U194</f>
        <v>2.0499999999999998</v>
      </c>
      <c r="X194" s="18" t="s">
        <v>615</v>
      </c>
      <c r="Y194" s="25">
        <v>1</v>
      </c>
      <c r="Z194" s="25" t="s">
        <v>9</v>
      </c>
      <c r="AA194" s="18">
        <f>(VLOOKUP(X194,'[1]Simulation pricing per sub assy'!$D:$E,2,0))*Y194</f>
        <v>1.5769808000000001</v>
      </c>
    </row>
    <row r="195" spans="1:27" x14ac:dyDescent="0.35">
      <c r="A195" s="13" t="s">
        <v>997</v>
      </c>
      <c r="B195" s="13" t="s">
        <v>998</v>
      </c>
      <c r="C195" s="42">
        <f t="shared" ref="C195:C258" si="3">SUM(G195+K195+O195+S195+W195+AA195)</f>
        <v>112.51578079999999</v>
      </c>
      <c r="D195" s="20" t="s">
        <v>42</v>
      </c>
      <c r="E195" s="20">
        <v>1</v>
      </c>
      <c r="F195" s="20" t="s">
        <v>3982</v>
      </c>
      <c r="G195" s="14">
        <f>(VLOOKUP(D195,'[1]BOM Info General'!$A:$L,12,0))*E195</f>
        <v>35.56</v>
      </c>
      <c r="H195" s="21" t="s">
        <v>39</v>
      </c>
      <c r="I195" s="21">
        <v>1</v>
      </c>
      <c r="J195" s="21" t="s">
        <v>46</v>
      </c>
      <c r="K195" s="15">
        <f>(VLOOKUP(H195,'[1]BOM Info General'!$A:$L,12,0))*I195</f>
        <v>24.42</v>
      </c>
      <c r="L195" s="22" t="s">
        <v>60</v>
      </c>
      <c r="M195" s="22">
        <v>1</v>
      </c>
      <c r="N195" s="22" t="s">
        <v>57</v>
      </c>
      <c r="O195" s="9">
        <f>(VLOOKUP(L195,'[1]Simulation pricing per sub assy'!$D:$E,2,0))*M195</f>
        <v>43.608799999999988</v>
      </c>
      <c r="P195" s="23" t="s">
        <v>52</v>
      </c>
      <c r="Q195" s="23">
        <v>2</v>
      </c>
      <c r="R195" s="23" t="s">
        <v>18</v>
      </c>
      <c r="S195" s="40">
        <f>(VLOOKUP(P195,'[1]BOM Info General'!$A:$L,12,0))*Q195</f>
        <v>5.3</v>
      </c>
      <c r="T195" s="24" t="s">
        <v>10</v>
      </c>
      <c r="U195" s="24">
        <v>1</v>
      </c>
      <c r="V195" s="24" t="s">
        <v>11</v>
      </c>
      <c r="W195" s="17">
        <f>(VLOOKUP(T195,'[1]Simulation pricing per sub assy'!$D:$E,2,0))*U195</f>
        <v>2.0499999999999998</v>
      </c>
      <c r="X195" s="18" t="s">
        <v>615</v>
      </c>
      <c r="Y195" s="25">
        <v>1</v>
      </c>
      <c r="Z195" s="25" t="s">
        <v>9</v>
      </c>
      <c r="AA195" s="18">
        <f>(VLOOKUP(X195,'[1]Simulation pricing per sub assy'!$D:$E,2,0))*Y195</f>
        <v>1.5769808000000001</v>
      </c>
    </row>
    <row r="196" spans="1:27" x14ac:dyDescent="0.35">
      <c r="A196" s="13" t="s">
        <v>1033</v>
      </c>
      <c r="B196" s="13" t="s">
        <v>1034</v>
      </c>
      <c r="C196" s="42">
        <f t="shared" si="3"/>
        <v>120.18578079999999</v>
      </c>
      <c r="D196" s="20" t="s">
        <v>42</v>
      </c>
      <c r="E196" s="20">
        <v>1</v>
      </c>
      <c r="F196" s="20" t="s">
        <v>3982</v>
      </c>
      <c r="G196" s="14">
        <f>(VLOOKUP(D196,'[1]BOM Info General'!$A:$L,12,0))*E196</f>
        <v>35.56</v>
      </c>
      <c r="H196" s="21" t="s">
        <v>39</v>
      </c>
      <c r="I196" s="21">
        <v>1</v>
      </c>
      <c r="J196" s="21" t="s">
        <v>46</v>
      </c>
      <c r="K196" s="15">
        <f>(VLOOKUP(H196,'[1]BOM Info General'!$A:$L,12,0))*I196</f>
        <v>24.42</v>
      </c>
      <c r="L196" s="22" t="s">
        <v>56</v>
      </c>
      <c r="M196" s="22">
        <v>1</v>
      </c>
      <c r="N196" s="22" t="s">
        <v>59</v>
      </c>
      <c r="O196" s="9">
        <f>(VLOOKUP(L196,'[1]Simulation pricing per sub assy'!$D:$E,2,0))*M196</f>
        <v>51.27879999999999</v>
      </c>
      <c r="P196" s="23" t="s">
        <v>52</v>
      </c>
      <c r="Q196" s="23">
        <v>2</v>
      </c>
      <c r="R196" s="23" t="s">
        <v>18</v>
      </c>
      <c r="S196" s="40">
        <f>(VLOOKUP(P196,'[1]BOM Info General'!$A:$L,12,0))*Q196</f>
        <v>5.3</v>
      </c>
      <c r="T196" s="24" t="s">
        <v>10</v>
      </c>
      <c r="U196" s="24">
        <v>1</v>
      </c>
      <c r="V196" s="24" t="s">
        <v>11</v>
      </c>
      <c r="W196" s="17">
        <f>(VLOOKUP(T196,'[1]Simulation pricing per sub assy'!$D:$E,2,0))*U196</f>
        <v>2.0499999999999998</v>
      </c>
      <c r="X196" s="18" t="s">
        <v>615</v>
      </c>
      <c r="Y196" s="25">
        <v>1</v>
      </c>
      <c r="Z196" s="25" t="s">
        <v>9</v>
      </c>
      <c r="AA196" s="18">
        <f>(VLOOKUP(X196,'[1]Simulation pricing per sub assy'!$D:$E,2,0))*Y196</f>
        <v>1.5769808000000001</v>
      </c>
    </row>
    <row r="197" spans="1:27" x14ac:dyDescent="0.35">
      <c r="A197" s="13" t="s">
        <v>1053</v>
      </c>
      <c r="B197" s="13" t="s">
        <v>1054</v>
      </c>
      <c r="C197" s="42">
        <f t="shared" si="3"/>
        <v>111.0657808</v>
      </c>
      <c r="D197" s="20" t="s">
        <v>42</v>
      </c>
      <c r="E197" s="20">
        <v>1</v>
      </c>
      <c r="F197" s="20" t="s">
        <v>3982</v>
      </c>
      <c r="G197" s="14">
        <f>(VLOOKUP(D197,'[1]BOM Info General'!$A:$L,12,0))*E197</f>
        <v>35.56</v>
      </c>
      <c r="H197" s="21" t="s">
        <v>39</v>
      </c>
      <c r="I197" s="21">
        <v>1</v>
      </c>
      <c r="J197" s="21" t="s">
        <v>46</v>
      </c>
      <c r="K197" s="15">
        <f>(VLOOKUP(H197,'[1]BOM Info General'!$A:$L,12,0))*I197</f>
        <v>24.42</v>
      </c>
      <c r="L197" s="22" t="s">
        <v>523</v>
      </c>
      <c r="M197" s="22">
        <v>1</v>
      </c>
      <c r="N197" s="22" t="s">
        <v>61</v>
      </c>
      <c r="O197" s="9">
        <f>(VLOOKUP(L197,'[1]Simulation pricing per sub assy'!$D:$E,2,0))*M197</f>
        <v>42.308799999999991</v>
      </c>
      <c r="P197" s="23" t="s">
        <v>52</v>
      </c>
      <c r="Q197" s="23">
        <v>2</v>
      </c>
      <c r="R197" s="23" t="s">
        <v>18</v>
      </c>
      <c r="S197" s="40">
        <f>(VLOOKUP(P197,'[1]BOM Info General'!$A:$L,12,0))*Q197</f>
        <v>5.3</v>
      </c>
      <c r="T197" s="24" t="s">
        <v>12</v>
      </c>
      <c r="U197" s="24">
        <v>1</v>
      </c>
      <c r="V197" s="24" t="s">
        <v>13</v>
      </c>
      <c r="W197" s="17">
        <f>(VLOOKUP(T197,'[1]Simulation pricing per sub assy'!$D:$E,2,0))*U197</f>
        <v>1.9</v>
      </c>
      <c r="X197" s="18" t="s">
        <v>615</v>
      </c>
      <c r="Y197" s="25">
        <v>1</v>
      </c>
      <c r="Z197" s="25" t="s">
        <v>9</v>
      </c>
      <c r="AA197" s="18">
        <f>(VLOOKUP(X197,'[1]Simulation pricing per sub assy'!$D:$E,2,0))*Y197</f>
        <v>1.5769808000000001</v>
      </c>
    </row>
    <row r="198" spans="1:27" x14ac:dyDescent="0.35">
      <c r="A198" s="13" t="s">
        <v>981</v>
      </c>
      <c r="B198" s="13" t="s">
        <v>982</v>
      </c>
      <c r="C198" s="42">
        <f t="shared" si="3"/>
        <v>112.0457808</v>
      </c>
      <c r="D198" s="20" t="s">
        <v>42</v>
      </c>
      <c r="E198" s="20">
        <v>1</v>
      </c>
      <c r="F198" s="20" t="s">
        <v>3982</v>
      </c>
      <c r="G198" s="14">
        <f>(VLOOKUP(D198,'[1]BOM Info General'!$A:$L,12,0))*E198</f>
        <v>35.56</v>
      </c>
      <c r="H198" s="21" t="s">
        <v>39</v>
      </c>
      <c r="I198" s="21">
        <v>1</v>
      </c>
      <c r="J198" s="21" t="s">
        <v>46</v>
      </c>
      <c r="K198" s="15">
        <f>(VLOOKUP(H198,'[1]BOM Info General'!$A:$L,12,0))*I198</f>
        <v>24.42</v>
      </c>
      <c r="L198" s="22" t="s">
        <v>58</v>
      </c>
      <c r="M198" s="22">
        <v>1</v>
      </c>
      <c r="N198" s="22" t="s">
        <v>55</v>
      </c>
      <c r="O198" s="9">
        <f>(VLOOKUP(L198,'[1]Simulation pricing per sub assy'!$D:$E,2,0))*M198</f>
        <v>43.288799999999988</v>
      </c>
      <c r="P198" s="23" t="s">
        <v>52</v>
      </c>
      <c r="Q198" s="23">
        <v>2</v>
      </c>
      <c r="R198" s="23" t="s">
        <v>18</v>
      </c>
      <c r="S198" s="40">
        <f>(VLOOKUP(P198,'[1]BOM Info General'!$A:$L,12,0))*Q198</f>
        <v>5.3</v>
      </c>
      <c r="T198" s="24" t="s">
        <v>12</v>
      </c>
      <c r="U198" s="24">
        <v>1</v>
      </c>
      <c r="V198" s="24" t="s">
        <v>13</v>
      </c>
      <c r="W198" s="17">
        <f>(VLOOKUP(T198,'[1]Simulation pricing per sub assy'!$D:$E,2,0))*U198</f>
        <v>1.9</v>
      </c>
      <c r="X198" s="18" t="s">
        <v>615</v>
      </c>
      <c r="Y198" s="25">
        <v>1</v>
      </c>
      <c r="Z198" s="25" t="s">
        <v>9</v>
      </c>
      <c r="AA198" s="18">
        <f>(VLOOKUP(X198,'[1]Simulation pricing per sub assy'!$D:$E,2,0))*Y198</f>
        <v>1.5769808000000001</v>
      </c>
    </row>
    <row r="199" spans="1:27" x14ac:dyDescent="0.35">
      <c r="A199" s="13" t="s">
        <v>1017</v>
      </c>
      <c r="B199" s="13" t="s">
        <v>1018</v>
      </c>
      <c r="C199" s="42">
        <f t="shared" si="3"/>
        <v>112.6257808</v>
      </c>
      <c r="D199" s="20" t="s">
        <v>42</v>
      </c>
      <c r="E199" s="20">
        <v>1</v>
      </c>
      <c r="F199" s="20" t="s">
        <v>3982</v>
      </c>
      <c r="G199" s="14">
        <f>(VLOOKUP(D199,'[1]BOM Info General'!$A:$L,12,0))*E199</f>
        <v>35.56</v>
      </c>
      <c r="H199" s="21" t="s">
        <v>39</v>
      </c>
      <c r="I199" s="21">
        <v>1</v>
      </c>
      <c r="J199" s="21" t="s">
        <v>46</v>
      </c>
      <c r="K199" s="15">
        <f>(VLOOKUP(H199,'[1]BOM Info General'!$A:$L,12,0))*I199</f>
        <v>24.42</v>
      </c>
      <c r="L199" s="22" t="s">
        <v>54</v>
      </c>
      <c r="M199" s="22">
        <v>1</v>
      </c>
      <c r="N199" s="22" t="s">
        <v>53</v>
      </c>
      <c r="O199" s="9">
        <f>(VLOOKUP(L199,'[1]Simulation pricing per sub assy'!$D:$E,2,0))*M199</f>
        <v>43.868799999999993</v>
      </c>
      <c r="P199" s="23" t="s">
        <v>52</v>
      </c>
      <c r="Q199" s="23">
        <v>2</v>
      </c>
      <c r="R199" s="23" t="s">
        <v>18</v>
      </c>
      <c r="S199" s="40">
        <f>(VLOOKUP(P199,'[1]BOM Info General'!$A:$L,12,0))*Q199</f>
        <v>5.3</v>
      </c>
      <c r="T199" s="24" t="s">
        <v>12</v>
      </c>
      <c r="U199" s="24">
        <v>1</v>
      </c>
      <c r="V199" s="24" t="s">
        <v>13</v>
      </c>
      <c r="W199" s="17">
        <f>(VLOOKUP(T199,'[1]Simulation pricing per sub assy'!$D:$E,2,0))*U199</f>
        <v>1.9</v>
      </c>
      <c r="X199" s="18" t="s">
        <v>615</v>
      </c>
      <c r="Y199" s="25">
        <v>1</v>
      </c>
      <c r="Z199" s="25" t="s">
        <v>9</v>
      </c>
      <c r="AA199" s="18">
        <f>(VLOOKUP(X199,'[1]Simulation pricing per sub assy'!$D:$E,2,0))*Y199</f>
        <v>1.5769808000000001</v>
      </c>
    </row>
    <row r="200" spans="1:27" x14ac:dyDescent="0.35">
      <c r="A200" s="13" t="s">
        <v>999</v>
      </c>
      <c r="B200" s="13" t="s">
        <v>1000</v>
      </c>
      <c r="C200" s="42">
        <f t="shared" si="3"/>
        <v>112.3657808</v>
      </c>
      <c r="D200" s="20" t="s">
        <v>42</v>
      </c>
      <c r="E200" s="20">
        <v>1</v>
      </c>
      <c r="F200" s="20" t="s">
        <v>3982</v>
      </c>
      <c r="G200" s="14">
        <f>(VLOOKUP(D200,'[1]BOM Info General'!$A:$L,12,0))*E200</f>
        <v>35.56</v>
      </c>
      <c r="H200" s="21" t="s">
        <v>39</v>
      </c>
      <c r="I200" s="21">
        <v>1</v>
      </c>
      <c r="J200" s="21" t="s">
        <v>46</v>
      </c>
      <c r="K200" s="15">
        <f>(VLOOKUP(H200,'[1]BOM Info General'!$A:$L,12,0))*I200</f>
        <v>24.42</v>
      </c>
      <c r="L200" s="22" t="s">
        <v>60</v>
      </c>
      <c r="M200" s="22">
        <v>1</v>
      </c>
      <c r="N200" s="22" t="s">
        <v>57</v>
      </c>
      <c r="O200" s="9">
        <f>(VLOOKUP(L200,'[1]Simulation pricing per sub assy'!$D:$E,2,0))*M200</f>
        <v>43.608799999999988</v>
      </c>
      <c r="P200" s="23" t="s">
        <v>52</v>
      </c>
      <c r="Q200" s="23">
        <v>2</v>
      </c>
      <c r="R200" s="23" t="s">
        <v>18</v>
      </c>
      <c r="S200" s="40">
        <f>(VLOOKUP(P200,'[1]BOM Info General'!$A:$L,12,0))*Q200</f>
        <v>5.3</v>
      </c>
      <c r="T200" s="24" t="s">
        <v>12</v>
      </c>
      <c r="U200" s="24">
        <v>1</v>
      </c>
      <c r="V200" s="24" t="s">
        <v>13</v>
      </c>
      <c r="W200" s="17">
        <f>(VLOOKUP(T200,'[1]Simulation pricing per sub assy'!$D:$E,2,0))*U200</f>
        <v>1.9</v>
      </c>
      <c r="X200" s="18" t="s">
        <v>615</v>
      </c>
      <c r="Y200" s="25">
        <v>1</v>
      </c>
      <c r="Z200" s="25" t="s">
        <v>9</v>
      </c>
      <c r="AA200" s="18">
        <f>(VLOOKUP(X200,'[1]Simulation pricing per sub assy'!$D:$E,2,0))*Y200</f>
        <v>1.5769808000000001</v>
      </c>
    </row>
    <row r="201" spans="1:27" x14ac:dyDescent="0.35">
      <c r="A201" s="13" t="s">
        <v>1035</v>
      </c>
      <c r="B201" s="13" t="s">
        <v>1036</v>
      </c>
      <c r="C201" s="42">
        <f t="shared" si="3"/>
        <v>120.0357808</v>
      </c>
      <c r="D201" s="20" t="s">
        <v>42</v>
      </c>
      <c r="E201" s="20">
        <v>1</v>
      </c>
      <c r="F201" s="20" t="s">
        <v>3982</v>
      </c>
      <c r="G201" s="14">
        <f>(VLOOKUP(D201,'[1]BOM Info General'!$A:$L,12,0))*E201</f>
        <v>35.56</v>
      </c>
      <c r="H201" s="21" t="s">
        <v>39</v>
      </c>
      <c r="I201" s="21">
        <v>1</v>
      </c>
      <c r="J201" s="21" t="s">
        <v>46</v>
      </c>
      <c r="K201" s="15">
        <f>(VLOOKUP(H201,'[1]BOM Info General'!$A:$L,12,0))*I201</f>
        <v>24.42</v>
      </c>
      <c r="L201" s="22" t="s">
        <v>56</v>
      </c>
      <c r="M201" s="22">
        <v>1</v>
      </c>
      <c r="N201" s="22" t="s">
        <v>59</v>
      </c>
      <c r="O201" s="9">
        <f>(VLOOKUP(L201,'[1]Simulation pricing per sub assy'!$D:$E,2,0))*M201</f>
        <v>51.27879999999999</v>
      </c>
      <c r="P201" s="23" t="s">
        <v>52</v>
      </c>
      <c r="Q201" s="23">
        <v>2</v>
      </c>
      <c r="R201" s="23" t="s">
        <v>18</v>
      </c>
      <c r="S201" s="40">
        <f>(VLOOKUP(P201,'[1]BOM Info General'!$A:$L,12,0))*Q201</f>
        <v>5.3</v>
      </c>
      <c r="T201" s="24" t="s">
        <v>12</v>
      </c>
      <c r="U201" s="24">
        <v>1</v>
      </c>
      <c r="V201" s="24" t="s">
        <v>13</v>
      </c>
      <c r="W201" s="17">
        <f>(VLOOKUP(T201,'[1]Simulation pricing per sub assy'!$D:$E,2,0))*U201</f>
        <v>1.9</v>
      </c>
      <c r="X201" s="18" t="s">
        <v>615</v>
      </c>
      <c r="Y201" s="25">
        <v>1</v>
      </c>
      <c r="Z201" s="25" t="s">
        <v>9</v>
      </c>
      <c r="AA201" s="18">
        <f>(VLOOKUP(X201,'[1]Simulation pricing per sub assy'!$D:$E,2,0))*Y201</f>
        <v>1.5769808000000001</v>
      </c>
    </row>
    <row r="202" spans="1:27" x14ac:dyDescent="0.35">
      <c r="A202" s="13" t="s">
        <v>1055</v>
      </c>
      <c r="B202" s="13" t="s">
        <v>1056</v>
      </c>
      <c r="C202" s="42">
        <f t="shared" si="3"/>
        <v>111.0657808</v>
      </c>
      <c r="D202" s="20" t="s">
        <v>42</v>
      </c>
      <c r="E202" s="20">
        <v>1</v>
      </c>
      <c r="F202" s="20" t="s">
        <v>3982</v>
      </c>
      <c r="G202" s="14">
        <f>(VLOOKUP(D202,'[1]BOM Info General'!$A:$L,12,0))*E202</f>
        <v>35.56</v>
      </c>
      <c r="H202" s="21" t="s">
        <v>39</v>
      </c>
      <c r="I202" s="21">
        <v>1</v>
      </c>
      <c r="J202" s="21" t="s">
        <v>46</v>
      </c>
      <c r="K202" s="15">
        <f>(VLOOKUP(H202,'[1]BOM Info General'!$A:$L,12,0))*I202</f>
        <v>24.42</v>
      </c>
      <c r="L202" s="22" t="s">
        <v>523</v>
      </c>
      <c r="M202" s="22">
        <v>1</v>
      </c>
      <c r="N202" s="22" t="s">
        <v>61</v>
      </c>
      <c r="O202" s="9">
        <f>(VLOOKUP(L202,'[1]Simulation pricing per sub assy'!$D:$E,2,0))*M202</f>
        <v>42.308799999999991</v>
      </c>
      <c r="P202" s="23" t="s">
        <v>52</v>
      </c>
      <c r="Q202" s="23">
        <v>2</v>
      </c>
      <c r="R202" s="23" t="s">
        <v>18</v>
      </c>
      <c r="S202" s="40">
        <f>(VLOOKUP(P202,'[1]BOM Info General'!$A:$L,12,0))*Q202</f>
        <v>5.3</v>
      </c>
      <c r="T202" s="24" t="s">
        <v>14</v>
      </c>
      <c r="U202" s="24">
        <v>1</v>
      </c>
      <c r="V202" s="24" t="s">
        <v>15</v>
      </c>
      <c r="W202" s="17">
        <f>(VLOOKUP(T202,'[1]Simulation pricing per sub assy'!$D:$E,2,0))*U202</f>
        <v>1.9</v>
      </c>
      <c r="X202" s="18" t="s">
        <v>615</v>
      </c>
      <c r="Y202" s="25">
        <v>1</v>
      </c>
      <c r="Z202" s="25" t="s">
        <v>9</v>
      </c>
      <c r="AA202" s="18">
        <f>(VLOOKUP(X202,'[1]Simulation pricing per sub assy'!$D:$E,2,0))*Y202</f>
        <v>1.5769808000000001</v>
      </c>
    </row>
    <row r="203" spans="1:27" x14ac:dyDescent="0.35">
      <c r="A203" s="13" t="s">
        <v>983</v>
      </c>
      <c r="B203" s="13" t="s">
        <v>984</v>
      </c>
      <c r="C203" s="42">
        <f t="shared" si="3"/>
        <v>112.0457808</v>
      </c>
      <c r="D203" s="20" t="s">
        <v>42</v>
      </c>
      <c r="E203" s="20">
        <v>1</v>
      </c>
      <c r="F203" s="20" t="s">
        <v>3982</v>
      </c>
      <c r="G203" s="14">
        <f>(VLOOKUP(D203,'[1]BOM Info General'!$A:$L,12,0))*E203</f>
        <v>35.56</v>
      </c>
      <c r="H203" s="21" t="s">
        <v>39</v>
      </c>
      <c r="I203" s="21">
        <v>1</v>
      </c>
      <c r="J203" s="21" t="s">
        <v>46</v>
      </c>
      <c r="K203" s="15">
        <f>(VLOOKUP(H203,'[1]BOM Info General'!$A:$L,12,0))*I203</f>
        <v>24.42</v>
      </c>
      <c r="L203" s="22" t="s">
        <v>58</v>
      </c>
      <c r="M203" s="22">
        <v>1</v>
      </c>
      <c r="N203" s="22" t="s">
        <v>55</v>
      </c>
      <c r="O203" s="9">
        <f>(VLOOKUP(L203,'[1]Simulation pricing per sub assy'!$D:$E,2,0))*M203</f>
        <v>43.288799999999988</v>
      </c>
      <c r="P203" s="23" t="s">
        <v>52</v>
      </c>
      <c r="Q203" s="23">
        <v>2</v>
      </c>
      <c r="R203" s="23" t="s">
        <v>18</v>
      </c>
      <c r="S203" s="40">
        <f>(VLOOKUP(P203,'[1]BOM Info General'!$A:$L,12,0))*Q203</f>
        <v>5.3</v>
      </c>
      <c r="T203" s="24" t="s">
        <v>14</v>
      </c>
      <c r="U203" s="24">
        <v>1</v>
      </c>
      <c r="V203" s="24" t="s">
        <v>15</v>
      </c>
      <c r="W203" s="17">
        <f>(VLOOKUP(T203,'[1]Simulation pricing per sub assy'!$D:$E,2,0))*U203</f>
        <v>1.9</v>
      </c>
      <c r="X203" s="18" t="s">
        <v>615</v>
      </c>
      <c r="Y203" s="25">
        <v>1</v>
      </c>
      <c r="Z203" s="25" t="s">
        <v>9</v>
      </c>
      <c r="AA203" s="18">
        <f>(VLOOKUP(X203,'[1]Simulation pricing per sub assy'!$D:$E,2,0))*Y203</f>
        <v>1.5769808000000001</v>
      </c>
    </row>
    <row r="204" spans="1:27" x14ac:dyDescent="0.35">
      <c r="A204" s="13" t="s">
        <v>1019</v>
      </c>
      <c r="B204" s="13" t="s">
        <v>1020</v>
      </c>
      <c r="C204" s="42">
        <f t="shared" si="3"/>
        <v>112.6257808</v>
      </c>
      <c r="D204" s="20" t="s">
        <v>42</v>
      </c>
      <c r="E204" s="20">
        <v>1</v>
      </c>
      <c r="F204" s="20" t="s">
        <v>3982</v>
      </c>
      <c r="G204" s="14">
        <f>(VLOOKUP(D204,'[1]BOM Info General'!$A:$L,12,0))*E204</f>
        <v>35.56</v>
      </c>
      <c r="H204" s="21" t="s">
        <v>39</v>
      </c>
      <c r="I204" s="21">
        <v>1</v>
      </c>
      <c r="J204" s="21" t="s">
        <v>46</v>
      </c>
      <c r="K204" s="15">
        <f>(VLOOKUP(H204,'[1]BOM Info General'!$A:$L,12,0))*I204</f>
        <v>24.42</v>
      </c>
      <c r="L204" s="22" t="s">
        <v>54</v>
      </c>
      <c r="M204" s="22">
        <v>1</v>
      </c>
      <c r="N204" s="22" t="s">
        <v>53</v>
      </c>
      <c r="O204" s="9">
        <f>(VLOOKUP(L204,'[1]Simulation pricing per sub assy'!$D:$E,2,0))*M204</f>
        <v>43.868799999999993</v>
      </c>
      <c r="P204" s="23" t="s">
        <v>52</v>
      </c>
      <c r="Q204" s="23">
        <v>2</v>
      </c>
      <c r="R204" s="23" t="s">
        <v>18</v>
      </c>
      <c r="S204" s="40">
        <f>(VLOOKUP(P204,'[1]BOM Info General'!$A:$L,12,0))*Q204</f>
        <v>5.3</v>
      </c>
      <c r="T204" s="24" t="s">
        <v>14</v>
      </c>
      <c r="U204" s="24">
        <v>1</v>
      </c>
      <c r="V204" s="24" t="s">
        <v>15</v>
      </c>
      <c r="W204" s="17">
        <f>(VLOOKUP(T204,'[1]Simulation pricing per sub assy'!$D:$E,2,0))*U204</f>
        <v>1.9</v>
      </c>
      <c r="X204" s="18" t="s">
        <v>615</v>
      </c>
      <c r="Y204" s="25">
        <v>1</v>
      </c>
      <c r="Z204" s="25" t="s">
        <v>9</v>
      </c>
      <c r="AA204" s="18">
        <f>(VLOOKUP(X204,'[1]Simulation pricing per sub assy'!$D:$E,2,0))*Y204</f>
        <v>1.5769808000000001</v>
      </c>
    </row>
    <row r="205" spans="1:27" x14ac:dyDescent="0.35">
      <c r="A205" s="13" t="s">
        <v>1001</v>
      </c>
      <c r="B205" s="13" t="s">
        <v>1002</v>
      </c>
      <c r="C205" s="42">
        <f t="shared" si="3"/>
        <v>112.3657808</v>
      </c>
      <c r="D205" s="20" t="s">
        <v>42</v>
      </c>
      <c r="E205" s="20">
        <v>1</v>
      </c>
      <c r="F205" s="20" t="s">
        <v>3982</v>
      </c>
      <c r="G205" s="14">
        <f>(VLOOKUP(D205,'[1]BOM Info General'!$A:$L,12,0))*E205</f>
        <v>35.56</v>
      </c>
      <c r="H205" s="21" t="s">
        <v>39</v>
      </c>
      <c r="I205" s="21">
        <v>1</v>
      </c>
      <c r="J205" s="21" t="s">
        <v>46</v>
      </c>
      <c r="K205" s="15">
        <f>(VLOOKUP(H205,'[1]BOM Info General'!$A:$L,12,0))*I205</f>
        <v>24.42</v>
      </c>
      <c r="L205" s="22" t="s">
        <v>60</v>
      </c>
      <c r="M205" s="22">
        <v>1</v>
      </c>
      <c r="N205" s="22" t="s">
        <v>57</v>
      </c>
      <c r="O205" s="9">
        <f>(VLOOKUP(L205,'[1]Simulation pricing per sub assy'!$D:$E,2,0))*M205</f>
        <v>43.608799999999988</v>
      </c>
      <c r="P205" s="23" t="s">
        <v>52</v>
      </c>
      <c r="Q205" s="23">
        <v>2</v>
      </c>
      <c r="R205" s="23" t="s">
        <v>18</v>
      </c>
      <c r="S205" s="40">
        <f>(VLOOKUP(P205,'[1]BOM Info General'!$A:$L,12,0))*Q205</f>
        <v>5.3</v>
      </c>
      <c r="T205" s="24" t="s">
        <v>14</v>
      </c>
      <c r="U205" s="24">
        <v>1</v>
      </c>
      <c r="V205" s="24" t="s">
        <v>15</v>
      </c>
      <c r="W205" s="17">
        <f>(VLOOKUP(T205,'[1]Simulation pricing per sub assy'!$D:$E,2,0))*U205</f>
        <v>1.9</v>
      </c>
      <c r="X205" s="18" t="s">
        <v>615</v>
      </c>
      <c r="Y205" s="25">
        <v>1</v>
      </c>
      <c r="Z205" s="25" t="s">
        <v>9</v>
      </c>
      <c r="AA205" s="18">
        <f>(VLOOKUP(X205,'[1]Simulation pricing per sub assy'!$D:$E,2,0))*Y205</f>
        <v>1.5769808000000001</v>
      </c>
    </row>
    <row r="206" spans="1:27" x14ac:dyDescent="0.35">
      <c r="A206" s="13" t="s">
        <v>1037</v>
      </c>
      <c r="B206" s="13" t="s">
        <v>1038</v>
      </c>
      <c r="C206" s="42">
        <f t="shared" si="3"/>
        <v>120.0357808</v>
      </c>
      <c r="D206" s="20" t="s">
        <v>42</v>
      </c>
      <c r="E206" s="20">
        <v>1</v>
      </c>
      <c r="F206" s="20" t="s">
        <v>3982</v>
      </c>
      <c r="G206" s="14">
        <f>(VLOOKUP(D206,'[1]BOM Info General'!$A:$L,12,0))*E206</f>
        <v>35.56</v>
      </c>
      <c r="H206" s="21" t="s">
        <v>39</v>
      </c>
      <c r="I206" s="21">
        <v>1</v>
      </c>
      <c r="J206" s="21" t="s">
        <v>46</v>
      </c>
      <c r="K206" s="15">
        <f>(VLOOKUP(H206,'[1]BOM Info General'!$A:$L,12,0))*I206</f>
        <v>24.42</v>
      </c>
      <c r="L206" s="22" t="s">
        <v>56</v>
      </c>
      <c r="M206" s="22">
        <v>1</v>
      </c>
      <c r="N206" s="22" t="s">
        <v>59</v>
      </c>
      <c r="O206" s="9">
        <f>(VLOOKUP(L206,'[1]Simulation pricing per sub assy'!$D:$E,2,0))*M206</f>
        <v>51.27879999999999</v>
      </c>
      <c r="P206" s="23" t="s">
        <v>52</v>
      </c>
      <c r="Q206" s="23">
        <v>2</v>
      </c>
      <c r="R206" s="23" t="s">
        <v>18</v>
      </c>
      <c r="S206" s="40">
        <f>(VLOOKUP(P206,'[1]BOM Info General'!$A:$L,12,0))*Q206</f>
        <v>5.3</v>
      </c>
      <c r="T206" s="24" t="s">
        <v>14</v>
      </c>
      <c r="U206" s="24">
        <v>1</v>
      </c>
      <c r="V206" s="24" t="s">
        <v>15</v>
      </c>
      <c r="W206" s="17">
        <f>(VLOOKUP(T206,'[1]Simulation pricing per sub assy'!$D:$E,2,0))*U206</f>
        <v>1.9</v>
      </c>
      <c r="X206" s="18" t="s">
        <v>615</v>
      </c>
      <c r="Y206" s="25">
        <v>1</v>
      </c>
      <c r="Z206" s="25" t="s">
        <v>9</v>
      </c>
      <c r="AA206" s="18">
        <f>(VLOOKUP(X206,'[1]Simulation pricing per sub assy'!$D:$E,2,0))*Y206</f>
        <v>1.5769808000000001</v>
      </c>
    </row>
    <row r="207" spans="1:27" x14ac:dyDescent="0.35">
      <c r="A207" s="13" t="s">
        <v>965</v>
      </c>
      <c r="B207" s="13" t="s">
        <v>966</v>
      </c>
      <c r="C207" s="42">
        <f t="shared" si="3"/>
        <v>111.5057808</v>
      </c>
      <c r="D207" s="20" t="s">
        <v>42</v>
      </c>
      <c r="E207" s="20">
        <v>1</v>
      </c>
      <c r="F207" s="20" t="s">
        <v>3982</v>
      </c>
      <c r="G207" s="14">
        <f>(VLOOKUP(D207,'[1]BOM Info General'!$A:$L,12,0))*E207</f>
        <v>35.56</v>
      </c>
      <c r="H207" s="21" t="s">
        <v>39</v>
      </c>
      <c r="I207" s="21">
        <v>1</v>
      </c>
      <c r="J207" s="21" t="s">
        <v>46</v>
      </c>
      <c r="K207" s="15">
        <f>(VLOOKUP(H207,'[1]BOM Info General'!$A:$L,12,0))*I207</f>
        <v>24.42</v>
      </c>
      <c r="L207" s="22" t="s">
        <v>523</v>
      </c>
      <c r="M207" s="22">
        <v>1</v>
      </c>
      <c r="N207" s="22" t="s">
        <v>61</v>
      </c>
      <c r="O207" s="9">
        <f>(VLOOKUP(L207,'[1]Simulation pricing per sub assy'!$D:$E,2,0))*M207</f>
        <v>42.308799999999991</v>
      </c>
      <c r="P207" s="23" t="s">
        <v>50</v>
      </c>
      <c r="Q207" s="23">
        <v>2</v>
      </c>
      <c r="R207" s="23" t="s">
        <v>611</v>
      </c>
      <c r="S207" s="40">
        <f>(VLOOKUP(P207,'[1]BOM Info General'!$A:$L,12,0))*Q207</f>
        <v>5.3</v>
      </c>
      <c r="T207" s="24" t="s">
        <v>19</v>
      </c>
      <c r="U207" s="24">
        <v>1</v>
      </c>
      <c r="V207" s="24" t="s">
        <v>20</v>
      </c>
      <c r="W207" s="17">
        <f>(VLOOKUP(T207,'[1]Simulation pricing per sub assy'!$D:$E,2,0))*U207</f>
        <v>2.3400000000000003</v>
      </c>
      <c r="X207" s="18" t="s">
        <v>615</v>
      </c>
      <c r="Y207" s="25">
        <v>1</v>
      </c>
      <c r="Z207" s="25" t="s">
        <v>9</v>
      </c>
      <c r="AA207" s="18">
        <f>(VLOOKUP(X207,'[1]Simulation pricing per sub assy'!$D:$E,2,0))*Y207</f>
        <v>1.5769808000000001</v>
      </c>
    </row>
    <row r="208" spans="1:27" x14ac:dyDescent="0.35">
      <c r="A208" s="13" t="s">
        <v>957</v>
      </c>
      <c r="B208" s="13" t="s">
        <v>958</v>
      </c>
      <c r="C208" s="42">
        <f t="shared" si="3"/>
        <v>112.4857808</v>
      </c>
      <c r="D208" s="20" t="s">
        <v>42</v>
      </c>
      <c r="E208" s="20">
        <v>1</v>
      </c>
      <c r="F208" s="20" t="s">
        <v>3982</v>
      </c>
      <c r="G208" s="14">
        <f>(VLOOKUP(D208,'[1]BOM Info General'!$A:$L,12,0))*E208</f>
        <v>35.56</v>
      </c>
      <c r="H208" s="21" t="s">
        <v>39</v>
      </c>
      <c r="I208" s="21">
        <v>1</v>
      </c>
      <c r="J208" s="21" t="s">
        <v>46</v>
      </c>
      <c r="K208" s="15">
        <f>(VLOOKUP(H208,'[1]BOM Info General'!$A:$L,12,0))*I208</f>
        <v>24.42</v>
      </c>
      <c r="L208" s="22" t="s">
        <v>58</v>
      </c>
      <c r="M208" s="22">
        <v>1</v>
      </c>
      <c r="N208" s="22" t="s">
        <v>55</v>
      </c>
      <c r="O208" s="9">
        <f>(VLOOKUP(L208,'[1]Simulation pricing per sub assy'!$D:$E,2,0))*M208</f>
        <v>43.288799999999988</v>
      </c>
      <c r="P208" s="23" t="s">
        <v>50</v>
      </c>
      <c r="Q208" s="23">
        <v>2</v>
      </c>
      <c r="R208" s="23" t="s">
        <v>611</v>
      </c>
      <c r="S208" s="40">
        <f>(VLOOKUP(P208,'[1]BOM Info General'!$A:$L,12,0))*Q208</f>
        <v>5.3</v>
      </c>
      <c r="T208" s="24" t="s">
        <v>19</v>
      </c>
      <c r="U208" s="24">
        <v>1</v>
      </c>
      <c r="V208" s="24" t="s">
        <v>20</v>
      </c>
      <c r="W208" s="17">
        <f>(VLOOKUP(T208,'[1]Simulation pricing per sub assy'!$D:$E,2,0))*U208</f>
        <v>2.3400000000000003</v>
      </c>
      <c r="X208" s="18" t="s">
        <v>615</v>
      </c>
      <c r="Y208" s="25">
        <v>1</v>
      </c>
      <c r="Z208" s="25" t="s">
        <v>9</v>
      </c>
      <c r="AA208" s="18">
        <f>(VLOOKUP(X208,'[1]Simulation pricing per sub assy'!$D:$E,2,0))*Y208</f>
        <v>1.5769808000000001</v>
      </c>
    </row>
    <row r="209" spans="1:27" x14ac:dyDescent="0.35">
      <c r="A209" s="13" t="s">
        <v>961</v>
      </c>
      <c r="B209" s="13" t="s">
        <v>962</v>
      </c>
      <c r="C209" s="42">
        <f t="shared" si="3"/>
        <v>113.0657808</v>
      </c>
      <c r="D209" s="20" t="s">
        <v>42</v>
      </c>
      <c r="E209" s="20">
        <v>1</v>
      </c>
      <c r="F209" s="20" t="s">
        <v>3982</v>
      </c>
      <c r="G209" s="14">
        <f>(VLOOKUP(D209,'[1]BOM Info General'!$A:$L,12,0))*E209</f>
        <v>35.56</v>
      </c>
      <c r="H209" s="21" t="s">
        <v>39</v>
      </c>
      <c r="I209" s="21">
        <v>1</v>
      </c>
      <c r="J209" s="21" t="s">
        <v>46</v>
      </c>
      <c r="K209" s="15">
        <f>(VLOOKUP(H209,'[1]BOM Info General'!$A:$L,12,0))*I209</f>
        <v>24.42</v>
      </c>
      <c r="L209" s="22" t="s">
        <v>54</v>
      </c>
      <c r="M209" s="22">
        <v>1</v>
      </c>
      <c r="N209" s="22" t="s">
        <v>53</v>
      </c>
      <c r="O209" s="9">
        <f>(VLOOKUP(L209,'[1]Simulation pricing per sub assy'!$D:$E,2,0))*M209</f>
        <v>43.868799999999993</v>
      </c>
      <c r="P209" s="23" t="s">
        <v>50</v>
      </c>
      <c r="Q209" s="23">
        <v>2</v>
      </c>
      <c r="R209" s="23" t="s">
        <v>611</v>
      </c>
      <c r="S209" s="40">
        <f>(VLOOKUP(P209,'[1]BOM Info General'!$A:$L,12,0))*Q209</f>
        <v>5.3</v>
      </c>
      <c r="T209" s="24" t="s">
        <v>19</v>
      </c>
      <c r="U209" s="24">
        <v>1</v>
      </c>
      <c r="V209" s="24" t="s">
        <v>20</v>
      </c>
      <c r="W209" s="17">
        <f>(VLOOKUP(T209,'[1]Simulation pricing per sub assy'!$D:$E,2,0))*U209</f>
        <v>2.3400000000000003</v>
      </c>
      <c r="X209" s="18" t="s">
        <v>615</v>
      </c>
      <c r="Y209" s="25">
        <v>1</v>
      </c>
      <c r="Z209" s="25" t="s">
        <v>9</v>
      </c>
      <c r="AA209" s="18">
        <f>(VLOOKUP(X209,'[1]Simulation pricing per sub assy'!$D:$E,2,0))*Y209</f>
        <v>1.5769808000000001</v>
      </c>
    </row>
    <row r="210" spans="1:27" x14ac:dyDescent="0.35">
      <c r="A210" s="13" t="s">
        <v>959</v>
      </c>
      <c r="B210" s="13" t="s">
        <v>960</v>
      </c>
      <c r="C210" s="42">
        <f t="shared" si="3"/>
        <v>112.80578079999999</v>
      </c>
      <c r="D210" s="20" t="s">
        <v>42</v>
      </c>
      <c r="E210" s="20">
        <v>1</v>
      </c>
      <c r="F210" s="20" t="s">
        <v>3982</v>
      </c>
      <c r="G210" s="14">
        <f>(VLOOKUP(D210,'[1]BOM Info General'!$A:$L,12,0))*E210</f>
        <v>35.56</v>
      </c>
      <c r="H210" s="21" t="s">
        <v>39</v>
      </c>
      <c r="I210" s="21">
        <v>1</v>
      </c>
      <c r="J210" s="21" t="s">
        <v>46</v>
      </c>
      <c r="K210" s="15">
        <f>(VLOOKUP(H210,'[1]BOM Info General'!$A:$L,12,0))*I210</f>
        <v>24.42</v>
      </c>
      <c r="L210" s="22" t="s">
        <v>60</v>
      </c>
      <c r="M210" s="22">
        <v>1</v>
      </c>
      <c r="N210" s="22" t="s">
        <v>57</v>
      </c>
      <c r="O210" s="9">
        <f>(VLOOKUP(L210,'[1]Simulation pricing per sub assy'!$D:$E,2,0))*M210</f>
        <v>43.608799999999988</v>
      </c>
      <c r="P210" s="23" t="s">
        <v>50</v>
      </c>
      <c r="Q210" s="23">
        <v>2</v>
      </c>
      <c r="R210" s="23" t="s">
        <v>611</v>
      </c>
      <c r="S210" s="40">
        <f>(VLOOKUP(P210,'[1]BOM Info General'!$A:$L,12,0))*Q210</f>
        <v>5.3</v>
      </c>
      <c r="T210" s="24" t="s">
        <v>19</v>
      </c>
      <c r="U210" s="24">
        <v>1</v>
      </c>
      <c r="V210" s="24" t="s">
        <v>20</v>
      </c>
      <c r="W210" s="17">
        <f>(VLOOKUP(T210,'[1]Simulation pricing per sub assy'!$D:$E,2,0))*U210</f>
        <v>2.3400000000000003</v>
      </c>
      <c r="X210" s="18" t="s">
        <v>615</v>
      </c>
      <c r="Y210" s="25">
        <v>1</v>
      </c>
      <c r="Z210" s="25" t="s">
        <v>9</v>
      </c>
      <c r="AA210" s="18">
        <f>(VLOOKUP(X210,'[1]Simulation pricing per sub assy'!$D:$E,2,0))*Y210</f>
        <v>1.5769808000000001</v>
      </c>
    </row>
    <row r="211" spans="1:27" x14ac:dyDescent="0.35">
      <c r="A211" s="13" t="s">
        <v>963</v>
      </c>
      <c r="B211" s="13" t="s">
        <v>964</v>
      </c>
      <c r="C211" s="42">
        <f t="shared" si="3"/>
        <v>120.4757808</v>
      </c>
      <c r="D211" s="20" t="s">
        <v>42</v>
      </c>
      <c r="E211" s="20">
        <v>1</v>
      </c>
      <c r="F211" s="20" t="s">
        <v>3982</v>
      </c>
      <c r="G211" s="14">
        <f>(VLOOKUP(D211,'[1]BOM Info General'!$A:$L,12,0))*E211</f>
        <v>35.56</v>
      </c>
      <c r="H211" s="21" t="s">
        <v>39</v>
      </c>
      <c r="I211" s="21">
        <v>1</v>
      </c>
      <c r="J211" s="21" t="s">
        <v>46</v>
      </c>
      <c r="K211" s="15">
        <f>(VLOOKUP(H211,'[1]BOM Info General'!$A:$L,12,0))*I211</f>
        <v>24.42</v>
      </c>
      <c r="L211" s="22" t="s">
        <v>56</v>
      </c>
      <c r="M211" s="22">
        <v>1</v>
      </c>
      <c r="N211" s="22" t="s">
        <v>59</v>
      </c>
      <c r="O211" s="9">
        <f>(VLOOKUP(L211,'[1]Simulation pricing per sub assy'!$D:$E,2,0))*M211</f>
        <v>51.27879999999999</v>
      </c>
      <c r="P211" s="23" t="s">
        <v>50</v>
      </c>
      <c r="Q211" s="23">
        <v>2</v>
      </c>
      <c r="R211" s="23" t="s">
        <v>611</v>
      </c>
      <c r="S211" s="40">
        <f>(VLOOKUP(P211,'[1]BOM Info General'!$A:$L,12,0))*Q211</f>
        <v>5.3</v>
      </c>
      <c r="T211" s="24" t="s">
        <v>19</v>
      </c>
      <c r="U211" s="24">
        <v>1</v>
      </c>
      <c r="V211" s="24" t="s">
        <v>20</v>
      </c>
      <c r="W211" s="17">
        <f>(VLOOKUP(T211,'[1]Simulation pricing per sub assy'!$D:$E,2,0))*U211</f>
        <v>2.3400000000000003</v>
      </c>
      <c r="X211" s="18" t="s">
        <v>615</v>
      </c>
      <c r="Y211" s="25">
        <v>1</v>
      </c>
      <c r="Z211" s="25" t="s">
        <v>9</v>
      </c>
      <c r="AA211" s="18">
        <f>(VLOOKUP(X211,'[1]Simulation pricing per sub assy'!$D:$E,2,0))*Y211</f>
        <v>1.5769808000000001</v>
      </c>
    </row>
    <row r="212" spans="1:27" x14ac:dyDescent="0.35">
      <c r="A212" s="13" t="s">
        <v>1065</v>
      </c>
      <c r="B212" s="13" t="s">
        <v>1066</v>
      </c>
      <c r="C212" s="42">
        <f t="shared" si="3"/>
        <v>111.01578079999999</v>
      </c>
      <c r="D212" s="20" t="s">
        <v>42</v>
      </c>
      <c r="E212" s="20">
        <v>1</v>
      </c>
      <c r="F212" s="20" t="s">
        <v>3982</v>
      </c>
      <c r="G212" s="14">
        <f>(VLOOKUP(D212,'[1]BOM Info General'!$A:$L,12,0))*E212</f>
        <v>35.56</v>
      </c>
      <c r="H212" s="21" t="s">
        <v>39</v>
      </c>
      <c r="I212" s="21">
        <v>1</v>
      </c>
      <c r="J212" s="21" t="s">
        <v>46</v>
      </c>
      <c r="K212" s="15">
        <f>(VLOOKUP(H212,'[1]BOM Info General'!$A:$L,12,0))*I212</f>
        <v>24.42</v>
      </c>
      <c r="L212" s="22" t="s">
        <v>523</v>
      </c>
      <c r="M212" s="22">
        <v>1</v>
      </c>
      <c r="N212" s="22" t="s">
        <v>61</v>
      </c>
      <c r="O212" s="9">
        <f>(VLOOKUP(L212,'[1]Simulation pricing per sub assy'!$D:$E,2,0))*M212</f>
        <v>42.308799999999991</v>
      </c>
      <c r="P212" s="23" t="s">
        <v>50</v>
      </c>
      <c r="Q212" s="23">
        <v>2</v>
      </c>
      <c r="R212" s="23" t="s">
        <v>611</v>
      </c>
      <c r="S212" s="40">
        <f>(VLOOKUP(P212,'[1]BOM Info General'!$A:$L,12,0))*Q212</f>
        <v>5.3</v>
      </c>
      <c r="T212" s="24" t="s">
        <v>7</v>
      </c>
      <c r="U212" s="24">
        <v>1</v>
      </c>
      <c r="V212" s="24" t="s">
        <v>8</v>
      </c>
      <c r="W212" s="17">
        <f>(VLOOKUP(T212,'[1]Simulation pricing per sub assy'!$D:$E,2,0))*U212</f>
        <v>1.85</v>
      </c>
      <c r="X212" s="18" t="s">
        <v>615</v>
      </c>
      <c r="Y212" s="25">
        <v>1</v>
      </c>
      <c r="Z212" s="25" t="s">
        <v>9</v>
      </c>
      <c r="AA212" s="18">
        <f>(VLOOKUP(X212,'[1]Simulation pricing per sub assy'!$D:$E,2,0))*Y212</f>
        <v>1.5769808000000001</v>
      </c>
    </row>
    <row r="213" spans="1:27" x14ac:dyDescent="0.35">
      <c r="A213" s="13" t="s">
        <v>1057</v>
      </c>
      <c r="B213" s="13" t="s">
        <v>1058</v>
      </c>
      <c r="C213" s="42">
        <f t="shared" si="3"/>
        <v>111.99578079999999</v>
      </c>
      <c r="D213" s="20" t="s">
        <v>42</v>
      </c>
      <c r="E213" s="20">
        <v>1</v>
      </c>
      <c r="F213" s="20" t="s">
        <v>3982</v>
      </c>
      <c r="G213" s="14">
        <f>(VLOOKUP(D213,'[1]BOM Info General'!$A:$L,12,0))*E213</f>
        <v>35.56</v>
      </c>
      <c r="H213" s="21" t="s">
        <v>39</v>
      </c>
      <c r="I213" s="21">
        <v>1</v>
      </c>
      <c r="J213" s="21" t="s">
        <v>46</v>
      </c>
      <c r="K213" s="15">
        <f>(VLOOKUP(H213,'[1]BOM Info General'!$A:$L,12,0))*I213</f>
        <v>24.42</v>
      </c>
      <c r="L213" s="22" t="s">
        <v>58</v>
      </c>
      <c r="M213" s="22">
        <v>1</v>
      </c>
      <c r="N213" s="22" t="s">
        <v>55</v>
      </c>
      <c r="O213" s="9">
        <f>(VLOOKUP(L213,'[1]Simulation pricing per sub assy'!$D:$E,2,0))*M213</f>
        <v>43.288799999999988</v>
      </c>
      <c r="P213" s="23" t="s">
        <v>50</v>
      </c>
      <c r="Q213" s="23">
        <v>2</v>
      </c>
      <c r="R213" s="23" t="s">
        <v>611</v>
      </c>
      <c r="S213" s="40">
        <f>(VLOOKUP(P213,'[1]BOM Info General'!$A:$L,12,0))*Q213</f>
        <v>5.3</v>
      </c>
      <c r="T213" s="24" t="s">
        <v>7</v>
      </c>
      <c r="U213" s="24">
        <v>1</v>
      </c>
      <c r="V213" s="24" t="s">
        <v>8</v>
      </c>
      <c r="W213" s="17">
        <f>(VLOOKUP(T213,'[1]Simulation pricing per sub assy'!$D:$E,2,0))*U213</f>
        <v>1.85</v>
      </c>
      <c r="X213" s="18" t="s">
        <v>615</v>
      </c>
      <c r="Y213" s="25">
        <v>1</v>
      </c>
      <c r="Z213" s="25" t="s">
        <v>9</v>
      </c>
      <c r="AA213" s="18">
        <f>(VLOOKUP(X213,'[1]Simulation pricing per sub assy'!$D:$E,2,0))*Y213</f>
        <v>1.5769808000000001</v>
      </c>
    </row>
    <row r="214" spans="1:27" x14ac:dyDescent="0.35">
      <c r="A214" s="13" t="s">
        <v>1061</v>
      </c>
      <c r="B214" s="13" t="s">
        <v>1062</v>
      </c>
      <c r="C214" s="42">
        <f t="shared" si="3"/>
        <v>112.57578079999999</v>
      </c>
      <c r="D214" s="20" t="s">
        <v>42</v>
      </c>
      <c r="E214" s="20">
        <v>1</v>
      </c>
      <c r="F214" s="20" t="s">
        <v>3982</v>
      </c>
      <c r="G214" s="14">
        <f>(VLOOKUP(D214,'[1]BOM Info General'!$A:$L,12,0))*E214</f>
        <v>35.56</v>
      </c>
      <c r="H214" s="21" t="s">
        <v>39</v>
      </c>
      <c r="I214" s="21">
        <v>1</v>
      </c>
      <c r="J214" s="21" t="s">
        <v>46</v>
      </c>
      <c r="K214" s="15">
        <f>(VLOOKUP(H214,'[1]BOM Info General'!$A:$L,12,0))*I214</f>
        <v>24.42</v>
      </c>
      <c r="L214" s="22" t="s">
        <v>54</v>
      </c>
      <c r="M214" s="22">
        <v>1</v>
      </c>
      <c r="N214" s="22" t="s">
        <v>53</v>
      </c>
      <c r="O214" s="9">
        <f>(VLOOKUP(L214,'[1]Simulation pricing per sub assy'!$D:$E,2,0))*M214</f>
        <v>43.868799999999993</v>
      </c>
      <c r="P214" s="23" t="s">
        <v>50</v>
      </c>
      <c r="Q214" s="23">
        <v>2</v>
      </c>
      <c r="R214" s="23" t="s">
        <v>611</v>
      </c>
      <c r="S214" s="40">
        <f>(VLOOKUP(P214,'[1]BOM Info General'!$A:$L,12,0))*Q214</f>
        <v>5.3</v>
      </c>
      <c r="T214" s="24" t="s">
        <v>7</v>
      </c>
      <c r="U214" s="24">
        <v>1</v>
      </c>
      <c r="V214" s="24" t="s">
        <v>8</v>
      </c>
      <c r="W214" s="17">
        <f>(VLOOKUP(T214,'[1]Simulation pricing per sub assy'!$D:$E,2,0))*U214</f>
        <v>1.85</v>
      </c>
      <c r="X214" s="18" t="s">
        <v>615</v>
      </c>
      <c r="Y214" s="25">
        <v>1</v>
      </c>
      <c r="Z214" s="25" t="s">
        <v>9</v>
      </c>
      <c r="AA214" s="18">
        <f>(VLOOKUP(X214,'[1]Simulation pricing per sub assy'!$D:$E,2,0))*Y214</f>
        <v>1.5769808000000001</v>
      </c>
    </row>
    <row r="215" spans="1:27" x14ac:dyDescent="0.35">
      <c r="A215" s="13" t="s">
        <v>1059</v>
      </c>
      <c r="B215" s="13" t="s">
        <v>1060</v>
      </c>
      <c r="C215" s="42">
        <f t="shared" si="3"/>
        <v>112.31578079999998</v>
      </c>
      <c r="D215" s="20" t="s">
        <v>42</v>
      </c>
      <c r="E215" s="20">
        <v>1</v>
      </c>
      <c r="F215" s="20" t="s">
        <v>3982</v>
      </c>
      <c r="G215" s="14">
        <f>(VLOOKUP(D215,'[1]BOM Info General'!$A:$L,12,0))*E215</f>
        <v>35.56</v>
      </c>
      <c r="H215" s="21" t="s">
        <v>39</v>
      </c>
      <c r="I215" s="21">
        <v>1</v>
      </c>
      <c r="J215" s="21" t="s">
        <v>46</v>
      </c>
      <c r="K215" s="15">
        <f>(VLOOKUP(H215,'[1]BOM Info General'!$A:$L,12,0))*I215</f>
        <v>24.42</v>
      </c>
      <c r="L215" s="22" t="s">
        <v>60</v>
      </c>
      <c r="M215" s="22">
        <v>1</v>
      </c>
      <c r="N215" s="22" t="s">
        <v>57</v>
      </c>
      <c r="O215" s="9">
        <f>(VLOOKUP(L215,'[1]Simulation pricing per sub assy'!$D:$E,2,0))*M215</f>
        <v>43.608799999999988</v>
      </c>
      <c r="P215" s="23" t="s">
        <v>50</v>
      </c>
      <c r="Q215" s="23">
        <v>2</v>
      </c>
      <c r="R215" s="23" t="s">
        <v>611</v>
      </c>
      <c r="S215" s="40">
        <f>(VLOOKUP(P215,'[1]BOM Info General'!$A:$L,12,0))*Q215</f>
        <v>5.3</v>
      </c>
      <c r="T215" s="24" t="s">
        <v>7</v>
      </c>
      <c r="U215" s="24">
        <v>1</v>
      </c>
      <c r="V215" s="24" t="s">
        <v>8</v>
      </c>
      <c r="W215" s="17">
        <f>(VLOOKUP(T215,'[1]Simulation pricing per sub assy'!$D:$E,2,0))*U215</f>
        <v>1.85</v>
      </c>
      <c r="X215" s="18" t="s">
        <v>615</v>
      </c>
      <c r="Y215" s="25">
        <v>1</v>
      </c>
      <c r="Z215" s="25" t="s">
        <v>9</v>
      </c>
      <c r="AA215" s="18">
        <f>(VLOOKUP(X215,'[1]Simulation pricing per sub assy'!$D:$E,2,0))*Y215</f>
        <v>1.5769808000000001</v>
      </c>
    </row>
    <row r="216" spans="1:27" x14ac:dyDescent="0.35">
      <c r="A216" s="13" t="s">
        <v>1063</v>
      </c>
      <c r="B216" s="13" t="s">
        <v>1064</v>
      </c>
      <c r="C216" s="42">
        <f t="shared" si="3"/>
        <v>119.98578079999999</v>
      </c>
      <c r="D216" s="20" t="s">
        <v>42</v>
      </c>
      <c r="E216" s="20">
        <v>1</v>
      </c>
      <c r="F216" s="20" t="s">
        <v>3982</v>
      </c>
      <c r="G216" s="14">
        <f>(VLOOKUP(D216,'[1]BOM Info General'!$A:$L,12,0))*E216</f>
        <v>35.56</v>
      </c>
      <c r="H216" s="21" t="s">
        <v>39</v>
      </c>
      <c r="I216" s="21">
        <v>1</v>
      </c>
      <c r="J216" s="21" t="s">
        <v>46</v>
      </c>
      <c r="K216" s="15">
        <f>(VLOOKUP(H216,'[1]BOM Info General'!$A:$L,12,0))*I216</f>
        <v>24.42</v>
      </c>
      <c r="L216" s="22" t="s">
        <v>56</v>
      </c>
      <c r="M216" s="22">
        <v>1</v>
      </c>
      <c r="N216" s="22" t="s">
        <v>59</v>
      </c>
      <c r="O216" s="9">
        <f>(VLOOKUP(L216,'[1]Simulation pricing per sub assy'!$D:$E,2,0))*M216</f>
        <v>51.27879999999999</v>
      </c>
      <c r="P216" s="23" t="s">
        <v>50</v>
      </c>
      <c r="Q216" s="23">
        <v>2</v>
      </c>
      <c r="R216" s="23" t="s">
        <v>611</v>
      </c>
      <c r="S216" s="40">
        <f>(VLOOKUP(P216,'[1]BOM Info General'!$A:$L,12,0))*Q216</f>
        <v>5.3</v>
      </c>
      <c r="T216" s="24" t="s">
        <v>7</v>
      </c>
      <c r="U216" s="24">
        <v>1</v>
      </c>
      <c r="V216" s="24" t="s">
        <v>8</v>
      </c>
      <c r="W216" s="17">
        <f>(VLOOKUP(T216,'[1]Simulation pricing per sub assy'!$D:$E,2,0))*U216</f>
        <v>1.85</v>
      </c>
      <c r="X216" s="18" t="s">
        <v>615</v>
      </c>
      <c r="Y216" s="25">
        <v>1</v>
      </c>
      <c r="Z216" s="25" t="s">
        <v>9</v>
      </c>
      <c r="AA216" s="18">
        <f>(VLOOKUP(X216,'[1]Simulation pricing per sub assy'!$D:$E,2,0))*Y216</f>
        <v>1.5769808000000001</v>
      </c>
    </row>
    <row r="217" spans="1:27" x14ac:dyDescent="0.35">
      <c r="A217" s="13" t="s">
        <v>1149</v>
      </c>
      <c r="B217" s="13" t="s">
        <v>1150</v>
      </c>
      <c r="C217" s="42">
        <f t="shared" si="3"/>
        <v>111.21578079999999</v>
      </c>
      <c r="D217" s="20" t="s">
        <v>42</v>
      </c>
      <c r="E217" s="20">
        <v>1</v>
      </c>
      <c r="F217" s="20" t="s">
        <v>3982</v>
      </c>
      <c r="G217" s="14">
        <f>(VLOOKUP(D217,'[1]BOM Info General'!$A:$L,12,0))*E217</f>
        <v>35.56</v>
      </c>
      <c r="H217" s="21" t="s">
        <v>39</v>
      </c>
      <c r="I217" s="21">
        <v>1</v>
      </c>
      <c r="J217" s="21" t="s">
        <v>46</v>
      </c>
      <c r="K217" s="15">
        <f>(VLOOKUP(H217,'[1]BOM Info General'!$A:$L,12,0))*I217</f>
        <v>24.42</v>
      </c>
      <c r="L217" s="22" t="s">
        <v>523</v>
      </c>
      <c r="M217" s="22">
        <v>1</v>
      </c>
      <c r="N217" s="22" t="s">
        <v>61</v>
      </c>
      <c r="O217" s="9">
        <f>(VLOOKUP(L217,'[1]Simulation pricing per sub assy'!$D:$E,2,0))*M217</f>
        <v>42.308799999999991</v>
      </c>
      <c r="P217" s="23" t="s">
        <v>50</v>
      </c>
      <c r="Q217" s="23">
        <v>2</v>
      </c>
      <c r="R217" s="23" t="s">
        <v>16</v>
      </c>
      <c r="S217" s="40">
        <f>(VLOOKUP(P217,'[1]BOM Info General'!$A:$L,12,0))*Q217</f>
        <v>5.3</v>
      </c>
      <c r="T217" s="24" t="s">
        <v>10</v>
      </c>
      <c r="U217" s="24">
        <v>1</v>
      </c>
      <c r="V217" s="24" t="s">
        <v>11</v>
      </c>
      <c r="W217" s="17">
        <f>(VLOOKUP(T217,'[1]Simulation pricing per sub assy'!$D:$E,2,0))*U217</f>
        <v>2.0499999999999998</v>
      </c>
      <c r="X217" s="18" t="s">
        <v>615</v>
      </c>
      <c r="Y217" s="25">
        <v>1</v>
      </c>
      <c r="Z217" s="25" t="s">
        <v>9</v>
      </c>
      <c r="AA217" s="18">
        <f>(VLOOKUP(X217,'[1]Simulation pricing per sub assy'!$D:$E,2,0))*Y217</f>
        <v>1.5769808000000001</v>
      </c>
    </row>
    <row r="218" spans="1:27" x14ac:dyDescent="0.35">
      <c r="A218" s="13" t="s">
        <v>1077</v>
      </c>
      <c r="B218" s="13" t="s">
        <v>1078</v>
      </c>
      <c r="C218" s="42">
        <f t="shared" si="3"/>
        <v>112.19578079999999</v>
      </c>
      <c r="D218" s="20" t="s">
        <v>42</v>
      </c>
      <c r="E218" s="20">
        <v>1</v>
      </c>
      <c r="F218" s="20" t="s">
        <v>3982</v>
      </c>
      <c r="G218" s="14">
        <f>(VLOOKUP(D218,'[1]BOM Info General'!$A:$L,12,0))*E218</f>
        <v>35.56</v>
      </c>
      <c r="H218" s="21" t="s">
        <v>39</v>
      </c>
      <c r="I218" s="21">
        <v>1</v>
      </c>
      <c r="J218" s="21" t="s">
        <v>46</v>
      </c>
      <c r="K218" s="15">
        <f>(VLOOKUP(H218,'[1]BOM Info General'!$A:$L,12,0))*I218</f>
        <v>24.42</v>
      </c>
      <c r="L218" s="22" t="s">
        <v>58</v>
      </c>
      <c r="M218" s="22">
        <v>1</v>
      </c>
      <c r="N218" s="22" t="s">
        <v>55</v>
      </c>
      <c r="O218" s="9">
        <f>(VLOOKUP(L218,'[1]Simulation pricing per sub assy'!$D:$E,2,0))*M218</f>
        <v>43.288799999999988</v>
      </c>
      <c r="P218" s="23" t="s">
        <v>50</v>
      </c>
      <c r="Q218" s="23">
        <v>2</v>
      </c>
      <c r="R218" s="23" t="s">
        <v>16</v>
      </c>
      <c r="S218" s="40">
        <f>(VLOOKUP(P218,'[1]BOM Info General'!$A:$L,12,0))*Q218</f>
        <v>5.3</v>
      </c>
      <c r="T218" s="24" t="s">
        <v>10</v>
      </c>
      <c r="U218" s="24">
        <v>1</v>
      </c>
      <c r="V218" s="24" t="s">
        <v>11</v>
      </c>
      <c r="W218" s="17">
        <f>(VLOOKUP(T218,'[1]Simulation pricing per sub assy'!$D:$E,2,0))*U218</f>
        <v>2.0499999999999998</v>
      </c>
      <c r="X218" s="18" t="s">
        <v>615</v>
      </c>
      <c r="Y218" s="25">
        <v>1</v>
      </c>
      <c r="Z218" s="25" t="s">
        <v>9</v>
      </c>
      <c r="AA218" s="18">
        <f>(VLOOKUP(X218,'[1]Simulation pricing per sub assy'!$D:$E,2,0))*Y218</f>
        <v>1.5769808000000001</v>
      </c>
    </row>
    <row r="219" spans="1:27" x14ac:dyDescent="0.35">
      <c r="A219" s="13" t="s">
        <v>1113</v>
      </c>
      <c r="B219" s="13" t="s">
        <v>1114</v>
      </c>
      <c r="C219" s="42">
        <f t="shared" si="3"/>
        <v>112.77578079999999</v>
      </c>
      <c r="D219" s="20" t="s">
        <v>42</v>
      </c>
      <c r="E219" s="20">
        <v>1</v>
      </c>
      <c r="F219" s="20" t="s">
        <v>3982</v>
      </c>
      <c r="G219" s="14">
        <f>(VLOOKUP(D219,'[1]BOM Info General'!$A:$L,12,0))*E219</f>
        <v>35.56</v>
      </c>
      <c r="H219" s="21" t="s">
        <v>39</v>
      </c>
      <c r="I219" s="21">
        <v>1</v>
      </c>
      <c r="J219" s="21" t="s">
        <v>46</v>
      </c>
      <c r="K219" s="15">
        <f>(VLOOKUP(H219,'[1]BOM Info General'!$A:$L,12,0))*I219</f>
        <v>24.42</v>
      </c>
      <c r="L219" s="22" t="s">
        <v>54</v>
      </c>
      <c r="M219" s="22">
        <v>1</v>
      </c>
      <c r="N219" s="22" t="s">
        <v>53</v>
      </c>
      <c r="O219" s="9">
        <f>(VLOOKUP(L219,'[1]Simulation pricing per sub assy'!$D:$E,2,0))*M219</f>
        <v>43.868799999999993</v>
      </c>
      <c r="P219" s="23" t="s">
        <v>50</v>
      </c>
      <c r="Q219" s="23">
        <v>2</v>
      </c>
      <c r="R219" s="23" t="s">
        <v>16</v>
      </c>
      <c r="S219" s="40">
        <f>(VLOOKUP(P219,'[1]BOM Info General'!$A:$L,12,0))*Q219</f>
        <v>5.3</v>
      </c>
      <c r="T219" s="24" t="s">
        <v>10</v>
      </c>
      <c r="U219" s="24">
        <v>1</v>
      </c>
      <c r="V219" s="24" t="s">
        <v>11</v>
      </c>
      <c r="W219" s="17">
        <f>(VLOOKUP(T219,'[1]Simulation pricing per sub assy'!$D:$E,2,0))*U219</f>
        <v>2.0499999999999998</v>
      </c>
      <c r="X219" s="18" t="s">
        <v>615</v>
      </c>
      <c r="Y219" s="25">
        <v>1</v>
      </c>
      <c r="Z219" s="25" t="s">
        <v>9</v>
      </c>
      <c r="AA219" s="18">
        <f>(VLOOKUP(X219,'[1]Simulation pricing per sub assy'!$D:$E,2,0))*Y219</f>
        <v>1.5769808000000001</v>
      </c>
    </row>
    <row r="220" spans="1:27" x14ac:dyDescent="0.35">
      <c r="A220" s="13" t="s">
        <v>1095</v>
      </c>
      <c r="B220" s="13" t="s">
        <v>1096</v>
      </c>
      <c r="C220" s="42">
        <f t="shared" si="3"/>
        <v>112.51578079999999</v>
      </c>
      <c r="D220" s="20" t="s">
        <v>42</v>
      </c>
      <c r="E220" s="20">
        <v>1</v>
      </c>
      <c r="F220" s="20" t="s">
        <v>3982</v>
      </c>
      <c r="G220" s="14">
        <f>(VLOOKUP(D220,'[1]BOM Info General'!$A:$L,12,0))*E220</f>
        <v>35.56</v>
      </c>
      <c r="H220" s="21" t="s">
        <v>39</v>
      </c>
      <c r="I220" s="21">
        <v>1</v>
      </c>
      <c r="J220" s="21" t="s">
        <v>46</v>
      </c>
      <c r="K220" s="15">
        <f>(VLOOKUP(H220,'[1]BOM Info General'!$A:$L,12,0))*I220</f>
        <v>24.42</v>
      </c>
      <c r="L220" s="22" t="s">
        <v>60</v>
      </c>
      <c r="M220" s="22">
        <v>1</v>
      </c>
      <c r="N220" s="22" t="s">
        <v>57</v>
      </c>
      <c r="O220" s="9">
        <f>(VLOOKUP(L220,'[1]Simulation pricing per sub assy'!$D:$E,2,0))*M220</f>
        <v>43.608799999999988</v>
      </c>
      <c r="P220" s="23" t="s">
        <v>50</v>
      </c>
      <c r="Q220" s="23">
        <v>2</v>
      </c>
      <c r="R220" s="23" t="s">
        <v>16</v>
      </c>
      <c r="S220" s="40">
        <f>(VLOOKUP(P220,'[1]BOM Info General'!$A:$L,12,0))*Q220</f>
        <v>5.3</v>
      </c>
      <c r="T220" s="24" t="s">
        <v>10</v>
      </c>
      <c r="U220" s="24">
        <v>1</v>
      </c>
      <c r="V220" s="24" t="s">
        <v>11</v>
      </c>
      <c r="W220" s="17">
        <f>(VLOOKUP(T220,'[1]Simulation pricing per sub assy'!$D:$E,2,0))*U220</f>
        <v>2.0499999999999998</v>
      </c>
      <c r="X220" s="18" t="s">
        <v>615</v>
      </c>
      <c r="Y220" s="25">
        <v>1</v>
      </c>
      <c r="Z220" s="25" t="s">
        <v>9</v>
      </c>
      <c r="AA220" s="18">
        <f>(VLOOKUP(X220,'[1]Simulation pricing per sub assy'!$D:$E,2,0))*Y220</f>
        <v>1.5769808000000001</v>
      </c>
    </row>
    <row r="221" spans="1:27" x14ac:dyDescent="0.35">
      <c r="A221" s="13" t="s">
        <v>1131</v>
      </c>
      <c r="B221" s="13" t="s">
        <v>1132</v>
      </c>
      <c r="C221" s="42">
        <f t="shared" si="3"/>
        <v>120.18578079999999</v>
      </c>
      <c r="D221" s="20" t="s">
        <v>42</v>
      </c>
      <c r="E221" s="20">
        <v>1</v>
      </c>
      <c r="F221" s="20" t="s">
        <v>3982</v>
      </c>
      <c r="G221" s="14">
        <f>(VLOOKUP(D221,'[1]BOM Info General'!$A:$L,12,0))*E221</f>
        <v>35.56</v>
      </c>
      <c r="H221" s="21" t="s">
        <v>39</v>
      </c>
      <c r="I221" s="21">
        <v>1</v>
      </c>
      <c r="J221" s="21" t="s">
        <v>46</v>
      </c>
      <c r="K221" s="15">
        <f>(VLOOKUP(H221,'[1]BOM Info General'!$A:$L,12,0))*I221</f>
        <v>24.42</v>
      </c>
      <c r="L221" s="22" t="s">
        <v>56</v>
      </c>
      <c r="M221" s="22">
        <v>1</v>
      </c>
      <c r="N221" s="22" t="s">
        <v>59</v>
      </c>
      <c r="O221" s="9">
        <f>(VLOOKUP(L221,'[1]Simulation pricing per sub assy'!$D:$E,2,0))*M221</f>
        <v>51.27879999999999</v>
      </c>
      <c r="P221" s="23" t="s">
        <v>50</v>
      </c>
      <c r="Q221" s="23">
        <v>2</v>
      </c>
      <c r="R221" s="23" t="s">
        <v>16</v>
      </c>
      <c r="S221" s="40">
        <f>(VLOOKUP(P221,'[1]BOM Info General'!$A:$L,12,0))*Q221</f>
        <v>5.3</v>
      </c>
      <c r="T221" s="24" t="s">
        <v>10</v>
      </c>
      <c r="U221" s="24">
        <v>1</v>
      </c>
      <c r="V221" s="24" t="s">
        <v>11</v>
      </c>
      <c r="W221" s="17">
        <f>(VLOOKUP(T221,'[1]Simulation pricing per sub assy'!$D:$E,2,0))*U221</f>
        <v>2.0499999999999998</v>
      </c>
      <c r="X221" s="18" t="s">
        <v>615</v>
      </c>
      <c r="Y221" s="25">
        <v>1</v>
      </c>
      <c r="Z221" s="25" t="s">
        <v>9</v>
      </c>
      <c r="AA221" s="18">
        <f>(VLOOKUP(X221,'[1]Simulation pricing per sub assy'!$D:$E,2,0))*Y221</f>
        <v>1.5769808000000001</v>
      </c>
    </row>
    <row r="222" spans="1:27" x14ac:dyDescent="0.35">
      <c r="A222" s="13" t="s">
        <v>1151</v>
      </c>
      <c r="B222" s="13" t="s">
        <v>1152</v>
      </c>
      <c r="C222" s="42">
        <f t="shared" si="3"/>
        <v>111.0657808</v>
      </c>
      <c r="D222" s="20" t="s">
        <v>42</v>
      </c>
      <c r="E222" s="20">
        <v>1</v>
      </c>
      <c r="F222" s="20" t="s">
        <v>3982</v>
      </c>
      <c r="G222" s="14">
        <f>(VLOOKUP(D222,'[1]BOM Info General'!$A:$L,12,0))*E222</f>
        <v>35.56</v>
      </c>
      <c r="H222" s="21" t="s">
        <v>39</v>
      </c>
      <c r="I222" s="21">
        <v>1</v>
      </c>
      <c r="J222" s="21" t="s">
        <v>46</v>
      </c>
      <c r="K222" s="15">
        <f>(VLOOKUP(H222,'[1]BOM Info General'!$A:$L,12,0))*I222</f>
        <v>24.42</v>
      </c>
      <c r="L222" s="22" t="s">
        <v>523</v>
      </c>
      <c r="M222" s="22">
        <v>1</v>
      </c>
      <c r="N222" s="22" t="s">
        <v>61</v>
      </c>
      <c r="O222" s="9">
        <f>(VLOOKUP(L222,'[1]Simulation pricing per sub assy'!$D:$E,2,0))*M222</f>
        <v>42.308799999999991</v>
      </c>
      <c r="P222" s="23" t="s">
        <v>50</v>
      </c>
      <c r="Q222" s="23">
        <v>2</v>
      </c>
      <c r="R222" s="23" t="s">
        <v>16</v>
      </c>
      <c r="S222" s="40">
        <f>(VLOOKUP(P222,'[1]BOM Info General'!$A:$L,12,0))*Q222</f>
        <v>5.3</v>
      </c>
      <c r="T222" s="24" t="s">
        <v>12</v>
      </c>
      <c r="U222" s="24">
        <v>1</v>
      </c>
      <c r="V222" s="24" t="s">
        <v>13</v>
      </c>
      <c r="W222" s="17">
        <f>(VLOOKUP(T222,'[1]Simulation pricing per sub assy'!$D:$E,2,0))*U222</f>
        <v>1.9</v>
      </c>
      <c r="X222" s="18" t="s">
        <v>615</v>
      </c>
      <c r="Y222" s="25">
        <v>1</v>
      </c>
      <c r="Z222" s="25" t="s">
        <v>9</v>
      </c>
      <c r="AA222" s="18">
        <f>(VLOOKUP(X222,'[1]Simulation pricing per sub assy'!$D:$E,2,0))*Y222</f>
        <v>1.5769808000000001</v>
      </c>
    </row>
    <row r="223" spans="1:27" x14ac:dyDescent="0.35">
      <c r="A223" s="13" t="s">
        <v>1079</v>
      </c>
      <c r="B223" s="13" t="s">
        <v>1080</v>
      </c>
      <c r="C223" s="42">
        <f t="shared" si="3"/>
        <v>112.0457808</v>
      </c>
      <c r="D223" s="20" t="s">
        <v>42</v>
      </c>
      <c r="E223" s="20">
        <v>1</v>
      </c>
      <c r="F223" s="20" t="s">
        <v>3982</v>
      </c>
      <c r="G223" s="14">
        <f>(VLOOKUP(D223,'[1]BOM Info General'!$A:$L,12,0))*E223</f>
        <v>35.56</v>
      </c>
      <c r="H223" s="21" t="s">
        <v>39</v>
      </c>
      <c r="I223" s="21">
        <v>1</v>
      </c>
      <c r="J223" s="21" t="s">
        <v>46</v>
      </c>
      <c r="K223" s="15">
        <f>(VLOOKUP(H223,'[1]BOM Info General'!$A:$L,12,0))*I223</f>
        <v>24.42</v>
      </c>
      <c r="L223" s="22" t="s">
        <v>58</v>
      </c>
      <c r="M223" s="22">
        <v>1</v>
      </c>
      <c r="N223" s="22" t="s">
        <v>55</v>
      </c>
      <c r="O223" s="9">
        <f>(VLOOKUP(L223,'[1]Simulation pricing per sub assy'!$D:$E,2,0))*M223</f>
        <v>43.288799999999988</v>
      </c>
      <c r="P223" s="23" t="s">
        <v>50</v>
      </c>
      <c r="Q223" s="23">
        <v>2</v>
      </c>
      <c r="R223" s="23" t="s">
        <v>16</v>
      </c>
      <c r="S223" s="40">
        <f>(VLOOKUP(P223,'[1]BOM Info General'!$A:$L,12,0))*Q223</f>
        <v>5.3</v>
      </c>
      <c r="T223" s="24" t="s">
        <v>12</v>
      </c>
      <c r="U223" s="24">
        <v>1</v>
      </c>
      <c r="V223" s="24" t="s">
        <v>13</v>
      </c>
      <c r="W223" s="17">
        <f>(VLOOKUP(T223,'[1]Simulation pricing per sub assy'!$D:$E,2,0))*U223</f>
        <v>1.9</v>
      </c>
      <c r="X223" s="18" t="s">
        <v>615</v>
      </c>
      <c r="Y223" s="25">
        <v>1</v>
      </c>
      <c r="Z223" s="25" t="s">
        <v>9</v>
      </c>
      <c r="AA223" s="18">
        <f>(VLOOKUP(X223,'[1]Simulation pricing per sub assy'!$D:$E,2,0))*Y223</f>
        <v>1.5769808000000001</v>
      </c>
    </row>
    <row r="224" spans="1:27" x14ac:dyDescent="0.35">
      <c r="A224" s="13" t="s">
        <v>1115</v>
      </c>
      <c r="B224" s="13" t="s">
        <v>1116</v>
      </c>
      <c r="C224" s="42">
        <f t="shared" si="3"/>
        <v>112.6257808</v>
      </c>
      <c r="D224" s="20" t="s">
        <v>42</v>
      </c>
      <c r="E224" s="20">
        <v>1</v>
      </c>
      <c r="F224" s="20" t="s">
        <v>3982</v>
      </c>
      <c r="G224" s="14">
        <f>(VLOOKUP(D224,'[1]BOM Info General'!$A:$L,12,0))*E224</f>
        <v>35.56</v>
      </c>
      <c r="H224" s="21" t="s">
        <v>39</v>
      </c>
      <c r="I224" s="21">
        <v>1</v>
      </c>
      <c r="J224" s="21" t="s">
        <v>46</v>
      </c>
      <c r="K224" s="15">
        <f>(VLOOKUP(H224,'[1]BOM Info General'!$A:$L,12,0))*I224</f>
        <v>24.42</v>
      </c>
      <c r="L224" s="22" t="s">
        <v>54</v>
      </c>
      <c r="M224" s="22">
        <v>1</v>
      </c>
      <c r="N224" s="22" t="s">
        <v>53</v>
      </c>
      <c r="O224" s="9">
        <f>(VLOOKUP(L224,'[1]Simulation pricing per sub assy'!$D:$E,2,0))*M224</f>
        <v>43.868799999999993</v>
      </c>
      <c r="P224" s="23" t="s">
        <v>50</v>
      </c>
      <c r="Q224" s="23">
        <v>2</v>
      </c>
      <c r="R224" s="23" t="s">
        <v>16</v>
      </c>
      <c r="S224" s="40">
        <f>(VLOOKUP(P224,'[1]BOM Info General'!$A:$L,12,0))*Q224</f>
        <v>5.3</v>
      </c>
      <c r="T224" s="24" t="s">
        <v>12</v>
      </c>
      <c r="U224" s="24">
        <v>1</v>
      </c>
      <c r="V224" s="24" t="s">
        <v>13</v>
      </c>
      <c r="W224" s="17">
        <f>(VLOOKUP(T224,'[1]Simulation pricing per sub assy'!$D:$E,2,0))*U224</f>
        <v>1.9</v>
      </c>
      <c r="X224" s="18" t="s">
        <v>615</v>
      </c>
      <c r="Y224" s="25">
        <v>1</v>
      </c>
      <c r="Z224" s="25" t="s">
        <v>9</v>
      </c>
      <c r="AA224" s="18">
        <f>(VLOOKUP(X224,'[1]Simulation pricing per sub assy'!$D:$E,2,0))*Y224</f>
        <v>1.5769808000000001</v>
      </c>
    </row>
    <row r="225" spans="1:27" x14ac:dyDescent="0.35">
      <c r="A225" s="13" t="s">
        <v>1097</v>
      </c>
      <c r="B225" s="13" t="s">
        <v>1098</v>
      </c>
      <c r="C225" s="42">
        <f t="shared" si="3"/>
        <v>112.3657808</v>
      </c>
      <c r="D225" s="20" t="s">
        <v>42</v>
      </c>
      <c r="E225" s="20">
        <v>1</v>
      </c>
      <c r="F225" s="20" t="s">
        <v>3982</v>
      </c>
      <c r="G225" s="14">
        <f>(VLOOKUP(D225,'[1]BOM Info General'!$A:$L,12,0))*E225</f>
        <v>35.56</v>
      </c>
      <c r="H225" s="21" t="s">
        <v>39</v>
      </c>
      <c r="I225" s="21">
        <v>1</v>
      </c>
      <c r="J225" s="21" t="s">
        <v>46</v>
      </c>
      <c r="K225" s="15">
        <f>(VLOOKUP(H225,'[1]BOM Info General'!$A:$L,12,0))*I225</f>
        <v>24.42</v>
      </c>
      <c r="L225" s="22" t="s">
        <v>60</v>
      </c>
      <c r="M225" s="22">
        <v>1</v>
      </c>
      <c r="N225" s="22" t="s">
        <v>57</v>
      </c>
      <c r="O225" s="9">
        <f>(VLOOKUP(L225,'[1]Simulation pricing per sub assy'!$D:$E,2,0))*M225</f>
        <v>43.608799999999988</v>
      </c>
      <c r="P225" s="23" t="s">
        <v>50</v>
      </c>
      <c r="Q225" s="23">
        <v>2</v>
      </c>
      <c r="R225" s="23" t="s">
        <v>16</v>
      </c>
      <c r="S225" s="40">
        <f>(VLOOKUP(P225,'[1]BOM Info General'!$A:$L,12,0))*Q225</f>
        <v>5.3</v>
      </c>
      <c r="T225" s="24" t="s">
        <v>12</v>
      </c>
      <c r="U225" s="24">
        <v>1</v>
      </c>
      <c r="V225" s="24" t="s">
        <v>13</v>
      </c>
      <c r="W225" s="17">
        <f>(VLOOKUP(T225,'[1]Simulation pricing per sub assy'!$D:$E,2,0))*U225</f>
        <v>1.9</v>
      </c>
      <c r="X225" s="18" t="s">
        <v>615</v>
      </c>
      <c r="Y225" s="25">
        <v>1</v>
      </c>
      <c r="Z225" s="25" t="s">
        <v>9</v>
      </c>
      <c r="AA225" s="18">
        <f>(VLOOKUP(X225,'[1]Simulation pricing per sub assy'!$D:$E,2,0))*Y225</f>
        <v>1.5769808000000001</v>
      </c>
    </row>
    <row r="226" spans="1:27" x14ac:dyDescent="0.35">
      <c r="A226" s="13" t="s">
        <v>1133</v>
      </c>
      <c r="B226" s="13" t="s">
        <v>1134</v>
      </c>
      <c r="C226" s="42">
        <f t="shared" si="3"/>
        <v>120.0357808</v>
      </c>
      <c r="D226" s="20" t="s">
        <v>42</v>
      </c>
      <c r="E226" s="20">
        <v>1</v>
      </c>
      <c r="F226" s="20" t="s">
        <v>3982</v>
      </c>
      <c r="G226" s="14">
        <f>(VLOOKUP(D226,'[1]BOM Info General'!$A:$L,12,0))*E226</f>
        <v>35.56</v>
      </c>
      <c r="H226" s="21" t="s">
        <v>39</v>
      </c>
      <c r="I226" s="21">
        <v>1</v>
      </c>
      <c r="J226" s="21" t="s">
        <v>46</v>
      </c>
      <c r="K226" s="15">
        <f>(VLOOKUP(H226,'[1]BOM Info General'!$A:$L,12,0))*I226</f>
        <v>24.42</v>
      </c>
      <c r="L226" s="22" t="s">
        <v>56</v>
      </c>
      <c r="M226" s="22">
        <v>1</v>
      </c>
      <c r="N226" s="22" t="s">
        <v>59</v>
      </c>
      <c r="O226" s="9">
        <f>(VLOOKUP(L226,'[1]Simulation pricing per sub assy'!$D:$E,2,0))*M226</f>
        <v>51.27879999999999</v>
      </c>
      <c r="P226" s="23" t="s">
        <v>50</v>
      </c>
      <c r="Q226" s="23">
        <v>2</v>
      </c>
      <c r="R226" s="23" t="s">
        <v>16</v>
      </c>
      <c r="S226" s="40">
        <f>(VLOOKUP(P226,'[1]BOM Info General'!$A:$L,12,0))*Q226</f>
        <v>5.3</v>
      </c>
      <c r="T226" s="24" t="s">
        <v>12</v>
      </c>
      <c r="U226" s="24">
        <v>1</v>
      </c>
      <c r="V226" s="24" t="s">
        <v>13</v>
      </c>
      <c r="W226" s="17">
        <f>(VLOOKUP(T226,'[1]Simulation pricing per sub assy'!$D:$E,2,0))*U226</f>
        <v>1.9</v>
      </c>
      <c r="X226" s="18" t="s">
        <v>615</v>
      </c>
      <c r="Y226" s="25">
        <v>1</v>
      </c>
      <c r="Z226" s="25" t="s">
        <v>9</v>
      </c>
      <c r="AA226" s="18">
        <f>(VLOOKUP(X226,'[1]Simulation pricing per sub assy'!$D:$E,2,0))*Y226</f>
        <v>1.5769808000000001</v>
      </c>
    </row>
    <row r="227" spans="1:27" x14ac:dyDescent="0.35">
      <c r="A227" s="13" t="s">
        <v>1153</v>
      </c>
      <c r="B227" s="13" t="s">
        <v>1154</v>
      </c>
      <c r="C227" s="42">
        <f t="shared" si="3"/>
        <v>111.0657808</v>
      </c>
      <c r="D227" s="20" t="s">
        <v>42</v>
      </c>
      <c r="E227" s="20">
        <v>1</v>
      </c>
      <c r="F227" s="20" t="s">
        <v>3982</v>
      </c>
      <c r="G227" s="14">
        <f>(VLOOKUP(D227,'[1]BOM Info General'!$A:$L,12,0))*E227</f>
        <v>35.56</v>
      </c>
      <c r="H227" s="21" t="s">
        <v>39</v>
      </c>
      <c r="I227" s="21">
        <v>1</v>
      </c>
      <c r="J227" s="21" t="s">
        <v>46</v>
      </c>
      <c r="K227" s="15">
        <f>(VLOOKUP(H227,'[1]BOM Info General'!$A:$L,12,0))*I227</f>
        <v>24.42</v>
      </c>
      <c r="L227" s="22" t="s">
        <v>523</v>
      </c>
      <c r="M227" s="22">
        <v>1</v>
      </c>
      <c r="N227" s="22" t="s">
        <v>61</v>
      </c>
      <c r="O227" s="9">
        <f>(VLOOKUP(L227,'[1]Simulation pricing per sub assy'!$D:$E,2,0))*M227</f>
        <v>42.308799999999991</v>
      </c>
      <c r="P227" s="23" t="s">
        <v>50</v>
      </c>
      <c r="Q227" s="23">
        <v>2</v>
      </c>
      <c r="R227" s="23" t="s">
        <v>16</v>
      </c>
      <c r="S227" s="40">
        <f>(VLOOKUP(P227,'[1]BOM Info General'!$A:$L,12,0))*Q227</f>
        <v>5.3</v>
      </c>
      <c r="T227" s="24" t="s">
        <v>14</v>
      </c>
      <c r="U227" s="24">
        <v>1</v>
      </c>
      <c r="V227" s="24" t="s">
        <v>15</v>
      </c>
      <c r="W227" s="17">
        <f>(VLOOKUP(T227,'[1]Simulation pricing per sub assy'!$D:$E,2,0))*U227</f>
        <v>1.9</v>
      </c>
      <c r="X227" s="18" t="s">
        <v>615</v>
      </c>
      <c r="Y227" s="25">
        <v>1</v>
      </c>
      <c r="Z227" s="25" t="s">
        <v>9</v>
      </c>
      <c r="AA227" s="18">
        <f>(VLOOKUP(X227,'[1]Simulation pricing per sub assy'!$D:$E,2,0))*Y227</f>
        <v>1.5769808000000001</v>
      </c>
    </row>
    <row r="228" spans="1:27" x14ac:dyDescent="0.35">
      <c r="A228" s="13" t="s">
        <v>1081</v>
      </c>
      <c r="B228" s="13" t="s">
        <v>1082</v>
      </c>
      <c r="C228" s="42">
        <f t="shared" si="3"/>
        <v>112.0457808</v>
      </c>
      <c r="D228" s="20" t="s">
        <v>42</v>
      </c>
      <c r="E228" s="20">
        <v>1</v>
      </c>
      <c r="F228" s="20" t="s">
        <v>3982</v>
      </c>
      <c r="G228" s="14">
        <f>(VLOOKUP(D228,'[1]BOM Info General'!$A:$L,12,0))*E228</f>
        <v>35.56</v>
      </c>
      <c r="H228" s="21" t="s">
        <v>39</v>
      </c>
      <c r="I228" s="21">
        <v>1</v>
      </c>
      <c r="J228" s="21" t="s">
        <v>46</v>
      </c>
      <c r="K228" s="15">
        <f>(VLOOKUP(H228,'[1]BOM Info General'!$A:$L,12,0))*I228</f>
        <v>24.42</v>
      </c>
      <c r="L228" s="22" t="s">
        <v>58</v>
      </c>
      <c r="M228" s="22">
        <v>1</v>
      </c>
      <c r="N228" s="22" t="s">
        <v>55</v>
      </c>
      <c r="O228" s="9">
        <f>(VLOOKUP(L228,'[1]Simulation pricing per sub assy'!$D:$E,2,0))*M228</f>
        <v>43.288799999999988</v>
      </c>
      <c r="P228" s="23" t="s">
        <v>50</v>
      </c>
      <c r="Q228" s="23">
        <v>2</v>
      </c>
      <c r="R228" s="23" t="s">
        <v>16</v>
      </c>
      <c r="S228" s="40">
        <f>(VLOOKUP(P228,'[1]BOM Info General'!$A:$L,12,0))*Q228</f>
        <v>5.3</v>
      </c>
      <c r="T228" s="24" t="s">
        <v>14</v>
      </c>
      <c r="U228" s="24">
        <v>1</v>
      </c>
      <c r="V228" s="24" t="s">
        <v>15</v>
      </c>
      <c r="W228" s="17">
        <f>(VLOOKUP(T228,'[1]Simulation pricing per sub assy'!$D:$E,2,0))*U228</f>
        <v>1.9</v>
      </c>
      <c r="X228" s="18" t="s">
        <v>615</v>
      </c>
      <c r="Y228" s="25">
        <v>1</v>
      </c>
      <c r="Z228" s="25" t="s">
        <v>9</v>
      </c>
      <c r="AA228" s="18">
        <f>(VLOOKUP(X228,'[1]Simulation pricing per sub assy'!$D:$E,2,0))*Y228</f>
        <v>1.5769808000000001</v>
      </c>
    </row>
    <row r="229" spans="1:27" x14ac:dyDescent="0.35">
      <c r="A229" s="13" t="s">
        <v>1117</v>
      </c>
      <c r="B229" s="13" t="s">
        <v>1118</v>
      </c>
      <c r="C229" s="42">
        <f t="shared" si="3"/>
        <v>112.6257808</v>
      </c>
      <c r="D229" s="20" t="s">
        <v>42</v>
      </c>
      <c r="E229" s="20">
        <v>1</v>
      </c>
      <c r="F229" s="20" t="s">
        <v>3982</v>
      </c>
      <c r="G229" s="14">
        <f>(VLOOKUP(D229,'[1]BOM Info General'!$A:$L,12,0))*E229</f>
        <v>35.56</v>
      </c>
      <c r="H229" s="21" t="s">
        <v>39</v>
      </c>
      <c r="I229" s="21">
        <v>1</v>
      </c>
      <c r="J229" s="21" t="s">
        <v>46</v>
      </c>
      <c r="K229" s="15">
        <f>(VLOOKUP(H229,'[1]BOM Info General'!$A:$L,12,0))*I229</f>
        <v>24.42</v>
      </c>
      <c r="L229" s="22" t="s">
        <v>54</v>
      </c>
      <c r="M229" s="22">
        <v>1</v>
      </c>
      <c r="N229" s="22" t="s">
        <v>53</v>
      </c>
      <c r="O229" s="9">
        <f>(VLOOKUP(L229,'[1]Simulation pricing per sub assy'!$D:$E,2,0))*M229</f>
        <v>43.868799999999993</v>
      </c>
      <c r="P229" s="23" t="s">
        <v>50</v>
      </c>
      <c r="Q229" s="23">
        <v>2</v>
      </c>
      <c r="R229" s="23" t="s">
        <v>16</v>
      </c>
      <c r="S229" s="40">
        <f>(VLOOKUP(P229,'[1]BOM Info General'!$A:$L,12,0))*Q229</f>
        <v>5.3</v>
      </c>
      <c r="T229" s="24" t="s">
        <v>14</v>
      </c>
      <c r="U229" s="24">
        <v>1</v>
      </c>
      <c r="V229" s="24" t="s">
        <v>15</v>
      </c>
      <c r="W229" s="17">
        <f>(VLOOKUP(T229,'[1]Simulation pricing per sub assy'!$D:$E,2,0))*U229</f>
        <v>1.9</v>
      </c>
      <c r="X229" s="18" t="s">
        <v>615</v>
      </c>
      <c r="Y229" s="25">
        <v>1</v>
      </c>
      <c r="Z229" s="25" t="s">
        <v>9</v>
      </c>
      <c r="AA229" s="18">
        <f>(VLOOKUP(X229,'[1]Simulation pricing per sub assy'!$D:$E,2,0))*Y229</f>
        <v>1.5769808000000001</v>
      </c>
    </row>
    <row r="230" spans="1:27" x14ac:dyDescent="0.35">
      <c r="A230" s="13" t="s">
        <v>1099</v>
      </c>
      <c r="B230" s="13" t="s">
        <v>1100</v>
      </c>
      <c r="C230" s="42">
        <f t="shared" si="3"/>
        <v>112.3657808</v>
      </c>
      <c r="D230" s="20" t="s">
        <v>42</v>
      </c>
      <c r="E230" s="20">
        <v>1</v>
      </c>
      <c r="F230" s="20" t="s">
        <v>3982</v>
      </c>
      <c r="G230" s="14">
        <f>(VLOOKUP(D230,'[1]BOM Info General'!$A:$L,12,0))*E230</f>
        <v>35.56</v>
      </c>
      <c r="H230" s="21" t="s">
        <v>39</v>
      </c>
      <c r="I230" s="21">
        <v>1</v>
      </c>
      <c r="J230" s="21" t="s">
        <v>46</v>
      </c>
      <c r="K230" s="15">
        <f>(VLOOKUP(H230,'[1]BOM Info General'!$A:$L,12,0))*I230</f>
        <v>24.42</v>
      </c>
      <c r="L230" s="22" t="s">
        <v>60</v>
      </c>
      <c r="M230" s="22">
        <v>1</v>
      </c>
      <c r="N230" s="22" t="s">
        <v>57</v>
      </c>
      <c r="O230" s="9">
        <f>(VLOOKUP(L230,'[1]Simulation pricing per sub assy'!$D:$E,2,0))*M230</f>
        <v>43.608799999999988</v>
      </c>
      <c r="P230" s="23" t="s">
        <v>50</v>
      </c>
      <c r="Q230" s="23">
        <v>2</v>
      </c>
      <c r="R230" s="23" t="s">
        <v>16</v>
      </c>
      <c r="S230" s="40">
        <f>(VLOOKUP(P230,'[1]BOM Info General'!$A:$L,12,0))*Q230</f>
        <v>5.3</v>
      </c>
      <c r="T230" s="24" t="s">
        <v>14</v>
      </c>
      <c r="U230" s="24">
        <v>1</v>
      </c>
      <c r="V230" s="24" t="s">
        <v>15</v>
      </c>
      <c r="W230" s="17">
        <f>(VLOOKUP(T230,'[1]Simulation pricing per sub assy'!$D:$E,2,0))*U230</f>
        <v>1.9</v>
      </c>
      <c r="X230" s="18" t="s">
        <v>615</v>
      </c>
      <c r="Y230" s="25">
        <v>1</v>
      </c>
      <c r="Z230" s="25" t="s">
        <v>9</v>
      </c>
      <c r="AA230" s="18">
        <f>(VLOOKUP(X230,'[1]Simulation pricing per sub assy'!$D:$E,2,0))*Y230</f>
        <v>1.5769808000000001</v>
      </c>
    </row>
    <row r="231" spans="1:27" x14ac:dyDescent="0.35">
      <c r="A231" s="13" t="s">
        <v>1135</v>
      </c>
      <c r="B231" s="13" t="s">
        <v>1136</v>
      </c>
      <c r="C231" s="42">
        <f t="shared" si="3"/>
        <v>120.0357808</v>
      </c>
      <c r="D231" s="20" t="s">
        <v>42</v>
      </c>
      <c r="E231" s="20">
        <v>1</v>
      </c>
      <c r="F231" s="20" t="s">
        <v>3982</v>
      </c>
      <c r="G231" s="14">
        <f>(VLOOKUP(D231,'[1]BOM Info General'!$A:$L,12,0))*E231</f>
        <v>35.56</v>
      </c>
      <c r="H231" s="21" t="s">
        <v>39</v>
      </c>
      <c r="I231" s="21">
        <v>1</v>
      </c>
      <c r="J231" s="21" t="s">
        <v>46</v>
      </c>
      <c r="K231" s="15">
        <f>(VLOOKUP(H231,'[1]BOM Info General'!$A:$L,12,0))*I231</f>
        <v>24.42</v>
      </c>
      <c r="L231" s="22" t="s">
        <v>56</v>
      </c>
      <c r="M231" s="22">
        <v>1</v>
      </c>
      <c r="N231" s="22" t="s">
        <v>59</v>
      </c>
      <c r="O231" s="9">
        <f>(VLOOKUP(L231,'[1]Simulation pricing per sub assy'!$D:$E,2,0))*M231</f>
        <v>51.27879999999999</v>
      </c>
      <c r="P231" s="23" t="s">
        <v>50</v>
      </c>
      <c r="Q231" s="23">
        <v>2</v>
      </c>
      <c r="R231" s="23" t="s">
        <v>16</v>
      </c>
      <c r="S231" s="40">
        <f>(VLOOKUP(P231,'[1]BOM Info General'!$A:$L,12,0))*Q231</f>
        <v>5.3</v>
      </c>
      <c r="T231" s="24" t="s">
        <v>14</v>
      </c>
      <c r="U231" s="24">
        <v>1</v>
      </c>
      <c r="V231" s="24" t="s">
        <v>15</v>
      </c>
      <c r="W231" s="17">
        <f>(VLOOKUP(T231,'[1]Simulation pricing per sub assy'!$D:$E,2,0))*U231</f>
        <v>1.9</v>
      </c>
      <c r="X231" s="18" t="s">
        <v>615</v>
      </c>
      <c r="Y231" s="25">
        <v>1</v>
      </c>
      <c r="Z231" s="25" t="s">
        <v>9</v>
      </c>
      <c r="AA231" s="18">
        <f>(VLOOKUP(X231,'[1]Simulation pricing per sub assy'!$D:$E,2,0))*Y231</f>
        <v>1.5769808000000001</v>
      </c>
    </row>
    <row r="232" spans="1:27" x14ac:dyDescent="0.35">
      <c r="A232" s="13" t="s">
        <v>1155</v>
      </c>
      <c r="B232" s="13" t="s">
        <v>1156</v>
      </c>
      <c r="C232" s="42">
        <f t="shared" si="3"/>
        <v>111.21578079999999</v>
      </c>
      <c r="D232" s="20" t="s">
        <v>42</v>
      </c>
      <c r="E232" s="20">
        <v>1</v>
      </c>
      <c r="F232" s="20" t="s">
        <v>3982</v>
      </c>
      <c r="G232" s="14">
        <f>(VLOOKUP(D232,'[1]BOM Info General'!$A:$L,12,0))*E232</f>
        <v>35.56</v>
      </c>
      <c r="H232" s="21" t="s">
        <v>39</v>
      </c>
      <c r="I232" s="21">
        <v>1</v>
      </c>
      <c r="J232" s="21" t="s">
        <v>46</v>
      </c>
      <c r="K232" s="15">
        <f>(VLOOKUP(H232,'[1]BOM Info General'!$A:$L,12,0))*I232</f>
        <v>24.42</v>
      </c>
      <c r="L232" s="22" t="s">
        <v>523</v>
      </c>
      <c r="M232" s="22">
        <v>1</v>
      </c>
      <c r="N232" s="22" t="s">
        <v>61</v>
      </c>
      <c r="O232" s="9">
        <f>(VLOOKUP(L232,'[1]Simulation pricing per sub assy'!$D:$E,2,0))*M232</f>
        <v>42.308799999999991</v>
      </c>
      <c r="P232" s="23" t="s">
        <v>51</v>
      </c>
      <c r="Q232" s="23">
        <v>2</v>
      </c>
      <c r="R232" s="23" t="s">
        <v>17</v>
      </c>
      <c r="S232" s="40">
        <f>(VLOOKUP(P232,'[1]BOM Info General'!$A:$L,12,0))*Q232</f>
        <v>5.3</v>
      </c>
      <c r="T232" s="24" t="s">
        <v>10</v>
      </c>
      <c r="U232" s="24">
        <v>1</v>
      </c>
      <c r="V232" s="24" t="s">
        <v>11</v>
      </c>
      <c r="W232" s="17">
        <f>(VLOOKUP(T232,'[1]Simulation pricing per sub assy'!$D:$E,2,0))*U232</f>
        <v>2.0499999999999998</v>
      </c>
      <c r="X232" s="18" t="s">
        <v>615</v>
      </c>
      <c r="Y232" s="25">
        <v>1</v>
      </c>
      <c r="Z232" s="25" t="s">
        <v>9</v>
      </c>
      <c r="AA232" s="18">
        <f>(VLOOKUP(X232,'[1]Simulation pricing per sub assy'!$D:$E,2,0))*Y232</f>
        <v>1.5769808000000001</v>
      </c>
    </row>
    <row r="233" spans="1:27" x14ac:dyDescent="0.35">
      <c r="A233" s="13" t="s">
        <v>1083</v>
      </c>
      <c r="B233" s="13" t="s">
        <v>1084</v>
      </c>
      <c r="C233" s="42">
        <f t="shared" si="3"/>
        <v>112.19578079999999</v>
      </c>
      <c r="D233" s="20" t="s">
        <v>42</v>
      </c>
      <c r="E233" s="20">
        <v>1</v>
      </c>
      <c r="F233" s="20" t="s">
        <v>3982</v>
      </c>
      <c r="G233" s="14">
        <f>(VLOOKUP(D233,'[1]BOM Info General'!$A:$L,12,0))*E233</f>
        <v>35.56</v>
      </c>
      <c r="H233" s="21" t="s">
        <v>39</v>
      </c>
      <c r="I233" s="21">
        <v>1</v>
      </c>
      <c r="J233" s="21" t="s">
        <v>46</v>
      </c>
      <c r="K233" s="15">
        <f>(VLOOKUP(H233,'[1]BOM Info General'!$A:$L,12,0))*I233</f>
        <v>24.42</v>
      </c>
      <c r="L233" s="22" t="s">
        <v>58</v>
      </c>
      <c r="M233" s="22">
        <v>1</v>
      </c>
      <c r="N233" s="22" t="s">
        <v>55</v>
      </c>
      <c r="O233" s="9">
        <f>(VLOOKUP(L233,'[1]Simulation pricing per sub assy'!$D:$E,2,0))*M233</f>
        <v>43.288799999999988</v>
      </c>
      <c r="P233" s="23" t="s">
        <v>51</v>
      </c>
      <c r="Q233" s="23">
        <v>2</v>
      </c>
      <c r="R233" s="23" t="s">
        <v>17</v>
      </c>
      <c r="S233" s="40">
        <f>(VLOOKUP(P233,'[1]BOM Info General'!$A:$L,12,0))*Q233</f>
        <v>5.3</v>
      </c>
      <c r="T233" s="24" t="s">
        <v>10</v>
      </c>
      <c r="U233" s="24">
        <v>1</v>
      </c>
      <c r="V233" s="24" t="s">
        <v>11</v>
      </c>
      <c r="W233" s="17">
        <f>(VLOOKUP(T233,'[1]Simulation pricing per sub assy'!$D:$E,2,0))*U233</f>
        <v>2.0499999999999998</v>
      </c>
      <c r="X233" s="18" t="s">
        <v>615</v>
      </c>
      <c r="Y233" s="25">
        <v>1</v>
      </c>
      <c r="Z233" s="25" t="s">
        <v>9</v>
      </c>
      <c r="AA233" s="18">
        <f>(VLOOKUP(X233,'[1]Simulation pricing per sub assy'!$D:$E,2,0))*Y233</f>
        <v>1.5769808000000001</v>
      </c>
    </row>
    <row r="234" spans="1:27" x14ac:dyDescent="0.35">
      <c r="A234" s="13" t="s">
        <v>1119</v>
      </c>
      <c r="B234" s="13" t="s">
        <v>1120</v>
      </c>
      <c r="C234" s="42">
        <f t="shared" si="3"/>
        <v>112.77578079999999</v>
      </c>
      <c r="D234" s="20" t="s">
        <v>42</v>
      </c>
      <c r="E234" s="20">
        <v>1</v>
      </c>
      <c r="F234" s="20" t="s">
        <v>3982</v>
      </c>
      <c r="G234" s="14">
        <f>(VLOOKUP(D234,'[1]BOM Info General'!$A:$L,12,0))*E234</f>
        <v>35.56</v>
      </c>
      <c r="H234" s="21" t="s">
        <v>39</v>
      </c>
      <c r="I234" s="21">
        <v>1</v>
      </c>
      <c r="J234" s="21" t="s">
        <v>46</v>
      </c>
      <c r="K234" s="15">
        <f>(VLOOKUP(H234,'[1]BOM Info General'!$A:$L,12,0))*I234</f>
        <v>24.42</v>
      </c>
      <c r="L234" s="22" t="s">
        <v>54</v>
      </c>
      <c r="M234" s="22">
        <v>1</v>
      </c>
      <c r="N234" s="22" t="s">
        <v>53</v>
      </c>
      <c r="O234" s="9">
        <f>(VLOOKUP(L234,'[1]Simulation pricing per sub assy'!$D:$E,2,0))*M234</f>
        <v>43.868799999999993</v>
      </c>
      <c r="P234" s="23" t="s">
        <v>51</v>
      </c>
      <c r="Q234" s="23">
        <v>2</v>
      </c>
      <c r="R234" s="23" t="s">
        <v>17</v>
      </c>
      <c r="S234" s="40">
        <f>(VLOOKUP(P234,'[1]BOM Info General'!$A:$L,12,0))*Q234</f>
        <v>5.3</v>
      </c>
      <c r="T234" s="24" t="s">
        <v>10</v>
      </c>
      <c r="U234" s="24">
        <v>1</v>
      </c>
      <c r="V234" s="24" t="s">
        <v>11</v>
      </c>
      <c r="W234" s="17">
        <f>(VLOOKUP(T234,'[1]Simulation pricing per sub assy'!$D:$E,2,0))*U234</f>
        <v>2.0499999999999998</v>
      </c>
      <c r="X234" s="18" t="s">
        <v>615</v>
      </c>
      <c r="Y234" s="25">
        <v>1</v>
      </c>
      <c r="Z234" s="25" t="s">
        <v>9</v>
      </c>
      <c r="AA234" s="18">
        <f>(VLOOKUP(X234,'[1]Simulation pricing per sub assy'!$D:$E,2,0))*Y234</f>
        <v>1.5769808000000001</v>
      </c>
    </row>
    <row r="235" spans="1:27" x14ac:dyDescent="0.35">
      <c r="A235" s="13" t="s">
        <v>1101</v>
      </c>
      <c r="B235" s="13" t="s">
        <v>1102</v>
      </c>
      <c r="C235" s="42">
        <f t="shared" si="3"/>
        <v>112.51578079999999</v>
      </c>
      <c r="D235" s="20" t="s">
        <v>42</v>
      </c>
      <c r="E235" s="20">
        <v>1</v>
      </c>
      <c r="F235" s="20" t="s">
        <v>3982</v>
      </c>
      <c r="G235" s="14">
        <f>(VLOOKUP(D235,'[1]BOM Info General'!$A:$L,12,0))*E235</f>
        <v>35.56</v>
      </c>
      <c r="H235" s="21" t="s">
        <v>39</v>
      </c>
      <c r="I235" s="21">
        <v>1</v>
      </c>
      <c r="J235" s="21" t="s">
        <v>46</v>
      </c>
      <c r="K235" s="15">
        <f>(VLOOKUP(H235,'[1]BOM Info General'!$A:$L,12,0))*I235</f>
        <v>24.42</v>
      </c>
      <c r="L235" s="22" t="s">
        <v>60</v>
      </c>
      <c r="M235" s="22">
        <v>1</v>
      </c>
      <c r="N235" s="22" t="s">
        <v>57</v>
      </c>
      <c r="O235" s="9">
        <f>(VLOOKUP(L235,'[1]Simulation pricing per sub assy'!$D:$E,2,0))*M235</f>
        <v>43.608799999999988</v>
      </c>
      <c r="P235" s="23" t="s">
        <v>51</v>
      </c>
      <c r="Q235" s="23">
        <v>2</v>
      </c>
      <c r="R235" s="23" t="s">
        <v>17</v>
      </c>
      <c r="S235" s="40">
        <f>(VLOOKUP(P235,'[1]BOM Info General'!$A:$L,12,0))*Q235</f>
        <v>5.3</v>
      </c>
      <c r="T235" s="24" t="s">
        <v>10</v>
      </c>
      <c r="U235" s="24">
        <v>1</v>
      </c>
      <c r="V235" s="24" t="s">
        <v>11</v>
      </c>
      <c r="W235" s="17">
        <f>(VLOOKUP(T235,'[1]Simulation pricing per sub assy'!$D:$E,2,0))*U235</f>
        <v>2.0499999999999998</v>
      </c>
      <c r="X235" s="18" t="s">
        <v>615</v>
      </c>
      <c r="Y235" s="25">
        <v>1</v>
      </c>
      <c r="Z235" s="25" t="s">
        <v>9</v>
      </c>
      <c r="AA235" s="18">
        <f>(VLOOKUP(X235,'[1]Simulation pricing per sub assy'!$D:$E,2,0))*Y235</f>
        <v>1.5769808000000001</v>
      </c>
    </row>
    <row r="236" spans="1:27" x14ac:dyDescent="0.35">
      <c r="A236" s="13" t="s">
        <v>1137</v>
      </c>
      <c r="B236" s="13" t="s">
        <v>1138</v>
      </c>
      <c r="C236" s="42">
        <f t="shared" si="3"/>
        <v>120.18578079999999</v>
      </c>
      <c r="D236" s="20" t="s">
        <v>42</v>
      </c>
      <c r="E236" s="20">
        <v>1</v>
      </c>
      <c r="F236" s="20" t="s">
        <v>3982</v>
      </c>
      <c r="G236" s="14">
        <f>(VLOOKUP(D236,'[1]BOM Info General'!$A:$L,12,0))*E236</f>
        <v>35.56</v>
      </c>
      <c r="H236" s="21" t="s">
        <v>39</v>
      </c>
      <c r="I236" s="21">
        <v>1</v>
      </c>
      <c r="J236" s="21" t="s">
        <v>46</v>
      </c>
      <c r="K236" s="15">
        <f>(VLOOKUP(H236,'[1]BOM Info General'!$A:$L,12,0))*I236</f>
        <v>24.42</v>
      </c>
      <c r="L236" s="22" t="s">
        <v>56</v>
      </c>
      <c r="M236" s="22">
        <v>1</v>
      </c>
      <c r="N236" s="22" t="s">
        <v>59</v>
      </c>
      <c r="O236" s="9">
        <f>(VLOOKUP(L236,'[1]Simulation pricing per sub assy'!$D:$E,2,0))*M236</f>
        <v>51.27879999999999</v>
      </c>
      <c r="P236" s="23" t="s">
        <v>51</v>
      </c>
      <c r="Q236" s="23">
        <v>2</v>
      </c>
      <c r="R236" s="23" t="s">
        <v>17</v>
      </c>
      <c r="S236" s="40">
        <f>(VLOOKUP(P236,'[1]BOM Info General'!$A:$L,12,0))*Q236</f>
        <v>5.3</v>
      </c>
      <c r="T236" s="24" t="s">
        <v>10</v>
      </c>
      <c r="U236" s="24">
        <v>1</v>
      </c>
      <c r="V236" s="24" t="s">
        <v>11</v>
      </c>
      <c r="W236" s="17">
        <f>(VLOOKUP(T236,'[1]Simulation pricing per sub assy'!$D:$E,2,0))*U236</f>
        <v>2.0499999999999998</v>
      </c>
      <c r="X236" s="18" t="s">
        <v>615</v>
      </c>
      <c r="Y236" s="25">
        <v>1</v>
      </c>
      <c r="Z236" s="25" t="s">
        <v>9</v>
      </c>
      <c r="AA236" s="18">
        <f>(VLOOKUP(X236,'[1]Simulation pricing per sub assy'!$D:$E,2,0))*Y236</f>
        <v>1.5769808000000001</v>
      </c>
    </row>
    <row r="237" spans="1:27" x14ac:dyDescent="0.35">
      <c r="A237" s="13" t="s">
        <v>1157</v>
      </c>
      <c r="B237" s="13" t="s">
        <v>1158</v>
      </c>
      <c r="C237" s="42">
        <f t="shared" si="3"/>
        <v>111.0657808</v>
      </c>
      <c r="D237" s="20" t="s">
        <v>42</v>
      </c>
      <c r="E237" s="20">
        <v>1</v>
      </c>
      <c r="F237" s="20" t="s">
        <v>3982</v>
      </c>
      <c r="G237" s="14">
        <f>(VLOOKUP(D237,'[1]BOM Info General'!$A:$L,12,0))*E237</f>
        <v>35.56</v>
      </c>
      <c r="H237" s="21" t="s">
        <v>39</v>
      </c>
      <c r="I237" s="21">
        <v>1</v>
      </c>
      <c r="J237" s="21" t="s">
        <v>46</v>
      </c>
      <c r="K237" s="15">
        <f>(VLOOKUP(H237,'[1]BOM Info General'!$A:$L,12,0))*I237</f>
        <v>24.42</v>
      </c>
      <c r="L237" s="22" t="s">
        <v>523</v>
      </c>
      <c r="M237" s="22">
        <v>1</v>
      </c>
      <c r="N237" s="22" t="s">
        <v>61</v>
      </c>
      <c r="O237" s="9">
        <f>(VLOOKUP(L237,'[1]Simulation pricing per sub assy'!$D:$E,2,0))*M237</f>
        <v>42.308799999999991</v>
      </c>
      <c r="P237" s="23" t="s">
        <v>51</v>
      </c>
      <c r="Q237" s="23">
        <v>2</v>
      </c>
      <c r="R237" s="23" t="s">
        <v>17</v>
      </c>
      <c r="S237" s="40">
        <f>(VLOOKUP(P237,'[1]BOM Info General'!$A:$L,12,0))*Q237</f>
        <v>5.3</v>
      </c>
      <c r="T237" s="24" t="s">
        <v>12</v>
      </c>
      <c r="U237" s="24">
        <v>1</v>
      </c>
      <c r="V237" s="24" t="s">
        <v>13</v>
      </c>
      <c r="W237" s="17">
        <f>(VLOOKUP(T237,'[1]Simulation pricing per sub assy'!$D:$E,2,0))*U237</f>
        <v>1.9</v>
      </c>
      <c r="X237" s="18" t="s">
        <v>615</v>
      </c>
      <c r="Y237" s="25">
        <v>1</v>
      </c>
      <c r="Z237" s="25" t="s">
        <v>9</v>
      </c>
      <c r="AA237" s="18">
        <f>(VLOOKUP(X237,'[1]Simulation pricing per sub assy'!$D:$E,2,0))*Y237</f>
        <v>1.5769808000000001</v>
      </c>
    </row>
    <row r="238" spans="1:27" x14ac:dyDescent="0.35">
      <c r="A238" s="13" t="s">
        <v>1085</v>
      </c>
      <c r="B238" s="13" t="s">
        <v>1086</v>
      </c>
      <c r="C238" s="42">
        <f t="shared" si="3"/>
        <v>112.0457808</v>
      </c>
      <c r="D238" s="20" t="s">
        <v>42</v>
      </c>
      <c r="E238" s="20">
        <v>1</v>
      </c>
      <c r="F238" s="20" t="s">
        <v>3982</v>
      </c>
      <c r="G238" s="14">
        <f>(VLOOKUP(D238,'[1]BOM Info General'!$A:$L,12,0))*E238</f>
        <v>35.56</v>
      </c>
      <c r="H238" s="21" t="s">
        <v>39</v>
      </c>
      <c r="I238" s="21">
        <v>1</v>
      </c>
      <c r="J238" s="21" t="s">
        <v>46</v>
      </c>
      <c r="K238" s="15">
        <f>(VLOOKUP(H238,'[1]BOM Info General'!$A:$L,12,0))*I238</f>
        <v>24.42</v>
      </c>
      <c r="L238" s="22" t="s">
        <v>58</v>
      </c>
      <c r="M238" s="22">
        <v>1</v>
      </c>
      <c r="N238" s="22" t="s">
        <v>55</v>
      </c>
      <c r="O238" s="9">
        <f>(VLOOKUP(L238,'[1]Simulation pricing per sub assy'!$D:$E,2,0))*M238</f>
        <v>43.288799999999988</v>
      </c>
      <c r="P238" s="23" t="s">
        <v>51</v>
      </c>
      <c r="Q238" s="23">
        <v>2</v>
      </c>
      <c r="R238" s="23" t="s">
        <v>17</v>
      </c>
      <c r="S238" s="40">
        <f>(VLOOKUP(P238,'[1]BOM Info General'!$A:$L,12,0))*Q238</f>
        <v>5.3</v>
      </c>
      <c r="T238" s="24" t="s">
        <v>12</v>
      </c>
      <c r="U238" s="24">
        <v>1</v>
      </c>
      <c r="V238" s="24" t="s">
        <v>13</v>
      </c>
      <c r="W238" s="17">
        <f>(VLOOKUP(T238,'[1]Simulation pricing per sub assy'!$D:$E,2,0))*U238</f>
        <v>1.9</v>
      </c>
      <c r="X238" s="18" t="s">
        <v>615</v>
      </c>
      <c r="Y238" s="25">
        <v>1</v>
      </c>
      <c r="Z238" s="25" t="s">
        <v>9</v>
      </c>
      <c r="AA238" s="18">
        <f>(VLOOKUP(X238,'[1]Simulation pricing per sub assy'!$D:$E,2,0))*Y238</f>
        <v>1.5769808000000001</v>
      </c>
    </row>
    <row r="239" spans="1:27" x14ac:dyDescent="0.35">
      <c r="A239" s="13" t="s">
        <v>1121</v>
      </c>
      <c r="B239" s="13" t="s">
        <v>1122</v>
      </c>
      <c r="C239" s="42">
        <f t="shared" si="3"/>
        <v>112.6257808</v>
      </c>
      <c r="D239" s="20" t="s">
        <v>42</v>
      </c>
      <c r="E239" s="20">
        <v>1</v>
      </c>
      <c r="F239" s="20" t="s">
        <v>3982</v>
      </c>
      <c r="G239" s="14">
        <f>(VLOOKUP(D239,'[1]BOM Info General'!$A:$L,12,0))*E239</f>
        <v>35.56</v>
      </c>
      <c r="H239" s="21" t="s">
        <v>39</v>
      </c>
      <c r="I239" s="21">
        <v>1</v>
      </c>
      <c r="J239" s="21" t="s">
        <v>46</v>
      </c>
      <c r="K239" s="15">
        <f>(VLOOKUP(H239,'[1]BOM Info General'!$A:$L,12,0))*I239</f>
        <v>24.42</v>
      </c>
      <c r="L239" s="22" t="s">
        <v>54</v>
      </c>
      <c r="M239" s="22">
        <v>1</v>
      </c>
      <c r="N239" s="22" t="s">
        <v>53</v>
      </c>
      <c r="O239" s="9">
        <f>(VLOOKUP(L239,'[1]Simulation pricing per sub assy'!$D:$E,2,0))*M239</f>
        <v>43.868799999999993</v>
      </c>
      <c r="P239" s="23" t="s">
        <v>51</v>
      </c>
      <c r="Q239" s="23">
        <v>2</v>
      </c>
      <c r="R239" s="23" t="s">
        <v>17</v>
      </c>
      <c r="S239" s="40">
        <f>(VLOOKUP(P239,'[1]BOM Info General'!$A:$L,12,0))*Q239</f>
        <v>5.3</v>
      </c>
      <c r="T239" s="24" t="s">
        <v>12</v>
      </c>
      <c r="U239" s="24">
        <v>1</v>
      </c>
      <c r="V239" s="24" t="s">
        <v>13</v>
      </c>
      <c r="W239" s="17">
        <f>(VLOOKUP(T239,'[1]Simulation pricing per sub assy'!$D:$E,2,0))*U239</f>
        <v>1.9</v>
      </c>
      <c r="X239" s="18" t="s">
        <v>615</v>
      </c>
      <c r="Y239" s="25">
        <v>1</v>
      </c>
      <c r="Z239" s="25" t="s">
        <v>9</v>
      </c>
      <c r="AA239" s="18">
        <f>(VLOOKUP(X239,'[1]Simulation pricing per sub assy'!$D:$E,2,0))*Y239</f>
        <v>1.5769808000000001</v>
      </c>
    </row>
    <row r="240" spans="1:27" x14ac:dyDescent="0.35">
      <c r="A240" s="13" t="s">
        <v>1103</v>
      </c>
      <c r="B240" s="13" t="s">
        <v>1104</v>
      </c>
      <c r="C240" s="42">
        <f t="shared" si="3"/>
        <v>112.3657808</v>
      </c>
      <c r="D240" s="20" t="s">
        <v>42</v>
      </c>
      <c r="E240" s="20">
        <v>1</v>
      </c>
      <c r="F240" s="20" t="s">
        <v>3982</v>
      </c>
      <c r="G240" s="14">
        <f>(VLOOKUP(D240,'[1]BOM Info General'!$A:$L,12,0))*E240</f>
        <v>35.56</v>
      </c>
      <c r="H240" s="21" t="s">
        <v>39</v>
      </c>
      <c r="I240" s="21">
        <v>1</v>
      </c>
      <c r="J240" s="21" t="s">
        <v>46</v>
      </c>
      <c r="K240" s="15">
        <f>(VLOOKUP(H240,'[1]BOM Info General'!$A:$L,12,0))*I240</f>
        <v>24.42</v>
      </c>
      <c r="L240" s="22" t="s">
        <v>60</v>
      </c>
      <c r="M240" s="22">
        <v>1</v>
      </c>
      <c r="N240" s="22" t="s">
        <v>57</v>
      </c>
      <c r="O240" s="9">
        <f>(VLOOKUP(L240,'[1]Simulation pricing per sub assy'!$D:$E,2,0))*M240</f>
        <v>43.608799999999988</v>
      </c>
      <c r="P240" s="23" t="s">
        <v>51</v>
      </c>
      <c r="Q240" s="23">
        <v>2</v>
      </c>
      <c r="R240" s="23" t="s">
        <v>17</v>
      </c>
      <c r="S240" s="40">
        <f>(VLOOKUP(P240,'[1]BOM Info General'!$A:$L,12,0))*Q240</f>
        <v>5.3</v>
      </c>
      <c r="T240" s="24" t="s">
        <v>12</v>
      </c>
      <c r="U240" s="24">
        <v>1</v>
      </c>
      <c r="V240" s="24" t="s">
        <v>13</v>
      </c>
      <c r="W240" s="17">
        <f>(VLOOKUP(T240,'[1]Simulation pricing per sub assy'!$D:$E,2,0))*U240</f>
        <v>1.9</v>
      </c>
      <c r="X240" s="18" t="s">
        <v>615</v>
      </c>
      <c r="Y240" s="25">
        <v>1</v>
      </c>
      <c r="Z240" s="25" t="s">
        <v>9</v>
      </c>
      <c r="AA240" s="18">
        <f>(VLOOKUP(X240,'[1]Simulation pricing per sub assy'!$D:$E,2,0))*Y240</f>
        <v>1.5769808000000001</v>
      </c>
    </row>
    <row r="241" spans="1:27" x14ac:dyDescent="0.35">
      <c r="A241" s="13" t="s">
        <v>1139</v>
      </c>
      <c r="B241" s="13" t="s">
        <v>1140</v>
      </c>
      <c r="C241" s="42">
        <f t="shared" si="3"/>
        <v>120.0357808</v>
      </c>
      <c r="D241" s="20" t="s">
        <v>42</v>
      </c>
      <c r="E241" s="20">
        <v>1</v>
      </c>
      <c r="F241" s="20" t="s">
        <v>3982</v>
      </c>
      <c r="G241" s="14">
        <f>(VLOOKUP(D241,'[1]BOM Info General'!$A:$L,12,0))*E241</f>
        <v>35.56</v>
      </c>
      <c r="H241" s="21" t="s">
        <v>39</v>
      </c>
      <c r="I241" s="21">
        <v>1</v>
      </c>
      <c r="J241" s="21" t="s">
        <v>46</v>
      </c>
      <c r="K241" s="15">
        <f>(VLOOKUP(H241,'[1]BOM Info General'!$A:$L,12,0))*I241</f>
        <v>24.42</v>
      </c>
      <c r="L241" s="22" t="s">
        <v>56</v>
      </c>
      <c r="M241" s="22">
        <v>1</v>
      </c>
      <c r="N241" s="22" t="s">
        <v>59</v>
      </c>
      <c r="O241" s="9">
        <f>(VLOOKUP(L241,'[1]Simulation pricing per sub assy'!$D:$E,2,0))*M241</f>
        <v>51.27879999999999</v>
      </c>
      <c r="P241" s="23" t="s">
        <v>51</v>
      </c>
      <c r="Q241" s="23">
        <v>2</v>
      </c>
      <c r="R241" s="23" t="s">
        <v>17</v>
      </c>
      <c r="S241" s="40">
        <f>(VLOOKUP(P241,'[1]BOM Info General'!$A:$L,12,0))*Q241</f>
        <v>5.3</v>
      </c>
      <c r="T241" s="24" t="s">
        <v>12</v>
      </c>
      <c r="U241" s="24">
        <v>1</v>
      </c>
      <c r="V241" s="24" t="s">
        <v>13</v>
      </c>
      <c r="W241" s="17">
        <f>(VLOOKUP(T241,'[1]Simulation pricing per sub assy'!$D:$E,2,0))*U241</f>
        <v>1.9</v>
      </c>
      <c r="X241" s="18" t="s">
        <v>615</v>
      </c>
      <c r="Y241" s="25">
        <v>1</v>
      </c>
      <c r="Z241" s="25" t="s">
        <v>9</v>
      </c>
      <c r="AA241" s="18">
        <f>(VLOOKUP(X241,'[1]Simulation pricing per sub assy'!$D:$E,2,0))*Y241</f>
        <v>1.5769808000000001</v>
      </c>
    </row>
    <row r="242" spans="1:27" x14ac:dyDescent="0.35">
      <c r="A242" s="13" t="s">
        <v>1159</v>
      </c>
      <c r="B242" s="13" t="s">
        <v>1160</v>
      </c>
      <c r="C242" s="42">
        <f t="shared" si="3"/>
        <v>111.0657808</v>
      </c>
      <c r="D242" s="20" t="s">
        <v>42</v>
      </c>
      <c r="E242" s="20">
        <v>1</v>
      </c>
      <c r="F242" s="20" t="s">
        <v>3982</v>
      </c>
      <c r="G242" s="14">
        <f>(VLOOKUP(D242,'[1]BOM Info General'!$A:$L,12,0))*E242</f>
        <v>35.56</v>
      </c>
      <c r="H242" s="21" t="s">
        <v>39</v>
      </c>
      <c r="I242" s="21">
        <v>1</v>
      </c>
      <c r="J242" s="21" t="s">
        <v>46</v>
      </c>
      <c r="K242" s="15">
        <f>(VLOOKUP(H242,'[1]BOM Info General'!$A:$L,12,0))*I242</f>
        <v>24.42</v>
      </c>
      <c r="L242" s="22" t="s">
        <v>523</v>
      </c>
      <c r="M242" s="22">
        <v>1</v>
      </c>
      <c r="N242" s="22" t="s">
        <v>61</v>
      </c>
      <c r="O242" s="9">
        <f>(VLOOKUP(L242,'[1]Simulation pricing per sub assy'!$D:$E,2,0))*M242</f>
        <v>42.308799999999991</v>
      </c>
      <c r="P242" s="23" t="s">
        <v>51</v>
      </c>
      <c r="Q242" s="23">
        <v>2</v>
      </c>
      <c r="R242" s="23" t="s">
        <v>17</v>
      </c>
      <c r="S242" s="40">
        <f>(VLOOKUP(P242,'[1]BOM Info General'!$A:$L,12,0))*Q242</f>
        <v>5.3</v>
      </c>
      <c r="T242" s="24" t="s">
        <v>14</v>
      </c>
      <c r="U242" s="24">
        <v>1</v>
      </c>
      <c r="V242" s="24" t="s">
        <v>15</v>
      </c>
      <c r="W242" s="17">
        <f>(VLOOKUP(T242,'[1]Simulation pricing per sub assy'!$D:$E,2,0))*U242</f>
        <v>1.9</v>
      </c>
      <c r="X242" s="18" t="s">
        <v>615</v>
      </c>
      <c r="Y242" s="25">
        <v>1</v>
      </c>
      <c r="Z242" s="25" t="s">
        <v>9</v>
      </c>
      <c r="AA242" s="18">
        <f>(VLOOKUP(X242,'[1]Simulation pricing per sub assy'!$D:$E,2,0))*Y242</f>
        <v>1.5769808000000001</v>
      </c>
    </row>
    <row r="243" spans="1:27" x14ac:dyDescent="0.35">
      <c r="A243" s="13" t="s">
        <v>1087</v>
      </c>
      <c r="B243" s="13" t="s">
        <v>1088</v>
      </c>
      <c r="C243" s="42">
        <f t="shared" si="3"/>
        <v>112.0457808</v>
      </c>
      <c r="D243" s="20" t="s">
        <v>42</v>
      </c>
      <c r="E243" s="20">
        <v>1</v>
      </c>
      <c r="F243" s="20" t="s">
        <v>3982</v>
      </c>
      <c r="G243" s="14">
        <f>(VLOOKUP(D243,'[1]BOM Info General'!$A:$L,12,0))*E243</f>
        <v>35.56</v>
      </c>
      <c r="H243" s="21" t="s">
        <v>39</v>
      </c>
      <c r="I243" s="21">
        <v>1</v>
      </c>
      <c r="J243" s="21" t="s">
        <v>46</v>
      </c>
      <c r="K243" s="15">
        <f>(VLOOKUP(H243,'[1]BOM Info General'!$A:$L,12,0))*I243</f>
        <v>24.42</v>
      </c>
      <c r="L243" s="22" t="s">
        <v>58</v>
      </c>
      <c r="M243" s="22">
        <v>1</v>
      </c>
      <c r="N243" s="22" t="s">
        <v>55</v>
      </c>
      <c r="O243" s="9">
        <f>(VLOOKUP(L243,'[1]Simulation pricing per sub assy'!$D:$E,2,0))*M243</f>
        <v>43.288799999999988</v>
      </c>
      <c r="P243" s="23" t="s">
        <v>51</v>
      </c>
      <c r="Q243" s="23">
        <v>2</v>
      </c>
      <c r="R243" s="23" t="s">
        <v>17</v>
      </c>
      <c r="S243" s="40">
        <f>(VLOOKUP(P243,'[1]BOM Info General'!$A:$L,12,0))*Q243</f>
        <v>5.3</v>
      </c>
      <c r="T243" s="24" t="s">
        <v>14</v>
      </c>
      <c r="U243" s="24">
        <v>1</v>
      </c>
      <c r="V243" s="24" t="s">
        <v>15</v>
      </c>
      <c r="W243" s="17">
        <f>(VLOOKUP(T243,'[1]Simulation pricing per sub assy'!$D:$E,2,0))*U243</f>
        <v>1.9</v>
      </c>
      <c r="X243" s="18" t="s">
        <v>615</v>
      </c>
      <c r="Y243" s="25">
        <v>1</v>
      </c>
      <c r="Z243" s="25" t="s">
        <v>9</v>
      </c>
      <c r="AA243" s="18">
        <f>(VLOOKUP(X243,'[1]Simulation pricing per sub assy'!$D:$E,2,0))*Y243</f>
        <v>1.5769808000000001</v>
      </c>
    </row>
    <row r="244" spans="1:27" x14ac:dyDescent="0.35">
      <c r="A244" s="13" t="s">
        <v>1123</v>
      </c>
      <c r="B244" s="13" t="s">
        <v>1124</v>
      </c>
      <c r="C244" s="42">
        <f t="shared" si="3"/>
        <v>112.6257808</v>
      </c>
      <c r="D244" s="20" t="s">
        <v>42</v>
      </c>
      <c r="E244" s="20">
        <v>1</v>
      </c>
      <c r="F244" s="20" t="s">
        <v>3982</v>
      </c>
      <c r="G244" s="14">
        <f>(VLOOKUP(D244,'[1]BOM Info General'!$A:$L,12,0))*E244</f>
        <v>35.56</v>
      </c>
      <c r="H244" s="21" t="s">
        <v>39</v>
      </c>
      <c r="I244" s="21">
        <v>1</v>
      </c>
      <c r="J244" s="21" t="s">
        <v>46</v>
      </c>
      <c r="K244" s="15">
        <f>(VLOOKUP(H244,'[1]BOM Info General'!$A:$L,12,0))*I244</f>
        <v>24.42</v>
      </c>
      <c r="L244" s="22" t="s">
        <v>54</v>
      </c>
      <c r="M244" s="22">
        <v>1</v>
      </c>
      <c r="N244" s="22" t="s">
        <v>53</v>
      </c>
      <c r="O244" s="9">
        <f>(VLOOKUP(L244,'[1]Simulation pricing per sub assy'!$D:$E,2,0))*M244</f>
        <v>43.868799999999993</v>
      </c>
      <c r="P244" s="23" t="s">
        <v>51</v>
      </c>
      <c r="Q244" s="23">
        <v>2</v>
      </c>
      <c r="R244" s="23" t="s">
        <v>17</v>
      </c>
      <c r="S244" s="40">
        <f>(VLOOKUP(P244,'[1]BOM Info General'!$A:$L,12,0))*Q244</f>
        <v>5.3</v>
      </c>
      <c r="T244" s="24" t="s">
        <v>14</v>
      </c>
      <c r="U244" s="24">
        <v>1</v>
      </c>
      <c r="V244" s="24" t="s">
        <v>15</v>
      </c>
      <c r="W244" s="17">
        <f>(VLOOKUP(T244,'[1]Simulation pricing per sub assy'!$D:$E,2,0))*U244</f>
        <v>1.9</v>
      </c>
      <c r="X244" s="18" t="s">
        <v>615</v>
      </c>
      <c r="Y244" s="25">
        <v>1</v>
      </c>
      <c r="Z244" s="25" t="s">
        <v>9</v>
      </c>
      <c r="AA244" s="18">
        <f>(VLOOKUP(X244,'[1]Simulation pricing per sub assy'!$D:$E,2,0))*Y244</f>
        <v>1.5769808000000001</v>
      </c>
    </row>
    <row r="245" spans="1:27" x14ac:dyDescent="0.35">
      <c r="A245" s="13" t="s">
        <v>1105</v>
      </c>
      <c r="B245" s="13" t="s">
        <v>1106</v>
      </c>
      <c r="C245" s="42">
        <f t="shared" si="3"/>
        <v>112.3657808</v>
      </c>
      <c r="D245" s="20" t="s">
        <v>42</v>
      </c>
      <c r="E245" s="20">
        <v>1</v>
      </c>
      <c r="F245" s="20" t="s">
        <v>3982</v>
      </c>
      <c r="G245" s="14">
        <f>(VLOOKUP(D245,'[1]BOM Info General'!$A:$L,12,0))*E245</f>
        <v>35.56</v>
      </c>
      <c r="H245" s="21" t="s">
        <v>39</v>
      </c>
      <c r="I245" s="21">
        <v>1</v>
      </c>
      <c r="J245" s="21" t="s">
        <v>46</v>
      </c>
      <c r="K245" s="15">
        <f>(VLOOKUP(H245,'[1]BOM Info General'!$A:$L,12,0))*I245</f>
        <v>24.42</v>
      </c>
      <c r="L245" s="22" t="s">
        <v>60</v>
      </c>
      <c r="M245" s="22">
        <v>1</v>
      </c>
      <c r="N245" s="22" t="s">
        <v>57</v>
      </c>
      <c r="O245" s="9">
        <f>(VLOOKUP(L245,'[1]Simulation pricing per sub assy'!$D:$E,2,0))*M245</f>
        <v>43.608799999999988</v>
      </c>
      <c r="P245" s="23" t="s">
        <v>51</v>
      </c>
      <c r="Q245" s="23">
        <v>2</v>
      </c>
      <c r="R245" s="23" t="s">
        <v>17</v>
      </c>
      <c r="S245" s="40">
        <f>(VLOOKUP(P245,'[1]BOM Info General'!$A:$L,12,0))*Q245</f>
        <v>5.3</v>
      </c>
      <c r="T245" s="24" t="s">
        <v>14</v>
      </c>
      <c r="U245" s="24">
        <v>1</v>
      </c>
      <c r="V245" s="24" t="s">
        <v>15</v>
      </c>
      <c r="W245" s="17">
        <f>(VLOOKUP(T245,'[1]Simulation pricing per sub assy'!$D:$E,2,0))*U245</f>
        <v>1.9</v>
      </c>
      <c r="X245" s="18" t="s">
        <v>615</v>
      </c>
      <c r="Y245" s="25">
        <v>1</v>
      </c>
      <c r="Z245" s="25" t="s">
        <v>9</v>
      </c>
      <c r="AA245" s="18">
        <f>(VLOOKUP(X245,'[1]Simulation pricing per sub assy'!$D:$E,2,0))*Y245</f>
        <v>1.5769808000000001</v>
      </c>
    </row>
    <row r="246" spans="1:27" x14ac:dyDescent="0.35">
      <c r="A246" s="13" t="s">
        <v>1141</v>
      </c>
      <c r="B246" s="13" t="s">
        <v>1142</v>
      </c>
      <c r="C246" s="42">
        <f t="shared" si="3"/>
        <v>120.0357808</v>
      </c>
      <c r="D246" s="20" t="s">
        <v>42</v>
      </c>
      <c r="E246" s="20">
        <v>1</v>
      </c>
      <c r="F246" s="20" t="s">
        <v>3982</v>
      </c>
      <c r="G246" s="14">
        <f>(VLOOKUP(D246,'[1]BOM Info General'!$A:$L,12,0))*E246</f>
        <v>35.56</v>
      </c>
      <c r="H246" s="21" t="s">
        <v>39</v>
      </c>
      <c r="I246" s="21">
        <v>1</v>
      </c>
      <c r="J246" s="21" t="s">
        <v>46</v>
      </c>
      <c r="K246" s="15">
        <f>(VLOOKUP(H246,'[1]BOM Info General'!$A:$L,12,0))*I246</f>
        <v>24.42</v>
      </c>
      <c r="L246" s="22" t="s">
        <v>56</v>
      </c>
      <c r="M246" s="22">
        <v>1</v>
      </c>
      <c r="N246" s="22" t="s">
        <v>59</v>
      </c>
      <c r="O246" s="9">
        <f>(VLOOKUP(L246,'[1]Simulation pricing per sub assy'!$D:$E,2,0))*M246</f>
        <v>51.27879999999999</v>
      </c>
      <c r="P246" s="23" t="s">
        <v>51</v>
      </c>
      <c r="Q246" s="23">
        <v>2</v>
      </c>
      <c r="R246" s="23" t="s">
        <v>17</v>
      </c>
      <c r="S246" s="40">
        <f>(VLOOKUP(P246,'[1]BOM Info General'!$A:$L,12,0))*Q246</f>
        <v>5.3</v>
      </c>
      <c r="T246" s="24" t="s">
        <v>14</v>
      </c>
      <c r="U246" s="24">
        <v>1</v>
      </c>
      <c r="V246" s="24" t="s">
        <v>15</v>
      </c>
      <c r="W246" s="17">
        <f>(VLOOKUP(T246,'[1]Simulation pricing per sub assy'!$D:$E,2,0))*U246</f>
        <v>1.9</v>
      </c>
      <c r="X246" s="18" t="s">
        <v>615</v>
      </c>
      <c r="Y246" s="25">
        <v>1</v>
      </c>
      <c r="Z246" s="25" t="s">
        <v>9</v>
      </c>
      <c r="AA246" s="18">
        <f>(VLOOKUP(X246,'[1]Simulation pricing per sub assy'!$D:$E,2,0))*Y246</f>
        <v>1.5769808000000001</v>
      </c>
    </row>
    <row r="247" spans="1:27" x14ac:dyDescent="0.35">
      <c r="A247" s="13" t="s">
        <v>1161</v>
      </c>
      <c r="B247" s="13" t="s">
        <v>1162</v>
      </c>
      <c r="C247" s="42">
        <f t="shared" si="3"/>
        <v>111.21578079999999</v>
      </c>
      <c r="D247" s="20" t="s">
        <v>42</v>
      </c>
      <c r="E247" s="20">
        <v>1</v>
      </c>
      <c r="F247" s="20" t="s">
        <v>3982</v>
      </c>
      <c r="G247" s="14">
        <f>(VLOOKUP(D247,'[1]BOM Info General'!$A:$L,12,0))*E247</f>
        <v>35.56</v>
      </c>
      <c r="H247" s="21" t="s">
        <v>39</v>
      </c>
      <c r="I247" s="21">
        <v>1</v>
      </c>
      <c r="J247" s="21" t="s">
        <v>46</v>
      </c>
      <c r="K247" s="15">
        <f>(VLOOKUP(H247,'[1]BOM Info General'!$A:$L,12,0))*I247</f>
        <v>24.42</v>
      </c>
      <c r="L247" s="22" t="s">
        <v>523</v>
      </c>
      <c r="M247" s="22">
        <v>1</v>
      </c>
      <c r="N247" s="22" t="s">
        <v>61</v>
      </c>
      <c r="O247" s="9">
        <f>(VLOOKUP(L247,'[1]Simulation pricing per sub assy'!$D:$E,2,0))*M247</f>
        <v>42.308799999999991</v>
      </c>
      <c r="P247" s="23" t="s">
        <v>52</v>
      </c>
      <c r="Q247" s="23">
        <v>2</v>
      </c>
      <c r="R247" s="23" t="s">
        <v>18</v>
      </c>
      <c r="S247" s="40">
        <f>(VLOOKUP(P247,'[1]BOM Info General'!$A:$L,12,0))*Q247</f>
        <v>5.3</v>
      </c>
      <c r="T247" s="24" t="s">
        <v>10</v>
      </c>
      <c r="U247" s="24">
        <v>1</v>
      </c>
      <c r="V247" s="24" t="s">
        <v>11</v>
      </c>
      <c r="W247" s="17">
        <f>(VLOOKUP(T247,'[1]Simulation pricing per sub assy'!$D:$E,2,0))*U247</f>
        <v>2.0499999999999998</v>
      </c>
      <c r="X247" s="18" t="s">
        <v>615</v>
      </c>
      <c r="Y247" s="25">
        <v>1</v>
      </c>
      <c r="Z247" s="25" t="s">
        <v>9</v>
      </c>
      <c r="AA247" s="18">
        <f>(VLOOKUP(X247,'[1]Simulation pricing per sub assy'!$D:$E,2,0))*Y247</f>
        <v>1.5769808000000001</v>
      </c>
    </row>
    <row r="248" spans="1:27" x14ac:dyDescent="0.35">
      <c r="A248" s="13" t="s">
        <v>1089</v>
      </c>
      <c r="B248" s="13" t="s">
        <v>1090</v>
      </c>
      <c r="C248" s="42">
        <f t="shared" si="3"/>
        <v>112.19578079999999</v>
      </c>
      <c r="D248" s="20" t="s">
        <v>42</v>
      </c>
      <c r="E248" s="20">
        <v>1</v>
      </c>
      <c r="F248" s="20" t="s">
        <v>3982</v>
      </c>
      <c r="G248" s="14">
        <f>(VLOOKUP(D248,'[1]BOM Info General'!$A:$L,12,0))*E248</f>
        <v>35.56</v>
      </c>
      <c r="H248" s="21" t="s">
        <v>39</v>
      </c>
      <c r="I248" s="21">
        <v>1</v>
      </c>
      <c r="J248" s="21" t="s">
        <v>46</v>
      </c>
      <c r="K248" s="15">
        <f>(VLOOKUP(H248,'[1]BOM Info General'!$A:$L,12,0))*I248</f>
        <v>24.42</v>
      </c>
      <c r="L248" s="22" t="s">
        <v>58</v>
      </c>
      <c r="M248" s="22">
        <v>1</v>
      </c>
      <c r="N248" s="22" t="s">
        <v>55</v>
      </c>
      <c r="O248" s="9">
        <f>(VLOOKUP(L248,'[1]Simulation pricing per sub assy'!$D:$E,2,0))*M248</f>
        <v>43.288799999999988</v>
      </c>
      <c r="P248" s="23" t="s">
        <v>52</v>
      </c>
      <c r="Q248" s="23">
        <v>2</v>
      </c>
      <c r="R248" s="23" t="s">
        <v>18</v>
      </c>
      <c r="S248" s="40">
        <f>(VLOOKUP(P248,'[1]BOM Info General'!$A:$L,12,0))*Q248</f>
        <v>5.3</v>
      </c>
      <c r="T248" s="24" t="s">
        <v>10</v>
      </c>
      <c r="U248" s="24">
        <v>1</v>
      </c>
      <c r="V248" s="24" t="s">
        <v>11</v>
      </c>
      <c r="W248" s="17">
        <f>(VLOOKUP(T248,'[1]Simulation pricing per sub assy'!$D:$E,2,0))*U248</f>
        <v>2.0499999999999998</v>
      </c>
      <c r="X248" s="18" t="s">
        <v>615</v>
      </c>
      <c r="Y248" s="25">
        <v>1</v>
      </c>
      <c r="Z248" s="25" t="s">
        <v>9</v>
      </c>
      <c r="AA248" s="18">
        <f>(VLOOKUP(X248,'[1]Simulation pricing per sub assy'!$D:$E,2,0))*Y248</f>
        <v>1.5769808000000001</v>
      </c>
    </row>
    <row r="249" spans="1:27" x14ac:dyDescent="0.35">
      <c r="A249" s="13" t="s">
        <v>1125</v>
      </c>
      <c r="B249" s="13" t="s">
        <v>1126</v>
      </c>
      <c r="C249" s="42">
        <f t="shared" si="3"/>
        <v>112.77578079999999</v>
      </c>
      <c r="D249" s="20" t="s">
        <v>42</v>
      </c>
      <c r="E249" s="20">
        <v>1</v>
      </c>
      <c r="F249" s="20" t="s">
        <v>3982</v>
      </c>
      <c r="G249" s="14">
        <f>(VLOOKUP(D249,'[1]BOM Info General'!$A:$L,12,0))*E249</f>
        <v>35.56</v>
      </c>
      <c r="H249" s="21" t="s">
        <v>39</v>
      </c>
      <c r="I249" s="21">
        <v>1</v>
      </c>
      <c r="J249" s="21" t="s">
        <v>46</v>
      </c>
      <c r="K249" s="15">
        <f>(VLOOKUP(H249,'[1]BOM Info General'!$A:$L,12,0))*I249</f>
        <v>24.42</v>
      </c>
      <c r="L249" s="22" t="s">
        <v>54</v>
      </c>
      <c r="M249" s="22">
        <v>1</v>
      </c>
      <c r="N249" s="22" t="s">
        <v>53</v>
      </c>
      <c r="O249" s="9">
        <f>(VLOOKUP(L249,'[1]Simulation pricing per sub assy'!$D:$E,2,0))*M249</f>
        <v>43.868799999999993</v>
      </c>
      <c r="P249" s="23" t="s">
        <v>52</v>
      </c>
      <c r="Q249" s="23">
        <v>2</v>
      </c>
      <c r="R249" s="23" t="s">
        <v>18</v>
      </c>
      <c r="S249" s="40">
        <f>(VLOOKUP(P249,'[1]BOM Info General'!$A:$L,12,0))*Q249</f>
        <v>5.3</v>
      </c>
      <c r="T249" s="24" t="s">
        <v>10</v>
      </c>
      <c r="U249" s="24">
        <v>1</v>
      </c>
      <c r="V249" s="24" t="s">
        <v>11</v>
      </c>
      <c r="W249" s="17">
        <f>(VLOOKUP(T249,'[1]Simulation pricing per sub assy'!$D:$E,2,0))*U249</f>
        <v>2.0499999999999998</v>
      </c>
      <c r="X249" s="18" t="s">
        <v>615</v>
      </c>
      <c r="Y249" s="25">
        <v>1</v>
      </c>
      <c r="Z249" s="25" t="s">
        <v>9</v>
      </c>
      <c r="AA249" s="18">
        <f>(VLOOKUP(X249,'[1]Simulation pricing per sub assy'!$D:$E,2,0))*Y249</f>
        <v>1.5769808000000001</v>
      </c>
    </row>
    <row r="250" spans="1:27" x14ac:dyDescent="0.35">
      <c r="A250" s="13" t="s">
        <v>1107</v>
      </c>
      <c r="B250" s="13" t="s">
        <v>1108</v>
      </c>
      <c r="C250" s="42">
        <f t="shared" si="3"/>
        <v>112.51578079999999</v>
      </c>
      <c r="D250" s="20" t="s">
        <v>42</v>
      </c>
      <c r="E250" s="20">
        <v>1</v>
      </c>
      <c r="F250" s="20" t="s">
        <v>3982</v>
      </c>
      <c r="G250" s="14">
        <f>(VLOOKUP(D250,'[1]BOM Info General'!$A:$L,12,0))*E250</f>
        <v>35.56</v>
      </c>
      <c r="H250" s="21" t="s">
        <v>39</v>
      </c>
      <c r="I250" s="21">
        <v>1</v>
      </c>
      <c r="J250" s="21" t="s">
        <v>46</v>
      </c>
      <c r="K250" s="15">
        <f>(VLOOKUP(H250,'[1]BOM Info General'!$A:$L,12,0))*I250</f>
        <v>24.42</v>
      </c>
      <c r="L250" s="22" t="s">
        <v>60</v>
      </c>
      <c r="M250" s="22">
        <v>1</v>
      </c>
      <c r="N250" s="22" t="s">
        <v>57</v>
      </c>
      <c r="O250" s="9">
        <f>(VLOOKUP(L250,'[1]Simulation pricing per sub assy'!$D:$E,2,0))*M250</f>
        <v>43.608799999999988</v>
      </c>
      <c r="P250" s="23" t="s">
        <v>52</v>
      </c>
      <c r="Q250" s="23">
        <v>2</v>
      </c>
      <c r="R250" s="23" t="s">
        <v>18</v>
      </c>
      <c r="S250" s="40">
        <f>(VLOOKUP(P250,'[1]BOM Info General'!$A:$L,12,0))*Q250</f>
        <v>5.3</v>
      </c>
      <c r="T250" s="24" t="s">
        <v>10</v>
      </c>
      <c r="U250" s="24">
        <v>1</v>
      </c>
      <c r="V250" s="24" t="s">
        <v>11</v>
      </c>
      <c r="W250" s="17">
        <f>(VLOOKUP(T250,'[1]Simulation pricing per sub assy'!$D:$E,2,0))*U250</f>
        <v>2.0499999999999998</v>
      </c>
      <c r="X250" s="18" t="s">
        <v>615</v>
      </c>
      <c r="Y250" s="25">
        <v>1</v>
      </c>
      <c r="Z250" s="25" t="s">
        <v>9</v>
      </c>
      <c r="AA250" s="18">
        <f>(VLOOKUP(X250,'[1]Simulation pricing per sub assy'!$D:$E,2,0))*Y250</f>
        <v>1.5769808000000001</v>
      </c>
    </row>
    <row r="251" spans="1:27" x14ac:dyDescent="0.35">
      <c r="A251" s="13" t="s">
        <v>1143</v>
      </c>
      <c r="B251" s="13" t="s">
        <v>1144</v>
      </c>
      <c r="C251" s="42">
        <f t="shared" si="3"/>
        <v>120.18578079999999</v>
      </c>
      <c r="D251" s="20" t="s">
        <v>42</v>
      </c>
      <c r="E251" s="20">
        <v>1</v>
      </c>
      <c r="F251" s="20" t="s">
        <v>3982</v>
      </c>
      <c r="G251" s="14">
        <f>(VLOOKUP(D251,'[1]BOM Info General'!$A:$L,12,0))*E251</f>
        <v>35.56</v>
      </c>
      <c r="H251" s="21" t="s">
        <v>39</v>
      </c>
      <c r="I251" s="21">
        <v>1</v>
      </c>
      <c r="J251" s="21" t="s">
        <v>46</v>
      </c>
      <c r="K251" s="15">
        <f>(VLOOKUP(H251,'[1]BOM Info General'!$A:$L,12,0))*I251</f>
        <v>24.42</v>
      </c>
      <c r="L251" s="22" t="s">
        <v>56</v>
      </c>
      <c r="M251" s="22">
        <v>1</v>
      </c>
      <c r="N251" s="22" t="s">
        <v>59</v>
      </c>
      <c r="O251" s="9">
        <f>(VLOOKUP(L251,'[1]Simulation pricing per sub assy'!$D:$E,2,0))*M251</f>
        <v>51.27879999999999</v>
      </c>
      <c r="P251" s="23" t="s">
        <v>52</v>
      </c>
      <c r="Q251" s="23">
        <v>2</v>
      </c>
      <c r="R251" s="23" t="s">
        <v>18</v>
      </c>
      <c r="S251" s="40">
        <f>(VLOOKUP(P251,'[1]BOM Info General'!$A:$L,12,0))*Q251</f>
        <v>5.3</v>
      </c>
      <c r="T251" s="24" t="s">
        <v>10</v>
      </c>
      <c r="U251" s="24">
        <v>1</v>
      </c>
      <c r="V251" s="24" t="s">
        <v>11</v>
      </c>
      <c r="W251" s="17">
        <f>(VLOOKUP(T251,'[1]Simulation pricing per sub assy'!$D:$E,2,0))*U251</f>
        <v>2.0499999999999998</v>
      </c>
      <c r="X251" s="18" t="s">
        <v>615</v>
      </c>
      <c r="Y251" s="25">
        <v>1</v>
      </c>
      <c r="Z251" s="25" t="s">
        <v>9</v>
      </c>
      <c r="AA251" s="18">
        <f>(VLOOKUP(X251,'[1]Simulation pricing per sub assy'!$D:$E,2,0))*Y251</f>
        <v>1.5769808000000001</v>
      </c>
    </row>
    <row r="252" spans="1:27" x14ac:dyDescent="0.35">
      <c r="A252" s="13" t="s">
        <v>1163</v>
      </c>
      <c r="B252" s="13" t="s">
        <v>1164</v>
      </c>
      <c r="C252" s="42">
        <f t="shared" si="3"/>
        <v>111.0657808</v>
      </c>
      <c r="D252" s="20" t="s">
        <v>42</v>
      </c>
      <c r="E252" s="20">
        <v>1</v>
      </c>
      <c r="F252" s="20" t="s">
        <v>3982</v>
      </c>
      <c r="G252" s="14">
        <f>(VLOOKUP(D252,'[1]BOM Info General'!$A:$L,12,0))*E252</f>
        <v>35.56</v>
      </c>
      <c r="H252" s="21" t="s">
        <v>39</v>
      </c>
      <c r="I252" s="21">
        <v>1</v>
      </c>
      <c r="J252" s="21" t="s">
        <v>46</v>
      </c>
      <c r="K252" s="15">
        <f>(VLOOKUP(H252,'[1]BOM Info General'!$A:$L,12,0))*I252</f>
        <v>24.42</v>
      </c>
      <c r="L252" s="22" t="s">
        <v>523</v>
      </c>
      <c r="M252" s="22">
        <v>1</v>
      </c>
      <c r="N252" s="22" t="s">
        <v>61</v>
      </c>
      <c r="O252" s="9">
        <f>(VLOOKUP(L252,'[1]Simulation pricing per sub assy'!$D:$E,2,0))*M252</f>
        <v>42.308799999999991</v>
      </c>
      <c r="P252" s="23" t="s">
        <v>52</v>
      </c>
      <c r="Q252" s="23">
        <v>2</v>
      </c>
      <c r="R252" s="23" t="s">
        <v>18</v>
      </c>
      <c r="S252" s="40">
        <f>(VLOOKUP(P252,'[1]BOM Info General'!$A:$L,12,0))*Q252</f>
        <v>5.3</v>
      </c>
      <c r="T252" s="24" t="s">
        <v>12</v>
      </c>
      <c r="U252" s="24">
        <v>1</v>
      </c>
      <c r="V252" s="24" t="s">
        <v>13</v>
      </c>
      <c r="W252" s="17">
        <f>(VLOOKUP(T252,'[1]Simulation pricing per sub assy'!$D:$E,2,0))*U252</f>
        <v>1.9</v>
      </c>
      <c r="X252" s="18" t="s">
        <v>615</v>
      </c>
      <c r="Y252" s="25">
        <v>1</v>
      </c>
      <c r="Z252" s="25" t="s">
        <v>9</v>
      </c>
      <c r="AA252" s="18">
        <f>(VLOOKUP(X252,'[1]Simulation pricing per sub assy'!$D:$E,2,0))*Y252</f>
        <v>1.5769808000000001</v>
      </c>
    </row>
    <row r="253" spans="1:27" x14ac:dyDescent="0.35">
      <c r="A253" s="13" t="s">
        <v>1091</v>
      </c>
      <c r="B253" s="13" t="s">
        <v>1092</v>
      </c>
      <c r="C253" s="42">
        <f t="shared" si="3"/>
        <v>112.0457808</v>
      </c>
      <c r="D253" s="20" t="s">
        <v>42</v>
      </c>
      <c r="E253" s="20">
        <v>1</v>
      </c>
      <c r="F253" s="20" t="s">
        <v>3982</v>
      </c>
      <c r="G253" s="14">
        <f>(VLOOKUP(D253,'[1]BOM Info General'!$A:$L,12,0))*E253</f>
        <v>35.56</v>
      </c>
      <c r="H253" s="21" t="s">
        <v>39</v>
      </c>
      <c r="I253" s="21">
        <v>1</v>
      </c>
      <c r="J253" s="21" t="s">
        <v>46</v>
      </c>
      <c r="K253" s="15">
        <f>(VLOOKUP(H253,'[1]BOM Info General'!$A:$L,12,0))*I253</f>
        <v>24.42</v>
      </c>
      <c r="L253" s="22" t="s">
        <v>58</v>
      </c>
      <c r="M253" s="22">
        <v>1</v>
      </c>
      <c r="N253" s="22" t="s">
        <v>55</v>
      </c>
      <c r="O253" s="9">
        <f>(VLOOKUP(L253,'[1]Simulation pricing per sub assy'!$D:$E,2,0))*M253</f>
        <v>43.288799999999988</v>
      </c>
      <c r="P253" s="23" t="s">
        <v>52</v>
      </c>
      <c r="Q253" s="23">
        <v>2</v>
      </c>
      <c r="R253" s="23" t="s">
        <v>18</v>
      </c>
      <c r="S253" s="40">
        <f>(VLOOKUP(P253,'[1]BOM Info General'!$A:$L,12,0))*Q253</f>
        <v>5.3</v>
      </c>
      <c r="T253" s="24" t="s">
        <v>12</v>
      </c>
      <c r="U253" s="24">
        <v>1</v>
      </c>
      <c r="V253" s="24" t="s">
        <v>13</v>
      </c>
      <c r="W253" s="17">
        <f>(VLOOKUP(T253,'[1]Simulation pricing per sub assy'!$D:$E,2,0))*U253</f>
        <v>1.9</v>
      </c>
      <c r="X253" s="18" t="s">
        <v>615</v>
      </c>
      <c r="Y253" s="25">
        <v>1</v>
      </c>
      <c r="Z253" s="25" t="s">
        <v>9</v>
      </c>
      <c r="AA253" s="18">
        <f>(VLOOKUP(X253,'[1]Simulation pricing per sub assy'!$D:$E,2,0))*Y253</f>
        <v>1.5769808000000001</v>
      </c>
    </row>
    <row r="254" spans="1:27" x14ac:dyDescent="0.35">
      <c r="A254" s="13" t="s">
        <v>1127</v>
      </c>
      <c r="B254" s="13" t="s">
        <v>1128</v>
      </c>
      <c r="C254" s="42">
        <f t="shared" si="3"/>
        <v>112.6257808</v>
      </c>
      <c r="D254" s="20" t="s">
        <v>42</v>
      </c>
      <c r="E254" s="20">
        <v>1</v>
      </c>
      <c r="F254" s="20" t="s">
        <v>3982</v>
      </c>
      <c r="G254" s="14">
        <f>(VLOOKUP(D254,'[1]BOM Info General'!$A:$L,12,0))*E254</f>
        <v>35.56</v>
      </c>
      <c r="H254" s="21" t="s">
        <v>39</v>
      </c>
      <c r="I254" s="21">
        <v>1</v>
      </c>
      <c r="J254" s="21" t="s">
        <v>46</v>
      </c>
      <c r="K254" s="15">
        <f>(VLOOKUP(H254,'[1]BOM Info General'!$A:$L,12,0))*I254</f>
        <v>24.42</v>
      </c>
      <c r="L254" s="22" t="s">
        <v>54</v>
      </c>
      <c r="M254" s="22">
        <v>1</v>
      </c>
      <c r="N254" s="22" t="s">
        <v>53</v>
      </c>
      <c r="O254" s="9">
        <f>(VLOOKUP(L254,'[1]Simulation pricing per sub assy'!$D:$E,2,0))*M254</f>
        <v>43.868799999999993</v>
      </c>
      <c r="P254" s="23" t="s">
        <v>52</v>
      </c>
      <c r="Q254" s="23">
        <v>2</v>
      </c>
      <c r="R254" s="23" t="s">
        <v>18</v>
      </c>
      <c r="S254" s="40">
        <f>(VLOOKUP(P254,'[1]BOM Info General'!$A:$L,12,0))*Q254</f>
        <v>5.3</v>
      </c>
      <c r="T254" s="24" t="s">
        <v>12</v>
      </c>
      <c r="U254" s="24">
        <v>1</v>
      </c>
      <c r="V254" s="24" t="s">
        <v>13</v>
      </c>
      <c r="W254" s="17">
        <f>(VLOOKUP(T254,'[1]Simulation pricing per sub assy'!$D:$E,2,0))*U254</f>
        <v>1.9</v>
      </c>
      <c r="X254" s="18" t="s">
        <v>615</v>
      </c>
      <c r="Y254" s="25">
        <v>1</v>
      </c>
      <c r="Z254" s="25" t="s">
        <v>9</v>
      </c>
      <c r="AA254" s="18">
        <f>(VLOOKUP(X254,'[1]Simulation pricing per sub assy'!$D:$E,2,0))*Y254</f>
        <v>1.5769808000000001</v>
      </c>
    </row>
    <row r="255" spans="1:27" x14ac:dyDescent="0.35">
      <c r="A255" s="13" t="s">
        <v>1109</v>
      </c>
      <c r="B255" s="13" t="s">
        <v>1110</v>
      </c>
      <c r="C255" s="42">
        <f t="shared" si="3"/>
        <v>112.3657808</v>
      </c>
      <c r="D255" s="20" t="s">
        <v>42</v>
      </c>
      <c r="E255" s="20">
        <v>1</v>
      </c>
      <c r="F255" s="20" t="s">
        <v>3982</v>
      </c>
      <c r="G255" s="14">
        <f>(VLOOKUP(D255,'[1]BOM Info General'!$A:$L,12,0))*E255</f>
        <v>35.56</v>
      </c>
      <c r="H255" s="21" t="s">
        <v>39</v>
      </c>
      <c r="I255" s="21">
        <v>1</v>
      </c>
      <c r="J255" s="21" t="s">
        <v>46</v>
      </c>
      <c r="K255" s="15">
        <f>(VLOOKUP(H255,'[1]BOM Info General'!$A:$L,12,0))*I255</f>
        <v>24.42</v>
      </c>
      <c r="L255" s="22" t="s">
        <v>60</v>
      </c>
      <c r="M255" s="22">
        <v>1</v>
      </c>
      <c r="N255" s="22" t="s">
        <v>57</v>
      </c>
      <c r="O255" s="9">
        <f>(VLOOKUP(L255,'[1]Simulation pricing per sub assy'!$D:$E,2,0))*M255</f>
        <v>43.608799999999988</v>
      </c>
      <c r="P255" s="23" t="s">
        <v>52</v>
      </c>
      <c r="Q255" s="23">
        <v>2</v>
      </c>
      <c r="R255" s="23" t="s">
        <v>18</v>
      </c>
      <c r="S255" s="40">
        <f>(VLOOKUP(P255,'[1]BOM Info General'!$A:$L,12,0))*Q255</f>
        <v>5.3</v>
      </c>
      <c r="T255" s="24" t="s">
        <v>12</v>
      </c>
      <c r="U255" s="24">
        <v>1</v>
      </c>
      <c r="V255" s="24" t="s">
        <v>13</v>
      </c>
      <c r="W255" s="17">
        <f>(VLOOKUP(T255,'[1]Simulation pricing per sub assy'!$D:$E,2,0))*U255</f>
        <v>1.9</v>
      </c>
      <c r="X255" s="18" t="s">
        <v>615</v>
      </c>
      <c r="Y255" s="25">
        <v>1</v>
      </c>
      <c r="Z255" s="25" t="s">
        <v>9</v>
      </c>
      <c r="AA255" s="18">
        <f>(VLOOKUP(X255,'[1]Simulation pricing per sub assy'!$D:$E,2,0))*Y255</f>
        <v>1.5769808000000001</v>
      </c>
    </row>
    <row r="256" spans="1:27" x14ac:dyDescent="0.35">
      <c r="A256" s="13" t="s">
        <v>1145</v>
      </c>
      <c r="B256" s="13" t="s">
        <v>1146</v>
      </c>
      <c r="C256" s="42">
        <f t="shared" si="3"/>
        <v>120.0357808</v>
      </c>
      <c r="D256" s="20" t="s">
        <v>42</v>
      </c>
      <c r="E256" s="20">
        <v>1</v>
      </c>
      <c r="F256" s="20" t="s">
        <v>3982</v>
      </c>
      <c r="G256" s="14">
        <f>(VLOOKUP(D256,'[1]BOM Info General'!$A:$L,12,0))*E256</f>
        <v>35.56</v>
      </c>
      <c r="H256" s="21" t="s">
        <v>39</v>
      </c>
      <c r="I256" s="21">
        <v>1</v>
      </c>
      <c r="J256" s="21" t="s">
        <v>46</v>
      </c>
      <c r="K256" s="15">
        <f>(VLOOKUP(H256,'[1]BOM Info General'!$A:$L,12,0))*I256</f>
        <v>24.42</v>
      </c>
      <c r="L256" s="22" t="s">
        <v>56</v>
      </c>
      <c r="M256" s="22">
        <v>1</v>
      </c>
      <c r="N256" s="22" t="s">
        <v>59</v>
      </c>
      <c r="O256" s="9">
        <f>(VLOOKUP(L256,'[1]Simulation pricing per sub assy'!$D:$E,2,0))*M256</f>
        <v>51.27879999999999</v>
      </c>
      <c r="P256" s="23" t="s">
        <v>52</v>
      </c>
      <c r="Q256" s="23">
        <v>2</v>
      </c>
      <c r="R256" s="23" t="s">
        <v>18</v>
      </c>
      <c r="S256" s="40">
        <f>(VLOOKUP(P256,'[1]BOM Info General'!$A:$L,12,0))*Q256</f>
        <v>5.3</v>
      </c>
      <c r="T256" s="24" t="s">
        <v>12</v>
      </c>
      <c r="U256" s="24">
        <v>1</v>
      </c>
      <c r="V256" s="24" t="s">
        <v>13</v>
      </c>
      <c r="W256" s="17">
        <f>(VLOOKUP(T256,'[1]Simulation pricing per sub assy'!$D:$E,2,0))*U256</f>
        <v>1.9</v>
      </c>
      <c r="X256" s="18" t="s">
        <v>615</v>
      </c>
      <c r="Y256" s="25">
        <v>1</v>
      </c>
      <c r="Z256" s="25" t="s">
        <v>9</v>
      </c>
      <c r="AA256" s="18">
        <f>(VLOOKUP(X256,'[1]Simulation pricing per sub assy'!$D:$E,2,0))*Y256</f>
        <v>1.5769808000000001</v>
      </c>
    </row>
    <row r="257" spans="1:27" x14ac:dyDescent="0.35">
      <c r="A257" s="13" t="s">
        <v>1165</v>
      </c>
      <c r="B257" s="13" t="s">
        <v>1166</v>
      </c>
      <c r="C257" s="42">
        <f t="shared" si="3"/>
        <v>111.0657808</v>
      </c>
      <c r="D257" s="20" t="s">
        <v>42</v>
      </c>
      <c r="E257" s="20">
        <v>1</v>
      </c>
      <c r="F257" s="20" t="s">
        <v>3982</v>
      </c>
      <c r="G257" s="14">
        <f>(VLOOKUP(D257,'[1]BOM Info General'!$A:$L,12,0))*E257</f>
        <v>35.56</v>
      </c>
      <c r="H257" s="21" t="s">
        <v>39</v>
      </c>
      <c r="I257" s="21">
        <v>1</v>
      </c>
      <c r="J257" s="21" t="s">
        <v>46</v>
      </c>
      <c r="K257" s="15">
        <f>(VLOOKUP(H257,'[1]BOM Info General'!$A:$L,12,0))*I257</f>
        <v>24.42</v>
      </c>
      <c r="L257" s="22" t="s">
        <v>523</v>
      </c>
      <c r="M257" s="22">
        <v>1</v>
      </c>
      <c r="N257" s="22" t="s">
        <v>61</v>
      </c>
      <c r="O257" s="9">
        <f>(VLOOKUP(L257,'[1]Simulation pricing per sub assy'!$D:$E,2,0))*M257</f>
        <v>42.308799999999991</v>
      </c>
      <c r="P257" s="23" t="s">
        <v>52</v>
      </c>
      <c r="Q257" s="23">
        <v>2</v>
      </c>
      <c r="R257" s="23" t="s">
        <v>18</v>
      </c>
      <c r="S257" s="40">
        <f>(VLOOKUP(P257,'[1]BOM Info General'!$A:$L,12,0))*Q257</f>
        <v>5.3</v>
      </c>
      <c r="T257" s="24" t="s">
        <v>14</v>
      </c>
      <c r="U257" s="24">
        <v>1</v>
      </c>
      <c r="V257" s="24" t="s">
        <v>15</v>
      </c>
      <c r="W257" s="17">
        <f>(VLOOKUP(T257,'[1]Simulation pricing per sub assy'!$D:$E,2,0))*U257</f>
        <v>1.9</v>
      </c>
      <c r="X257" s="18" t="s">
        <v>615</v>
      </c>
      <c r="Y257" s="25">
        <v>1</v>
      </c>
      <c r="Z257" s="25" t="s">
        <v>9</v>
      </c>
      <c r="AA257" s="18">
        <f>(VLOOKUP(X257,'[1]Simulation pricing per sub assy'!$D:$E,2,0))*Y257</f>
        <v>1.5769808000000001</v>
      </c>
    </row>
    <row r="258" spans="1:27" x14ac:dyDescent="0.35">
      <c r="A258" s="13" t="s">
        <v>1093</v>
      </c>
      <c r="B258" s="13" t="s">
        <v>1094</v>
      </c>
      <c r="C258" s="42">
        <f t="shared" si="3"/>
        <v>112.0457808</v>
      </c>
      <c r="D258" s="20" t="s">
        <v>42</v>
      </c>
      <c r="E258" s="20">
        <v>1</v>
      </c>
      <c r="F258" s="20" t="s">
        <v>3982</v>
      </c>
      <c r="G258" s="14">
        <f>(VLOOKUP(D258,'[1]BOM Info General'!$A:$L,12,0))*E258</f>
        <v>35.56</v>
      </c>
      <c r="H258" s="21" t="s">
        <v>39</v>
      </c>
      <c r="I258" s="21">
        <v>1</v>
      </c>
      <c r="J258" s="21" t="s">
        <v>46</v>
      </c>
      <c r="K258" s="15">
        <f>(VLOOKUP(H258,'[1]BOM Info General'!$A:$L,12,0))*I258</f>
        <v>24.42</v>
      </c>
      <c r="L258" s="22" t="s">
        <v>58</v>
      </c>
      <c r="M258" s="22">
        <v>1</v>
      </c>
      <c r="N258" s="22" t="s">
        <v>55</v>
      </c>
      <c r="O258" s="9">
        <f>(VLOOKUP(L258,'[1]Simulation pricing per sub assy'!$D:$E,2,0))*M258</f>
        <v>43.288799999999988</v>
      </c>
      <c r="P258" s="23" t="s">
        <v>52</v>
      </c>
      <c r="Q258" s="23">
        <v>2</v>
      </c>
      <c r="R258" s="23" t="s">
        <v>18</v>
      </c>
      <c r="S258" s="40">
        <f>(VLOOKUP(P258,'[1]BOM Info General'!$A:$L,12,0))*Q258</f>
        <v>5.3</v>
      </c>
      <c r="T258" s="24" t="s">
        <v>14</v>
      </c>
      <c r="U258" s="24">
        <v>1</v>
      </c>
      <c r="V258" s="24" t="s">
        <v>15</v>
      </c>
      <c r="W258" s="17">
        <f>(VLOOKUP(T258,'[1]Simulation pricing per sub assy'!$D:$E,2,0))*U258</f>
        <v>1.9</v>
      </c>
      <c r="X258" s="18" t="s">
        <v>615</v>
      </c>
      <c r="Y258" s="25">
        <v>1</v>
      </c>
      <c r="Z258" s="25" t="s">
        <v>9</v>
      </c>
      <c r="AA258" s="18">
        <f>(VLOOKUP(X258,'[1]Simulation pricing per sub assy'!$D:$E,2,0))*Y258</f>
        <v>1.5769808000000001</v>
      </c>
    </row>
    <row r="259" spans="1:27" x14ac:dyDescent="0.35">
      <c r="A259" s="13" t="s">
        <v>1129</v>
      </c>
      <c r="B259" s="13" t="s">
        <v>1130</v>
      </c>
      <c r="C259" s="42">
        <f t="shared" ref="C259:C322" si="4">SUM(G259+K259+O259+S259+W259+AA259)</f>
        <v>112.6257808</v>
      </c>
      <c r="D259" s="20" t="s">
        <v>42</v>
      </c>
      <c r="E259" s="20">
        <v>1</v>
      </c>
      <c r="F259" s="20" t="s">
        <v>3982</v>
      </c>
      <c r="G259" s="14">
        <f>(VLOOKUP(D259,'[1]BOM Info General'!$A:$L,12,0))*E259</f>
        <v>35.56</v>
      </c>
      <c r="H259" s="21" t="s">
        <v>39</v>
      </c>
      <c r="I259" s="21">
        <v>1</v>
      </c>
      <c r="J259" s="21" t="s">
        <v>46</v>
      </c>
      <c r="K259" s="15">
        <f>(VLOOKUP(H259,'[1]BOM Info General'!$A:$L,12,0))*I259</f>
        <v>24.42</v>
      </c>
      <c r="L259" s="22" t="s">
        <v>54</v>
      </c>
      <c r="M259" s="22">
        <v>1</v>
      </c>
      <c r="N259" s="22" t="s">
        <v>53</v>
      </c>
      <c r="O259" s="9">
        <f>(VLOOKUP(L259,'[1]Simulation pricing per sub assy'!$D:$E,2,0))*M259</f>
        <v>43.868799999999993</v>
      </c>
      <c r="P259" s="23" t="s">
        <v>52</v>
      </c>
      <c r="Q259" s="23">
        <v>2</v>
      </c>
      <c r="R259" s="23" t="s">
        <v>18</v>
      </c>
      <c r="S259" s="40">
        <f>(VLOOKUP(P259,'[1]BOM Info General'!$A:$L,12,0))*Q259</f>
        <v>5.3</v>
      </c>
      <c r="T259" s="24" t="s">
        <v>14</v>
      </c>
      <c r="U259" s="24">
        <v>1</v>
      </c>
      <c r="V259" s="24" t="s">
        <v>15</v>
      </c>
      <c r="W259" s="17">
        <f>(VLOOKUP(T259,'[1]Simulation pricing per sub assy'!$D:$E,2,0))*U259</f>
        <v>1.9</v>
      </c>
      <c r="X259" s="18" t="s">
        <v>615</v>
      </c>
      <c r="Y259" s="25">
        <v>1</v>
      </c>
      <c r="Z259" s="25" t="s">
        <v>9</v>
      </c>
      <c r="AA259" s="18">
        <f>(VLOOKUP(X259,'[1]Simulation pricing per sub assy'!$D:$E,2,0))*Y259</f>
        <v>1.5769808000000001</v>
      </c>
    </row>
    <row r="260" spans="1:27" x14ac:dyDescent="0.35">
      <c r="A260" s="13" t="s">
        <v>1111</v>
      </c>
      <c r="B260" s="13" t="s">
        <v>1112</v>
      </c>
      <c r="C260" s="42">
        <f t="shared" si="4"/>
        <v>112.3657808</v>
      </c>
      <c r="D260" s="20" t="s">
        <v>42</v>
      </c>
      <c r="E260" s="20">
        <v>1</v>
      </c>
      <c r="F260" s="20" t="s">
        <v>3982</v>
      </c>
      <c r="G260" s="14">
        <f>(VLOOKUP(D260,'[1]BOM Info General'!$A:$L,12,0))*E260</f>
        <v>35.56</v>
      </c>
      <c r="H260" s="21" t="s">
        <v>39</v>
      </c>
      <c r="I260" s="21">
        <v>1</v>
      </c>
      <c r="J260" s="21" t="s">
        <v>46</v>
      </c>
      <c r="K260" s="15">
        <f>(VLOOKUP(H260,'[1]BOM Info General'!$A:$L,12,0))*I260</f>
        <v>24.42</v>
      </c>
      <c r="L260" s="22" t="s">
        <v>60</v>
      </c>
      <c r="M260" s="22">
        <v>1</v>
      </c>
      <c r="N260" s="22" t="s">
        <v>57</v>
      </c>
      <c r="O260" s="9">
        <f>(VLOOKUP(L260,'[1]Simulation pricing per sub assy'!$D:$E,2,0))*M260</f>
        <v>43.608799999999988</v>
      </c>
      <c r="P260" s="23" t="s">
        <v>52</v>
      </c>
      <c r="Q260" s="23">
        <v>2</v>
      </c>
      <c r="R260" s="23" t="s">
        <v>18</v>
      </c>
      <c r="S260" s="40">
        <f>(VLOOKUP(P260,'[1]BOM Info General'!$A:$L,12,0))*Q260</f>
        <v>5.3</v>
      </c>
      <c r="T260" s="24" t="s">
        <v>14</v>
      </c>
      <c r="U260" s="24">
        <v>1</v>
      </c>
      <c r="V260" s="24" t="s">
        <v>15</v>
      </c>
      <c r="W260" s="17">
        <f>(VLOOKUP(T260,'[1]Simulation pricing per sub assy'!$D:$E,2,0))*U260</f>
        <v>1.9</v>
      </c>
      <c r="X260" s="18" t="s">
        <v>615</v>
      </c>
      <c r="Y260" s="25">
        <v>1</v>
      </c>
      <c r="Z260" s="25" t="s">
        <v>9</v>
      </c>
      <c r="AA260" s="18">
        <f>(VLOOKUP(X260,'[1]Simulation pricing per sub assy'!$D:$E,2,0))*Y260</f>
        <v>1.5769808000000001</v>
      </c>
    </row>
    <row r="261" spans="1:27" x14ac:dyDescent="0.35">
      <c r="A261" s="13" t="s">
        <v>1147</v>
      </c>
      <c r="B261" s="13" t="s">
        <v>1148</v>
      </c>
      <c r="C261" s="42">
        <f t="shared" si="4"/>
        <v>120.0357808</v>
      </c>
      <c r="D261" s="20" t="s">
        <v>42</v>
      </c>
      <c r="E261" s="20">
        <v>1</v>
      </c>
      <c r="F261" s="20" t="s">
        <v>3982</v>
      </c>
      <c r="G261" s="14">
        <f>(VLOOKUP(D261,'[1]BOM Info General'!$A:$L,12,0))*E261</f>
        <v>35.56</v>
      </c>
      <c r="H261" s="21" t="s">
        <v>39</v>
      </c>
      <c r="I261" s="21">
        <v>1</v>
      </c>
      <c r="J261" s="21" t="s">
        <v>46</v>
      </c>
      <c r="K261" s="15">
        <f>(VLOOKUP(H261,'[1]BOM Info General'!$A:$L,12,0))*I261</f>
        <v>24.42</v>
      </c>
      <c r="L261" s="22" t="s">
        <v>56</v>
      </c>
      <c r="M261" s="22">
        <v>1</v>
      </c>
      <c r="N261" s="22" t="s">
        <v>59</v>
      </c>
      <c r="O261" s="9">
        <f>(VLOOKUP(L261,'[1]Simulation pricing per sub assy'!$D:$E,2,0))*M261</f>
        <v>51.27879999999999</v>
      </c>
      <c r="P261" s="23" t="s">
        <v>52</v>
      </c>
      <c r="Q261" s="23">
        <v>2</v>
      </c>
      <c r="R261" s="23" t="s">
        <v>18</v>
      </c>
      <c r="S261" s="40">
        <f>(VLOOKUP(P261,'[1]BOM Info General'!$A:$L,12,0))*Q261</f>
        <v>5.3</v>
      </c>
      <c r="T261" s="24" t="s">
        <v>14</v>
      </c>
      <c r="U261" s="24">
        <v>1</v>
      </c>
      <c r="V261" s="24" t="s">
        <v>15</v>
      </c>
      <c r="W261" s="17">
        <f>(VLOOKUP(T261,'[1]Simulation pricing per sub assy'!$D:$E,2,0))*U261</f>
        <v>1.9</v>
      </c>
      <c r="X261" s="18" t="s">
        <v>615</v>
      </c>
      <c r="Y261" s="25">
        <v>1</v>
      </c>
      <c r="Z261" s="25" t="s">
        <v>9</v>
      </c>
      <c r="AA261" s="18">
        <f>(VLOOKUP(X261,'[1]Simulation pricing per sub assy'!$D:$E,2,0))*Y261</f>
        <v>1.5769808000000001</v>
      </c>
    </row>
    <row r="262" spans="1:27" x14ac:dyDescent="0.35">
      <c r="A262" s="13" t="s">
        <v>1075</v>
      </c>
      <c r="B262" s="13" t="s">
        <v>1076</v>
      </c>
      <c r="C262" s="42">
        <f t="shared" si="4"/>
        <v>111.5057808</v>
      </c>
      <c r="D262" s="20" t="s">
        <v>42</v>
      </c>
      <c r="E262" s="20">
        <v>1</v>
      </c>
      <c r="F262" s="20" t="s">
        <v>3982</v>
      </c>
      <c r="G262" s="14">
        <f>(VLOOKUP(D262,'[1]BOM Info General'!$A:$L,12,0))*E262</f>
        <v>35.56</v>
      </c>
      <c r="H262" s="21" t="s">
        <v>39</v>
      </c>
      <c r="I262" s="21">
        <v>1</v>
      </c>
      <c r="J262" s="21" t="s">
        <v>46</v>
      </c>
      <c r="K262" s="15">
        <f>(VLOOKUP(H262,'[1]BOM Info General'!$A:$L,12,0))*I262</f>
        <v>24.42</v>
      </c>
      <c r="L262" s="22" t="s">
        <v>523</v>
      </c>
      <c r="M262" s="22">
        <v>1</v>
      </c>
      <c r="N262" s="22" t="s">
        <v>61</v>
      </c>
      <c r="O262" s="9">
        <f>(VLOOKUP(L262,'[1]Simulation pricing per sub assy'!$D:$E,2,0))*M262</f>
        <v>42.308799999999991</v>
      </c>
      <c r="P262" s="23" t="s">
        <v>50</v>
      </c>
      <c r="Q262" s="23">
        <v>2</v>
      </c>
      <c r="R262" s="23" t="s">
        <v>611</v>
      </c>
      <c r="S262" s="40">
        <f>(VLOOKUP(P262,'[1]BOM Info General'!$A:$L,12,0))*Q262</f>
        <v>5.3</v>
      </c>
      <c r="T262" s="24" t="s">
        <v>19</v>
      </c>
      <c r="U262" s="24">
        <v>1</v>
      </c>
      <c r="V262" s="24" t="s">
        <v>20</v>
      </c>
      <c r="W262" s="17">
        <f>(VLOOKUP(T262,'[1]Simulation pricing per sub assy'!$D:$E,2,0))*U262</f>
        <v>2.3400000000000003</v>
      </c>
      <c r="X262" s="18" t="s">
        <v>615</v>
      </c>
      <c r="Y262" s="25">
        <v>1</v>
      </c>
      <c r="Z262" s="25" t="s">
        <v>9</v>
      </c>
      <c r="AA262" s="18">
        <f>(VLOOKUP(X262,'[1]Simulation pricing per sub assy'!$D:$E,2,0))*Y262</f>
        <v>1.5769808000000001</v>
      </c>
    </row>
    <row r="263" spans="1:27" x14ac:dyDescent="0.35">
      <c r="A263" s="13" t="s">
        <v>1067</v>
      </c>
      <c r="B263" s="13" t="s">
        <v>1068</v>
      </c>
      <c r="C263" s="42">
        <f t="shared" si="4"/>
        <v>112.4857808</v>
      </c>
      <c r="D263" s="20" t="s">
        <v>42</v>
      </c>
      <c r="E263" s="20">
        <v>1</v>
      </c>
      <c r="F263" s="20" t="s">
        <v>3982</v>
      </c>
      <c r="G263" s="14">
        <f>(VLOOKUP(D263,'[1]BOM Info General'!$A:$L,12,0))*E263</f>
        <v>35.56</v>
      </c>
      <c r="H263" s="21" t="s">
        <v>39</v>
      </c>
      <c r="I263" s="21">
        <v>1</v>
      </c>
      <c r="J263" s="21" t="s">
        <v>46</v>
      </c>
      <c r="K263" s="15">
        <f>(VLOOKUP(H263,'[1]BOM Info General'!$A:$L,12,0))*I263</f>
        <v>24.42</v>
      </c>
      <c r="L263" s="22" t="s">
        <v>58</v>
      </c>
      <c r="M263" s="22">
        <v>1</v>
      </c>
      <c r="N263" s="22" t="s">
        <v>55</v>
      </c>
      <c r="O263" s="9">
        <f>(VLOOKUP(L263,'[1]Simulation pricing per sub assy'!$D:$E,2,0))*M263</f>
        <v>43.288799999999988</v>
      </c>
      <c r="P263" s="23" t="s">
        <v>50</v>
      </c>
      <c r="Q263" s="23">
        <v>2</v>
      </c>
      <c r="R263" s="23" t="s">
        <v>611</v>
      </c>
      <c r="S263" s="40">
        <f>(VLOOKUP(P263,'[1]BOM Info General'!$A:$L,12,0))*Q263</f>
        <v>5.3</v>
      </c>
      <c r="T263" s="24" t="s">
        <v>19</v>
      </c>
      <c r="U263" s="24">
        <v>1</v>
      </c>
      <c r="V263" s="24" t="s">
        <v>20</v>
      </c>
      <c r="W263" s="17">
        <f>(VLOOKUP(T263,'[1]Simulation pricing per sub assy'!$D:$E,2,0))*U263</f>
        <v>2.3400000000000003</v>
      </c>
      <c r="X263" s="18" t="s">
        <v>615</v>
      </c>
      <c r="Y263" s="25">
        <v>1</v>
      </c>
      <c r="Z263" s="25" t="s">
        <v>9</v>
      </c>
      <c r="AA263" s="18">
        <f>(VLOOKUP(X263,'[1]Simulation pricing per sub assy'!$D:$E,2,0))*Y263</f>
        <v>1.5769808000000001</v>
      </c>
    </row>
    <row r="264" spans="1:27" x14ac:dyDescent="0.35">
      <c r="A264" s="13" t="s">
        <v>1071</v>
      </c>
      <c r="B264" s="13" t="s">
        <v>1072</v>
      </c>
      <c r="C264" s="42">
        <f t="shared" si="4"/>
        <v>113.0657808</v>
      </c>
      <c r="D264" s="20" t="s">
        <v>42</v>
      </c>
      <c r="E264" s="20">
        <v>1</v>
      </c>
      <c r="F264" s="20" t="s">
        <v>3982</v>
      </c>
      <c r="G264" s="14">
        <f>(VLOOKUP(D264,'[1]BOM Info General'!$A:$L,12,0))*E264</f>
        <v>35.56</v>
      </c>
      <c r="H264" s="21" t="s">
        <v>39</v>
      </c>
      <c r="I264" s="21">
        <v>1</v>
      </c>
      <c r="J264" s="21" t="s">
        <v>46</v>
      </c>
      <c r="K264" s="15">
        <f>(VLOOKUP(H264,'[1]BOM Info General'!$A:$L,12,0))*I264</f>
        <v>24.42</v>
      </c>
      <c r="L264" s="22" t="s">
        <v>54</v>
      </c>
      <c r="M264" s="22">
        <v>1</v>
      </c>
      <c r="N264" s="22" t="s">
        <v>53</v>
      </c>
      <c r="O264" s="9">
        <f>(VLOOKUP(L264,'[1]Simulation pricing per sub assy'!$D:$E,2,0))*M264</f>
        <v>43.868799999999993</v>
      </c>
      <c r="P264" s="23" t="s">
        <v>50</v>
      </c>
      <c r="Q264" s="23">
        <v>2</v>
      </c>
      <c r="R264" s="23" t="s">
        <v>611</v>
      </c>
      <c r="S264" s="40">
        <f>(VLOOKUP(P264,'[1]BOM Info General'!$A:$L,12,0))*Q264</f>
        <v>5.3</v>
      </c>
      <c r="T264" s="24" t="s">
        <v>19</v>
      </c>
      <c r="U264" s="24">
        <v>1</v>
      </c>
      <c r="V264" s="24" t="s">
        <v>20</v>
      </c>
      <c r="W264" s="17">
        <f>(VLOOKUP(T264,'[1]Simulation pricing per sub assy'!$D:$E,2,0))*U264</f>
        <v>2.3400000000000003</v>
      </c>
      <c r="X264" s="18" t="s">
        <v>615</v>
      </c>
      <c r="Y264" s="25">
        <v>1</v>
      </c>
      <c r="Z264" s="25" t="s">
        <v>9</v>
      </c>
      <c r="AA264" s="18">
        <f>(VLOOKUP(X264,'[1]Simulation pricing per sub assy'!$D:$E,2,0))*Y264</f>
        <v>1.5769808000000001</v>
      </c>
    </row>
    <row r="265" spans="1:27" x14ac:dyDescent="0.35">
      <c r="A265" s="13" t="s">
        <v>1069</v>
      </c>
      <c r="B265" s="13" t="s">
        <v>1070</v>
      </c>
      <c r="C265" s="42">
        <f t="shared" si="4"/>
        <v>112.80578079999999</v>
      </c>
      <c r="D265" s="20" t="s">
        <v>42</v>
      </c>
      <c r="E265" s="20">
        <v>1</v>
      </c>
      <c r="F265" s="20" t="s">
        <v>3982</v>
      </c>
      <c r="G265" s="14">
        <f>(VLOOKUP(D265,'[1]BOM Info General'!$A:$L,12,0))*E265</f>
        <v>35.56</v>
      </c>
      <c r="H265" s="21" t="s">
        <v>39</v>
      </c>
      <c r="I265" s="21">
        <v>1</v>
      </c>
      <c r="J265" s="21" t="s">
        <v>46</v>
      </c>
      <c r="K265" s="15">
        <f>(VLOOKUP(H265,'[1]BOM Info General'!$A:$L,12,0))*I265</f>
        <v>24.42</v>
      </c>
      <c r="L265" s="22" t="s">
        <v>60</v>
      </c>
      <c r="M265" s="22">
        <v>1</v>
      </c>
      <c r="N265" s="22" t="s">
        <v>57</v>
      </c>
      <c r="O265" s="9">
        <f>(VLOOKUP(L265,'[1]Simulation pricing per sub assy'!$D:$E,2,0))*M265</f>
        <v>43.608799999999988</v>
      </c>
      <c r="P265" s="23" t="s">
        <v>50</v>
      </c>
      <c r="Q265" s="23">
        <v>2</v>
      </c>
      <c r="R265" s="23" t="s">
        <v>611</v>
      </c>
      <c r="S265" s="40">
        <f>(VLOOKUP(P265,'[1]BOM Info General'!$A:$L,12,0))*Q265</f>
        <v>5.3</v>
      </c>
      <c r="T265" s="24" t="s">
        <v>19</v>
      </c>
      <c r="U265" s="24">
        <v>1</v>
      </c>
      <c r="V265" s="24" t="s">
        <v>20</v>
      </c>
      <c r="W265" s="17">
        <f>(VLOOKUP(T265,'[1]Simulation pricing per sub assy'!$D:$E,2,0))*U265</f>
        <v>2.3400000000000003</v>
      </c>
      <c r="X265" s="18" t="s">
        <v>615</v>
      </c>
      <c r="Y265" s="25">
        <v>1</v>
      </c>
      <c r="Z265" s="25" t="s">
        <v>9</v>
      </c>
      <c r="AA265" s="18">
        <f>(VLOOKUP(X265,'[1]Simulation pricing per sub assy'!$D:$E,2,0))*Y265</f>
        <v>1.5769808000000001</v>
      </c>
    </row>
    <row r="266" spans="1:27" x14ac:dyDescent="0.35">
      <c r="A266" s="13" t="s">
        <v>1073</v>
      </c>
      <c r="B266" s="13" t="s">
        <v>1074</v>
      </c>
      <c r="C266" s="42">
        <f t="shared" si="4"/>
        <v>120.4757808</v>
      </c>
      <c r="D266" s="20" t="s">
        <v>42</v>
      </c>
      <c r="E266" s="20">
        <v>1</v>
      </c>
      <c r="F266" s="20" t="s">
        <v>3982</v>
      </c>
      <c r="G266" s="14">
        <f>(VLOOKUP(D266,'[1]BOM Info General'!$A:$L,12,0))*E266</f>
        <v>35.56</v>
      </c>
      <c r="H266" s="21" t="s">
        <v>39</v>
      </c>
      <c r="I266" s="21">
        <v>1</v>
      </c>
      <c r="J266" s="21" t="s">
        <v>46</v>
      </c>
      <c r="K266" s="15">
        <f>(VLOOKUP(H266,'[1]BOM Info General'!$A:$L,12,0))*I266</f>
        <v>24.42</v>
      </c>
      <c r="L266" s="22" t="s">
        <v>56</v>
      </c>
      <c r="M266" s="22">
        <v>1</v>
      </c>
      <c r="N266" s="22" t="s">
        <v>59</v>
      </c>
      <c r="O266" s="9">
        <f>(VLOOKUP(L266,'[1]Simulation pricing per sub assy'!$D:$E,2,0))*M266</f>
        <v>51.27879999999999</v>
      </c>
      <c r="P266" s="23" t="s">
        <v>50</v>
      </c>
      <c r="Q266" s="23">
        <v>2</v>
      </c>
      <c r="R266" s="23" t="s">
        <v>611</v>
      </c>
      <c r="S266" s="40">
        <f>(VLOOKUP(P266,'[1]BOM Info General'!$A:$L,12,0))*Q266</f>
        <v>5.3</v>
      </c>
      <c r="T266" s="24" t="s">
        <v>19</v>
      </c>
      <c r="U266" s="24">
        <v>1</v>
      </c>
      <c r="V266" s="24" t="s">
        <v>20</v>
      </c>
      <c r="W266" s="17">
        <f>(VLOOKUP(T266,'[1]Simulation pricing per sub assy'!$D:$E,2,0))*U266</f>
        <v>2.3400000000000003</v>
      </c>
      <c r="X266" s="18" t="s">
        <v>615</v>
      </c>
      <c r="Y266" s="25">
        <v>1</v>
      </c>
      <c r="Z266" s="25" t="s">
        <v>9</v>
      </c>
      <c r="AA266" s="18">
        <f>(VLOOKUP(X266,'[1]Simulation pricing per sub assy'!$D:$E,2,0))*Y266</f>
        <v>1.5769808000000001</v>
      </c>
    </row>
    <row r="267" spans="1:27" x14ac:dyDescent="0.35">
      <c r="A267" s="13" t="s">
        <v>1175</v>
      </c>
      <c r="B267" s="13" t="s">
        <v>1176</v>
      </c>
      <c r="C267" s="42">
        <f t="shared" si="4"/>
        <v>111.01578079999999</v>
      </c>
      <c r="D267" s="20" t="s">
        <v>42</v>
      </c>
      <c r="E267" s="20">
        <v>1</v>
      </c>
      <c r="F267" s="20" t="s">
        <v>3982</v>
      </c>
      <c r="G267" s="14">
        <f>(VLOOKUP(D267,'[1]BOM Info General'!$A:$L,12,0))*E267</f>
        <v>35.56</v>
      </c>
      <c r="H267" s="21" t="s">
        <v>39</v>
      </c>
      <c r="I267" s="21">
        <v>1</v>
      </c>
      <c r="J267" s="21" t="s">
        <v>46</v>
      </c>
      <c r="K267" s="15">
        <f>(VLOOKUP(H267,'[1]BOM Info General'!$A:$L,12,0))*I267</f>
        <v>24.42</v>
      </c>
      <c r="L267" s="22" t="s">
        <v>523</v>
      </c>
      <c r="M267" s="22">
        <v>1</v>
      </c>
      <c r="N267" s="22" t="s">
        <v>61</v>
      </c>
      <c r="O267" s="9">
        <f>(VLOOKUP(L267,'[1]Simulation pricing per sub assy'!$D:$E,2,0))*M267</f>
        <v>42.308799999999991</v>
      </c>
      <c r="P267" s="23" t="s">
        <v>50</v>
      </c>
      <c r="Q267" s="23">
        <v>2</v>
      </c>
      <c r="R267" s="23" t="s">
        <v>611</v>
      </c>
      <c r="S267" s="40">
        <f>(VLOOKUP(P267,'[1]BOM Info General'!$A:$L,12,0))*Q267</f>
        <v>5.3</v>
      </c>
      <c r="T267" s="24" t="s">
        <v>7</v>
      </c>
      <c r="U267" s="24">
        <v>1</v>
      </c>
      <c r="V267" s="24" t="s">
        <v>8</v>
      </c>
      <c r="W267" s="17">
        <f>(VLOOKUP(T267,'[1]Simulation pricing per sub assy'!$D:$E,2,0))*U267</f>
        <v>1.85</v>
      </c>
      <c r="X267" s="18" t="s">
        <v>615</v>
      </c>
      <c r="Y267" s="25">
        <v>1</v>
      </c>
      <c r="Z267" s="25" t="s">
        <v>9</v>
      </c>
      <c r="AA267" s="18">
        <f>(VLOOKUP(X267,'[1]Simulation pricing per sub assy'!$D:$E,2,0))*Y267</f>
        <v>1.5769808000000001</v>
      </c>
    </row>
    <row r="268" spans="1:27" x14ac:dyDescent="0.35">
      <c r="A268" s="13" t="s">
        <v>1167</v>
      </c>
      <c r="B268" s="13" t="s">
        <v>1168</v>
      </c>
      <c r="C268" s="42">
        <f t="shared" si="4"/>
        <v>111.99578079999999</v>
      </c>
      <c r="D268" s="20" t="s">
        <v>42</v>
      </c>
      <c r="E268" s="20">
        <v>1</v>
      </c>
      <c r="F268" s="20" t="s">
        <v>3982</v>
      </c>
      <c r="G268" s="14">
        <f>(VLOOKUP(D268,'[1]BOM Info General'!$A:$L,12,0))*E268</f>
        <v>35.56</v>
      </c>
      <c r="H268" s="21" t="s">
        <v>39</v>
      </c>
      <c r="I268" s="21">
        <v>1</v>
      </c>
      <c r="J268" s="21" t="s">
        <v>46</v>
      </c>
      <c r="K268" s="15">
        <f>(VLOOKUP(H268,'[1]BOM Info General'!$A:$L,12,0))*I268</f>
        <v>24.42</v>
      </c>
      <c r="L268" s="22" t="s">
        <v>58</v>
      </c>
      <c r="M268" s="22">
        <v>1</v>
      </c>
      <c r="N268" s="22" t="s">
        <v>55</v>
      </c>
      <c r="O268" s="9">
        <f>(VLOOKUP(L268,'[1]Simulation pricing per sub assy'!$D:$E,2,0))*M268</f>
        <v>43.288799999999988</v>
      </c>
      <c r="P268" s="23" t="s">
        <v>50</v>
      </c>
      <c r="Q268" s="23">
        <v>2</v>
      </c>
      <c r="R268" s="23" t="s">
        <v>611</v>
      </c>
      <c r="S268" s="40">
        <f>(VLOOKUP(P268,'[1]BOM Info General'!$A:$L,12,0))*Q268</f>
        <v>5.3</v>
      </c>
      <c r="T268" s="24" t="s">
        <v>7</v>
      </c>
      <c r="U268" s="24">
        <v>1</v>
      </c>
      <c r="V268" s="24" t="s">
        <v>8</v>
      </c>
      <c r="W268" s="17">
        <f>(VLOOKUP(T268,'[1]Simulation pricing per sub assy'!$D:$E,2,0))*U268</f>
        <v>1.85</v>
      </c>
      <c r="X268" s="18" t="s">
        <v>615</v>
      </c>
      <c r="Y268" s="25">
        <v>1</v>
      </c>
      <c r="Z268" s="25" t="s">
        <v>9</v>
      </c>
      <c r="AA268" s="18">
        <f>(VLOOKUP(X268,'[1]Simulation pricing per sub assy'!$D:$E,2,0))*Y268</f>
        <v>1.5769808000000001</v>
      </c>
    </row>
    <row r="269" spans="1:27" x14ac:dyDescent="0.35">
      <c r="A269" s="13" t="s">
        <v>1171</v>
      </c>
      <c r="B269" s="13" t="s">
        <v>1172</v>
      </c>
      <c r="C269" s="42">
        <f t="shared" si="4"/>
        <v>112.57578079999999</v>
      </c>
      <c r="D269" s="20" t="s">
        <v>42</v>
      </c>
      <c r="E269" s="20">
        <v>1</v>
      </c>
      <c r="F269" s="20" t="s">
        <v>3982</v>
      </c>
      <c r="G269" s="14">
        <f>(VLOOKUP(D269,'[1]BOM Info General'!$A:$L,12,0))*E269</f>
        <v>35.56</v>
      </c>
      <c r="H269" s="21" t="s">
        <v>39</v>
      </c>
      <c r="I269" s="21">
        <v>1</v>
      </c>
      <c r="J269" s="21" t="s">
        <v>46</v>
      </c>
      <c r="K269" s="15">
        <f>(VLOOKUP(H269,'[1]BOM Info General'!$A:$L,12,0))*I269</f>
        <v>24.42</v>
      </c>
      <c r="L269" s="22" t="s">
        <v>54</v>
      </c>
      <c r="M269" s="22">
        <v>1</v>
      </c>
      <c r="N269" s="22" t="s">
        <v>53</v>
      </c>
      <c r="O269" s="9">
        <f>(VLOOKUP(L269,'[1]Simulation pricing per sub assy'!$D:$E,2,0))*M269</f>
        <v>43.868799999999993</v>
      </c>
      <c r="P269" s="23" t="s">
        <v>50</v>
      </c>
      <c r="Q269" s="23">
        <v>2</v>
      </c>
      <c r="R269" s="23" t="s">
        <v>611</v>
      </c>
      <c r="S269" s="40">
        <f>(VLOOKUP(P269,'[1]BOM Info General'!$A:$L,12,0))*Q269</f>
        <v>5.3</v>
      </c>
      <c r="T269" s="24" t="s">
        <v>7</v>
      </c>
      <c r="U269" s="24">
        <v>1</v>
      </c>
      <c r="V269" s="24" t="s">
        <v>8</v>
      </c>
      <c r="W269" s="17">
        <f>(VLOOKUP(T269,'[1]Simulation pricing per sub assy'!$D:$E,2,0))*U269</f>
        <v>1.85</v>
      </c>
      <c r="X269" s="18" t="s">
        <v>615</v>
      </c>
      <c r="Y269" s="25">
        <v>1</v>
      </c>
      <c r="Z269" s="25" t="s">
        <v>9</v>
      </c>
      <c r="AA269" s="18">
        <f>(VLOOKUP(X269,'[1]Simulation pricing per sub assy'!$D:$E,2,0))*Y269</f>
        <v>1.5769808000000001</v>
      </c>
    </row>
    <row r="270" spans="1:27" x14ac:dyDescent="0.35">
      <c r="A270" s="13" t="s">
        <v>1169</v>
      </c>
      <c r="B270" s="13" t="s">
        <v>1170</v>
      </c>
      <c r="C270" s="42">
        <f t="shared" si="4"/>
        <v>112.31578079999998</v>
      </c>
      <c r="D270" s="20" t="s">
        <v>42</v>
      </c>
      <c r="E270" s="20">
        <v>1</v>
      </c>
      <c r="F270" s="20" t="s">
        <v>3982</v>
      </c>
      <c r="G270" s="14">
        <f>(VLOOKUP(D270,'[1]BOM Info General'!$A:$L,12,0))*E270</f>
        <v>35.56</v>
      </c>
      <c r="H270" s="21" t="s">
        <v>39</v>
      </c>
      <c r="I270" s="21">
        <v>1</v>
      </c>
      <c r="J270" s="21" t="s">
        <v>46</v>
      </c>
      <c r="K270" s="15">
        <f>(VLOOKUP(H270,'[1]BOM Info General'!$A:$L,12,0))*I270</f>
        <v>24.42</v>
      </c>
      <c r="L270" s="22" t="s">
        <v>60</v>
      </c>
      <c r="M270" s="22">
        <v>1</v>
      </c>
      <c r="N270" s="22" t="s">
        <v>57</v>
      </c>
      <c r="O270" s="9">
        <f>(VLOOKUP(L270,'[1]Simulation pricing per sub assy'!$D:$E,2,0))*M270</f>
        <v>43.608799999999988</v>
      </c>
      <c r="P270" s="23" t="s">
        <v>50</v>
      </c>
      <c r="Q270" s="23">
        <v>2</v>
      </c>
      <c r="R270" s="23" t="s">
        <v>611</v>
      </c>
      <c r="S270" s="40">
        <f>(VLOOKUP(P270,'[1]BOM Info General'!$A:$L,12,0))*Q270</f>
        <v>5.3</v>
      </c>
      <c r="T270" s="24" t="s">
        <v>7</v>
      </c>
      <c r="U270" s="24">
        <v>1</v>
      </c>
      <c r="V270" s="24" t="s">
        <v>8</v>
      </c>
      <c r="W270" s="17">
        <f>(VLOOKUP(T270,'[1]Simulation pricing per sub assy'!$D:$E,2,0))*U270</f>
        <v>1.85</v>
      </c>
      <c r="X270" s="18" t="s">
        <v>615</v>
      </c>
      <c r="Y270" s="25">
        <v>1</v>
      </c>
      <c r="Z270" s="25" t="s">
        <v>9</v>
      </c>
      <c r="AA270" s="18">
        <f>(VLOOKUP(X270,'[1]Simulation pricing per sub assy'!$D:$E,2,0))*Y270</f>
        <v>1.5769808000000001</v>
      </c>
    </row>
    <row r="271" spans="1:27" x14ac:dyDescent="0.35">
      <c r="A271" s="13" t="s">
        <v>1173</v>
      </c>
      <c r="B271" s="13" t="s">
        <v>1174</v>
      </c>
      <c r="C271" s="42">
        <f t="shared" si="4"/>
        <v>119.98578079999999</v>
      </c>
      <c r="D271" s="20" t="s">
        <v>42</v>
      </c>
      <c r="E271" s="20">
        <v>1</v>
      </c>
      <c r="F271" s="20" t="s">
        <v>3982</v>
      </c>
      <c r="G271" s="14">
        <f>(VLOOKUP(D271,'[1]BOM Info General'!$A:$L,12,0))*E271</f>
        <v>35.56</v>
      </c>
      <c r="H271" s="21" t="s">
        <v>39</v>
      </c>
      <c r="I271" s="21">
        <v>1</v>
      </c>
      <c r="J271" s="21" t="s">
        <v>46</v>
      </c>
      <c r="K271" s="15">
        <f>(VLOOKUP(H271,'[1]BOM Info General'!$A:$L,12,0))*I271</f>
        <v>24.42</v>
      </c>
      <c r="L271" s="22" t="s">
        <v>56</v>
      </c>
      <c r="M271" s="22">
        <v>1</v>
      </c>
      <c r="N271" s="22" t="s">
        <v>59</v>
      </c>
      <c r="O271" s="9">
        <f>(VLOOKUP(L271,'[1]Simulation pricing per sub assy'!$D:$E,2,0))*M271</f>
        <v>51.27879999999999</v>
      </c>
      <c r="P271" s="23" t="s">
        <v>50</v>
      </c>
      <c r="Q271" s="23">
        <v>2</v>
      </c>
      <c r="R271" s="23" t="s">
        <v>611</v>
      </c>
      <c r="S271" s="40">
        <f>(VLOOKUP(P271,'[1]BOM Info General'!$A:$L,12,0))*Q271</f>
        <v>5.3</v>
      </c>
      <c r="T271" s="24" t="s">
        <v>7</v>
      </c>
      <c r="U271" s="24">
        <v>1</v>
      </c>
      <c r="V271" s="24" t="s">
        <v>8</v>
      </c>
      <c r="W271" s="17">
        <f>(VLOOKUP(T271,'[1]Simulation pricing per sub assy'!$D:$E,2,0))*U271</f>
        <v>1.85</v>
      </c>
      <c r="X271" s="18" t="s">
        <v>615</v>
      </c>
      <c r="Y271" s="25">
        <v>1</v>
      </c>
      <c r="Z271" s="25" t="s">
        <v>9</v>
      </c>
      <c r="AA271" s="18">
        <f>(VLOOKUP(X271,'[1]Simulation pricing per sub assy'!$D:$E,2,0))*Y271</f>
        <v>1.5769808000000001</v>
      </c>
    </row>
    <row r="272" spans="1:27" x14ac:dyDescent="0.35">
      <c r="A272" s="13" t="s">
        <v>1259</v>
      </c>
      <c r="B272" s="13" t="s">
        <v>1260</v>
      </c>
      <c r="C272" s="42">
        <f t="shared" si="4"/>
        <v>111.21578079999999</v>
      </c>
      <c r="D272" s="20" t="s">
        <v>42</v>
      </c>
      <c r="E272" s="20">
        <v>1</v>
      </c>
      <c r="F272" s="20" t="s">
        <v>3982</v>
      </c>
      <c r="G272" s="14">
        <f>(VLOOKUP(D272,'[1]BOM Info General'!$A:$L,12,0))*E272</f>
        <v>35.56</v>
      </c>
      <c r="H272" s="21" t="s">
        <v>39</v>
      </c>
      <c r="I272" s="21">
        <v>1</v>
      </c>
      <c r="J272" s="21" t="s">
        <v>46</v>
      </c>
      <c r="K272" s="15">
        <f>(VLOOKUP(H272,'[1]BOM Info General'!$A:$L,12,0))*I272</f>
        <v>24.42</v>
      </c>
      <c r="L272" s="22" t="s">
        <v>523</v>
      </c>
      <c r="M272" s="22">
        <v>1</v>
      </c>
      <c r="N272" s="22" t="s">
        <v>61</v>
      </c>
      <c r="O272" s="9">
        <f>(VLOOKUP(L272,'[1]Simulation pricing per sub assy'!$D:$E,2,0))*M272</f>
        <v>42.308799999999991</v>
      </c>
      <c r="P272" s="23" t="s">
        <v>50</v>
      </c>
      <c r="Q272" s="23">
        <v>2</v>
      </c>
      <c r="R272" s="23" t="s">
        <v>16</v>
      </c>
      <c r="S272" s="40">
        <f>(VLOOKUP(P272,'[1]BOM Info General'!$A:$L,12,0))*Q272</f>
        <v>5.3</v>
      </c>
      <c r="T272" s="24" t="s">
        <v>10</v>
      </c>
      <c r="U272" s="24">
        <v>1</v>
      </c>
      <c r="V272" s="24" t="s">
        <v>11</v>
      </c>
      <c r="W272" s="17">
        <f>(VLOOKUP(T272,'[1]Simulation pricing per sub assy'!$D:$E,2,0))*U272</f>
        <v>2.0499999999999998</v>
      </c>
      <c r="X272" s="18" t="s">
        <v>615</v>
      </c>
      <c r="Y272" s="25">
        <v>1</v>
      </c>
      <c r="Z272" s="25" t="s">
        <v>9</v>
      </c>
      <c r="AA272" s="18">
        <f>(VLOOKUP(X272,'[1]Simulation pricing per sub assy'!$D:$E,2,0))*Y272</f>
        <v>1.5769808000000001</v>
      </c>
    </row>
    <row r="273" spans="1:27" x14ac:dyDescent="0.35">
      <c r="A273" s="13" t="s">
        <v>1187</v>
      </c>
      <c r="B273" s="13" t="s">
        <v>1188</v>
      </c>
      <c r="C273" s="42">
        <f t="shared" si="4"/>
        <v>112.19578079999999</v>
      </c>
      <c r="D273" s="20" t="s">
        <v>42</v>
      </c>
      <c r="E273" s="20">
        <v>1</v>
      </c>
      <c r="F273" s="20" t="s">
        <v>3982</v>
      </c>
      <c r="G273" s="14">
        <f>(VLOOKUP(D273,'[1]BOM Info General'!$A:$L,12,0))*E273</f>
        <v>35.56</v>
      </c>
      <c r="H273" s="21" t="s">
        <v>39</v>
      </c>
      <c r="I273" s="21">
        <v>1</v>
      </c>
      <c r="J273" s="21" t="s">
        <v>46</v>
      </c>
      <c r="K273" s="15">
        <f>(VLOOKUP(H273,'[1]BOM Info General'!$A:$L,12,0))*I273</f>
        <v>24.42</v>
      </c>
      <c r="L273" s="22" t="s">
        <v>58</v>
      </c>
      <c r="M273" s="22">
        <v>1</v>
      </c>
      <c r="N273" s="22" t="s">
        <v>55</v>
      </c>
      <c r="O273" s="9">
        <f>(VLOOKUP(L273,'[1]Simulation pricing per sub assy'!$D:$E,2,0))*M273</f>
        <v>43.288799999999988</v>
      </c>
      <c r="P273" s="23" t="s">
        <v>50</v>
      </c>
      <c r="Q273" s="23">
        <v>2</v>
      </c>
      <c r="R273" s="23" t="s">
        <v>16</v>
      </c>
      <c r="S273" s="40">
        <f>(VLOOKUP(P273,'[1]BOM Info General'!$A:$L,12,0))*Q273</f>
        <v>5.3</v>
      </c>
      <c r="T273" s="24" t="s">
        <v>10</v>
      </c>
      <c r="U273" s="24">
        <v>1</v>
      </c>
      <c r="V273" s="24" t="s">
        <v>11</v>
      </c>
      <c r="W273" s="17">
        <f>(VLOOKUP(T273,'[1]Simulation pricing per sub assy'!$D:$E,2,0))*U273</f>
        <v>2.0499999999999998</v>
      </c>
      <c r="X273" s="18" t="s">
        <v>615</v>
      </c>
      <c r="Y273" s="25">
        <v>1</v>
      </c>
      <c r="Z273" s="25" t="s">
        <v>9</v>
      </c>
      <c r="AA273" s="18">
        <f>(VLOOKUP(X273,'[1]Simulation pricing per sub assy'!$D:$E,2,0))*Y273</f>
        <v>1.5769808000000001</v>
      </c>
    </row>
    <row r="274" spans="1:27" x14ac:dyDescent="0.35">
      <c r="A274" s="13" t="s">
        <v>1223</v>
      </c>
      <c r="B274" s="13" t="s">
        <v>1224</v>
      </c>
      <c r="C274" s="42">
        <f t="shared" si="4"/>
        <v>112.77578079999999</v>
      </c>
      <c r="D274" s="20" t="s">
        <v>42</v>
      </c>
      <c r="E274" s="20">
        <v>1</v>
      </c>
      <c r="F274" s="20" t="s">
        <v>3982</v>
      </c>
      <c r="G274" s="14">
        <f>(VLOOKUP(D274,'[1]BOM Info General'!$A:$L,12,0))*E274</f>
        <v>35.56</v>
      </c>
      <c r="H274" s="21" t="s">
        <v>39</v>
      </c>
      <c r="I274" s="21">
        <v>1</v>
      </c>
      <c r="J274" s="21" t="s">
        <v>46</v>
      </c>
      <c r="K274" s="15">
        <f>(VLOOKUP(H274,'[1]BOM Info General'!$A:$L,12,0))*I274</f>
        <v>24.42</v>
      </c>
      <c r="L274" s="22" t="s">
        <v>54</v>
      </c>
      <c r="M274" s="22">
        <v>1</v>
      </c>
      <c r="N274" s="22" t="s">
        <v>53</v>
      </c>
      <c r="O274" s="9">
        <f>(VLOOKUP(L274,'[1]Simulation pricing per sub assy'!$D:$E,2,0))*M274</f>
        <v>43.868799999999993</v>
      </c>
      <c r="P274" s="23" t="s">
        <v>50</v>
      </c>
      <c r="Q274" s="23">
        <v>2</v>
      </c>
      <c r="R274" s="23" t="s">
        <v>16</v>
      </c>
      <c r="S274" s="40">
        <f>(VLOOKUP(P274,'[1]BOM Info General'!$A:$L,12,0))*Q274</f>
        <v>5.3</v>
      </c>
      <c r="T274" s="24" t="s">
        <v>10</v>
      </c>
      <c r="U274" s="24">
        <v>1</v>
      </c>
      <c r="V274" s="24" t="s">
        <v>11</v>
      </c>
      <c r="W274" s="17">
        <f>(VLOOKUP(T274,'[1]Simulation pricing per sub assy'!$D:$E,2,0))*U274</f>
        <v>2.0499999999999998</v>
      </c>
      <c r="X274" s="18" t="s">
        <v>615</v>
      </c>
      <c r="Y274" s="25">
        <v>1</v>
      </c>
      <c r="Z274" s="25" t="s">
        <v>9</v>
      </c>
      <c r="AA274" s="18">
        <f>(VLOOKUP(X274,'[1]Simulation pricing per sub assy'!$D:$E,2,0))*Y274</f>
        <v>1.5769808000000001</v>
      </c>
    </row>
    <row r="275" spans="1:27" x14ac:dyDescent="0.35">
      <c r="A275" s="13" t="s">
        <v>1205</v>
      </c>
      <c r="B275" s="13" t="s">
        <v>1206</v>
      </c>
      <c r="C275" s="42">
        <f t="shared" si="4"/>
        <v>112.51578079999999</v>
      </c>
      <c r="D275" s="20" t="s">
        <v>42</v>
      </c>
      <c r="E275" s="20">
        <v>1</v>
      </c>
      <c r="F275" s="20" t="s">
        <v>3982</v>
      </c>
      <c r="G275" s="14">
        <f>(VLOOKUP(D275,'[1]BOM Info General'!$A:$L,12,0))*E275</f>
        <v>35.56</v>
      </c>
      <c r="H275" s="21" t="s">
        <v>39</v>
      </c>
      <c r="I275" s="21">
        <v>1</v>
      </c>
      <c r="J275" s="21" t="s">
        <v>46</v>
      </c>
      <c r="K275" s="15">
        <f>(VLOOKUP(H275,'[1]BOM Info General'!$A:$L,12,0))*I275</f>
        <v>24.42</v>
      </c>
      <c r="L275" s="22" t="s">
        <v>60</v>
      </c>
      <c r="M275" s="22">
        <v>1</v>
      </c>
      <c r="N275" s="22" t="s">
        <v>57</v>
      </c>
      <c r="O275" s="9">
        <f>(VLOOKUP(L275,'[1]Simulation pricing per sub assy'!$D:$E,2,0))*M275</f>
        <v>43.608799999999988</v>
      </c>
      <c r="P275" s="23" t="s">
        <v>50</v>
      </c>
      <c r="Q275" s="23">
        <v>2</v>
      </c>
      <c r="R275" s="23" t="s">
        <v>16</v>
      </c>
      <c r="S275" s="40">
        <f>(VLOOKUP(P275,'[1]BOM Info General'!$A:$L,12,0))*Q275</f>
        <v>5.3</v>
      </c>
      <c r="T275" s="24" t="s">
        <v>10</v>
      </c>
      <c r="U275" s="24">
        <v>1</v>
      </c>
      <c r="V275" s="24" t="s">
        <v>11</v>
      </c>
      <c r="W275" s="17">
        <f>(VLOOKUP(T275,'[1]Simulation pricing per sub assy'!$D:$E,2,0))*U275</f>
        <v>2.0499999999999998</v>
      </c>
      <c r="X275" s="18" t="s">
        <v>615</v>
      </c>
      <c r="Y275" s="25">
        <v>1</v>
      </c>
      <c r="Z275" s="25" t="s">
        <v>9</v>
      </c>
      <c r="AA275" s="18">
        <f>(VLOOKUP(X275,'[1]Simulation pricing per sub assy'!$D:$E,2,0))*Y275</f>
        <v>1.5769808000000001</v>
      </c>
    </row>
    <row r="276" spans="1:27" x14ac:dyDescent="0.35">
      <c r="A276" s="13" t="s">
        <v>1241</v>
      </c>
      <c r="B276" s="13" t="s">
        <v>1242</v>
      </c>
      <c r="C276" s="42">
        <f t="shared" si="4"/>
        <v>120.18578079999999</v>
      </c>
      <c r="D276" s="20" t="s">
        <v>42</v>
      </c>
      <c r="E276" s="20">
        <v>1</v>
      </c>
      <c r="F276" s="20" t="s">
        <v>3982</v>
      </c>
      <c r="G276" s="14">
        <f>(VLOOKUP(D276,'[1]BOM Info General'!$A:$L,12,0))*E276</f>
        <v>35.56</v>
      </c>
      <c r="H276" s="21" t="s">
        <v>39</v>
      </c>
      <c r="I276" s="21">
        <v>1</v>
      </c>
      <c r="J276" s="21" t="s">
        <v>46</v>
      </c>
      <c r="K276" s="15">
        <f>(VLOOKUP(H276,'[1]BOM Info General'!$A:$L,12,0))*I276</f>
        <v>24.42</v>
      </c>
      <c r="L276" s="22" t="s">
        <v>56</v>
      </c>
      <c r="M276" s="22">
        <v>1</v>
      </c>
      <c r="N276" s="22" t="s">
        <v>59</v>
      </c>
      <c r="O276" s="9">
        <f>(VLOOKUP(L276,'[1]Simulation pricing per sub assy'!$D:$E,2,0))*M276</f>
        <v>51.27879999999999</v>
      </c>
      <c r="P276" s="23" t="s">
        <v>50</v>
      </c>
      <c r="Q276" s="23">
        <v>2</v>
      </c>
      <c r="R276" s="23" t="s">
        <v>16</v>
      </c>
      <c r="S276" s="40">
        <f>(VLOOKUP(P276,'[1]BOM Info General'!$A:$L,12,0))*Q276</f>
        <v>5.3</v>
      </c>
      <c r="T276" s="24" t="s">
        <v>10</v>
      </c>
      <c r="U276" s="24">
        <v>1</v>
      </c>
      <c r="V276" s="24" t="s">
        <v>11</v>
      </c>
      <c r="W276" s="17">
        <f>(VLOOKUP(T276,'[1]Simulation pricing per sub assy'!$D:$E,2,0))*U276</f>
        <v>2.0499999999999998</v>
      </c>
      <c r="X276" s="18" t="s">
        <v>615</v>
      </c>
      <c r="Y276" s="25">
        <v>1</v>
      </c>
      <c r="Z276" s="25" t="s">
        <v>9</v>
      </c>
      <c r="AA276" s="18">
        <f>(VLOOKUP(X276,'[1]Simulation pricing per sub assy'!$D:$E,2,0))*Y276</f>
        <v>1.5769808000000001</v>
      </c>
    </row>
    <row r="277" spans="1:27" x14ac:dyDescent="0.35">
      <c r="A277" s="13" t="s">
        <v>1261</v>
      </c>
      <c r="B277" s="13" t="s">
        <v>1262</v>
      </c>
      <c r="C277" s="42">
        <f t="shared" si="4"/>
        <v>111.0657808</v>
      </c>
      <c r="D277" s="20" t="s">
        <v>42</v>
      </c>
      <c r="E277" s="20">
        <v>1</v>
      </c>
      <c r="F277" s="20" t="s">
        <v>3982</v>
      </c>
      <c r="G277" s="14">
        <f>(VLOOKUP(D277,'[1]BOM Info General'!$A:$L,12,0))*E277</f>
        <v>35.56</v>
      </c>
      <c r="H277" s="21" t="s">
        <v>39</v>
      </c>
      <c r="I277" s="21">
        <v>1</v>
      </c>
      <c r="J277" s="21" t="s">
        <v>46</v>
      </c>
      <c r="K277" s="15">
        <f>(VLOOKUP(H277,'[1]BOM Info General'!$A:$L,12,0))*I277</f>
        <v>24.42</v>
      </c>
      <c r="L277" s="22" t="s">
        <v>523</v>
      </c>
      <c r="M277" s="22">
        <v>1</v>
      </c>
      <c r="N277" s="22" t="s">
        <v>61</v>
      </c>
      <c r="O277" s="9">
        <f>(VLOOKUP(L277,'[1]Simulation pricing per sub assy'!$D:$E,2,0))*M277</f>
        <v>42.308799999999991</v>
      </c>
      <c r="P277" s="23" t="s">
        <v>50</v>
      </c>
      <c r="Q277" s="23">
        <v>2</v>
      </c>
      <c r="R277" s="23" t="s">
        <v>16</v>
      </c>
      <c r="S277" s="40">
        <f>(VLOOKUP(P277,'[1]BOM Info General'!$A:$L,12,0))*Q277</f>
        <v>5.3</v>
      </c>
      <c r="T277" s="24" t="s">
        <v>12</v>
      </c>
      <c r="U277" s="24">
        <v>1</v>
      </c>
      <c r="V277" s="24" t="s">
        <v>13</v>
      </c>
      <c r="W277" s="17">
        <f>(VLOOKUP(T277,'[1]Simulation pricing per sub assy'!$D:$E,2,0))*U277</f>
        <v>1.9</v>
      </c>
      <c r="X277" s="18" t="s">
        <v>615</v>
      </c>
      <c r="Y277" s="25">
        <v>1</v>
      </c>
      <c r="Z277" s="25" t="s">
        <v>9</v>
      </c>
      <c r="AA277" s="18">
        <f>(VLOOKUP(X277,'[1]Simulation pricing per sub assy'!$D:$E,2,0))*Y277</f>
        <v>1.5769808000000001</v>
      </c>
    </row>
    <row r="278" spans="1:27" x14ac:dyDescent="0.35">
      <c r="A278" s="13" t="s">
        <v>1189</v>
      </c>
      <c r="B278" s="13" t="s">
        <v>1190</v>
      </c>
      <c r="C278" s="42">
        <f t="shared" si="4"/>
        <v>112.0457808</v>
      </c>
      <c r="D278" s="20" t="s">
        <v>42</v>
      </c>
      <c r="E278" s="20">
        <v>1</v>
      </c>
      <c r="F278" s="20" t="s">
        <v>3982</v>
      </c>
      <c r="G278" s="14">
        <f>(VLOOKUP(D278,'[1]BOM Info General'!$A:$L,12,0))*E278</f>
        <v>35.56</v>
      </c>
      <c r="H278" s="21" t="s">
        <v>39</v>
      </c>
      <c r="I278" s="21">
        <v>1</v>
      </c>
      <c r="J278" s="21" t="s">
        <v>46</v>
      </c>
      <c r="K278" s="15">
        <f>(VLOOKUP(H278,'[1]BOM Info General'!$A:$L,12,0))*I278</f>
        <v>24.42</v>
      </c>
      <c r="L278" s="22" t="s">
        <v>58</v>
      </c>
      <c r="M278" s="22">
        <v>1</v>
      </c>
      <c r="N278" s="22" t="s">
        <v>55</v>
      </c>
      <c r="O278" s="9">
        <f>(VLOOKUP(L278,'[1]Simulation pricing per sub assy'!$D:$E,2,0))*M278</f>
        <v>43.288799999999988</v>
      </c>
      <c r="P278" s="23" t="s">
        <v>50</v>
      </c>
      <c r="Q278" s="23">
        <v>2</v>
      </c>
      <c r="R278" s="23" t="s">
        <v>16</v>
      </c>
      <c r="S278" s="40">
        <f>(VLOOKUP(P278,'[1]BOM Info General'!$A:$L,12,0))*Q278</f>
        <v>5.3</v>
      </c>
      <c r="T278" s="24" t="s">
        <v>12</v>
      </c>
      <c r="U278" s="24">
        <v>1</v>
      </c>
      <c r="V278" s="24" t="s">
        <v>13</v>
      </c>
      <c r="W278" s="17">
        <f>(VLOOKUP(T278,'[1]Simulation pricing per sub assy'!$D:$E,2,0))*U278</f>
        <v>1.9</v>
      </c>
      <c r="X278" s="18" t="s">
        <v>615</v>
      </c>
      <c r="Y278" s="25">
        <v>1</v>
      </c>
      <c r="Z278" s="25" t="s">
        <v>9</v>
      </c>
      <c r="AA278" s="18">
        <f>(VLOOKUP(X278,'[1]Simulation pricing per sub assy'!$D:$E,2,0))*Y278</f>
        <v>1.5769808000000001</v>
      </c>
    </row>
    <row r="279" spans="1:27" x14ac:dyDescent="0.35">
      <c r="A279" s="13" t="s">
        <v>1225</v>
      </c>
      <c r="B279" s="13" t="s">
        <v>1226</v>
      </c>
      <c r="C279" s="42">
        <f t="shared" si="4"/>
        <v>112.6257808</v>
      </c>
      <c r="D279" s="20" t="s">
        <v>42</v>
      </c>
      <c r="E279" s="20">
        <v>1</v>
      </c>
      <c r="F279" s="20" t="s">
        <v>3982</v>
      </c>
      <c r="G279" s="14">
        <f>(VLOOKUP(D279,'[1]BOM Info General'!$A:$L,12,0))*E279</f>
        <v>35.56</v>
      </c>
      <c r="H279" s="21" t="s">
        <v>39</v>
      </c>
      <c r="I279" s="21">
        <v>1</v>
      </c>
      <c r="J279" s="21" t="s">
        <v>46</v>
      </c>
      <c r="K279" s="15">
        <f>(VLOOKUP(H279,'[1]BOM Info General'!$A:$L,12,0))*I279</f>
        <v>24.42</v>
      </c>
      <c r="L279" s="22" t="s">
        <v>54</v>
      </c>
      <c r="M279" s="22">
        <v>1</v>
      </c>
      <c r="N279" s="22" t="s">
        <v>53</v>
      </c>
      <c r="O279" s="9">
        <f>(VLOOKUP(L279,'[1]Simulation pricing per sub assy'!$D:$E,2,0))*M279</f>
        <v>43.868799999999993</v>
      </c>
      <c r="P279" s="23" t="s">
        <v>50</v>
      </c>
      <c r="Q279" s="23">
        <v>2</v>
      </c>
      <c r="R279" s="23" t="s">
        <v>16</v>
      </c>
      <c r="S279" s="40">
        <f>(VLOOKUP(P279,'[1]BOM Info General'!$A:$L,12,0))*Q279</f>
        <v>5.3</v>
      </c>
      <c r="T279" s="24" t="s">
        <v>12</v>
      </c>
      <c r="U279" s="24">
        <v>1</v>
      </c>
      <c r="V279" s="24" t="s">
        <v>13</v>
      </c>
      <c r="W279" s="17">
        <f>(VLOOKUP(T279,'[1]Simulation pricing per sub assy'!$D:$E,2,0))*U279</f>
        <v>1.9</v>
      </c>
      <c r="X279" s="18" t="s">
        <v>615</v>
      </c>
      <c r="Y279" s="25">
        <v>1</v>
      </c>
      <c r="Z279" s="25" t="s">
        <v>9</v>
      </c>
      <c r="AA279" s="18">
        <f>(VLOOKUP(X279,'[1]Simulation pricing per sub assy'!$D:$E,2,0))*Y279</f>
        <v>1.5769808000000001</v>
      </c>
    </row>
    <row r="280" spans="1:27" x14ac:dyDescent="0.35">
      <c r="A280" s="13" t="s">
        <v>1207</v>
      </c>
      <c r="B280" s="13" t="s">
        <v>1208</v>
      </c>
      <c r="C280" s="42">
        <f t="shared" si="4"/>
        <v>112.3657808</v>
      </c>
      <c r="D280" s="20" t="s">
        <v>42</v>
      </c>
      <c r="E280" s="20">
        <v>1</v>
      </c>
      <c r="F280" s="20" t="s">
        <v>3982</v>
      </c>
      <c r="G280" s="14">
        <f>(VLOOKUP(D280,'[1]BOM Info General'!$A:$L,12,0))*E280</f>
        <v>35.56</v>
      </c>
      <c r="H280" s="21" t="s">
        <v>39</v>
      </c>
      <c r="I280" s="21">
        <v>1</v>
      </c>
      <c r="J280" s="21" t="s">
        <v>46</v>
      </c>
      <c r="K280" s="15">
        <f>(VLOOKUP(H280,'[1]BOM Info General'!$A:$L,12,0))*I280</f>
        <v>24.42</v>
      </c>
      <c r="L280" s="22" t="s">
        <v>60</v>
      </c>
      <c r="M280" s="22">
        <v>1</v>
      </c>
      <c r="N280" s="22" t="s">
        <v>57</v>
      </c>
      <c r="O280" s="9">
        <f>(VLOOKUP(L280,'[1]Simulation pricing per sub assy'!$D:$E,2,0))*M280</f>
        <v>43.608799999999988</v>
      </c>
      <c r="P280" s="23" t="s">
        <v>50</v>
      </c>
      <c r="Q280" s="23">
        <v>2</v>
      </c>
      <c r="R280" s="23" t="s">
        <v>16</v>
      </c>
      <c r="S280" s="40">
        <f>(VLOOKUP(P280,'[1]BOM Info General'!$A:$L,12,0))*Q280</f>
        <v>5.3</v>
      </c>
      <c r="T280" s="24" t="s">
        <v>12</v>
      </c>
      <c r="U280" s="24">
        <v>1</v>
      </c>
      <c r="V280" s="24" t="s">
        <v>13</v>
      </c>
      <c r="W280" s="17">
        <f>(VLOOKUP(T280,'[1]Simulation pricing per sub assy'!$D:$E,2,0))*U280</f>
        <v>1.9</v>
      </c>
      <c r="X280" s="18" t="s">
        <v>615</v>
      </c>
      <c r="Y280" s="25">
        <v>1</v>
      </c>
      <c r="Z280" s="25" t="s">
        <v>9</v>
      </c>
      <c r="AA280" s="18">
        <f>(VLOOKUP(X280,'[1]Simulation pricing per sub assy'!$D:$E,2,0))*Y280</f>
        <v>1.5769808000000001</v>
      </c>
    </row>
    <row r="281" spans="1:27" x14ac:dyDescent="0.35">
      <c r="A281" s="13" t="s">
        <v>1243</v>
      </c>
      <c r="B281" s="13" t="s">
        <v>1244</v>
      </c>
      <c r="C281" s="42">
        <f t="shared" si="4"/>
        <v>120.0357808</v>
      </c>
      <c r="D281" s="20" t="s">
        <v>42</v>
      </c>
      <c r="E281" s="20">
        <v>1</v>
      </c>
      <c r="F281" s="20" t="s">
        <v>3982</v>
      </c>
      <c r="G281" s="14">
        <f>(VLOOKUP(D281,'[1]BOM Info General'!$A:$L,12,0))*E281</f>
        <v>35.56</v>
      </c>
      <c r="H281" s="21" t="s">
        <v>39</v>
      </c>
      <c r="I281" s="21">
        <v>1</v>
      </c>
      <c r="J281" s="21" t="s">
        <v>46</v>
      </c>
      <c r="K281" s="15">
        <f>(VLOOKUP(H281,'[1]BOM Info General'!$A:$L,12,0))*I281</f>
        <v>24.42</v>
      </c>
      <c r="L281" s="22" t="s">
        <v>56</v>
      </c>
      <c r="M281" s="22">
        <v>1</v>
      </c>
      <c r="N281" s="22" t="s">
        <v>59</v>
      </c>
      <c r="O281" s="9">
        <f>(VLOOKUP(L281,'[1]Simulation pricing per sub assy'!$D:$E,2,0))*M281</f>
        <v>51.27879999999999</v>
      </c>
      <c r="P281" s="23" t="s">
        <v>50</v>
      </c>
      <c r="Q281" s="23">
        <v>2</v>
      </c>
      <c r="R281" s="23" t="s">
        <v>16</v>
      </c>
      <c r="S281" s="40">
        <f>(VLOOKUP(P281,'[1]BOM Info General'!$A:$L,12,0))*Q281</f>
        <v>5.3</v>
      </c>
      <c r="T281" s="24" t="s">
        <v>12</v>
      </c>
      <c r="U281" s="24">
        <v>1</v>
      </c>
      <c r="V281" s="24" t="s">
        <v>13</v>
      </c>
      <c r="W281" s="17">
        <f>(VLOOKUP(T281,'[1]Simulation pricing per sub assy'!$D:$E,2,0))*U281</f>
        <v>1.9</v>
      </c>
      <c r="X281" s="18" t="s">
        <v>615</v>
      </c>
      <c r="Y281" s="25">
        <v>1</v>
      </c>
      <c r="Z281" s="25" t="s">
        <v>9</v>
      </c>
      <c r="AA281" s="18">
        <f>(VLOOKUP(X281,'[1]Simulation pricing per sub assy'!$D:$E,2,0))*Y281</f>
        <v>1.5769808000000001</v>
      </c>
    </row>
    <row r="282" spans="1:27" x14ac:dyDescent="0.35">
      <c r="A282" s="13" t="s">
        <v>1263</v>
      </c>
      <c r="B282" s="13" t="s">
        <v>1264</v>
      </c>
      <c r="C282" s="42">
        <f t="shared" si="4"/>
        <v>111.0657808</v>
      </c>
      <c r="D282" s="20" t="s">
        <v>42</v>
      </c>
      <c r="E282" s="20">
        <v>1</v>
      </c>
      <c r="F282" s="20" t="s">
        <v>3982</v>
      </c>
      <c r="G282" s="14">
        <f>(VLOOKUP(D282,'[1]BOM Info General'!$A:$L,12,0))*E282</f>
        <v>35.56</v>
      </c>
      <c r="H282" s="21" t="s">
        <v>39</v>
      </c>
      <c r="I282" s="21">
        <v>1</v>
      </c>
      <c r="J282" s="21" t="s">
        <v>46</v>
      </c>
      <c r="K282" s="15">
        <f>(VLOOKUP(H282,'[1]BOM Info General'!$A:$L,12,0))*I282</f>
        <v>24.42</v>
      </c>
      <c r="L282" s="22" t="s">
        <v>523</v>
      </c>
      <c r="M282" s="22">
        <v>1</v>
      </c>
      <c r="N282" s="22" t="s">
        <v>61</v>
      </c>
      <c r="O282" s="9">
        <f>(VLOOKUP(L282,'[1]Simulation pricing per sub assy'!$D:$E,2,0))*M282</f>
        <v>42.308799999999991</v>
      </c>
      <c r="P282" s="23" t="s">
        <v>50</v>
      </c>
      <c r="Q282" s="23">
        <v>2</v>
      </c>
      <c r="R282" s="23" t="s">
        <v>16</v>
      </c>
      <c r="S282" s="40">
        <f>(VLOOKUP(P282,'[1]BOM Info General'!$A:$L,12,0))*Q282</f>
        <v>5.3</v>
      </c>
      <c r="T282" s="24" t="s">
        <v>14</v>
      </c>
      <c r="U282" s="24">
        <v>1</v>
      </c>
      <c r="V282" s="24" t="s">
        <v>15</v>
      </c>
      <c r="W282" s="17">
        <f>(VLOOKUP(T282,'[1]Simulation pricing per sub assy'!$D:$E,2,0))*U282</f>
        <v>1.9</v>
      </c>
      <c r="X282" s="18" t="s">
        <v>615</v>
      </c>
      <c r="Y282" s="25">
        <v>1</v>
      </c>
      <c r="Z282" s="25" t="s">
        <v>9</v>
      </c>
      <c r="AA282" s="18">
        <f>(VLOOKUP(X282,'[1]Simulation pricing per sub assy'!$D:$E,2,0))*Y282</f>
        <v>1.5769808000000001</v>
      </c>
    </row>
    <row r="283" spans="1:27" x14ac:dyDescent="0.35">
      <c r="A283" s="13" t="s">
        <v>1191</v>
      </c>
      <c r="B283" s="13" t="s">
        <v>1192</v>
      </c>
      <c r="C283" s="42">
        <f t="shared" si="4"/>
        <v>112.0457808</v>
      </c>
      <c r="D283" s="20" t="s">
        <v>42</v>
      </c>
      <c r="E283" s="20">
        <v>1</v>
      </c>
      <c r="F283" s="20" t="s">
        <v>3982</v>
      </c>
      <c r="G283" s="14">
        <f>(VLOOKUP(D283,'[1]BOM Info General'!$A:$L,12,0))*E283</f>
        <v>35.56</v>
      </c>
      <c r="H283" s="21" t="s">
        <v>39</v>
      </c>
      <c r="I283" s="21">
        <v>1</v>
      </c>
      <c r="J283" s="21" t="s">
        <v>46</v>
      </c>
      <c r="K283" s="15">
        <f>(VLOOKUP(H283,'[1]BOM Info General'!$A:$L,12,0))*I283</f>
        <v>24.42</v>
      </c>
      <c r="L283" s="22" t="s">
        <v>58</v>
      </c>
      <c r="M283" s="22">
        <v>1</v>
      </c>
      <c r="N283" s="22" t="s">
        <v>55</v>
      </c>
      <c r="O283" s="9">
        <f>(VLOOKUP(L283,'[1]Simulation pricing per sub assy'!$D:$E,2,0))*M283</f>
        <v>43.288799999999988</v>
      </c>
      <c r="P283" s="23" t="s">
        <v>50</v>
      </c>
      <c r="Q283" s="23">
        <v>2</v>
      </c>
      <c r="R283" s="23" t="s">
        <v>16</v>
      </c>
      <c r="S283" s="40">
        <f>(VLOOKUP(P283,'[1]BOM Info General'!$A:$L,12,0))*Q283</f>
        <v>5.3</v>
      </c>
      <c r="T283" s="24" t="s">
        <v>14</v>
      </c>
      <c r="U283" s="24">
        <v>1</v>
      </c>
      <c r="V283" s="24" t="s">
        <v>15</v>
      </c>
      <c r="W283" s="17">
        <f>(VLOOKUP(T283,'[1]Simulation pricing per sub assy'!$D:$E,2,0))*U283</f>
        <v>1.9</v>
      </c>
      <c r="X283" s="18" t="s">
        <v>615</v>
      </c>
      <c r="Y283" s="25">
        <v>1</v>
      </c>
      <c r="Z283" s="25" t="s">
        <v>9</v>
      </c>
      <c r="AA283" s="18">
        <f>(VLOOKUP(X283,'[1]Simulation pricing per sub assy'!$D:$E,2,0))*Y283</f>
        <v>1.5769808000000001</v>
      </c>
    </row>
    <row r="284" spans="1:27" x14ac:dyDescent="0.35">
      <c r="A284" s="13" t="s">
        <v>1227</v>
      </c>
      <c r="B284" s="13" t="s">
        <v>1228</v>
      </c>
      <c r="C284" s="42">
        <f t="shared" si="4"/>
        <v>112.6257808</v>
      </c>
      <c r="D284" s="20" t="s">
        <v>42</v>
      </c>
      <c r="E284" s="20">
        <v>1</v>
      </c>
      <c r="F284" s="20" t="s">
        <v>3982</v>
      </c>
      <c r="G284" s="14">
        <f>(VLOOKUP(D284,'[1]BOM Info General'!$A:$L,12,0))*E284</f>
        <v>35.56</v>
      </c>
      <c r="H284" s="21" t="s">
        <v>39</v>
      </c>
      <c r="I284" s="21">
        <v>1</v>
      </c>
      <c r="J284" s="21" t="s">
        <v>46</v>
      </c>
      <c r="K284" s="15">
        <f>(VLOOKUP(H284,'[1]BOM Info General'!$A:$L,12,0))*I284</f>
        <v>24.42</v>
      </c>
      <c r="L284" s="22" t="s">
        <v>54</v>
      </c>
      <c r="M284" s="22">
        <v>1</v>
      </c>
      <c r="N284" s="22" t="s">
        <v>53</v>
      </c>
      <c r="O284" s="9">
        <f>(VLOOKUP(L284,'[1]Simulation pricing per sub assy'!$D:$E,2,0))*M284</f>
        <v>43.868799999999993</v>
      </c>
      <c r="P284" s="23" t="s">
        <v>50</v>
      </c>
      <c r="Q284" s="23">
        <v>2</v>
      </c>
      <c r="R284" s="23" t="s">
        <v>16</v>
      </c>
      <c r="S284" s="40">
        <f>(VLOOKUP(P284,'[1]BOM Info General'!$A:$L,12,0))*Q284</f>
        <v>5.3</v>
      </c>
      <c r="T284" s="24" t="s">
        <v>14</v>
      </c>
      <c r="U284" s="24">
        <v>1</v>
      </c>
      <c r="V284" s="24" t="s">
        <v>15</v>
      </c>
      <c r="W284" s="17">
        <f>(VLOOKUP(T284,'[1]Simulation pricing per sub assy'!$D:$E,2,0))*U284</f>
        <v>1.9</v>
      </c>
      <c r="X284" s="18" t="s">
        <v>615</v>
      </c>
      <c r="Y284" s="25">
        <v>1</v>
      </c>
      <c r="Z284" s="25" t="s">
        <v>9</v>
      </c>
      <c r="AA284" s="18">
        <f>(VLOOKUP(X284,'[1]Simulation pricing per sub assy'!$D:$E,2,0))*Y284</f>
        <v>1.5769808000000001</v>
      </c>
    </row>
    <row r="285" spans="1:27" x14ac:dyDescent="0.35">
      <c r="A285" s="13" t="s">
        <v>1209</v>
      </c>
      <c r="B285" s="13" t="s">
        <v>1210</v>
      </c>
      <c r="C285" s="42">
        <f t="shared" si="4"/>
        <v>112.3657808</v>
      </c>
      <c r="D285" s="20" t="s">
        <v>42</v>
      </c>
      <c r="E285" s="20">
        <v>1</v>
      </c>
      <c r="F285" s="20" t="s">
        <v>3982</v>
      </c>
      <c r="G285" s="14">
        <f>(VLOOKUP(D285,'[1]BOM Info General'!$A:$L,12,0))*E285</f>
        <v>35.56</v>
      </c>
      <c r="H285" s="21" t="s">
        <v>39</v>
      </c>
      <c r="I285" s="21">
        <v>1</v>
      </c>
      <c r="J285" s="21" t="s">
        <v>46</v>
      </c>
      <c r="K285" s="15">
        <f>(VLOOKUP(H285,'[1]BOM Info General'!$A:$L,12,0))*I285</f>
        <v>24.42</v>
      </c>
      <c r="L285" s="22" t="s">
        <v>60</v>
      </c>
      <c r="M285" s="22">
        <v>1</v>
      </c>
      <c r="N285" s="22" t="s">
        <v>57</v>
      </c>
      <c r="O285" s="9">
        <f>(VLOOKUP(L285,'[1]Simulation pricing per sub assy'!$D:$E,2,0))*M285</f>
        <v>43.608799999999988</v>
      </c>
      <c r="P285" s="23" t="s">
        <v>50</v>
      </c>
      <c r="Q285" s="23">
        <v>2</v>
      </c>
      <c r="R285" s="23" t="s">
        <v>16</v>
      </c>
      <c r="S285" s="40">
        <f>(VLOOKUP(P285,'[1]BOM Info General'!$A:$L,12,0))*Q285</f>
        <v>5.3</v>
      </c>
      <c r="T285" s="24" t="s">
        <v>14</v>
      </c>
      <c r="U285" s="24">
        <v>1</v>
      </c>
      <c r="V285" s="24" t="s">
        <v>15</v>
      </c>
      <c r="W285" s="17">
        <f>(VLOOKUP(T285,'[1]Simulation pricing per sub assy'!$D:$E,2,0))*U285</f>
        <v>1.9</v>
      </c>
      <c r="X285" s="18" t="s">
        <v>615</v>
      </c>
      <c r="Y285" s="25">
        <v>1</v>
      </c>
      <c r="Z285" s="25" t="s">
        <v>9</v>
      </c>
      <c r="AA285" s="18">
        <f>(VLOOKUP(X285,'[1]Simulation pricing per sub assy'!$D:$E,2,0))*Y285</f>
        <v>1.5769808000000001</v>
      </c>
    </row>
    <row r="286" spans="1:27" x14ac:dyDescent="0.35">
      <c r="A286" s="13" t="s">
        <v>1245</v>
      </c>
      <c r="B286" s="13" t="s">
        <v>1246</v>
      </c>
      <c r="C286" s="42">
        <f t="shared" si="4"/>
        <v>120.0357808</v>
      </c>
      <c r="D286" s="20" t="s">
        <v>42</v>
      </c>
      <c r="E286" s="20">
        <v>1</v>
      </c>
      <c r="F286" s="20" t="s">
        <v>3982</v>
      </c>
      <c r="G286" s="14">
        <f>(VLOOKUP(D286,'[1]BOM Info General'!$A:$L,12,0))*E286</f>
        <v>35.56</v>
      </c>
      <c r="H286" s="21" t="s">
        <v>39</v>
      </c>
      <c r="I286" s="21">
        <v>1</v>
      </c>
      <c r="J286" s="21" t="s">
        <v>46</v>
      </c>
      <c r="K286" s="15">
        <f>(VLOOKUP(H286,'[1]BOM Info General'!$A:$L,12,0))*I286</f>
        <v>24.42</v>
      </c>
      <c r="L286" s="22" t="s">
        <v>56</v>
      </c>
      <c r="M286" s="22">
        <v>1</v>
      </c>
      <c r="N286" s="22" t="s">
        <v>59</v>
      </c>
      <c r="O286" s="9">
        <f>(VLOOKUP(L286,'[1]Simulation pricing per sub assy'!$D:$E,2,0))*M286</f>
        <v>51.27879999999999</v>
      </c>
      <c r="P286" s="23" t="s">
        <v>50</v>
      </c>
      <c r="Q286" s="23">
        <v>2</v>
      </c>
      <c r="R286" s="23" t="s">
        <v>16</v>
      </c>
      <c r="S286" s="40">
        <f>(VLOOKUP(P286,'[1]BOM Info General'!$A:$L,12,0))*Q286</f>
        <v>5.3</v>
      </c>
      <c r="T286" s="24" t="s">
        <v>14</v>
      </c>
      <c r="U286" s="24">
        <v>1</v>
      </c>
      <c r="V286" s="24" t="s">
        <v>15</v>
      </c>
      <c r="W286" s="17">
        <f>(VLOOKUP(T286,'[1]Simulation pricing per sub assy'!$D:$E,2,0))*U286</f>
        <v>1.9</v>
      </c>
      <c r="X286" s="18" t="s">
        <v>615</v>
      </c>
      <c r="Y286" s="25">
        <v>1</v>
      </c>
      <c r="Z286" s="25" t="s">
        <v>9</v>
      </c>
      <c r="AA286" s="18">
        <f>(VLOOKUP(X286,'[1]Simulation pricing per sub assy'!$D:$E,2,0))*Y286</f>
        <v>1.5769808000000001</v>
      </c>
    </row>
    <row r="287" spans="1:27" x14ac:dyDescent="0.35">
      <c r="A287" s="13" t="s">
        <v>1265</v>
      </c>
      <c r="B287" s="13" t="s">
        <v>1266</v>
      </c>
      <c r="C287" s="42">
        <f t="shared" si="4"/>
        <v>111.21578079999999</v>
      </c>
      <c r="D287" s="20" t="s">
        <v>42</v>
      </c>
      <c r="E287" s="20">
        <v>1</v>
      </c>
      <c r="F287" s="20" t="s">
        <v>3982</v>
      </c>
      <c r="G287" s="14">
        <f>(VLOOKUP(D287,'[1]BOM Info General'!$A:$L,12,0))*E287</f>
        <v>35.56</v>
      </c>
      <c r="H287" s="21" t="s">
        <v>39</v>
      </c>
      <c r="I287" s="21">
        <v>1</v>
      </c>
      <c r="J287" s="21" t="s">
        <v>46</v>
      </c>
      <c r="K287" s="15">
        <f>(VLOOKUP(H287,'[1]BOM Info General'!$A:$L,12,0))*I287</f>
        <v>24.42</v>
      </c>
      <c r="L287" s="22" t="s">
        <v>523</v>
      </c>
      <c r="M287" s="22">
        <v>1</v>
      </c>
      <c r="N287" s="22" t="s">
        <v>61</v>
      </c>
      <c r="O287" s="9">
        <f>(VLOOKUP(L287,'[1]Simulation pricing per sub assy'!$D:$E,2,0))*M287</f>
        <v>42.308799999999991</v>
      </c>
      <c r="P287" s="23" t="s">
        <v>51</v>
      </c>
      <c r="Q287" s="23">
        <v>2</v>
      </c>
      <c r="R287" s="23" t="s">
        <v>17</v>
      </c>
      <c r="S287" s="40">
        <f>(VLOOKUP(P287,'[1]BOM Info General'!$A:$L,12,0))*Q287</f>
        <v>5.3</v>
      </c>
      <c r="T287" s="24" t="s">
        <v>10</v>
      </c>
      <c r="U287" s="24">
        <v>1</v>
      </c>
      <c r="V287" s="24" t="s">
        <v>11</v>
      </c>
      <c r="W287" s="17">
        <f>(VLOOKUP(T287,'[1]Simulation pricing per sub assy'!$D:$E,2,0))*U287</f>
        <v>2.0499999999999998</v>
      </c>
      <c r="X287" s="18" t="s">
        <v>615</v>
      </c>
      <c r="Y287" s="25">
        <v>1</v>
      </c>
      <c r="Z287" s="25" t="s">
        <v>9</v>
      </c>
      <c r="AA287" s="18">
        <f>(VLOOKUP(X287,'[1]Simulation pricing per sub assy'!$D:$E,2,0))*Y287</f>
        <v>1.5769808000000001</v>
      </c>
    </row>
    <row r="288" spans="1:27" x14ac:dyDescent="0.35">
      <c r="A288" s="13" t="s">
        <v>1193</v>
      </c>
      <c r="B288" s="13" t="s">
        <v>1194</v>
      </c>
      <c r="C288" s="42">
        <f t="shared" si="4"/>
        <v>112.19578079999999</v>
      </c>
      <c r="D288" s="20" t="s">
        <v>42</v>
      </c>
      <c r="E288" s="20">
        <v>1</v>
      </c>
      <c r="F288" s="20" t="s">
        <v>3982</v>
      </c>
      <c r="G288" s="14">
        <f>(VLOOKUP(D288,'[1]BOM Info General'!$A:$L,12,0))*E288</f>
        <v>35.56</v>
      </c>
      <c r="H288" s="21" t="s">
        <v>39</v>
      </c>
      <c r="I288" s="21">
        <v>1</v>
      </c>
      <c r="J288" s="21" t="s">
        <v>46</v>
      </c>
      <c r="K288" s="15">
        <f>(VLOOKUP(H288,'[1]BOM Info General'!$A:$L,12,0))*I288</f>
        <v>24.42</v>
      </c>
      <c r="L288" s="22" t="s">
        <v>58</v>
      </c>
      <c r="M288" s="22">
        <v>1</v>
      </c>
      <c r="N288" s="22" t="s">
        <v>55</v>
      </c>
      <c r="O288" s="9">
        <f>(VLOOKUP(L288,'[1]Simulation pricing per sub assy'!$D:$E,2,0))*M288</f>
        <v>43.288799999999988</v>
      </c>
      <c r="P288" s="23" t="s">
        <v>51</v>
      </c>
      <c r="Q288" s="23">
        <v>2</v>
      </c>
      <c r="R288" s="23" t="s">
        <v>17</v>
      </c>
      <c r="S288" s="40">
        <f>(VLOOKUP(P288,'[1]BOM Info General'!$A:$L,12,0))*Q288</f>
        <v>5.3</v>
      </c>
      <c r="T288" s="24" t="s">
        <v>10</v>
      </c>
      <c r="U288" s="24">
        <v>1</v>
      </c>
      <c r="V288" s="24" t="s">
        <v>11</v>
      </c>
      <c r="W288" s="17">
        <f>(VLOOKUP(T288,'[1]Simulation pricing per sub assy'!$D:$E,2,0))*U288</f>
        <v>2.0499999999999998</v>
      </c>
      <c r="X288" s="18" t="s">
        <v>615</v>
      </c>
      <c r="Y288" s="25">
        <v>1</v>
      </c>
      <c r="Z288" s="25" t="s">
        <v>9</v>
      </c>
      <c r="AA288" s="18">
        <f>(VLOOKUP(X288,'[1]Simulation pricing per sub assy'!$D:$E,2,0))*Y288</f>
        <v>1.5769808000000001</v>
      </c>
    </row>
    <row r="289" spans="1:27" x14ac:dyDescent="0.35">
      <c r="A289" s="13" t="s">
        <v>1229</v>
      </c>
      <c r="B289" s="13" t="s">
        <v>1230</v>
      </c>
      <c r="C289" s="42">
        <f t="shared" si="4"/>
        <v>112.77578079999999</v>
      </c>
      <c r="D289" s="20" t="s">
        <v>42</v>
      </c>
      <c r="E289" s="20">
        <v>1</v>
      </c>
      <c r="F289" s="20" t="s">
        <v>3982</v>
      </c>
      <c r="G289" s="14">
        <f>(VLOOKUP(D289,'[1]BOM Info General'!$A:$L,12,0))*E289</f>
        <v>35.56</v>
      </c>
      <c r="H289" s="21" t="s">
        <v>39</v>
      </c>
      <c r="I289" s="21">
        <v>1</v>
      </c>
      <c r="J289" s="21" t="s">
        <v>46</v>
      </c>
      <c r="K289" s="15">
        <f>(VLOOKUP(H289,'[1]BOM Info General'!$A:$L,12,0))*I289</f>
        <v>24.42</v>
      </c>
      <c r="L289" s="22" t="s">
        <v>54</v>
      </c>
      <c r="M289" s="22">
        <v>1</v>
      </c>
      <c r="N289" s="22" t="s">
        <v>53</v>
      </c>
      <c r="O289" s="9">
        <f>(VLOOKUP(L289,'[1]Simulation pricing per sub assy'!$D:$E,2,0))*M289</f>
        <v>43.868799999999993</v>
      </c>
      <c r="P289" s="23" t="s">
        <v>51</v>
      </c>
      <c r="Q289" s="23">
        <v>2</v>
      </c>
      <c r="R289" s="23" t="s">
        <v>17</v>
      </c>
      <c r="S289" s="40">
        <f>(VLOOKUP(P289,'[1]BOM Info General'!$A:$L,12,0))*Q289</f>
        <v>5.3</v>
      </c>
      <c r="T289" s="24" t="s">
        <v>10</v>
      </c>
      <c r="U289" s="24">
        <v>1</v>
      </c>
      <c r="V289" s="24" t="s">
        <v>11</v>
      </c>
      <c r="W289" s="17">
        <f>(VLOOKUP(T289,'[1]Simulation pricing per sub assy'!$D:$E,2,0))*U289</f>
        <v>2.0499999999999998</v>
      </c>
      <c r="X289" s="18" t="s">
        <v>615</v>
      </c>
      <c r="Y289" s="25">
        <v>1</v>
      </c>
      <c r="Z289" s="25" t="s">
        <v>9</v>
      </c>
      <c r="AA289" s="18">
        <f>(VLOOKUP(X289,'[1]Simulation pricing per sub assy'!$D:$E,2,0))*Y289</f>
        <v>1.5769808000000001</v>
      </c>
    </row>
    <row r="290" spans="1:27" x14ac:dyDescent="0.35">
      <c r="A290" s="13" t="s">
        <v>1211</v>
      </c>
      <c r="B290" s="13" t="s">
        <v>1212</v>
      </c>
      <c r="C290" s="42">
        <f t="shared" si="4"/>
        <v>112.51578079999999</v>
      </c>
      <c r="D290" s="20" t="s">
        <v>42</v>
      </c>
      <c r="E290" s="20">
        <v>1</v>
      </c>
      <c r="F290" s="20" t="s">
        <v>3982</v>
      </c>
      <c r="G290" s="14">
        <f>(VLOOKUP(D290,'[1]BOM Info General'!$A:$L,12,0))*E290</f>
        <v>35.56</v>
      </c>
      <c r="H290" s="21" t="s">
        <v>39</v>
      </c>
      <c r="I290" s="21">
        <v>1</v>
      </c>
      <c r="J290" s="21" t="s">
        <v>46</v>
      </c>
      <c r="K290" s="15">
        <f>(VLOOKUP(H290,'[1]BOM Info General'!$A:$L,12,0))*I290</f>
        <v>24.42</v>
      </c>
      <c r="L290" s="22" t="s">
        <v>60</v>
      </c>
      <c r="M290" s="22">
        <v>1</v>
      </c>
      <c r="N290" s="22" t="s">
        <v>57</v>
      </c>
      <c r="O290" s="9">
        <f>(VLOOKUP(L290,'[1]Simulation pricing per sub assy'!$D:$E,2,0))*M290</f>
        <v>43.608799999999988</v>
      </c>
      <c r="P290" s="23" t="s">
        <v>51</v>
      </c>
      <c r="Q290" s="23">
        <v>2</v>
      </c>
      <c r="R290" s="23" t="s">
        <v>17</v>
      </c>
      <c r="S290" s="40">
        <f>(VLOOKUP(P290,'[1]BOM Info General'!$A:$L,12,0))*Q290</f>
        <v>5.3</v>
      </c>
      <c r="T290" s="24" t="s">
        <v>10</v>
      </c>
      <c r="U290" s="24">
        <v>1</v>
      </c>
      <c r="V290" s="24" t="s">
        <v>11</v>
      </c>
      <c r="W290" s="17">
        <f>(VLOOKUP(T290,'[1]Simulation pricing per sub assy'!$D:$E,2,0))*U290</f>
        <v>2.0499999999999998</v>
      </c>
      <c r="X290" s="18" t="s">
        <v>615</v>
      </c>
      <c r="Y290" s="25">
        <v>1</v>
      </c>
      <c r="Z290" s="25" t="s">
        <v>9</v>
      </c>
      <c r="AA290" s="18">
        <f>(VLOOKUP(X290,'[1]Simulation pricing per sub assy'!$D:$E,2,0))*Y290</f>
        <v>1.5769808000000001</v>
      </c>
    </row>
    <row r="291" spans="1:27" x14ac:dyDescent="0.35">
      <c r="A291" s="13" t="s">
        <v>1247</v>
      </c>
      <c r="B291" s="13" t="s">
        <v>1248</v>
      </c>
      <c r="C291" s="42">
        <f t="shared" si="4"/>
        <v>120.18578079999999</v>
      </c>
      <c r="D291" s="20" t="s">
        <v>42</v>
      </c>
      <c r="E291" s="20">
        <v>1</v>
      </c>
      <c r="F291" s="20" t="s">
        <v>3982</v>
      </c>
      <c r="G291" s="14">
        <f>(VLOOKUP(D291,'[1]BOM Info General'!$A:$L,12,0))*E291</f>
        <v>35.56</v>
      </c>
      <c r="H291" s="21" t="s">
        <v>39</v>
      </c>
      <c r="I291" s="21">
        <v>1</v>
      </c>
      <c r="J291" s="21" t="s">
        <v>46</v>
      </c>
      <c r="K291" s="15">
        <f>(VLOOKUP(H291,'[1]BOM Info General'!$A:$L,12,0))*I291</f>
        <v>24.42</v>
      </c>
      <c r="L291" s="22" t="s">
        <v>56</v>
      </c>
      <c r="M291" s="22">
        <v>1</v>
      </c>
      <c r="N291" s="22" t="s">
        <v>59</v>
      </c>
      <c r="O291" s="9">
        <f>(VLOOKUP(L291,'[1]Simulation pricing per sub assy'!$D:$E,2,0))*M291</f>
        <v>51.27879999999999</v>
      </c>
      <c r="P291" s="23" t="s">
        <v>51</v>
      </c>
      <c r="Q291" s="23">
        <v>2</v>
      </c>
      <c r="R291" s="23" t="s">
        <v>17</v>
      </c>
      <c r="S291" s="40">
        <f>(VLOOKUP(P291,'[1]BOM Info General'!$A:$L,12,0))*Q291</f>
        <v>5.3</v>
      </c>
      <c r="T291" s="24" t="s">
        <v>10</v>
      </c>
      <c r="U291" s="24">
        <v>1</v>
      </c>
      <c r="V291" s="24" t="s">
        <v>11</v>
      </c>
      <c r="W291" s="17">
        <f>(VLOOKUP(T291,'[1]Simulation pricing per sub assy'!$D:$E,2,0))*U291</f>
        <v>2.0499999999999998</v>
      </c>
      <c r="X291" s="18" t="s">
        <v>615</v>
      </c>
      <c r="Y291" s="25">
        <v>1</v>
      </c>
      <c r="Z291" s="25" t="s">
        <v>9</v>
      </c>
      <c r="AA291" s="18">
        <f>(VLOOKUP(X291,'[1]Simulation pricing per sub assy'!$D:$E,2,0))*Y291</f>
        <v>1.5769808000000001</v>
      </c>
    </row>
    <row r="292" spans="1:27" x14ac:dyDescent="0.35">
      <c r="A292" s="13" t="s">
        <v>1267</v>
      </c>
      <c r="B292" s="13" t="s">
        <v>1268</v>
      </c>
      <c r="C292" s="42">
        <f t="shared" si="4"/>
        <v>111.0657808</v>
      </c>
      <c r="D292" s="20" t="s">
        <v>42</v>
      </c>
      <c r="E292" s="20">
        <v>1</v>
      </c>
      <c r="F292" s="20" t="s">
        <v>3982</v>
      </c>
      <c r="G292" s="14">
        <f>(VLOOKUP(D292,'[1]BOM Info General'!$A:$L,12,0))*E292</f>
        <v>35.56</v>
      </c>
      <c r="H292" s="21" t="s">
        <v>39</v>
      </c>
      <c r="I292" s="21">
        <v>1</v>
      </c>
      <c r="J292" s="21" t="s">
        <v>46</v>
      </c>
      <c r="K292" s="15">
        <f>(VLOOKUP(H292,'[1]BOM Info General'!$A:$L,12,0))*I292</f>
        <v>24.42</v>
      </c>
      <c r="L292" s="22" t="s">
        <v>523</v>
      </c>
      <c r="M292" s="22">
        <v>1</v>
      </c>
      <c r="N292" s="22" t="s">
        <v>61</v>
      </c>
      <c r="O292" s="9">
        <f>(VLOOKUP(L292,'[1]Simulation pricing per sub assy'!$D:$E,2,0))*M292</f>
        <v>42.308799999999991</v>
      </c>
      <c r="P292" s="23" t="s">
        <v>51</v>
      </c>
      <c r="Q292" s="23">
        <v>2</v>
      </c>
      <c r="R292" s="23" t="s">
        <v>17</v>
      </c>
      <c r="S292" s="40">
        <f>(VLOOKUP(P292,'[1]BOM Info General'!$A:$L,12,0))*Q292</f>
        <v>5.3</v>
      </c>
      <c r="T292" s="24" t="s">
        <v>12</v>
      </c>
      <c r="U292" s="24">
        <v>1</v>
      </c>
      <c r="V292" s="24" t="s">
        <v>13</v>
      </c>
      <c r="W292" s="17">
        <f>(VLOOKUP(T292,'[1]Simulation pricing per sub assy'!$D:$E,2,0))*U292</f>
        <v>1.9</v>
      </c>
      <c r="X292" s="18" t="s">
        <v>615</v>
      </c>
      <c r="Y292" s="25">
        <v>1</v>
      </c>
      <c r="Z292" s="25" t="s">
        <v>9</v>
      </c>
      <c r="AA292" s="18">
        <f>(VLOOKUP(X292,'[1]Simulation pricing per sub assy'!$D:$E,2,0))*Y292</f>
        <v>1.5769808000000001</v>
      </c>
    </row>
    <row r="293" spans="1:27" x14ac:dyDescent="0.35">
      <c r="A293" s="13" t="s">
        <v>1195</v>
      </c>
      <c r="B293" s="13" t="s">
        <v>1196</v>
      </c>
      <c r="C293" s="42">
        <f t="shared" si="4"/>
        <v>112.0457808</v>
      </c>
      <c r="D293" s="20" t="s">
        <v>42</v>
      </c>
      <c r="E293" s="20">
        <v>1</v>
      </c>
      <c r="F293" s="20" t="s">
        <v>3982</v>
      </c>
      <c r="G293" s="14">
        <f>(VLOOKUP(D293,'[1]BOM Info General'!$A:$L,12,0))*E293</f>
        <v>35.56</v>
      </c>
      <c r="H293" s="21" t="s">
        <v>39</v>
      </c>
      <c r="I293" s="21">
        <v>1</v>
      </c>
      <c r="J293" s="21" t="s">
        <v>46</v>
      </c>
      <c r="K293" s="15">
        <f>(VLOOKUP(H293,'[1]BOM Info General'!$A:$L,12,0))*I293</f>
        <v>24.42</v>
      </c>
      <c r="L293" s="22" t="s">
        <v>58</v>
      </c>
      <c r="M293" s="22">
        <v>1</v>
      </c>
      <c r="N293" s="22" t="s">
        <v>55</v>
      </c>
      <c r="O293" s="9">
        <f>(VLOOKUP(L293,'[1]Simulation pricing per sub assy'!$D:$E,2,0))*M293</f>
        <v>43.288799999999988</v>
      </c>
      <c r="P293" s="23" t="s">
        <v>51</v>
      </c>
      <c r="Q293" s="23">
        <v>2</v>
      </c>
      <c r="R293" s="23" t="s">
        <v>17</v>
      </c>
      <c r="S293" s="40">
        <f>(VLOOKUP(P293,'[1]BOM Info General'!$A:$L,12,0))*Q293</f>
        <v>5.3</v>
      </c>
      <c r="T293" s="24" t="s">
        <v>12</v>
      </c>
      <c r="U293" s="24">
        <v>1</v>
      </c>
      <c r="V293" s="24" t="s">
        <v>13</v>
      </c>
      <c r="W293" s="17">
        <f>(VLOOKUP(T293,'[1]Simulation pricing per sub assy'!$D:$E,2,0))*U293</f>
        <v>1.9</v>
      </c>
      <c r="X293" s="18" t="s">
        <v>615</v>
      </c>
      <c r="Y293" s="25">
        <v>1</v>
      </c>
      <c r="Z293" s="25" t="s">
        <v>9</v>
      </c>
      <c r="AA293" s="18">
        <f>(VLOOKUP(X293,'[1]Simulation pricing per sub assy'!$D:$E,2,0))*Y293</f>
        <v>1.5769808000000001</v>
      </c>
    </row>
    <row r="294" spans="1:27" x14ac:dyDescent="0.35">
      <c r="A294" s="13" t="s">
        <v>1231</v>
      </c>
      <c r="B294" s="13" t="s">
        <v>1232</v>
      </c>
      <c r="C294" s="42">
        <f t="shared" si="4"/>
        <v>112.6257808</v>
      </c>
      <c r="D294" s="20" t="s">
        <v>42</v>
      </c>
      <c r="E294" s="20">
        <v>1</v>
      </c>
      <c r="F294" s="20" t="s">
        <v>3982</v>
      </c>
      <c r="G294" s="14">
        <f>(VLOOKUP(D294,'[1]BOM Info General'!$A:$L,12,0))*E294</f>
        <v>35.56</v>
      </c>
      <c r="H294" s="21" t="s">
        <v>39</v>
      </c>
      <c r="I294" s="21">
        <v>1</v>
      </c>
      <c r="J294" s="21" t="s">
        <v>46</v>
      </c>
      <c r="K294" s="15">
        <f>(VLOOKUP(H294,'[1]BOM Info General'!$A:$L,12,0))*I294</f>
        <v>24.42</v>
      </c>
      <c r="L294" s="22" t="s">
        <v>54</v>
      </c>
      <c r="M294" s="22">
        <v>1</v>
      </c>
      <c r="N294" s="22" t="s">
        <v>53</v>
      </c>
      <c r="O294" s="9">
        <f>(VLOOKUP(L294,'[1]Simulation pricing per sub assy'!$D:$E,2,0))*M294</f>
        <v>43.868799999999993</v>
      </c>
      <c r="P294" s="23" t="s">
        <v>51</v>
      </c>
      <c r="Q294" s="23">
        <v>2</v>
      </c>
      <c r="R294" s="23" t="s">
        <v>17</v>
      </c>
      <c r="S294" s="40">
        <f>(VLOOKUP(P294,'[1]BOM Info General'!$A:$L,12,0))*Q294</f>
        <v>5.3</v>
      </c>
      <c r="T294" s="24" t="s">
        <v>12</v>
      </c>
      <c r="U294" s="24">
        <v>1</v>
      </c>
      <c r="V294" s="24" t="s">
        <v>13</v>
      </c>
      <c r="W294" s="17">
        <f>(VLOOKUP(T294,'[1]Simulation pricing per sub assy'!$D:$E,2,0))*U294</f>
        <v>1.9</v>
      </c>
      <c r="X294" s="18" t="s">
        <v>615</v>
      </c>
      <c r="Y294" s="25">
        <v>1</v>
      </c>
      <c r="Z294" s="25" t="s">
        <v>9</v>
      </c>
      <c r="AA294" s="18">
        <f>(VLOOKUP(X294,'[1]Simulation pricing per sub assy'!$D:$E,2,0))*Y294</f>
        <v>1.5769808000000001</v>
      </c>
    </row>
    <row r="295" spans="1:27" x14ac:dyDescent="0.35">
      <c r="A295" s="13" t="s">
        <v>1213</v>
      </c>
      <c r="B295" s="13" t="s">
        <v>1214</v>
      </c>
      <c r="C295" s="42">
        <f t="shared" si="4"/>
        <v>112.3657808</v>
      </c>
      <c r="D295" s="20" t="s">
        <v>42</v>
      </c>
      <c r="E295" s="20">
        <v>1</v>
      </c>
      <c r="F295" s="20" t="s">
        <v>3982</v>
      </c>
      <c r="G295" s="14">
        <f>(VLOOKUP(D295,'[1]BOM Info General'!$A:$L,12,0))*E295</f>
        <v>35.56</v>
      </c>
      <c r="H295" s="21" t="s">
        <v>39</v>
      </c>
      <c r="I295" s="21">
        <v>1</v>
      </c>
      <c r="J295" s="21" t="s">
        <v>46</v>
      </c>
      <c r="K295" s="15">
        <f>(VLOOKUP(H295,'[1]BOM Info General'!$A:$L,12,0))*I295</f>
        <v>24.42</v>
      </c>
      <c r="L295" s="22" t="s">
        <v>60</v>
      </c>
      <c r="M295" s="22">
        <v>1</v>
      </c>
      <c r="N295" s="22" t="s">
        <v>57</v>
      </c>
      <c r="O295" s="9">
        <f>(VLOOKUP(L295,'[1]Simulation pricing per sub assy'!$D:$E,2,0))*M295</f>
        <v>43.608799999999988</v>
      </c>
      <c r="P295" s="23" t="s">
        <v>51</v>
      </c>
      <c r="Q295" s="23">
        <v>2</v>
      </c>
      <c r="R295" s="23" t="s">
        <v>17</v>
      </c>
      <c r="S295" s="40">
        <f>(VLOOKUP(P295,'[1]BOM Info General'!$A:$L,12,0))*Q295</f>
        <v>5.3</v>
      </c>
      <c r="T295" s="24" t="s">
        <v>12</v>
      </c>
      <c r="U295" s="24">
        <v>1</v>
      </c>
      <c r="V295" s="24" t="s">
        <v>13</v>
      </c>
      <c r="W295" s="17">
        <f>(VLOOKUP(T295,'[1]Simulation pricing per sub assy'!$D:$E,2,0))*U295</f>
        <v>1.9</v>
      </c>
      <c r="X295" s="18" t="s">
        <v>615</v>
      </c>
      <c r="Y295" s="25">
        <v>1</v>
      </c>
      <c r="Z295" s="25" t="s">
        <v>9</v>
      </c>
      <c r="AA295" s="18">
        <f>(VLOOKUP(X295,'[1]Simulation pricing per sub assy'!$D:$E,2,0))*Y295</f>
        <v>1.5769808000000001</v>
      </c>
    </row>
    <row r="296" spans="1:27" x14ac:dyDescent="0.35">
      <c r="A296" s="13" t="s">
        <v>1249</v>
      </c>
      <c r="B296" s="13" t="s">
        <v>1250</v>
      </c>
      <c r="C296" s="42">
        <f t="shared" si="4"/>
        <v>120.0357808</v>
      </c>
      <c r="D296" s="20" t="s">
        <v>42</v>
      </c>
      <c r="E296" s="20">
        <v>1</v>
      </c>
      <c r="F296" s="20" t="s">
        <v>3982</v>
      </c>
      <c r="G296" s="14">
        <f>(VLOOKUP(D296,'[1]BOM Info General'!$A:$L,12,0))*E296</f>
        <v>35.56</v>
      </c>
      <c r="H296" s="21" t="s">
        <v>39</v>
      </c>
      <c r="I296" s="21">
        <v>1</v>
      </c>
      <c r="J296" s="21" t="s">
        <v>46</v>
      </c>
      <c r="K296" s="15">
        <f>(VLOOKUP(H296,'[1]BOM Info General'!$A:$L,12,0))*I296</f>
        <v>24.42</v>
      </c>
      <c r="L296" s="22" t="s">
        <v>56</v>
      </c>
      <c r="M296" s="22">
        <v>1</v>
      </c>
      <c r="N296" s="22" t="s">
        <v>59</v>
      </c>
      <c r="O296" s="9">
        <f>(VLOOKUP(L296,'[1]Simulation pricing per sub assy'!$D:$E,2,0))*M296</f>
        <v>51.27879999999999</v>
      </c>
      <c r="P296" s="23" t="s">
        <v>51</v>
      </c>
      <c r="Q296" s="23">
        <v>2</v>
      </c>
      <c r="R296" s="23" t="s">
        <v>17</v>
      </c>
      <c r="S296" s="40">
        <f>(VLOOKUP(P296,'[1]BOM Info General'!$A:$L,12,0))*Q296</f>
        <v>5.3</v>
      </c>
      <c r="T296" s="24" t="s">
        <v>12</v>
      </c>
      <c r="U296" s="24">
        <v>1</v>
      </c>
      <c r="V296" s="24" t="s">
        <v>13</v>
      </c>
      <c r="W296" s="17">
        <f>(VLOOKUP(T296,'[1]Simulation pricing per sub assy'!$D:$E,2,0))*U296</f>
        <v>1.9</v>
      </c>
      <c r="X296" s="18" t="s">
        <v>615</v>
      </c>
      <c r="Y296" s="25">
        <v>1</v>
      </c>
      <c r="Z296" s="25" t="s">
        <v>9</v>
      </c>
      <c r="AA296" s="18">
        <f>(VLOOKUP(X296,'[1]Simulation pricing per sub assy'!$D:$E,2,0))*Y296</f>
        <v>1.5769808000000001</v>
      </c>
    </row>
    <row r="297" spans="1:27" x14ac:dyDescent="0.35">
      <c r="A297" s="13" t="s">
        <v>1269</v>
      </c>
      <c r="B297" s="13" t="s">
        <v>1270</v>
      </c>
      <c r="C297" s="42">
        <f t="shared" si="4"/>
        <v>111.0657808</v>
      </c>
      <c r="D297" s="20" t="s">
        <v>42</v>
      </c>
      <c r="E297" s="20">
        <v>1</v>
      </c>
      <c r="F297" s="20" t="s">
        <v>3982</v>
      </c>
      <c r="G297" s="14">
        <f>(VLOOKUP(D297,'[1]BOM Info General'!$A:$L,12,0))*E297</f>
        <v>35.56</v>
      </c>
      <c r="H297" s="21" t="s">
        <v>39</v>
      </c>
      <c r="I297" s="21">
        <v>1</v>
      </c>
      <c r="J297" s="21" t="s">
        <v>46</v>
      </c>
      <c r="K297" s="15">
        <f>(VLOOKUP(H297,'[1]BOM Info General'!$A:$L,12,0))*I297</f>
        <v>24.42</v>
      </c>
      <c r="L297" s="22" t="s">
        <v>523</v>
      </c>
      <c r="M297" s="22">
        <v>1</v>
      </c>
      <c r="N297" s="22" t="s">
        <v>61</v>
      </c>
      <c r="O297" s="9">
        <f>(VLOOKUP(L297,'[1]Simulation pricing per sub assy'!$D:$E,2,0))*M297</f>
        <v>42.308799999999991</v>
      </c>
      <c r="P297" s="23" t="s">
        <v>51</v>
      </c>
      <c r="Q297" s="23">
        <v>2</v>
      </c>
      <c r="R297" s="23" t="s">
        <v>17</v>
      </c>
      <c r="S297" s="40">
        <f>(VLOOKUP(P297,'[1]BOM Info General'!$A:$L,12,0))*Q297</f>
        <v>5.3</v>
      </c>
      <c r="T297" s="24" t="s">
        <v>14</v>
      </c>
      <c r="U297" s="24">
        <v>1</v>
      </c>
      <c r="V297" s="24" t="s">
        <v>15</v>
      </c>
      <c r="W297" s="17">
        <f>(VLOOKUP(T297,'[1]Simulation pricing per sub assy'!$D:$E,2,0))*U297</f>
        <v>1.9</v>
      </c>
      <c r="X297" s="18" t="s">
        <v>615</v>
      </c>
      <c r="Y297" s="25">
        <v>1</v>
      </c>
      <c r="Z297" s="25" t="s">
        <v>9</v>
      </c>
      <c r="AA297" s="18">
        <f>(VLOOKUP(X297,'[1]Simulation pricing per sub assy'!$D:$E,2,0))*Y297</f>
        <v>1.5769808000000001</v>
      </c>
    </row>
    <row r="298" spans="1:27" x14ac:dyDescent="0.35">
      <c r="A298" s="13" t="s">
        <v>1197</v>
      </c>
      <c r="B298" s="13" t="s">
        <v>1198</v>
      </c>
      <c r="C298" s="42">
        <f t="shared" si="4"/>
        <v>112.0457808</v>
      </c>
      <c r="D298" s="20" t="s">
        <v>42</v>
      </c>
      <c r="E298" s="20">
        <v>1</v>
      </c>
      <c r="F298" s="20" t="s">
        <v>3982</v>
      </c>
      <c r="G298" s="14">
        <f>(VLOOKUP(D298,'[1]BOM Info General'!$A:$L,12,0))*E298</f>
        <v>35.56</v>
      </c>
      <c r="H298" s="21" t="s">
        <v>39</v>
      </c>
      <c r="I298" s="21">
        <v>1</v>
      </c>
      <c r="J298" s="21" t="s">
        <v>46</v>
      </c>
      <c r="K298" s="15">
        <f>(VLOOKUP(H298,'[1]BOM Info General'!$A:$L,12,0))*I298</f>
        <v>24.42</v>
      </c>
      <c r="L298" s="22" t="s">
        <v>58</v>
      </c>
      <c r="M298" s="22">
        <v>1</v>
      </c>
      <c r="N298" s="22" t="s">
        <v>55</v>
      </c>
      <c r="O298" s="9">
        <f>(VLOOKUP(L298,'[1]Simulation pricing per sub assy'!$D:$E,2,0))*M298</f>
        <v>43.288799999999988</v>
      </c>
      <c r="P298" s="23" t="s">
        <v>51</v>
      </c>
      <c r="Q298" s="23">
        <v>2</v>
      </c>
      <c r="R298" s="23" t="s">
        <v>17</v>
      </c>
      <c r="S298" s="40">
        <f>(VLOOKUP(P298,'[1]BOM Info General'!$A:$L,12,0))*Q298</f>
        <v>5.3</v>
      </c>
      <c r="T298" s="24" t="s">
        <v>14</v>
      </c>
      <c r="U298" s="24">
        <v>1</v>
      </c>
      <c r="V298" s="24" t="s">
        <v>15</v>
      </c>
      <c r="W298" s="17">
        <f>(VLOOKUP(T298,'[1]Simulation pricing per sub assy'!$D:$E,2,0))*U298</f>
        <v>1.9</v>
      </c>
      <c r="X298" s="18" t="s">
        <v>615</v>
      </c>
      <c r="Y298" s="25">
        <v>1</v>
      </c>
      <c r="Z298" s="25" t="s">
        <v>9</v>
      </c>
      <c r="AA298" s="18">
        <f>(VLOOKUP(X298,'[1]Simulation pricing per sub assy'!$D:$E,2,0))*Y298</f>
        <v>1.5769808000000001</v>
      </c>
    </row>
    <row r="299" spans="1:27" x14ac:dyDescent="0.35">
      <c r="A299" s="13" t="s">
        <v>1233</v>
      </c>
      <c r="B299" s="13" t="s">
        <v>1234</v>
      </c>
      <c r="C299" s="42">
        <f t="shared" si="4"/>
        <v>112.6257808</v>
      </c>
      <c r="D299" s="20" t="s">
        <v>42</v>
      </c>
      <c r="E299" s="20">
        <v>1</v>
      </c>
      <c r="F299" s="20" t="s">
        <v>3982</v>
      </c>
      <c r="G299" s="14">
        <f>(VLOOKUP(D299,'[1]BOM Info General'!$A:$L,12,0))*E299</f>
        <v>35.56</v>
      </c>
      <c r="H299" s="21" t="s">
        <v>39</v>
      </c>
      <c r="I299" s="21">
        <v>1</v>
      </c>
      <c r="J299" s="21" t="s">
        <v>46</v>
      </c>
      <c r="K299" s="15">
        <f>(VLOOKUP(H299,'[1]BOM Info General'!$A:$L,12,0))*I299</f>
        <v>24.42</v>
      </c>
      <c r="L299" s="22" t="s">
        <v>54</v>
      </c>
      <c r="M299" s="22">
        <v>1</v>
      </c>
      <c r="N299" s="22" t="s">
        <v>53</v>
      </c>
      <c r="O299" s="9">
        <f>(VLOOKUP(L299,'[1]Simulation pricing per sub assy'!$D:$E,2,0))*M299</f>
        <v>43.868799999999993</v>
      </c>
      <c r="P299" s="23" t="s">
        <v>51</v>
      </c>
      <c r="Q299" s="23">
        <v>2</v>
      </c>
      <c r="R299" s="23" t="s">
        <v>17</v>
      </c>
      <c r="S299" s="40">
        <f>(VLOOKUP(P299,'[1]BOM Info General'!$A:$L,12,0))*Q299</f>
        <v>5.3</v>
      </c>
      <c r="T299" s="24" t="s">
        <v>14</v>
      </c>
      <c r="U299" s="24">
        <v>1</v>
      </c>
      <c r="V299" s="24" t="s">
        <v>15</v>
      </c>
      <c r="W299" s="17">
        <f>(VLOOKUP(T299,'[1]Simulation pricing per sub assy'!$D:$E,2,0))*U299</f>
        <v>1.9</v>
      </c>
      <c r="X299" s="18" t="s">
        <v>615</v>
      </c>
      <c r="Y299" s="25">
        <v>1</v>
      </c>
      <c r="Z299" s="25" t="s">
        <v>9</v>
      </c>
      <c r="AA299" s="18">
        <f>(VLOOKUP(X299,'[1]Simulation pricing per sub assy'!$D:$E,2,0))*Y299</f>
        <v>1.5769808000000001</v>
      </c>
    </row>
    <row r="300" spans="1:27" x14ac:dyDescent="0.35">
      <c r="A300" s="13" t="s">
        <v>1215</v>
      </c>
      <c r="B300" s="13" t="s">
        <v>1216</v>
      </c>
      <c r="C300" s="42">
        <f t="shared" si="4"/>
        <v>112.3657808</v>
      </c>
      <c r="D300" s="20" t="s">
        <v>42</v>
      </c>
      <c r="E300" s="20">
        <v>1</v>
      </c>
      <c r="F300" s="20" t="s">
        <v>3982</v>
      </c>
      <c r="G300" s="14">
        <f>(VLOOKUP(D300,'[1]BOM Info General'!$A:$L,12,0))*E300</f>
        <v>35.56</v>
      </c>
      <c r="H300" s="21" t="s">
        <v>39</v>
      </c>
      <c r="I300" s="21">
        <v>1</v>
      </c>
      <c r="J300" s="21" t="s">
        <v>46</v>
      </c>
      <c r="K300" s="15">
        <f>(VLOOKUP(H300,'[1]BOM Info General'!$A:$L,12,0))*I300</f>
        <v>24.42</v>
      </c>
      <c r="L300" s="22" t="s">
        <v>60</v>
      </c>
      <c r="M300" s="22">
        <v>1</v>
      </c>
      <c r="N300" s="22" t="s">
        <v>57</v>
      </c>
      <c r="O300" s="9">
        <f>(VLOOKUP(L300,'[1]Simulation pricing per sub assy'!$D:$E,2,0))*M300</f>
        <v>43.608799999999988</v>
      </c>
      <c r="P300" s="23" t="s">
        <v>51</v>
      </c>
      <c r="Q300" s="23">
        <v>2</v>
      </c>
      <c r="R300" s="23" t="s">
        <v>17</v>
      </c>
      <c r="S300" s="40">
        <f>(VLOOKUP(P300,'[1]BOM Info General'!$A:$L,12,0))*Q300</f>
        <v>5.3</v>
      </c>
      <c r="T300" s="24" t="s">
        <v>14</v>
      </c>
      <c r="U300" s="24">
        <v>1</v>
      </c>
      <c r="V300" s="24" t="s">
        <v>15</v>
      </c>
      <c r="W300" s="17">
        <f>(VLOOKUP(T300,'[1]Simulation pricing per sub assy'!$D:$E,2,0))*U300</f>
        <v>1.9</v>
      </c>
      <c r="X300" s="18" t="s">
        <v>615</v>
      </c>
      <c r="Y300" s="25">
        <v>1</v>
      </c>
      <c r="Z300" s="25" t="s">
        <v>9</v>
      </c>
      <c r="AA300" s="18">
        <f>(VLOOKUP(X300,'[1]Simulation pricing per sub assy'!$D:$E,2,0))*Y300</f>
        <v>1.5769808000000001</v>
      </c>
    </row>
    <row r="301" spans="1:27" x14ac:dyDescent="0.35">
      <c r="A301" s="13" t="s">
        <v>1251</v>
      </c>
      <c r="B301" s="13" t="s">
        <v>1252</v>
      </c>
      <c r="C301" s="42">
        <f t="shared" si="4"/>
        <v>120.0357808</v>
      </c>
      <c r="D301" s="20" t="s">
        <v>42</v>
      </c>
      <c r="E301" s="20">
        <v>1</v>
      </c>
      <c r="F301" s="20" t="s">
        <v>3982</v>
      </c>
      <c r="G301" s="14">
        <f>(VLOOKUP(D301,'[1]BOM Info General'!$A:$L,12,0))*E301</f>
        <v>35.56</v>
      </c>
      <c r="H301" s="21" t="s">
        <v>39</v>
      </c>
      <c r="I301" s="21">
        <v>1</v>
      </c>
      <c r="J301" s="21" t="s">
        <v>46</v>
      </c>
      <c r="K301" s="15">
        <f>(VLOOKUP(H301,'[1]BOM Info General'!$A:$L,12,0))*I301</f>
        <v>24.42</v>
      </c>
      <c r="L301" s="22" t="s">
        <v>56</v>
      </c>
      <c r="M301" s="22">
        <v>1</v>
      </c>
      <c r="N301" s="22" t="s">
        <v>59</v>
      </c>
      <c r="O301" s="9">
        <f>(VLOOKUP(L301,'[1]Simulation pricing per sub assy'!$D:$E,2,0))*M301</f>
        <v>51.27879999999999</v>
      </c>
      <c r="P301" s="23" t="s">
        <v>51</v>
      </c>
      <c r="Q301" s="23">
        <v>2</v>
      </c>
      <c r="R301" s="23" t="s">
        <v>17</v>
      </c>
      <c r="S301" s="40">
        <f>(VLOOKUP(P301,'[1]BOM Info General'!$A:$L,12,0))*Q301</f>
        <v>5.3</v>
      </c>
      <c r="T301" s="24" t="s">
        <v>14</v>
      </c>
      <c r="U301" s="24">
        <v>1</v>
      </c>
      <c r="V301" s="24" t="s">
        <v>15</v>
      </c>
      <c r="W301" s="17">
        <f>(VLOOKUP(T301,'[1]Simulation pricing per sub assy'!$D:$E,2,0))*U301</f>
        <v>1.9</v>
      </c>
      <c r="X301" s="18" t="s">
        <v>615</v>
      </c>
      <c r="Y301" s="25">
        <v>1</v>
      </c>
      <c r="Z301" s="25" t="s">
        <v>9</v>
      </c>
      <c r="AA301" s="18">
        <f>(VLOOKUP(X301,'[1]Simulation pricing per sub assy'!$D:$E,2,0))*Y301</f>
        <v>1.5769808000000001</v>
      </c>
    </row>
    <row r="302" spans="1:27" x14ac:dyDescent="0.35">
      <c r="A302" s="13" t="s">
        <v>1271</v>
      </c>
      <c r="B302" s="13" t="s">
        <v>1272</v>
      </c>
      <c r="C302" s="42">
        <f t="shared" si="4"/>
        <v>111.21578079999999</v>
      </c>
      <c r="D302" s="20" t="s">
        <v>42</v>
      </c>
      <c r="E302" s="20">
        <v>1</v>
      </c>
      <c r="F302" s="20" t="s">
        <v>3982</v>
      </c>
      <c r="G302" s="14">
        <f>(VLOOKUP(D302,'[1]BOM Info General'!$A:$L,12,0))*E302</f>
        <v>35.56</v>
      </c>
      <c r="H302" s="21" t="s">
        <v>39</v>
      </c>
      <c r="I302" s="21">
        <v>1</v>
      </c>
      <c r="J302" s="21" t="s">
        <v>46</v>
      </c>
      <c r="K302" s="15">
        <f>(VLOOKUP(H302,'[1]BOM Info General'!$A:$L,12,0))*I302</f>
        <v>24.42</v>
      </c>
      <c r="L302" s="22" t="s">
        <v>523</v>
      </c>
      <c r="M302" s="22">
        <v>1</v>
      </c>
      <c r="N302" s="22" t="s">
        <v>61</v>
      </c>
      <c r="O302" s="9">
        <f>(VLOOKUP(L302,'[1]Simulation pricing per sub assy'!$D:$E,2,0))*M302</f>
        <v>42.308799999999991</v>
      </c>
      <c r="P302" s="23" t="s">
        <v>52</v>
      </c>
      <c r="Q302" s="23">
        <v>2</v>
      </c>
      <c r="R302" s="23" t="s">
        <v>18</v>
      </c>
      <c r="S302" s="40">
        <f>(VLOOKUP(P302,'[1]BOM Info General'!$A:$L,12,0))*Q302</f>
        <v>5.3</v>
      </c>
      <c r="T302" s="24" t="s">
        <v>10</v>
      </c>
      <c r="U302" s="24">
        <v>1</v>
      </c>
      <c r="V302" s="24" t="s">
        <v>11</v>
      </c>
      <c r="W302" s="17">
        <f>(VLOOKUP(T302,'[1]Simulation pricing per sub assy'!$D:$E,2,0))*U302</f>
        <v>2.0499999999999998</v>
      </c>
      <c r="X302" s="18" t="s">
        <v>615</v>
      </c>
      <c r="Y302" s="25">
        <v>1</v>
      </c>
      <c r="Z302" s="25" t="s">
        <v>9</v>
      </c>
      <c r="AA302" s="18">
        <f>(VLOOKUP(X302,'[1]Simulation pricing per sub assy'!$D:$E,2,0))*Y302</f>
        <v>1.5769808000000001</v>
      </c>
    </row>
    <row r="303" spans="1:27" x14ac:dyDescent="0.35">
      <c r="A303" s="13" t="s">
        <v>1199</v>
      </c>
      <c r="B303" s="13" t="s">
        <v>1200</v>
      </c>
      <c r="C303" s="42">
        <f t="shared" si="4"/>
        <v>112.19578079999999</v>
      </c>
      <c r="D303" s="20" t="s">
        <v>42</v>
      </c>
      <c r="E303" s="20">
        <v>1</v>
      </c>
      <c r="F303" s="20" t="s">
        <v>3982</v>
      </c>
      <c r="G303" s="14">
        <f>(VLOOKUP(D303,'[1]BOM Info General'!$A:$L,12,0))*E303</f>
        <v>35.56</v>
      </c>
      <c r="H303" s="21" t="s">
        <v>39</v>
      </c>
      <c r="I303" s="21">
        <v>1</v>
      </c>
      <c r="J303" s="21" t="s">
        <v>46</v>
      </c>
      <c r="K303" s="15">
        <f>(VLOOKUP(H303,'[1]BOM Info General'!$A:$L,12,0))*I303</f>
        <v>24.42</v>
      </c>
      <c r="L303" s="22" t="s">
        <v>58</v>
      </c>
      <c r="M303" s="22">
        <v>1</v>
      </c>
      <c r="N303" s="22" t="s">
        <v>55</v>
      </c>
      <c r="O303" s="9">
        <f>(VLOOKUP(L303,'[1]Simulation pricing per sub assy'!$D:$E,2,0))*M303</f>
        <v>43.288799999999988</v>
      </c>
      <c r="P303" s="23" t="s">
        <v>52</v>
      </c>
      <c r="Q303" s="23">
        <v>2</v>
      </c>
      <c r="R303" s="23" t="s">
        <v>18</v>
      </c>
      <c r="S303" s="40">
        <f>(VLOOKUP(P303,'[1]BOM Info General'!$A:$L,12,0))*Q303</f>
        <v>5.3</v>
      </c>
      <c r="T303" s="24" t="s">
        <v>10</v>
      </c>
      <c r="U303" s="24">
        <v>1</v>
      </c>
      <c r="V303" s="24" t="s">
        <v>11</v>
      </c>
      <c r="W303" s="17">
        <f>(VLOOKUP(T303,'[1]Simulation pricing per sub assy'!$D:$E,2,0))*U303</f>
        <v>2.0499999999999998</v>
      </c>
      <c r="X303" s="18" t="s">
        <v>615</v>
      </c>
      <c r="Y303" s="25">
        <v>1</v>
      </c>
      <c r="Z303" s="25" t="s">
        <v>9</v>
      </c>
      <c r="AA303" s="18">
        <f>(VLOOKUP(X303,'[1]Simulation pricing per sub assy'!$D:$E,2,0))*Y303</f>
        <v>1.5769808000000001</v>
      </c>
    </row>
    <row r="304" spans="1:27" x14ac:dyDescent="0.35">
      <c r="A304" s="13" t="s">
        <v>1235</v>
      </c>
      <c r="B304" s="13" t="s">
        <v>1236</v>
      </c>
      <c r="C304" s="42">
        <f t="shared" si="4"/>
        <v>112.77578079999999</v>
      </c>
      <c r="D304" s="20" t="s">
        <v>42</v>
      </c>
      <c r="E304" s="20">
        <v>1</v>
      </c>
      <c r="F304" s="20" t="s">
        <v>3982</v>
      </c>
      <c r="G304" s="14">
        <f>(VLOOKUP(D304,'[1]BOM Info General'!$A:$L,12,0))*E304</f>
        <v>35.56</v>
      </c>
      <c r="H304" s="21" t="s">
        <v>39</v>
      </c>
      <c r="I304" s="21">
        <v>1</v>
      </c>
      <c r="J304" s="21" t="s">
        <v>46</v>
      </c>
      <c r="K304" s="15">
        <f>(VLOOKUP(H304,'[1]BOM Info General'!$A:$L,12,0))*I304</f>
        <v>24.42</v>
      </c>
      <c r="L304" s="22" t="s">
        <v>54</v>
      </c>
      <c r="M304" s="22">
        <v>1</v>
      </c>
      <c r="N304" s="22" t="s">
        <v>53</v>
      </c>
      <c r="O304" s="9">
        <f>(VLOOKUP(L304,'[1]Simulation pricing per sub assy'!$D:$E,2,0))*M304</f>
        <v>43.868799999999993</v>
      </c>
      <c r="P304" s="23" t="s">
        <v>52</v>
      </c>
      <c r="Q304" s="23">
        <v>2</v>
      </c>
      <c r="R304" s="23" t="s">
        <v>18</v>
      </c>
      <c r="S304" s="40">
        <f>(VLOOKUP(P304,'[1]BOM Info General'!$A:$L,12,0))*Q304</f>
        <v>5.3</v>
      </c>
      <c r="T304" s="24" t="s">
        <v>10</v>
      </c>
      <c r="U304" s="24">
        <v>1</v>
      </c>
      <c r="V304" s="24" t="s">
        <v>11</v>
      </c>
      <c r="W304" s="17">
        <f>(VLOOKUP(T304,'[1]Simulation pricing per sub assy'!$D:$E,2,0))*U304</f>
        <v>2.0499999999999998</v>
      </c>
      <c r="X304" s="18" t="s">
        <v>615</v>
      </c>
      <c r="Y304" s="25">
        <v>1</v>
      </c>
      <c r="Z304" s="25" t="s">
        <v>9</v>
      </c>
      <c r="AA304" s="18">
        <f>(VLOOKUP(X304,'[1]Simulation pricing per sub assy'!$D:$E,2,0))*Y304</f>
        <v>1.5769808000000001</v>
      </c>
    </row>
    <row r="305" spans="1:27" x14ac:dyDescent="0.35">
      <c r="A305" s="13" t="s">
        <v>1217</v>
      </c>
      <c r="B305" s="13" t="s">
        <v>1218</v>
      </c>
      <c r="C305" s="42">
        <f t="shared" si="4"/>
        <v>112.51578079999999</v>
      </c>
      <c r="D305" s="20" t="s">
        <v>42</v>
      </c>
      <c r="E305" s="20">
        <v>1</v>
      </c>
      <c r="F305" s="20" t="s">
        <v>3982</v>
      </c>
      <c r="G305" s="14">
        <f>(VLOOKUP(D305,'[1]BOM Info General'!$A:$L,12,0))*E305</f>
        <v>35.56</v>
      </c>
      <c r="H305" s="21" t="s">
        <v>39</v>
      </c>
      <c r="I305" s="21">
        <v>1</v>
      </c>
      <c r="J305" s="21" t="s">
        <v>46</v>
      </c>
      <c r="K305" s="15">
        <f>(VLOOKUP(H305,'[1]BOM Info General'!$A:$L,12,0))*I305</f>
        <v>24.42</v>
      </c>
      <c r="L305" s="22" t="s">
        <v>60</v>
      </c>
      <c r="M305" s="22">
        <v>1</v>
      </c>
      <c r="N305" s="22" t="s">
        <v>57</v>
      </c>
      <c r="O305" s="9">
        <f>(VLOOKUP(L305,'[1]Simulation pricing per sub assy'!$D:$E,2,0))*M305</f>
        <v>43.608799999999988</v>
      </c>
      <c r="P305" s="23" t="s">
        <v>52</v>
      </c>
      <c r="Q305" s="23">
        <v>2</v>
      </c>
      <c r="R305" s="23" t="s">
        <v>18</v>
      </c>
      <c r="S305" s="40">
        <f>(VLOOKUP(P305,'[1]BOM Info General'!$A:$L,12,0))*Q305</f>
        <v>5.3</v>
      </c>
      <c r="T305" s="24" t="s">
        <v>10</v>
      </c>
      <c r="U305" s="24">
        <v>1</v>
      </c>
      <c r="V305" s="24" t="s">
        <v>11</v>
      </c>
      <c r="W305" s="17">
        <f>(VLOOKUP(T305,'[1]Simulation pricing per sub assy'!$D:$E,2,0))*U305</f>
        <v>2.0499999999999998</v>
      </c>
      <c r="X305" s="18" t="s">
        <v>615</v>
      </c>
      <c r="Y305" s="25">
        <v>1</v>
      </c>
      <c r="Z305" s="25" t="s">
        <v>9</v>
      </c>
      <c r="AA305" s="18">
        <f>(VLOOKUP(X305,'[1]Simulation pricing per sub assy'!$D:$E,2,0))*Y305</f>
        <v>1.5769808000000001</v>
      </c>
    </row>
    <row r="306" spans="1:27" x14ac:dyDescent="0.35">
      <c r="A306" s="13" t="s">
        <v>1253</v>
      </c>
      <c r="B306" s="13" t="s">
        <v>1254</v>
      </c>
      <c r="C306" s="42">
        <f t="shared" si="4"/>
        <v>120.18578079999999</v>
      </c>
      <c r="D306" s="20" t="s">
        <v>42</v>
      </c>
      <c r="E306" s="20">
        <v>1</v>
      </c>
      <c r="F306" s="20" t="s">
        <v>3982</v>
      </c>
      <c r="G306" s="14">
        <f>(VLOOKUP(D306,'[1]BOM Info General'!$A:$L,12,0))*E306</f>
        <v>35.56</v>
      </c>
      <c r="H306" s="21" t="s">
        <v>39</v>
      </c>
      <c r="I306" s="21">
        <v>1</v>
      </c>
      <c r="J306" s="21" t="s">
        <v>46</v>
      </c>
      <c r="K306" s="15">
        <f>(VLOOKUP(H306,'[1]BOM Info General'!$A:$L,12,0))*I306</f>
        <v>24.42</v>
      </c>
      <c r="L306" s="22" t="s">
        <v>56</v>
      </c>
      <c r="M306" s="22">
        <v>1</v>
      </c>
      <c r="N306" s="22" t="s">
        <v>59</v>
      </c>
      <c r="O306" s="9">
        <f>(VLOOKUP(L306,'[1]Simulation pricing per sub assy'!$D:$E,2,0))*M306</f>
        <v>51.27879999999999</v>
      </c>
      <c r="P306" s="23" t="s">
        <v>52</v>
      </c>
      <c r="Q306" s="23">
        <v>2</v>
      </c>
      <c r="R306" s="23" t="s">
        <v>18</v>
      </c>
      <c r="S306" s="40">
        <f>(VLOOKUP(P306,'[1]BOM Info General'!$A:$L,12,0))*Q306</f>
        <v>5.3</v>
      </c>
      <c r="T306" s="24" t="s">
        <v>10</v>
      </c>
      <c r="U306" s="24">
        <v>1</v>
      </c>
      <c r="V306" s="24" t="s">
        <v>11</v>
      </c>
      <c r="W306" s="17">
        <f>(VLOOKUP(T306,'[1]Simulation pricing per sub assy'!$D:$E,2,0))*U306</f>
        <v>2.0499999999999998</v>
      </c>
      <c r="X306" s="18" t="s">
        <v>615</v>
      </c>
      <c r="Y306" s="25">
        <v>1</v>
      </c>
      <c r="Z306" s="25" t="s">
        <v>9</v>
      </c>
      <c r="AA306" s="18">
        <f>(VLOOKUP(X306,'[1]Simulation pricing per sub assy'!$D:$E,2,0))*Y306</f>
        <v>1.5769808000000001</v>
      </c>
    </row>
    <row r="307" spans="1:27" x14ac:dyDescent="0.35">
      <c r="A307" s="13" t="s">
        <v>1273</v>
      </c>
      <c r="B307" s="13" t="s">
        <v>1274</v>
      </c>
      <c r="C307" s="42">
        <f t="shared" si="4"/>
        <v>111.0657808</v>
      </c>
      <c r="D307" s="20" t="s">
        <v>42</v>
      </c>
      <c r="E307" s="20">
        <v>1</v>
      </c>
      <c r="F307" s="20" t="s">
        <v>3982</v>
      </c>
      <c r="G307" s="14">
        <f>(VLOOKUP(D307,'[1]BOM Info General'!$A:$L,12,0))*E307</f>
        <v>35.56</v>
      </c>
      <c r="H307" s="21" t="s">
        <v>39</v>
      </c>
      <c r="I307" s="21">
        <v>1</v>
      </c>
      <c r="J307" s="21" t="s">
        <v>46</v>
      </c>
      <c r="K307" s="15">
        <f>(VLOOKUP(H307,'[1]BOM Info General'!$A:$L,12,0))*I307</f>
        <v>24.42</v>
      </c>
      <c r="L307" s="22" t="s">
        <v>523</v>
      </c>
      <c r="M307" s="22">
        <v>1</v>
      </c>
      <c r="N307" s="22" t="s">
        <v>61</v>
      </c>
      <c r="O307" s="9">
        <f>(VLOOKUP(L307,'[1]Simulation pricing per sub assy'!$D:$E,2,0))*M307</f>
        <v>42.308799999999991</v>
      </c>
      <c r="P307" s="23" t="s">
        <v>52</v>
      </c>
      <c r="Q307" s="23">
        <v>2</v>
      </c>
      <c r="R307" s="23" t="s">
        <v>18</v>
      </c>
      <c r="S307" s="40">
        <f>(VLOOKUP(P307,'[1]BOM Info General'!$A:$L,12,0))*Q307</f>
        <v>5.3</v>
      </c>
      <c r="T307" s="24" t="s">
        <v>12</v>
      </c>
      <c r="U307" s="24">
        <v>1</v>
      </c>
      <c r="V307" s="24" t="s">
        <v>13</v>
      </c>
      <c r="W307" s="17">
        <f>(VLOOKUP(T307,'[1]Simulation pricing per sub assy'!$D:$E,2,0))*U307</f>
        <v>1.9</v>
      </c>
      <c r="X307" s="18" t="s">
        <v>615</v>
      </c>
      <c r="Y307" s="25">
        <v>1</v>
      </c>
      <c r="Z307" s="25" t="s">
        <v>9</v>
      </c>
      <c r="AA307" s="18">
        <f>(VLOOKUP(X307,'[1]Simulation pricing per sub assy'!$D:$E,2,0))*Y307</f>
        <v>1.5769808000000001</v>
      </c>
    </row>
    <row r="308" spans="1:27" x14ac:dyDescent="0.35">
      <c r="A308" s="13" t="s">
        <v>1201</v>
      </c>
      <c r="B308" s="13" t="s">
        <v>1202</v>
      </c>
      <c r="C308" s="42">
        <f t="shared" si="4"/>
        <v>112.0457808</v>
      </c>
      <c r="D308" s="20" t="s">
        <v>42</v>
      </c>
      <c r="E308" s="20">
        <v>1</v>
      </c>
      <c r="F308" s="20" t="s">
        <v>3982</v>
      </c>
      <c r="G308" s="14">
        <f>(VLOOKUP(D308,'[1]BOM Info General'!$A:$L,12,0))*E308</f>
        <v>35.56</v>
      </c>
      <c r="H308" s="21" t="s">
        <v>39</v>
      </c>
      <c r="I308" s="21">
        <v>1</v>
      </c>
      <c r="J308" s="21" t="s">
        <v>46</v>
      </c>
      <c r="K308" s="15">
        <f>(VLOOKUP(H308,'[1]BOM Info General'!$A:$L,12,0))*I308</f>
        <v>24.42</v>
      </c>
      <c r="L308" s="22" t="s">
        <v>58</v>
      </c>
      <c r="M308" s="22">
        <v>1</v>
      </c>
      <c r="N308" s="22" t="s">
        <v>55</v>
      </c>
      <c r="O308" s="9">
        <f>(VLOOKUP(L308,'[1]Simulation pricing per sub assy'!$D:$E,2,0))*M308</f>
        <v>43.288799999999988</v>
      </c>
      <c r="P308" s="23" t="s">
        <v>52</v>
      </c>
      <c r="Q308" s="23">
        <v>2</v>
      </c>
      <c r="R308" s="23" t="s">
        <v>18</v>
      </c>
      <c r="S308" s="40">
        <f>(VLOOKUP(P308,'[1]BOM Info General'!$A:$L,12,0))*Q308</f>
        <v>5.3</v>
      </c>
      <c r="T308" s="24" t="s">
        <v>12</v>
      </c>
      <c r="U308" s="24">
        <v>1</v>
      </c>
      <c r="V308" s="24" t="s">
        <v>13</v>
      </c>
      <c r="W308" s="17">
        <f>(VLOOKUP(T308,'[1]Simulation pricing per sub assy'!$D:$E,2,0))*U308</f>
        <v>1.9</v>
      </c>
      <c r="X308" s="18" t="s">
        <v>615</v>
      </c>
      <c r="Y308" s="25">
        <v>1</v>
      </c>
      <c r="Z308" s="25" t="s">
        <v>9</v>
      </c>
      <c r="AA308" s="18">
        <f>(VLOOKUP(X308,'[1]Simulation pricing per sub assy'!$D:$E,2,0))*Y308</f>
        <v>1.5769808000000001</v>
      </c>
    </row>
    <row r="309" spans="1:27" x14ac:dyDescent="0.35">
      <c r="A309" s="13" t="s">
        <v>1237</v>
      </c>
      <c r="B309" s="13" t="s">
        <v>1238</v>
      </c>
      <c r="C309" s="42">
        <f t="shared" si="4"/>
        <v>112.6257808</v>
      </c>
      <c r="D309" s="20" t="s">
        <v>42</v>
      </c>
      <c r="E309" s="20">
        <v>1</v>
      </c>
      <c r="F309" s="20" t="s">
        <v>3982</v>
      </c>
      <c r="G309" s="14">
        <f>(VLOOKUP(D309,'[1]BOM Info General'!$A:$L,12,0))*E309</f>
        <v>35.56</v>
      </c>
      <c r="H309" s="21" t="s">
        <v>39</v>
      </c>
      <c r="I309" s="21">
        <v>1</v>
      </c>
      <c r="J309" s="21" t="s">
        <v>46</v>
      </c>
      <c r="K309" s="15">
        <f>(VLOOKUP(H309,'[1]BOM Info General'!$A:$L,12,0))*I309</f>
        <v>24.42</v>
      </c>
      <c r="L309" s="22" t="s">
        <v>54</v>
      </c>
      <c r="M309" s="22">
        <v>1</v>
      </c>
      <c r="N309" s="22" t="s">
        <v>53</v>
      </c>
      <c r="O309" s="9">
        <f>(VLOOKUP(L309,'[1]Simulation pricing per sub assy'!$D:$E,2,0))*M309</f>
        <v>43.868799999999993</v>
      </c>
      <c r="P309" s="23" t="s">
        <v>52</v>
      </c>
      <c r="Q309" s="23">
        <v>2</v>
      </c>
      <c r="R309" s="23" t="s">
        <v>18</v>
      </c>
      <c r="S309" s="40">
        <f>(VLOOKUP(P309,'[1]BOM Info General'!$A:$L,12,0))*Q309</f>
        <v>5.3</v>
      </c>
      <c r="T309" s="24" t="s">
        <v>12</v>
      </c>
      <c r="U309" s="24">
        <v>1</v>
      </c>
      <c r="V309" s="24" t="s">
        <v>13</v>
      </c>
      <c r="W309" s="17">
        <f>(VLOOKUP(T309,'[1]Simulation pricing per sub assy'!$D:$E,2,0))*U309</f>
        <v>1.9</v>
      </c>
      <c r="X309" s="18" t="s">
        <v>615</v>
      </c>
      <c r="Y309" s="25">
        <v>1</v>
      </c>
      <c r="Z309" s="25" t="s">
        <v>9</v>
      </c>
      <c r="AA309" s="18">
        <f>(VLOOKUP(X309,'[1]Simulation pricing per sub assy'!$D:$E,2,0))*Y309</f>
        <v>1.5769808000000001</v>
      </c>
    </row>
    <row r="310" spans="1:27" x14ac:dyDescent="0.35">
      <c r="A310" s="13" t="s">
        <v>1219</v>
      </c>
      <c r="B310" s="13" t="s">
        <v>1220</v>
      </c>
      <c r="C310" s="42">
        <f t="shared" si="4"/>
        <v>112.3657808</v>
      </c>
      <c r="D310" s="20" t="s">
        <v>42</v>
      </c>
      <c r="E310" s="20">
        <v>1</v>
      </c>
      <c r="F310" s="20" t="s">
        <v>3982</v>
      </c>
      <c r="G310" s="14">
        <f>(VLOOKUP(D310,'[1]BOM Info General'!$A:$L,12,0))*E310</f>
        <v>35.56</v>
      </c>
      <c r="H310" s="21" t="s">
        <v>39</v>
      </c>
      <c r="I310" s="21">
        <v>1</v>
      </c>
      <c r="J310" s="21" t="s">
        <v>46</v>
      </c>
      <c r="K310" s="15">
        <f>(VLOOKUP(H310,'[1]BOM Info General'!$A:$L,12,0))*I310</f>
        <v>24.42</v>
      </c>
      <c r="L310" s="22" t="s">
        <v>60</v>
      </c>
      <c r="M310" s="22">
        <v>1</v>
      </c>
      <c r="N310" s="22" t="s">
        <v>57</v>
      </c>
      <c r="O310" s="9">
        <f>(VLOOKUP(L310,'[1]Simulation pricing per sub assy'!$D:$E,2,0))*M310</f>
        <v>43.608799999999988</v>
      </c>
      <c r="P310" s="23" t="s">
        <v>52</v>
      </c>
      <c r="Q310" s="23">
        <v>2</v>
      </c>
      <c r="R310" s="23" t="s">
        <v>18</v>
      </c>
      <c r="S310" s="40">
        <f>(VLOOKUP(P310,'[1]BOM Info General'!$A:$L,12,0))*Q310</f>
        <v>5.3</v>
      </c>
      <c r="T310" s="24" t="s">
        <v>12</v>
      </c>
      <c r="U310" s="24">
        <v>1</v>
      </c>
      <c r="V310" s="24" t="s">
        <v>13</v>
      </c>
      <c r="W310" s="17">
        <f>(VLOOKUP(T310,'[1]Simulation pricing per sub assy'!$D:$E,2,0))*U310</f>
        <v>1.9</v>
      </c>
      <c r="X310" s="18" t="s">
        <v>615</v>
      </c>
      <c r="Y310" s="25">
        <v>1</v>
      </c>
      <c r="Z310" s="25" t="s">
        <v>9</v>
      </c>
      <c r="AA310" s="18">
        <f>(VLOOKUP(X310,'[1]Simulation pricing per sub assy'!$D:$E,2,0))*Y310</f>
        <v>1.5769808000000001</v>
      </c>
    </row>
    <row r="311" spans="1:27" x14ac:dyDescent="0.35">
      <c r="A311" s="13" t="s">
        <v>1255</v>
      </c>
      <c r="B311" s="13" t="s">
        <v>1256</v>
      </c>
      <c r="C311" s="42">
        <f t="shared" si="4"/>
        <v>120.0357808</v>
      </c>
      <c r="D311" s="20" t="s">
        <v>42</v>
      </c>
      <c r="E311" s="20">
        <v>1</v>
      </c>
      <c r="F311" s="20" t="s">
        <v>3982</v>
      </c>
      <c r="G311" s="14">
        <f>(VLOOKUP(D311,'[1]BOM Info General'!$A:$L,12,0))*E311</f>
        <v>35.56</v>
      </c>
      <c r="H311" s="21" t="s">
        <v>39</v>
      </c>
      <c r="I311" s="21">
        <v>1</v>
      </c>
      <c r="J311" s="21" t="s">
        <v>46</v>
      </c>
      <c r="K311" s="15">
        <f>(VLOOKUP(H311,'[1]BOM Info General'!$A:$L,12,0))*I311</f>
        <v>24.42</v>
      </c>
      <c r="L311" s="22" t="s">
        <v>56</v>
      </c>
      <c r="M311" s="22">
        <v>1</v>
      </c>
      <c r="N311" s="22" t="s">
        <v>59</v>
      </c>
      <c r="O311" s="9">
        <f>(VLOOKUP(L311,'[1]Simulation pricing per sub assy'!$D:$E,2,0))*M311</f>
        <v>51.27879999999999</v>
      </c>
      <c r="P311" s="23" t="s">
        <v>52</v>
      </c>
      <c r="Q311" s="23">
        <v>2</v>
      </c>
      <c r="R311" s="23" t="s">
        <v>18</v>
      </c>
      <c r="S311" s="40">
        <f>(VLOOKUP(P311,'[1]BOM Info General'!$A:$L,12,0))*Q311</f>
        <v>5.3</v>
      </c>
      <c r="T311" s="24" t="s">
        <v>12</v>
      </c>
      <c r="U311" s="24">
        <v>1</v>
      </c>
      <c r="V311" s="24" t="s">
        <v>13</v>
      </c>
      <c r="W311" s="17">
        <f>(VLOOKUP(T311,'[1]Simulation pricing per sub assy'!$D:$E,2,0))*U311</f>
        <v>1.9</v>
      </c>
      <c r="X311" s="18" t="s">
        <v>615</v>
      </c>
      <c r="Y311" s="25">
        <v>1</v>
      </c>
      <c r="Z311" s="25" t="s">
        <v>9</v>
      </c>
      <c r="AA311" s="18">
        <f>(VLOOKUP(X311,'[1]Simulation pricing per sub assy'!$D:$E,2,0))*Y311</f>
        <v>1.5769808000000001</v>
      </c>
    </row>
    <row r="312" spans="1:27" x14ac:dyDescent="0.35">
      <c r="A312" s="13" t="s">
        <v>1275</v>
      </c>
      <c r="B312" s="13" t="s">
        <v>1276</v>
      </c>
      <c r="C312" s="42">
        <f t="shared" si="4"/>
        <v>111.0657808</v>
      </c>
      <c r="D312" s="20" t="s">
        <v>42</v>
      </c>
      <c r="E312" s="20">
        <v>1</v>
      </c>
      <c r="F312" s="20" t="s">
        <v>3982</v>
      </c>
      <c r="G312" s="14">
        <f>(VLOOKUP(D312,'[1]BOM Info General'!$A:$L,12,0))*E312</f>
        <v>35.56</v>
      </c>
      <c r="H312" s="21" t="s">
        <v>39</v>
      </c>
      <c r="I312" s="21">
        <v>1</v>
      </c>
      <c r="J312" s="21" t="s">
        <v>46</v>
      </c>
      <c r="K312" s="15">
        <f>(VLOOKUP(H312,'[1]BOM Info General'!$A:$L,12,0))*I312</f>
        <v>24.42</v>
      </c>
      <c r="L312" s="22" t="s">
        <v>523</v>
      </c>
      <c r="M312" s="22">
        <v>1</v>
      </c>
      <c r="N312" s="22" t="s">
        <v>61</v>
      </c>
      <c r="O312" s="9">
        <f>(VLOOKUP(L312,'[1]Simulation pricing per sub assy'!$D:$E,2,0))*M312</f>
        <v>42.308799999999991</v>
      </c>
      <c r="P312" s="23" t="s">
        <v>52</v>
      </c>
      <c r="Q312" s="23">
        <v>2</v>
      </c>
      <c r="R312" s="23" t="s">
        <v>18</v>
      </c>
      <c r="S312" s="40">
        <f>(VLOOKUP(P312,'[1]BOM Info General'!$A:$L,12,0))*Q312</f>
        <v>5.3</v>
      </c>
      <c r="T312" s="24" t="s">
        <v>14</v>
      </c>
      <c r="U312" s="24">
        <v>1</v>
      </c>
      <c r="V312" s="24" t="s">
        <v>15</v>
      </c>
      <c r="W312" s="17">
        <f>(VLOOKUP(T312,'[1]Simulation pricing per sub assy'!$D:$E,2,0))*U312</f>
        <v>1.9</v>
      </c>
      <c r="X312" s="18" t="s">
        <v>615</v>
      </c>
      <c r="Y312" s="25">
        <v>1</v>
      </c>
      <c r="Z312" s="25" t="s">
        <v>9</v>
      </c>
      <c r="AA312" s="18">
        <f>(VLOOKUP(X312,'[1]Simulation pricing per sub assy'!$D:$E,2,0))*Y312</f>
        <v>1.5769808000000001</v>
      </c>
    </row>
    <row r="313" spans="1:27" x14ac:dyDescent="0.35">
      <c r="A313" s="13" t="s">
        <v>1203</v>
      </c>
      <c r="B313" s="13" t="s">
        <v>1204</v>
      </c>
      <c r="C313" s="42">
        <f t="shared" si="4"/>
        <v>112.0457808</v>
      </c>
      <c r="D313" s="20" t="s">
        <v>42</v>
      </c>
      <c r="E313" s="20">
        <v>1</v>
      </c>
      <c r="F313" s="20" t="s">
        <v>3982</v>
      </c>
      <c r="G313" s="14">
        <f>(VLOOKUP(D313,'[1]BOM Info General'!$A:$L,12,0))*E313</f>
        <v>35.56</v>
      </c>
      <c r="H313" s="21" t="s">
        <v>39</v>
      </c>
      <c r="I313" s="21">
        <v>1</v>
      </c>
      <c r="J313" s="21" t="s">
        <v>46</v>
      </c>
      <c r="K313" s="15">
        <f>(VLOOKUP(H313,'[1]BOM Info General'!$A:$L,12,0))*I313</f>
        <v>24.42</v>
      </c>
      <c r="L313" s="22" t="s">
        <v>58</v>
      </c>
      <c r="M313" s="22">
        <v>1</v>
      </c>
      <c r="N313" s="22" t="s">
        <v>55</v>
      </c>
      <c r="O313" s="9">
        <f>(VLOOKUP(L313,'[1]Simulation pricing per sub assy'!$D:$E,2,0))*M313</f>
        <v>43.288799999999988</v>
      </c>
      <c r="P313" s="23" t="s">
        <v>52</v>
      </c>
      <c r="Q313" s="23">
        <v>2</v>
      </c>
      <c r="R313" s="23" t="s">
        <v>18</v>
      </c>
      <c r="S313" s="40">
        <f>(VLOOKUP(P313,'[1]BOM Info General'!$A:$L,12,0))*Q313</f>
        <v>5.3</v>
      </c>
      <c r="T313" s="24" t="s">
        <v>14</v>
      </c>
      <c r="U313" s="24">
        <v>1</v>
      </c>
      <c r="V313" s="24" t="s">
        <v>15</v>
      </c>
      <c r="W313" s="17">
        <f>(VLOOKUP(T313,'[1]Simulation pricing per sub assy'!$D:$E,2,0))*U313</f>
        <v>1.9</v>
      </c>
      <c r="X313" s="18" t="s">
        <v>615</v>
      </c>
      <c r="Y313" s="25">
        <v>1</v>
      </c>
      <c r="Z313" s="25" t="s">
        <v>9</v>
      </c>
      <c r="AA313" s="18">
        <f>(VLOOKUP(X313,'[1]Simulation pricing per sub assy'!$D:$E,2,0))*Y313</f>
        <v>1.5769808000000001</v>
      </c>
    </row>
    <row r="314" spans="1:27" x14ac:dyDescent="0.35">
      <c r="A314" s="13" t="s">
        <v>1239</v>
      </c>
      <c r="B314" s="13" t="s">
        <v>1240</v>
      </c>
      <c r="C314" s="42">
        <f t="shared" si="4"/>
        <v>112.6257808</v>
      </c>
      <c r="D314" s="20" t="s">
        <v>42</v>
      </c>
      <c r="E314" s="20">
        <v>1</v>
      </c>
      <c r="F314" s="20" t="s">
        <v>3982</v>
      </c>
      <c r="G314" s="14">
        <f>(VLOOKUP(D314,'[1]BOM Info General'!$A:$L,12,0))*E314</f>
        <v>35.56</v>
      </c>
      <c r="H314" s="21" t="s">
        <v>39</v>
      </c>
      <c r="I314" s="21">
        <v>1</v>
      </c>
      <c r="J314" s="21" t="s">
        <v>46</v>
      </c>
      <c r="K314" s="15">
        <f>(VLOOKUP(H314,'[1]BOM Info General'!$A:$L,12,0))*I314</f>
        <v>24.42</v>
      </c>
      <c r="L314" s="22" t="s">
        <v>54</v>
      </c>
      <c r="M314" s="22">
        <v>1</v>
      </c>
      <c r="N314" s="22" t="s">
        <v>53</v>
      </c>
      <c r="O314" s="9">
        <f>(VLOOKUP(L314,'[1]Simulation pricing per sub assy'!$D:$E,2,0))*M314</f>
        <v>43.868799999999993</v>
      </c>
      <c r="P314" s="23" t="s">
        <v>52</v>
      </c>
      <c r="Q314" s="23">
        <v>2</v>
      </c>
      <c r="R314" s="23" t="s">
        <v>18</v>
      </c>
      <c r="S314" s="40">
        <f>(VLOOKUP(P314,'[1]BOM Info General'!$A:$L,12,0))*Q314</f>
        <v>5.3</v>
      </c>
      <c r="T314" s="24" t="s">
        <v>14</v>
      </c>
      <c r="U314" s="24">
        <v>1</v>
      </c>
      <c r="V314" s="24" t="s">
        <v>15</v>
      </c>
      <c r="W314" s="17">
        <f>(VLOOKUP(T314,'[1]Simulation pricing per sub assy'!$D:$E,2,0))*U314</f>
        <v>1.9</v>
      </c>
      <c r="X314" s="18" t="s">
        <v>615</v>
      </c>
      <c r="Y314" s="25">
        <v>1</v>
      </c>
      <c r="Z314" s="25" t="s">
        <v>9</v>
      </c>
      <c r="AA314" s="18">
        <f>(VLOOKUP(X314,'[1]Simulation pricing per sub assy'!$D:$E,2,0))*Y314</f>
        <v>1.5769808000000001</v>
      </c>
    </row>
    <row r="315" spans="1:27" x14ac:dyDescent="0.35">
      <c r="A315" s="13" t="s">
        <v>1221</v>
      </c>
      <c r="B315" s="13" t="s">
        <v>1222</v>
      </c>
      <c r="C315" s="42">
        <f t="shared" si="4"/>
        <v>112.3657808</v>
      </c>
      <c r="D315" s="20" t="s">
        <v>42</v>
      </c>
      <c r="E315" s="20">
        <v>1</v>
      </c>
      <c r="F315" s="20" t="s">
        <v>3982</v>
      </c>
      <c r="G315" s="14">
        <f>(VLOOKUP(D315,'[1]BOM Info General'!$A:$L,12,0))*E315</f>
        <v>35.56</v>
      </c>
      <c r="H315" s="21" t="s">
        <v>39</v>
      </c>
      <c r="I315" s="21">
        <v>1</v>
      </c>
      <c r="J315" s="21" t="s">
        <v>46</v>
      </c>
      <c r="K315" s="15">
        <f>(VLOOKUP(H315,'[1]BOM Info General'!$A:$L,12,0))*I315</f>
        <v>24.42</v>
      </c>
      <c r="L315" s="22" t="s">
        <v>60</v>
      </c>
      <c r="M315" s="22">
        <v>1</v>
      </c>
      <c r="N315" s="22" t="s">
        <v>57</v>
      </c>
      <c r="O315" s="9">
        <f>(VLOOKUP(L315,'[1]Simulation pricing per sub assy'!$D:$E,2,0))*M315</f>
        <v>43.608799999999988</v>
      </c>
      <c r="P315" s="23" t="s">
        <v>52</v>
      </c>
      <c r="Q315" s="23">
        <v>2</v>
      </c>
      <c r="R315" s="23" t="s">
        <v>18</v>
      </c>
      <c r="S315" s="40">
        <f>(VLOOKUP(P315,'[1]BOM Info General'!$A:$L,12,0))*Q315</f>
        <v>5.3</v>
      </c>
      <c r="T315" s="24" t="s">
        <v>14</v>
      </c>
      <c r="U315" s="24">
        <v>1</v>
      </c>
      <c r="V315" s="24" t="s">
        <v>15</v>
      </c>
      <c r="W315" s="17">
        <f>(VLOOKUP(T315,'[1]Simulation pricing per sub assy'!$D:$E,2,0))*U315</f>
        <v>1.9</v>
      </c>
      <c r="X315" s="18" t="s">
        <v>615</v>
      </c>
      <c r="Y315" s="25">
        <v>1</v>
      </c>
      <c r="Z315" s="25" t="s">
        <v>9</v>
      </c>
      <c r="AA315" s="18">
        <f>(VLOOKUP(X315,'[1]Simulation pricing per sub assy'!$D:$E,2,0))*Y315</f>
        <v>1.5769808000000001</v>
      </c>
    </row>
    <row r="316" spans="1:27" x14ac:dyDescent="0.35">
      <c r="A316" s="13" t="s">
        <v>1257</v>
      </c>
      <c r="B316" s="13" t="s">
        <v>1258</v>
      </c>
      <c r="C316" s="42">
        <f t="shared" si="4"/>
        <v>120.0357808</v>
      </c>
      <c r="D316" s="20" t="s">
        <v>42</v>
      </c>
      <c r="E316" s="20">
        <v>1</v>
      </c>
      <c r="F316" s="20" t="s">
        <v>3982</v>
      </c>
      <c r="G316" s="14">
        <f>(VLOOKUP(D316,'[1]BOM Info General'!$A:$L,12,0))*E316</f>
        <v>35.56</v>
      </c>
      <c r="H316" s="21" t="s">
        <v>39</v>
      </c>
      <c r="I316" s="21">
        <v>1</v>
      </c>
      <c r="J316" s="21" t="s">
        <v>46</v>
      </c>
      <c r="K316" s="15">
        <f>(VLOOKUP(H316,'[1]BOM Info General'!$A:$L,12,0))*I316</f>
        <v>24.42</v>
      </c>
      <c r="L316" s="22" t="s">
        <v>56</v>
      </c>
      <c r="M316" s="22">
        <v>1</v>
      </c>
      <c r="N316" s="22" t="s">
        <v>59</v>
      </c>
      <c r="O316" s="9">
        <f>(VLOOKUP(L316,'[1]Simulation pricing per sub assy'!$D:$E,2,0))*M316</f>
        <v>51.27879999999999</v>
      </c>
      <c r="P316" s="23" t="s">
        <v>52</v>
      </c>
      <c r="Q316" s="23">
        <v>2</v>
      </c>
      <c r="R316" s="23" t="s">
        <v>18</v>
      </c>
      <c r="S316" s="40">
        <f>(VLOOKUP(P316,'[1]BOM Info General'!$A:$L,12,0))*Q316</f>
        <v>5.3</v>
      </c>
      <c r="T316" s="24" t="s">
        <v>14</v>
      </c>
      <c r="U316" s="24">
        <v>1</v>
      </c>
      <c r="V316" s="24" t="s">
        <v>15</v>
      </c>
      <c r="W316" s="17">
        <f>(VLOOKUP(T316,'[1]Simulation pricing per sub assy'!$D:$E,2,0))*U316</f>
        <v>1.9</v>
      </c>
      <c r="X316" s="18" t="s">
        <v>615</v>
      </c>
      <c r="Y316" s="25">
        <v>1</v>
      </c>
      <c r="Z316" s="25" t="s">
        <v>9</v>
      </c>
      <c r="AA316" s="18">
        <f>(VLOOKUP(X316,'[1]Simulation pricing per sub assy'!$D:$E,2,0))*Y316</f>
        <v>1.5769808000000001</v>
      </c>
    </row>
    <row r="317" spans="1:27" x14ac:dyDescent="0.35">
      <c r="A317" s="13" t="s">
        <v>1185</v>
      </c>
      <c r="B317" s="13" t="s">
        <v>1186</v>
      </c>
      <c r="C317" s="42">
        <f t="shared" si="4"/>
        <v>111.5057808</v>
      </c>
      <c r="D317" s="20" t="s">
        <v>42</v>
      </c>
      <c r="E317" s="20">
        <v>1</v>
      </c>
      <c r="F317" s="20" t="s">
        <v>3982</v>
      </c>
      <c r="G317" s="14">
        <f>(VLOOKUP(D317,'[1]BOM Info General'!$A:$L,12,0))*E317</f>
        <v>35.56</v>
      </c>
      <c r="H317" s="21" t="s">
        <v>39</v>
      </c>
      <c r="I317" s="21">
        <v>1</v>
      </c>
      <c r="J317" s="21" t="s">
        <v>46</v>
      </c>
      <c r="K317" s="15">
        <f>(VLOOKUP(H317,'[1]BOM Info General'!$A:$L,12,0))*I317</f>
        <v>24.42</v>
      </c>
      <c r="L317" s="22" t="s">
        <v>523</v>
      </c>
      <c r="M317" s="22">
        <v>1</v>
      </c>
      <c r="N317" s="22" t="s">
        <v>61</v>
      </c>
      <c r="O317" s="9">
        <f>(VLOOKUP(L317,'[1]Simulation pricing per sub assy'!$D:$E,2,0))*M317</f>
        <v>42.308799999999991</v>
      </c>
      <c r="P317" s="23" t="s">
        <v>50</v>
      </c>
      <c r="Q317" s="23">
        <v>2</v>
      </c>
      <c r="R317" s="23" t="s">
        <v>611</v>
      </c>
      <c r="S317" s="40">
        <f>(VLOOKUP(P317,'[1]BOM Info General'!$A:$L,12,0))*Q317</f>
        <v>5.3</v>
      </c>
      <c r="T317" s="24" t="s">
        <v>19</v>
      </c>
      <c r="U317" s="24">
        <v>1</v>
      </c>
      <c r="V317" s="24" t="s">
        <v>20</v>
      </c>
      <c r="W317" s="17">
        <f>(VLOOKUP(T317,'[1]Simulation pricing per sub assy'!$D:$E,2,0))*U317</f>
        <v>2.3400000000000003</v>
      </c>
      <c r="X317" s="18" t="s">
        <v>615</v>
      </c>
      <c r="Y317" s="25">
        <v>1</v>
      </c>
      <c r="Z317" s="25" t="s">
        <v>9</v>
      </c>
      <c r="AA317" s="18">
        <f>(VLOOKUP(X317,'[1]Simulation pricing per sub assy'!$D:$E,2,0))*Y317</f>
        <v>1.5769808000000001</v>
      </c>
    </row>
    <row r="318" spans="1:27" x14ac:dyDescent="0.35">
      <c r="A318" s="13" t="s">
        <v>1177</v>
      </c>
      <c r="B318" s="13" t="s">
        <v>1178</v>
      </c>
      <c r="C318" s="42">
        <f t="shared" si="4"/>
        <v>112.4857808</v>
      </c>
      <c r="D318" s="20" t="s">
        <v>42</v>
      </c>
      <c r="E318" s="20">
        <v>1</v>
      </c>
      <c r="F318" s="20" t="s">
        <v>3982</v>
      </c>
      <c r="G318" s="14">
        <f>(VLOOKUP(D318,'[1]BOM Info General'!$A:$L,12,0))*E318</f>
        <v>35.56</v>
      </c>
      <c r="H318" s="21" t="s">
        <v>39</v>
      </c>
      <c r="I318" s="21">
        <v>1</v>
      </c>
      <c r="J318" s="21" t="s">
        <v>46</v>
      </c>
      <c r="K318" s="15">
        <f>(VLOOKUP(H318,'[1]BOM Info General'!$A:$L,12,0))*I318</f>
        <v>24.42</v>
      </c>
      <c r="L318" s="22" t="s">
        <v>58</v>
      </c>
      <c r="M318" s="22">
        <v>1</v>
      </c>
      <c r="N318" s="22" t="s">
        <v>55</v>
      </c>
      <c r="O318" s="9">
        <f>(VLOOKUP(L318,'[1]Simulation pricing per sub assy'!$D:$E,2,0))*M318</f>
        <v>43.288799999999988</v>
      </c>
      <c r="P318" s="23" t="s">
        <v>50</v>
      </c>
      <c r="Q318" s="23">
        <v>2</v>
      </c>
      <c r="R318" s="23" t="s">
        <v>611</v>
      </c>
      <c r="S318" s="40">
        <f>(VLOOKUP(P318,'[1]BOM Info General'!$A:$L,12,0))*Q318</f>
        <v>5.3</v>
      </c>
      <c r="T318" s="24" t="s">
        <v>19</v>
      </c>
      <c r="U318" s="24">
        <v>1</v>
      </c>
      <c r="V318" s="24" t="s">
        <v>20</v>
      </c>
      <c r="W318" s="17">
        <f>(VLOOKUP(T318,'[1]Simulation pricing per sub assy'!$D:$E,2,0))*U318</f>
        <v>2.3400000000000003</v>
      </c>
      <c r="X318" s="18" t="s">
        <v>615</v>
      </c>
      <c r="Y318" s="25">
        <v>1</v>
      </c>
      <c r="Z318" s="25" t="s">
        <v>9</v>
      </c>
      <c r="AA318" s="18">
        <f>(VLOOKUP(X318,'[1]Simulation pricing per sub assy'!$D:$E,2,0))*Y318</f>
        <v>1.5769808000000001</v>
      </c>
    </row>
    <row r="319" spans="1:27" x14ac:dyDescent="0.35">
      <c r="A319" s="13" t="s">
        <v>1181</v>
      </c>
      <c r="B319" s="13" t="s">
        <v>1182</v>
      </c>
      <c r="C319" s="42">
        <f t="shared" si="4"/>
        <v>113.0657808</v>
      </c>
      <c r="D319" s="20" t="s">
        <v>42</v>
      </c>
      <c r="E319" s="20">
        <v>1</v>
      </c>
      <c r="F319" s="20" t="s">
        <v>3982</v>
      </c>
      <c r="G319" s="14">
        <f>(VLOOKUP(D319,'[1]BOM Info General'!$A:$L,12,0))*E319</f>
        <v>35.56</v>
      </c>
      <c r="H319" s="21" t="s">
        <v>39</v>
      </c>
      <c r="I319" s="21">
        <v>1</v>
      </c>
      <c r="J319" s="21" t="s">
        <v>46</v>
      </c>
      <c r="K319" s="15">
        <f>(VLOOKUP(H319,'[1]BOM Info General'!$A:$L,12,0))*I319</f>
        <v>24.42</v>
      </c>
      <c r="L319" s="22" t="s">
        <v>54</v>
      </c>
      <c r="M319" s="22">
        <v>1</v>
      </c>
      <c r="N319" s="22" t="s">
        <v>53</v>
      </c>
      <c r="O319" s="9">
        <f>(VLOOKUP(L319,'[1]Simulation pricing per sub assy'!$D:$E,2,0))*M319</f>
        <v>43.868799999999993</v>
      </c>
      <c r="P319" s="23" t="s">
        <v>50</v>
      </c>
      <c r="Q319" s="23">
        <v>2</v>
      </c>
      <c r="R319" s="23" t="s">
        <v>611</v>
      </c>
      <c r="S319" s="40">
        <f>(VLOOKUP(P319,'[1]BOM Info General'!$A:$L,12,0))*Q319</f>
        <v>5.3</v>
      </c>
      <c r="T319" s="24" t="s">
        <v>19</v>
      </c>
      <c r="U319" s="24">
        <v>1</v>
      </c>
      <c r="V319" s="24" t="s">
        <v>20</v>
      </c>
      <c r="W319" s="17">
        <f>(VLOOKUP(T319,'[1]Simulation pricing per sub assy'!$D:$E,2,0))*U319</f>
        <v>2.3400000000000003</v>
      </c>
      <c r="X319" s="18" t="s">
        <v>615</v>
      </c>
      <c r="Y319" s="25">
        <v>1</v>
      </c>
      <c r="Z319" s="25" t="s">
        <v>9</v>
      </c>
      <c r="AA319" s="18">
        <f>(VLOOKUP(X319,'[1]Simulation pricing per sub assy'!$D:$E,2,0))*Y319</f>
        <v>1.5769808000000001</v>
      </c>
    </row>
    <row r="320" spans="1:27" x14ac:dyDescent="0.35">
      <c r="A320" s="13" t="s">
        <v>1179</v>
      </c>
      <c r="B320" s="13" t="s">
        <v>1180</v>
      </c>
      <c r="C320" s="42">
        <f t="shared" si="4"/>
        <v>112.80578079999999</v>
      </c>
      <c r="D320" s="20" t="s">
        <v>42</v>
      </c>
      <c r="E320" s="20">
        <v>1</v>
      </c>
      <c r="F320" s="20" t="s">
        <v>3982</v>
      </c>
      <c r="G320" s="14">
        <f>(VLOOKUP(D320,'[1]BOM Info General'!$A:$L,12,0))*E320</f>
        <v>35.56</v>
      </c>
      <c r="H320" s="21" t="s">
        <v>39</v>
      </c>
      <c r="I320" s="21">
        <v>1</v>
      </c>
      <c r="J320" s="21" t="s">
        <v>46</v>
      </c>
      <c r="K320" s="15">
        <f>(VLOOKUP(H320,'[1]BOM Info General'!$A:$L,12,0))*I320</f>
        <v>24.42</v>
      </c>
      <c r="L320" s="22" t="s">
        <v>60</v>
      </c>
      <c r="M320" s="22">
        <v>1</v>
      </c>
      <c r="N320" s="22" t="s">
        <v>57</v>
      </c>
      <c r="O320" s="9">
        <f>(VLOOKUP(L320,'[1]Simulation pricing per sub assy'!$D:$E,2,0))*M320</f>
        <v>43.608799999999988</v>
      </c>
      <c r="P320" s="23" t="s">
        <v>50</v>
      </c>
      <c r="Q320" s="23">
        <v>2</v>
      </c>
      <c r="R320" s="23" t="s">
        <v>611</v>
      </c>
      <c r="S320" s="40">
        <f>(VLOOKUP(P320,'[1]BOM Info General'!$A:$L,12,0))*Q320</f>
        <v>5.3</v>
      </c>
      <c r="T320" s="24" t="s">
        <v>19</v>
      </c>
      <c r="U320" s="24">
        <v>1</v>
      </c>
      <c r="V320" s="24" t="s">
        <v>20</v>
      </c>
      <c r="W320" s="17">
        <f>(VLOOKUP(T320,'[1]Simulation pricing per sub assy'!$D:$E,2,0))*U320</f>
        <v>2.3400000000000003</v>
      </c>
      <c r="X320" s="18" t="s">
        <v>615</v>
      </c>
      <c r="Y320" s="25">
        <v>1</v>
      </c>
      <c r="Z320" s="25" t="s">
        <v>9</v>
      </c>
      <c r="AA320" s="18">
        <f>(VLOOKUP(X320,'[1]Simulation pricing per sub assy'!$D:$E,2,0))*Y320</f>
        <v>1.5769808000000001</v>
      </c>
    </row>
    <row r="321" spans="1:27" x14ac:dyDescent="0.35">
      <c r="A321" s="13" t="s">
        <v>1183</v>
      </c>
      <c r="B321" s="13" t="s">
        <v>1184</v>
      </c>
      <c r="C321" s="42">
        <f t="shared" si="4"/>
        <v>120.4757808</v>
      </c>
      <c r="D321" s="20" t="s">
        <v>42</v>
      </c>
      <c r="E321" s="20">
        <v>1</v>
      </c>
      <c r="F321" s="20" t="s">
        <v>3982</v>
      </c>
      <c r="G321" s="14">
        <f>(VLOOKUP(D321,'[1]BOM Info General'!$A:$L,12,0))*E321</f>
        <v>35.56</v>
      </c>
      <c r="H321" s="21" t="s">
        <v>39</v>
      </c>
      <c r="I321" s="21">
        <v>1</v>
      </c>
      <c r="J321" s="21" t="s">
        <v>46</v>
      </c>
      <c r="K321" s="15">
        <f>(VLOOKUP(H321,'[1]BOM Info General'!$A:$L,12,0))*I321</f>
        <v>24.42</v>
      </c>
      <c r="L321" s="22" t="s">
        <v>56</v>
      </c>
      <c r="M321" s="22">
        <v>1</v>
      </c>
      <c r="N321" s="22" t="s">
        <v>59</v>
      </c>
      <c r="O321" s="9">
        <f>(VLOOKUP(L321,'[1]Simulation pricing per sub assy'!$D:$E,2,0))*M321</f>
        <v>51.27879999999999</v>
      </c>
      <c r="P321" s="23" t="s">
        <v>50</v>
      </c>
      <c r="Q321" s="23">
        <v>2</v>
      </c>
      <c r="R321" s="23" t="s">
        <v>611</v>
      </c>
      <c r="S321" s="40">
        <f>(VLOOKUP(P321,'[1]BOM Info General'!$A:$L,12,0))*Q321</f>
        <v>5.3</v>
      </c>
      <c r="T321" s="24" t="s">
        <v>19</v>
      </c>
      <c r="U321" s="24">
        <v>1</v>
      </c>
      <c r="V321" s="24" t="s">
        <v>20</v>
      </c>
      <c r="W321" s="17">
        <f>(VLOOKUP(T321,'[1]Simulation pricing per sub assy'!$D:$E,2,0))*U321</f>
        <v>2.3400000000000003</v>
      </c>
      <c r="X321" s="18" t="s">
        <v>615</v>
      </c>
      <c r="Y321" s="25">
        <v>1</v>
      </c>
      <c r="Z321" s="25" t="s">
        <v>9</v>
      </c>
      <c r="AA321" s="18">
        <f>(VLOOKUP(X321,'[1]Simulation pricing per sub assy'!$D:$E,2,0))*Y321</f>
        <v>1.5769808000000001</v>
      </c>
    </row>
    <row r="322" spans="1:27" x14ac:dyDescent="0.35">
      <c r="A322" s="13" t="s">
        <v>565</v>
      </c>
      <c r="B322" s="13" t="s">
        <v>4079</v>
      </c>
      <c r="C322" s="42">
        <f t="shared" si="4"/>
        <v>111.01578079999999</v>
      </c>
      <c r="D322" s="14" t="s">
        <v>42</v>
      </c>
      <c r="E322" s="14">
        <v>1</v>
      </c>
      <c r="F322" s="14" t="s">
        <v>3982</v>
      </c>
      <c r="G322" s="14">
        <f>(VLOOKUP(D322,'[1]BOM Info General'!$A:$L,12,0))*E322</f>
        <v>35.56</v>
      </c>
      <c r="H322" s="15" t="s">
        <v>39</v>
      </c>
      <c r="I322" s="15">
        <v>1</v>
      </c>
      <c r="J322" s="15" t="s">
        <v>46</v>
      </c>
      <c r="K322" s="15">
        <f>(VLOOKUP(H322,'[1]BOM Info General'!$A:$L,12,0))*I322</f>
        <v>24.42</v>
      </c>
      <c r="L322" s="9" t="s">
        <v>523</v>
      </c>
      <c r="M322" s="9">
        <v>1</v>
      </c>
      <c r="N322" s="9" t="s">
        <v>61</v>
      </c>
      <c r="O322" s="9">
        <f>(VLOOKUP(L322,'[1]Simulation pricing per sub assy'!$D:$E,2,0))*M322</f>
        <v>42.308799999999991</v>
      </c>
      <c r="P322" s="16" t="s">
        <v>50</v>
      </c>
      <c r="Q322" s="16">
        <v>2</v>
      </c>
      <c r="R322" s="16" t="s">
        <v>611</v>
      </c>
      <c r="S322" s="40">
        <f>(VLOOKUP(P322,'[1]BOM Info General'!$A:$L,12,0))*Q322</f>
        <v>5.3</v>
      </c>
      <c r="T322" s="17" t="s">
        <v>7</v>
      </c>
      <c r="U322" s="17">
        <v>1</v>
      </c>
      <c r="V322" s="17" t="s">
        <v>8</v>
      </c>
      <c r="W322" s="17">
        <f>(VLOOKUP(T322,'[1]Simulation pricing per sub assy'!$D:$E,2,0))*U322</f>
        <v>1.85</v>
      </c>
      <c r="X322" s="18" t="s">
        <v>615</v>
      </c>
      <c r="Y322" s="18">
        <v>1</v>
      </c>
      <c r="Z322" s="18" t="s">
        <v>9</v>
      </c>
      <c r="AA322" s="18">
        <f>(VLOOKUP(X322,'[1]Simulation pricing per sub assy'!$D:$E,2,0))*Y322</f>
        <v>1.5769808000000001</v>
      </c>
    </row>
    <row r="323" spans="1:27" x14ac:dyDescent="0.35">
      <c r="A323" s="13" t="s">
        <v>561</v>
      </c>
      <c r="B323" s="13" t="s">
        <v>4080</v>
      </c>
      <c r="C323" s="42">
        <f t="shared" ref="C323:C386" si="5">SUM(G323+K323+O323+S323+W323+AA323)</f>
        <v>111.99578079999999</v>
      </c>
      <c r="D323" s="14" t="s">
        <v>42</v>
      </c>
      <c r="E323" s="14">
        <v>1</v>
      </c>
      <c r="F323" s="14" t="s">
        <v>3982</v>
      </c>
      <c r="G323" s="14">
        <f>(VLOOKUP(D323,'[1]BOM Info General'!$A:$L,12,0))*E323</f>
        <v>35.56</v>
      </c>
      <c r="H323" s="15" t="s">
        <v>39</v>
      </c>
      <c r="I323" s="15">
        <v>1</v>
      </c>
      <c r="J323" s="15" t="s">
        <v>46</v>
      </c>
      <c r="K323" s="15">
        <f>(VLOOKUP(H323,'[1]BOM Info General'!$A:$L,12,0))*I323</f>
        <v>24.42</v>
      </c>
      <c r="L323" s="9" t="s">
        <v>58</v>
      </c>
      <c r="M323" s="9">
        <v>1</v>
      </c>
      <c r="N323" s="9" t="s">
        <v>55</v>
      </c>
      <c r="O323" s="9">
        <f>(VLOOKUP(L323,'[1]Simulation pricing per sub assy'!$D:$E,2,0))*M323</f>
        <v>43.288799999999988</v>
      </c>
      <c r="P323" s="16" t="s">
        <v>50</v>
      </c>
      <c r="Q323" s="16">
        <v>2</v>
      </c>
      <c r="R323" s="16" t="s">
        <v>611</v>
      </c>
      <c r="S323" s="40">
        <f>(VLOOKUP(P323,'[1]BOM Info General'!$A:$L,12,0))*Q323</f>
        <v>5.3</v>
      </c>
      <c r="T323" s="17" t="s">
        <v>7</v>
      </c>
      <c r="U323" s="17">
        <v>1</v>
      </c>
      <c r="V323" s="17" t="s">
        <v>8</v>
      </c>
      <c r="W323" s="17">
        <f>(VLOOKUP(T323,'[1]Simulation pricing per sub assy'!$D:$E,2,0))*U323</f>
        <v>1.85</v>
      </c>
      <c r="X323" s="18" t="s">
        <v>615</v>
      </c>
      <c r="Y323" s="18">
        <v>1</v>
      </c>
      <c r="Z323" s="18" t="s">
        <v>9</v>
      </c>
      <c r="AA323" s="18">
        <f>(VLOOKUP(X323,'[1]Simulation pricing per sub assy'!$D:$E,2,0))*Y323</f>
        <v>1.5769808000000001</v>
      </c>
    </row>
    <row r="324" spans="1:27" x14ac:dyDescent="0.35">
      <c r="A324" s="13" t="s">
        <v>563</v>
      </c>
      <c r="B324" s="13" t="s">
        <v>4081</v>
      </c>
      <c r="C324" s="42">
        <f t="shared" si="5"/>
        <v>112.57578079999999</v>
      </c>
      <c r="D324" s="14" t="s">
        <v>42</v>
      </c>
      <c r="E324" s="14">
        <v>1</v>
      </c>
      <c r="F324" s="14" t="s">
        <v>3982</v>
      </c>
      <c r="G324" s="14">
        <f>(VLOOKUP(D324,'[1]BOM Info General'!$A:$L,12,0))*E324</f>
        <v>35.56</v>
      </c>
      <c r="H324" s="15" t="s">
        <v>39</v>
      </c>
      <c r="I324" s="15">
        <v>1</v>
      </c>
      <c r="J324" s="15" t="s">
        <v>46</v>
      </c>
      <c r="K324" s="15">
        <f>(VLOOKUP(H324,'[1]BOM Info General'!$A:$L,12,0))*I324</f>
        <v>24.42</v>
      </c>
      <c r="L324" s="9" t="s">
        <v>54</v>
      </c>
      <c r="M324" s="9">
        <v>1</v>
      </c>
      <c r="N324" s="9" t="s">
        <v>53</v>
      </c>
      <c r="O324" s="9">
        <f>(VLOOKUP(L324,'[1]Simulation pricing per sub assy'!$D:$E,2,0))*M324</f>
        <v>43.868799999999993</v>
      </c>
      <c r="P324" s="16" t="s">
        <v>50</v>
      </c>
      <c r="Q324" s="16">
        <v>2</v>
      </c>
      <c r="R324" s="16" t="s">
        <v>611</v>
      </c>
      <c r="S324" s="40">
        <f>(VLOOKUP(P324,'[1]BOM Info General'!$A:$L,12,0))*Q324</f>
        <v>5.3</v>
      </c>
      <c r="T324" s="17" t="s">
        <v>7</v>
      </c>
      <c r="U324" s="17">
        <v>1</v>
      </c>
      <c r="V324" s="17" t="s">
        <v>8</v>
      </c>
      <c r="W324" s="17">
        <f>(VLOOKUP(T324,'[1]Simulation pricing per sub assy'!$D:$E,2,0))*U324</f>
        <v>1.85</v>
      </c>
      <c r="X324" s="18" t="s">
        <v>615</v>
      </c>
      <c r="Y324" s="18">
        <v>1</v>
      </c>
      <c r="Z324" s="18" t="s">
        <v>9</v>
      </c>
      <c r="AA324" s="18">
        <f>(VLOOKUP(X324,'[1]Simulation pricing per sub assy'!$D:$E,2,0))*Y324</f>
        <v>1.5769808000000001</v>
      </c>
    </row>
    <row r="325" spans="1:27" x14ac:dyDescent="0.35">
      <c r="A325" s="13" t="s">
        <v>562</v>
      </c>
      <c r="B325" s="13" t="s">
        <v>4082</v>
      </c>
      <c r="C325" s="42">
        <f t="shared" si="5"/>
        <v>112.31578079999998</v>
      </c>
      <c r="D325" s="14" t="s">
        <v>42</v>
      </c>
      <c r="E325" s="14">
        <v>1</v>
      </c>
      <c r="F325" s="14" t="s">
        <v>3982</v>
      </c>
      <c r="G325" s="14">
        <f>(VLOOKUP(D325,'[1]BOM Info General'!$A:$L,12,0))*E325</f>
        <v>35.56</v>
      </c>
      <c r="H325" s="15" t="s">
        <v>39</v>
      </c>
      <c r="I325" s="15">
        <v>1</v>
      </c>
      <c r="J325" s="15" t="s">
        <v>46</v>
      </c>
      <c r="K325" s="15">
        <f>(VLOOKUP(H325,'[1]BOM Info General'!$A:$L,12,0))*I325</f>
        <v>24.42</v>
      </c>
      <c r="L325" s="9" t="s">
        <v>60</v>
      </c>
      <c r="M325" s="9">
        <v>1</v>
      </c>
      <c r="N325" s="9" t="s">
        <v>57</v>
      </c>
      <c r="O325" s="9">
        <f>(VLOOKUP(L325,'[1]Simulation pricing per sub assy'!$D:$E,2,0))*M325</f>
        <v>43.608799999999988</v>
      </c>
      <c r="P325" s="16" t="s">
        <v>50</v>
      </c>
      <c r="Q325" s="16">
        <v>2</v>
      </c>
      <c r="R325" s="16" t="s">
        <v>611</v>
      </c>
      <c r="S325" s="40">
        <f>(VLOOKUP(P325,'[1]BOM Info General'!$A:$L,12,0))*Q325</f>
        <v>5.3</v>
      </c>
      <c r="T325" s="17" t="s">
        <v>7</v>
      </c>
      <c r="U325" s="17">
        <v>1</v>
      </c>
      <c r="V325" s="17" t="s">
        <v>8</v>
      </c>
      <c r="W325" s="17">
        <f>(VLOOKUP(T325,'[1]Simulation pricing per sub assy'!$D:$E,2,0))*U325</f>
        <v>1.85</v>
      </c>
      <c r="X325" s="18" t="s">
        <v>615</v>
      </c>
      <c r="Y325" s="18">
        <v>1</v>
      </c>
      <c r="Z325" s="18" t="s">
        <v>9</v>
      </c>
      <c r="AA325" s="18">
        <f>(VLOOKUP(X325,'[1]Simulation pricing per sub assy'!$D:$E,2,0))*Y325</f>
        <v>1.5769808000000001</v>
      </c>
    </row>
    <row r="326" spans="1:27" x14ac:dyDescent="0.35">
      <c r="A326" s="13" t="s">
        <v>564</v>
      </c>
      <c r="B326" s="13" t="s">
        <v>4083</v>
      </c>
      <c r="C326" s="42">
        <f t="shared" si="5"/>
        <v>119.98578079999999</v>
      </c>
      <c r="D326" s="14" t="s">
        <v>42</v>
      </c>
      <c r="E326" s="14">
        <v>1</v>
      </c>
      <c r="F326" s="14" t="s">
        <v>3982</v>
      </c>
      <c r="G326" s="14">
        <f>(VLOOKUP(D326,'[1]BOM Info General'!$A:$L,12,0))*E326</f>
        <v>35.56</v>
      </c>
      <c r="H326" s="15" t="s">
        <v>39</v>
      </c>
      <c r="I326" s="15">
        <v>1</v>
      </c>
      <c r="J326" s="15" t="s">
        <v>46</v>
      </c>
      <c r="K326" s="15">
        <f>(VLOOKUP(H326,'[1]BOM Info General'!$A:$L,12,0))*I326</f>
        <v>24.42</v>
      </c>
      <c r="L326" s="9" t="s">
        <v>56</v>
      </c>
      <c r="M326" s="9">
        <v>1</v>
      </c>
      <c r="N326" s="9" t="s">
        <v>59</v>
      </c>
      <c r="O326" s="9">
        <f>(VLOOKUP(L326,'[1]Simulation pricing per sub assy'!$D:$E,2,0))*M326</f>
        <v>51.27879999999999</v>
      </c>
      <c r="P326" s="16" t="s">
        <v>50</v>
      </c>
      <c r="Q326" s="16">
        <v>2</v>
      </c>
      <c r="R326" s="16" t="s">
        <v>611</v>
      </c>
      <c r="S326" s="40">
        <f>(VLOOKUP(P326,'[1]BOM Info General'!$A:$L,12,0))*Q326</f>
        <v>5.3</v>
      </c>
      <c r="T326" s="17" t="s">
        <v>7</v>
      </c>
      <c r="U326" s="17">
        <v>1</v>
      </c>
      <c r="V326" s="17" t="s">
        <v>8</v>
      </c>
      <c r="W326" s="17">
        <f>(VLOOKUP(T326,'[1]Simulation pricing per sub assy'!$D:$E,2,0))*U326</f>
        <v>1.85</v>
      </c>
      <c r="X326" s="18" t="s">
        <v>615</v>
      </c>
      <c r="Y326" s="18">
        <v>1</v>
      </c>
      <c r="Z326" s="18" t="s">
        <v>9</v>
      </c>
      <c r="AA326" s="18">
        <f>(VLOOKUP(X326,'[1]Simulation pricing per sub assy'!$D:$E,2,0))*Y326</f>
        <v>1.5769808000000001</v>
      </c>
    </row>
    <row r="327" spans="1:27" x14ac:dyDescent="0.35">
      <c r="A327" s="13" t="s">
        <v>295</v>
      </c>
      <c r="B327" s="13" t="s">
        <v>4084</v>
      </c>
      <c r="C327" s="42">
        <f t="shared" si="5"/>
        <v>111.21578079999999</v>
      </c>
      <c r="D327" s="14" t="s">
        <v>42</v>
      </c>
      <c r="E327" s="14">
        <v>1</v>
      </c>
      <c r="F327" s="14" t="s">
        <v>3982</v>
      </c>
      <c r="G327" s="14">
        <f>(VLOOKUP(D327,'[1]BOM Info General'!$A:$L,12,0))*E327</f>
        <v>35.56</v>
      </c>
      <c r="H327" s="15" t="s">
        <v>39</v>
      </c>
      <c r="I327" s="15">
        <v>1</v>
      </c>
      <c r="J327" s="15" t="s">
        <v>46</v>
      </c>
      <c r="K327" s="15">
        <f>(VLOOKUP(H327,'[1]BOM Info General'!$A:$L,12,0))*I327</f>
        <v>24.42</v>
      </c>
      <c r="L327" s="9" t="s">
        <v>523</v>
      </c>
      <c r="M327" s="9">
        <v>1</v>
      </c>
      <c r="N327" s="9" t="s">
        <v>61</v>
      </c>
      <c r="O327" s="9">
        <f>(VLOOKUP(L327,'[1]Simulation pricing per sub assy'!$D:$E,2,0))*M327</f>
        <v>42.308799999999991</v>
      </c>
      <c r="P327" s="16" t="s">
        <v>50</v>
      </c>
      <c r="Q327" s="16">
        <v>2</v>
      </c>
      <c r="R327" s="16" t="s">
        <v>16</v>
      </c>
      <c r="S327" s="40">
        <f>(VLOOKUP(P327,'[1]BOM Info General'!$A:$L,12,0))*Q327</f>
        <v>5.3</v>
      </c>
      <c r="T327" s="17" t="s">
        <v>10</v>
      </c>
      <c r="U327" s="17">
        <v>1</v>
      </c>
      <c r="V327" s="17" t="s">
        <v>11</v>
      </c>
      <c r="W327" s="17">
        <f>(VLOOKUP(T327,'[1]Simulation pricing per sub assy'!$D:$E,2,0))*U327</f>
        <v>2.0499999999999998</v>
      </c>
      <c r="X327" s="18" t="s">
        <v>615</v>
      </c>
      <c r="Y327" s="18">
        <v>1</v>
      </c>
      <c r="Z327" s="18" t="s">
        <v>9</v>
      </c>
      <c r="AA327" s="18">
        <f>(VLOOKUP(X327,'[1]Simulation pricing per sub assy'!$D:$E,2,0))*Y327</f>
        <v>1.5769808000000001</v>
      </c>
    </row>
    <row r="328" spans="1:27" x14ac:dyDescent="0.35">
      <c r="A328" s="13" t="s">
        <v>151</v>
      </c>
      <c r="B328" s="13" t="s">
        <v>4085</v>
      </c>
      <c r="C328" s="42">
        <f t="shared" si="5"/>
        <v>112.19578079999999</v>
      </c>
      <c r="D328" s="14" t="s">
        <v>42</v>
      </c>
      <c r="E328" s="14">
        <v>1</v>
      </c>
      <c r="F328" s="14" t="s">
        <v>3982</v>
      </c>
      <c r="G328" s="14">
        <f>(VLOOKUP(D328,'[1]BOM Info General'!$A:$L,12,0))*E328</f>
        <v>35.56</v>
      </c>
      <c r="H328" s="15" t="s">
        <v>39</v>
      </c>
      <c r="I328" s="15">
        <v>1</v>
      </c>
      <c r="J328" s="15" t="s">
        <v>46</v>
      </c>
      <c r="K328" s="15">
        <f>(VLOOKUP(H328,'[1]BOM Info General'!$A:$L,12,0))*I328</f>
        <v>24.42</v>
      </c>
      <c r="L328" s="9" t="s">
        <v>58</v>
      </c>
      <c r="M328" s="9">
        <v>1</v>
      </c>
      <c r="N328" s="9" t="s">
        <v>55</v>
      </c>
      <c r="O328" s="9">
        <f>(VLOOKUP(L328,'[1]Simulation pricing per sub assy'!$D:$E,2,0))*M328</f>
        <v>43.288799999999988</v>
      </c>
      <c r="P328" s="16" t="s">
        <v>50</v>
      </c>
      <c r="Q328" s="16">
        <v>2</v>
      </c>
      <c r="R328" s="16" t="s">
        <v>16</v>
      </c>
      <c r="S328" s="40">
        <f>(VLOOKUP(P328,'[1]BOM Info General'!$A:$L,12,0))*Q328</f>
        <v>5.3</v>
      </c>
      <c r="T328" s="17" t="s">
        <v>10</v>
      </c>
      <c r="U328" s="17">
        <v>1</v>
      </c>
      <c r="V328" s="17" t="s">
        <v>11</v>
      </c>
      <c r="W328" s="17">
        <f>(VLOOKUP(T328,'[1]Simulation pricing per sub assy'!$D:$E,2,0))*U328</f>
        <v>2.0499999999999998</v>
      </c>
      <c r="X328" s="18" t="s">
        <v>615</v>
      </c>
      <c r="Y328" s="18">
        <v>1</v>
      </c>
      <c r="Z328" s="18" t="s">
        <v>9</v>
      </c>
      <c r="AA328" s="18">
        <f>(VLOOKUP(X328,'[1]Simulation pricing per sub assy'!$D:$E,2,0))*Y328</f>
        <v>1.5769808000000001</v>
      </c>
    </row>
    <row r="329" spans="1:27" x14ac:dyDescent="0.35">
      <c r="A329" s="13" t="s">
        <v>223</v>
      </c>
      <c r="B329" s="13" t="s">
        <v>4086</v>
      </c>
      <c r="C329" s="42">
        <f t="shared" si="5"/>
        <v>112.77578079999999</v>
      </c>
      <c r="D329" s="14" t="s">
        <v>42</v>
      </c>
      <c r="E329" s="14">
        <v>1</v>
      </c>
      <c r="F329" s="14" t="s">
        <v>3982</v>
      </c>
      <c r="G329" s="14">
        <f>(VLOOKUP(D329,'[1]BOM Info General'!$A:$L,12,0))*E329</f>
        <v>35.56</v>
      </c>
      <c r="H329" s="15" t="s">
        <v>39</v>
      </c>
      <c r="I329" s="15">
        <v>1</v>
      </c>
      <c r="J329" s="15" t="s">
        <v>46</v>
      </c>
      <c r="K329" s="15">
        <f>(VLOOKUP(H329,'[1]BOM Info General'!$A:$L,12,0))*I329</f>
        <v>24.42</v>
      </c>
      <c r="L329" s="9" t="s">
        <v>54</v>
      </c>
      <c r="M329" s="9">
        <v>1</v>
      </c>
      <c r="N329" s="9" t="s">
        <v>53</v>
      </c>
      <c r="O329" s="9">
        <f>(VLOOKUP(L329,'[1]Simulation pricing per sub assy'!$D:$E,2,0))*M329</f>
        <v>43.868799999999993</v>
      </c>
      <c r="P329" s="16" t="s">
        <v>50</v>
      </c>
      <c r="Q329" s="16">
        <v>2</v>
      </c>
      <c r="R329" s="16" t="s">
        <v>16</v>
      </c>
      <c r="S329" s="40">
        <f>(VLOOKUP(P329,'[1]BOM Info General'!$A:$L,12,0))*Q329</f>
        <v>5.3</v>
      </c>
      <c r="T329" s="17" t="s">
        <v>10</v>
      </c>
      <c r="U329" s="17">
        <v>1</v>
      </c>
      <c r="V329" s="17" t="s">
        <v>11</v>
      </c>
      <c r="W329" s="17">
        <f>(VLOOKUP(T329,'[1]Simulation pricing per sub assy'!$D:$E,2,0))*U329</f>
        <v>2.0499999999999998</v>
      </c>
      <c r="X329" s="18" t="s">
        <v>615</v>
      </c>
      <c r="Y329" s="18">
        <v>1</v>
      </c>
      <c r="Z329" s="18" t="s">
        <v>9</v>
      </c>
      <c r="AA329" s="18">
        <f>(VLOOKUP(X329,'[1]Simulation pricing per sub assy'!$D:$E,2,0))*Y329</f>
        <v>1.5769808000000001</v>
      </c>
    </row>
    <row r="330" spans="1:27" x14ac:dyDescent="0.35">
      <c r="A330" s="13" t="s">
        <v>187</v>
      </c>
      <c r="B330" s="13" t="s">
        <v>4087</v>
      </c>
      <c r="C330" s="42">
        <f t="shared" si="5"/>
        <v>112.51578079999999</v>
      </c>
      <c r="D330" s="14" t="s">
        <v>42</v>
      </c>
      <c r="E330" s="14">
        <v>1</v>
      </c>
      <c r="F330" s="14" t="s">
        <v>3982</v>
      </c>
      <c r="G330" s="14">
        <f>(VLOOKUP(D330,'[1]BOM Info General'!$A:$L,12,0))*E330</f>
        <v>35.56</v>
      </c>
      <c r="H330" s="15" t="s">
        <v>39</v>
      </c>
      <c r="I330" s="15">
        <v>1</v>
      </c>
      <c r="J330" s="15" t="s">
        <v>46</v>
      </c>
      <c r="K330" s="15">
        <f>(VLOOKUP(H330,'[1]BOM Info General'!$A:$L,12,0))*I330</f>
        <v>24.42</v>
      </c>
      <c r="L330" s="9" t="s">
        <v>60</v>
      </c>
      <c r="M330" s="9">
        <v>1</v>
      </c>
      <c r="N330" s="9" t="s">
        <v>57</v>
      </c>
      <c r="O330" s="9">
        <f>(VLOOKUP(L330,'[1]Simulation pricing per sub assy'!$D:$E,2,0))*M330</f>
        <v>43.608799999999988</v>
      </c>
      <c r="P330" s="16" t="s">
        <v>50</v>
      </c>
      <c r="Q330" s="16">
        <v>2</v>
      </c>
      <c r="R330" s="16" t="s">
        <v>16</v>
      </c>
      <c r="S330" s="40">
        <f>(VLOOKUP(P330,'[1]BOM Info General'!$A:$L,12,0))*Q330</f>
        <v>5.3</v>
      </c>
      <c r="T330" s="17" t="s">
        <v>10</v>
      </c>
      <c r="U330" s="17">
        <v>1</v>
      </c>
      <c r="V330" s="17" t="s">
        <v>11</v>
      </c>
      <c r="W330" s="17">
        <f>(VLOOKUP(T330,'[1]Simulation pricing per sub assy'!$D:$E,2,0))*U330</f>
        <v>2.0499999999999998</v>
      </c>
      <c r="X330" s="18" t="s">
        <v>615</v>
      </c>
      <c r="Y330" s="18">
        <v>1</v>
      </c>
      <c r="Z330" s="18" t="s">
        <v>9</v>
      </c>
      <c r="AA330" s="18">
        <f>(VLOOKUP(X330,'[1]Simulation pricing per sub assy'!$D:$E,2,0))*Y330</f>
        <v>1.5769808000000001</v>
      </c>
    </row>
    <row r="331" spans="1:27" x14ac:dyDescent="0.35">
      <c r="A331" s="13" t="s">
        <v>259</v>
      </c>
      <c r="B331" s="13" t="s">
        <v>4088</v>
      </c>
      <c r="C331" s="42">
        <f t="shared" si="5"/>
        <v>120.18578079999999</v>
      </c>
      <c r="D331" s="14" t="s">
        <v>42</v>
      </c>
      <c r="E331" s="14">
        <v>1</v>
      </c>
      <c r="F331" s="14" t="s">
        <v>3982</v>
      </c>
      <c r="G331" s="14">
        <f>(VLOOKUP(D331,'[1]BOM Info General'!$A:$L,12,0))*E331</f>
        <v>35.56</v>
      </c>
      <c r="H331" s="15" t="s">
        <v>39</v>
      </c>
      <c r="I331" s="15">
        <v>1</v>
      </c>
      <c r="J331" s="15" t="s">
        <v>46</v>
      </c>
      <c r="K331" s="15">
        <f>(VLOOKUP(H331,'[1]BOM Info General'!$A:$L,12,0))*I331</f>
        <v>24.42</v>
      </c>
      <c r="L331" s="9" t="s">
        <v>56</v>
      </c>
      <c r="M331" s="9">
        <v>1</v>
      </c>
      <c r="N331" s="9" t="s">
        <v>59</v>
      </c>
      <c r="O331" s="9">
        <f>(VLOOKUP(L331,'[1]Simulation pricing per sub assy'!$D:$E,2,0))*M331</f>
        <v>51.27879999999999</v>
      </c>
      <c r="P331" s="16" t="s">
        <v>50</v>
      </c>
      <c r="Q331" s="16">
        <v>2</v>
      </c>
      <c r="R331" s="16" t="s">
        <v>16</v>
      </c>
      <c r="S331" s="40">
        <f>(VLOOKUP(P331,'[1]BOM Info General'!$A:$L,12,0))*Q331</f>
        <v>5.3</v>
      </c>
      <c r="T331" s="17" t="s">
        <v>10</v>
      </c>
      <c r="U331" s="17">
        <v>1</v>
      </c>
      <c r="V331" s="17" t="s">
        <v>11</v>
      </c>
      <c r="W331" s="17">
        <f>(VLOOKUP(T331,'[1]Simulation pricing per sub assy'!$D:$E,2,0))*U331</f>
        <v>2.0499999999999998</v>
      </c>
      <c r="X331" s="18" t="s">
        <v>615</v>
      </c>
      <c r="Y331" s="18">
        <v>1</v>
      </c>
      <c r="Z331" s="18" t="s">
        <v>9</v>
      </c>
      <c r="AA331" s="18">
        <f>(VLOOKUP(X331,'[1]Simulation pricing per sub assy'!$D:$E,2,0))*Y331</f>
        <v>1.5769808000000001</v>
      </c>
    </row>
    <row r="332" spans="1:27" x14ac:dyDescent="0.35">
      <c r="A332" s="13" t="s">
        <v>296</v>
      </c>
      <c r="B332" s="13" t="s">
        <v>4089</v>
      </c>
      <c r="C332" s="42">
        <f t="shared" si="5"/>
        <v>111.0657808</v>
      </c>
      <c r="D332" s="14" t="s">
        <v>42</v>
      </c>
      <c r="E332" s="14">
        <v>1</v>
      </c>
      <c r="F332" s="14" t="s">
        <v>3982</v>
      </c>
      <c r="G332" s="14">
        <f>(VLOOKUP(D332,'[1]BOM Info General'!$A:$L,12,0))*E332</f>
        <v>35.56</v>
      </c>
      <c r="H332" s="15" t="s">
        <v>39</v>
      </c>
      <c r="I332" s="15">
        <v>1</v>
      </c>
      <c r="J332" s="15" t="s">
        <v>46</v>
      </c>
      <c r="K332" s="15">
        <f>(VLOOKUP(H332,'[1]BOM Info General'!$A:$L,12,0))*I332</f>
        <v>24.42</v>
      </c>
      <c r="L332" s="9" t="s">
        <v>523</v>
      </c>
      <c r="M332" s="9">
        <v>1</v>
      </c>
      <c r="N332" s="9" t="s">
        <v>61</v>
      </c>
      <c r="O332" s="9">
        <f>(VLOOKUP(L332,'[1]Simulation pricing per sub assy'!$D:$E,2,0))*M332</f>
        <v>42.308799999999991</v>
      </c>
      <c r="P332" s="16" t="s">
        <v>50</v>
      </c>
      <c r="Q332" s="16">
        <v>2</v>
      </c>
      <c r="R332" s="16" t="s">
        <v>16</v>
      </c>
      <c r="S332" s="40">
        <f>(VLOOKUP(P332,'[1]BOM Info General'!$A:$L,12,0))*Q332</f>
        <v>5.3</v>
      </c>
      <c r="T332" s="17" t="s">
        <v>12</v>
      </c>
      <c r="U332" s="17">
        <v>1</v>
      </c>
      <c r="V332" s="17" t="s">
        <v>13</v>
      </c>
      <c r="W332" s="17">
        <f>(VLOOKUP(T332,'[1]Simulation pricing per sub assy'!$D:$E,2,0))*U332</f>
        <v>1.9</v>
      </c>
      <c r="X332" s="18" t="s">
        <v>615</v>
      </c>
      <c r="Y332" s="18">
        <v>1</v>
      </c>
      <c r="Z332" s="18" t="s">
        <v>9</v>
      </c>
      <c r="AA332" s="18">
        <f>(VLOOKUP(X332,'[1]Simulation pricing per sub assy'!$D:$E,2,0))*Y332</f>
        <v>1.5769808000000001</v>
      </c>
    </row>
    <row r="333" spans="1:27" x14ac:dyDescent="0.35">
      <c r="A333" s="13" t="s">
        <v>152</v>
      </c>
      <c r="B333" s="13" t="s">
        <v>4090</v>
      </c>
      <c r="C333" s="42">
        <f t="shared" si="5"/>
        <v>112.0457808</v>
      </c>
      <c r="D333" s="14" t="s">
        <v>42</v>
      </c>
      <c r="E333" s="14">
        <v>1</v>
      </c>
      <c r="F333" s="14" t="s">
        <v>3982</v>
      </c>
      <c r="G333" s="14">
        <f>(VLOOKUP(D333,'[1]BOM Info General'!$A:$L,12,0))*E333</f>
        <v>35.56</v>
      </c>
      <c r="H333" s="15" t="s">
        <v>39</v>
      </c>
      <c r="I333" s="15">
        <v>1</v>
      </c>
      <c r="J333" s="15" t="s">
        <v>46</v>
      </c>
      <c r="K333" s="15">
        <f>(VLOOKUP(H333,'[1]BOM Info General'!$A:$L,12,0))*I333</f>
        <v>24.42</v>
      </c>
      <c r="L333" s="9" t="s">
        <v>58</v>
      </c>
      <c r="M333" s="9">
        <v>1</v>
      </c>
      <c r="N333" s="9" t="s">
        <v>55</v>
      </c>
      <c r="O333" s="9">
        <f>(VLOOKUP(L333,'[1]Simulation pricing per sub assy'!$D:$E,2,0))*M333</f>
        <v>43.288799999999988</v>
      </c>
      <c r="P333" s="16" t="s">
        <v>50</v>
      </c>
      <c r="Q333" s="16">
        <v>2</v>
      </c>
      <c r="R333" s="16" t="s">
        <v>16</v>
      </c>
      <c r="S333" s="40">
        <f>(VLOOKUP(P333,'[1]BOM Info General'!$A:$L,12,0))*Q333</f>
        <v>5.3</v>
      </c>
      <c r="T333" s="17" t="s">
        <v>12</v>
      </c>
      <c r="U333" s="17">
        <v>1</v>
      </c>
      <c r="V333" s="17" t="s">
        <v>13</v>
      </c>
      <c r="W333" s="17">
        <f>(VLOOKUP(T333,'[1]Simulation pricing per sub assy'!$D:$E,2,0))*U333</f>
        <v>1.9</v>
      </c>
      <c r="X333" s="18" t="s">
        <v>615</v>
      </c>
      <c r="Y333" s="18">
        <v>1</v>
      </c>
      <c r="Z333" s="18" t="s">
        <v>9</v>
      </c>
      <c r="AA333" s="18">
        <f>(VLOOKUP(X333,'[1]Simulation pricing per sub assy'!$D:$E,2,0))*Y333</f>
        <v>1.5769808000000001</v>
      </c>
    </row>
    <row r="334" spans="1:27" x14ac:dyDescent="0.35">
      <c r="A334" s="13" t="s">
        <v>224</v>
      </c>
      <c r="B334" s="13" t="s">
        <v>4091</v>
      </c>
      <c r="C334" s="42">
        <f t="shared" si="5"/>
        <v>112.6257808</v>
      </c>
      <c r="D334" s="14" t="s">
        <v>42</v>
      </c>
      <c r="E334" s="14">
        <v>1</v>
      </c>
      <c r="F334" s="14" t="s">
        <v>3982</v>
      </c>
      <c r="G334" s="14">
        <f>(VLOOKUP(D334,'[1]BOM Info General'!$A:$L,12,0))*E334</f>
        <v>35.56</v>
      </c>
      <c r="H334" s="15" t="s">
        <v>39</v>
      </c>
      <c r="I334" s="15">
        <v>1</v>
      </c>
      <c r="J334" s="15" t="s">
        <v>46</v>
      </c>
      <c r="K334" s="15">
        <f>(VLOOKUP(H334,'[1]BOM Info General'!$A:$L,12,0))*I334</f>
        <v>24.42</v>
      </c>
      <c r="L334" s="9" t="s">
        <v>54</v>
      </c>
      <c r="M334" s="9">
        <v>1</v>
      </c>
      <c r="N334" s="9" t="s">
        <v>53</v>
      </c>
      <c r="O334" s="9">
        <f>(VLOOKUP(L334,'[1]Simulation pricing per sub assy'!$D:$E,2,0))*M334</f>
        <v>43.868799999999993</v>
      </c>
      <c r="P334" s="16" t="s">
        <v>50</v>
      </c>
      <c r="Q334" s="16">
        <v>2</v>
      </c>
      <c r="R334" s="16" t="s">
        <v>16</v>
      </c>
      <c r="S334" s="40">
        <f>(VLOOKUP(P334,'[1]BOM Info General'!$A:$L,12,0))*Q334</f>
        <v>5.3</v>
      </c>
      <c r="T334" s="17" t="s">
        <v>12</v>
      </c>
      <c r="U334" s="17">
        <v>1</v>
      </c>
      <c r="V334" s="17" t="s">
        <v>13</v>
      </c>
      <c r="W334" s="17">
        <f>(VLOOKUP(T334,'[1]Simulation pricing per sub assy'!$D:$E,2,0))*U334</f>
        <v>1.9</v>
      </c>
      <c r="X334" s="18" t="s">
        <v>615</v>
      </c>
      <c r="Y334" s="18">
        <v>1</v>
      </c>
      <c r="Z334" s="18" t="s">
        <v>9</v>
      </c>
      <c r="AA334" s="18">
        <f>(VLOOKUP(X334,'[1]Simulation pricing per sub assy'!$D:$E,2,0))*Y334</f>
        <v>1.5769808000000001</v>
      </c>
    </row>
    <row r="335" spans="1:27" x14ac:dyDescent="0.35">
      <c r="A335" s="13" t="s">
        <v>188</v>
      </c>
      <c r="B335" s="13" t="s">
        <v>4092</v>
      </c>
      <c r="C335" s="42">
        <f t="shared" si="5"/>
        <v>112.3657808</v>
      </c>
      <c r="D335" s="14" t="s">
        <v>42</v>
      </c>
      <c r="E335" s="14">
        <v>1</v>
      </c>
      <c r="F335" s="14" t="s">
        <v>3982</v>
      </c>
      <c r="G335" s="14">
        <f>(VLOOKUP(D335,'[1]BOM Info General'!$A:$L,12,0))*E335</f>
        <v>35.56</v>
      </c>
      <c r="H335" s="15" t="s">
        <v>39</v>
      </c>
      <c r="I335" s="15">
        <v>1</v>
      </c>
      <c r="J335" s="15" t="s">
        <v>46</v>
      </c>
      <c r="K335" s="15">
        <f>(VLOOKUP(H335,'[1]BOM Info General'!$A:$L,12,0))*I335</f>
        <v>24.42</v>
      </c>
      <c r="L335" s="9" t="s">
        <v>60</v>
      </c>
      <c r="M335" s="9">
        <v>1</v>
      </c>
      <c r="N335" s="9" t="s">
        <v>57</v>
      </c>
      <c r="O335" s="9">
        <f>(VLOOKUP(L335,'[1]Simulation pricing per sub assy'!$D:$E,2,0))*M335</f>
        <v>43.608799999999988</v>
      </c>
      <c r="P335" s="16" t="s">
        <v>50</v>
      </c>
      <c r="Q335" s="16">
        <v>2</v>
      </c>
      <c r="R335" s="16" t="s">
        <v>16</v>
      </c>
      <c r="S335" s="40">
        <f>(VLOOKUP(P335,'[1]BOM Info General'!$A:$L,12,0))*Q335</f>
        <v>5.3</v>
      </c>
      <c r="T335" s="17" t="s">
        <v>12</v>
      </c>
      <c r="U335" s="17">
        <v>1</v>
      </c>
      <c r="V335" s="17" t="s">
        <v>13</v>
      </c>
      <c r="W335" s="17">
        <f>(VLOOKUP(T335,'[1]Simulation pricing per sub assy'!$D:$E,2,0))*U335</f>
        <v>1.9</v>
      </c>
      <c r="X335" s="18" t="s">
        <v>615</v>
      </c>
      <c r="Y335" s="18">
        <v>1</v>
      </c>
      <c r="Z335" s="18" t="s">
        <v>9</v>
      </c>
      <c r="AA335" s="18">
        <f>(VLOOKUP(X335,'[1]Simulation pricing per sub assy'!$D:$E,2,0))*Y335</f>
        <v>1.5769808000000001</v>
      </c>
    </row>
    <row r="336" spans="1:27" x14ac:dyDescent="0.35">
      <c r="A336" s="13" t="s">
        <v>260</v>
      </c>
      <c r="B336" s="13" t="s">
        <v>4093</v>
      </c>
      <c r="C336" s="42">
        <f t="shared" si="5"/>
        <v>120.0357808</v>
      </c>
      <c r="D336" s="14" t="s">
        <v>42</v>
      </c>
      <c r="E336" s="14">
        <v>1</v>
      </c>
      <c r="F336" s="14" t="s">
        <v>3982</v>
      </c>
      <c r="G336" s="14">
        <f>(VLOOKUP(D336,'[1]BOM Info General'!$A:$L,12,0))*E336</f>
        <v>35.56</v>
      </c>
      <c r="H336" s="15" t="s">
        <v>39</v>
      </c>
      <c r="I336" s="15">
        <v>1</v>
      </c>
      <c r="J336" s="15" t="s">
        <v>46</v>
      </c>
      <c r="K336" s="15">
        <f>(VLOOKUP(H336,'[1]BOM Info General'!$A:$L,12,0))*I336</f>
        <v>24.42</v>
      </c>
      <c r="L336" s="9" t="s">
        <v>56</v>
      </c>
      <c r="M336" s="9">
        <v>1</v>
      </c>
      <c r="N336" s="9" t="s">
        <v>59</v>
      </c>
      <c r="O336" s="9">
        <f>(VLOOKUP(L336,'[1]Simulation pricing per sub assy'!$D:$E,2,0))*M336</f>
        <v>51.27879999999999</v>
      </c>
      <c r="P336" s="16" t="s">
        <v>50</v>
      </c>
      <c r="Q336" s="16">
        <v>2</v>
      </c>
      <c r="R336" s="16" t="s">
        <v>16</v>
      </c>
      <c r="S336" s="40">
        <f>(VLOOKUP(P336,'[1]BOM Info General'!$A:$L,12,0))*Q336</f>
        <v>5.3</v>
      </c>
      <c r="T336" s="17" t="s">
        <v>12</v>
      </c>
      <c r="U336" s="17">
        <v>1</v>
      </c>
      <c r="V336" s="17" t="s">
        <v>13</v>
      </c>
      <c r="W336" s="17">
        <f>(VLOOKUP(T336,'[1]Simulation pricing per sub assy'!$D:$E,2,0))*U336</f>
        <v>1.9</v>
      </c>
      <c r="X336" s="18" t="s">
        <v>615</v>
      </c>
      <c r="Y336" s="18">
        <v>1</v>
      </c>
      <c r="Z336" s="18" t="s">
        <v>9</v>
      </c>
      <c r="AA336" s="18">
        <f>(VLOOKUP(X336,'[1]Simulation pricing per sub assy'!$D:$E,2,0))*Y336</f>
        <v>1.5769808000000001</v>
      </c>
    </row>
    <row r="337" spans="1:27" x14ac:dyDescent="0.35">
      <c r="A337" s="13" t="s">
        <v>297</v>
      </c>
      <c r="B337" s="13" t="s">
        <v>4094</v>
      </c>
      <c r="C337" s="42">
        <f t="shared" si="5"/>
        <v>111.0657808</v>
      </c>
      <c r="D337" s="14" t="s">
        <v>42</v>
      </c>
      <c r="E337" s="14">
        <v>1</v>
      </c>
      <c r="F337" s="14" t="s">
        <v>3982</v>
      </c>
      <c r="G337" s="14">
        <f>(VLOOKUP(D337,'[1]BOM Info General'!$A:$L,12,0))*E337</f>
        <v>35.56</v>
      </c>
      <c r="H337" s="15" t="s">
        <v>39</v>
      </c>
      <c r="I337" s="15">
        <v>1</v>
      </c>
      <c r="J337" s="15" t="s">
        <v>46</v>
      </c>
      <c r="K337" s="15">
        <f>(VLOOKUP(H337,'[1]BOM Info General'!$A:$L,12,0))*I337</f>
        <v>24.42</v>
      </c>
      <c r="L337" s="9" t="s">
        <v>523</v>
      </c>
      <c r="M337" s="9">
        <v>1</v>
      </c>
      <c r="N337" s="9" t="s">
        <v>61</v>
      </c>
      <c r="O337" s="9">
        <f>(VLOOKUP(L337,'[1]Simulation pricing per sub assy'!$D:$E,2,0))*M337</f>
        <v>42.308799999999991</v>
      </c>
      <c r="P337" s="16" t="s">
        <v>50</v>
      </c>
      <c r="Q337" s="16">
        <v>2</v>
      </c>
      <c r="R337" s="16" t="s">
        <v>16</v>
      </c>
      <c r="S337" s="40">
        <f>(VLOOKUP(P337,'[1]BOM Info General'!$A:$L,12,0))*Q337</f>
        <v>5.3</v>
      </c>
      <c r="T337" s="17" t="s">
        <v>14</v>
      </c>
      <c r="U337" s="17">
        <v>1</v>
      </c>
      <c r="V337" s="17" t="s">
        <v>15</v>
      </c>
      <c r="W337" s="17">
        <f>(VLOOKUP(T337,'[1]Simulation pricing per sub assy'!$D:$E,2,0))*U337</f>
        <v>1.9</v>
      </c>
      <c r="X337" s="18" t="s">
        <v>615</v>
      </c>
      <c r="Y337" s="18">
        <v>1</v>
      </c>
      <c r="Z337" s="18" t="s">
        <v>9</v>
      </c>
      <c r="AA337" s="18">
        <f>(VLOOKUP(X337,'[1]Simulation pricing per sub assy'!$D:$E,2,0))*Y337</f>
        <v>1.5769808000000001</v>
      </c>
    </row>
    <row r="338" spans="1:27" x14ac:dyDescent="0.35">
      <c r="A338" s="13" t="s">
        <v>153</v>
      </c>
      <c r="B338" s="13" t="s">
        <v>4095</v>
      </c>
      <c r="C338" s="42">
        <f t="shared" si="5"/>
        <v>112.0457808</v>
      </c>
      <c r="D338" s="14" t="s">
        <v>42</v>
      </c>
      <c r="E338" s="14">
        <v>1</v>
      </c>
      <c r="F338" s="14" t="s">
        <v>3982</v>
      </c>
      <c r="G338" s="14">
        <f>(VLOOKUP(D338,'[1]BOM Info General'!$A:$L,12,0))*E338</f>
        <v>35.56</v>
      </c>
      <c r="H338" s="15" t="s">
        <v>39</v>
      </c>
      <c r="I338" s="15">
        <v>1</v>
      </c>
      <c r="J338" s="15" t="s">
        <v>46</v>
      </c>
      <c r="K338" s="15">
        <f>(VLOOKUP(H338,'[1]BOM Info General'!$A:$L,12,0))*I338</f>
        <v>24.42</v>
      </c>
      <c r="L338" s="9" t="s">
        <v>58</v>
      </c>
      <c r="M338" s="9">
        <v>1</v>
      </c>
      <c r="N338" s="9" t="s">
        <v>55</v>
      </c>
      <c r="O338" s="9">
        <f>(VLOOKUP(L338,'[1]Simulation pricing per sub assy'!$D:$E,2,0))*M338</f>
        <v>43.288799999999988</v>
      </c>
      <c r="P338" s="16" t="s">
        <v>50</v>
      </c>
      <c r="Q338" s="16">
        <v>2</v>
      </c>
      <c r="R338" s="16" t="s">
        <v>16</v>
      </c>
      <c r="S338" s="40">
        <f>(VLOOKUP(P338,'[1]BOM Info General'!$A:$L,12,0))*Q338</f>
        <v>5.3</v>
      </c>
      <c r="T338" s="17" t="s">
        <v>14</v>
      </c>
      <c r="U338" s="17">
        <v>1</v>
      </c>
      <c r="V338" s="17" t="s">
        <v>15</v>
      </c>
      <c r="W338" s="17">
        <f>(VLOOKUP(T338,'[1]Simulation pricing per sub assy'!$D:$E,2,0))*U338</f>
        <v>1.9</v>
      </c>
      <c r="X338" s="18" t="s">
        <v>615</v>
      </c>
      <c r="Y338" s="18">
        <v>1</v>
      </c>
      <c r="Z338" s="18" t="s">
        <v>9</v>
      </c>
      <c r="AA338" s="18">
        <f>(VLOOKUP(X338,'[1]Simulation pricing per sub assy'!$D:$E,2,0))*Y338</f>
        <v>1.5769808000000001</v>
      </c>
    </row>
    <row r="339" spans="1:27" x14ac:dyDescent="0.35">
      <c r="A339" s="13" t="s">
        <v>225</v>
      </c>
      <c r="B339" s="13" t="s">
        <v>4096</v>
      </c>
      <c r="C339" s="42">
        <f t="shared" si="5"/>
        <v>112.6257808</v>
      </c>
      <c r="D339" s="14" t="s">
        <v>42</v>
      </c>
      <c r="E339" s="14">
        <v>1</v>
      </c>
      <c r="F339" s="14" t="s">
        <v>3982</v>
      </c>
      <c r="G339" s="14">
        <f>(VLOOKUP(D339,'[1]BOM Info General'!$A:$L,12,0))*E339</f>
        <v>35.56</v>
      </c>
      <c r="H339" s="15" t="s">
        <v>39</v>
      </c>
      <c r="I339" s="15">
        <v>1</v>
      </c>
      <c r="J339" s="15" t="s">
        <v>46</v>
      </c>
      <c r="K339" s="15">
        <f>(VLOOKUP(H339,'[1]BOM Info General'!$A:$L,12,0))*I339</f>
        <v>24.42</v>
      </c>
      <c r="L339" s="9" t="s">
        <v>54</v>
      </c>
      <c r="M339" s="9">
        <v>1</v>
      </c>
      <c r="N339" s="9" t="s">
        <v>53</v>
      </c>
      <c r="O339" s="9">
        <f>(VLOOKUP(L339,'[1]Simulation pricing per sub assy'!$D:$E,2,0))*M339</f>
        <v>43.868799999999993</v>
      </c>
      <c r="P339" s="16" t="s">
        <v>50</v>
      </c>
      <c r="Q339" s="16">
        <v>2</v>
      </c>
      <c r="R339" s="16" t="s">
        <v>16</v>
      </c>
      <c r="S339" s="40">
        <f>(VLOOKUP(P339,'[1]BOM Info General'!$A:$L,12,0))*Q339</f>
        <v>5.3</v>
      </c>
      <c r="T339" s="17" t="s">
        <v>14</v>
      </c>
      <c r="U339" s="17">
        <v>1</v>
      </c>
      <c r="V339" s="17" t="s">
        <v>15</v>
      </c>
      <c r="W339" s="17">
        <f>(VLOOKUP(T339,'[1]Simulation pricing per sub assy'!$D:$E,2,0))*U339</f>
        <v>1.9</v>
      </c>
      <c r="X339" s="18" t="s">
        <v>615</v>
      </c>
      <c r="Y339" s="18">
        <v>1</v>
      </c>
      <c r="Z339" s="18" t="s">
        <v>9</v>
      </c>
      <c r="AA339" s="18">
        <f>(VLOOKUP(X339,'[1]Simulation pricing per sub assy'!$D:$E,2,0))*Y339</f>
        <v>1.5769808000000001</v>
      </c>
    </row>
    <row r="340" spans="1:27" x14ac:dyDescent="0.35">
      <c r="A340" s="13" t="s">
        <v>189</v>
      </c>
      <c r="B340" s="13" t="s">
        <v>4097</v>
      </c>
      <c r="C340" s="42">
        <f t="shared" si="5"/>
        <v>112.3657808</v>
      </c>
      <c r="D340" s="14" t="s">
        <v>42</v>
      </c>
      <c r="E340" s="14">
        <v>1</v>
      </c>
      <c r="F340" s="14" t="s">
        <v>3982</v>
      </c>
      <c r="G340" s="14">
        <f>(VLOOKUP(D340,'[1]BOM Info General'!$A:$L,12,0))*E340</f>
        <v>35.56</v>
      </c>
      <c r="H340" s="15" t="s">
        <v>39</v>
      </c>
      <c r="I340" s="15">
        <v>1</v>
      </c>
      <c r="J340" s="15" t="s">
        <v>46</v>
      </c>
      <c r="K340" s="15">
        <f>(VLOOKUP(H340,'[1]BOM Info General'!$A:$L,12,0))*I340</f>
        <v>24.42</v>
      </c>
      <c r="L340" s="9" t="s">
        <v>60</v>
      </c>
      <c r="M340" s="9">
        <v>1</v>
      </c>
      <c r="N340" s="9" t="s">
        <v>57</v>
      </c>
      <c r="O340" s="9">
        <f>(VLOOKUP(L340,'[1]Simulation pricing per sub assy'!$D:$E,2,0))*M340</f>
        <v>43.608799999999988</v>
      </c>
      <c r="P340" s="16" t="s">
        <v>50</v>
      </c>
      <c r="Q340" s="16">
        <v>2</v>
      </c>
      <c r="R340" s="16" t="s">
        <v>16</v>
      </c>
      <c r="S340" s="40">
        <f>(VLOOKUP(P340,'[1]BOM Info General'!$A:$L,12,0))*Q340</f>
        <v>5.3</v>
      </c>
      <c r="T340" s="17" t="s">
        <v>14</v>
      </c>
      <c r="U340" s="17">
        <v>1</v>
      </c>
      <c r="V340" s="17" t="s">
        <v>15</v>
      </c>
      <c r="W340" s="17">
        <f>(VLOOKUP(T340,'[1]Simulation pricing per sub assy'!$D:$E,2,0))*U340</f>
        <v>1.9</v>
      </c>
      <c r="X340" s="18" t="s">
        <v>615</v>
      </c>
      <c r="Y340" s="18">
        <v>1</v>
      </c>
      <c r="Z340" s="18" t="s">
        <v>9</v>
      </c>
      <c r="AA340" s="18">
        <f>(VLOOKUP(X340,'[1]Simulation pricing per sub assy'!$D:$E,2,0))*Y340</f>
        <v>1.5769808000000001</v>
      </c>
    </row>
    <row r="341" spans="1:27" x14ac:dyDescent="0.35">
      <c r="A341" s="13" t="s">
        <v>261</v>
      </c>
      <c r="B341" s="13" t="s">
        <v>4098</v>
      </c>
      <c r="C341" s="42">
        <f t="shared" si="5"/>
        <v>120.0357808</v>
      </c>
      <c r="D341" s="14" t="s">
        <v>42</v>
      </c>
      <c r="E341" s="14">
        <v>1</v>
      </c>
      <c r="F341" s="14" t="s">
        <v>3982</v>
      </c>
      <c r="G341" s="14">
        <f>(VLOOKUP(D341,'[1]BOM Info General'!$A:$L,12,0))*E341</f>
        <v>35.56</v>
      </c>
      <c r="H341" s="15" t="s">
        <v>39</v>
      </c>
      <c r="I341" s="15">
        <v>1</v>
      </c>
      <c r="J341" s="15" t="s">
        <v>46</v>
      </c>
      <c r="K341" s="15">
        <f>(VLOOKUP(H341,'[1]BOM Info General'!$A:$L,12,0))*I341</f>
        <v>24.42</v>
      </c>
      <c r="L341" s="9" t="s">
        <v>56</v>
      </c>
      <c r="M341" s="9">
        <v>1</v>
      </c>
      <c r="N341" s="9" t="s">
        <v>59</v>
      </c>
      <c r="O341" s="9">
        <f>(VLOOKUP(L341,'[1]Simulation pricing per sub assy'!$D:$E,2,0))*M341</f>
        <v>51.27879999999999</v>
      </c>
      <c r="P341" s="16" t="s">
        <v>50</v>
      </c>
      <c r="Q341" s="16">
        <v>2</v>
      </c>
      <c r="R341" s="16" t="s">
        <v>16</v>
      </c>
      <c r="S341" s="40">
        <f>(VLOOKUP(P341,'[1]BOM Info General'!$A:$L,12,0))*Q341</f>
        <v>5.3</v>
      </c>
      <c r="T341" s="17" t="s">
        <v>14</v>
      </c>
      <c r="U341" s="17">
        <v>1</v>
      </c>
      <c r="V341" s="17" t="s">
        <v>15</v>
      </c>
      <c r="W341" s="17">
        <f>(VLOOKUP(T341,'[1]Simulation pricing per sub assy'!$D:$E,2,0))*U341</f>
        <v>1.9</v>
      </c>
      <c r="X341" s="18" t="s">
        <v>615</v>
      </c>
      <c r="Y341" s="18">
        <v>1</v>
      </c>
      <c r="Z341" s="18" t="s">
        <v>9</v>
      </c>
      <c r="AA341" s="18">
        <f>(VLOOKUP(X341,'[1]Simulation pricing per sub assy'!$D:$E,2,0))*Y341</f>
        <v>1.5769808000000001</v>
      </c>
    </row>
    <row r="342" spans="1:27" x14ac:dyDescent="0.35">
      <c r="A342" s="13" t="s">
        <v>298</v>
      </c>
      <c r="B342" s="13" t="s">
        <v>4099</v>
      </c>
      <c r="C342" s="42">
        <f t="shared" si="5"/>
        <v>111.21578079999999</v>
      </c>
      <c r="D342" s="14" t="s">
        <v>42</v>
      </c>
      <c r="E342" s="14">
        <v>1</v>
      </c>
      <c r="F342" s="14" t="s">
        <v>3982</v>
      </c>
      <c r="G342" s="14">
        <f>(VLOOKUP(D342,'[1]BOM Info General'!$A:$L,12,0))*E342</f>
        <v>35.56</v>
      </c>
      <c r="H342" s="15" t="s">
        <v>39</v>
      </c>
      <c r="I342" s="15">
        <v>1</v>
      </c>
      <c r="J342" s="15" t="s">
        <v>46</v>
      </c>
      <c r="K342" s="15">
        <f>(VLOOKUP(H342,'[1]BOM Info General'!$A:$L,12,0))*I342</f>
        <v>24.42</v>
      </c>
      <c r="L342" s="9" t="s">
        <v>523</v>
      </c>
      <c r="M342" s="9">
        <v>1</v>
      </c>
      <c r="N342" s="9" t="s">
        <v>61</v>
      </c>
      <c r="O342" s="9">
        <f>(VLOOKUP(L342,'[1]Simulation pricing per sub assy'!$D:$E,2,0))*M342</f>
        <v>42.308799999999991</v>
      </c>
      <c r="P342" s="16" t="s">
        <v>51</v>
      </c>
      <c r="Q342" s="16">
        <v>2</v>
      </c>
      <c r="R342" s="16" t="s">
        <v>17</v>
      </c>
      <c r="S342" s="40">
        <f>(VLOOKUP(P342,'[1]BOM Info General'!$A:$L,12,0))*Q342</f>
        <v>5.3</v>
      </c>
      <c r="T342" s="17" t="s">
        <v>10</v>
      </c>
      <c r="U342" s="17">
        <v>1</v>
      </c>
      <c r="V342" s="17" t="s">
        <v>11</v>
      </c>
      <c r="W342" s="17">
        <f>(VLOOKUP(T342,'[1]Simulation pricing per sub assy'!$D:$E,2,0))*U342</f>
        <v>2.0499999999999998</v>
      </c>
      <c r="X342" s="18" t="s">
        <v>615</v>
      </c>
      <c r="Y342" s="18">
        <v>1</v>
      </c>
      <c r="Z342" s="18" t="s">
        <v>9</v>
      </c>
      <c r="AA342" s="18">
        <f>(VLOOKUP(X342,'[1]Simulation pricing per sub assy'!$D:$E,2,0))*Y342</f>
        <v>1.5769808000000001</v>
      </c>
    </row>
    <row r="343" spans="1:27" x14ac:dyDescent="0.35">
      <c r="A343" s="13" t="s">
        <v>154</v>
      </c>
      <c r="B343" s="13" t="s">
        <v>4100</v>
      </c>
      <c r="C343" s="42">
        <f t="shared" si="5"/>
        <v>112.19578079999999</v>
      </c>
      <c r="D343" s="14" t="s">
        <v>42</v>
      </c>
      <c r="E343" s="14">
        <v>1</v>
      </c>
      <c r="F343" s="14" t="s">
        <v>3982</v>
      </c>
      <c r="G343" s="14">
        <f>(VLOOKUP(D343,'[1]BOM Info General'!$A:$L,12,0))*E343</f>
        <v>35.56</v>
      </c>
      <c r="H343" s="15" t="s">
        <v>39</v>
      </c>
      <c r="I343" s="15">
        <v>1</v>
      </c>
      <c r="J343" s="15" t="s">
        <v>46</v>
      </c>
      <c r="K343" s="15">
        <f>(VLOOKUP(H343,'[1]BOM Info General'!$A:$L,12,0))*I343</f>
        <v>24.42</v>
      </c>
      <c r="L343" s="9" t="s">
        <v>58</v>
      </c>
      <c r="M343" s="9">
        <v>1</v>
      </c>
      <c r="N343" s="9" t="s">
        <v>55</v>
      </c>
      <c r="O343" s="9">
        <f>(VLOOKUP(L343,'[1]Simulation pricing per sub assy'!$D:$E,2,0))*M343</f>
        <v>43.288799999999988</v>
      </c>
      <c r="P343" s="16" t="s">
        <v>51</v>
      </c>
      <c r="Q343" s="16">
        <v>2</v>
      </c>
      <c r="R343" s="16" t="s">
        <v>17</v>
      </c>
      <c r="S343" s="40">
        <f>(VLOOKUP(P343,'[1]BOM Info General'!$A:$L,12,0))*Q343</f>
        <v>5.3</v>
      </c>
      <c r="T343" s="17" t="s">
        <v>10</v>
      </c>
      <c r="U343" s="17">
        <v>1</v>
      </c>
      <c r="V343" s="17" t="s">
        <v>11</v>
      </c>
      <c r="W343" s="17">
        <f>(VLOOKUP(T343,'[1]Simulation pricing per sub assy'!$D:$E,2,0))*U343</f>
        <v>2.0499999999999998</v>
      </c>
      <c r="X343" s="18" t="s">
        <v>615</v>
      </c>
      <c r="Y343" s="18">
        <v>1</v>
      </c>
      <c r="Z343" s="18" t="s">
        <v>9</v>
      </c>
      <c r="AA343" s="18">
        <f>(VLOOKUP(X343,'[1]Simulation pricing per sub assy'!$D:$E,2,0))*Y343</f>
        <v>1.5769808000000001</v>
      </c>
    </row>
    <row r="344" spans="1:27" x14ac:dyDescent="0.35">
      <c r="A344" s="13" t="s">
        <v>226</v>
      </c>
      <c r="B344" s="13" t="s">
        <v>4101</v>
      </c>
      <c r="C344" s="42">
        <f t="shared" si="5"/>
        <v>112.77578079999999</v>
      </c>
      <c r="D344" s="14" t="s">
        <v>42</v>
      </c>
      <c r="E344" s="14">
        <v>1</v>
      </c>
      <c r="F344" s="14" t="s">
        <v>3982</v>
      </c>
      <c r="G344" s="14">
        <f>(VLOOKUP(D344,'[1]BOM Info General'!$A:$L,12,0))*E344</f>
        <v>35.56</v>
      </c>
      <c r="H344" s="15" t="s">
        <v>39</v>
      </c>
      <c r="I344" s="15">
        <v>1</v>
      </c>
      <c r="J344" s="15" t="s">
        <v>46</v>
      </c>
      <c r="K344" s="15">
        <f>(VLOOKUP(H344,'[1]BOM Info General'!$A:$L,12,0))*I344</f>
        <v>24.42</v>
      </c>
      <c r="L344" s="9" t="s">
        <v>54</v>
      </c>
      <c r="M344" s="9">
        <v>1</v>
      </c>
      <c r="N344" s="9" t="s">
        <v>53</v>
      </c>
      <c r="O344" s="9">
        <f>(VLOOKUP(L344,'[1]Simulation pricing per sub assy'!$D:$E,2,0))*M344</f>
        <v>43.868799999999993</v>
      </c>
      <c r="P344" s="16" t="s">
        <v>51</v>
      </c>
      <c r="Q344" s="16">
        <v>2</v>
      </c>
      <c r="R344" s="16" t="s">
        <v>17</v>
      </c>
      <c r="S344" s="40">
        <f>(VLOOKUP(P344,'[1]BOM Info General'!$A:$L,12,0))*Q344</f>
        <v>5.3</v>
      </c>
      <c r="T344" s="17" t="s">
        <v>10</v>
      </c>
      <c r="U344" s="17">
        <v>1</v>
      </c>
      <c r="V344" s="17" t="s">
        <v>11</v>
      </c>
      <c r="W344" s="17">
        <f>(VLOOKUP(T344,'[1]Simulation pricing per sub assy'!$D:$E,2,0))*U344</f>
        <v>2.0499999999999998</v>
      </c>
      <c r="X344" s="18" t="s">
        <v>615</v>
      </c>
      <c r="Y344" s="18">
        <v>1</v>
      </c>
      <c r="Z344" s="18" t="s">
        <v>9</v>
      </c>
      <c r="AA344" s="18">
        <f>(VLOOKUP(X344,'[1]Simulation pricing per sub assy'!$D:$E,2,0))*Y344</f>
        <v>1.5769808000000001</v>
      </c>
    </row>
    <row r="345" spans="1:27" x14ac:dyDescent="0.35">
      <c r="A345" s="13" t="s">
        <v>190</v>
      </c>
      <c r="B345" s="13" t="s">
        <v>4102</v>
      </c>
      <c r="C345" s="42">
        <f t="shared" si="5"/>
        <v>112.51578079999999</v>
      </c>
      <c r="D345" s="14" t="s">
        <v>42</v>
      </c>
      <c r="E345" s="14">
        <v>1</v>
      </c>
      <c r="F345" s="14" t="s">
        <v>3982</v>
      </c>
      <c r="G345" s="14">
        <f>(VLOOKUP(D345,'[1]BOM Info General'!$A:$L,12,0))*E345</f>
        <v>35.56</v>
      </c>
      <c r="H345" s="15" t="s">
        <v>39</v>
      </c>
      <c r="I345" s="15">
        <v>1</v>
      </c>
      <c r="J345" s="15" t="s">
        <v>46</v>
      </c>
      <c r="K345" s="15">
        <f>(VLOOKUP(H345,'[1]BOM Info General'!$A:$L,12,0))*I345</f>
        <v>24.42</v>
      </c>
      <c r="L345" s="9" t="s">
        <v>60</v>
      </c>
      <c r="M345" s="9">
        <v>1</v>
      </c>
      <c r="N345" s="9" t="s">
        <v>57</v>
      </c>
      <c r="O345" s="9">
        <f>(VLOOKUP(L345,'[1]Simulation pricing per sub assy'!$D:$E,2,0))*M345</f>
        <v>43.608799999999988</v>
      </c>
      <c r="P345" s="16" t="s">
        <v>51</v>
      </c>
      <c r="Q345" s="16">
        <v>2</v>
      </c>
      <c r="R345" s="16" t="s">
        <v>17</v>
      </c>
      <c r="S345" s="40">
        <f>(VLOOKUP(P345,'[1]BOM Info General'!$A:$L,12,0))*Q345</f>
        <v>5.3</v>
      </c>
      <c r="T345" s="17" t="s">
        <v>10</v>
      </c>
      <c r="U345" s="17">
        <v>1</v>
      </c>
      <c r="V345" s="17" t="s">
        <v>11</v>
      </c>
      <c r="W345" s="17">
        <f>(VLOOKUP(T345,'[1]Simulation pricing per sub assy'!$D:$E,2,0))*U345</f>
        <v>2.0499999999999998</v>
      </c>
      <c r="X345" s="18" t="s">
        <v>615</v>
      </c>
      <c r="Y345" s="18">
        <v>1</v>
      </c>
      <c r="Z345" s="18" t="s">
        <v>9</v>
      </c>
      <c r="AA345" s="18">
        <f>(VLOOKUP(X345,'[1]Simulation pricing per sub assy'!$D:$E,2,0))*Y345</f>
        <v>1.5769808000000001</v>
      </c>
    </row>
    <row r="346" spans="1:27" x14ac:dyDescent="0.35">
      <c r="A346" s="13" t="s">
        <v>262</v>
      </c>
      <c r="B346" s="13" t="s">
        <v>4103</v>
      </c>
      <c r="C346" s="42">
        <f t="shared" si="5"/>
        <v>120.18578079999999</v>
      </c>
      <c r="D346" s="14" t="s">
        <v>42</v>
      </c>
      <c r="E346" s="14">
        <v>1</v>
      </c>
      <c r="F346" s="14" t="s">
        <v>3982</v>
      </c>
      <c r="G346" s="14">
        <f>(VLOOKUP(D346,'[1]BOM Info General'!$A:$L,12,0))*E346</f>
        <v>35.56</v>
      </c>
      <c r="H346" s="15" t="s">
        <v>39</v>
      </c>
      <c r="I346" s="15">
        <v>1</v>
      </c>
      <c r="J346" s="15" t="s">
        <v>46</v>
      </c>
      <c r="K346" s="15">
        <f>(VLOOKUP(H346,'[1]BOM Info General'!$A:$L,12,0))*I346</f>
        <v>24.42</v>
      </c>
      <c r="L346" s="9" t="s">
        <v>56</v>
      </c>
      <c r="M346" s="9">
        <v>1</v>
      </c>
      <c r="N346" s="9" t="s">
        <v>59</v>
      </c>
      <c r="O346" s="9">
        <f>(VLOOKUP(L346,'[1]Simulation pricing per sub assy'!$D:$E,2,0))*M346</f>
        <v>51.27879999999999</v>
      </c>
      <c r="P346" s="16" t="s">
        <v>51</v>
      </c>
      <c r="Q346" s="16">
        <v>2</v>
      </c>
      <c r="R346" s="16" t="s">
        <v>17</v>
      </c>
      <c r="S346" s="40">
        <f>(VLOOKUP(P346,'[1]BOM Info General'!$A:$L,12,0))*Q346</f>
        <v>5.3</v>
      </c>
      <c r="T346" s="17" t="s">
        <v>10</v>
      </c>
      <c r="U346" s="17">
        <v>1</v>
      </c>
      <c r="V346" s="17" t="s">
        <v>11</v>
      </c>
      <c r="W346" s="17">
        <f>(VLOOKUP(T346,'[1]Simulation pricing per sub assy'!$D:$E,2,0))*U346</f>
        <v>2.0499999999999998</v>
      </c>
      <c r="X346" s="18" t="s">
        <v>615</v>
      </c>
      <c r="Y346" s="18">
        <v>1</v>
      </c>
      <c r="Z346" s="18" t="s">
        <v>9</v>
      </c>
      <c r="AA346" s="18">
        <f>(VLOOKUP(X346,'[1]Simulation pricing per sub assy'!$D:$E,2,0))*Y346</f>
        <v>1.5769808000000001</v>
      </c>
    </row>
    <row r="347" spans="1:27" x14ac:dyDescent="0.35">
      <c r="A347" s="13" t="s">
        <v>299</v>
      </c>
      <c r="B347" s="13" t="s">
        <v>4104</v>
      </c>
      <c r="C347" s="42">
        <f t="shared" si="5"/>
        <v>111.0657808</v>
      </c>
      <c r="D347" s="14" t="s">
        <v>42</v>
      </c>
      <c r="E347" s="14">
        <v>1</v>
      </c>
      <c r="F347" s="14" t="s">
        <v>3982</v>
      </c>
      <c r="G347" s="14">
        <f>(VLOOKUP(D347,'[1]BOM Info General'!$A:$L,12,0))*E347</f>
        <v>35.56</v>
      </c>
      <c r="H347" s="15" t="s">
        <v>39</v>
      </c>
      <c r="I347" s="15">
        <v>1</v>
      </c>
      <c r="J347" s="15" t="s">
        <v>46</v>
      </c>
      <c r="K347" s="15">
        <f>(VLOOKUP(H347,'[1]BOM Info General'!$A:$L,12,0))*I347</f>
        <v>24.42</v>
      </c>
      <c r="L347" s="9" t="s">
        <v>523</v>
      </c>
      <c r="M347" s="9">
        <v>1</v>
      </c>
      <c r="N347" s="9" t="s">
        <v>61</v>
      </c>
      <c r="O347" s="9">
        <f>(VLOOKUP(L347,'[1]Simulation pricing per sub assy'!$D:$E,2,0))*M347</f>
        <v>42.308799999999991</v>
      </c>
      <c r="P347" s="16" t="s">
        <v>51</v>
      </c>
      <c r="Q347" s="16">
        <v>2</v>
      </c>
      <c r="R347" s="16" t="s">
        <v>17</v>
      </c>
      <c r="S347" s="40">
        <f>(VLOOKUP(P347,'[1]BOM Info General'!$A:$L,12,0))*Q347</f>
        <v>5.3</v>
      </c>
      <c r="T347" s="17" t="s">
        <v>12</v>
      </c>
      <c r="U347" s="17">
        <v>1</v>
      </c>
      <c r="V347" s="17" t="s">
        <v>13</v>
      </c>
      <c r="W347" s="17">
        <f>(VLOOKUP(T347,'[1]Simulation pricing per sub assy'!$D:$E,2,0))*U347</f>
        <v>1.9</v>
      </c>
      <c r="X347" s="18" t="s">
        <v>615</v>
      </c>
      <c r="Y347" s="18">
        <v>1</v>
      </c>
      <c r="Z347" s="18" t="s">
        <v>9</v>
      </c>
      <c r="AA347" s="18">
        <f>(VLOOKUP(X347,'[1]Simulation pricing per sub assy'!$D:$E,2,0))*Y347</f>
        <v>1.5769808000000001</v>
      </c>
    </row>
    <row r="348" spans="1:27" x14ac:dyDescent="0.35">
      <c r="A348" s="13" t="s">
        <v>155</v>
      </c>
      <c r="B348" s="13" t="s">
        <v>4105</v>
      </c>
      <c r="C348" s="42">
        <f t="shared" si="5"/>
        <v>112.0457808</v>
      </c>
      <c r="D348" s="14" t="s">
        <v>42</v>
      </c>
      <c r="E348" s="14">
        <v>1</v>
      </c>
      <c r="F348" s="14" t="s">
        <v>3982</v>
      </c>
      <c r="G348" s="14">
        <f>(VLOOKUP(D348,'[1]BOM Info General'!$A:$L,12,0))*E348</f>
        <v>35.56</v>
      </c>
      <c r="H348" s="15" t="s">
        <v>39</v>
      </c>
      <c r="I348" s="15">
        <v>1</v>
      </c>
      <c r="J348" s="15" t="s">
        <v>46</v>
      </c>
      <c r="K348" s="15">
        <f>(VLOOKUP(H348,'[1]BOM Info General'!$A:$L,12,0))*I348</f>
        <v>24.42</v>
      </c>
      <c r="L348" s="9" t="s">
        <v>58</v>
      </c>
      <c r="M348" s="9">
        <v>1</v>
      </c>
      <c r="N348" s="9" t="s">
        <v>55</v>
      </c>
      <c r="O348" s="9">
        <f>(VLOOKUP(L348,'[1]Simulation pricing per sub assy'!$D:$E,2,0))*M348</f>
        <v>43.288799999999988</v>
      </c>
      <c r="P348" s="16" t="s">
        <v>51</v>
      </c>
      <c r="Q348" s="16">
        <v>2</v>
      </c>
      <c r="R348" s="16" t="s">
        <v>17</v>
      </c>
      <c r="S348" s="40">
        <f>(VLOOKUP(P348,'[1]BOM Info General'!$A:$L,12,0))*Q348</f>
        <v>5.3</v>
      </c>
      <c r="T348" s="17" t="s">
        <v>12</v>
      </c>
      <c r="U348" s="17">
        <v>1</v>
      </c>
      <c r="V348" s="17" t="s">
        <v>13</v>
      </c>
      <c r="W348" s="17">
        <f>(VLOOKUP(T348,'[1]Simulation pricing per sub assy'!$D:$E,2,0))*U348</f>
        <v>1.9</v>
      </c>
      <c r="X348" s="18" t="s">
        <v>615</v>
      </c>
      <c r="Y348" s="18">
        <v>1</v>
      </c>
      <c r="Z348" s="18" t="s">
        <v>9</v>
      </c>
      <c r="AA348" s="18">
        <f>(VLOOKUP(X348,'[1]Simulation pricing per sub assy'!$D:$E,2,0))*Y348</f>
        <v>1.5769808000000001</v>
      </c>
    </row>
    <row r="349" spans="1:27" x14ac:dyDescent="0.35">
      <c r="A349" s="13" t="s">
        <v>227</v>
      </c>
      <c r="B349" s="13" t="s">
        <v>4106</v>
      </c>
      <c r="C349" s="42">
        <f t="shared" si="5"/>
        <v>112.6257808</v>
      </c>
      <c r="D349" s="14" t="s">
        <v>42</v>
      </c>
      <c r="E349" s="14">
        <v>1</v>
      </c>
      <c r="F349" s="14" t="s">
        <v>3982</v>
      </c>
      <c r="G349" s="14">
        <f>(VLOOKUP(D349,'[1]BOM Info General'!$A:$L,12,0))*E349</f>
        <v>35.56</v>
      </c>
      <c r="H349" s="15" t="s">
        <v>39</v>
      </c>
      <c r="I349" s="15">
        <v>1</v>
      </c>
      <c r="J349" s="15" t="s">
        <v>46</v>
      </c>
      <c r="K349" s="15">
        <f>(VLOOKUP(H349,'[1]BOM Info General'!$A:$L,12,0))*I349</f>
        <v>24.42</v>
      </c>
      <c r="L349" s="9" t="s">
        <v>54</v>
      </c>
      <c r="M349" s="9">
        <v>1</v>
      </c>
      <c r="N349" s="9" t="s">
        <v>53</v>
      </c>
      <c r="O349" s="9">
        <f>(VLOOKUP(L349,'[1]Simulation pricing per sub assy'!$D:$E,2,0))*M349</f>
        <v>43.868799999999993</v>
      </c>
      <c r="P349" s="16" t="s">
        <v>51</v>
      </c>
      <c r="Q349" s="16">
        <v>2</v>
      </c>
      <c r="R349" s="16" t="s">
        <v>17</v>
      </c>
      <c r="S349" s="40">
        <f>(VLOOKUP(P349,'[1]BOM Info General'!$A:$L,12,0))*Q349</f>
        <v>5.3</v>
      </c>
      <c r="T349" s="17" t="s">
        <v>12</v>
      </c>
      <c r="U349" s="17">
        <v>1</v>
      </c>
      <c r="V349" s="17" t="s">
        <v>13</v>
      </c>
      <c r="W349" s="17">
        <f>(VLOOKUP(T349,'[1]Simulation pricing per sub assy'!$D:$E,2,0))*U349</f>
        <v>1.9</v>
      </c>
      <c r="X349" s="18" t="s">
        <v>615</v>
      </c>
      <c r="Y349" s="18">
        <v>1</v>
      </c>
      <c r="Z349" s="18" t="s">
        <v>9</v>
      </c>
      <c r="AA349" s="18">
        <f>(VLOOKUP(X349,'[1]Simulation pricing per sub assy'!$D:$E,2,0))*Y349</f>
        <v>1.5769808000000001</v>
      </c>
    </row>
    <row r="350" spans="1:27" x14ac:dyDescent="0.35">
      <c r="A350" s="13" t="s">
        <v>191</v>
      </c>
      <c r="B350" s="13" t="s">
        <v>4107</v>
      </c>
      <c r="C350" s="42">
        <f t="shared" si="5"/>
        <v>112.3657808</v>
      </c>
      <c r="D350" s="14" t="s">
        <v>42</v>
      </c>
      <c r="E350" s="14">
        <v>1</v>
      </c>
      <c r="F350" s="14" t="s">
        <v>3982</v>
      </c>
      <c r="G350" s="14">
        <f>(VLOOKUP(D350,'[1]BOM Info General'!$A:$L,12,0))*E350</f>
        <v>35.56</v>
      </c>
      <c r="H350" s="15" t="s">
        <v>39</v>
      </c>
      <c r="I350" s="15">
        <v>1</v>
      </c>
      <c r="J350" s="15" t="s">
        <v>46</v>
      </c>
      <c r="K350" s="15">
        <f>(VLOOKUP(H350,'[1]BOM Info General'!$A:$L,12,0))*I350</f>
        <v>24.42</v>
      </c>
      <c r="L350" s="9" t="s">
        <v>60</v>
      </c>
      <c r="M350" s="9">
        <v>1</v>
      </c>
      <c r="N350" s="9" t="s">
        <v>57</v>
      </c>
      <c r="O350" s="9">
        <f>(VLOOKUP(L350,'[1]Simulation pricing per sub assy'!$D:$E,2,0))*M350</f>
        <v>43.608799999999988</v>
      </c>
      <c r="P350" s="16" t="s">
        <v>51</v>
      </c>
      <c r="Q350" s="16">
        <v>2</v>
      </c>
      <c r="R350" s="16" t="s">
        <v>17</v>
      </c>
      <c r="S350" s="40">
        <f>(VLOOKUP(P350,'[1]BOM Info General'!$A:$L,12,0))*Q350</f>
        <v>5.3</v>
      </c>
      <c r="T350" s="17" t="s">
        <v>12</v>
      </c>
      <c r="U350" s="17">
        <v>1</v>
      </c>
      <c r="V350" s="17" t="s">
        <v>13</v>
      </c>
      <c r="W350" s="17">
        <f>(VLOOKUP(T350,'[1]Simulation pricing per sub assy'!$D:$E,2,0))*U350</f>
        <v>1.9</v>
      </c>
      <c r="X350" s="18" t="s">
        <v>615</v>
      </c>
      <c r="Y350" s="18">
        <v>1</v>
      </c>
      <c r="Z350" s="18" t="s">
        <v>9</v>
      </c>
      <c r="AA350" s="18">
        <f>(VLOOKUP(X350,'[1]Simulation pricing per sub assy'!$D:$E,2,0))*Y350</f>
        <v>1.5769808000000001</v>
      </c>
    </row>
    <row r="351" spans="1:27" x14ac:dyDescent="0.35">
      <c r="A351" s="13" t="s">
        <v>263</v>
      </c>
      <c r="B351" s="13" t="s">
        <v>4108</v>
      </c>
      <c r="C351" s="42">
        <f t="shared" si="5"/>
        <v>120.0357808</v>
      </c>
      <c r="D351" s="14" t="s">
        <v>42</v>
      </c>
      <c r="E351" s="14">
        <v>1</v>
      </c>
      <c r="F351" s="14" t="s">
        <v>3982</v>
      </c>
      <c r="G351" s="14">
        <f>(VLOOKUP(D351,'[1]BOM Info General'!$A:$L,12,0))*E351</f>
        <v>35.56</v>
      </c>
      <c r="H351" s="15" t="s">
        <v>39</v>
      </c>
      <c r="I351" s="15">
        <v>1</v>
      </c>
      <c r="J351" s="15" t="s">
        <v>46</v>
      </c>
      <c r="K351" s="15">
        <f>(VLOOKUP(H351,'[1]BOM Info General'!$A:$L,12,0))*I351</f>
        <v>24.42</v>
      </c>
      <c r="L351" s="9" t="s">
        <v>56</v>
      </c>
      <c r="M351" s="9">
        <v>1</v>
      </c>
      <c r="N351" s="9" t="s">
        <v>59</v>
      </c>
      <c r="O351" s="9">
        <f>(VLOOKUP(L351,'[1]Simulation pricing per sub assy'!$D:$E,2,0))*M351</f>
        <v>51.27879999999999</v>
      </c>
      <c r="P351" s="16" t="s">
        <v>51</v>
      </c>
      <c r="Q351" s="16">
        <v>2</v>
      </c>
      <c r="R351" s="16" t="s">
        <v>17</v>
      </c>
      <c r="S351" s="40">
        <f>(VLOOKUP(P351,'[1]BOM Info General'!$A:$L,12,0))*Q351</f>
        <v>5.3</v>
      </c>
      <c r="T351" s="17" t="s">
        <v>12</v>
      </c>
      <c r="U351" s="17">
        <v>1</v>
      </c>
      <c r="V351" s="17" t="s">
        <v>13</v>
      </c>
      <c r="W351" s="17">
        <f>(VLOOKUP(T351,'[1]Simulation pricing per sub assy'!$D:$E,2,0))*U351</f>
        <v>1.9</v>
      </c>
      <c r="X351" s="18" t="s">
        <v>615</v>
      </c>
      <c r="Y351" s="18">
        <v>1</v>
      </c>
      <c r="Z351" s="18" t="s">
        <v>9</v>
      </c>
      <c r="AA351" s="18">
        <f>(VLOOKUP(X351,'[1]Simulation pricing per sub assy'!$D:$E,2,0))*Y351</f>
        <v>1.5769808000000001</v>
      </c>
    </row>
    <row r="352" spans="1:27" x14ac:dyDescent="0.35">
      <c r="A352" s="13" t="s">
        <v>300</v>
      </c>
      <c r="B352" s="13" t="s">
        <v>4109</v>
      </c>
      <c r="C352" s="42">
        <f t="shared" si="5"/>
        <v>111.0657808</v>
      </c>
      <c r="D352" s="14" t="s">
        <v>42</v>
      </c>
      <c r="E352" s="14">
        <v>1</v>
      </c>
      <c r="F352" s="14" t="s">
        <v>3982</v>
      </c>
      <c r="G352" s="14">
        <f>(VLOOKUP(D352,'[1]BOM Info General'!$A:$L,12,0))*E352</f>
        <v>35.56</v>
      </c>
      <c r="H352" s="15" t="s">
        <v>39</v>
      </c>
      <c r="I352" s="15">
        <v>1</v>
      </c>
      <c r="J352" s="15" t="s">
        <v>46</v>
      </c>
      <c r="K352" s="15">
        <f>(VLOOKUP(H352,'[1]BOM Info General'!$A:$L,12,0))*I352</f>
        <v>24.42</v>
      </c>
      <c r="L352" s="9" t="s">
        <v>523</v>
      </c>
      <c r="M352" s="9">
        <v>1</v>
      </c>
      <c r="N352" s="9" t="s">
        <v>61</v>
      </c>
      <c r="O352" s="9">
        <f>(VLOOKUP(L352,'[1]Simulation pricing per sub assy'!$D:$E,2,0))*M352</f>
        <v>42.308799999999991</v>
      </c>
      <c r="P352" s="16" t="s">
        <v>51</v>
      </c>
      <c r="Q352" s="16">
        <v>2</v>
      </c>
      <c r="R352" s="16" t="s">
        <v>17</v>
      </c>
      <c r="S352" s="40">
        <f>(VLOOKUP(P352,'[1]BOM Info General'!$A:$L,12,0))*Q352</f>
        <v>5.3</v>
      </c>
      <c r="T352" s="17" t="s">
        <v>14</v>
      </c>
      <c r="U352" s="17">
        <v>1</v>
      </c>
      <c r="V352" s="17" t="s">
        <v>15</v>
      </c>
      <c r="W352" s="17">
        <f>(VLOOKUP(T352,'[1]Simulation pricing per sub assy'!$D:$E,2,0))*U352</f>
        <v>1.9</v>
      </c>
      <c r="X352" s="18" t="s">
        <v>615</v>
      </c>
      <c r="Y352" s="18">
        <v>1</v>
      </c>
      <c r="Z352" s="18" t="s">
        <v>9</v>
      </c>
      <c r="AA352" s="18">
        <f>(VLOOKUP(X352,'[1]Simulation pricing per sub assy'!$D:$E,2,0))*Y352</f>
        <v>1.5769808000000001</v>
      </c>
    </row>
    <row r="353" spans="1:27" x14ac:dyDescent="0.35">
      <c r="A353" s="13" t="s">
        <v>156</v>
      </c>
      <c r="B353" s="13" t="s">
        <v>4110</v>
      </c>
      <c r="C353" s="42">
        <f t="shared" si="5"/>
        <v>112.0457808</v>
      </c>
      <c r="D353" s="14" t="s">
        <v>42</v>
      </c>
      <c r="E353" s="14">
        <v>1</v>
      </c>
      <c r="F353" s="14" t="s">
        <v>3982</v>
      </c>
      <c r="G353" s="14">
        <f>(VLOOKUP(D353,'[1]BOM Info General'!$A:$L,12,0))*E353</f>
        <v>35.56</v>
      </c>
      <c r="H353" s="15" t="s">
        <v>39</v>
      </c>
      <c r="I353" s="15">
        <v>1</v>
      </c>
      <c r="J353" s="15" t="s">
        <v>46</v>
      </c>
      <c r="K353" s="15">
        <f>(VLOOKUP(H353,'[1]BOM Info General'!$A:$L,12,0))*I353</f>
        <v>24.42</v>
      </c>
      <c r="L353" s="9" t="s">
        <v>58</v>
      </c>
      <c r="M353" s="9">
        <v>1</v>
      </c>
      <c r="N353" s="9" t="s">
        <v>55</v>
      </c>
      <c r="O353" s="9">
        <f>(VLOOKUP(L353,'[1]Simulation pricing per sub assy'!$D:$E,2,0))*M353</f>
        <v>43.288799999999988</v>
      </c>
      <c r="P353" s="16" t="s">
        <v>51</v>
      </c>
      <c r="Q353" s="16">
        <v>2</v>
      </c>
      <c r="R353" s="16" t="s">
        <v>17</v>
      </c>
      <c r="S353" s="40">
        <f>(VLOOKUP(P353,'[1]BOM Info General'!$A:$L,12,0))*Q353</f>
        <v>5.3</v>
      </c>
      <c r="T353" s="17" t="s">
        <v>14</v>
      </c>
      <c r="U353" s="17">
        <v>1</v>
      </c>
      <c r="V353" s="17" t="s">
        <v>15</v>
      </c>
      <c r="W353" s="17">
        <f>(VLOOKUP(T353,'[1]Simulation pricing per sub assy'!$D:$E,2,0))*U353</f>
        <v>1.9</v>
      </c>
      <c r="X353" s="18" t="s">
        <v>615</v>
      </c>
      <c r="Y353" s="18">
        <v>1</v>
      </c>
      <c r="Z353" s="18" t="s">
        <v>9</v>
      </c>
      <c r="AA353" s="18">
        <f>(VLOOKUP(X353,'[1]Simulation pricing per sub assy'!$D:$E,2,0))*Y353</f>
        <v>1.5769808000000001</v>
      </c>
    </row>
    <row r="354" spans="1:27" x14ac:dyDescent="0.35">
      <c r="A354" s="13" t="s">
        <v>228</v>
      </c>
      <c r="B354" s="13" t="s">
        <v>4111</v>
      </c>
      <c r="C354" s="42">
        <f t="shared" si="5"/>
        <v>112.6257808</v>
      </c>
      <c r="D354" s="14" t="s">
        <v>42</v>
      </c>
      <c r="E354" s="14">
        <v>1</v>
      </c>
      <c r="F354" s="14" t="s">
        <v>3982</v>
      </c>
      <c r="G354" s="14">
        <f>(VLOOKUP(D354,'[1]BOM Info General'!$A:$L,12,0))*E354</f>
        <v>35.56</v>
      </c>
      <c r="H354" s="15" t="s">
        <v>39</v>
      </c>
      <c r="I354" s="15">
        <v>1</v>
      </c>
      <c r="J354" s="15" t="s">
        <v>46</v>
      </c>
      <c r="K354" s="15">
        <f>(VLOOKUP(H354,'[1]BOM Info General'!$A:$L,12,0))*I354</f>
        <v>24.42</v>
      </c>
      <c r="L354" s="9" t="s">
        <v>54</v>
      </c>
      <c r="M354" s="9">
        <v>1</v>
      </c>
      <c r="N354" s="9" t="s">
        <v>53</v>
      </c>
      <c r="O354" s="9">
        <f>(VLOOKUP(L354,'[1]Simulation pricing per sub assy'!$D:$E,2,0))*M354</f>
        <v>43.868799999999993</v>
      </c>
      <c r="P354" s="16" t="s">
        <v>51</v>
      </c>
      <c r="Q354" s="16">
        <v>2</v>
      </c>
      <c r="R354" s="16" t="s">
        <v>17</v>
      </c>
      <c r="S354" s="40">
        <f>(VLOOKUP(P354,'[1]BOM Info General'!$A:$L,12,0))*Q354</f>
        <v>5.3</v>
      </c>
      <c r="T354" s="17" t="s">
        <v>14</v>
      </c>
      <c r="U354" s="17">
        <v>1</v>
      </c>
      <c r="V354" s="17" t="s">
        <v>15</v>
      </c>
      <c r="W354" s="17">
        <f>(VLOOKUP(T354,'[1]Simulation pricing per sub assy'!$D:$E,2,0))*U354</f>
        <v>1.9</v>
      </c>
      <c r="X354" s="18" t="s">
        <v>615</v>
      </c>
      <c r="Y354" s="18">
        <v>1</v>
      </c>
      <c r="Z354" s="18" t="s">
        <v>9</v>
      </c>
      <c r="AA354" s="18">
        <f>(VLOOKUP(X354,'[1]Simulation pricing per sub assy'!$D:$E,2,0))*Y354</f>
        <v>1.5769808000000001</v>
      </c>
    </row>
    <row r="355" spans="1:27" x14ac:dyDescent="0.35">
      <c r="A355" s="13" t="s">
        <v>192</v>
      </c>
      <c r="B355" s="13" t="s">
        <v>4112</v>
      </c>
      <c r="C355" s="42">
        <f t="shared" si="5"/>
        <v>112.3657808</v>
      </c>
      <c r="D355" s="14" t="s">
        <v>42</v>
      </c>
      <c r="E355" s="14">
        <v>1</v>
      </c>
      <c r="F355" s="14" t="s">
        <v>3982</v>
      </c>
      <c r="G355" s="14">
        <f>(VLOOKUP(D355,'[1]BOM Info General'!$A:$L,12,0))*E355</f>
        <v>35.56</v>
      </c>
      <c r="H355" s="15" t="s">
        <v>39</v>
      </c>
      <c r="I355" s="15">
        <v>1</v>
      </c>
      <c r="J355" s="15" t="s">
        <v>46</v>
      </c>
      <c r="K355" s="15">
        <f>(VLOOKUP(H355,'[1]BOM Info General'!$A:$L,12,0))*I355</f>
        <v>24.42</v>
      </c>
      <c r="L355" s="9" t="s">
        <v>60</v>
      </c>
      <c r="M355" s="9">
        <v>1</v>
      </c>
      <c r="N355" s="9" t="s">
        <v>57</v>
      </c>
      <c r="O355" s="9">
        <f>(VLOOKUP(L355,'[1]Simulation pricing per sub assy'!$D:$E,2,0))*M355</f>
        <v>43.608799999999988</v>
      </c>
      <c r="P355" s="16" t="s">
        <v>51</v>
      </c>
      <c r="Q355" s="16">
        <v>2</v>
      </c>
      <c r="R355" s="16" t="s">
        <v>17</v>
      </c>
      <c r="S355" s="40">
        <f>(VLOOKUP(P355,'[1]BOM Info General'!$A:$L,12,0))*Q355</f>
        <v>5.3</v>
      </c>
      <c r="T355" s="17" t="s">
        <v>14</v>
      </c>
      <c r="U355" s="17">
        <v>1</v>
      </c>
      <c r="V355" s="17" t="s">
        <v>15</v>
      </c>
      <c r="W355" s="17">
        <f>(VLOOKUP(T355,'[1]Simulation pricing per sub assy'!$D:$E,2,0))*U355</f>
        <v>1.9</v>
      </c>
      <c r="X355" s="18" t="s">
        <v>615</v>
      </c>
      <c r="Y355" s="18">
        <v>1</v>
      </c>
      <c r="Z355" s="18" t="s">
        <v>9</v>
      </c>
      <c r="AA355" s="18">
        <f>(VLOOKUP(X355,'[1]Simulation pricing per sub assy'!$D:$E,2,0))*Y355</f>
        <v>1.5769808000000001</v>
      </c>
    </row>
    <row r="356" spans="1:27" x14ac:dyDescent="0.35">
      <c r="A356" s="13" t="s">
        <v>264</v>
      </c>
      <c r="B356" s="13" t="s">
        <v>4113</v>
      </c>
      <c r="C356" s="42">
        <f t="shared" si="5"/>
        <v>120.0357808</v>
      </c>
      <c r="D356" s="14" t="s">
        <v>42</v>
      </c>
      <c r="E356" s="14">
        <v>1</v>
      </c>
      <c r="F356" s="14" t="s">
        <v>3982</v>
      </c>
      <c r="G356" s="14">
        <f>(VLOOKUP(D356,'[1]BOM Info General'!$A:$L,12,0))*E356</f>
        <v>35.56</v>
      </c>
      <c r="H356" s="15" t="s">
        <v>39</v>
      </c>
      <c r="I356" s="15">
        <v>1</v>
      </c>
      <c r="J356" s="15" t="s">
        <v>46</v>
      </c>
      <c r="K356" s="15">
        <f>(VLOOKUP(H356,'[1]BOM Info General'!$A:$L,12,0))*I356</f>
        <v>24.42</v>
      </c>
      <c r="L356" s="9" t="s">
        <v>56</v>
      </c>
      <c r="M356" s="9">
        <v>1</v>
      </c>
      <c r="N356" s="9" t="s">
        <v>59</v>
      </c>
      <c r="O356" s="9">
        <f>(VLOOKUP(L356,'[1]Simulation pricing per sub assy'!$D:$E,2,0))*M356</f>
        <v>51.27879999999999</v>
      </c>
      <c r="P356" s="16" t="s">
        <v>51</v>
      </c>
      <c r="Q356" s="16">
        <v>2</v>
      </c>
      <c r="R356" s="16" t="s">
        <v>17</v>
      </c>
      <c r="S356" s="40">
        <f>(VLOOKUP(P356,'[1]BOM Info General'!$A:$L,12,0))*Q356</f>
        <v>5.3</v>
      </c>
      <c r="T356" s="17" t="s">
        <v>14</v>
      </c>
      <c r="U356" s="17">
        <v>1</v>
      </c>
      <c r="V356" s="17" t="s">
        <v>15</v>
      </c>
      <c r="W356" s="17">
        <f>(VLOOKUP(T356,'[1]Simulation pricing per sub assy'!$D:$E,2,0))*U356</f>
        <v>1.9</v>
      </c>
      <c r="X356" s="18" t="s">
        <v>615</v>
      </c>
      <c r="Y356" s="18">
        <v>1</v>
      </c>
      <c r="Z356" s="18" t="s">
        <v>9</v>
      </c>
      <c r="AA356" s="18">
        <f>(VLOOKUP(X356,'[1]Simulation pricing per sub assy'!$D:$E,2,0))*Y356</f>
        <v>1.5769808000000001</v>
      </c>
    </row>
    <row r="357" spans="1:27" x14ac:dyDescent="0.35">
      <c r="A357" s="13" t="s">
        <v>301</v>
      </c>
      <c r="B357" s="13" t="s">
        <v>4114</v>
      </c>
      <c r="C357" s="42">
        <f t="shared" si="5"/>
        <v>111.21578079999999</v>
      </c>
      <c r="D357" s="14" t="s">
        <v>42</v>
      </c>
      <c r="E357" s="14">
        <v>1</v>
      </c>
      <c r="F357" s="14" t="s">
        <v>3982</v>
      </c>
      <c r="G357" s="14">
        <f>(VLOOKUP(D357,'[1]BOM Info General'!$A:$L,12,0))*E357</f>
        <v>35.56</v>
      </c>
      <c r="H357" s="15" t="s">
        <v>39</v>
      </c>
      <c r="I357" s="15">
        <v>1</v>
      </c>
      <c r="J357" s="15" t="s">
        <v>46</v>
      </c>
      <c r="K357" s="15">
        <f>(VLOOKUP(H357,'[1]BOM Info General'!$A:$L,12,0))*I357</f>
        <v>24.42</v>
      </c>
      <c r="L357" s="9" t="s">
        <v>523</v>
      </c>
      <c r="M357" s="9">
        <v>1</v>
      </c>
      <c r="N357" s="9" t="s">
        <v>61</v>
      </c>
      <c r="O357" s="9">
        <f>(VLOOKUP(L357,'[1]Simulation pricing per sub assy'!$D:$E,2,0))*M357</f>
        <v>42.308799999999991</v>
      </c>
      <c r="P357" s="16" t="s">
        <v>52</v>
      </c>
      <c r="Q357" s="16">
        <v>2</v>
      </c>
      <c r="R357" s="16" t="s">
        <v>18</v>
      </c>
      <c r="S357" s="40">
        <f>(VLOOKUP(P357,'[1]BOM Info General'!$A:$L,12,0))*Q357</f>
        <v>5.3</v>
      </c>
      <c r="T357" s="17" t="s">
        <v>10</v>
      </c>
      <c r="U357" s="17">
        <v>1</v>
      </c>
      <c r="V357" s="17" t="s">
        <v>11</v>
      </c>
      <c r="W357" s="17">
        <f>(VLOOKUP(T357,'[1]Simulation pricing per sub assy'!$D:$E,2,0))*U357</f>
        <v>2.0499999999999998</v>
      </c>
      <c r="X357" s="18" t="s">
        <v>615</v>
      </c>
      <c r="Y357" s="18">
        <v>1</v>
      </c>
      <c r="Z357" s="18" t="s">
        <v>9</v>
      </c>
      <c r="AA357" s="18">
        <f>(VLOOKUP(X357,'[1]Simulation pricing per sub assy'!$D:$E,2,0))*Y357</f>
        <v>1.5769808000000001</v>
      </c>
    </row>
    <row r="358" spans="1:27" x14ac:dyDescent="0.35">
      <c r="A358" s="13" t="s">
        <v>157</v>
      </c>
      <c r="B358" s="13" t="s">
        <v>4115</v>
      </c>
      <c r="C358" s="42">
        <f t="shared" si="5"/>
        <v>112.19578079999999</v>
      </c>
      <c r="D358" s="14" t="s">
        <v>42</v>
      </c>
      <c r="E358" s="14">
        <v>1</v>
      </c>
      <c r="F358" s="14" t="s">
        <v>3982</v>
      </c>
      <c r="G358" s="14">
        <f>(VLOOKUP(D358,'[1]BOM Info General'!$A:$L,12,0))*E358</f>
        <v>35.56</v>
      </c>
      <c r="H358" s="15" t="s">
        <v>39</v>
      </c>
      <c r="I358" s="15">
        <v>1</v>
      </c>
      <c r="J358" s="15" t="s">
        <v>46</v>
      </c>
      <c r="K358" s="15">
        <f>(VLOOKUP(H358,'[1]BOM Info General'!$A:$L,12,0))*I358</f>
        <v>24.42</v>
      </c>
      <c r="L358" s="9" t="s">
        <v>58</v>
      </c>
      <c r="M358" s="9">
        <v>1</v>
      </c>
      <c r="N358" s="9" t="s">
        <v>55</v>
      </c>
      <c r="O358" s="9">
        <f>(VLOOKUP(L358,'[1]Simulation pricing per sub assy'!$D:$E,2,0))*M358</f>
        <v>43.288799999999988</v>
      </c>
      <c r="P358" s="16" t="s">
        <v>52</v>
      </c>
      <c r="Q358" s="16">
        <v>2</v>
      </c>
      <c r="R358" s="16" t="s">
        <v>18</v>
      </c>
      <c r="S358" s="40">
        <f>(VLOOKUP(P358,'[1]BOM Info General'!$A:$L,12,0))*Q358</f>
        <v>5.3</v>
      </c>
      <c r="T358" s="17" t="s">
        <v>10</v>
      </c>
      <c r="U358" s="17">
        <v>1</v>
      </c>
      <c r="V358" s="17" t="s">
        <v>11</v>
      </c>
      <c r="W358" s="17">
        <f>(VLOOKUP(T358,'[1]Simulation pricing per sub assy'!$D:$E,2,0))*U358</f>
        <v>2.0499999999999998</v>
      </c>
      <c r="X358" s="18" t="s">
        <v>615</v>
      </c>
      <c r="Y358" s="18">
        <v>1</v>
      </c>
      <c r="Z358" s="18" t="s">
        <v>9</v>
      </c>
      <c r="AA358" s="18">
        <f>(VLOOKUP(X358,'[1]Simulation pricing per sub assy'!$D:$E,2,0))*Y358</f>
        <v>1.5769808000000001</v>
      </c>
    </row>
    <row r="359" spans="1:27" x14ac:dyDescent="0.35">
      <c r="A359" s="13" t="s">
        <v>229</v>
      </c>
      <c r="B359" s="13" t="s">
        <v>4116</v>
      </c>
      <c r="C359" s="42">
        <f t="shared" si="5"/>
        <v>112.77578079999999</v>
      </c>
      <c r="D359" s="14" t="s">
        <v>42</v>
      </c>
      <c r="E359" s="14">
        <v>1</v>
      </c>
      <c r="F359" s="14" t="s">
        <v>3982</v>
      </c>
      <c r="G359" s="14">
        <f>(VLOOKUP(D359,'[1]BOM Info General'!$A:$L,12,0))*E359</f>
        <v>35.56</v>
      </c>
      <c r="H359" s="15" t="s">
        <v>39</v>
      </c>
      <c r="I359" s="15">
        <v>1</v>
      </c>
      <c r="J359" s="15" t="s">
        <v>46</v>
      </c>
      <c r="K359" s="15">
        <f>(VLOOKUP(H359,'[1]BOM Info General'!$A:$L,12,0))*I359</f>
        <v>24.42</v>
      </c>
      <c r="L359" s="9" t="s">
        <v>54</v>
      </c>
      <c r="M359" s="9">
        <v>1</v>
      </c>
      <c r="N359" s="9" t="s">
        <v>53</v>
      </c>
      <c r="O359" s="9">
        <f>(VLOOKUP(L359,'[1]Simulation pricing per sub assy'!$D:$E,2,0))*M359</f>
        <v>43.868799999999993</v>
      </c>
      <c r="P359" s="16" t="s">
        <v>52</v>
      </c>
      <c r="Q359" s="16">
        <v>2</v>
      </c>
      <c r="R359" s="16" t="s">
        <v>18</v>
      </c>
      <c r="S359" s="40">
        <f>(VLOOKUP(P359,'[1]BOM Info General'!$A:$L,12,0))*Q359</f>
        <v>5.3</v>
      </c>
      <c r="T359" s="17" t="s">
        <v>10</v>
      </c>
      <c r="U359" s="17">
        <v>1</v>
      </c>
      <c r="V359" s="17" t="s">
        <v>11</v>
      </c>
      <c r="W359" s="17">
        <f>(VLOOKUP(T359,'[1]Simulation pricing per sub assy'!$D:$E,2,0))*U359</f>
        <v>2.0499999999999998</v>
      </c>
      <c r="X359" s="18" t="s">
        <v>615</v>
      </c>
      <c r="Y359" s="18">
        <v>1</v>
      </c>
      <c r="Z359" s="18" t="s">
        <v>9</v>
      </c>
      <c r="AA359" s="18">
        <f>(VLOOKUP(X359,'[1]Simulation pricing per sub assy'!$D:$E,2,0))*Y359</f>
        <v>1.5769808000000001</v>
      </c>
    </row>
    <row r="360" spans="1:27" x14ac:dyDescent="0.35">
      <c r="A360" s="13" t="s">
        <v>193</v>
      </c>
      <c r="B360" s="13" t="s">
        <v>4117</v>
      </c>
      <c r="C360" s="42">
        <f t="shared" si="5"/>
        <v>112.51578079999999</v>
      </c>
      <c r="D360" s="14" t="s">
        <v>42</v>
      </c>
      <c r="E360" s="14">
        <v>1</v>
      </c>
      <c r="F360" s="14" t="s">
        <v>3982</v>
      </c>
      <c r="G360" s="14">
        <f>(VLOOKUP(D360,'[1]BOM Info General'!$A:$L,12,0))*E360</f>
        <v>35.56</v>
      </c>
      <c r="H360" s="15" t="s">
        <v>39</v>
      </c>
      <c r="I360" s="15">
        <v>1</v>
      </c>
      <c r="J360" s="15" t="s">
        <v>46</v>
      </c>
      <c r="K360" s="15">
        <f>(VLOOKUP(H360,'[1]BOM Info General'!$A:$L,12,0))*I360</f>
        <v>24.42</v>
      </c>
      <c r="L360" s="9" t="s">
        <v>60</v>
      </c>
      <c r="M360" s="9">
        <v>1</v>
      </c>
      <c r="N360" s="9" t="s">
        <v>57</v>
      </c>
      <c r="O360" s="9">
        <f>(VLOOKUP(L360,'[1]Simulation pricing per sub assy'!$D:$E,2,0))*M360</f>
        <v>43.608799999999988</v>
      </c>
      <c r="P360" s="16" t="s">
        <v>52</v>
      </c>
      <c r="Q360" s="16">
        <v>2</v>
      </c>
      <c r="R360" s="16" t="s">
        <v>18</v>
      </c>
      <c r="S360" s="40">
        <f>(VLOOKUP(P360,'[1]BOM Info General'!$A:$L,12,0))*Q360</f>
        <v>5.3</v>
      </c>
      <c r="T360" s="17" t="s">
        <v>10</v>
      </c>
      <c r="U360" s="17">
        <v>1</v>
      </c>
      <c r="V360" s="17" t="s">
        <v>11</v>
      </c>
      <c r="W360" s="17">
        <f>(VLOOKUP(T360,'[1]Simulation pricing per sub assy'!$D:$E,2,0))*U360</f>
        <v>2.0499999999999998</v>
      </c>
      <c r="X360" s="18" t="s">
        <v>615</v>
      </c>
      <c r="Y360" s="18">
        <v>1</v>
      </c>
      <c r="Z360" s="18" t="s">
        <v>9</v>
      </c>
      <c r="AA360" s="18">
        <f>(VLOOKUP(X360,'[1]Simulation pricing per sub assy'!$D:$E,2,0))*Y360</f>
        <v>1.5769808000000001</v>
      </c>
    </row>
    <row r="361" spans="1:27" x14ac:dyDescent="0.35">
      <c r="A361" s="13" t="s">
        <v>265</v>
      </c>
      <c r="B361" s="13" t="s">
        <v>4118</v>
      </c>
      <c r="C361" s="42">
        <f t="shared" si="5"/>
        <v>120.18578079999999</v>
      </c>
      <c r="D361" s="14" t="s">
        <v>42</v>
      </c>
      <c r="E361" s="14">
        <v>1</v>
      </c>
      <c r="F361" s="14" t="s">
        <v>3982</v>
      </c>
      <c r="G361" s="14">
        <f>(VLOOKUP(D361,'[1]BOM Info General'!$A:$L,12,0))*E361</f>
        <v>35.56</v>
      </c>
      <c r="H361" s="15" t="s">
        <v>39</v>
      </c>
      <c r="I361" s="15">
        <v>1</v>
      </c>
      <c r="J361" s="15" t="s">
        <v>46</v>
      </c>
      <c r="K361" s="15">
        <f>(VLOOKUP(H361,'[1]BOM Info General'!$A:$L,12,0))*I361</f>
        <v>24.42</v>
      </c>
      <c r="L361" s="9" t="s">
        <v>56</v>
      </c>
      <c r="M361" s="9">
        <v>1</v>
      </c>
      <c r="N361" s="9" t="s">
        <v>59</v>
      </c>
      <c r="O361" s="9">
        <f>(VLOOKUP(L361,'[1]Simulation pricing per sub assy'!$D:$E,2,0))*M361</f>
        <v>51.27879999999999</v>
      </c>
      <c r="P361" s="16" t="s">
        <v>52</v>
      </c>
      <c r="Q361" s="16">
        <v>2</v>
      </c>
      <c r="R361" s="16" t="s">
        <v>18</v>
      </c>
      <c r="S361" s="40">
        <f>(VLOOKUP(P361,'[1]BOM Info General'!$A:$L,12,0))*Q361</f>
        <v>5.3</v>
      </c>
      <c r="T361" s="17" t="s">
        <v>10</v>
      </c>
      <c r="U361" s="17">
        <v>1</v>
      </c>
      <c r="V361" s="17" t="s">
        <v>11</v>
      </c>
      <c r="W361" s="17">
        <f>(VLOOKUP(T361,'[1]Simulation pricing per sub assy'!$D:$E,2,0))*U361</f>
        <v>2.0499999999999998</v>
      </c>
      <c r="X361" s="18" t="s">
        <v>615</v>
      </c>
      <c r="Y361" s="18">
        <v>1</v>
      </c>
      <c r="Z361" s="18" t="s">
        <v>9</v>
      </c>
      <c r="AA361" s="18">
        <f>(VLOOKUP(X361,'[1]Simulation pricing per sub assy'!$D:$E,2,0))*Y361</f>
        <v>1.5769808000000001</v>
      </c>
    </row>
    <row r="362" spans="1:27" x14ac:dyDescent="0.35">
      <c r="A362" s="13" t="s">
        <v>302</v>
      </c>
      <c r="B362" s="13" t="s">
        <v>4119</v>
      </c>
      <c r="C362" s="42">
        <f t="shared" si="5"/>
        <v>111.0657808</v>
      </c>
      <c r="D362" s="14" t="s">
        <v>42</v>
      </c>
      <c r="E362" s="14">
        <v>1</v>
      </c>
      <c r="F362" s="14" t="s">
        <v>3982</v>
      </c>
      <c r="G362" s="14">
        <f>(VLOOKUP(D362,'[1]BOM Info General'!$A:$L,12,0))*E362</f>
        <v>35.56</v>
      </c>
      <c r="H362" s="15" t="s">
        <v>39</v>
      </c>
      <c r="I362" s="15">
        <v>1</v>
      </c>
      <c r="J362" s="15" t="s">
        <v>46</v>
      </c>
      <c r="K362" s="15">
        <f>(VLOOKUP(H362,'[1]BOM Info General'!$A:$L,12,0))*I362</f>
        <v>24.42</v>
      </c>
      <c r="L362" s="9" t="s">
        <v>523</v>
      </c>
      <c r="M362" s="9">
        <v>1</v>
      </c>
      <c r="N362" s="9" t="s">
        <v>61</v>
      </c>
      <c r="O362" s="9">
        <f>(VLOOKUP(L362,'[1]Simulation pricing per sub assy'!$D:$E,2,0))*M362</f>
        <v>42.308799999999991</v>
      </c>
      <c r="P362" s="16" t="s">
        <v>52</v>
      </c>
      <c r="Q362" s="16">
        <v>2</v>
      </c>
      <c r="R362" s="16" t="s">
        <v>18</v>
      </c>
      <c r="S362" s="40">
        <f>(VLOOKUP(P362,'[1]BOM Info General'!$A:$L,12,0))*Q362</f>
        <v>5.3</v>
      </c>
      <c r="T362" s="17" t="s">
        <v>12</v>
      </c>
      <c r="U362" s="17">
        <v>1</v>
      </c>
      <c r="V362" s="17" t="s">
        <v>13</v>
      </c>
      <c r="W362" s="17">
        <f>(VLOOKUP(T362,'[1]Simulation pricing per sub assy'!$D:$E,2,0))*U362</f>
        <v>1.9</v>
      </c>
      <c r="X362" s="18" t="s">
        <v>615</v>
      </c>
      <c r="Y362" s="18">
        <v>1</v>
      </c>
      <c r="Z362" s="18" t="s">
        <v>9</v>
      </c>
      <c r="AA362" s="18">
        <f>(VLOOKUP(X362,'[1]Simulation pricing per sub assy'!$D:$E,2,0))*Y362</f>
        <v>1.5769808000000001</v>
      </c>
    </row>
    <row r="363" spans="1:27" x14ac:dyDescent="0.35">
      <c r="A363" s="13" t="s">
        <v>158</v>
      </c>
      <c r="B363" s="13" t="s">
        <v>4120</v>
      </c>
      <c r="C363" s="42">
        <f t="shared" si="5"/>
        <v>112.0457808</v>
      </c>
      <c r="D363" s="14" t="s">
        <v>42</v>
      </c>
      <c r="E363" s="14">
        <v>1</v>
      </c>
      <c r="F363" s="14" t="s">
        <v>3982</v>
      </c>
      <c r="G363" s="14">
        <f>(VLOOKUP(D363,'[1]BOM Info General'!$A:$L,12,0))*E363</f>
        <v>35.56</v>
      </c>
      <c r="H363" s="15" t="s">
        <v>39</v>
      </c>
      <c r="I363" s="15">
        <v>1</v>
      </c>
      <c r="J363" s="15" t="s">
        <v>46</v>
      </c>
      <c r="K363" s="15">
        <f>(VLOOKUP(H363,'[1]BOM Info General'!$A:$L,12,0))*I363</f>
        <v>24.42</v>
      </c>
      <c r="L363" s="9" t="s">
        <v>58</v>
      </c>
      <c r="M363" s="9">
        <v>1</v>
      </c>
      <c r="N363" s="9" t="s">
        <v>55</v>
      </c>
      <c r="O363" s="9">
        <f>(VLOOKUP(L363,'[1]Simulation pricing per sub assy'!$D:$E,2,0))*M363</f>
        <v>43.288799999999988</v>
      </c>
      <c r="P363" s="16" t="s">
        <v>52</v>
      </c>
      <c r="Q363" s="16">
        <v>2</v>
      </c>
      <c r="R363" s="16" t="s">
        <v>18</v>
      </c>
      <c r="S363" s="40">
        <f>(VLOOKUP(P363,'[1]BOM Info General'!$A:$L,12,0))*Q363</f>
        <v>5.3</v>
      </c>
      <c r="T363" s="17" t="s">
        <v>12</v>
      </c>
      <c r="U363" s="17">
        <v>1</v>
      </c>
      <c r="V363" s="17" t="s">
        <v>13</v>
      </c>
      <c r="W363" s="17">
        <f>(VLOOKUP(T363,'[1]Simulation pricing per sub assy'!$D:$E,2,0))*U363</f>
        <v>1.9</v>
      </c>
      <c r="X363" s="18" t="s">
        <v>615</v>
      </c>
      <c r="Y363" s="18">
        <v>1</v>
      </c>
      <c r="Z363" s="18" t="s">
        <v>9</v>
      </c>
      <c r="AA363" s="18">
        <f>(VLOOKUP(X363,'[1]Simulation pricing per sub assy'!$D:$E,2,0))*Y363</f>
        <v>1.5769808000000001</v>
      </c>
    </row>
    <row r="364" spans="1:27" x14ac:dyDescent="0.35">
      <c r="A364" s="13" t="s">
        <v>230</v>
      </c>
      <c r="B364" s="13" t="s">
        <v>4121</v>
      </c>
      <c r="C364" s="42">
        <f t="shared" si="5"/>
        <v>112.6257808</v>
      </c>
      <c r="D364" s="14" t="s">
        <v>42</v>
      </c>
      <c r="E364" s="14">
        <v>1</v>
      </c>
      <c r="F364" s="14" t="s">
        <v>3982</v>
      </c>
      <c r="G364" s="14">
        <f>(VLOOKUP(D364,'[1]BOM Info General'!$A:$L,12,0))*E364</f>
        <v>35.56</v>
      </c>
      <c r="H364" s="15" t="s">
        <v>39</v>
      </c>
      <c r="I364" s="15">
        <v>1</v>
      </c>
      <c r="J364" s="15" t="s">
        <v>46</v>
      </c>
      <c r="K364" s="15">
        <f>(VLOOKUP(H364,'[1]BOM Info General'!$A:$L,12,0))*I364</f>
        <v>24.42</v>
      </c>
      <c r="L364" s="9" t="s">
        <v>54</v>
      </c>
      <c r="M364" s="9">
        <v>1</v>
      </c>
      <c r="N364" s="9" t="s">
        <v>53</v>
      </c>
      <c r="O364" s="9">
        <f>(VLOOKUP(L364,'[1]Simulation pricing per sub assy'!$D:$E,2,0))*M364</f>
        <v>43.868799999999993</v>
      </c>
      <c r="P364" s="16" t="s">
        <v>52</v>
      </c>
      <c r="Q364" s="16">
        <v>2</v>
      </c>
      <c r="R364" s="16" t="s">
        <v>18</v>
      </c>
      <c r="S364" s="40">
        <f>(VLOOKUP(P364,'[1]BOM Info General'!$A:$L,12,0))*Q364</f>
        <v>5.3</v>
      </c>
      <c r="T364" s="17" t="s">
        <v>12</v>
      </c>
      <c r="U364" s="17">
        <v>1</v>
      </c>
      <c r="V364" s="17" t="s">
        <v>13</v>
      </c>
      <c r="W364" s="17">
        <f>(VLOOKUP(T364,'[1]Simulation pricing per sub assy'!$D:$E,2,0))*U364</f>
        <v>1.9</v>
      </c>
      <c r="X364" s="18" t="s">
        <v>615</v>
      </c>
      <c r="Y364" s="18">
        <v>1</v>
      </c>
      <c r="Z364" s="18" t="s">
        <v>9</v>
      </c>
      <c r="AA364" s="18">
        <f>(VLOOKUP(X364,'[1]Simulation pricing per sub assy'!$D:$E,2,0))*Y364</f>
        <v>1.5769808000000001</v>
      </c>
    </row>
    <row r="365" spans="1:27" x14ac:dyDescent="0.35">
      <c r="A365" s="13" t="s">
        <v>194</v>
      </c>
      <c r="B365" s="13" t="s">
        <v>4122</v>
      </c>
      <c r="C365" s="42">
        <f t="shared" si="5"/>
        <v>112.3657808</v>
      </c>
      <c r="D365" s="14" t="s">
        <v>42</v>
      </c>
      <c r="E365" s="14">
        <v>1</v>
      </c>
      <c r="F365" s="14" t="s">
        <v>3982</v>
      </c>
      <c r="G365" s="14">
        <f>(VLOOKUP(D365,'[1]BOM Info General'!$A:$L,12,0))*E365</f>
        <v>35.56</v>
      </c>
      <c r="H365" s="15" t="s">
        <v>39</v>
      </c>
      <c r="I365" s="15">
        <v>1</v>
      </c>
      <c r="J365" s="15" t="s">
        <v>46</v>
      </c>
      <c r="K365" s="15">
        <f>(VLOOKUP(H365,'[1]BOM Info General'!$A:$L,12,0))*I365</f>
        <v>24.42</v>
      </c>
      <c r="L365" s="9" t="s">
        <v>60</v>
      </c>
      <c r="M365" s="9">
        <v>1</v>
      </c>
      <c r="N365" s="9" t="s">
        <v>57</v>
      </c>
      <c r="O365" s="9">
        <f>(VLOOKUP(L365,'[1]Simulation pricing per sub assy'!$D:$E,2,0))*M365</f>
        <v>43.608799999999988</v>
      </c>
      <c r="P365" s="16" t="s">
        <v>52</v>
      </c>
      <c r="Q365" s="16">
        <v>2</v>
      </c>
      <c r="R365" s="16" t="s">
        <v>18</v>
      </c>
      <c r="S365" s="40">
        <f>(VLOOKUP(P365,'[1]BOM Info General'!$A:$L,12,0))*Q365</f>
        <v>5.3</v>
      </c>
      <c r="T365" s="17" t="s">
        <v>12</v>
      </c>
      <c r="U365" s="17">
        <v>1</v>
      </c>
      <c r="V365" s="17" t="s">
        <v>13</v>
      </c>
      <c r="W365" s="17">
        <f>(VLOOKUP(T365,'[1]Simulation pricing per sub assy'!$D:$E,2,0))*U365</f>
        <v>1.9</v>
      </c>
      <c r="X365" s="18" t="s">
        <v>615</v>
      </c>
      <c r="Y365" s="18">
        <v>1</v>
      </c>
      <c r="Z365" s="18" t="s">
        <v>9</v>
      </c>
      <c r="AA365" s="18">
        <f>(VLOOKUP(X365,'[1]Simulation pricing per sub assy'!$D:$E,2,0))*Y365</f>
        <v>1.5769808000000001</v>
      </c>
    </row>
    <row r="366" spans="1:27" x14ac:dyDescent="0.35">
      <c r="A366" s="13" t="s">
        <v>266</v>
      </c>
      <c r="B366" s="13" t="s">
        <v>4123</v>
      </c>
      <c r="C366" s="42">
        <f t="shared" si="5"/>
        <v>120.0357808</v>
      </c>
      <c r="D366" s="14" t="s">
        <v>42</v>
      </c>
      <c r="E366" s="14">
        <v>1</v>
      </c>
      <c r="F366" s="14" t="s">
        <v>3982</v>
      </c>
      <c r="G366" s="14">
        <f>(VLOOKUP(D366,'[1]BOM Info General'!$A:$L,12,0))*E366</f>
        <v>35.56</v>
      </c>
      <c r="H366" s="15" t="s">
        <v>39</v>
      </c>
      <c r="I366" s="15">
        <v>1</v>
      </c>
      <c r="J366" s="15" t="s">
        <v>46</v>
      </c>
      <c r="K366" s="15">
        <f>(VLOOKUP(H366,'[1]BOM Info General'!$A:$L,12,0))*I366</f>
        <v>24.42</v>
      </c>
      <c r="L366" s="9" t="s">
        <v>56</v>
      </c>
      <c r="M366" s="9">
        <v>1</v>
      </c>
      <c r="N366" s="9" t="s">
        <v>59</v>
      </c>
      <c r="O366" s="9">
        <f>(VLOOKUP(L366,'[1]Simulation pricing per sub assy'!$D:$E,2,0))*M366</f>
        <v>51.27879999999999</v>
      </c>
      <c r="P366" s="16" t="s">
        <v>52</v>
      </c>
      <c r="Q366" s="16">
        <v>2</v>
      </c>
      <c r="R366" s="16" t="s">
        <v>18</v>
      </c>
      <c r="S366" s="40">
        <f>(VLOOKUP(P366,'[1]BOM Info General'!$A:$L,12,0))*Q366</f>
        <v>5.3</v>
      </c>
      <c r="T366" s="17" t="s">
        <v>12</v>
      </c>
      <c r="U366" s="17">
        <v>1</v>
      </c>
      <c r="V366" s="17" t="s">
        <v>13</v>
      </c>
      <c r="W366" s="17">
        <f>(VLOOKUP(T366,'[1]Simulation pricing per sub assy'!$D:$E,2,0))*U366</f>
        <v>1.9</v>
      </c>
      <c r="X366" s="18" t="s">
        <v>615</v>
      </c>
      <c r="Y366" s="18">
        <v>1</v>
      </c>
      <c r="Z366" s="18" t="s">
        <v>9</v>
      </c>
      <c r="AA366" s="18">
        <f>(VLOOKUP(X366,'[1]Simulation pricing per sub assy'!$D:$E,2,0))*Y366</f>
        <v>1.5769808000000001</v>
      </c>
    </row>
    <row r="367" spans="1:27" x14ac:dyDescent="0.35">
      <c r="A367" s="13" t="s">
        <v>303</v>
      </c>
      <c r="B367" s="13" t="s">
        <v>4124</v>
      </c>
      <c r="C367" s="42">
        <f t="shared" si="5"/>
        <v>111.0657808</v>
      </c>
      <c r="D367" s="14" t="s">
        <v>42</v>
      </c>
      <c r="E367" s="14">
        <v>1</v>
      </c>
      <c r="F367" s="14" t="s">
        <v>3982</v>
      </c>
      <c r="G367" s="14">
        <f>(VLOOKUP(D367,'[1]BOM Info General'!$A:$L,12,0))*E367</f>
        <v>35.56</v>
      </c>
      <c r="H367" s="15" t="s">
        <v>39</v>
      </c>
      <c r="I367" s="15">
        <v>1</v>
      </c>
      <c r="J367" s="15" t="s">
        <v>46</v>
      </c>
      <c r="K367" s="15">
        <f>(VLOOKUP(H367,'[1]BOM Info General'!$A:$L,12,0))*I367</f>
        <v>24.42</v>
      </c>
      <c r="L367" s="9" t="s">
        <v>523</v>
      </c>
      <c r="M367" s="9">
        <v>1</v>
      </c>
      <c r="N367" s="9" t="s">
        <v>61</v>
      </c>
      <c r="O367" s="9">
        <f>(VLOOKUP(L367,'[1]Simulation pricing per sub assy'!$D:$E,2,0))*M367</f>
        <v>42.308799999999991</v>
      </c>
      <c r="P367" s="16" t="s">
        <v>52</v>
      </c>
      <c r="Q367" s="16">
        <v>2</v>
      </c>
      <c r="R367" s="16" t="s">
        <v>18</v>
      </c>
      <c r="S367" s="40">
        <f>(VLOOKUP(P367,'[1]BOM Info General'!$A:$L,12,0))*Q367</f>
        <v>5.3</v>
      </c>
      <c r="T367" s="17" t="s">
        <v>14</v>
      </c>
      <c r="U367" s="17">
        <v>1</v>
      </c>
      <c r="V367" s="17" t="s">
        <v>15</v>
      </c>
      <c r="W367" s="17">
        <f>(VLOOKUP(T367,'[1]Simulation pricing per sub assy'!$D:$E,2,0))*U367</f>
        <v>1.9</v>
      </c>
      <c r="X367" s="18" t="s">
        <v>615</v>
      </c>
      <c r="Y367" s="18">
        <v>1</v>
      </c>
      <c r="Z367" s="18" t="s">
        <v>9</v>
      </c>
      <c r="AA367" s="18">
        <f>(VLOOKUP(X367,'[1]Simulation pricing per sub assy'!$D:$E,2,0))*Y367</f>
        <v>1.5769808000000001</v>
      </c>
    </row>
    <row r="368" spans="1:27" x14ac:dyDescent="0.35">
      <c r="A368" s="13" t="s">
        <v>159</v>
      </c>
      <c r="B368" s="13" t="s">
        <v>4125</v>
      </c>
      <c r="C368" s="42">
        <f t="shared" si="5"/>
        <v>112.0457808</v>
      </c>
      <c r="D368" s="14" t="s">
        <v>42</v>
      </c>
      <c r="E368" s="14">
        <v>1</v>
      </c>
      <c r="F368" s="14" t="s">
        <v>3982</v>
      </c>
      <c r="G368" s="14">
        <f>(VLOOKUP(D368,'[1]BOM Info General'!$A:$L,12,0))*E368</f>
        <v>35.56</v>
      </c>
      <c r="H368" s="15" t="s">
        <v>39</v>
      </c>
      <c r="I368" s="15">
        <v>1</v>
      </c>
      <c r="J368" s="15" t="s">
        <v>46</v>
      </c>
      <c r="K368" s="15">
        <f>(VLOOKUP(H368,'[1]BOM Info General'!$A:$L,12,0))*I368</f>
        <v>24.42</v>
      </c>
      <c r="L368" s="9" t="s">
        <v>58</v>
      </c>
      <c r="M368" s="9">
        <v>1</v>
      </c>
      <c r="N368" s="9" t="s">
        <v>55</v>
      </c>
      <c r="O368" s="9">
        <f>(VLOOKUP(L368,'[1]Simulation pricing per sub assy'!$D:$E,2,0))*M368</f>
        <v>43.288799999999988</v>
      </c>
      <c r="P368" s="16" t="s">
        <v>52</v>
      </c>
      <c r="Q368" s="16">
        <v>2</v>
      </c>
      <c r="R368" s="16" t="s">
        <v>18</v>
      </c>
      <c r="S368" s="40">
        <f>(VLOOKUP(P368,'[1]BOM Info General'!$A:$L,12,0))*Q368</f>
        <v>5.3</v>
      </c>
      <c r="T368" s="17" t="s">
        <v>14</v>
      </c>
      <c r="U368" s="17">
        <v>1</v>
      </c>
      <c r="V368" s="17" t="s">
        <v>15</v>
      </c>
      <c r="W368" s="17">
        <f>(VLOOKUP(T368,'[1]Simulation pricing per sub assy'!$D:$E,2,0))*U368</f>
        <v>1.9</v>
      </c>
      <c r="X368" s="18" t="s">
        <v>615</v>
      </c>
      <c r="Y368" s="18">
        <v>1</v>
      </c>
      <c r="Z368" s="18" t="s">
        <v>9</v>
      </c>
      <c r="AA368" s="18">
        <f>(VLOOKUP(X368,'[1]Simulation pricing per sub assy'!$D:$E,2,0))*Y368</f>
        <v>1.5769808000000001</v>
      </c>
    </row>
    <row r="369" spans="1:27" x14ac:dyDescent="0.35">
      <c r="A369" s="13" t="s">
        <v>231</v>
      </c>
      <c r="B369" s="13" t="s">
        <v>4126</v>
      </c>
      <c r="C369" s="42">
        <f t="shared" si="5"/>
        <v>112.6257808</v>
      </c>
      <c r="D369" s="14" t="s">
        <v>42</v>
      </c>
      <c r="E369" s="14">
        <v>1</v>
      </c>
      <c r="F369" s="14" t="s">
        <v>3982</v>
      </c>
      <c r="G369" s="14">
        <f>(VLOOKUP(D369,'[1]BOM Info General'!$A:$L,12,0))*E369</f>
        <v>35.56</v>
      </c>
      <c r="H369" s="15" t="s">
        <v>39</v>
      </c>
      <c r="I369" s="15">
        <v>1</v>
      </c>
      <c r="J369" s="15" t="s">
        <v>46</v>
      </c>
      <c r="K369" s="15">
        <f>(VLOOKUP(H369,'[1]BOM Info General'!$A:$L,12,0))*I369</f>
        <v>24.42</v>
      </c>
      <c r="L369" s="9" t="s">
        <v>54</v>
      </c>
      <c r="M369" s="9">
        <v>1</v>
      </c>
      <c r="N369" s="9" t="s">
        <v>53</v>
      </c>
      <c r="O369" s="9">
        <f>(VLOOKUP(L369,'[1]Simulation pricing per sub assy'!$D:$E,2,0))*M369</f>
        <v>43.868799999999993</v>
      </c>
      <c r="P369" s="16" t="s">
        <v>52</v>
      </c>
      <c r="Q369" s="16">
        <v>2</v>
      </c>
      <c r="R369" s="16" t="s">
        <v>18</v>
      </c>
      <c r="S369" s="40">
        <f>(VLOOKUP(P369,'[1]BOM Info General'!$A:$L,12,0))*Q369</f>
        <v>5.3</v>
      </c>
      <c r="T369" s="17" t="s">
        <v>14</v>
      </c>
      <c r="U369" s="17">
        <v>1</v>
      </c>
      <c r="V369" s="17" t="s">
        <v>15</v>
      </c>
      <c r="W369" s="17">
        <f>(VLOOKUP(T369,'[1]Simulation pricing per sub assy'!$D:$E,2,0))*U369</f>
        <v>1.9</v>
      </c>
      <c r="X369" s="18" t="s">
        <v>615</v>
      </c>
      <c r="Y369" s="18">
        <v>1</v>
      </c>
      <c r="Z369" s="18" t="s">
        <v>9</v>
      </c>
      <c r="AA369" s="18">
        <f>(VLOOKUP(X369,'[1]Simulation pricing per sub assy'!$D:$E,2,0))*Y369</f>
        <v>1.5769808000000001</v>
      </c>
    </row>
    <row r="370" spans="1:27" x14ac:dyDescent="0.35">
      <c r="A370" s="13" t="s">
        <v>195</v>
      </c>
      <c r="B370" s="13" t="s">
        <v>4127</v>
      </c>
      <c r="C370" s="42">
        <f t="shared" si="5"/>
        <v>112.3657808</v>
      </c>
      <c r="D370" s="14" t="s">
        <v>42</v>
      </c>
      <c r="E370" s="14">
        <v>1</v>
      </c>
      <c r="F370" s="14" t="s">
        <v>3982</v>
      </c>
      <c r="G370" s="14">
        <f>(VLOOKUP(D370,'[1]BOM Info General'!$A:$L,12,0))*E370</f>
        <v>35.56</v>
      </c>
      <c r="H370" s="15" t="s">
        <v>39</v>
      </c>
      <c r="I370" s="15">
        <v>1</v>
      </c>
      <c r="J370" s="15" t="s">
        <v>46</v>
      </c>
      <c r="K370" s="15">
        <f>(VLOOKUP(H370,'[1]BOM Info General'!$A:$L,12,0))*I370</f>
        <v>24.42</v>
      </c>
      <c r="L370" s="9" t="s">
        <v>60</v>
      </c>
      <c r="M370" s="9">
        <v>1</v>
      </c>
      <c r="N370" s="9" t="s">
        <v>57</v>
      </c>
      <c r="O370" s="9">
        <f>(VLOOKUP(L370,'[1]Simulation pricing per sub assy'!$D:$E,2,0))*M370</f>
        <v>43.608799999999988</v>
      </c>
      <c r="P370" s="16" t="s">
        <v>52</v>
      </c>
      <c r="Q370" s="16">
        <v>2</v>
      </c>
      <c r="R370" s="16" t="s">
        <v>18</v>
      </c>
      <c r="S370" s="40">
        <f>(VLOOKUP(P370,'[1]BOM Info General'!$A:$L,12,0))*Q370</f>
        <v>5.3</v>
      </c>
      <c r="T370" s="17" t="s">
        <v>14</v>
      </c>
      <c r="U370" s="17">
        <v>1</v>
      </c>
      <c r="V370" s="17" t="s">
        <v>15</v>
      </c>
      <c r="W370" s="17">
        <f>(VLOOKUP(T370,'[1]Simulation pricing per sub assy'!$D:$E,2,0))*U370</f>
        <v>1.9</v>
      </c>
      <c r="X370" s="18" t="s">
        <v>615</v>
      </c>
      <c r="Y370" s="18">
        <v>1</v>
      </c>
      <c r="Z370" s="18" t="s">
        <v>9</v>
      </c>
      <c r="AA370" s="18">
        <f>(VLOOKUP(X370,'[1]Simulation pricing per sub assy'!$D:$E,2,0))*Y370</f>
        <v>1.5769808000000001</v>
      </c>
    </row>
    <row r="371" spans="1:27" x14ac:dyDescent="0.35">
      <c r="A371" s="13" t="s">
        <v>267</v>
      </c>
      <c r="B371" s="13" t="s">
        <v>4128</v>
      </c>
      <c r="C371" s="42">
        <f t="shared" si="5"/>
        <v>120.0357808</v>
      </c>
      <c r="D371" s="14" t="s">
        <v>42</v>
      </c>
      <c r="E371" s="14">
        <v>1</v>
      </c>
      <c r="F371" s="14" t="s">
        <v>3982</v>
      </c>
      <c r="G371" s="14">
        <f>(VLOOKUP(D371,'[1]BOM Info General'!$A:$L,12,0))*E371</f>
        <v>35.56</v>
      </c>
      <c r="H371" s="15" t="s">
        <v>39</v>
      </c>
      <c r="I371" s="15">
        <v>1</v>
      </c>
      <c r="J371" s="15" t="s">
        <v>46</v>
      </c>
      <c r="K371" s="15">
        <f>(VLOOKUP(H371,'[1]BOM Info General'!$A:$L,12,0))*I371</f>
        <v>24.42</v>
      </c>
      <c r="L371" s="9" t="s">
        <v>56</v>
      </c>
      <c r="M371" s="9">
        <v>1</v>
      </c>
      <c r="N371" s="9" t="s">
        <v>59</v>
      </c>
      <c r="O371" s="9">
        <f>(VLOOKUP(L371,'[1]Simulation pricing per sub assy'!$D:$E,2,0))*M371</f>
        <v>51.27879999999999</v>
      </c>
      <c r="P371" s="16" t="s">
        <v>52</v>
      </c>
      <c r="Q371" s="16">
        <v>2</v>
      </c>
      <c r="R371" s="16" t="s">
        <v>18</v>
      </c>
      <c r="S371" s="40">
        <f>(VLOOKUP(P371,'[1]BOM Info General'!$A:$L,12,0))*Q371</f>
        <v>5.3</v>
      </c>
      <c r="T371" s="17" t="s">
        <v>14</v>
      </c>
      <c r="U371" s="17">
        <v>1</v>
      </c>
      <c r="V371" s="17" t="s">
        <v>15</v>
      </c>
      <c r="W371" s="17">
        <f>(VLOOKUP(T371,'[1]Simulation pricing per sub assy'!$D:$E,2,0))*U371</f>
        <v>1.9</v>
      </c>
      <c r="X371" s="18" t="s">
        <v>615</v>
      </c>
      <c r="Y371" s="18">
        <v>1</v>
      </c>
      <c r="Z371" s="18" t="s">
        <v>9</v>
      </c>
      <c r="AA371" s="18">
        <f>(VLOOKUP(X371,'[1]Simulation pricing per sub assy'!$D:$E,2,0))*Y371</f>
        <v>1.5769808000000001</v>
      </c>
    </row>
    <row r="372" spans="1:27" x14ac:dyDescent="0.35">
      <c r="A372" s="13" t="s">
        <v>570</v>
      </c>
      <c r="B372" s="13" t="s">
        <v>4129</v>
      </c>
      <c r="C372" s="42">
        <f t="shared" si="5"/>
        <v>111.5057808</v>
      </c>
      <c r="D372" s="14" t="s">
        <v>42</v>
      </c>
      <c r="E372" s="14">
        <v>1</v>
      </c>
      <c r="F372" s="14" t="s">
        <v>3982</v>
      </c>
      <c r="G372" s="14">
        <f>(VLOOKUP(D372,'[1]BOM Info General'!$A:$L,12,0))*E372</f>
        <v>35.56</v>
      </c>
      <c r="H372" s="15" t="s">
        <v>39</v>
      </c>
      <c r="I372" s="15">
        <v>1</v>
      </c>
      <c r="J372" s="15" t="s">
        <v>46</v>
      </c>
      <c r="K372" s="15">
        <f>(VLOOKUP(H372,'[1]BOM Info General'!$A:$L,12,0))*I372</f>
        <v>24.42</v>
      </c>
      <c r="L372" s="9" t="s">
        <v>523</v>
      </c>
      <c r="M372" s="9">
        <v>1</v>
      </c>
      <c r="N372" s="9" t="s">
        <v>61</v>
      </c>
      <c r="O372" s="9">
        <f>(VLOOKUP(L372,'[1]Simulation pricing per sub assy'!$D:$E,2,0))*M372</f>
        <v>42.308799999999991</v>
      </c>
      <c r="P372" s="16" t="s">
        <v>50</v>
      </c>
      <c r="Q372" s="16">
        <v>2</v>
      </c>
      <c r="R372" s="16" t="s">
        <v>611</v>
      </c>
      <c r="S372" s="40">
        <f>(VLOOKUP(P372,'[1]BOM Info General'!$A:$L,12,0))*Q372</f>
        <v>5.3</v>
      </c>
      <c r="T372" s="17" t="s">
        <v>19</v>
      </c>
      <c r="U372" s="17">
        <v>1</v>
      </c>
      <c r="V372" s="17" t="s">
        <v>20</v>
      </c>
      <c r="W372" s="17">
        <f>(VLOOKUP(T372,'[1]Simulation pricing per sub assy'!$D:$E,2,0))*U372</f>
        <v>2.3400000000000003</v>
      </c>
      <c r="X372" s="18" t="s">
        <v>615</v>
      </c>
      <c r="Y372" s="18">
        <v>1</v>
      </c>
      <c r="Z372" s="18" t="s">
        <v>9</v>
      </c>
      <c r="AA372" s="18">
        <f>(VLOOKUP(X372,'[1]Simulation pricing per sub assy'!$D:$E,2,0))*Y372</f>
        <v>1.5769808000000001</v>
      </c>
    </row>
    <row r="373" spans="1:27" x14ac:dyDescent="0.35">
      <c r="A373" s="13" t="s">
        <v>566</v>
      </c>
      <c r="B373" s="13" t="s">
        <v>4130</v>
      </c>
      <c r="C373" s="42">
        <f t="shared" si="5"/>
        <v>112.4857808</v>
      </c>
      <c r="D373" s="14" t="s">
        <v>42</v>
      </c>
      <c r="E373" s="14">
        <v>1</v>
      </c>
      <c r="F373" s="14" t="s">
        <v>3982</v>
      </c>
      <c r="G373" s="14">
        <f>(VLOOKUP(D373,'[1]BOM Info General'!$A:$L,12,0))*E373</f>
        <v>35.56</v>
      </c>
      <c r="H373" s="15" t="s">
        <v>39</v>
      </c>
      <c r="I373" s="15">
        <v>1</v>
      </c>
      <c r="J373" s="15" t="s">
        <v>46</v>
      </c>
      <c r="K373" s="15">
        <f>(VLOOKUP(H373,'[1]BOM Info General'!$A:$L,12,0))*I373</f>
        <v>24.42</v>
      </c>
      <c r="L373" s="9" t="s">
        <v>58</v>
      </c>
      <c r="M373" s="9">
        <v>1</v>
      </c>
      <c r="N373" s="9" t="s">
        <v>55</v>
      </c>
      <c r="O373" s="9">
        <f>(VLOOKUP(L373,'[1]Simulation pricing per sub assy'!$D:$E,2,0))*M373</f>
        <v>43.288799999999988</v>
      </c>
      <c r="P373" s="16" t="s">
        <v>50</v>
      </c>
      <c r="Q373" s="16">
        <v>2</v>
      </c>
      <c r="R373" s="16" t="s">
        <v>611</v>
      </c>
      <c r="S373" s="40">
        <f>(VLOOKUP(P373,'[1]BOM Info General'!$A:$L,12,0))*Q373</f>
        <v>5.3</v>
      </c>
      <c r="T373" s="17" t="s">
        <v>19</v>
      </c>
      <c r="U373" s="17">
        <v>1</v>
      </c>
      <c r="V373" s="17" t="s">
        <v>20</v>
      </c>
      <c r="W373" s="17">
        <f>(VLOOKUP(T373,'[1]Simulation pricing per sub assy'!$D:$E,2,0))*U373</f>
        <v>2.3400000000000003</v>
      </c>
      <c r="X373" s="18" t="s">
        <v>615</v>
      </c>
      <c r="Y373" s="18">
        <v>1</v>
      </c>
      <c r="Z373" s="18" t="s">
        <v>9</v>
      </c>
      <c r="AA373" s="18">
        <f>(VLOOKUP(X373,'[1]Simulation pricing per sub assy'!$D:$E,2,0))*Y373</f>
        <v>1.5769808000000001</v>
      </c>
    </row>
    <row r="374" spans="1:27" x14ac:dyDescent="0.35">
      <c r="A374" s="13" t="s">
        <v>568</v>
      </c>
      <c r="B374" s="13" t="s">
        <v>4131</v>
      </c>
      <c r="C374" s="42">
        <f t="shared" si="5"/>
        <v>113.0657808</v>
      </c>
      <c r="D374" s="14" t="s">
        <v>42</v>
      </c>
      <c r="E374" s="14">
        <v>1</v>
      </c>
      <c r="F374" s="14" t="s">
        <v>3982</v>
      </c>
      <c r="G374" s="14">
        <f>(VLOOKUP(D374,'[1]BOM Info General'!$A:$L,12,0))*E374</f>
        <v>35.56</v>
      </c>
      <c r="H374" s="15" t="s">
        <v>39</v>
      </c>
      <c r="I374" s="15">
        <v>1</v>
      </c>
      <c r="J374" s="15" t="s">
        <v>46</v>
      </c>
      <c r="K374" s="15">
        <f>(VLOOKUP(H374,'[1]BOM Info General'!$A:$L,12,0))*I374</f>
        <v>24.42</v>
      </c>
      <c r="L374" s="9" t="s">
        <v>54</v>
      </c>
      <c r="M374" s="9">
        <v>1</v>
      </c>
      <c r="N374" s="9" t="s">
        <v>53</v>
      </c>
      <c r="O374" s="9">
        <f>(VLOOKUP(L374,'[1]Simulation pricing per sub assy'!$D:$E,2,0))*M374</f>
        <v>43.868799999999993</v>
      </c>
      <c r="P374" s="16" t="s">
        <v>50</v>
      </c>
      <c r="Q374" s="16">
        <v>2</v>
      </c>
      <c r="R374" s="16" t="s">
        <v>611</v>
      </c>
      <c r="S374" s="40">
        <f>(VLOOKUP(P374,'[1]BOM Info General'!$A:$L,12,0))*Q374</f>
        <v>5.3</v>
      </c>
      <c r="T374" s="17" t="s">
        <v>19</v>
      </c>
      <c r="U374" s="17">
        <v>1</v>
      </c>
      <c r="V374" s="17" t="s">
        <v>20</v>
      </c>
      <c r="W374" s="17">
        <f>(VLOOKUP(T374,'[1]Simulation pricing per sub assy'!$D:$E,2,0))*U374</f>
        <v>2.3400000000000003</v>
      </c>
      <c r="X374" s="18" t="s">
        <v>615</v>
      </c>
      <c r="Y374" s="18">
        <v>1</v>
      </c>
      <c r="Z374" s="18" t="s">
        <v>9</v>
      </c>
      <c r="AA374" s="18">
        <f>(VLOOKUP(X374,'[1]Simulation pricing per sub assy'!$D:$E,2,0))*Y374</f>
        <v>1.5769808000000001</v>
      </c>
    </row>
    <row r="375" spans="1:27" x14ac:dyDescent="0.35">
      <c r="A375" s="13" t="s">
        <v>567</v>
      </c>
      <c r="B375" s="13" t="s">
        <v>4132</v>
      </c>
      <c r="C375" s="42">
        <f t="shared" si="5"/>
        <v>112.80578079999999</v>
      </c>
      <c r="D375" s="14" t="s">
        <v>42</v>
      </c>
      <c r="E375" s="14">
        <v>1</v>
      </c>
      <c r="F375" s="14" t="s">
        <v>3982</v>
      </c>
      <c r="G375" s="14">
        <f>(VLOOKUP(D375,'[1]BOM Info General'!$A:$L,12,0))*E375</f>
        <v>35.56</v>
      </c>
      <c r="H375" s="15" t="s">
        <v>39</v>
      </c>
      <c r="I375" s="15">
        <v>1</v>
      </c>
      <c r="J375" s="15" t="s">
        <v>46</v>
      </c>
      <c r="K375" s="15">
        <f>(VLOOKUP(H375,'[1]BOM Info General'!$A:$L,12,0))*I375</f>
        <v>24.42</v>
      </c>
      <c r="L375" s="9" t="s">
        <v>60</v>
      </c>
      <c r="M375" s="9">
        <v>1</v>
      </c>
      <c r="N375" s="9" t="s">
        <v>57</v>
      </c>
      <c r="O375" s="9">
        <f>(VLOOKUP(L375,'[1]Simulation pricing per sub assy'!$D:$E,2,0))*M375</f>
        <v>43.608799999999988</v>
      </c>
      <c r="P375" s="16" t="s">
        <v>50</v>
      </c>
      <c r="Q375" s="16">
        <v>2</v>
      </c>
      <c r="R375" s="16" t="s">
        <v>611</v>
      </c>
      <c r="S375" s="40">
        <f>(VLOOKUP(P375,'[1]BOM Info General'!$A:$L,12,0))*Q375</f>
        <v>5.3</v>
      </c>
      <c r="T375" s="17" t="s">
        <v>19</v>
      </c>
      <c r="U375" s="17">
        <v>1</v>
      </c>
      <c r="V375" s="17" t="s">
        <v>20</v>
      </c>
      <c r="W375" s="17">
        <f>(VLOOKUP(T375,'[1]Simulation pricing per sub assy'!$D:$E,2,0))*U375</f>
        <v>2.3400000000000003</v>
      </c>
      <c r="X375" s="18" t="s">
        <v>615</v>
      </c>
      <c r="Y375" s="18">
        <v>1</v>
      </c>
      <c r="Z375" s="18" t="s">
        <v>9</v>
      </c>
      <c r="AA375" s="18">
        <f>(VLOOKUP(X375,'[1]Simulation pricing per sub assy'!$D:$E,2,0))*Y375</f>
        <v>1.5769808000000001</v>
      </c>
    </row>
    <row r="376" spans="1:27" x14ac:dyDescent="0.35">
      <c r="A376" s="13" t="s">
        <v>569</v>
      </c>
      <c r="B376" s="13" t="s">
        <v>4133</v>
      </c>
      <c r="C376" s="42">
        <f t="shared" si="5"/>
        <v>120.4757808</v>
      </c>
      <c r="D376" s="14" t="s">
        <v>42</v>
      </c>
      <c r="E376" s="14">
        <v>1</v>
      </c>
      <c r="F376" s="14" t="s">
        <v>3982</v>
      </c>
      <c r="G376" s="14">
        <f>(VLOOKUP(D376,'[1]BOM Info General'!$A:$L,12,0))*E376</f>
        <v>35.56</v>
      </c>
      <c r="H376" s="15" t="s">
        <v>39</v>
      </c>
      <c r="I376" s="15">
        <v>1</v>
      </c>
      <c r="J376" s="15" t="s">
        <v>46</v>
      </c>
      <c r="K376" s="15">
        <f>(VLOOKUP(H376,'[1]BOM Info General'!$A:$L,12,0))*I376</f>
        <v>24.42</v>
      </c>
      <c r="L376" s="9" t="s">
        <v>56</v>
      </c>
      <c r="M376" s="9">
        <v>1</v>
      </c>
      <c r="N376" s="9" t="s">
        <v>59</v>
      </c>
      <c r="O376" s="9">
        <f>(VLOOKUP(L376,'[1]Simulation pricing per sub assy'!$D:$E,2,0))*M376</f>
        <v>51.27879999999999</v>
      </c>
      <c r="P376" s="16" t="s">
        <v>50</v>
      </c>
      <c r="Q376" s="16">
        <v>2</v>
      </c>
      <c r="R376" s="16" t="s">
        <v>611</v>
      </c>
      <c r="S376" s="40">
        <f>(VLOOKUP(P376,'[1]BOM Info General'!$A:$L,12,0))*Q376</f>
        <v>5.3</v>
      </c>
      <c r="T376" s="17" t="s">
        <v>19</v>
      </c>
      <c r="U376" s="17">
        <v>1</v>
      </c>
      <c r="V376" s="17" t="s">
        <v>20</v>
      </c>
      <c r="W376" s="17">
        <f>(VLOOKUP(T376,'[1]Simulation pricing per sub assy'!$D:$E,2,0))*U376</f>
        <v>2.3400000000000003</v>
      </c>
      <c r="X376" s="18" t="s">
        <v>615</v>
      </c>
      <c r="Y376" s="18">
        <v>1</v>
      </c>
      <c r="Z376" s="18" t="s">
        <v>9</v>
      </c>
      <c r="AA376" s="18">
        <f>(VLOOKUP(X376,'[1]Simulation pricing per sub assy'!$D:$E,2,0))*Y376</f>
        <v>1.5769808000000001</v>
      </c>
    </row>
    <row r="377" spans="1:27" x14ac:dyDescent="0.35">
      <c r="A377" s="13" t="s">
        <v>536</v>
      </c>
      <c r="B377" s="13" t="s">
        <v>4134</v>
      </c>
      <c r="C377" s="42">
        <f t="shared" si="5"/>
        <v>283.24669080000001</v>
      </c>
      <c r="D377" s="14" t="s">
        <v>43</v>
      </c>
      <c r="E377" s="14">
        <v>2</v>
      </c>
      <c r="F377" s="14" t="s">
        <v>3983</v>
      </c>
      <c r="G377" s="14">
        <f>(VLOOKUP(D377,'[1]BOM Info General'!$A:$L,12,0))*E377</f>
        <v>130.12</v>
      </c>
      <c r="H377" s="15" t="s">
        <v>40</v>
      </c>
      <c r="I377" s="15">
        <v>1</v>
      </c>
      <c r="J377" s="15" t="s">
        <v>45</v>
      </c>
      <c r="K377" s="15">
        <f>(VLOOKUP(H377,'[1]BOM Info General'!$A:$L,12,0))*I377</f>
        <v>25.59</v>
      </c>
      <c r="L377" s="9" t="s">
        <v>524</v>
      </c>
      <c r="M377" s="9">
        <v>1</v>
      </c>
      <c r="N377" s="9" t="s">
        <v>70</v>
      </c>
      <c r="O377" s="9">
        <f>(VLOOKUP(L377,'[1]Simulation pricing per sub assy'!$D:$E,2,0))*M377</f>
        <v>94.656400000000033</v>
      </c>
      <c r="P377" s="16" t="s">
        <v>50</v>
      </c>
      <c r="Q377" s="16">
        <v>8</v>
      </c>
      <c r="R377" s="16" t="s">
        <v>611</v>
      </c>
      <c r="S377" s="40">
        <f>(VLOOKUP(P377,'[1]BOM Info General'!$A:$L,12,0))*Q377</f>
        <v>21.2</v>
      </c>
      <c r="T377" s="17" t="s">
        <v>21</v>
      </c>
      <c r="U377" s="17">
        <v>1</v>
      </c>
      <c r="V377" s="17" t="s">
        <v>22</v>
      </c>
      <c r="W377" s="17">
        <f>(VLOOKUP(T377,'[1]Simulation pricing per sub assy'!$D:$E,2,0))*U377</f>
        <v>7.2</v>
      </c>
      <c r="X377" s="18" t="s">
        <v>616</v>
      </c>
      <c r="Y377" s="18">
        <v>1</v>
      </c>
      <c r="Z377" s="18" t="s">
        <v>23</v>
      </c>
      <c r="AA377" s="18">
        <f>(VLOOKUP(X377,'[1]Simulation pricing per sub assy'!$D:$E,2,0))*Y377</f>
        <v>4.4802908000000006</v>
      </c>
    </row>
    <row r="378" spans="1:27" x14ac:dyDescent="0.35">
      <c r="A378" s="13" t="s">
        <v>532</v>
      </c>
      <c r="B378" s="13" t="s">
        <v>4135</v>
      </c>
      <c r="C378" s="42">
        <f t="shared" si="5"/>
        <v>284.34669080000003</v>
      </c>
      <c r="D378" s="14" t="s">
        <v>43</v>
      </c>
      <c r="E378" s="14">
        <v>2</v>
      </c>
      <c r="F378" s="14" t="s">
        <v>3983</v>
      </c>
      <c r="G378" s="14">
        <f>(VLOOKUP(D378,'[1]BOM Info General'!$A:$L,12,0))*E378</f>
        <v>130.12</v>
      </c>
      <c r="H378" s="15" t="s">
        <v>40</v>
      </c>
      <c r="I378" s="15">
        <v>1</v>
      </c>
      <c r="J378" s="15" t="s">
        <v>45</v>
      </c>
      <c r="K378" s="15">
        <f>(VLOOKUP(H378,'[1]BOM Info General'!$A:$L,12,0))*I378</f>
        <v>25.59</v>
      </c>
      <c r="L378" s="9" t="s">
        <v>67</v>
      </c>
      <c r="M378" s="9">
        <v>1</v>
      </c>
      <c r="N378" s="9" t="s">
        <v>64</v>
      </c>
      <c r="O378" s="9">
        <f>(VLOOKUP(L378,'[1]Simulation pricing per sub assy'!$D:$E,2,0))*M378</f>
        <v>95.756400000000042</v>
      </c>
      <c r="P378" s="16" t="s">
        <v>50</v>
      </c>
      <c r="Q378" s="16">
        <v>8</v>
      </c>
      <c r="R378" s="16" t="s">
        <v>611</v>
      </c>
      <c r="S378" s="40">
        <f>(VLOOKUP(P378,'[1]BOM Info General'!$A:$L,12,0))*Q378</f>
        <v>21.2</v>
      </c>
      <c r="T378" s="17" t="s">
        <v>21</v>
      </c>
      <c r="U378" s="17">
        <v>1</v>
      </c>
      <c r="V378" s="17" t="s">
        <v>22</v>
      </c>
      <c r="W378" s="17">
        <f>(VLOOKUP(T378,'[1]Simulation pricing per sub assy'!$D:$E,2,0))*U378</f>
        <v>7.2</v>
      </c>
      <c r="X378" s="18" t="s">
        <v>616</v>
      </c>
      <c r="Y378" s="18">
        <v>1</v>
      </c>
      <c r="Z378" s="18" t="s">
        <v>23</v>
      </c>
      <c r="AA378" s="18">
        <f>(VLOOKUP(X378,'[1]Simulation pricing per sub assy'!$D:$E,2,0))*Y378</f>
        <v>4.4802908000000006</v>
      </c>
    </row>
    <row r="379" spans="1:27" x14ac:dyDescent="0.35">
      <c r="A379" s="13" t="s">
        <v>534</v>
      </c>
      <c r="B379" s="13" t="s">
        <v>4136</v>
      </c>
      <c r="C379" s="42">
        <f t="shared" si="5"/>
        <v>284.34669080000003</v>
      </c>
      <c r="D379" s="14" t="s">
        <v>43</v>
      </c>
      <c r="E379" s="14">
        <v>2</v>
      </c>
      <c r="F379" s="14" t="s">
        <v>3983</v>
      </c>
      <c r="G379" s="14">
        <f>(VLOOKUP(D379,'[1]BOM Info General'!$A:$L,12,0))*E379</f>
        <v>130.12</v>
      </c>
      <c r="H379" s="15" t="s">
        <v>40</v>
      </c>
      <c r="I379" s="15">
        <v>1</v>
      </c>
      <c r="J379" s="15" t="s">
        <v>45</v>
      </c>
      <c r="K379" s="15">
        <f>(VLOOKUP(H379,'[1]BOM Info General'!$A:$L,12,0))*I379</f>
        <v>25.59</v>
      </c>
      <c r="L379" s="9" t="s">
        <v>63</v>
      </c>
      <c r="M379" s="9">
        <v>1</v>
      </c>
      <c r="N379" s="9" t="s">
        <v>62</v>
      </c>
      <c r="O379" s="9">
        <f>(VLOOKUP(L379,'[1]Simulation pricing per sub assy'!$D:$E,2,0))*M379</f>
        <v>95.756400000000042</v>
      </c>
      <c r="P379" s="16" t="s">
        <v>50</v>
      </c>
      <c r="Q379" s="16">
        <v>8</v>
      </c>
      <c r="R379" s="16" t="s">
        <v>611</v>
      </c>
      <c r="S379" s="40">
        <f>(VLOOKUP(P379,'[1]BOM Info General'!$A:$L,12,0))*Q379</f>
        <v>21.2</v>
      </c>
      <c r="T379" s="17" t="s">
        <v>21</v>
      </c>
      <c r="U379" s="17">
        <v>1</v>
      </c>
      <c r="V379" s="17" t="s">
        <v>22</v>
      </c>
      <c r="W379" s="17">
        <f>(VLOOKUP(T379,'[1]Simulation pricing per sub assy'!$D:$E,2,0))*U379</f>
        <v>7.2</v>
      </c>
      <c r="X379" s="18" t="s">
        <v>616</v>
      </c>
      <c r="Y379" s="18">
        <v>1</v>
      </c>
      <c r="Z379" s="18" t="s">
        <v>23</v>
      </c>
      <c r="AA379" s="18">
        <f>(VLOOKUP(X379,'[1]Simulation pricing per sub assy'!$D:$E,2,0))*Y379</f>
        <v>4.4802908000000006</v>
      </c>
    </row>
    <row r="380" spans="1:27" x14ac:dyDescent="0.35">
      <c r="A380" s="13" t="s">
        <v>533</v>
      </c>
      <c r="B380" s="13" t="s">
        <v>4137</v>
      </c>
      <c r="C380" s="42">
        <f t="shared" si="5"/>
        <v>283.79669080000002</v>
      </c>
      <c r="D380" s="14" t="s">
        <v>43</v>
      </c>
      <c r="E380" s="14">
        <v>2</v>
      </c>
      <c r="F380" s="14" t="s">
        <v>3983</v>
      </c>
      <c r="G380" s="14">
        <f>(VLOOKUP(D380,'[1]BOM Info General'!$A:$L,12,0))*E380</f>
        <v>130.12</v>
      </c>
      <c r="H380" s="15" t="s">
        <v>40</v>
      </c>
      <c r="I380" s="15">
        <v>1</v>
      </c>
      <c r="J380" s="15" t="s">
        <v>45</v>
      </c>
      <c r="K380" s="15">
        <f>(VLOOKUP(H380,'[1]BOM Info General'!$A:$L,12,0))*I380</f>
        <v>25.59</v>
      </c>
      <c r="L380" s="9" t="s">
        <v>69</v>
      </c>
      <c r="M380" s="9">
        <v>1</v>
      </c>
      <c r="N380" s="9" t="s">
        <v>66</v>
      </c>
      <c r="O380" s="9">
        <f>(VLOOKUP(L380,'[1]Simulation pricing per sub assy'!$D:$E,2,0))*M380</f>
        <v>95.206400000000031</v>
      </c>
      <c r="P380" s="16" t="s">
        <v>50</v>
      </c>
      <c r="Q380" s="16">
        <v>8</v>
      </c>
      <c r="R380" s="16" t="s">
        <v>611</v>
      </c>
      <c r="S380" s="40">
        <f>(VLOOKUP(P380,'[1]BOM Info General'!$A:$L,12,0))*Q380</f>
        <v>21.2</v>
      </c>
      <c r="T380" s="17" t="s">
        <v>21</v>
      </c>
      <c r="U380" s="17">
        <v>1</v>
      </c>
      <c r="V380" s="17" t="s">
        <v>22</v>
      </c>
      <c r="W380" s="17">
        <f>(VLOOKUP(T380,'[1]Simulation pricing per sub assy'!$D:$E,2,0))*U380</f>
        <v>7.2</v>
      </c>
      <c r="X380" s="18" t="s">
        <v>616</v>
      </c>
      <c r="Y380" s="18">
        <v>1</v>
      </c>
      <c r="Z380" s="18" t="s">
        <v>23</v>
      </c>
      <c r="AA380" s="18">
        <f>(VLOOKUP(X380,'[1]Simulation pricing per sub assy'!$D:$E,2,0))*Y380</f>
        <v>4.4802908000000006</v>
      </c>
    </row>
    <row r="381" spans="1:27" x14ac:dyDescent="0.35">
      <c r="A381" s="13" t="s">
        <v>535</v>
      </c>
      <c r="B381" s="13" t="s">
        <v>4138</v>
      </c>
      <c r="C381" s="42">
        <f t="shared" si="5"/>
        <v>291.7566908</v>
      </c>
      <c r="D381" s="14" t="s">
        <v>43</v>
      </c>
      <c r="E381" s="14">
        <v>2</v>
      </c>
      <c r="F381" s="14" t="s">
        <v>3983</v>
      </c>
      <c r="G381" s="14">
        <f>(VLOOKUP(D381,'[1]BOM Info General'!$A:$L,12,0))*E381</f>
        <v>130.12</v>
      </c>
      <c r="H381" s="15" t="s">
        <v>40</v>
      </c>
      <c r="I381" s="15">
        <v>1</v>
      </c>
      <c r="J381" s="15" t="s">
        <v>45</v>
      </c>
      <c r="K381" s="15">
        <f>(VLOOKUP(H381,'[1]BOM Info General'!$A:$L,12,0))*I381</f>
        <v>25.59</v>
      </c>
      <c r="L381" s="9" t="s">
        <v>65</v>
      </c>
      <c r="M381" s="9">
        <v>1</v>
      </c>
      <c r="N381" s="9" t="s">
        <v>68</v>
      </c>
      <c r="O381" s="9">
        <f>(VLOOKUP(L381,'[1]Simulation pricing per sub assy'!$D:$E,2,0))*M381</f>
        <v>103.16640000000004</v>
      </c>
      <c r="P381" s="16" t="s">
        <v>50</v>
      </c>
      <c r="Q381" s="16">
        <v>8</v>
      </c>
      <c r="R381" s="16" t="s">
        <v>611</v>
      </c>
      <c r="S381" s="40">
        <f>(VLOOKUP(P381,'[1]BOM Info General'!$A:$L,12,0))*Q381</f>
        <v>21.2</v>
      </c>
      <c r="T381" s="17" t="s">
        <v>21</v>
      </c>
      <c r="U381" s="17">
        <v>1</v>
      </c>
      <c r="V381" s="17" t="s">
        <v>22</v>
      </c>
      <c r="W381" s="17">
        <f>(VLOOKUP(T381,'[1]Simulation pricing per sub assy'!$D:$E,2,0))*U381</f>
        <v>7.2</v>
      </c>
      <c r="X381" s="18" t="s">
        <v>616</v>
      </c>
      <c r="Y381" s="18">
        <v>1</v>
      </c>
      <c r="Z381" s="18" t="s">
        <v>23</v>
      </c>
      <c r="AA381" s="18">
        <f>(VLOOKUP(X381,'[1]Simulation pricing per sub assy'!$D:$E,2,0))*Y381</f>
        <v>4.4802908000000006</v>
      </c>
    </row>
    <row r="382" spans="1:27" x14ac:dyDescent="0.35">
      <c r="A382" s="13" t="s">
        <v>268</v>
      </c>
      <c r="B382" s="13" t="s">
        <v>4139</v>
      </c>
      <c r="C382" s="42">
        <f t="shared" si="5"/>
        <v>282.48669080000002</v>
      </c>
      <c r="D382" s="14" t="s">
        <v>43</v>
      </c>
      <c r="E382" s="14">
        <v>2</v>
      </c>
      <c r="F382" s="14" t="s">
        <v>3983</v>
      </c>
      <c r="G382" s="14">
        <f>(VLOOKUP(D382,'[1]BOM Info General'!$A:$L,12,0))*E382</f>
        <v>130.12</v>
      </c>
      <c r="H382" s="15" t="s">
        <v>40</v>
      </c>
      <c r="I382" s="15">
        <v>1</v>
      </c>
      <c r="J382" s="15" t="s">
        <v>45</v>
      </c>
      <c r="K382" s="15">
        <f>(VLOOKUP(H382,'[1]BOM Info General'!$A:$L,12,0))*I382</f>
        <v>25.59</v>
      </c>
      <c r="L382" s="9" t="s">
        <v>524</v>
      </c>
      <c r="M382" s="9">
        <v>1</v>
      </c>
      <c r="N382" s="9" t="s">
        <v>70</v>
      </c>
      <c r="O382" s="9">
        <f>(VLOOKUP(L382,'[1]Simulation pricing per sub assy'!$D:$E,2,0))*M382</f>
        <v>94.656400000000033</v>
      </c>
      <c r="P382" s="16" t="s">
        <v>50</v>
      </c>
      <c r="Q382" s="16">
        <v>8</v>
      </c>
      <c r="R382" s="16" t="s">
        <v>16</v>
      </c>
      <c r="S382" s="40">
        <f>(VLOOKUP(P382,'[1]BOM Info General'!$A:$L,12,0))*Q382</f>
        <v>21.2</v>
      </c>
      <c r="T382" s="17" t="s">
        <v>24</v>
      </c>
      <c r="U382" s="17">
        <v>1</v>
      </c>
      <c r="V382" s="17" t="s">
        <v>25</v>
      </c>
      <c r="W382" s="17">
        <f>(VLOOKUP(T382,'[1]Simulation pricing per sub assy'!$D:$E,2,0))*U382</f>
        <v>6.44</v>
      </c>
      <c r="X382" s="18" t="s">
        <v>616</v>
      </c>
      <c r="Y382" s="18">
        <v>1</v>
      </c>
      <c r="Z382" s="18" t="s">
        <v>23</v>
      </c>
      <c r="AA382" s="18">
        <f>(VLOOKUP(X382,'[1]Simulation pricing per sub assy'!$D:$E,2,0))*Y382</f>
        <v>4.4802908000000006</v>
      </c>
    </row>
    <row r="383" spans="1:27" x14ac:dyDescent="0.35">
      <c r="A383" s="13" t="s">
        <v>49</v>
      </c>
      <c r="B383" s="13" t="s">
        <v>4140</v>
      </c>
      <c r="C383" s="42">
        <f t="shared" si="5"/>
        <v>283.58669080000004</v>
      </c>
      <c r="D383" s="14" t="s">
        <v>43</v>
      </c>
      <c r="E383" s="14">
        <v>2</v>
      </c>
      <c r="F383" s="14" t="s">
        <v>3983</v>
      </c>
      <c r="G383" s="14">
        <f>(VLOOKUP(D383,'[1]BOM Info General'!$A:$L,12,0))*E383</f>
        <v>130.12</v>
      </c>
      <c r="H383" s="15" t="s">
        <v>40</v>
      </c>
      <c r="I383" s="15">
        <v>1</v>
      </c>
      <c r="J383" s="15" t="s">
        <v>45</v>
      </c>
      <c r="K383" s="15">
        <f>(VLOOKUP(H383,'[1]BOM Info General'!$A:$L,12,0))*I383</f>
        <v>25.59</v>
      </c>
      <c r="L383" s="9" t="s">
        <v>67</v>
      </c>
      <c r="M383" s="9">
        <v>1</v>
      </c>
      <c r="N383" s="9" t="s">
        <v>64</v>
      </c>
      <c r="O383" s="9">
        <f>(VLOOKUP(L383,'[1]Simulation pricing per sub assy'!$D:$E,2,0))*M383</f>
        <v>95.756400000000042</v>
      </c>
      <c r="P383" s="16" t="s">
        <v>50</v>
      </c>
      <c r="Q383" s="16">
        <v>8</v>
      </c>
      <c r="R383" s="16" t="s">
        <v>16</v>
      </c>
      <c r="S383" s="40">
        <f>(VLOOKUP(P383,'[1]BOM Info General'!$A:$L,12,0))*Q383</f>
        <v>21.2</v>
      </c>
      <c r="T383" s="17" t="s">
        <v>24</v>
      </c>
      <c r="U383" s="17">
        <v>1</v>
      </c>
      <c r="V383" s="17" t="s">
        <v>25</v>
      </c>
      <c r="W383" s="17">
        <f>(VLOOKUP(T383,'[1]Simulation pricing per sub assy'!$D:$E,2,0))*U383</f>
        <v>6.44</v>
      </c>
      <c r="X383" s="18" t="s">
        <v>616</v>
      </c>
      <c r="Y383" s="18">
        <v>1</v>
      </c>
      <c r="Z383" s="18" t="s">
        <v>23</v>
      </c>
      <c r="AA383" s="18">
        <f>(VLOOKUP(X383,'[1]Simulation pricing per sub assy'!$D:$E,2,0))*Y383</f>
        <v>4.4802908000000006</v>
      </c>
    </row>
    <row r="384" spans="1:27" x14ac:dyDescent="0.35">
      <c r="A384" s="13" t="s">
        <v>196</v>
      </c>
      <c r="B384" s="13" t="s">
        <v>4141</v>
      </c>
      <c r="C384" s="42">
        <f t="shared" si="5"/>
        <v>283.58669080000004</v>
      </c>
      <c r="D384" s="14" t="s">
        <v>43</v>
      </c>
      <c r="E384" s="14">
        <v>2</v>
      </c>
      <c r="F384" s="14" t="s">
        <v>3983</v>
      </c>
      <c r="G384" s="14">
        <f>(VLOOKUP(D384,'[1]BOM Info General'!$A:$L,12,0))*E384</f>
        <v>130.12</v>
      </c>
      <c r="H384" s="15" t="s">
        <v>40</v>
      </c>
      <c r="I384" s="15">
        <v>1</v>
      </c>
      <c r="J384" s="15" t="s">
        <v>45</v>
      </c>
      <c r="K384" s="15">
        <f>(VLOOKUP(H384,'[1]BOM Info General'!$A:$L,12,0))*I384</f>
        <v>25.59</v>
      </c>
      <c r="L384" s="9" t="s">
        <v>63</v>
      </c>
      <c r="M384" s="9">
        <v>1</v>
      </c>
      <c r="N384" s="9" t="s">
        <v>62</v>
      </c>
      <c r="O384" s="9">
        <f>(VLOOKUP(L384,'[1]Simulation pricing per sub assy'!$D:$E,2,0))*M384</f>
        <v>95.756400000000042</v>
      </c>
      <c r="P384" s="16" t="s">
        <v>50</v>
      </c>
      <c r="Q384" s="16">
        <v>8</v>
      </c>
      <c r="R384" s="16" t="s">
        <v>16</v>
      </c>
      <c r="S384" s="40">
        <f>(VLOOKUP(P384,'[1]BOM Info General'!$A:$L,12,0))*Q384</f>
        <v>21.2</v>
      </c>
      <c r="T384" s="17" t="s">
        <v>24</v>
      </c>
      <c r="U384" s="17">
        <v>1</v>
      </c>
      <c r="V384" s="17" t="s">
        <v>25</v>
      </c>
      <c r="W384" s="17">
        <f>(VLOOKUP(T384,'[1]Simulation pricing per sub assy'!$D:$E,2,0))*U384</f>
        <v>6.44</v>
      </c>
      <c r="X384" s="18" t="s">
        <v>616</v>
      </c>
      <c r="Y384" s="18">
        <v>1</v>
      </c>
      <c r="Z384" s="18" t="s">
        <v>23</v>
      </c>
      <c r="AA384" s="18">
        <f>(VLOOKUP(X384,'[1]Simulation pricing per sub assy'!$D:$E,2,0))*Y384</f>
        <v>4.4802908000000006</v>
      </c>
    </row>
    <row r="385" spans="1:27" x14ac:dyDescent="0.35">
      <c r="A385" s="13" t="s">
        <v>160</v>
      </c>
      <c r="B385" s="13" t="s">
        <v>4142</v>
      </c>
      <c r="C385" s="42">
        <f t="shared" si="5"/>
        <v>283.03669080000003</v>
      </c>
      <c r="D385" s="14" t="s">
        <v>43</v>
      </c>
      <c r="E385" s="14">
        <v>2</v>
      </c>
      <c r="F385" s="14" t="s">
        <v>3983</v>
      </c>
      <c r="G385" s="14">
        <f>(VLOOKUP(D385,'[1]BOM Info General'!$A:$L,12,0))*E385</f>
        <v>130.12</v>
      </c>
      <c r="H385" s="15" t="s">
        <v>40</v>
      </c>
      <c r="I385" s="15">
        <v>1</v>
      </c>
      <c r="J385" s="15" t="s">
        <v>45</v>
      </c>
      <c r="K385" s="15">
        <f>(VLOOKUP(H385,'[1]BOM Info General'!$A:$L,12,0))*I385</f>
        <v>25.59</v>
      </c>
      <c r="L385" s="9" t="s">
        <v>69</v>
      </c>
      <c r="M385" s="9">
        <v>1</v>
      </c>
      <c r="N385" s="9" t="s">
        <v>66</v>
      </c>
      <c r="O385" s="9">
        <f>(VLOOKUP(L385,'[1]Simulation pricing per sub assy'!$D:$E,2,0))*M385</f>
        <v>95.206400000000031</v>
      </c>
      <c r="P385" s="16" t="s">
        <v>50</v>
      </c>
      <c r="Q385" s="16">
        <v>8</v>
      </c>
      <c r="R385" s="16" t="s">
        <v>16</v>
      </c>
      <c r="S385" s="40">
        <f>(VLOOKUP(P385,'[1]BOM Info General'!$A:$L,12,0))*Q385</f>
        <v>21.2</v>
      </c>
      <c r="T385" s="17" t="s">
        <v>24</v>
      </c>
      <c r="U385" s="17">
        <v>1</v>
      </c>
      <c r="V385" s="17" t="s">
        <v>25</v>
      </c>
      <c r="W385" s="17">
        <f>(VLOOKUP(T385,'[1]Simulation pricing per sub assy'!$D:$E,2,0))*U385</f>
        <v>6.44</v>
      </c>
      <c r="X385" s="18" t="s">
        <v>616</v>
      </c>
      <c r="Y385" s="18">
        <v>1</v>
      </c>
      <c r="Z385" s="18" t="s">
        <v>23</v>
      </c>
      <c r="AA385" s="18">
        <f>(VLOOKUP(X385,'[1]Simulation pricing per sub assy'!$D:$E,2,0))*Y385</f>
        <v>4.4802908000000006</v>
      </c>
    </row>
    <row r="386" spans="1:27" x14ac:dyDescent="0.35">
      <c r="A386" s="13" t="s">
        <v>232</v>
      </c>
      <c r="B386" s="13" t="s">
        <v>4143</v>
      </c>
      <c r="C386" s="42">
        <f t="shared" si="5"/>
        <v>290.99669080000001</v>
      </c>
      <c r="D386" s="14" t="s">
        <v>43</v>
      </c>
      <c r="E386" s="14">
        <v>2</v>
      </c>
      <c r="F386" s="14" t="s">
        <v>3983</v>
      </c>
      <c r="G386" s="14">
        <f>(VLOOKUP(D386,'[1]BOM Info General'!$A:$L,12,0))*E386</f>
        <v>130.12</v>
      </c>
      <c r="H386" s="15" t="s">
        <v>40</v>
      </c>
      <c r="I386" s="15">
        <v>1</v>
      </c>
      <c r="J386" s="15" t="s">
        <v>45</v>
      </c>
      <c r="K386" s="15">
        <f>(VLOOKUP(H386,'[1]BOM Info General'!$A:$L,12,0))*I386</f>
        <v>25.59</v>
      </c>
      <c r="L386" s="9" t="s">
        <v>65</v>
      </c>
      <c r="M386" s="9">
        <v>1</v>
      </c>
      <c r="N386" s="9" t="s">
        <v>68</v>
      </c>
      <c r="O386" s="9">
        <f>(VLOOKUP(L386,'[1]Simulation pricing per sub assy'!$D:$E,2,0))*M386</f>
        <v>103.16640000000004</v>
      </c>
      <c r="P386" s="16" t="s">
        <v>50</v>
      </c>
      <c r="Q386" s="16">
        <v>8</v>
      </c>
      <c r="R386" s="16" t="s">
        <v>16</v>
      </c>
      <c r="S386" s="40">
        <f>(VLOOKUP(P386,'[1]BOM Info General'!$A:$L,12,0))*Q386</f>
        <v>21.2</v>
      </c>
      <c r="T386" s="17" t="s">
        <v>24</v>
      </c>
      <c r="U386" s="17">
        <v>1</v>
      </c>
      <c r="V386" s="17" t="s">
        <v>25</v>
      </c>
      <c r="W386" s="17">
        <f>(VLOOKUP(T386,'[1]Simulation pricing per sub assy'!$D:$E,2,0))*U386</f>
        <v>6.44</v>
      </c>
      <c r="X386" s="18" t="s">
        <v>616</v>
      </c>
      <c r="Y386" s="18">
        <v>1</v>
      </c>
      <c r="Z386" s="18" t="s">
        <v>23</v>
      </c>
      <c r="AA386" s="18">
        <f>(VLOOKUP(X386,'[1]Simulation pricing per sub assy'!$D:$E,2,0))*Y386</f>
        <v>4.4802908000000006</v>
      </c>
    </row>
    <row r="387" spans="1:27" x14ac:dyDescent="0.35">
      <c r="A387" s="13" t="s">
        <v>269</v>
      </c>
      <c r="B387" s="13" t="s">
        <v>4144</v>
      </c>
      <c r="C387" s="42">
        <f t="shared" ref="C387:C450" si="6">SUM(G387+K387+O387+S387+W387+AA387)</f>
        <v>283.08669080000004</v>
      </c>
      <c r="D387" s="14" t="s">
        <v>43</v>
      </c>
      <c r="E387" s="14">
        <v>2</v>
      </c>
      <c r="F387" s="14" t="s">
        <v>3983</v>
      </c>
      <c r="G387" s="14">
        <f>(VLOOKUP(D387,'[1]BOM Info General'!$A:$L,12,0))*E387</f>
        <v>130.12</v>
      </c>
      <c r="H387" s="15" t="s">
        <v>40</v>
      </c>
      <c r="I387" s="15">
        <v>1</v>
      </c>
      <c r="J387" s="15" t="s">
        <v>45</v>
      </c>
      <c r="K387" s="15">
        <f>(VLOOKUP(H387,'[1]BOM Info General'!$A:$L,12,0))*I387</f>
        <v>25.59</v>
      </c>
      <c r="L387" s="9" t="s">
        <v>524</v>
      </c>
      <c r="M387" s="9">
        <v>1</v>
      </c>
      <c r="N387" s="9" t="s">
        <v>70</v>
      </c>
      <c r="O387" s="9">
        <f>(VLOOKUP(L387,'[1]Simulation pricing per sub assy'!$D:$E,2,0))*M387</f>
        <v>94.656400000000033</v>
      </c>
      <c r="P387" s="16" t="s">
        <v>50</v>
      </c>
      <c r="Q387" s="16">
        <v>8</v>
      </c>
      <c r="R387" s="16" t="s">
        <v>16</v>
      </c>
      <c r="S387" s="40">
        <f>(VLOOKUP(P387,'[1]BOM Info General'!$A:$L,12,0))*Q387</f>
        <v>21.2</v>
      </c>
      <c r="T387" s="17" t="s">
        <v>26</v>
      </c>
      <c r="U387" s="17">
        <v>1</v>
      </c>
      <c r="V387" s="17" t="s">
        <v>27</v>
      </c>
      <c r="W387" s="17">
        <f>(VLOOKUP(T387,'[1]Simulation pricing per sub assy'!$D:$E,2,0))*U387</f>
        <v>7.04</v>
      </c>
      <c r="X387" s="18" t="s">
        <v>616</v>
      </c>
      <c r="Y387" s="18">
        <v>1</v>
      </c>
      <c r="Z387" s="18" t="s">
        <v>23</v>
      </c>
      <c r="AA387" s="18">
        <f>(VLOOKUP(X387,'[1]Simulation pricing per sub assy'!$D:$E,2,0))*Y387</f>
        <v>4.4802908000000006</v>
      </c>
    </row>
    <row r="388" spans="1:27" x14ac:dyDescent="0.35">
      <c r="A388" s="13" t="s">
        <v>127</v>
      </c>
      <c r="B388" s="13" t="s">
        <v>4145</v>
      </c>
      <c r="C388" s="42">
        <f t="shared" si="6"/>
        <v>284.18669080000006</v>
      </c>
      <c r="D388" s="14" t="s">
        <v>43</v>
      </c>
      <c r="E388" s="14">
        <v>2</v>
      </c>
      <c r="F388" s="14" t="s">
        <v>3983</v>
      </c>
      <c r="G388" s="14">
        <f>(VLOOKUP(D388,'[1]BOM Info General'!$A:$L,12,0))*E388</f>
        <v>130.12</v>
      </c>
      <c r="H388" s="15" t="s">
        <v>40</v>
      </c>
      <c r="I388" s="15">
        <v>1</v>
      </c>
      <c r="J388" s="15" t="s">
        <v>45</v>
      </c>
      <c r="K388" s="15">
        <f>(VLOOKUP(H388,'[1]BOM Info General'!$A:$L,12,0))*I388</f>
        <v>25.59</v>
      </c>
      <c r="L388" s="9" t="s">
        <v>67</v>
      </c>
      <c r="M388" s="9">
        <v>1</v>
      </c>
      <c r="N388" s="9" t="s">
        <v>64</v>
      </c>
      <c r="O388" s="9">
        <f>(VLOOKUP(L388,'[1]Simulation pricing per sub assy'!$D:$E,2,0))*M388</f>
        <v>95.756400000000042</v>
      </c>
      <c r="P388" s="16" t="s">
        <v>50</v>
      </c>
      <c r="Q388" s="16">
        <v>8</v>
      </c>
      <c r="R388" s="16" t="s">
        <v>16</v>
      </c>
      <c r="S388" s="40">
        <f>(VLOOKUP(P388,'[1]BOM Info General'!$A:$L,12,0))*Q388</f>
        <v>21.2</v>
      </c>
      <c r="T388" s="17" t="s">
        <v>26</v>
      </c>
      <c r="U388" s="17">
        <v>1</v>
      </c>
      <c r="V388" s="17" t="s">
        <v>27</v>
      </c>
      <c r="W388" s="17">
        <f>(VLOOKUP(T388,'[1]Simulation pricing per sub assy'!$D:$E,2,0))*U388</f>
        <v>7.04</v>
      </c>
      <c r="X388" s="18" t="s">
        <v>616</v>
      </c>
      <c r="Y388" s="18">
        <v>1</v>
      </c>
      <c r="Z388" s="18" t="s">
        <v>23</v>
      </c>
      <c r="AA388" s="18">
        <f>(VLOOKUP(X388,'[1]Simulation pricing per sub assy'!$D:$E,2,0))*Y388</f>
        <v>4.4802908000000006</v>
      </c>
    </row>
    <row r="389" spans="1:27" x14ac:dyDescent="0.35">
      <c r="A389" s="13" t="s">
        <v>197</v>
      </c>
      <c r="B389" s="13" t="s">
        <v>4146</v>
      </c>
      <c r="C389" s="42">
        <f t="shared" si="6"/>
        <v>284.18669080000006</v>
      </c>
      <c r="D389" s="14" t="s">
        <v>43</v>
      </c>
      <c r="E389" s="14">
        <v>2</v>
      </c>
      <c r="F389" s="14" t="s">
        <v>3983</v>
      </c>
      <c r="G389" s="14">
        <f>(VLOOKUP(D389,'[1]BOM Info General'!$A:$L,12,0))*E389</f>
        <v>130.12</v>
      </c>
      <c r="H389" s="15" t="s">
        <v>40</v>
      </c>
      <c r="I389" s="15">
        <v>1</v>
      </c>
      <c r="J389" s="15" t="s">
        <v>45</v>
      </c>
      <c r="K389" s="15">
        <f>(VLOOKUP(H389,'[1]BOM Info General'!$A:$L,12,0))*I389</f>
        <v>25.59</v>
      </c>
      <c r="L389" s="9" t="s">
        <v>63</v>
      </c>
      <c r="M389" s="9">
        <v>1</v>
      </c>
      <c r="N389" s="9" t="s">
        <v>62</v>
      </c>
      <c r="O389" s="9">
        <f>(VLOOKUP(L389,'[1]Simulation pricing per sub assy'!$D:$E,2,0))*M389</f>
        <v>95.756400000000042</v>
      </c>
      <c r="P389" s="16" t="s">
        <v>50</v>
      </c>
      <c r="Q389" s="16">
        <v>8</v>
      </c>
      <c r="R389" s="16" t="s">
        <v>16</v>
      </c>
      <c r="S389" s="40">
        <f>(VLOOKUP(P389,'[1]BOM Info General'!$A:$L,12,0))*Q389</f>
        <v>21.2</v>
      </c>
      <c r="T389" s="17" t="s">
        <v>26</v>
      </c>
      <c r="U389" s="17">
        <v>1</v>
      </c>
      <c r="V389" s="17" t="s">
        <v>27</v>
      </c>
      <c r="W389" s="17">
        <f>(VLOOKUP(T389,'[1]Simulation pricing per sub assy'!$D:$E,2,0))*U389</f>
        <v>7.04</v>
      </c>
      <c r="X389" s="18" t="s">
        <v>616</v>
      </c>
      <c r="Y389" s="18">
        <v>1</v>
      </c>
      <c r="Z389" s="18" t="s">
        <v>23</v>
      </c>
      <c r="AA389" s="18">
        <f>(VLOOKUP(X389,'[1]Simulation pricing per sub assy'!$D:$E,2,0))*Y389</f>
        <v>4.4802908000000006</v>
      </c>
    </row>
    <row r="390" spans="1:27" x14ac:dyDescent="0.35">
      <c r="A390" s="13" t="s">
        <v>161</v>
      </c>
      <c r="B390" s="13" t="s">
        <v>4147</v>
      </c>
      <c r="C390" s="42">
        <f t="shared" si="6"/>
        <v>283.63669080000005</v>
      </c>
      <c r="D390" s="14" t="s">
        <v>43</v>
      </c>
      <c r="E390" s="14">
        <v>2</v>
      </c>
      <c r="F390" s="14" t="s">
        <v>3983</v>
      </c>
      <c r="G390" s="14">
        <f>(VLOOKUP(D390,'[1]BOM Info General'!$A:$L,12,0))*E390</f>
        <v>130.12</v>
      </c>
      <c r="H390" s="15" t="s">
        <v>40</v>
      </c>
      <c r="I390" s="15">
        <v>1</v>
      </c>
      <c r="J390" s="15" t="s">
        <v>45</v>
      </c>
      <c r="K390" s="15">
        <f>(VLOOKUP(H390,'[1]BOM Info General'!$A:$L,12,0))*I390</f>
        <v>25.59</v>
      </c>
      <c r="L390" s="9" t="s">
        <v>69</v>
      </c>
      <c r="M390" s="9">
        <v>1</v>
      </c>
      <c r="N390" s="9" t="s">
        <v>66</v>
      </c>
      <c r="O390" s="9">
        <f>(VLOOKUP(L390,'[1]Simulation pricing per sub assy'!$D:$E,2,0))*M390</f>
        <v>95.206400000000031</v>
      </c>
      <c r="P390" s="16" t="s">
        <v>50</v>
      </c>
      <c r="Q390" s="16">
        <v>8</v>
      </c>
      <c r="R390" s="16" t="s">
        <v>16</v>
      </c>
      <c r="S390" s="40">
        <f>(VLOOKUP(P390,'[1]BOM Info General'!$A:$L,12,0))*Q390</f>
        <v>21.2</v>
      </c>
      <c r="T390" s="17" t="s">
        <v>26</v>
      </c>
      <c r="U390" s="17">
        <v>1</v>
      </c>
      <c r="V390" s="17" t="s">
        <v>27</v>
      </c>
      <c r="W390" s="17">
        <f>(VLOOKUP(T390,'[1]Simulation pricing per sub assy'!$D:$E,2,0))*U390</f>
        <v>7.04</v>
      </c>
      <c r="X390" s="18" t="s">
        <v>616</v>
      </c>
      <c r="Y390" s="18">
        <v>1</v>
      </c>
      <c r="Z390" s="18" t="s">
        <v>23</v>
      </c>
      <c r="AA390" s="18">
        <f>(VLOOKUP(X390,'[1]Simulation pricing per sub assy'!$D:$E,2,0))*Y390</f>
        <v>4.4802908000000006</v>
      </c>
    </row>
    <row r="391" spans="1:27" x14ac:dyDescent="0.35">
      <c r="A391" s="13" t="s">
        <v>233</v>
      </c>
      <c r="B391" s="13" t="s">
        <v>4148</v>
      </c>
      <c r="C391" s="42">
        <f t="shared" si="6"/>
        <v>291.59669080000003</v>
      </c>
      <c r="D391" s="14" t="s">
        <v>43</v>
      </c>
      <c r="E391" s="14">
        <v>2</v>
      </c>
      <c r="F391" s="14" t="s">
        <v>3983</v>
      </c>
      <c r="G391" s="14">
        <f>(VLOOKUP(D391,'[1]BOM Info General'!$A:$L,12,0))*E391</f>
        <v>130.12</v>
      </c>
      <c r="H391" s="15" t="s">
        <v>40</v>
      </c>
      <c r="I391" s="15">
        <v>1</v>
      </c>
      <c r="J391" s="15" t="s">
        <v>45</v>
      </c>
      <c r="K391" s="15">
        <f>(VLOOKUP(H391,'[1]BOM Info General'!$A:$L,12,0))*I391</f>
        <v>25.59</v>
      </c>
      <c r="L391" s="9" t="s">
        <v>65</v>
      </c>
      <c r="M391" s="9">
        <v>1</v>
      </c>
      <c r="N391" s="9" t="s">
        <v>68</v>
      </c>
      <c r="O391" s="9">
        <f>(VLOOKUP(L391,'[1]Simulation pricing per sub assy'!$D:$E,2,0))*M391</f>
        <v>103.16640000000004</v>
      </c>
      <c r="P391" s="16" t="s">
        <v>50</v>
      </c>
      <c r="Q391" s="16">
        <v>8</v>
      </c>
      <c r="R391" s="16" t="s">
        <v>16</v>
      </c>
      <c r="S391" s="40">
        <f>(VLOOKUP(P391,'[1]BOM Info General'!$A:$L,12,0))*Q391</f>
        <v>21.2</v>
      </c>
      <c r="T391" s="17" t="s">
        <v>26</v>
      </c>
      <c r="U391" s="17">
        <v>1</v>
      </c>
      <c r="V391" s="17" t="s">
        <v>27</v>
      </c>
      <c r="W391" s="17">
        <f>(VLOOKUP(T391,'[1]Simulation pricing per sub assy'!$D:$E,2,0))*U391</f>
        <v>7.04</v>
      </c>
      <c r="X391" s="18" t="s">
        <v>616</v>
      </c>
      <c r="Y391" s="18">
        <v>1</v>
      </c>
      <c r="Z391" s="18" t="s">
        <v>23</v>
      </c>
      <c r="AA391" s="18">
        <f>(VLOOKUP(X391,'[1]Simulation pricing per sub assy'!$D:$E,2,0))*Y391</f>
        <v>4.4802908000000006</v>
      </c>
    </row>
    <row r="392" spans="1:27" x14ac:dyDescent="0.35">
      <c r="A392" s="13" t="s">
        <v>270</v>
      </c>
      <c r="B392" s="13" t="s">
        <v>4149</v>
      </c>
      <c r="C392" s="42">
        <f t="shared" si="6"/>
        <v>283.04669080000002</v>
      </c>
      <c r="D392" s="14" t="s">
        <v>43</v>
      </c>
      <c r="E392" s="14">
        <v>2</v>
      </c>
      <c r="F392" s="14" t="s">
        <v>3983</v>
      </c>
      <c r="G392" s="14">
        <f>(VLOOKUP(D392,'[1]BOM Info General'!$A:$L,12,0))*E392</f>
        <v>130.12</v>
      </c>
      <c r="H392" s="15" t="s">
        <v>40</v>
      </c>
      <c r="I392" s="15">
        <v>1</v>
      </c>
      <c r="J392" s="15" t="s">
        <v>45</v>
      </c>
      <c r="K392" s="15">
        <f>(VLOOKUP(H392,'[1]BOM Info General'!$A:$L,12,0))*I392</f>
        <v>25.59</v>
      </c>
      <c r="L392" s="9" t="s">
        <v>524</v>
      </c>
      <c r="M392" s="9">
        <v>1</v>
      </c>
      <c r="N392" s="9" t="s">
        <v>70</v>
      </c>
      <c r="O392" s="9">
        <f>(VLOOKUP(L392,'[1]Simulation pricing per sub assy'!$D:$E,2,0))*M392</f>
        <v>94.656400000000033</v>
      </c>
      <c r="P392" s="16" t="s">
        <v>50</v>
      </c>
      <c r="Q392" s="16">
        <v>8</v>
      </c>
      <c r="R392" s="16" t="s">
        <v>16</v>
      </c>
      <c r="S392" s="40">
        <f>(VLOOKUP(P392,'[1]BOM Info General'!$A:$L,12,0))*Q392</f>
        <v>21.2</v>
      </c>
      <c r="T392" s="17" t="s">
        <v>28</v>
      </c>
      <c r="U392" s="17">
        <v>1</v>
      </c>
      <c r="V392" s="17" t="s">
        <v>29</v>
      </c>
      <c r="W392" s="17">
        <f>(VLOOKUP(T392,'[1]Simulation pricing per sub assy'!$D:$E,2,0))*U392</f>
        <v>7</v>
      </c>
      <c r="X392" s="18" t="s">
        <v>616</v>
      </c>
      <c r="Y392" s="18">
        <v>1</v>
      </c>
      <c r="Z392" s="18" t="s">
        <v>23</v>
      </c>
      <c r="AA392" s="18">
        <f>(VLOOKUP(X392,'[1]Simulation pricing per sub assy'!$D:$E,2,0))*Y392</f>
        <v>4.4802908000000006</v>
      </c>
    </row>
    <row r="393" spans="1:27" x14ac:dyDescent="0.35">
      <c r="A393" s="13" t="s">
        <v>126</v>
      </c>
      <c r="B393" s="13" t="s">
        <v>4150</v>
      </c>
      <c r="C393" s="42">
        <f t="shared" si="6"/>
        <v>284.14669080000004</v>
      </c>
      <c r="D393" s="14" t="s">
        <v>43</v>
      </c>
      <c r="E393" s="14">
        <v>2</v>
      </c>
      <c r="F393" s="14" t="s">
        <v>3983</v>
      </c>
      <c r="G393" s="14">
        <f>(VLOOKUP(D393,'[1]BOM Info General'!$A:$L,12,0))*E393</f>
        <v>130.12</v>
      </c>
      <c r="H393" s="15" t="s">
        <v>40</v>
      </c>
      <c r="I393" s="15">
        <v>1</v>
      </c>
      <c r="J393" s="15" t="s">
        <v>45</v>
      </c>
      <c r="K393" s="15">
        <f>(VLOOKUP(H393,'[1]BOM Info General'!$A:$L,12,0))*I393</f>
        <v>25.59</v>
      </c>
      <c r="L393" s="9" t="s">
        <v>67</v>
      </c>
      <c r="M393" s="9">
        <v>1</v>
      </c>
      <c r="N393" s="9" t="s">
        <v>64</v>
      </c>
      <c r="O393" s="9">
        <f>(VLOOKUP(L393,'[1]Simulation pricing per sub assy'!$D:$E,2,0))*M393</f>
        <v>95.756400000000042</v>
      </c>
      <c r="P393" s="16" t="s">
        <v>50</v>
      </c>
      <c r="Q393" s="16">
        <v>8</v>
      </c>
      <c r="R393" s="16" t="s">
        <v>16</v>
      </c>
      <c r="S393" s="40">
        <f>(VLOOKUP(P393,'[1]BOM Info General'!$A:$L,12,0))*Q393</f>
        <v>21.2</v>
      </c>
      <c r="T393" s="17" t="s">
        <v>28</v>
      </c>
      <c r="U393" s="17">
        <v>1</v>
      </c>
      <c r="V393" s="17" t="s">
        <v>29</v>
      </c>
      <c r="W393" s="17">
        <f>(VLOOKUP(T393,'[1]Simulation pricing per sub assy'!$D:$E,2,0))*U393</f>
        <v>7</v>
      </c>
      <c r="X393" s="18" t="s">
        <v>616</v>
      </c>
      <c r="Y393" s="18">
        <v>1</v>
      </c>
      <c r="Z393" s="18" t="s">
        <v>23</v>
      </c>
      <c r="AA393" s="18">
        <f>(VLOOKUP(X393,'[1]Simulation pricing per sub assy'!$D:$E,2,0))*Y393</f>
        <v>4.4802908000000006</v>
      </c>
    </row>
    <row r="394" spans="1:27" x14ac:dyDescent="0.35">
      <c r="A394" s="13" t="s">
        <v>198</v>
      </c>
      <c r="B394" s="13" t="s">
        <v>4151</v>
      </c>
      <c r="C394" s="42">
        <f t="shared" si="6"/>
        <v>284.14669080000004</v>
      </c>
      <c r="D394" s="14" t="s">
        <v>43</v>
      </c>
      <c r="E394" s="14">
        <v>2</v>
      </c>
      <c r="F394" s="14" t="s">
        <v>3983</v>
      </c>
      <c r="G394" s="14">
        <f>(VLOOKUP(D394,'[1]BOM Info General'!$A:$L,12,0))*E394</f>
        <v>130.12</v>
      </c>
      <c r="H394" s="15" t="s">
        <v>40</v>
      </c>
      <c r="I394" s="15">
        <v>1</v>
      </c>
      <c r="J394" s="15" t="s">
        <v>45</v>
      </c>
      <c r="K394" s="15">
        <f>(VLOOKUP(H394,'[1]BOM Info General'!$A:$L,12,0))*I394</f>
        <v>25.59</v>
      </c>
      <c r="L394" s="9" t="s">
        <v>63</v>
      </c>
      <c r="M394" s="9">
        <v>1</v>
      </c>
      <c r="N394" s="9" t="s">
        <v>62</v>
      </c>
      <c r="O394" s="9">
        <f>(VLOOKUP(L394,'[1]Simulation pricing per sub assy'!$D:$E,2,0))*M394</f>
        <v>95.756400000000042</v>
      </c>
      <c r="P394" s="16" t="s">
        <v>50</v>
      </c>
      <c r="Q394" s="16">
        <v>8</v>
      </c>
      <c r="R394" s="16" t="s">
        <v>16</v>
      </c>
      <c r="S394" s="40">
        <f>(VLOOKUP(P394,'[1]BOM Info General'!$A:$L,12,0))*Q394</f>
        <v>21.2</v>
      </c>
      <c r="T394" s="17" t="s">
        <v>28</v>
      </c>
      <c r="U394" s="17">
        <v>1</v>
      </c>
      <c r="V394" s="17" t="s">
        <v>29</v>
      </c>
      <c r="W394" s="17">
        <f>(VLOOKUP(T394,'[1]Simulation pricing per sub assy'!$D:$E,2,0))*U394</f>
        <v>7</v>
      </c>
      <c r="X394" s="18" t="s">
        <v>616</v>
      </c>
      <c r="Y394" s="18">
        <v>1</v>
      </c>
      <c r="Z394" s="18" t="s">
        <v>23</v>
      </c>
      <c r="AA394" s="18">
        <f>(VLOOKUP(X394,'[1]Simulation pricing per sub assy'!$D:$E,2,0))*Y394</f>
        <v>4.4802908000000006</v>
      </c>
    </row>
    <row r="395" spans="1:27" x14ac:dyDescent="0.35">
      <c r="A395" s="13" t="s">
        <v>162</v>
      </c>
      <c r="B395" s="13" t="s">
        <v>4152</v>
      </c>
      <c r="C395" s="42">
        <f t="shared" si="6"/>
        <v>283.59669080000003</v>
      </c>
      <c r="D395" s="14" t="s">
        <v>43</v>
      </c>
      <c r="E395" s="14">
        <v>2</v>
      </c>
      <c r="F395" s="14" t="s">
        <v>3983</v>
      </c>
      <c r="G395" s="14">
        <f>(VLOOKUP(D395,'[1]BOM Info General'!$A:$L,12,0))*E395</f>
        <v>130.12</v>
      </c>
      <c r="H395" s="15" t="s">
        <v>40</v>
      </c>
      <c r="I395" s="15">
        <v>1</v>
      </c>
      <c r="J395" s="15" t="s">
        <v>45</v>
      </c>
      <c r="K395" s="15">
        <f>(VLOOKUP(H395,'[1]BOM Info General'!$A:$L,12,0))*I395</f>
        <v>25.59</v>
      </c>
      <c r="L395" s="9" t="s">
        <v>69</v>
      </c>
      <c r="M395" s="9">
        <v>1</v>
      </c>
      <c r="N395" s="9" t="s">
        <v>66</v>
      </c>
      <c r="O395" s="9">
        <f>(VLOOKUP(L395,'[1]Simulation pricing per sub assy'!$D:$E,2,0))*M395</f>
        <v>95.206400000000031</v>
      </c>
      <c r="P395" s="16" t="s">
        <v>50</v>
      </c>
      <c r="Q395" s="16">
        <v>8</v>
      </c>
      <c r="R395" s="16" t="s">
        <v>16</v>
      </c>
      <c r="S395" s="40">
        <f>(VLOOKUP(P395,'[1]BOM Info General'!$A:$L,12,0))*Q395</f>
        <v>21.2</v>
      </c>
      <c r="T395" s="17" t="s">
        <v>28</v>
      </c>
      <c r="U395" s="17">
        <v>1</v>
      </c>
      <c r="V395" s="17" t="s">
        <v>29</v>
      </c>
      <c r="W395" s="17">
        <f>(VLOOKUP(T395,'[1]Simulation pricing per sub assy'!$D:$E,2,0))*U395</f>
        <v>7</v>
      </c>
      <c r="X395" s="18" t="s">
        <v>616</v>
      </c>
      <c r="Y395" s="18">
        <v>1</v>
      </c>
      <c r="Z395" s="18" t="s">
        <v>23</v>
      </c>
      <c r="AA395" s="18">
        <f>(VLOOKUP(X395,'[1]Simulation pricing per sub assy'!$D:$E,2,0))*Y395</f>
        <v>4.4802908000000006</v>
      </c>
    </row>
    <row r="396" spans="1:27" x14ac:dyDescent="0.35">
      <c r="A396" s="13" t="s">
        <v>234</v>
      </c>
      <c r="B396" s="13" t="s">
        <v>4153</v>
      </c>
      <c r="C396" s="42">
        <f t="shared" si="6"/>
        <v>291.55669080000001</v>
      </c>
      <c r="D396" s="14" t="s">
        <v>43</v>
      </c>
      <c r="E396" s="14">
        <v>2</v>
      </c>
      <c r="F396" s="14" t="s">
        <v>3983</v>
      </c>
      <c r="G396" s="14">
        <f>(VLOOKUP(D396,'[1]BOM Info General'!$A:$L,12,0))*E396</f>
        <v>130.12</v>
      </c>
      <c r="H396" s="15" t="s">
        <v>40</v>
      </c>
      <c r="I396" s="15">
        <v>1</v>
      </c>
      <c r="J396" s="15" t="s">
        <v>45</v>
      </c>
      <c r="K396" s="15">
        <f>(VLOOKUP(H396,'[1]BOM Info General'!$A:$L,12,0))*I396</f>
        <v>25.59</v>
      </c>
      <c r="L396" s="9" t="s">
        <v>65</v>
      </c>
      <c r="M396" s="9">
        <v>1</v>
      </c>
      <c r="N396" s="9" t="s">
        <v>68</v>
      </c>
      <c r="O396" s="9">
        <f>(VLOOKUP(L396,'[1]Simulation pricing per sub assy'!$D:$E,2,0))*M396</f>
        <v>103.16640000000004</v>
      </c>
      <c r="P396" s="16" t="s">
        <v>50</v>
      </c>
      <c r="Q396" s="16">
        <v>8</v>
      </c>
      <c r="R396" s="16" t="s">
        <v>16</v>
      </c>
      <c r="S396" s="40">
        <f>(VLOOKUP(P396,'[1]BOM Info General'!$A:$L,12,0))*Q396</f>
        <v>21.2</v>
      </c>
      <c r="T396" s="17" t="s">
        <v>28</v>
      </c>
      <c r="U396" s="17">
        <v>1</v>
      </c>
      <c r="V396" s="17" t="s">
        <v>29</v>
      </c>
      <c r="W396" s="17">
        <f>(VLOOKUP(T396,'[1]Simulation pricing per sub assy'!$D:$E,2,0))*U396</f>
        <v>7</v>
      </c>
      <c r="X396" s="18" t="s">
        <v>616</v>
      </c>
      <c r="Y396" s="18">
        <v>1</v>
      </c>
      <c r="Z396" s="18" t="s">
        <v>23</v>
      </c>
      <c r="AA396" s="18">
        <f>(VLOOKUP(X396,'[1]Simulation pricing per sub assy'!$D:$E,2,0))*Y396</f>
        <v>4.4802908000000006</v>
      </c>
    </row>
    <row r="397" spans="1:27" x14ac:dyDescent="0.35">
      <c r="A397" s="13" t="s">
        <v>271</v>
      </c>
      <c r="B397" s="13" t="s">
        <v>4154</v>
      </c>
      <c r="C397" s="42">
        <f t="shared" si="6"/>
        <v>282.48669080000002</v>
      </c>
      <c r="D397" s="14" t="s">
        <v>43</v>
      </c>
      <c r="E397" s="14">
        <v>2</v>
      </c>
      <c r="F397" s="14" t="s">
        <v>3983</v>
      </c>
      <c r="G397" s="14">
        <f>(VLOOKUP(D397,'[1]BOM Info General'!$A:$L,12,0))*E397</f>
        <v>130.12</v>
      </c>
      <c r="H397" s="15" t="s">
        <v>40</v>
      </c>
      <c r="I397" s="15">
        <v>1</v>
      </c>
      <c r="J397" s="15" t="s">
        <v>45</v>
      </c>
      <c r="K397" s="15">
        <f>(VLOOKUP(H397,'[1]BOM Info General'!$A:$L,12,0))*I397</f>
        <v>25.59</v>
      </c>
      <c r="L397" s="9" t="s">
        <v>524</v>
      </c>
      <c r="M397" s="9">
        <v>1</v>
      </c>
      <c r="N397" s="9" t="s">
        <v>70</v>
      </c>
      <c r="O397" s="9">
        <f>(VLOOKUP(L397,'[1]Simulation pricing per sub assy'!$D:$E,2,0))*M397</f>
        <v>94.656400000000033</v>
      </c>
      <c r="P397" s="16" t="s">
        <v>51</v>
      </c>
      <c r="Q397" s="16">
        <v>8</v>
      </c>
      <c r="R397" s="16" t="s">
        <v>17</v>
      </c>
      <c r="S397" s="40">
        <f>(VLOOKUP(P397,'[1]BOM Info General'!$A:$L,12,0))*Q397</f>
        <v>21.2</v>
      </c>
      <c r="T397" s="17" t="s">
        <v>24</v>
      </c>
      <c r="U397" s="17">
        <v>1</v>
      </c>
      <c r="V397" s="17" t="s">
        <v>25</v>
      </c>
      <c r="W397" s="17">
        <f>(VLOOKUP(T397,'[1]Simulation pricing per sub assy'!$D:$E,2,0))*U397</f>
        <v>6.44</v>
      </c>
      <c r="X397" s="18" t="s">
        <v>616</v>
      </c>
      <c r="Y397" s="18">
        <v>1</v>
      </c>
      <c r="Z397" s="18" t="s">
        <v>23</v>
      </c>
      <c r="AA397" s="18">
        <f>(VLOOKUP(X397,'[1]Simulation pricing per sub assy'!$D:$E,2,0))*Y397</f>
        <v>4.4802908000000006</v>
      </c>
    </row>
    <row r="398" spans="1:27" x14ac:dyDescent="0.35">
      <c r="A398" s="13" t="s">
        <v>128</v>
      </c>
      <c r="B398" s="13" t="s">
        <v>4155</v>
      </c>
      <c r="C398" s="42">
        <f t="shared" si="6"/>
        <v>283.58669080000004</v>
      </c>
      <c r="D398" s="14" t="s">
        <v>43</v>
      </c>
      <c r="E398" s="14">
        <v>2</v>
      </c>
      <c r="F398" s="14" t="s">
        <v>3983</v>
      </c>
      <c r="G398" s="14">
        <f>(VLOOKUP(D398,'[1]BOM Info General'!$A:$L,12,0))*E398</f>
        <v>130.12</v>
      </c>
      <c r="H398" s="15" t="s">
        <v>40</v>
      </c>
      <c r="I398" s="15">
        <v>1</v>
      </c>
      <c r="J398" s="15" t="s">
        <v>45</v>
      </c>
      <c r="K398" s="15">
        <f>(VLOOKUP(H398,'[1]BOM Info General'!$A:$L,12,0))*I398</f>
        <v>25.59</v>
      </c>
      <c r="L398" s="9" t="s">
        <v>67</v>
      </c>
      <c r="M398" s="9">
        <v>1</v>
      </c>
      <c r="N398" s="9" t="s">
        <v>64</v>
      </c>
      <c r="O398" s="9">
        <f>(VLOOKUP(L398,'[1]Simulation pricing per sub assy'!$D:$E,2,0))*M398</f>
        <v>95.756400000000042</v>
      </c>
      <c r="P398" s="16" t="s">
        <v>51</v>
      </c>
      <c r="Q398" s="16">
        <v>8</v>
      </c>
      <c r="R398" s="16" t="s">
        <v>17</v>
      </c>
      <c r="S398" s="40">
        <f>(VLOOKUP(P398,'[1]BOM Info General'!$A:$L,12,0))*Q398</f>
        <v>21.2</v>
      </c>
      <c r="T398" s="17" t="s">
        <v>24</v>
      </c>
      <c r="U398" s="17">
        <v>1</v>
      </c>
      <c r="V398" s="17" t="s">
        <v>25</v>
      </c>
      <c r="W398" s="17">
        <f>(VLOOKUP(T398,'[1]Simulation pricing per sub assy'!$D:$E,2,0))*U398</f>
        <v>6.44</v>
      </c>
      <c r="X398" s="18" t="s">
        <v>616</v>
      </c>
      <c r="Y398" s="18">
        <v>1</v>
      </c>
      <c r="Z398" s="18" t="s">
        <v>23</v>
      </c>
      <c r="AA398" s="18">
        <f>(VLOOKUP(X398,'[1]Simulation pricing per sub assy'!$D:$E,2,0))*Y398</f>
        <v>4.4802908000000006</v>
      </c>
    </row>
    <row r="399" spans="1:27" x14ac:dyDescent="0.35">
      <c r="A399" s="13" t="s">
        <v>199</v>
      </c>
      <c r="B399" s="13" t="s">
        <v>4156</v>
      </c>
      <c r="C399" s="42">
        <f t="shared" si="6"/>
        <v>283.58669080000004</v>
      </c>
      <c r="D399" s="14" t="s">
        <v>43</v>
      </c>
      <c r="E399" s="14">
        <v>2</v>
      </c>
      <c r="F399" s="14" t="s">
        <v>3983</v>
      </c>
      <c r="G399" s="14">
        <f>(VLOOKUP(D399,'[1]BOM Info General'!$A:$L,12,0))*E399</f>
        <v>130.12</v>
      </c>
      <c r="H399" s="15" t="s">
        <v>40</v>
      </c>
      <c r="I399" s="15">
        <v>1</v>
      </c>
      <c r="J399" s="15" t="s">
        <v>45</v>
      </c>
      <c r="K399" s="15">
        <f>(VLOOKUP(H399,'[1]BOM Info General'!$A:$L,12,0))*I399</f>
        <v>25.59</v>
      </c>
      <c r="L399" s="9" t="s">
        <v>63</v>
      </c>
      <c r="M399" s="9">
        <v>1</v>
      </c>
      <c r="N399" s="9" t="s">
        <v>62</v>
      </c>
      <c r="O399" s="9">
        <f>(VLOOKUP(L399,'[1]Simulation pricing per sub assy'!$D:$E,2,0))*M399</f>
        <v>95.756400000000042</v>
      </c>
      <c r="P399" s="16" t="s">
        <v>51</v>
      </c>
      <c r="Q399" s="16">
        <v>8</v>
      </c>
      <c r="R399" s="16" t="s">
        <v>17</v>
      </c>
      <c r="S399" s="40">
        <f>(VLOOKUP(P399,'[1]BOM Info General'!$A:$L,12,0))*Q399</f>
        <v>21.2</v>
      </c>
      <c r="T399" s="17" t="s">
        <v>24</v>
      </c>
      <c r="U399" s="17">
        <v>1</v>
      </c>
      <c r="V399" s="17" t="s">
        <v>25</v>
      </c>
      <c r="W399" s="17">
        <f>(VLOOKUP(T399,'[1]Simulation pricing per sub assy'!$D:$E,2,0))*U399</f>
        <v>6.44</v>
      </c>
      <c r="X399" s="18" t="s">
        <v>616</v>
      </c>
      <c r="Y399" s="18">
        <v>1</v>
      </c>
      <c r="Z399" s="18" t="s">
        <v>23</v>
      </c>
      <c r="AA399" s="18">
        <f>(VLOOKUP(X399,'[1]Simulation pricing per sub assy'!$D:$E,2,0))*Y399</f>
        <v>4.4802908000000006</v>
      </c>
    </row>
    <row r="400" spans="1:27" x14ac:dyDescent="0.35">
      <c r="A400" s="13" t="s">
        <v>163</v>
      </c>
      <c r="B400" s="13" t="s">
        <v>4157</v>
      </c>
      <c r="C400" s="42">
        <f t="shared" si="6"/>
        <v>283.03669080000003</v>
      </c>
      <c r="D400" s="14" t="s">
        <v>43</v>
      </c>
      <c r="E400" s="14">
        <v>2</v>
      </c>
      <c r="F400" s="14" t="s">
        <v>3983</v>
      </c>
      <c r="G400" s="14">
        <f>(VLOOKUP(D400,'[1]BOM Info General'!$A:$L,12,0))*E400</f>
        <v>130.12</v>
      </c>
      <c r="H400" s="15" t="s">
        <v>40</v>
      </c>
      <c r="I400" s="15">
        <v>1</v>
      </c>
      <c r="J400" s="15" t="s">
        <v>45</v>
      </c>
      <c r="K400" s="15">
        <f>(VLOOKUP(H400,'[1]BOM Info General'!$A:$L,12,0))*I400</f>
        <v>25.59</v>
      </c>
      <c r="L400" s="9" t="s">
        <v>69</v>
      </c>
      <c r="M400" s="9">
        <v>1</v>
      </c>
      <c r="N400" s="9" t="s">
        <v>66</v>
      </c>
      <c r="O400" s="9">
        <f>(VLOOKUP(L400,'[1]Simulation pricing per sub assy'!$D:$E,2,0))*M400</f>
        <v>95.206400000000031</v>
      </c>
      <c r="P400" s="16" t="s">
        <v>51</v>
      </c>
      <c r="Q400" s="16">
        <v>8</v>
      </c>
      <c r="R400" s="16" t="s">
        <v>17</v>
      </c>
      <c r="S400" s="40">
        <f>(VLOOKUP(P400,'[1]BOM Info General'!$A:$L,12,0))*Q400</f>
        <v>21.2</v>
      </c>
      <c r="T400" s="17" t="s">
        <v>24</v>
      </c>
      <c r="U400" s="17">
        <v>1</v>
      </c>
      <c r="V400" s="17" t="s">
        <v>25</v>
      </c>
      <c r="W400" s="17">
        <f>(VLOOKUP(T400,'[1]Simulation pricing per sub assy'!$D:$E,2,0))*U400</f>
        <v>6.44</v>
      </c>
      <c r="X400" s="18" t="s">
        <v>616</v>
      </c>
      <c r="Y400" s="18">
        <v>1</v>
      </c>
      <c r="Z400" s="18" t="s">
        <v>23</v>
      </c>
      <c r="AA400" s="18">
        <f>(VLOOKUP(X400,'[1]Simulation pricing per sub assy'!$D:$E,2,0))*Y400</f>
        <v>4.4802908000000006</v>
      </c>
    </row>
    <row r="401" spans="1:27" x14ac:dyDescent="0.35">
      <c r="A401" s="13" t="s">
        <v>235</v>
      </c>
      <c r="B401" s="13" t="s">
        <v>4158</v>
      </c>
      <c r="C401" s="42">
        <f t="shared" si="6"/>
        <v>290.99669080000001</v>
      </c>
      <c r="D401" s="14" t="s">
        <v>43</v>
      </c>
      <c r="E401" s="14">
        <v>2</v>
      </c>
      <c r="F401" s="14" t="s">
        <v>3983</v>
      </c>
      <c r="G401" s="14">
        <f>(VLOOKUP(D401,'[1]BOM Info General'!$A:$L,12,0))*E401</f>
        <v>130.12</v>
      </c>
      <c r="H401" s="15" t="s">
        <v>40</v>
      </c>
      <c r="I401" s="15">
        <v>1</v>
      </c>
      <c r="J401" s="15" t="s">
        <v>45</v>
      </c>
      <c r="K401" s="15">
        <f>(VLOOKUP(H401,'[1]BOM Info General'!$A:$L,12,0))*I401</f>
        <v>25.59</v>
      </c>
      <c r="L401" s="9" t="s">
        <v>65</v>
      </c>
      <c r="M401" s="9">
        <v>1</v>
      </c>
      <c r="N401" s="9" t="s">
        <v>68</v>
      </c>
      <c r="O401" s="9">
        <f>(VLOOKUP(L401,'[1]Simulation pricing per sub assy'!$D:$E,2,0))*M401</f>
        <v>103.16640000000004</v>
      </c>
      <c r="P401" s="16" t="s">
        <v>51</v>
      </c>
      <c r="Q401" s="16">
        <v>8</v>
      </c>
      <c r="R401" s="16" t="s">
        <v>17</v>
      </c>
      <c r="S401" s="40">
        <f>(VLOOKUP(P401,'[1]BOM Info General'!$A:$L,12,0))*Q401</f>
        <v>21.2</v>
      </c>
      <c r="T401" s="17" t="s">
        <v>24</v>
      </c>
      <c r="U401" s="17">
        <v>1</v>
      </c>
      <c r="V401" s="17" t="s">
        <v>25</v>
      </c>
      <c r="W401" s="17">
        <f>(VLOOKUP(T401,'[1]Simulation pricing per sub assy'!$D:$E,2,0))*U401</f>
        <v>6.44</v>
      </c>
      <c r="X401" s="18" t="s">
        <v>616</v>
      </c>
      <c r="Y401" s="18">
        <v>1</v>
      </c>
      <c r="Z401" s="18" t="s">
        <v>23</v>
      </c>
      <c r="AA401" s="18">
        <f>(VLOOKUP(X401,'[1]Simulation pricing per sub assy'!$D:$E,2,0))*Y401</f>
        <v>4.4802908000000006</v>
      </c>
    </row>
    <row r="402" spans="1:27" x14ac:dyDescent="0.35">
      <c r="A402" s="13" t="s">
        <v>272</v>
      </c>
      <c r="B402" s="13" t="s">
        <v>4159</v>
      </c>
      <c r="C402" s="42">
        <f t="shared" si="6"/>
        <v>283.08669080000004</v>
      </c>
      <c r="D402" s="14" t="s">
        <v>43</v>
      </c>
      <c r="E402" s="14">
        <v>2</v>
      </c>
      <c r="F402" s="14" t="s">
        <v>3983</v>
      </c>
      <c r="G402" s="14">
        <f>(VLOOKUP(D402,'[1]BOM Info General'!$A:$L,12,0))*E402</f>
        <v>130.12</v>
      </c>
      <c r="H402" s="15" t="s">
        <v>40</v>
      </c>
      <c r="I402" s="15">
        <v>1</v>
      </c>
      <c r="J402" s="15" t="s">
        <v>45</v>
      </c>
      <c r="K402" s="15">
        <f>(VLOOKUP(H402,'[1]BOM Info General'!$A:$L,12,0))*I402</f>
        <v>25.59</v>
      </c>
      <c r="L402" s="9" t="s">
        <v>524</v>
      </c>
      <c r="M402" s="9">
        <v>1</v>
      </c>
      <c r="N402" s="9" t="s">
        <v>70</v>
      </c>
      <c r="O402" s="9">
        <f>(VLOOKUP(L402,'[1]Simulation pricing per sub assy'!$D:$E,2,0))*M402</f>
        <v>94.656400000000033</v>
      </c>
      <c r="P402" s="16" t="s">
        <v>51</v>
      </c>
      <c r="Q402" s="16">
        <v>8</v>
      </c>
      <c r="R402" s="16" t="s">
        <v>17</v>
      </c>
      <c r="S402" s="40">
        <f>(VLOOKUP(P402,'[1]BOM Info General'!$A:$L,12,0))*Q402</f>
        <v>21.2</v>
      </c>
      <c r="T402" s="17" t="s">
        <v>26</v>
      </c>
      <c r="U402" s="17">
        <v>1</v>
      </c>
      <c r="V402" s="17" t="s">
        <v>27</v>
      </c>
      <c r="W402" s="17">
        <f>(VLOOKUP(T402,'[1]Simulation pricing per sub assy'!$D:$E,2,0))*U402</f>
        <v>7.04</v>
      </c>
      <c r="X402" s="18" t="s">
        <v>616</v>
      </c>
      <c r="Y402" s="18">
        <v>1</v>
      </c>
      <c r="Z402" s="18" t="s">
        <v>23</v>
      </c>
      <c r="AA402" s="18">
        <f>(VLOOKUP(X402,'[1]Simulation pricing per sub assy'!$D:$E,2,0))*Y402</f>
        <v>4.4802908000000006</v>
      </c>
    </row>
    <row r="403" spans="1:27" x14ac:dyDescent="0.35">
      <c r="A403" s="13" t="s">
        <v>129</v>
      </c>
      <c r="B403" s="13" t="s">
        <v>4160</v>
      </c>
      <c r="C403" s="42">
        <f t="shared" si="6"/>
        <v>284.18669080000006</v>
      </c>
      <c r="D403" s="14" t="s">
        <v>43</v>
      </c>
      <c r="E403" s="14">
        <v>2</v>
      </c>
      <c r="F403" s="14" t="s">
        <v>3983</v>
      </c>
      <c r="G403" s="14">
        <f>(VLOOKUP(D403,'[1]BOM Info General'!$A:$L,12,0))*E403</f>
        <v>130.12</v>
      </c>
      <c r="H403" s="15" t="s">
        <v>40</v>
      </c>
      <c r="I403" s="15">
        <v>1</v>
      </c>
      <c r="J403" s="15" t="s">
        <v>45</v>
      </c>
      <c r="K403" s="15">
        <f>(VLOOKUP(H403,'[1]BOM Info General'!$A:$L,12,0))*I403</f>
        <v>25.59</v>
      </c>
      <c r="L403" s="9" t="s">
        <v>67</v>
      </c>
      <c r="M403" s="9">
        <v>1</v>
      </c>
      <c r="N403" s="9" t="s">
        <v>64</v>
      </c>
      <c r="O403" s="9">
        <f>(VLOOKUP(L403,'[1]Simulation pricing per sub assy'!$D:$E,2,0))*M403</f>
        <v>95.756400000000042</v>
      </c>
      <c r="P403" s="16" t="s">
        <v>51</v>
      </c>
      <c r="Q403" s="16">
        <v>8</v>
      </c>
      <c r="R403" s="16" t="s">
        <v>17</v>
      </c>
      <c r="S403" s="40">
        <f>(VLOOKUP(P403,'[1]BOM Info General'!$A:$L,12,0))*Q403</f>
        <v>21.2</v>
      </c>
      <c r="T403" s="17" t="s">
        <v>26</v>
      </c>
      <c r="U403" s="17">
        <v>1</v>
      </c>
      <c r="V403" s="17" t="s">
        <v>27</v>
      </c>
      <c r="W403" s="17">
        <f>(VLOOKUP(T403,'[1]Simulation pricing per sub assy'!$D:$E,2,0))*U403</f>
        <v>7.04</v>
      </c>
      <c r="X403" s="18" t="s">
        <v>616</v>
      </c>
      <c r="Y403" s="18">
        <v>1</v>
      </c>
      <c r="Z403" s="18" t="s">
        <v>23</v>
      </c>
      <c r="AA403" s="18">
        <f>(VLOOKUP(X403,'[1]Simulation pricing per sub assy'!$D:$E,2,0))*Y403</f>
        <v>4.4802908000000006</v>
      </c>
    </row>
    <row r="404" spans="1:27" x14ac:dyDescent="0.35">
      <c r="A404" s="13" t="s">
        <v>200</v>
      </c>
      <c r="B404" s="13" t="s">
        <v>4161</v>
      </c>
      <c r="C404" s="42">
        <f t="shared" si="6"/>
        <v>284.18669080000006</v>
      </c>
      <c r="D404" s="14" t="s">
        <v>43</v>
      </c>
      <c r="E404" s="14">
        <v>2</v>
      </c>
      <c r="F404" s="14" t="s">
        <v>3983</v>
      </c>
      <c r="G404" s="14">
        <f>(VLOOKUP(D404,'[1]BOM Info General'!$A:$L,12,0))*E404</f>
        <v>130.12</v>
      </c>
      <c r="H404" s="15" t="s">
        <v>40</v>
      </c>
      <c r="I404" s="15">
        <v>1</v>
      </c>
      <c r="J404" s="15" t="s">
        <v>45</v>
      </c>
      <c r="K404" s="15">
        <f>(VLOOKUP(H404,'[1]BOM Info General'!$A:$L,12,0))*I404</f>
        <v>25.59</v>
      </c>
      <c r="L404" s="9" t="s">
        <v>63</v>
      </c>
      <c r="M404" s="9">
        <v>1</v>
      </c>
      <c r="N404" s="9" t="s">
        <v>62</v>
      </c>
      <c r="O404" s="9">
        <f>(VLOOKUP(L404,'[1]Simulation pricing per sub assy'!$D:$E,2,0))*M404</f>
        <v>95.756400000000042</v>
      </c>
      <c r="P404" s="16" t="s">
        <v>51</v>
      </c>
      <c r="Q404" s="16">
        <v>8</v>
      </c>
      <c r="R404" s="16" t="s">
        <v>17</v>
      </c>
      <c r="S404" s="40">
        <f>(VLOOKUP(P404,'[1]BOM Info General'!$A:$L,12,0))*Q404</f>
        <v>21.2</v>
      </c>
      <c r="T404" s="17" t="s">
        <v>26</v>
      </c>
      <c r="U404" s="17">
        <v>1</v>
      </c>
      <c r="V404" s="17" t="s">
        <v>27</v>
      </c>
      <c r="W404" s="17">
        <f>(VLOOKUP(T404,'[1]Simulation pricing per sub assy'!$D:$E,2,0))*U404</f>
        <v>7.04</v>
      </c>
      <c r="X404" s="18" t="s">
        <v>616</v>
      </c>
      <c r="Y404" s="18">
        <v>1</v>
      </c>
      <c r="Z404" s="18" t="s">
        <v>23</v>
      </c>
      <c r="AA404" s="18">
        <f>(VLOOKUP(X404,'[1]Simulation pricing per sub assy'!$D:$E,2,0))*Y404</f>
        <v>4.4802908000000006</v>
      </c>
    </row>
    <row r="405" spans="1:27" x14ac:dyDescent="0.35">
      <c r="A405" s="13" t="s">
        <v>164</v>
      </c>
      <c r="B405" s="13" t="s">
        <v>4162</v>
      </c>
      <c r="C405" s="42">
        <f t="shared" si="6"/>
        <v>283.63669080000005</v>
      </c>
      <c r="D405" s="14" t="s">
        <v>43</v>
      </c>
      <c r="E405" s="14">
        <v>2</v>
      </c>
      <c r="F405" s="14" t="s">
        <v>3983</v>
      </c>
      <c r="G405" s="14">
        <f>(VLOOKUP(D405,'[1]BOM Info General'!$A:$L,12,0))*E405</f>
        <v>130.12</v>
      </c>
      <c r="H405" s="15" t="s">
        <v>40</v>
      </c>
      <c r="I405" s="15">
        <v>1</v>
      </c>
      <c r="J405" s="15" t="s">
        <v>45</v>
      </c>
      <c r="K405" s="15">
        <f>(VLOOKUP(H405,'[1]BOM Info General'!$A:$L,12,0))*I405</f>
        <v>25.59</v>
      </c>
      <c r="L405" s="9" t="s">
        <v>69</v>
      </c>
      <c r="M405" s="9">
        <v>1</v>
      </c>
      <c r="N405" s="9" t="s">
        <v>66</v>
      </c>
      <c r="O405" s="9">
        <f>(VLOOKUP(L405,'[1]Simulation pricing per sub assy'!$D:$E,2,0))*M405</f>
        <v>95.206400000000031</v>
      </c>
      <c r="P405" s="16" t="s">
        <v>51</v>
      </c>
      <c r="Q405" s="16">
        <v>8</v>
      </c>
      <c r="R405" s="16" t="s">
        <v>17</v>
      </c>
      <c r="S405" s="40">
        <f>(VLOOKUP(P405,'[1]BOM Info General'!$A:$L,12,0))*Q405</f>
        <v>21.2</v>
      </c>
      <c r="T405" s="17" t="s">
        <v>26</v>
      </c>
      <c r="U405" s="17">
        <v>1</v>
      </c>
      <c r="V405" s="17" t="s">
        <v>27</v>
      </c>
      <c r="W405" s="17">
        <f>(VLOOKUP(T405,'[1]Simulation pricing per sub assy'!$D:$E,2,0))*U405</f>
        <v>7.04</v>
      </c>
      <c r="X405" s="18" t="s">
        <v>616</v>
      </c>
      <c r="Y405" s="18">
        <v>1</v>
      </c>
      <c r="Z405" s="18" t="s">
        <v>23</v>
      </c>
      <c r="AA405" s="18">
        <f>(VLOOKUP(X405,'[1]Simulation pricing per sub assy'!$D:$E,2,0))*Y405</f>
        <v>4.4802908000000006</v>
      </c>
    </row>
    <row r="406" spans="1:27" x14ac:dyDescent="0.35">
      <c r="A406" s="13" t="s">
        <v>236</v>
      </c>
      <c r="B406" s="13" t="s">
        <v>4163</v>
      </c>
      <c r="C406" s="42">
        <f t="shared" si="6"/>
        <v>291.59669080000003</v>
      </c>
      <c r="D406" s="14" t="s">
        <v>43</v>
      </c>
      <c r="E406" s="14">
        <v>2</v>
      </c>
      <c r="F406" s="14" t="s">
        <v>3983</v>
      </c>
      <c r="G406" s="14">
        <f>(VLOOKUP(D406,'[1]BOM Info General'!$A:$L,12,0))*E406</f>
        <v>130.12</v>
      </c>
      <c r="H406" s="15" t="s">
        <v>40</v>
      </c>
      <c r="I406" s="15">
        <v>1</v>
      </c>
      <c r="J406" s="15" t="s">
        <v>45</v>
      </c>
      <c r="K406" s="15">
        <f>(VLOOKUP(H406,'[1]BOM Info General'!$A:$L,12,0))*I406</f>
        <v>25.59</v>
      </c>
      <c r="L406" s="9" t="s">
        <v>65</v>
      </c>
      <c r="M406" s="9">
        <v>1</v>
      </c>
      <c r="N406" s="9" t="s">
        <v>68</v>
      </c>
      <c r="O406" s="9">
        <f>(VLOOKUP(L406,'[1]Simulation pricing per sub assy'!$D:$E,2,0))*M406</f>
        <v>103.16640000000004</v>
      </c>
      <c r="P406" s="16" t="s">
        <v>51</v>
      </c>
      <c r="Q406" s="16">
        <v>8</v>
      </c>
      <c r="R406" s="16" t="s">
        <v>17</v>
      </c>
      <c r="S406" s="40">
        <f>(VLOOKUP(P406,'[1]BOM Info General'!$A:$L,12,0))*Q406</f>
        <v>21.2</v>
      </c>
      <c r="T406" s="17" t="s">
        <v>26</v>
      </c>
      <c r="U406" s="17">
        <v>1</v>
      </c>
      <c r="V406" s="17" t="s">
        <v>27</v>
      </c>
      <c r="W406" s="17">
        <f>(VLOOKUP(T406,'[1]Simulation pricing per sub assy'!$D:$E,2,0))*U406</f>
        <v>7.04</v>
      </c>
      <c r="X406" s="18" t="s">
        <v>616</v>
      </c>
      <c r="Y406" s="18">
        <v>1</v>
      </c>
      <c r="Z406" s="18" t="s">
        <v>23</v>
      </c>
      <c r="AA406" s="18">
        <f>(VLOOKUP(X406,'[1]Simulation pricing per sub assy'!$D:$E,2,0))*Y406</f>
        <v>4.4802908000000006</v>
      </c>
    </row>
    <row r="407" spans="1:27" x14ac:dyDescent="0.35">
      <c r="A407" s="13" t="s">
        <v>273</v>
      </c>
      <c r="B407" s="13" t="s">
        <v>4164</v>
      </c>
      <c r="C407" s="42">
        <f t="shared" si="6"/>
        <v>283.04669080000002</v>
      </c>
      <c r="D407" s="14" t="s">
        <v>43</v>
      </c>
      <c r="E407" s="14">
        <v>2</v>
      </c>
      <c r="F407" s="14" t="s">
        <v>3983</v>
      </c>
      <c r="G407" s="14">
        <f>(VLOOKUP(D407,'[1]BOM Info General'!$A:$L,12,0))*E407</f>
        <v>130.12</v>
      </c>
      <c r="H407" s="15" t="s">
        <v>40</v>
      </c>
      <c r="I407" s="15">
        <v>1</v>
      </c>
      <c r="J407" s="15" t="s">
        <v>45</v>
      </c>
      <c r="K407" s="15">
        <f>(VLOOKUP(H407,'[1]BOM Info General'!$A:$L,12,0))*I407</f>
        <v>25.59</v>
      </c>
      <c r="L407" s="9" t="s">
        <v>524</v>
      </c>
      <c r="M407" s="9">
        <v>1</v>
      </c>
      <c r="N407" s="9" t="s">
        <v>70</v>
      </c>
      <c r="O407" s="9">
        <f>(VLOOKUP(L407,'[1]Simulation pricing per sub assy'!$D:$E,2,0))*M407</f>
        <v>94.656400000000033</v>
      </c>
      <c r="P407" s="16" t="s">
        <v>51</v>
      </c>
      <c r="Q407" s="16">
        <v>8</v>
      </c>
      <c r="R407" s="16" t="s">
        <v>17</v>
      </c>
      <c r="S407" s="40">
        <f>(VLOOKUP(P407,'[1]BOM Info General'!$A:$L,12,0))*Q407</f>
        <v>21.2</v>
      </c>
      <c r="T407" s="17" t="s">
        <v>28</v>
      </c>
      <c r="U407" s="17">
        <v>1</v>
      </c>
      <c r="V407" s="17" t="s">
        <v>29</v>
      </c>
      <c r="W407" s="17">
        <f>(VLOOKUP(T407,'[1]Simulation pricing per sub assy'!$D:$E,2,0))*U407</f>
        <v>7</v>
      </c>
      <c r="X407" s="18" t="s">
        <v>616</v>
      </c>
      <c r="Y407" s="18">
        <v>1</v>
      </c>
      <c r="Z407" s="18" t="s">
        <v>23</v>
      </c>
      <c r="AA407" s="18">
        <f>(VLOOKUP(X407,'[1]Simulation pricing per sub assy'!$D:$E,2,0))*Y407</f>
        <v>4.4802908000000006</v>
      </c>
    </row>
    <row r="408" spans="1:27" x14ac:dyDescent="0.35">
      <c r="A408" s="13" t="s">
        <v>130</v>
      </c>
      <c r="B408" s="13" t="s">
        <v>4165</v>
      </c>
      <c r="C408" s="42">
        <f t="shared" si="6"/>
        <v>284.14669080000004</v>
      </c>
      <c r="D408" s="14" t="s">
        <v>43</v>
      </c>
      <c r="E408" s="14">
        <v>2</v>
      </c>
      <c r="F408" s="14" t="s">
        <v>3983</v>
      </c>
      <c r="G408" s="14">
        <f>(VLOOKUP(D408,'[1]BOM Info General'!$A:$L,12,0))*E408</f>
        <v>130.12</v>
      </c>
      <c r="H408" s="15" t="s">
        <v>40</v>
      </c>
      <c r="I408" s="15">
        <v>1</v>
      </c>
      <c r="J408" s="15" t="s">
        <v>45</v>
      </c>
      <c r="K408" s="15">
        <f>(VLOOKUP(H408,'[1]BOM Info General'!$A:$L,12,0))*I408</f>
        <v>25.59</v>
      </c>
      <c r="L408" s="9" t="s">
        <v>67</v>
      </c>
      <c r="M408" s="9">
        <v>1</v>
      </c>
      <c r="N408" s="9" t="s">
        <v>64</v>
      </c>
      <c r="O408" s="9">
        <f>(VLOOKUP(L408,'[1]Simulation pricing per sub assy'!$D:$E,2,0))*M408</f>
        <v>95.756400000000042</v>
      </c>
      <c r="P408" s="16" t="s">
        <v>51</v>
      </c>
      <c r="Q408" s="16">
        <v>8</v>
      </c>
      <c r="R408" s="16" t="s">
        <v>17</v>
      </c>
      <c r="S408" s="40">
        <f>(VLOOKUP(P408,'[1]BOM Info General'!$A:$L,12,0))*Q408</f>
        <v>21.2</v>
      </c>
      <c r="T408" s="17" t="s">
        <v>28</v>
      </c>
      <c r="U408" s="17">
        <v>1</v>
      </c>
      <c r="V408" s="17" t="s">
        <v>29</v>
      </c>
      <c r="W408" s="17">
        <f>(VLOOKUP(T408,'[1]Simulation pricing per sub assy'!$D:$E,2,0))*U408</f>
        <v>7</v>
      </c>
      <c r="X408" s="18" t="s">
        <v>616</v>
      </c>
      <c r="Y408" s="18">
        <v>1</v>
      </c>
      <c r="Z408" s="18" t="s">
        <v>23</v>
      </c>
      <c r="AA408" s="18">
        <f>(VLOOKUP(X408,'[1]Simulation pricing per sub assy'!$D:$E,2,0))*Y408</f>
        <v>4.4802908000000006</v>
      </c>
    </row>
    <row r="409" spans="1:27" x14ac:dyDescent="0.35">
      <c r="A409" s="13" t="s">
        <v>201</v>
      </c>
      <c r="B409" s="13" t="s">
        <v>4166</v>
      </c>
      <c r="C409" s="42">
        <f t="shared" si="6"/>
        <v>284.14669080000004</v>
      </c>
      <c r="D409" s="14" t="s">
        <v>43</v>
      </c>
      <c r="E409" s="14">
        <v>2</v>
      </c>
      <c r="F409" s="14" t="s">
        <v>3983</v>
      </c>
      <c r="G409" s="14">
        <f>(VLOOKUP(D409,'[1]BOM Info General'!$A:$L,12,0))*E409</f>
        <v>130.12</v>
      </c>
      <c r="H409" s="15" t="s">
        <v>40</v>
      </c>
      <c r="I409" s="15">
        <v>1</v>
      </c>
      <c r="J409" s="15" t="s">
        <v>45</v>
      </c>
      <c r="K409" s="15">
        <f>(VLOOKUP(H409,'[1]BOM Info General'!$A:$L,12,0))*I409</f>
        <v>25.59</v>
      </c>
      <c r="L409" s="9" t="s">
        <v>63</v>
      </c>
      <c r="M409" s="9">
        <v>1</v>
      </c>
      <c r="N409" s="9" t="s">
        <v>62</v>
      </c>
      <c r="O409" s="9">
        <f>(VLOOKUP(L409,'[1]Simulation pricing per sub assy'!$D:$E,2,0))*M409</f>
        <v>95.756400000000042</v>
      </c>
      <c r="P409" s="16" t="s">
        <v>51</v>
      </c>
      <c r="Q409" s="16">
        <v>8</v>
      </c>
      <c r="R409" s="16" t="s">
        <v>17</v>
      </c>
      <c r="S409" s="40">
        <f>(VLOOKUP(P409,'[1]BOM Info General'!$A:$L,12,0))*Q409</f>
        <v>21.2</v>
      </c>
      <c r="T409" s="17" t="s">
        <v>28</v>
      </c>
      <c r="U409" s="17">
        <v>1</v>
      </c>
      <c r="V409" s="17" t="s">
        <v>29</v>
      </c>
      <c r="W409" s="17">
        <f>(VLOOKUP(T409,'[1]Simulation pricing per sub assy'!$D:$E,2,0))*U409</f>
        <v>7</v>
      </c>
      <c r="X409" s="18" t="s">
        <v>616</v>
      </c>
      <c r="Y409" s="18">
        <v>1</v>
      </c>
      <c r="Z409" s="18" t="s">
        <v>23</v>
      </c>
      <c r="AA409" s="18">
        <f>(VLOOKUP(X409,'[1]Simulation pricing per sub assy'!$D:$E,2,0))*Y409</f>
        <v>4.4802908000000006</v>
      </c>
    </row>
    <row r="410" spans="1:27" x14ac:dyDescent="0.35">
      <c r="A410" s="13" t="s">
        <v>165</v>
      </c>
      <c r="B410" s="13" t="s">
        <v>4167</v>
      </c>
      <c r="C410" s="42">
        <f t="shared" si="6"/>
        <v>283.59669080000003</v>
      </c>
      <c r="D410" s="14" t="s">
        <v>43</v>
      </c>
      <c r="E410" s="14">
        <v>2</v>
      </c>
      <c r="F410" s="14" t="s">
        <v>3983</v>
      </c>
      <c r="G410" s="14">
        <f>(VLOOKUP(D410,'[1]BOM Info General'!$A:$L,12,0))*E410</f>
        <v>130.12</v>
      </c>
      <c r="H410" s="15" t="s">
        <v>40</v>
      </c>
      <c r="I410" s="15">
        <v>1</v>
      </c>
      <c r="J410" s="15" t="s">
        <v>45</v>
      </c>
      <c r="K410" s="15">
        <f>(VLOOKUP(H410,'[1]BOM Info General'!$A:$L,12,0))*I410</f>
        <v>25.59</v>
      </c>
      <c r="L410" s="9" t="s">
        <v>69</v>
      </c>
      <c r="M410" s="9">
        <v>1</v>
      </c>
      <c r="N410" s="9" t="s">
        <v>66</v>
      </c>
      <c r="O410" s="9">
        <f>(VLOOKUP(L410,'[1]Simulation pricing per sub assy'!$D:$E,2,0))*M410</f>
        <v>95.206400000000031</v>
      </c>
      <c r="P410" s="16" t="s">
        <v>51</v>
      </c>
      <c r="Q410" s="16">
        <v>8</v>
      </c>
      <c r="R410" s="16" t="s">
        <v>17</v>
      </c>
      <c r="S410" s="40">
        <f>(VLOOKUP(P410,'[1]BOM Info General'!$A:$L,12,0))*Q410</f>
        <v>21.2</v>
      </c>
      <c r="T410" s="17" t="s">
        <v>28</v>
      </c>
      <c r="U410" s="17">
        <v>1</v>
      </c>
      <c r="V410" s="17" t="s">
        <v>29</v>
      </c>
      <c r="W410" s="17">
        <f>(VLOOKUP(T410,'[1]Simulation pricing per sub assy'!$D:$E,2,0))*U410</f>
        <v>7</v>
      </c>
      <c r="X410" s="18" t="s">
        <v>616</v>
      </c>
      <c r="Y410" s="18">
        <v>1</v>
      </c>
      <c r="Z410" s="18" t="s">
        <v>23</v>
      </c>
      <c r="AA410" s="18">
        <f>(VLOOKUP(X410,'[1]Simulation pricing per sub assy'!$D:$E,2,0))*Y410</f>
        <v>4.4802908000000006</v>
      </c>
    </row>
    <row r="411" spans="1:27" x14ac:dyDescent="0.35">
      <c r="A411" s="13" t="s">
        <v>237</v>
      </c>
      <c r="B411" s="13" t="s">
        <v>4168</v>
      </c>
      <c r="C411" s="42">
        <f t="shared" si="6"/>
        <v>291.55669080000001</v>
      </c>
      <c r="D411" s="14" t="s">
        <v>43</v>
      </c>
      <c r="E411" s="14">
        <v>2</v>
      </c>
      <c r="F411" s="14" t="s">
        <v>3983</v>
      </c>
      <c r="G411" s="14">
        <f>(VLOOKUP(D411,'[1]BOM Info General'!$A:$L,12,0))*E411</f>
        <v>130.12</v>
      </c>
      <c r="H411" s="15" t="s">
        <v>40</v>
      </c>
      <c r="I411" s="15">
        <v>1</v>
      </c>
      <c r="J411" s="15" t="s">
        <v>45</v>
      </c>
      <c r="K411" s="15">
        <f>(VLOOKUP(H411,'[1]BOM Info General'!$A:$L,12,0))*I411</f>
        <v>25.59</v>
      </c>
      <c r="L411" s="9" t="s">
        <v>65</v>
      </c>
      <c r="M411" s="9">
        <v>1</v>
      </c>
      <c r="N411" s="9" t="s">
        <v>68</v>
      </c>
      <c r="O411" s="9">
        <f>(VLOOKUP(L411,'[1]Simulation pricing per sub assy'!$D:$E,2,0))*M411</f>
        <v>103.16640000000004</v>
      </c>
      <c r="P411" s="16" t="s">
        <v>51</v>
      </c>
      <c r="Q411" s="16">
        <v>8</v>
      </c>
      <c r="R411" s="16" t="s">
        <v>17</v>
      </c>
      <c r="S411" s="40">
        <f>(VLOOKUP(P411,'[1]BOM Info General'!$A:$L,12,0))*Q411</f>
        <v>21.2</v>
      </c>
      <c r="T411" s="17" t="s">
        <v>28</v>
      </c>
      <c r="U411" s="17">
        <v>1</v>
      </c>
      <c r="V411" s="17" t="s">
        <v>29</v>
      </c>
      <c r="W411" s="17">
        <f>(VLOOKUP(T411,'[1]Simulation pricing per sub assy'!$D:$E,2,0))*U411</f>
        <v>7</v>
      </c>
      <c r="X411" s="18" t="s">
        <v>616</v>
      </c>
      <c r="Y411" s="18">
        <v>1</v>
      </c>
      <c r="Z411" s="18" t="s">
        <v>23</v>
      </c>
      <c r="AA411" s="18">
        <f>(VLOOKUP(X411,'[1]Simulation pricing per sub assy'!$D:$E,2,0))*Y411</f>
        <v>4.4802908000000006</v>
      </c>
    </row>
    <row r="412" spans="1:27" x14ac:dyDescent="0.35">
      <c r="A412" s="13" t="s">
        <v>274</v>
      </c>
      <c r="B412" s="13" t="s">
        <v>4169</v>
      </c>
      <c r="C412" s="42">
        <f t="shared" si="6"/>
        <v>282.48669080000002</v>
      </c>
      <c r="D412" s="14" t="s">
        <v>43</v>
      </c>
      <c r="E412" s="14">
        <v>2</v>
      </c>
      <c r="F412" s="14" t="s">
        <v>3983</v>
      </c>
      <c r="G412" s="14">
        <f>(VLOOKUP(D412,'[1]BOM Info General'!$A:$L,12,0))*E412</f>
        <v>130.12</v>
      </c>
      <c r="H412" s="15" t="s">
        <v>40</v>
      </c>
      <c r="I412" s="15">
        <v>1</v>
      </c>
      <c r="J412" s="15" t="s">
        <v>45</v>
      </c>
      <c r="K412" s="15">
        <f>(VLOOKUP(H412,'[1]BOM Info General'!$A:$L,12,0))*I412</f>
        <v>25.59</v>
      </c>
      <c r="L412" s="9" t="s">
        <v>524</v>
      </c>
      <c r="M412" s="9">
        <v>1</v>
      </c>
      <c r="N412" s="9" t="s">
        <v>70</v>
      </c>
      <c r="O412" s="9">
        <f>(VLOOKUP(L412,'[1]Simulation pricing per sub assy'!$D:$E,2,0))*M412</f>
        <v>94.656400000000033</v>
      </c>
      <c r="P412" s="16" t="s">
        <v>52</v>
      </c>
      <c r="Q412" s="16">
        <v>8</v>
      </c>
      <c r="R412" s="16" t="s">
        <v>18</v>
      </c>
      <c r="S412" s="40">
        <f>(VLOOKUP(P412,'[1]BOM Info General'!$A:$L,12,0))*Q412</f>
        <v>21.2</v>
      </c>
      <c r="T412" s="17" t="s">
        <v>24</v>
      </c>
      <c r="U412" s="17">
        <v>1</v>
      </c>
      <c r="V412" s="17" t="s">
        <v>25</v>
      </c>
      <c r="W412" s="17">
        <f>(VLOOKUP(T412,'[1]Simulation pricing per sub assy'!$D:$E,2,0))*U412</f>
        <v>6.44</v>
      </c>
      <c r="X412" s="18" t="s">
        <v>616</v>
      </c>
      <c r="Y412" s="18">
        <v>1</v>
      </c>
      <c r="Z412" s="18" t="s">
        <v>23</v>
      </c>
      <c r="AA412" s="18">
        <f>(VLOOKUP(X412,'[1]Simulation pricing per sub assy'!$D:$E,2,0))*Y412</f>
        <v>4.4802908000000006</v>
      </c>
    </row>
    <row r="413" spans="1:27" x14ac:dyDescent="0.35">
      <c r="A413" s="13" t="s">
        <v>131</v>
      </c>
      <c r="B413" s="13" t="s">
        <v>4170</v>
      </c>
      <c r="C413" s="42">
        <f t="shared" si="6"/>
        <v>283.58669080000004</v>
      </c>
      <c r="D413" s="14" t="s">
        <v>43</v>
      </c>
      <c r="E413" s="14">
        <v>2</v>
      </c>
      <c r="F413" s="14" t="s">
        <v>3983</v>
      </c>
      <c r="G413" s="14">
        <f>(VLOOKUP(D413,'[1]BOM Info General'!$A:$L,12,0))*E413</f>
        <v>130.12</v>
      </c>
      <c r="H413" s="15" t="s">
        <v>40</v>
      </c>
      <c r="I413" s="15">
        <v>1</v>
      </c>
      <c r="J413" s="15" t="s">
        <v>45</v>
      </c>
      <c r="K413" s="15">
        <f>(VLOOKUP(H413,'[1]BOM Info General'!$A:$L,12,0))*I413</f>
        <v>25.59</v>
      </c>
      <c r="L413" s="9" t="s">
        <v>67</v>
      </c>
      <c r="M413" s="9">
        <v>1</v>
      </c>
      <c r="N413" s="9" t="s">
        <v>64</v>
      </c>
      <c r="O413" s="9">
        <f>(VLOOKUP(L413,'[1]Simulation pricing per sub assy'!$D:$E,2,0))*M413</f>
        <v>95.756400000000042</v>
      </c>
      <c r="P413" s="16" t="s">
        <v>52</v>
      </c>
      <c r="Q413" s="16">
        <v>8</v>
      </c>
      <c r="R413" s="16" t="s">
        <v>18</v>
      </c>
      <c r="S413" s="40">
        <f>(VLOOKUP(P413,'[1]BOM Info General'!$A:$L,12,0))*Q413</f>
        <v>21.2</v>
      </c>
      <c r="T413" s="17" t="s">
        <v>24</v>
      </c>
      <c r="U413" s="17">
        <v>1</v>
      </c>
      <c r="V413" s="17" t="s">
        <v>25</v>
      </c>
      <c r="W413" s="17">
        <f>(VLOOKUP(T413,'[1]Simulation pricing per sub assy'!$D:$E,2,0))*U413</f>
        <v>6.44</v>
      </c>
      <c r="X413" s="18" t="s">
        <v>616</v>
      </c>
      <c r="Y413" s="18">
        <v>1</v>
      </c>
      <c r="Z413" s="18" t="s">
        <v>23</v>
      </c>
      <c r="AA413" s="18">
        <f>(VLOOKUP(X413,'[1]Simulation pricing per sub assy'!$D:$E,2,0))*Y413</f>
        <v>4.4802908000000006</v>
      </c>
    </row>
    <row r="414" spans="1:27" x14ac:dyDescent="0.35">
      <c r="A414" s="13" t="s">
        <v>202</v>
      </c>
      <c r="B414" s="13" t="s">
        <v>4171</v>
      </c>
      <c r="C414" s="42">
        <f t="shared" si="6"/>
        <v>283.58669080000004</v>
      </c>
      <c r="D414" s="14" t="s">
        <v>43</v>
      </c>
      <c r="E414" s="14">
        <v>2</v>
      </c>
      <c r="F414" s="14" t="s">
        <v>3983</v>
      </c>
      <c r="G414" s="14">
        <f>(VLOOKUP(D414,'[1]BOM Info General'!$A:$L,12,0))*E414</f>
        <v>130.12</v>
      </c>
      <c r="H414" s="15" t="s">
        <v>40</v>
      </c>
      <c r="I414" s="15">
        <v>1</v>
      </c>
      <c r="J414" s="15" t="s">
        <v>45</v>
      </c>
      <c r="K414" s="15">
        <f>(VLOOKUP(H414,'[1]BOM Info General'!$A:$L,12,0))*I414</f>
        <v>25.59</v>
      </c>
      <c r="L414" s="9" t="s">
        <v>63</v>
      </c>
      <c r="M414" s="9">
        <v>1</v>
      </c>
      <c r="N414" s="9" t="s">
        <v>62</v>
      </c>
      <c r="O414" s="9">
        <f>(VLOOKUP(L414,'[1]Simulation pricing per sub assy'!$D:$E,2,0))*M414</f>
        <v>95.756400000000042</v>
      </c>
      <c r="P414" s="16" t="s">
        <v>52</v>
      </c>
      <c r="Q414" s="16">
        <v>8</v>
      </c>
      <c r="R414" s="16" t="s">
        <v>18</v>
      </c>
      <c r="S414" s="40">
        <f>(VLOOKUP(P414,'[1]BOM Info General'!$A:$L,12,0))*Q414</f>
        <v>21.2</v>
      </c>
      <c r="T414" s="17" t="s">
        <v>24</v>
      </c>
      <c r="U414" s="17">
        <v>1</v>
      </c>
      <c r="V414" s="17" t="s">
        <v>25</v>
      </c>
      <c r="W414" s="17">
        <f>(VLOOKUP(T414,'[1]Simulation pricing per sub assy'!$D:$E,2,0))*U414</f>
        <v>6.44</v>
      </c>
      <c r="X414" s="18" t="s">
        <v>616</v>
      </c>
      <c r="Y414" s="18">
        <v>1</v>
      </c>
      <c r="Z414" s="18" t="s">
        <v>23</v>
      </c>
      <c r="AA414" s="18">
        <f>(VLOOKUP(X414,'[1]Simulation pricing per sub assy'!$D:$E,2,0))*Y414</f>
        <v>4.4802908000000006</v>
      </c>
    </row>
    <row r="415" spans="1:27" x14ac:dyDescent="0.35">
      <c r="A415" s="13" t="s">
        <v>166</v>
      </c>
      <c r="B415" s="13" t="s">
        <v>4172</v>
      </c>
      <c r="C415" s="42">
        <f t="shared" si="6"/>
        <v>283.03669080000003</v>
      </c>
      <c r="D415" s="14" t="s">
        <v>43</v>
      </c>
      <c r="E415" s="14">
        <v>2</v>
      </c>
      <c r="F415" s="14" t="s">
        <v>3983</v>
      </c>
      <c r="G415" s="14">
        <f>(VLOOKUP(D415,'[1]BOM Info General'!$A:$L,12,0))*E415</f>
        <v>130.12</v>
      </c>
      <c r="H415" s="15" t="s">
        <v>40</v>
      </c>
      <c r="I415" s="15">
        <v>1</v>
      </c>
      <c r="J415" s="15" t="s">
        <v>45</v>
      </c>
      <c r="K415" s="15">
        <f>(VLOOKUP(H415,'[1]BOM Info General'!$A:$L,12,0))*I415</f>
        <v>25.59</v>
      </c>
      <c r="L415" s="9" t="s">
        <v>69</v>
      </c>
      <c r="M415" s="9">
        <v>1</v>
      </c>
      <c r="N415" s="9" t="s">
        <v>66</v>
      </c>
      <c r="O415" s="9">
        <f>(VLOOKUP(L415,'[1]Simulation pricing per sub assy'!$D:$E,2,0))*M415</f>
        <v>95.206400000000031</v>
      </c>
      <c r="P415" s="16" t="s">
        <v>52</v>
      </c>
      <c r="Q415" s="16">
        <v>8</v>
      </c>
      <c r="R415" s="16" t="s">
        <v>18</v>
      </c>
      <c r="S415" s="40">
        <f>(VLOOKUP(P415,'[1]BOM Info General'!$A:$L,12,0))*Q415</f>
        <v>21.2</v>
      </c>
      <c r="T415" s="17" t="s">
        <v>24</v>
      </c>
      <c r="U415" s="17">
        <v>1</v>
      </c>
      <c r="V415" s="17" t="s">
        <v>25</v>
      </c>
      <c r="W415" s="17">
        <f>(VLOOKUP(T415,'[1]Simulation pricing per sub assy'!$D:$E,2,0))*U415</f>
        <v>6.44</v>
      </c>
      <c r="X415" s="18" t="s">
        <v>616</v>
      </c>
      <c r="Y415" s="18">
        <v>1</v>
      </c>
      <c r="Z415" s="18" t="s">
        <v>23</v>
      </c>
      <c r="AA415" s="18">
        <f>(VLOOKUP(X415,'[1]Simulation pricing per sub assy'!$D:$E,2,0))*Y415</f>
        <v>4.4802908000000006</v>
      </c>
    </row>
    <row r="416" spans="1:27" x14ac:dyDescent="0.35">
      <c r="A416" s="13" t="s">
        <v>238</v>
      </c>
      <c r="B416" s="13" t="s">
        <v>4173</v>
      </c>
      <c r="C416" s="42">
        <f t="shared" si="6"/>
        <v>290.99669080000001</v>
      </c>
      <c r="D416" s="14" t="s">
        <v>43</v>
      </c>
      <c r="E416" s="14">
        <v>2</v>
      </c>
      <c r="F416" s="14" t="s">
        <v>3983</v>
      </c>
      <c r="G416" s="14">
        <f>(VLOOKUP(D416,'[1]BOM Info General'!$A:$L,12,0))*E416</f>
        <v>130.12</v>
      </c>
      <c r="H416" s="15" t="s">
        <v>40</v>
      </c>
      <c r="I416" s="15">
        <v>1</v>
      </c>
      <c r="J416" s="15" t="s">
        <v>45</v>
      </c>
      <c r="K416" s="15">
        <f>(VLOOKUP(H416,'[1]BOM Info General'!$A:$L,12,0))*I416</f>
        <v>25.59</v>
      </c>
      <c r="L416" s="9" t="s">
        <v>65</v>
      </c>
      <c r="M416" s="9">
        <v>1</v>
      </c>
      <c r="N416" s="9" t="s">
        <v>68</v>
      </c>
      <c r="O416" s="9">
        <f>(VLOOKUP(L416,'[1]Simulation pricing per sub assy'!$D:$E,2,0))*M416</f>
        <v>103.16640000000004</v>
      </c>
      <c r="P416" s="16" t="s">
        <v>52</v>
      </c>
      <c r="Q416" s="16">
        <v>8</v>
      </c>
      <c r="R416" s="16" t="s">
        <v>18</v>
      </c>
      <c r="S416" s="40">
        <f>(VLOOKUP(P416,'[1]BOM Info General'!$A:$L,12,0))*Q416</f>
        <v>21.2</v>
      </c>
      <c r="T416" s="17" t="s">
        <v>24</v>
      </c>
      <c r="U416" s="17">
        <v>1</v>
      </c>
      <c r="V416" s="17" t="s">
        <v>25</v>
      </c>
      <c r="W416" s="17">
        <f>(VLOOKUP(T416,'[1]Simulation pricing per sub assy'!$D:$E,2,0))*U416</f>
        <v>6.44</v>
      </c>
      <c r="X416" s="18" t="s">
        <v>616</v>
      </c>
      <c r="Y416" s="18">
        <v>1</v>
      </c>
      <c r="Z416" s="18" t="s">
        <v>23</v>
      </c>
      <c r="AA416" s="18">
        <f>(VLOOKUP(X416,'[1]Simulation pricing per sub assy'!$D:$E,2,0))*Y416</f>
        <v>4.4802908000000006</v>
      </c>
    </row>
    <row r="417" spans="1:27" x14ac:dyDescent="0.35">
      <c r="A417" s="13" t="s">
        <v>275</v>
      </c>
      <c r="B417" s="13" t="s">
        <v>4174</v>
      </c>
      <c r="C417" s="42">
        <f t="shared" si="6"/>
        <v>283.08669080000004</v>
      </c>
      <c r="D417" s="14" t="s">
        <v>43</v>
      </c>
      <c r="E417" s="14">
        <v>2</v>
      </c>
      <c r="F417" s="14" t="s">
        <v>3983</v>
      </c>
      <c r="G417" s="14">
        <f>(VLOOKUP(D417,'[1]BOM Info General'!$A:$L,12,0))*E417</f>
        <v>130.12</v>
      </c>
      <c r="H417" s="15" t="s">
        <v>40</v>
      </c>
      <c r="I417" s="15">
        <v>1</v>
      </c>
      <c r="J417" s="15" t="s">
        <v>45</v>
      </c>
      <c r="K417" s="15">
        <f>(VLOOKUP(H417,'[1]BOM Info General'!$A:$L,12,0))*I417</f>
        <v>25.59</v>
      </c>
      <c r="L417" s="9" t="s">
        <v>524</v>
      </c>
      <c r="M417" s="9">
        <v>1</v>
      </c>
      <c r="N417" s="9" t="s">
        <v>70</v>
      </c>
      <c r="O417" s="9">
        <f>(VLOOKUP(L417,'[1]Simulation pricing per sub assy'!$D:$E,2,0))*M417</f>
        <v>94.656400000000033</v>
      </c>
      <c r="P417" s="16" t="s">
        <v>52</v>
      </c>
      <c r="Q417" s="16">
        <v>8</v>
      </c>
      <c r="R417" s="16" t="s">
        <v>18</v>
      </c>
      <c r="S417" s="40">
        <f>(VLOOKUP(P417,'[1]BOM Info General'!$A:$L,12,0))*Q417</f>
        <v>21.2</v>
      </c>
      <c r="T417" s="17" t="s">
        <v>26</v>
      </c>
      <c r="U417" s="17">
        <v>1</v>
      </c>
      <c r="V417" s="17" t="s">
        <v>27</v>
      </c>
      <c r="W417" s="17">
        <f>(VLOOKUP(T417,'[1]Simulation pricing per sub assy'!$D:$E,2,0))*U417</f>
        <v>7.04</v>
      </c>
      <c r="X417" s="18" t="s">
        <v>616</v>
      </c>
      <c r="Y417" s="18">
        <v>1</v>
      </c>
      <c r="Z417" s="18" t="s">
        <v>23</v>
      </c>
      <c r="AA417" s="18">
        <f>(VLOOKUP(X417,'[1]Simulation pricing per sub assy'!$D:$E,2,0))*Y417</f>
        <v>4.4802908000000006</v>
      </c>
    </row>
    <row r="418" spans="1:27" x14ac:dyDescent="0.35">
      <c r="A418" s="13" t="s">
        <v>132</v>
      </c>
      <c r="B418" s="13" t="s">
        <v>4175</v>
      </c>
      <c r="C418" s="42">
        <f t="shared" si="6"/>
        <v>284.18669080000006</v>
      </c>
      <c r="D418" s="14" t="s">
        <v>43</v>
      </c>
      <c r="E418" s="14">
        <v>2</v>
      </c>
      <c r="F418" s="14" t="s">
        <v>3983</v>
      </c>
      <c r="G418" s="14">
        <f>(VLOOKUP(D418,'[1]BOM Info General'!$A:$L,12,0))*E418</f>
        <v>130.12</v>
      </c>
      <c r="H418" s="15" t="s">
        <v>40</v>
      </c>
      <c r="I418" s="15">
        <v>1</v>
      </c>
      <c r="J418" s="15" t="s">
        <v>45</v>
      </c>
      <c r="K418" s="15">
        <f>(VLOOKUP(H418,'[1]BOM Info General'!$A:$L,12,0))*I418</f>
        <v>25.59</v>
      </c>
      <c r="L418" s="9" t="s">
        <v>67</v>
      </c>
      <c r="M418" s="9">
        <v>1</v>
      </c>
      <c r="N418" s="9" t="s">
        <v>64</v>
      </c>
      <c r="O418" s="9">
        <f>(VLOOKUP(L418,'[1]Simulation pricing per sub assy'!$D:$E,2,0))*M418</f>
        <v>95.756400000000042</v>
      </c>
      <c r="P418" s="16" t="s">
        <v>52</v>
      </c>
      <c r="Q418" s="16">
        <v>8</v>
      </c>
      <c r="R418" s="16" t="s">
        <v>18</v>
      </c>
      <c r="S418" s="40">
        <f>(VLOOKUP(P418,'[1]BOM Info General'!$A:$L,12,0))*Q418</f>
        <v>21.2</v>
      </c>
      <c r="T418" s="17" t="s">
        <v>26</v>
      </c>
      <c r="U418" s="17">
        <v>1</v>
      </c>
      <c r="V418" s="17" t="s">
        <v>27</v>
      </c>
      <c r="W418" s="17">
        <f>(VLOOKUP(T418,'[1]Simulation pricing per sub assy'!$D:$E,2,0))*U418</f>
        <v>7.04</v>
      </c>
      <c r="X418" s="18" t="s">
        <v>616</v>
      </c>
      <c r="Y418" s="18">
        <v>1</v>
      </c>
      <c r="Z418" s="18" t="s">
        <v>23</v>
      </c>
      <c r="AA418" s="18">
        <f>(VLOOKUP(X418,'[1]Simulation pricing per sub assy'!$D:$E,2,0))*Y418</f>
        <v>4.4802908000000006</v>
      </c>
    </row>
    <row r="419" spans="1:27" x14ac:dyDescent="0.35">
      <c r="A419" s="13" t="s">
        <v>203</v>
      </c>
      <c r="B419" s="13" t="s">
        <v>4176</v>
      </c>
      <c r="C419" s="42">
        <f t="shared" si="6"/>
        <v>284.18669080000006</v>
      </c>
      <c r="D419" s="14" t="s">
        <v>43</v>
      </c>
      <c r="E419" s="14">
        <v>2</v>
      </c>
      <c r="F419" s="14" t="s">
        <v>3983</v>
      </c>
      <c r="G419" s="14">
        <f>(VLOOKUP(D419,'[1]BOM Info General'!$A:$L,12,0))*E419</f>
        <v>130.12</v>
      </c>
      <c r="H419" s="15" t="s">
        <v>40</v>
      </c>
      <c r="I419" s="15">
        <v>1</v>
      </c>
      <c r="J419" s="15" t="s">
        <v>45</v>
      </c>
      <c r="K419" s="15">
        <f>(VLOOKUP(H419,'[1]BOM Info General'!$A:$L,12,0))*I419</f>
        <v>25.59</v>
      </c>
      <c r="L419" s="9" t="s">
        <v>63</v>
      </c>
      <c r="M419" s="9">
        <v>1</v>
      </c>
      <c r="N419" s="9" t="s">
        <v>62</v>
      </c>
      <c r="O419" s="9">
        <f>(VLOOKUP(L419,'[1]Simulation pricing per sub assy'!$D:$E,2,0))*M419</f>
        <v>95.756400000000042</v>
      </c>
      <c r="P419" s="16" t="s">
        <v>52</v>
      </c>
      <c r="Q419" s="16">
        <v>8</v>
      </c>
      <c r="R419" s="16" t="s">
        <v>18</v>
      </c>
      <c r="S419" s="40">
        <f>(VLOOKUP(P419,'[1]BOM Info General'!$A:$L,12,0))*Q419</f>
        <v>21.2</v>
      </c>
      <c r="T419" s="17" t="s">
        <v>26</v>
      </c>
      <c r="U419" s="17">
        <v>1</v>
      </c>
      <c r="V419" s="17" t="s">
        <v>27</v>
      </c>
      <c r="W419" s="17">
        <f>(VLOOKUP(T419,'[1]Simulation pricing per sub assy'!$D:$E,2,0))*U419</f>
        <v>7.04</v>
      </c>
      <c r="X419" s="18" t="s">
        <v>616</v>
      </c>
      <c r="Y419" s="18">
        <v>1</v>
      </c>
      <c r="Z419" s="18" t="s">
        <v>23</v>
      </c>
      <c r="AA419" s="18">
        <f>(VLOOKUP(X419,'[1]Simulation pricing per sub assy'!$D:$E,2,0))*Y419</f>
        <v>4.4802908000000006</v>
      </c>
    </row>
    <row r="420" spans="1:27" x14ac:dyDescent="0.35">
      <c r="A420" s="13" t="s">
        <v>167</v>
      </c>
      <c r="B420" s="13" t="s">
        <v>4177</v>
      </c>
      <c r="C420" s="42">
        <f t="shared" si="6"/>
        <v>283.63669080000005</v>
      </c>
      <c r="D420" s="14" t="s">
        <v>43</v>
      </c>
      <c r="E420" s="14">
        <v>2</v>
      </c>
      <c r="F420" s="14" t="s">
        <v>3983</v>
      </c>
      <c r="G420" s="14">
        <f>(VLOOKUP(D420,'[1]BOM Info General'!$A:$L,12,0))*E420</f>
        <v>130.12</v>
      </c>
      <c r="H420" s="15" t="s">
        <v>40</v>
      </c>
      <c r="I420" s="15">
        <v>1</v>
      </c>
      <c r="J420" s="15" t="s">
        <v>45</v>
      </c>
      <c r="K420" s="15">
        <f>(VLOOKUP(H420,'[1]BOM Info General'!$A:$L,12,0))*I420</f>
        <v>25.59</v>
      </c>
      <c r="L420" s="9" t="s">
        <v>69</v>
      </c>
      <c r="M420" s="9">
        <v>1</v>
      </c>
      <c r="N420" s="9" t="s">
        <v>66</v>
      </c>
      <c r="O420" s="9">
        <f>(VLOOKUP(L420,'[1]Simulation pricing per sub assy'!$D:$E,2,0))*M420</f>
        <v>95.206400000000031</v>
      </c>
      <c r="P420" s="16" t="s">
        <v>52</v>
      </c>
      <c r="Q420" s="16">
        <v>8</v>
      </c>
      <c r="R420" s="16" t="s">
        <v>18</v>
      </c>
      <c r="S420" s="40">
        <f>(VLOOKUP(P420,'[1]BOM Info General'!$A:$L,12,0))*Q420</f>
        <v>21.2</v>
      </c>
      <c r="T420" s="17" t="s">
        <v>26</v>
      </c>
      <c r="U420" s="17">
        <v>1</v>
      </c>
      <c r="V420" s="17" t="s">
        <v>27</v>
      </c>
      <c r="W420" s="17">
        <f>(VLOOKUP(T420,'[1]Simulation pricing per sub assy'!$D:$E,2,0))*U420</f>
        <v>7.04</v>
      </c>
      <c r="X420" s="18" t="s">
        <v>616</v>
      </c>
      <c r="Y420" s="18">
        <v>1</v>
      </c>
      <c r="Z420" s="18" t="s">
        <v>23</v>
      </c>
      <c r="AA420" s="18">
        <f>(VLOOKUP(X420,'[1]Simulation pricing per sub assy'!$D:$E,2,0))*Y420</f>
        <v>4.4802908000000006</v>
      </c>
    </row>
    <row r="421" spans="1:27" x14ac:dyDescent="0.35">
      <c r="A421" s="13" t="s">
        <v>239</v>
      </c>
      <c r="B421" s="13" t="s">
        <v>4178</v>
      </c>
      <c r="C421" s="42">
        <f t="shared" si="6"/>
        <v>291.59669080000003</v>
      </c>
      <c r="D421" s="14" t="s">
        <v>43</v>
      </c>
      <c r="E421" s="14">
        <v>2</v>
      </c>
      <c r="F421" s="14" t="s">
        <v>3983</v>
      </c>
      <c r="G421" s="14">
        <f>(VLOOKUP(D421,'[1]BOM Info General'!$A:$L,12,0))*E421</f>
        <v>130.12</v>
      </c>
      <c r="H421" s="15" t="s">
        <v>40</v>
      </c>
      <c r="I421" s="15">
        <v>1</v>
      </c>
      <c r="J421" s="15" t="s">
        <v>45</v>
      </c>
      <c r="K421" s="15">
        <f>(VLOOKUP(H421,'[1]BOM Info General'!$A:$L,12,0))*I421</f>
        <v>25.59</v>
      </c>
      <c r="L421" s="9" t="s">
        <v>65</v>
      </c>
      <c r="M421" s="9">
        <v>1</v>
      </c>
      <c r="N421" s="9" t="s">
        <v>68</v>
      </c>
      <c r="O421" s="9">
        <f>(VLOOKUP(L421,'[1]Simulation pricing per sub assy'!$D:$E,2,0))*M421</f>
        <v>103.16640000000004</v>
      </c>
      <c r="P421" s="16" t="s">
        <v>52</v>
      </c>
      <c r="Q421" s="16">
        <v>8</v>
      </c>
      <c r="R421" s="16" t="s">
        <v>18</v>
      </c>
      <c r="S421" s="40">
        <f>(VLOOKUP(P421,'[1]BOM Info General'!$A:$L,12,0))*Q421</f>
        <v>21.2</v>
      </c>
      <c r="T421" s="17" t="s">
        <v>26</v>
      </c>
      <c r="U421" s="17">
        <v>1</v>
      </c>
      <c r="V421" s="17" t="s">
        <v>27</v>
      </c>
      <c r="W421" s="17">
        <f>(VLOOKUP(T421,'[1]Simulation pricing per sub assy'!$D:$E,2,0))*U421</f>
        <v>7.04</v>
      </c>
      <c r="X421" s="18" t="s">
        <v>616</v>
      </c>
      <c r="Y421" s="18">
        <v>1</v>
      </c>
      <c r="Z421" s="18" t="s">
        <v>23</v>
      </c>
      <c r="AA421" s="18">
        <f>(VLOOKUP(X421,'[1]Simulation pricing per sub assy'!$D:$E,2,0))*Y421</f>
        <v>4.4802908000000006</v>
      </c>
    </row>
    <row r="422" spans="1:27" x14ac:dyDescent="0.35">
      <c r="A422" s="13" t="s">
        <v>276</v>
      </c>
      <c r="B422" s="13" t="s">
        <v>4179</v>
      </c>
      <c r="C422" s="42">
        <f t="shared" si="6"/>
        <v>283.04669080000002</v>
      </c>
      <c r="D422" s="14" t="s">
        <v>43</v>
      </c>
      <c r="E422" s="14">
        <v>2</v>
      </c>
      <c r="F422" s="14" t="s">
        <v>3983</v>
      </c>
      <c r="G422" s="14">
        <f>(VLOOKUP(D422,'[1]BOM Info General'!$A:$L,12,0))*E422</f>
        <v>130.12</v>
      </c>
      <c r="H422" s="15" t="s">
        <v>40</v>
      </c>
      <c r="I422" s="15">
        <v>1</v>
      </c>
      <c r="J422" s="15" t="s">
        <v>45</v>
      </c>
      <c r="K422" s="15">
        <f>(VLOOKUP(H422,'[1]BOM Info General'!$A:$L,12,0))*I422</f>
        <v>25.59</v>
      </c>
      <c r="L422" s="9" t="s">
        <v>524</v>
      </c>
      <c r="M422" s="9">
        <v>1</v>
      </c>
      <c r="N422" s="9" t="s">
        <v>70</v>
      </c>
      <c r="O422" s="9">
        <f>(VLOOKUP(L422,'[1]Simulation pricing per sub assy'!$D:$E,2,0))*M422</f>
        <v>94.656400000000033</v>
      </c>
      <c r="P422" s="16" t="s">
        <v>52</v>
      </c>
      <c r="Q422" s="16">
        <v>8</v>
      </c>
      <c r="R422" s="16" t="s">
        <v>18</v>
      </c>
      <c r="S422" s="40">
        <f>(VLOOKUP(P422,'[1]BOM Info General'!$A:$L,12,0))*Q422</f>
        <v>21.2</v>
      </c>
      <c r="T422" s="17" t="s">
        <v>28</v>
      </c>
      <c r="U422" s="17">
        <v>1</v>
      </c>
      <c r="V422" s="17" t="s">
        <v>29</v>
      </c>
      <c r="W422" s="17">
        <f>(VLOOKUP(T422,'[1]Simulation pricing per sub assy'!$D:$E,2,0))*U422</f>
        <v>7</v>
      </c>
      <c r="X422" s="18" t="s">
        <v>616</v>
      </c>
      <c r="Y422" s="18">
        <v>1</v>
      </c>
      <c r="Z422" s="18" t="s">
        <v>23</v>
      </c>
      <c r="AA422" s="18">
        <f>(VLOOKUP(X422,'[1]Simulation pricing per sub assy'!$D:$E,2,0))*Y422</f>
        <v>4.4802908000000006</v>
      </c>
    </row>
    <row r="423" spans="1:27" x14ac:dyDescent="0.35">
      <c r="A423" s="13" t="s">
        <v>133</v>
      </c>
      <c r="B423" s="13" t="s">
        <v>4180</v>
      </c>
      <c r="C423" s="42">
        <f t="shared" si="6"/>
        <v>284.14669080000004</v>
      </c>
      <c r="D423" s="14" t="s">
        <v>43</v>
      </c>
      <c r="E423" s="14">
        <v>2</v>
      </c>
      <c r="F423" s="14" t="s">
        <v>3983</v>
      </c>
      <c r="G423" s="14">
        <f>(VLOOKUP(D423,'[1]BOM Info General'!$A:$L,12,0))*E423</f>
        <v>130.12</v>
      </c>
      <c r="H423" s="15" t="s">
        <v>40</v>
      </c>
      <c r="I423" s="15">
        <v>1</v>
      </c>
      <c r="J423" s="15" t="s">
        <v>45</v>
      </c>
      <c r="K423" s="15">
        <f>(VLOOKUP(H423,'[1]BOM Info General'!$A:$L,12,0))*I423</f>
        <v>25.59</v>
      </c>
      <c r="L423" s="9" t="s">
        <v>67</v>
      </c>
      <c r="M423" s="9">
        <v>1</v>
      </c>
      <c r="N423" s="9" t="s">
        <v>64</v>
      </c>
      <c r="O423" s="9">
        <f>(VLOOKUP(L423,'[1]Simulation pricing per sub assy'!$D:$E,2,0))*M423</f>
        <v>95.756400000000042</v>
      </c>
      <c r="P423" s="16" t="s">
        <v>52</v>
      </c>
      <c r="Q423" s="16">
        <v>8</v>
      </c>
      <c r="R423" s="16" t="s">
        <v>18</v>
      </c>
      <c r="S423" s="40">
        <f>(VLOOKUP(P423,'[1]BOM Info General'!$A:$L,12,0))*Q423</f>
        <v>21.2</v>
      </c>
      <c r="T423" s="17" t="s">
        <v>28</v>
      </c>
      <c r="U423" s="17">
        <v>1</v>
      </c>
      <c r="V423" s="17" t="s">
        <v>29</v>
      </c>
      <c r="W423" s="17">
        <f>(VLOOKUP(T423,'[1]Simulation pricing per sub assy'!$D:$E,2,0))*U423</f>
        <v>7</v>
      </c>
      <c r="X423" s="18" t="s">
        <v>616</v>
      </c>
      <c r="Y423" s="18">
        <v>1</v>
      </c>
      <c r="Z423" s="18" t="s">
        <v>23</v>
      </c>
      <c r="AA423" s="18">
        <f>(VLOOKUP(X423,'[1]Simulation pricing per sub assy'!$D:$E,2,0))*Y423</f>
        <v>4.4802908000000006</v>
      </c>
    </row>
    <row r="424" spans="1:27" x14ac:dyDescent="0.35">
      <c r="A424" s="13" t="s">
        <v>204</v>
      </c>
      <c r="B424" s="13" t="s">
        <v>4181</v>
      </c>
      <c r="C424" s="42">
        <f t="shared" si="6"/>
        <v>284.14669080000004</v>
      </c>
      <c r="D424" s="14" t="s">
        <v>43</v>
      </c>
      <c r="E424" s="14">
        <v>2</v>
      </c>
      <c r="F424" s="14" t="s">
        <v>3983</v>
      </c>
      <c r="G424" s="14">
        <f>(VLOOKUP(D424,'[1]BOM Info General'!$A:$L,12,0))*E424</f>
        <v>130.12</v>
      </c>
      <c r="H424" s="15" t="s">
        <v>40</v>
      </c>
      <c r="I424" s="15">
        <v>1</v>
      </c>
      <c r="J424" s="15" t="s">
        <v>45</v>
      </c>
      <c r="K424" s="15">
        <f>(VLOOKUP(H424,'[1]BOM Info General'!$A:$L,12,0))*I424</f>
        <v>25.59</v>
      </c>
      <c r="L424" s="9" t="s">
        <v>63</v>
      </c>
      <c r="M424" s="9">
        <v>1</v>
      </c>
      <c r="N424" s="9" t="s">
        <v>62</v>
      </c>
      <c r="O424" s="9">
        <f>(VLOOKUP(L424,'[1]Simulation pricing per sub assy'!$D:$E,2,0))*M424</f>
        <v>95.756400000000042</v>
      </c>
      <c r="P424" s="16" t="s">
        <v>52</v>
      </c>
      <c r="Q424" s="16">
        <v>8</v>
      </c>
      <c r="R424" s="16" t="s">
        <v>18</v>
      </c>
      <c r="S424" s="40">
        <f>(VLOOKUP(P424,'[1]BOM Info General'!$A:$L,12,0))*Q424</f>
        <v>21.2</v>
      </c>
      <c r="T424" s="17" t="s">
        <v>28</v>
      </c>
      <c r="U424" s="17">
        <v>1</v>
      </c>
      <c r="V424" s="17" t="s">
        <v>29</v>
      </c>
      <c r="W424" s="17">
        <f>(VLOOKUP(T424,'[1]Simulation pricing per sub assy'!$D:$E,2,0))*U424</f>
        <v>7</v>
      </c>
      <c r="X424" s="18" t="s">
        <v>616</v>
      </c>
      <c r="Y424" s="18">
        <v>1</v>
      </c>
      <c r="Z424" s="18" t="s">
        <v>23</v>
      </c>
      <c r="AA424" s="18">
        <f>(VLOOKUP(X424,'[1]Simulation pricing per sub assy'!$D:$E,2,0))*Y424</f>
        <v>4.4802908000000006</v>
      </c>
    </row>
    <row r="425" spans="1:27" x14ac:dyDescent="0.35">
      <c r="A425" s="13" t="s">
        <v>168</v>
      </c>
      <c r="B425" s="13" t="s">
        <v>4182</v>
      </c>
      <c r="C425" s="42">
        <f t="shared" si="6"/>
        <v>283.59669080000003</v>
      </c>
      <c r="D425" s="14" t="s">
        <v>43</v>
      </c>
      <c r="E425" s="14">
        <v>2</v>
      </c>
      <c r="F425" s="14" t="s">
        <v>3983</v>
      </c>
      <c r="G425" s="14">
        <f>(VLOOKUP(D425,'[1]BOM Info General'!$A:$L,12,0))*E425</f>
        <v>130.12</v>
      </c>
      <c r="H425" s="15" t="s">
        <v>40</v>
      </c>
      <c r="I425" s="15">
        <v>1</v>
      </c>
      <c r="J425" s="15" t="s">
        <v>45</v>
      </c>
      <c r="K425" s="15">
        <f>(VLOOKUP(H425,'[1]BOM Info General'!$A:$L,12,0))*I425</f>
        <v>25.59</v>
      </c>
      <c r="L425" s="9" t="s">
        <v>69</v>
      </c>
      <c r="M425" s="9">
        <v>1</v>
      </c>
      <c r="N425" s="9" t="s">
        <v>66</v>
      </c>
      <c r="O425" s="9">
        <f>(VLOOKUP(L425,'[1]Simulation pricing per sub assy'!$D:$E,2,0))*M425</f>
        <v>95.206400000000031</v>
      </c>
      <c r="P425" s="16" t="s">
        <v>52</v>
      </c>
      <c r="Q425" s="16">
        <v>8</v>
      </c>
      <c r="R425" s="16" t="s">
        <v>18</v>
      </c>
      <c r="S425" s="40">
        <f>(VLOOKUP(P425,'[1]BOM Info General'!$A:$L,12,0))*Q425</f>
        <v>21.2</v>
      </c>
      <c r="T425" s="17" t="s">
        <v>28</v>
      </c>
      <c r="U425" s="17">
        <v>1</v>
      </c>
      <c r="V425" s="17" t="s">
        <v>29</v>
      </c>
      <c r="W425" s="17">
        <f>(VLOOKUP(T425,'[1]Simulation pricing per sub assy'!$D:$E,2,0))*U425</f>
        <v>7</v>
      </c>
      <c r="X425" s="18" t="s">
        <v>616</v>
      </c>
      <c r="Y425" s="18">
        <v>1</v>
      </c>
      <c r="Z425" s="18" t="s">
        <v>23</v>
      </c>
      <c r="AA425" s="18">
        <f>(VLOOKUP(X425,'[1]Simulation pricing per sub assy'!$D:$E,2,0))*Y425</f>
        <v>4.4802908000000006</v>
      </c>
    </row>
    <row r="426" spans="1:27" x14ac:dyDescent="0.35">
      <c r="A426" s="13" t="s">
        <v>240</v>
      </c>
      <c r="B426" s="13" t="s">
        <v>4183</v>
      </c>
      <c r="C426" s="42">
        <f t="shared" si="6"/>
        <v>291.55669080000001</v>
      </c>
      <c r="D426" s="14" t="s">
        <v>43</v>
      </c>
      <c r="E426" s="14">
        <v>2</v>
      </c>
      <c r="F426" s="14" t="s">
        <v>3983</v>
      </c>
      <c r="G426" s="14">
        <f>(VLOOKUP(D426,'[1]BOM Info General'!$A:$L,12,0))*E426</f>
        <v>130.12</v>
      </c>
      <c r="H426" s="15" t="s">
        <v>40</v>
      </c>
      <c r="I426" s="15">
        <v>1</v>
      </c>
      <c r="J426" s="15" t="s">
        <v>45</v>
      </c>
      <c r="K426" s="15">
        <f>(VLOOKUP(H426,'[1]BOM Info General'!$A:$L,12,0))*I426</f>
        <v>25.59</v>
      </c>
      <c r="L426" s="9" t="s">
        <v>65</v>
      </c>
      <c r="M426" s="9">
        <v>1</v>
      </c>
      <c r="N426" s="9" t="s">
        <v>68</v>
      </c>
      <c r="O426" s="9">
        <f>(VLOOKUP(L426,'[1]Simulation pricing per sub assy'!$D:$E,2,0))*M426</f>
        <v>103.16640000000004</v>
      </c>
      <c r="P426" s="16" t="s">
        <v>52</v>
      </c>
      <c r="Q426" s="16">
        <v>8</v>
      </c>
      <c r="R426" s="16" t="s">
        <v>18</v>
      </c>
      <c r="S426" s="40">
        <f>(VLOOKUP(P426,'[1]BOM Info General'!$A:$L,12,0))*Q426</f>
        <v>21.2</v>
      </c>
      <c r="T426" s="17" t="s">
        <v>28</v>
      </c>
      <c r="U426" s="17">
        <v>1</v>
      </c>
      <c r="V426" s="17" t="s">
        <v>29</v>
      </c>
      <c r="W426" s="17">
        <f>(VLOOKUP(T426,'[1]Simulation pricing per sub assy'!$D:$E,2,0))*U426</f>
        <v>7</v>
      </c>
      <c r="X426" s="18" t="s">
        <v>616</v>
      </c>
      <c r="Y426" s="18">
        <v>1</v>
      </c>
      <c r="Z426" s="18" t="s">
        <v>23</v>
      </c>
      <c r="AA426" s="18">
        <f>(VLOOKUP(X426,'[1]Simulation pricing per sub assy'!$D:$E,2,0))*Y426</f>
        <v>4.4802908000000006</v>
      </c>
    </row>
    <row r="427" spans="1:27" x14ac:dyDescent="0.35">
      <c r="A427" s="13" t="s">
        <v>541</v>
      </c>
      <c r="B427" s="13" t="s">
        <v>4184</v>
      </c>
      <c r="C427" s="42">
        <f t="shared" si="6"/>
        <v>284.60669080000002</v>
      </c>
      <c r="D427" s="14" t="s">
        <v>43</v>
      </c>
      <c r="E427" s="14">
        <v>2</v>
      </c>
      <c r="F427" s="14" t="s">
        <v>3983</v>
      </c>
      <c r="G427" s="14">
        <f>(VLOOKUP(D427,'[1]BOM Info General'!$A:$L,12,0))*E427</f>
        <v>130.12</v>
      </c>
      <c r="H427" s="15" t="s">
        <v>40</v>
      </c>
      <c r="I427" s="15">
        <v>1</v>
      </c>
      <c r="J427" s="15" t="s">
        <v>45</v>
      </c>
      <c r="K427" s="15">
        <f>(VLOOKUP(H427,'[1]BOM Info General'!$A:$L,12,0))*I427</f>
        <v>25.59</v>
      </c>
      <c r="L427" s="9" t="s">
        <v>524</v>
      </c>
      <c r="M427" s="9">
        <v>1</v>
      </c>
      <c r="N427" s="9" t="s">
        <v>70</v>
      </c>
      <c r="O427" s="9">
        <f>(VLOOKUP(L427,'[1]Simulation pricing per sub assy'!$D:$E,2,0))*M427</f>
        <v>94.656400000000033</v>
      </c>
      <c r="P427" s="16" t="s">
        <v>50</v>
      </c>
      <c r="Q427" s="16">
        <v>8</v>
      </c>
      <c r="R427" s="16" t="s">
        <v>611</v>
      </c>
      <c r="S427" s="40">
        <f>(VLOOKUP(P427,'[1]BOM Info General'!$A:$L,12,0))*Q427</f>
        <v>21.2</v>
      </c>
      <c r="T427" s="17" t="s">
        <v>30</v>
      </c>
      <c r="U427" s="17">
        <v>1</v>
      </c>
      <c r="V427" s="17" t="s">
        <v>31</v>
      </c>
      <c r="W427" s="17">
        <f>(VLOOKUP(T427,'[1]Simulation pricing per sub assy'!$D:$E,2,0))*U427</f>
        <v>8.5599999999999987</v>
      </c>
      <c r="X427" s="18" t="s">
        <v>616</v>
      </c>
      <c r="Y427" s="18">
        <v>1</v>
      </c>
      <c r="Z427" s="18" t="s">
        <v>23</v>
      </c>
      <c r="AA427" s="18">
        <f>(VLOOKUP(X427,'[1]Simulation pricing per sub assy'!$D:$E,2,0))*Y427</f>
        <v>4.4802908000000006</v>
      </c>
    </row>
    <row r="428" spans="1:27" x14ac:dyDescent="0.35">
      <c r="A428" s="13" t="s">
        <v>537</v>
      </c>
      <c r="B428" s="13" t="s">
        <v>4185</v>
      </c>
      <c r="C428" s="42">
        <f t="shared" si="6"/>
        <v>285.70669080000005</v>
      </c>
      <c r="D428" s="14" t="s">
        <v>43</v>
      </c>
      <c r="E428" s="14">
        <v>2</v>
      </c>
      <c r="F428" s="14" t="s">
        <v>3983</v>
      </c>
      <c r="G428" s="14">
        <f>(VLOOKUP(D428,'[1]BOM Info General'!$A:$L,12,0))*E428</f>
        <v>130.12</v>
      </c>
      <c r="H428" s="15" t="s">
        <v>40</v>
      </c>
      <c r="I428" s="15">
        <v>1</v>
      </c>
      <c r="J428" s="15" t="s">
        <v>45</v>
      </c>
      <c r="K428" s="15">
        <f>(VLOOKUP(H428,'[1]BOM Info General'!$A:$L,12,0))*I428</f>
        <v>25.59</v>
      </c>
      <c r="L428" s="9" t="s">
        <v>67</v>
      </c>
      <c r="M428" s="9">
        <v>1</v>
      </c>
      <c r="N428" s="9" t="s">
        <v>64</v>
      </c>
      <c r="O428" s="9">
        <f>(VLOOKUP(L428,'[1]Simulation pricing per sub assy'!$D:$E,2,0))*M428</f>
        <v>95.756400000000042</v>
      </c>
      <c r="P428" s="16" t="s">
        <v>50</v>
      </c>
      <c r="Q428" s="16">
        <v>8</v>
      </c>
      <c r="R428" s="16" t="s">
        <v>611</v>
      </c>
      <c r="S428" s="40">
        <f>(VLOOKUP(P428,'[1]BOM Info General'!$A:$L,12,0))*Q428</f>
        <v>21.2</v>
      </c>
      <c r="T428" s="17" t="s">
        <v>30</v>
      </c>
      <c r="U428" s="17">
        <v>1</v>
      </c>
      <c r="V428" s="17" t="s">
        <v>31</v>
      </c>
      <c r="W428" s="17">
        <f>(VLOOKUP(T428,'[1]Simulation pricing per sub assy'!$D:$E,2,0))*U428</f>
        <v>8.5599999999999987</v>
      </c>
      <c r="X428" s="18" t="s">
        <v>616</v>
      </c>
      <c r="Y428" s="18">
        <v>1</v>
      </c>
      <c r="Z428" s="18" t="s">
        <v>23</v>
      </c>
      <c r="AA428" s="18">
        <f>(VLOOKUP(X428,'[1]Simulation pricing per sub assy'!$D:$E,2,0))*Y428</f>
        <v>4.4802908000000006</v>
      </c>
    </row>
    <row r="429" spans="1:27" x14ac:dyDescent="0.35">
      <c r="A429" s="13" t="s">
        <v>539</v>
      </c>
      <c r="B429" s="13" t="s">
        <v>4186</v>
      </c>
      <c r="C429" s="42">
        <f t="shared" si="6"/>
        <v>285.70669080000005</v>
      </c>
      <c r="D429" s="14" t="s">
        <v>43</v>
      </c>
      <c r="E429" s="14">
        <v>2</v>
      </c>
      <c r="F429" s="14" t="s">
        <v>3983</v>
      </c>
      <c r="G429" s="14">
        <f>(VLOOKUP(D429,'[1]BOM Info General'!$A:$L,12,0))*E429</f>
        <v>130.12</v>
      </c>
      <c r="H429" s="15" t="s">
        <v>40</v>
      </c>
      <c r="I429" s="15">
        <v>1</v>
      </c>
      <c r="J429" s="15" t="s">
        <v>45</v>
      </c>
      <c r="K429" s="15">
        <f>(VLOOKUP(H429,'[1]BOM Info General'!$A:$L,12,0))*I429</f>
        <v>25.59</v>
      </c>
      <c r="L429" s="9" t="s">
        <v>63</v>
      </c>
      <c r="M429" s="9">
        <v>1</v>
      </c>
      <c r="N429" s="9" t="s">
        <v>62</v>
      </c>
      <c r="O429" s="9">
        <f>(VLOOKUP(L429,'[1]Simulation pricing per sub assy'!$D:$E,2,0))*M429</f>
        <v>95.756400000000042</v>
      </c>
      <c r="P429" s="16" t="s">
        <v>50</v>
      </c>
      <c r="Q429" s="16">
        <v>8</v>
      </c>
      <c r="R429" s="16" t="s">
        <v>611</v>
      </c>
      <c r="S429" s="40">
        <f>(VLOOKUP(P429,'[1]BOM Info General'!$A:$L,12,0))*Q429</f>
        <v>21.2</v>
      </c>
      <c r="T429" s="17" t="s">
        <v>30</v>
      </c>
      <c r="U429" s="17">
        <v>1</v>
      </c>
      <c r="V429" s="17" t="s">
        <v>31</v>
      </c>
      <c r="W429" s="17">
        <f>(VLOOKUP(T429,'[1]Simulation pricing per sub assy'!$D:$E,2,0))*U429</f>
        <v>8.5599999999999987</v>
      </c>
      <c r="X429" s="18" t="s">
        <v>616</v>
      </c>
      <c r="Y429" s="18">
        <v>1</v>
      </c>
      <c r="Z429" s="18" t="s">
        <v>23</v>
      </c>
      <c r="AA429" s="18">
        <f>(VLOOKUP(X429,'[1]Simulation pricing per sub assy'!$D:$E,2,0))*Y429</f>
        <v>4.4802908000000006</v>
      </c>
    </row>
    <row r="430" spans="1:27" x14ac:dyDescent="0.35">
      <c r="A430" s="13" t="s">
        <v>538</v>
      </c>
      <c r="B430" s="13" t="s">
        <v>4187</v>
      </c>
      <c r="C430" s="42">
        <f t="shared" si="6"/>
        <v>285.15669080000004</v>
      </c>
      <c r="D430" s="14" t="s">
        <v>43</v>
      </c>
      <c r="E430" s="14">
        <v>2</v>
      </c>
      <c r="F430" s="14" t="s">
        <v>3983</v>
      </c>
      <c r="G430" s="14">
        <f>(VLOOKUP(D430,'[1]BOM Info General'!$A:$L,12,0))*E430</f>
        <v>130.12</v>
      </c>
      <c r="H430" s="15" t="s">
        <v>40</v>
      </c>
      <c r="I430" s="15">
        <v>1</v>
      </c>
      <c r="J430" s="15" t="s">
        <v>45</v>
      </c>
      <c r="K430" s="15">
        <f>(VLOOKUP(H430,'[1]BOM Info General'!$A:$L,12,0))*I430</f>
        <v>25.59</v>
      </c>
      <c r="L430" s="9" t="s">
        <v>69</v>
      </c>
      <c r="M430" s="9">
        <v>1</v>
      </c>
      <c r="N430" s="9" t="s">
        <v>66</v>
      </c>
      <c r="O430" s="9">
        <f>(VLOOKUP(L430,'[1]Simulation pricing per sub assy'!$D:$E,2,0))*M430</f>
        <v>95.206400000000031</v>
      </c>
      <c r="P430" s="16" t="s">
        <v>50</v>
      </c>
      <c r="Q430" s="16">
        <v>8</v>
      </c>
      <c r="R430" s="16" t="s">
        <v>611</v>
      </c>
      <c r="S430" s="40">
        <f>(VLOOKUP(P430,'[1]BOM Info General'!$A:$L,12,0))*Q430</f>
        <v>21.2</v>
      </c>
      <c r="T430" s="17" t="s">
        <v>30</v>
      </c>
      <c r="U430" s="17">
        <v>1</v>
      </c>
      <c r="V430" s="17" t="s">
        <v>31</v>
      </c>
      <c r="W430" s="17">
        <f>(VLOOKUP(T430,'[1]Simulation pricing per sub assy'!$D:$E,2,0))*U430</f>
        <v>8.5599999999999987</v>
      </c>
      <c r="X430" s="18" t="s">
        <v>616</v>
      </c>
      <c r="Y430" s="18">
        <v>1</v>
      </c>
      <c r="Z430" s="18" t="s">
        <v>23</v>
      </c>
      <c r="AA430" s="18">
        <f>(VLOOKUP(X430,'[1]Simulation pricing per sub assy'!$D:$E,2,0))*Y430</f>
        <v>4.4802908000000006</v>
      </c>
    </row>
    <row r="431" spans="1:27" x14ac:dyDescent="0.35">
      <c r="A431" s="13" t="s">
        <v>540</v>
      </c>
      <c r="B431" s="13" t="s">
        <v>4188</v>
      </c>
      <c r="C431" s="42">
        <f t="shared" si="6"/>
        <v>293.11669080000001</v>
      </c>
      <c r="D431" s="14" t="s">
        <v>43</v>
      </c>
      <c r="E431" s="14">
        <v>2</v>
      </c>
      <c r="F431" s="14" t="s">
        <v>3983</v>
      </c>
      <c r="G431" s="14">
        <f>(VLOOKUP(D431,'[1]BOM Info General'!$A:$L,12,0))*E431</f>
        <v>130.12</v>
      </c>
      <c r="H431" s="15" t="s">
        <v>40</v>
      </c>
      <c r="I431" s="15">
        <v>1</v>
      </c>
      <c r="J431" s="15" t="s">
        <v>45</v>
      </c>
      <c r="K431" s="15">
        <f>(VLOOKUP(H431,'[1]BOM Info General'!$A:$L,12,0))*I431</f>
        <v>25.59</v>
      </c>
      <c r="L431" s="9" t="s">
        <v>65</v>
      </c>
      <c r="M431" s="9">
        <v>1</v>
      </c>
      <c r="N431" s="9" t="s">
        <v>68</v>
      </c>
      <c r="O431" s="9">
        <f>(VLOOKUP(L431,'[1]Simulation pricing per sub assy'!$D:$E,2,0))*M431</f>
        <v>103.16640000000004</v>
      </c>
      <c r="P431" s="16" t="s">
        <v>50</v>
      </c>
      <c r="Q431" s="16">
        <v>8</v>
      </c>
      <c r="R431" s="16" t="s">
        <v>611</v>
      </c>
      <c r="S431" s="40">
        <f>(VLOOKUP(P431,'[1]BOM Info General'!$A:$L,12,0))*Q431</f>
        <v>21.2</v>
      </c>
      <c r="T431" s="17" t="s">
        <v>30</v>
      </c>
      <c r="U431" s="17">
        <v>1</v>
      </c>
      <c r="V431" s="17" t="s">
        <v>31</v>
      </c>
      <c r="W431" s="17">
        <f>(VLOOKUP(T431,'[1]Simulation pricing per sub assy'!$D:$E,2,0))*U431</f>
        <v>8.5599999999999987</v>
      </c>
      <c r="X431" s="18" t="s">
        <v>616</v>
      </c>
      <c r="Y431" s="18">
        <v>1</v>
      </c>
      <c r="Z431" s="18" t="s">
        <v>23</v>
      </c>
      <c r="AA431" s="18">
        <f>(VLOOKUP(X431,'[1]Simulation pricing per sub assy'!$D:$E,2,0))*Y431</f>
        <v>4.4802908000000006</v>
      </c>
    </row>
    <row r="432" spans="1:27" x14ac:dyDescent="0.35">
      <c r="A432" s="13" t="s">
        <v>625</v>
      </c>
      <c r="B432" s="13" t="s">
        <v>626</v>
      </c>
      <c r="C432" s="42">
        <f t="shared" si="6"/>
        <v>283.24669080000001</v>
      </c>
      <c r="D432" s="20" t="s">
        <v>43</v>
      </c>
      <c r="E432" s="20">
        <v>2</v>
      </c>
      <c r="F432" s="20" t="s">
        <v>3983</v>
      </c>
      <c r="G432" s="14">
        <f>(VLOOKUP(D432,'[1]BOM Info General'!$A:$L,12,0))*E432</f>
        <v>130.12</v>
      </c>
      <c r="H432" s="21" t="s">
        <v>40</v>
      </c>
      <c r="I432" s="21">
        <v>1</v>
      </c>
      <c r="J432" s="21" t="s">
        <v>45</v>
      </c>
      <c r="K432" s="15">
        <f>(VLOOKUP(H432,'[1]BOM Info General'!$A:$L,12,0))*I432</f>
        <v>25.59</v>
      </c>
      <c r="L432" s="22" t="s">
        <v>524</v>
      </c>
      <c r="M432" s="22">
        <v>1</v>
      </c>
      <c r="N432" s="22" t="s">
        <v>70</v>
      </c>
      <c r="O432" s="9">
        <f>(VLOOKUP(L432,'[1]Simulation pricing per sub assy'!$D:$E,2,0))*M432</f>
        <v>94.656400000000033</v>
      </c>
      <c r="P432" s="23" t="s">
        <v>50</v>
      </c>
      <c r="Q432" s="23">
        <v>8</v>
      </c>
      <c r="R432" s="23" t="s">
        <v>611</v>
      </c>
      <c r="S432" s="40">
        <f>(VLOOKUP(P432,'[1]BOM Info General'!$A:$L,12,0))*Q432</f>
        <v>21.2</v>
      </c>
      <c r="T432" s="24" t="s">
        <v>21</v>
      </c>
      <c r="U432" s="17">
        <v>1</v>
      </c>
      <c r="V432" s="24" t="s">
        <v>22</v>
      </c>
      <c r="W432" s="17">
        <f>(VLOOKUP(T432,'[1]Simulation pricing per sub assy'!$D:$E,2,0))*U432</f>
        <v>7.2</v>
      </c>
      <c r="X432" s="25" t="s">
        <v>616</v>
      </c>
      <c r="Y432" s="25">
        <v>1</v>
      </c>
      <c r="Z432" s="25" t="s">
        <v>23</v>
      </c>
      <c r="AA432" s="18">
        <f>(VLOOKUP(X432,'[1]Simulation pricing per sub assy'!$D:$E,2,0))*Y432</f>
        <v>4.4802908000000006</v>
      </c>
    </row>
    <row r="433" spans="1:287" x14ac:dyDescent="0.35">
      <c r="A433" s="13" t="s">
        <v>617</v>
      </c>
      <c r="B433" s="13" t="s">
        <v>618</v>
      </c>
      <c r="C433" s="42">
        <f t="shared" si="6"/>
        <v>284.34669080000003</v>
      </c>
      <c r="D433" s="20" t="s">
        <v>43</v>
      </c>
      <c r="E433" s="20">
        <v>2</v>
      </c>
      <c r="F433" s="20" t="s">
        <v>3983</v>
      </c>
      <c r="G433" s="14">
        <f>(VLOOKUP(D433,'[1]BOM Info General'!$A:$L,12,0))*E433</f>
        <v>130.12</v>
      </c>
      <c r="H433" s="21" t="s">
        <v>40</v>
      </c>
      <c r="I433" s="21">
        <v>1</v>
      </c>
      <c r="J433" s="21" t="s">
        <v>45</v>
      </c>
      <c r="K433" s="15">
        <f>(VLOOKUP(H433,'[1]BOM Info General'!$A:$L,12,0))*I433</f>
        <v>25.59</v>
      </c>
      <c r="L433" s="22" t="s">
        <v>67</v>
      </c>
      <c r="M433" s="22">
        <v>1</v>
      </c>
      <c r="N433" s="22" t="s">
        <v>64</v>
      </c>
      <c r="O433" s="9">
        <f>(VLOOKUP(L433,'[1]Simulation pricing per sub assy'!$D:$E,2,0))*M433</f>
        <v>95.756400000000042</v>
      </c>
      <c r="P433" s="23" t="s">
        <v>50</v>
      </c>
      <c r="Q433" s="23">
        <v>8</v>
      </c>
      <c r="R433" s="23" t="s">
        <v>611</v>
      </c>
      <c r="S433" s="40">
        <f>(VLOOKUP(P433,'[1]BOM Info General'!$A:$L,12,0))*Q433</f>
        <v>21.2</v>
      </c>
      <c r="T433" s="24" t="s">
        <v>21</v>
      </c>
      <c r="U433" s="17">
        <v>1</v>
      </c>
      <c r="V433" s="24" t="s">
        <v>22</v>
      </c>
      <c r="W433" s="17">
        <f>(VLOOKUP(T433,'[1]Simulation pricing per sub assy'!$D:$E,2,0))*U433</f>
        <v>7.2</v>
      </c>
      <c r="X433" s="25" t="s">
        <v>616</v>
      </c>
      <c r="Y433" s="25">
        <v>1</v>
      </c>
      <c r="Z433" s="25" t="s">
        <v>23</v>
      </c>
      <c r="AA433" s="18">
        <f>(VLOOKUP(X433,'[1]Simulation pricing per sub assy'!$D:$E,2,0))*Y433</f>
        <v>4.4802908000000006</v>
      </c>
    </row>
    <row r="434" spans="1:287" x14ac:dyDescent="0.35">
      <c r="A434" s="13" t="s">
        <v>621</v>
      </c>
      <c r="B434" s="13" t="s">
        <v>622</v>
      </c>
      <c r="C434" s="42">
        <f t="shared" si="6"/>
        <v>284.34669080000003</v>
      </c>
      <c r="D434" s="20" t="s">
        <v>43</v>
      </c>
      <c r="E434" s="20">
        <v>2</v>
      </c>
      <c r="F434" s="20" t="s">
        <v>3983</v>
      </c>
      <c r="G434" s="14">
        <f>(VLOOKUP(D434,'[1]BOM Info General'!$A:$L,12,0))*E434</f>
        <v>130.12</v>
      </c>
      <c r="H434" s="21" t="s">
        <v>40</v>
      </c>
      <c r="I434" s="21">
        <v>1</v>
      </c>
      <c r="J434" s="21" t="s">
        <v>45</v>
      </c>
      <c r="K434" s="15">
        <f>(VLOOKUP(H434,'[1]BOM Info General'!$A:$L,12,0))*I434</f>
        <v>25.59</v>
      </c>
      <c r="L434" s="22" t="s">
        <v>63</v>
      </c>
      <c r="M434" s="22">
        <v>1</v>
      </c>
      <c r="N434" s="22" t="s">
        <v>62</v>
      </c>
      <c r="O434" s="9">
        <f>(VLOOKUP(L434,'[1]Simulation pricing per sub assy'!$D:$E,2,0))*M434</f>
        <v>95.756400000000042</v>
      </c>
      <c r="P434" s="23" t="s">
        <v>50</v>
      </c>
      <c r="Q434" s="23">
        <v>8</v>
      </c>
      <c r="R434" s="23" t="s">
        <v>611</v>
      </c>
      <c r="S434" s="40">
        <f>(VLOOKUP(P434,'[1]BOM Info General'!$A:$L,12,0))*Q434</f>
        <v>21.2</v>
      </c>
      <c r="T434" s="24" t="s">
        <v>21</v>
      </c>
      <c r="U434" s="17">
        <v>1</v>
      </c>
      <c r="V434" s="24" t="s">
        <v>22</v>
      </c>
      <c r="W434" s="17">
        <f>(VLOOKUP(T434,'[1]Simulation pricing per sub assy'!$D:$E,2,0))*U434</f>
        <v>7.2</v>
      </c>
      <c r="X434" s="25" t="s">
        <v>616</v>
      </c>
      <c r="Y434" s="25">
        <v>1</v>
      </c>
      <c r="Z434" s="25" t="s">
        <v>23</v>
      </c>
      <c r="AA434" s="18">
        <f>(VLOOKUP(X434,'[1]Simulation pricing per sub assy'!$D:$E,2,0))*Y434</f>
        <v>4.4802908000000006</v>
      </c>
    </row>
    <row r="435" spans="1:287" x14ac:dyDescent="0.35">
      <c r="A435" s="13" t="s">
        <v>619</v>
      </c>
      <c r="B435" s="13" t="s">
        <v>620</v>
      </c>
      <c r="C435" s="42">
        <f t="shared" si="6"/>
        <v>283.79669080000002</v>
      </c>
      <c r="D435" s="20" t="s">
        <v>43</v>
      </c>
      <c r="E435" s="20">
        <v>2</v>
      </c>
      <c r="F435" s="20" t="s">
        <v>3983</v>
      </c>
      <c r="G435" s="14">
        <f>(VLOOKUP(D435,'[1]BOM Info General'!$A:$L,12,0))*E435</f>
        <v>130.12</v>
      </c>
      <c r="H435" s="21" t="s">
        <v>40</v>
      </c>
      <c r="I435" s="21">
        <v>1</v>
      </c>
      <c r="J435" s="21" t="s">
        <v>45</v>
      </c>
      <c r="K435" s="15">
        <f>(VLOOKUP(H435,'[1]BOM Info General'!$A:$L,12,0))*I435</f>
        <v>25.59</v>
      </c>
      <c r="L435" s="22" t="s">
        <v>69</v>
      </c>
      <c r="M435" s="22">
        <v>1</v>
      </c>
      <c r="N435" s="22" t="s">
        <v>66</v>
      </c>
      <c r="O435" s="9">
        <f>(VLOOKUP(L435,'[1]Simulation pricing per sub assy'!$D:$E,2,0))*M435</f>
        <v>95.206400000000031</v>
      </c>
      <c r="P435" s="23" t="s">
        <v>50</v>
      </c>
      <c r="Q435" s="23">
        <v>8</v>
      </c>
      <c r="R435" s="23" t="s">
        <v>611</v>
      </c>
      <c r="S435" s="40">
        <f>(VLOOKUP(P435,'[1]BOM Info General'!$A:$L,12,0))*Q435</f>
        <v>21.2</v>
      </c>
      <c r="T435" s="24" t="s">
        <v>21</v>
      </c>
      <c r="U435" s="17">
        <v>1</v>
      </c>
      <c r="V435" s="24" t="s">
        <v>22</v>
      </c>
      <c r="W435" s="17">
        <f>(VLOOKUP(T435,'[1]Simulation pricing per sub assy'!$D:$E,2,0))*U435</f>
        <v>7.2</v>
      </c>
      <c r="X435" s="25" t="s">
        <v>616</v>
      </c>
      <c r="Y435" s="25">
        <v>1</v>
      </c>
      <c r="Z435" s="25" t="s">
        <v>23</v>
      </c>
      <c r="AA435" s="18">
        <f>(VLOOKUP(X435,'[1]Simulation pricing per sub assy'!$D:$E,2,0))*Y435</f>
        <v>4.4802908000000006</v>
      </c>
    </row>
    <row r="436" spans="1:287" x14ac:dyDescent="0.35">
      <c r="A436" s="13" t="s">
        <v>623</v>
      </c>
      <c r="B436" s="13" t="s">
        <v>624</v>
      </c>
      <c r="C436" s="42">
        <f t="shared" si="6"/>
        <v>291.7566908</v>
      </c>
      <c r="D436" s="20" t="s">
        <v>43</v>
      </c>
      <c r="E436" s="20">
        <v>2</v>
      </c>
      <c r="F436" s="20" t="s">
        <v>3983</v>
      </c>
      <c r="G436" s="14">
        <f>(VLOOKUP(D436,'[1]BOM Info General'!$A:$L,12,0))*E436</f>
        <v>130.12</v>
      </c>
      <c r="H436" s="21" t="s">
        <v>40</v>
      </c>
      <c r="I436" s="21">
        <v>1</v>
      </c>
      <c r="J436" s="21" t="s">
        <v>45</v>
      </c>
      <c r="K436" s="15">
        <f>(VLOOKUP(H436,'[1]BOM Info General'!$A:$L,12,0))*I436</f>
        <v>25.59</v>
      </c>
      <c r="L436" s="22" t="s">
        <v>65</v>
      </c>
      <c r="M436" s="22">
        <v>1</v>
      </c>
      <c r="N436" s="22" t="s">
        <v>68</v>
      </c>
      <c r="O436" s="9">
        <f>(VLOOKUP(L436,'[1]Simulation pricing per sub assy'!$D:$E,2,0))*M436</f>
        <v>103.16640000000004</v>
      </c>
      <c r="P436" s="23" t="s">
        <v>50</v>
      </c>
      <c r="Q436" s="23">
        <v>8</v>
      </c>
      <c r="R436" s="23" t="s">
        <v>611</v>
      </c>
      <c r="S436" s="40">
        <f>(VLOOKUP(P436,'[1]BOM Info General'!$A:$L,12,0))*Q436</f>
        <v>21.2</v>
      </c>
      <c r="T436" s="24" t="s">
        <v>21</v>
      </c>
      <c r="U436" s="17">
        <v>1</v>
      </c>
      <c r="V436" s="24" t="s">
        <v>22</v>
      </c>
      <c r="W436" s="17">
        <f>(VLOOKUP(T436,'[1]Simulation pricing per sub assy'!$D:$E,2,0))*U436</f>
        <v>7.2</v>
      </c>
      <c r="X436" s="25" t="s">
        <v>616</v>
      </c>
      <c r="Y436" s="25">
        <v>1</v>
      </c>
      <c r="Z436" s="25" t="s">
        <v>23</v>
      </c>
      <c r="AA436" s="18">
        <f>(VLOOKUP(X436,'[1]Simulation pricing per sub assy'!$D:$E,2,0))*Y436</f>
        <v>4.4802908000000006</v>
      </c>
    </row>
    <row r="437" spans="1:287" x14ac:dyDescent="0.35">
      <c r="A437" s="13" t="s">
        <v>709</v>
      </c>
      <c r="B437" s="13" t="s">
        <v>710</v>
      </c>
      <c r="C437" s="42">
        <f t="shared" si="6"/>
        <v>282.48669080000002</v>
      </c>
      <c r="D437" s="20" t="s">
        <v>43</v>
      </c>
      <c r="E437" s="20">
        <v>2</v>
      </c>
      <c r="F437" s="20" t="s">
        <v>3983</v>
      </c>
      <c r="G437" s="14">
        <f>(VLOOKUP(D437,'[1]BOM Info General'!$A:$L,12,0))*E437</f>
        <v>130.12</v>
      </c>
      <c r="H437" s="21" t="s">
        <v>40</v>
      </c>
      <c r="I437" s="21">
        <v>1</v>
      </c>
      <c r="J437" s="21" t="s">
        <v>45</v>
      </c>
      <c r="K437" s="15">
        <f>(VLOOKUP(H437,'[1]BOM Info General'!$A:$L,12,0))*I437</f>
        <v>25.59</v>
      </c>
      <c r="L437" s="22" t="s">
        <v>524</v>
      </c>
      <c r="M437" s="22">
        <v>1</v>
      </c>
      <c r="N437" s="22" t="s">
        <v>70</v>
      </c>
      <c r="O437" s="9">
        <f>(VLOOKUP(L437,'[1]Simulation pricing per sub assy'!$D:$E,2,0))*M437</f>
        <v>94.656400000000033</v>
      </c>
      <c r="P437" s="23" t="s">
        <v>50</v>
      </c>
      <c r="Q437" s="23">
        <v>8</v>
      </c>
      <c r="R437" s="23" t="s">
        <v>16</v>
      </c>
      <c r="S437" s="40">
        <f>(VLOOKUP(P437,'[1]BOM Info General'!$A:$L,12,0))*Q437</f>
        <v>21.2</v>
      </c>
      <c r="T437" s="24" t="s">
        <v>24</v>
      </c>
      <c r="U437" s="17">
        <v>1</v>
      </c>
      <c r="V437" s="24" t="s">
        <v>25</v>
      </c>
      <c r="W437" s="17">
        <f>(VLOOKUP(T437,'[1]Simulation pricing per sub assy'!$D:$E,2,0))*U437</f>
        <v>6.44</v>
      </c>
      <c r="X437" s="25" t="s">
        <v>616</v>
      </c>
      <c r="Y437" s="25">
        <v>1</v>
      </c>
      <c r="Z437" s="25" t="s">
        <v>23</v>
      </c>
      <c r="AA437" s="18">
        <f>(VLOOKUP(X437,'[1]Simulation pricing per sub assy'!$D:$E,2,0))*Y437</f>
        <v>4.4802908000000006</v>
      </c>
    </row>
    <row r="438" spans="1:287" x14ac:dyDescent="0.35">
      <c r="A438" s="13" t="s">
        <v>637</v>
      </c>
      <c r="B438" s="13" t="s">
        <v>638</v>
      </c>
      <c r="C438" s="42">
        <f t="shared" si="6"/>
        <v>283.58669080000004</v>
      </c>
      <c r="D438" s="20" t="s">
        <v>43</v>
      </c>
      <c r="E438" s="20">
        <v>2</v>
      </c>
      <c r="F438" s="20" t="s">
        <v>3983</v>
      </c>
      <c r="G438" s="14">
        <f>(VLOOKUP(D438,'[1]BOM Info General'!$A:$L,12,0))*E438</f>
        <v>130.12</v>
      </c>
      <c r="H438" s="21" t="s">
        <v>40</v>
      </c>
      <c r="I438" s="21">
        <v>1</v>
      </c>
      <c r="J438" s="21" t="s">
        <v>45</v>
      </c>
      <c r="K438" s="15">
        <f>(VLOOKUP(H438,'[1]BOM Info General'!$A:$L,12,0))*I438</f>
        <v>25.59</v>
      </c>
      <c r="L438" s="22" t="s">
        <v>67</v>
      </c>
      <c r="M438" s="22">
        <v>1</v>
      </c>
      <c r="N438" s="22" t="s">
        <v>64</v>
      </c>
      <c r="O438" s="9">
        <f>(VLOOKUP(L438,'[1]Simulation pricing per sub assy'!$D:$E,2,0))*M438</f>
        <v>95.756400000000042</v>
      </c>
      <c r="P438" s="23" t="s">
        <v>50</v>
      </c>
      <c r="Q438" s="23">
        <v>8</v>
      </c>
      <c r="R438" s="23" t="s">
        <v>16</v>
      </c>
      <c r="S438" s="40">
        <f>(VLOOKUP(P438,'[1]BOM Info General'!$A:$L,12,0))*Q438</f>
        <v>21.2</v>
      </c>
      <c r="T438" s="24" t="s">
        <v>24</v>
      </c>
      <c r="U438" s="17">
        <v>1</v>
      </c>
      <c r="V438" s="24" t="s">
        <v>25</v>
      </c>
      <c r="W438" s="17">
        <f>(VLOOKUP(T438,'[1]Simulation pricing per sub assy'!$D:$E,2,0))*U438</f>
        <v>6.44</v>
      </c>
      <c r="X438" s="25" t="s">
        <v>616</v>
      </c>
      <c r="Y438" s="25">
        <v>1</v>
      </c>
      <c r="Z438" s="25" t="s">
        <v>23</v>
      </c>
      <c r="AA438" s="18">
        <f>(VLOOKUP(X438,'[1]Simulation pricing per sub assy'!$D:$E,2,0))*Y438</f>
        <v>4.4802908000000006</v>
      </c>
    </row>
    <row r="439" spans="1:287" x14ac:dyDescent="0.35">
      <c r="A439" s="13" t="s">
        <v>673</v>
      </c>
      <c r="B439" s="13" t="s">
        <v>674</v>
      </c>
      <c r="C439" s="42">
        <f t="shared" si="6"/>
        <v>283.58669080000004</v>
      </c>
      <c r="D439" s="20" t="s">
        <v>43</v>
      </c>
      <c r="E439" s="20">
        <v>2</v>
      </c>
      <c r="F439" s="20" t="s">
        <v>3983</v>
      </c>
      <c r="G439" s="14">
        <f>(VLOOKUP(D439,'[1]BOM Info General'!$A:$L,12,0))*E439</f>
        <v>130.12</v>
      </c>
      <c r="H439" s="21" t="s">
        <v>40</v>
      </c>
      <c r="I439" s="21">
        <v>1</v>
      </c>
      <c r="J439" s="21" t="s">
        <v>45</v>
      </c>
      <c r="K439" s="15">
        <f>(VLOOKUP(H439,'[1]BOM Info General'!$A:$L,12,0))*I439</f>
        <v>25.59</v>
      </c>
      <c r="L439" s="22" t="s">
        <v>63</v>
      </c>
      <c r="M439" s="22">
        <v>1</v>
      </c>
      <c r="N439" s="22" t="s">
        <v>62</v>
      </c>
      <c r="O439" s="9">
        <f>(VLOOKUP(L439,'[1]Simulation pricing per sub assy'!$D:$E,2,0))*M439</f>
        <v>95.756400000000042</v>
      </c>
      <c r="P439" s="23" t="s">
        <v>50</v>
      </c>
      <c r="Q439" s="23">
        <v>8</v>
      </c>
      <c r="R439" s="23" t="s">
        <v>16</v>
      </c>
      <c r="S439" s="40">
        <f>(VLOOKUP(P439,'[1]BOM Info General'!$A:$L,12,0))*Q439</f>
        <v>21.2</v>
      </c>
      <c r="T439" s="24" t="s">
        <v>24</v>
      </c>
      <c r="U439" s="17">
        <v>1</v>
      </c>
      <c r="V439" s="24" t="s">
        <v>25</v>
      </c>
      <c r="W439" s="17">
        <f>(VLOOKUP(T439,'[1]Simulation pricing per sub assy'!$D:$E,2,0))*U439</f>
        <v>6.44</v>
      </c>
      <c r="X439" s="25" t="s">
        <v>616</v>
      </c>
      <c r="Y439" s="25">
        <v>1</v>
      </c>
      <c r="Z439" s="25" t="s">
        <v>23</v>
      </c>
      <c r="AA439" s="18">
        <f>(VLOOKUP(X439,'[1]Simulation pricing per sub assy'!$D:$E,2,0))*Y439</f>
        <v>4.4802908000000006</v>
      </c>
    </row>
    <row r="440" spans="1:287" x14ac:dyDescent="0.35">
      <c r="A440" s="13" t="s">
        <v>655</v>
      </c>
      <c r="B440" s="13" t="s">
        <v>656</v>
      </c>
      <c r="C440" s="42">
        <f t="shared" si="6"/>
        <v>283.03669080000003</v>
      </c>
      <c r="D440" s="20" t="s">
        <v>43</v>
      </c>
      <c r="E440" s="20">
        <v>2</v>
      </c>
      <c r="F440" s="20" t="s">
        <v>3983</v>
      </c>
      <c r="G440" s="14">
        <f>(VLOOKUP(D440,'[1]BOM Info General'!$A:$L,12,0))*E440</f>
        <v>130.12</v>
      </c>
      <c r="H440" s="21" t="s">
        <v>40</v>
      </c>
      <c r="I440" s="21">
        <v>1</v>
      </c>
      <c r="J440" s="21" t="s">
        <v>45</v>
      </c>
      <c r="K440" s="15">
        <f>(VLOOKUP(H440,'[1]BOM Info General'!$A:$L,12,0))*I440</f>
        <v>25.59</v>
      </c>
      <c r="L440" s="22" t="s">
        <v>69</v>
      </c>
      <c r="M440" s="22">
        <v>1</v>
      </c>
      <c r="N440" s="22" t="s">
        <v>66</v>
      </c>
      <c r="O440" s="9">
        <f>(VLOOKUP(L440,'[1]Simulation pricing per sub assy'!$D:$E,2,0))*M440</f>
        <v>95.206400000000031</v>
      </c>
      <c r="P440" s="23" t="s">
        <v>50</v>
      </c>
      <c r="Q440" s="23">
        <v>8</v>
      </c>
      <c r="R440" s="23" t="s">
        <v>16</v>
      </c>
      <c r="S440" s="40">
        <f>(VLOOKUP(P440,'[1]BOM Info General'!$A:$L,12,0))*Q440</f>
        <v>21.2</v>
      </c>
      <c r="T440" s="24" t="s">
        <v>24</v>
      </c>
      <c r="U440" s="17">
        <v>1</v>
      </c>
      <c r="V440" s="24" t="s">
        <v>25</v>
      </c>
      <c r="W440" s="17">
        <f>(VLOOKUP(T440,'[1]Simulation pricing per sub assy'!$D:$E,2,0))*U440</f>
        <v>6.44</v>
      </c>
      <c r="X440" s="25" t="s">
        <v>616</v>
      </c>
      <c r="Y440" s="25">
        <v>1</v>
      </c>
      <c r="Z440" s="25" t="s">
        <v>23</v>
      </c>
      <c r="AA440" s="18">
        <f>(VLOOKUP(X440,'[1]Simulation pricing per sub assy'!$D:$E,2,0))*Y440</f>
        <v>4.4802908000000006</v>
      </c>
    </row>
    <row r="441" spans="1:287" x14ac:dyDescent="0.35">
      <c r="A441" s="13" t="s">
        <v>691</v>
      </c>
      <c r="B441" s="13" t="s">
        <v>692</v>
      </c>
      <c r="C441" s="42">
        <f t="shared" si="6"/>
        <v>290.99669080000001</v>
      </c>
      <c r="D441" s="20" t="s">
        <v>43</v>
      </c>
      <c r="E441" s="20">
        <v>2</v>
      </c>
      <c r="F441" s="20" t="s">
        <v>3983</v>
      </c>
      <c r="G441" s="14">
        <f>(VLOOKUP(D441,'[1]BOM Info General'!$A:$L,12,0))*E441</f>
        <v>130.12</v>
      </c>
      <c r="H441" s="21" t="s">
        <v>40</v>
      </c>
      <c r="I441" s="21">
        <v>1</v>
      </c>
      <c r="J441" s="21" t="s">
        <v>45</v>
      </c>
      <c r="K441" s="15">
        <f>(VLOOKUP(H441,'[1]BOM Info General'!$A:$L,12,0))*I441</f>
        <v>25.59</v>
      </c>
      <c r="L441" s="22" t="s">
        <v>65</v>
      </c>
      <c r="M441" s="22">
        <v>1</v>
      </c>
      <c r="N441" s="22" t="s">
        <v>68</v>
      </c>
      <c r="O441" s="9">
        <f>(VLOOKUP(L441,'[1]Simulation pricing per sub assy'!$D:$E,2,0))*M441</f>
        <v>103.16640000000004</v>
      </c>
      <c r="P441" s="23" t="s">
        <v>50</v>
      </c>
      <c r="Q441" s="23">
        <v>8</v>
      </c>
      <c r="R441" s="23" t="s">
        <v>16</v>
      </c>
      <c r="S441" s="40">
        <f>(VLOOKUP(P441,'[1]BOM Info General'!$A:$L,12,0))*Q441</f>
        <v>21.2</v>
      </c>
      <c r="T441" s="24" t="s">
        <v>24</v>
      </c>
      <c r="U441" s="17">
        <v>1</v>
      </c>
      <c r="V441" s="24" t="s">
        <v>25</v>
      </c>
      <c r="W441" s="17">
        <f>(VLOOKUP(T441,'[1]Simulation pricing per sub assy'!$D:$E,2,0))*U441</f>
        <v>6.44</v>
      </c>
      <c r="X441" s="25" t="s">
        <v>616</v>
      </c>
      <c r="Y441" s="25">
        <v>1</v>
      </c>
      <c r="Z441" s="25" t="s">
        <v>23</v>
      </c>
      <c r="AA441" s="18">
        <f>(VLOOKUP(X441,'[1]Simulation pricing per sub assy'!$D:$E,2,0))*Y441</f>
        <v>4.4802908000000006</v>
      </c>
    </row>
    <row r="442" spans="1:287" x14ac:dyDescent="0.35">
      <c r="A442" s="13" t="s">
        <v>711</v>
      </c>
      <c r="B442" s="13" t="s">
        <v>712</v>
      </c>
      <c r="C442" s="42">
        <f t="shared" si="6"/>
        <v>283.08669080000004</v>
      </c>
      <c r="D442" s="20" t="s">
        <v>43</v>
      </c>
      <c r="E442" s="20">
        <v>2</v>
      </c>
      <c r="F442" s="20" t="s">
        <v>3983</v>
      </c>
      <c r="G442" s="14">
        <f>(VLOOKUP(D442,'[1]BOM Info General'!$A:$L,12,0))*E442</f>
        <v>130.12</v>
      </c>
      <c r="H442" s="21" t="s">
        <v>40</v>
      </c>
      <c r="I442" s="21">
        <v>1</v>
      </c>
      <c r="J442" s="21" t="s">
        <v>45</v>
      </c>
      <c r="K442" s="15">
        <f>(VLOOKUP(H442,'[1]BOM Info General'!$A:$L,12,0))*I442</f>
        <v>25.59</v>
      </c>
      <c r="L442" s="22" t="s">
        <v>524</v>
      </c>
      <c r="M442" s="22">
        <v>1</v>
      </c>
      <c r="N442" s="22" t="s">
        <v>70</v>
      </c>
      <c r="O442" s="9">
        <f>(VLOOKUP(L442,'[1]Simulation pricing per sub assy'!$D:$E,2,0))*M442</f>
        <v>94.656400000000033</v>
      </c>
      <c r="P442" s="23" t="s">
        <v>50</v>
      </c>
      <c r="Q442" s="23">
        <v>8</v>
      </c>
      <c r="R442" s="23" t="s">
        <v>16</v>
      </c>
      <c r="S442" s="40">
        <f>(VLOOKUP(P442,'[1]BOM Info General'!$A:$L,12,0))*Q442</f>
        <v>21.2</v>
      </c>
      <c r="T442" s="24" t="s">
        <v>26</v>
      </c>
      <c r="U442" s="17">
        <v>1</v>
      </c>
      <c r="V442" s="24" t="s">
        <v>27</v>
      </c>
      <c r="W442" s="17">
        <f>(VLOOKUP(T442,'[1]Simulation pricing per sub assy'!$D:$E,2,0))*U442</f>
        <v>7.04</v>
      </c>
      <c r="X442" s="25" t="s">
        <v>616</v>
      </c>
      <c r="Y442" s="25">
        <v>1</v>
      </c>
      <c r="Z442" s="25" t="s">
        <v>23</v>
      </c>
      <c r="AA442" s="18">
        <f>(VLOOKUP(X442,'[1]Simulation pricing per sub assy'!$D:$E,2,0))*Y442</f>
        <v>4.4802908000000006</v>
      </c>
    </row>
    <row r="443" spans="1:287" s="4" customFormat="1" x14ac:dyDescent="0.35">
      <c r="A443" s="13" t="s">
        <v>639</v>
      </c>
      <c r="B443" s="13" t="s">
        <v>640</v>
      </c>
      <c r="C443" s="42">
        <f t="shared" si="6"/>
        <v>284.18669080000006</v>
      </c>
      <c r="D443" s="20" t="s">
        <v>43</v>
      </c>
      <c r="E443" s="20">
        <v>2</v>
      </c>
      <c r="F443" s="20" t="s">
        <v>3983</v>
      </c>
      <c r="G443" s="14">
        <f>(VLOOKUP(D443,'[1]BOM Info General'!$A:$L,12,0))*E443</f>
        <v>130.12</v>
      </c>
      <c r="H443" s="21" t="s">
        <v>40</v>
      </c>
      <c r="I443" s="21">
        <v>1</v>
      </c>
      <c r="J443" s="21" t="s">
        <v>45</v>
      </c>
      <c r="K443" s="15">
        <f>(VLOOKUP(H443,'[1]BOM Info General'!$A:$L,12,0))*I443</f>
        <v>25.59</v>
      </c>
      <c r="L443" s="22" t="s">
        <v>67</v>
      </c>
      <c r="M443" s="22">
        <v>1</v>
      </c>
      <c r="N443" s="22" t="s">
        <v>64</v>
      </c>
      <c r="O443" s="9">
        <f>(VLOOKUP(L443,'[1]Simulation pricing per sub assy'!$D:$E,2,0))*M443</f>
        <v>95.756400000000042</v>
      </c>
      <c r="P443" s="23" t="s">
        <v>50</v>
      </c>
      <c r="Q443" s="23">
        <v>8</v>
      </c>
      <c r="R443" s="23" t="s">
        <v>16</v>
      </c>
      <c r="S443" s="40">
        <f>(VLOOKUP(P443,'[1]BOM Info General'!$A:$L,12,0))*Q443</f>
        <v>21.2</v>
      </c>
      <c r="T443" s="24" t="s">
        <v>26</v>
      </c>
      <c r="U443" s="17">
        <v>1</v>
      </c>
      <c r="V443" s="24" t="s">
        <v>27</v>
      </c>
      <c r="W443" s="17">
        <f>(VLOOKUP(T443,'[1]Simulation pricing per sub assy'!$D:$E,2,0))*U443</f>
        <v>7.04</v>
      </c>
      <c r="X443" s="25" t="s">
        <v>616</v>
      </c>
      <c r="Y443" s="25">
        <v>1</v>
      </c>
      <c r="Z443" s="25" t="s">
        <v>23</v>
      </c>
      <c r="AA443" s="18">
        <f>(VLOOKUP(X443,'[1]Simulation pricing per sub assy'!$D:$E,2,0))*Y443</f>
        <v>4.4802908000000006</v>
      </c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</row>
    <row r="444" spans="1:287" x14ac:dyDescent="0.35">
      <c r="A444" s="13" t="s">
        <v>675</v>
      </c>
      <c r="B444" s="13" t="s">
        <v>676</v>
      </c>
      <c r="C444" s="42">
        <f t="shared" si="6"/>
        <v>284.18669080000006</v>
      </c>
      <c r="D444" s="20" t="s">
        <v>43</v>
      </c>
      <c r="E444" s="20">
        <v>2</v>
      </c>
      <c r="F444" s="20" t="s">
        <v>3983</v>
      </c>
      <c r="G444" s="14">
        <f>(VLOOKUP(D444,'[1]BOM Info General'!$A:$L,12,0))*E444</f>
        <v>130.12</v>
      </c>
      <c r="H444" s="21" t="s">
        <v>40</v>
      </c>
      <c r="I444" s="21">
        <v>1</v>
      </c>
      <c r="J444" s="21" t="s">
        <v>45</v>
      </c>
      <c r="K444" s="15">
        <f>(VLOOKUP(H444,'[1]BOM Info General'!$A:$L,12,0))*I444</f>
        <v>25.59</v>
      </c>
      <c r="L444" s="22" t="s">
        <v>63</v>
      </c>
      <c r="M444" s="22">
        <v>1</v>
      </c>
      <c r="N444" s="22" t="s">
        <v>62</v>
      </c>
      <c r="O444" s="9">
        <f>(VLOOKUP(L444,'[1]Simulation pricing per sub assy'!$D:$E,2,0))*M444</f>
        <v>95.756400000000042</v>
      </c>
      <c r="P444" s="23" t="s">
        <v>50</v>
      </c>
      <c r="Q444" s="23">
        <v>8</v>
      </c>
      <c r="R444" s="23" t="s">
        <v>16</v>
      </c>
      <c r="S444" s="40">
        <f>(VLOOKUP(P444,'[1]BOM Info General'!$A:$L,12,0))*Q444</f>
        <v>21.2</v>
      </c>
      <c r="T444" s="24" t="s">
        <v>26</v>
      </c>
      <c r="U444" s="17">
        <v>1</v>
      </c>
      <c r="V444" s="24" t="s">
        <v>27</v>
      </c>
      <c r="W444" s="17">
        <f>(VLOOKUP(T444,'[1]Simulation pricing per sub assy'!$D:$E,2,0))*U444</f>
        <v>7.04</v>
      </c>
      <c r="X444" s="25" t="s">
        <v>616</v>
      </c>
      <c r="Y444" s="25">
        <v>1</v>
      </c>
      <c r="Z444" s="25" t="s">
        <v>23</v>
      </c>
      <c r="AA444" s="18">
        <f>(VLOOKUP(X444,'[1]Simulation pricing per sub assy'!$D:$E,2,0))*Y444</f>
        <v>4.4802908000000006</v>
      </c>
    </row>
    <row r="445" spans="1:287" x14ac:dyDescent="0.35">
      <c r="A445" s="13" t="s">
        <v>657</v>
      </c>
      <c r="B445" s="13" t="s">
        <v>658</v>
      </c>
      <c r="C445" s="42">
        <f t="shared" si="6"/>
        <v>283.63669080000005</v>
      </c>
      <c r="D445" s="20" t="s">
        <v>43</v>
      </c>
      <c r="E445" s="20">
        <v>2</v>
      </c>
      <c r="F445" s="20" t="s">
        <v>3983</v>
      </c>
      <c r="G445" s="14">
        <f>(VLOOKUP(D445,'[1]BOM Info General'!$A:$L,12,0))*E445</f>
        <v>130.12</v>
      </c>
      <c r="H445" s="21" t="s">
        <v>40</v>
      </c>
      <c r="I445" s="21">
        <v>1</v>
      </c>
      <c r="J445" s="21" t="s">
        <v>45</v>
      </c>
      <c r="K445" s="15">
        <f>(VLOOKUP(H445,'[1]BOM Info General'!$A:$L,12,0))*I445</f>
        <v>25.59</v>
      </c>
      <c r="L445" s="22" t="s">
        <v>69</v>
      </c>
      <c r="M445" s="22">
        <v>1</v>
      </c>
      <c r="N445" s="22" t="s">
        <v>66</v>
      </c>
      <c r="O445" s="9">
        <f>(VLOOKUP(L445,'[1]Simulation pricing per sub assy'!$D:$E,2,0))*M445</f>
        <v>95.206400000000031</v>
      </c>
      <c r="P445" s="23" t="s">
        <v>50</v>
      </c>
      <c r="Q445" s="23">
        <v>8</v>
      </c>
      <c r="R445" s="23" t="s">
        <v>16</v>
      </c>
      <c r="S445" s="40">
        <f>(VLOOKUP(P445,'[1]BOM Info General'!$A:$L,12,0))*Q445</f>
        <v>21.2</v>
      </c>
      <c r="T445" s="24" t="s">
        <v>26</v>
      </c>
      <c r="U445" s="17">
        <v>1</v>
      </c>
      <c r="V445" s="24" t="s">
        <v>27</v>
      </c>
      <c r="W445" s="17">
        <f>(VLOOKUP(T445,'[1]Simulation pricing per sub assy'!$D:$E,2,0))*U445</f>
        <v>7.04</v>
      </c>
      <c r="X445" s="25" t="s">
        <v>616</v>
      </c>
      <c r="Y445" s="25">
        <v>1</v>
      </c>
      <c r="Z445" s="25" t="s">
        <v>23</v>
      </c>
      <c r="AA445" s="18">
        <f>(VLOOKUP(X445,'[1]Simulation pricing per sub assy'!$D:$E,2,0))*Y445</f>
        <v>4.4802908000000006</v>
      </c>
    </row>
    <row r="446" spans="1:287" x14ac:dyDescent="0.35">
      <c r="A446" s="13" t="s">
        <v>693</v>
      </c>
      <c r="B446" s="13" t="s">
        <v>694</v>
      </c>
      <c r="C446" s="42">
        <f t="shared" si="6"/>
        <v>291.59669080000003</v>
      </c>
      <c r="D446" s="20" t="s">
        <v>43</v>
      </c>
      <c r="E446" s="20">
        <v>2</v>
      </c>
      <c r="F446" s="20" t="s">
        <v>3983</v>
      </c>
      <c r="G446" s="14">
        <f>(VLOOKUP(D446,'[1]BOM Info General'!$A:$L,12,0))*E446</f>
        <v>130.12</v>
      </c>
      <c r="H446" s="21" t="s">
        <v>40</v>
      </c>
      <c r="I446" s="21">
        <v>1</v>
      </c>
      <c r="J446" s="21" t="s">
        <v>45</v>
      </c>
      <c r="K446" s="15">
        <f>(VLOOKUP(H446,'[1]BOM Info General'!$A:$L,12,0))*I446</f>
        <v>25.59</v>
      </c>
      <c r="L446" s="22" t="s">
        <v>65</v>
      </c>
      <c r="M446" s="22">
        <v>1</v>
      </c>
      <c r="N446" s="22" t="s">
        <v>68</v>
      </c>
      <c r="O446" s="9">
        <f>(VLOOKUP(L446,'[1]Simulation pricing per sub assy'!$D:$E,2,0))*M446</f>
        <v>103.16640000000004</v>
      </c>
      <c r="P446" s="23" t="s">
        <v>50</v>
      </c>
      <c r="Q446" s="23">
        <v>8</v>
      </c>
      <c r="R446" s="23" t="s">
        <v>16</v>
      </c>
      <c r="S446" s="40">
        <f>(VLOOKUP(P446,'[1]BOM Info General'!$A:$L,12,0))*Q446</f>
        <v>21.2</v>
      </c>
      <c r="T446" s="24" t="s">
        <v>26</v>
      </c>
      <c r="U446" s="17">
        <v>1</v>
      </c>
      <c r="V446" s="24" t="s">
        <v>27</v>
      </c>
      <c r="W446" s="17">
        <f>(VLOOKUP(T446,'[1]Simulation pricing per sub assy'!$D:$E,2,0))*U446</f>
        <v>7.04</v>
      </c>
      <c r="X446" s="25" t="s">
        <v>616</v>
      </c>
      <c r="Y446" s="25">
        <v>1</v>
      </c>
      <c r="Z446" s="25" t="s">
        <v>23</v>
      </c>
      <c r="AA446" s="18">
        <f>(VLOOKUP(X446,'[1]Simulation pricing per sub assy'!$D:$E,2,0))*Y446</f>
        <v>4.4802908000000006</v>
      </c>
    </row>
    <row r="447" spans="1:287" x14ac:dyDescent="0.35">
      <c r="A447" s="13" t="s">
        <v>713</v>
      </c>
      <c r="B447" s="13" t="s">
        <v>714</v>
      </c>
      <c r="C447" s="42">
        <f t="shared" si="6"/>
        <v>283.04669080000002</v>
      </c>
      <c r="D447" s="20" t="s">
        <v>43</v>
      </c>
      <c r="E447" s="20">
        <v>2</v>
      </c>
      <c r="F447" s="20" t="s">
        <v>3983</v>
      </c>
      <c r="G447" s="14">
        <f>(VLOOKUP(D447,'[1]BOM Info General'!$A:$L,12,0))*E447</f>
        <v>130.12</v>
      </c>
      <c r="H447" s="21" t="s">
        <v>40</v>
      </c>
      <c r="I447" s="21">
        <v>1</v>
      </c>
      <c r="J447" s="21" t="s">
        <v>45</v>
      </c>
      <c r="K447" s="15">
        <f>(VLOOKUP(H447,'[1]BOM Info General'!$A:$L,12,0))*I447</f>
        <v>25.59</v>
      </c>
      <c r="L447" s="22" t="s">
        <v>524</v>
      </c>
      <c r="M447" s="22">
        <v>1</v>
      </c>
      <c r="N447" s="22" t="s">
        <v>70</v>
      </c>
      <c r="O447" s="9">
        <f>(VLOOKUP(L447,'[1]Simulation pricing per sub assy'!$D:$E,2,0))*M447</f>
        <v>94.656400000000033</v>
      </c>
      <c r="P447" s="23" t="s">
        <v>50</v>
      </c>
      <c r="Q447" s="23">
        <v>8</v>
      </c>
      <c r="R447" s="23" t="s">
        <v>16</v>
      </c>
      <c r="S447" s="40">
        <f>(VLOOKUP(P447,'[1]BOM Info General'!$A:$L,12,0))*Q447</f>
        <v>21.2</v>
      </c>
      <c r="T447" s="24" t="s">
        <v>28</v>
      </c>
      <c r="U447" s="17">
        <v>1</v>
      </c>
      <c r="V447" s="24" t="s">
        <v>29</v>
      </c>
      <c r="W447" s="17">
        <f>(VLOOKUP(T447,'[1]Simulation pricing per sub assy'!$D:$E,2,0))*U447</f>
        <v>7</v>
      </c>
      <c r="X447" s="25" t="s">
        <v>616</v>
      </c>
      <c r="Y447" s="25">
        <v>1</v>
      </c>
      <c r="Z447" s="25" t="s">
        <v>23</v>
      </c>
      <c r="AA447" s="18">
        <f>(VLOOKUP(X447,'[1]Simulation pricing per sub assy'!$D:$E,2,0))*Y447</f>
        <v>4.4802908000000006</v>
      </c>
    </row>
    <row r="448" spans="1:287" x14ac:dyDescent="0.35">
      <c r="A448" s="13" t="s">
        <v>641</v>
      </c>
      <c r="B448" s="13" t="s">
        <v>642</v>
      </c>
      <c r="C448" s="42">
        <f t="shared" si="6"/>
        <v>284.14669080000004</v>
      </c>
      <c r="D448" s="20" t="s">
        <v>43</v>
      </c>
      <c r="E448" s="20">
        <v>2</v>
      </c>
      <c r="F448" s="20" t="s">
        <v>3983</v>
      </c>
      <c r="G448" s="14">
        <f>(VLOOKUP(D448,'[1]BOM Info General'!$A:$L,12,0))*E448</f>
        <v>130.12</v>
      </c>
      <c r="H448" s="21" t="s">
        <v>40</v>
      </c>
      <c r="I448" s="21">
        <v>1</v>
      </c>
      <c r="J448" s="21" t="s">
        <v>45</v>
      </c>
      <c r="K448" s="15">
        <f>(VLOOKUP(H448,'[1]BOM Info General'!$A:$L,12,0))*I448</f>
        <v>25.59</v>
      </c>
      <c r="L448" s="22" t="s">
        <v>67</v>
      </c>
      <c r="M448" s="22">
        <v>1</v>
      </c>
      <c r="N448" s="22" t="s">
        <v>64</v>
      </c>
      <c r="O448" s="9">
        <f>(VLOOKUP(L448,'[1]Simulation pricing per sub assy'!$D:$E,2,0))*M448</f>
        <v>95.756400000000042</v>
      </c>
      <c r="P448" s="23" t="s">
        <v>50</v>
      </c>
      <c r="Q448" s="23">
        <v>8</v>
      </c>
      <c r="R448" s="23" t="s">
        <v>16</v>
      </c>
      <c r="S448" s="40">
        <f>(VLOOKUP(P448,'[1]BOM Info General'!$A:$L,12,0))*Q448</f>
        <v>21.2</v>
      </c>
      <c r="T448" s="24" t="s">
        <v>28</v>
      </c>
      <c r="U448" s="17">
        <v>1</v>
      </c>
      <c r="V448" s="24" t="s">
        <v>29</v>
      </c>
      <c r="W448" s="17">
        <f>(VLOOKUP(T448,'[1]Simulation pricing per sub assy'!$D:$E,2,0))*U448</f>
        <v>7</v>
      </c>
      <c r="X448" s="25" t="s">
        <v>616</v>
      </c>
      <c r="Y448" s="25">
        <v>1</v>
      </c>
      <c r="Z448" s="25" t="s">
        <v>23</v>
      </c>
      <c r="AA448" s="18">
        <f>(VLOOKUP(X448,'[1]Simulation pricing per sub assy'!$D:$E,2,0))*Y448</f>
        <v>4.4802908000000006</v>
      </c>
    </row>
    <row r="449" spans="1:27" x14ac:dyDescent="0.35">
      <c r="A449" s="13" t="s">
        <v>677</v>
      </c>
      <c r="B449" s="13" t="s">
        <v>678</v>
      </c>
      <c r="C449" s="42">
        <f t="shared" si="6"/>
        <v>284.14669080000004</v>
      </c>
      <c r="D449" s="20" t="s">
        <v>43</v>
      </c>
      <c r="E449" s="20">
        <v>2</v>
      </c>
      <c r="F449" s="20" t="s">
        <v>3983</v>
      </c>
      <c r="G449" s="14">
        <f>(VLOOKUP(D449,'[1]BOM Info General'!$A:$L,12,0))*E449</f>
        <v>130.12</v>
      </c>
      <c r="H449" s="21" t="s">
        <v>40</v>
      </c>
      <c r="I449" s="21">
        <v>1</v>
      </c>
      <c r="J449" s="21" t="s">
        <v>45</v>
      </c>
      <c r="K449" s="15">
        <f>(VLOOKUP(H449,'[1]BOM Info General'!$A:$L,12,0))*I449</f>
        <v>25.59</v>
      </c>
      <c r="L449" s="22" t="s">
        <v>63</v>
      </c>
      <c r="M449" s="22">
        <v>1</v>
      </c>
      <c r="N449" s="22" t="s">
        <v>62</v>
      </c>
      <c r="O449" s="9">
        <f>(VLOOKUP(L449,'[1]Simulation pricing per sub assy'!$D:$E,2,0))*M449</f>
        <v>95.756400000000042</v>
      </c>
      <c r="P449" s="23" t="s">
        <v>50</v>
      </c>
      <c r="Q449" s="23">
        <v>8</v>
      </c>
      <c r="R449" s="23" t="s">
        <v>16</v>
      </c>
      <c r="S449" s="40">
        <f>(VLOOKUP(P449,'[1]BOM Info General'!$A:$L,12,0))*Q449</f>
        <v>21.2</v>
      </c>
      <c r="T449" s="24" t="s">
        <v>28</v>
      </c>
      <c r="U449" s="17">
        <v>1</v>
      </c>
      <c r="V449" s="24" t="s">
        <v>29</v>
      </c>
      <c r="W449" s="17">
        <f>(VLOOKUP(T449,'[1]Simulation pricing per sub assy'!$D:$E,2,0))*U449</f>
        <v>7</v>
      </c>
      <c r="X449" s="25" t="s">
        <v>616</v>
      </c>
      <c r="Y449" s="25">
        <v>1</v>
      </c>
      <c r="Z449" s="25" t="s">
        <v>23</v>
      </c>
      <c r="AA449" s="18">
        <f>(VLOOKUP(X449,'[1]Simulation pricing per sub assy'!$D:$E,2,0))*Y449</f>
        <v>4.4802908000000006</v>
      </c>
    </row>
    <row r="450" spans="1:27" x14ac:dyDescent="0.35">
      <c r="A450" s="13" t="s">
        <v>659</v>
      </c>
      <c r="B450" s="13" t="s">
        <v>660</v>
      </c>
      <c r="C450" s="42">
        <f t="shared" si="6"/>
        <v>283.59669080000003</v>
      </c>
      <c r="D450" s="20" t="s">
        <v>43</v>
      </c>
      <c r="E450" s="20">
        <v>2</v>
      </c>
      <c r="F450" s="20" t="s">
        <v>3983</v>
      </c>
      <c r="G450" s="14">
        <f>(VLOOKUP(D450,'[1]BOM Info General'!$A:$L,12,0))*E450</f>
        <v>130.12</v>
      </c>
      <c r="H450" s="21" t="s">
        <v>40</v>
      </c>
      <c r="I450" s="21">
        <v>1</v>
      </c>
      <c r="J450" s="21" t="s">
        <v>45</v>
      </c>
      <c r="K450" s="15">
        <f>(VLOOKUP(H450,'[1]BOM Info General'!$A:$L,12,0))*I450</f>
        <v>25.59</v>
      </c>
      <c r="L450" s="22" t="s">
        <v>69</v>
      </c>
      <c r="M450" s="22">
        <v>1</v>
      </c>
      <c r="N450" s="22" t="s">
        <v>66</v>
      </c>
      <c r="O450" s="9">
        <f>(VLOOKUP(L450,'[1]Simulation pricing per sub assy'!$D:$E,2,0))*M450</f>
        <v>95.206400000000031</v>
      </c>
      <c r="P450" s="23" t="s">
        <v>50</v>
      </c>
      <c r="Q450" s="23">
        <v>8</v>
      </c>
      <c r="R450" s="23" t="s">
        <v>16</v>
      </c>
      <c r="S450" s="40">
        <f>(VLOOKUP(P450,'[1]BOM Info General'!$A:$L,12,0))*Q450</f>
        <v>21.2</v>
      </c>
      <c r="T450" s="24" t="s">
        <v>28</v>
      </c>
      <c r="U450" s="17">
        <v>1</v>
      </c>
      <c r="V450" s="24" t="s">
        <v>29</v>
      </c>
      <c r="W450" s="17">
        <f>(VLOOKUP(T450,'[1]Simulation pricing per sub assy'!$D:$E,2,0))*U450</f>
        <v>7</v>
      </c>
      <c r="X450" s="25" t="s">
        <v>616</v>
      </c>
      <c r="Y450" s="25">
        <v>1</v>
      </c>
      <c r="Z450" s="25" t="s">
        <v>23</v>
      </c>
      <c r="AA450" s="18">
        <f>(VLOOKUP(X450,'[1]Simulation pricing per sub assy'!$D:$E,2,0))*Y450</f>
        <v>4.4802908000000006</v>
      </c>
    </row>
    <row r="451" spans="1:27" x14ac:dyDescent="0.35">
      <c r="A451" s="13" t="s">
        <v>695</v>
      </c>
      <c r="B451" s="13" t="s">
        <v>696</v>
      </c>
      <c r="C451" s="42">
        <f t="shared" ref="C451:C514" si="7">SUM(G451+K451+O451+S451+W451+AA451)</f>
        <v>291.55669080000001</v>
      </c>
      <c r="D451" s="20" t="s">
        <v>43</v>
      </c>
      <c r="E451" s="20">
        <v>2</v>
      </c>
      <c r="F451" s="20" t="s">
        <v>3983</v>
      </c>
      <c r="G451" s="14">
        <f>(VLOOKUP(D451,'[1]BOM Info General'!$A:$L,12,0))*E451</f>
        <v>130.12</v>
      </c>
      <c r="H451" s="21" t="s">
        <v>40</v>
      </c>
      <c r="I451" s="21">
        <v>1</v>
      </c>
      <c r="J451" s="21" t="s">
        <v>45</v>
      </c>
      <c r="K451" s="15">
        <f>(VLOOKUP(H451,'[1]BOM Info General'!$A:$L,12,0))*I451</f>
        <v>25.59</v>
      </c>
      <c r="L451" s="22" t="s">
        <v>65</v>
      </c>
      <c r="M451" s="22">
        <v>1</v>
      </c>
      <c r="N451" s="22" t="s">
        <v>68</v>
      </c>
      <c r="O451" s="9">
        <f>(VLOOKUP(L451,'[1]Simulation pricing per sub assy'!$D:$E,2,0))*M451</f>
        <v>103.16640000000004</v>
      </c>
      <c r="P451" s="23" t="s">
        <v>50</v>
      </c>
      <c r="Q451" s="23">
        <v>8</v>
      </c>
      <c r="R451" s="23" t="s">
        <v>16</v>
      </c>
      <c r="S451" s="40">
        <f>(VLOOKUP(P451,'[1]BOM Info General'!$A:$L,12,0))*Q451</f>
        <v>21.2</v>
      </c>
      <c r="T451" s="24" t="s">
        <v>28</v>
      </c>
      <c r="U451" s="17">
        <v>1</v>
      </c>
      <c r="V451" s="24" t="s">
        <v>29</v>
      </c>
      <c r="W451" s="17">
        <f>(VLOOKUP(T451,'[1]Simulation pricing per sub assy'!$D:$E,2,0))*U451</f>
        <v>7</v>
      </c>
      <c r="X451" s="25" t="s">
        <v>616</v>
      </c>
      <c r="Y451" s="25">
        <v>1</v>
      </c>
      <c r="Z451" s="25" t="s">
        <v>23</v>
      </c>
      <c r="AA451" s="18">
        <f>(VLOOKUP(X451,'[1]Simulation pricing per sub assy'!$D:$E,2,0))*Y451</f>
        <v>4.4802908000000006</v>
      </c>
    </row>
    <row r="452" spans="1:27" x14ac:dyDescent="0.35">
      <c r="A452" s="13" t="s">
        <v>715</v>
      </c>
      <c r="B452" s="13" t="s">
        <v>716</v>
      </c>
      <c r="C452" s="42">
        <f t="shared" si="7"/>
        <v>282.48669080000002</v>
      </c>
      <c r="D452" s="20" t="s">
        <v>43</v>
      </c>
      <c r="E452" s="20">
        <v>2</v>
      </c>
      <c r="F452" s="20" t="s">
        <v>3983</v>
      </c>
      <c r="G452" s="14">
        <f>(VLOOKUP(D452,'[1]BOM Info General'!$A:$L,12,0))*E452</f>
        <v>130.12</v>
      </c>
      <c r="H452" s="21" t="s">
        <v>40</v>
      </c>
      <c r="I452" s="21">
        <v>1</v>
      </c>
      <c r="J452" s="21" t="s">
        <v>45</v>
      </c>
      <c r="K452" s="15">
        <f>(VLOOKUP(H452,'[1]BOM Info General'!$A:$L,12,0))*I452</f>
        <v>25.59</v>
      </c>
      <c r="L452" s="22" t="s">
        <v>524</v>
      </c>
      <c r="M452" s="22">
        <v>1</v>
      </c>
      <c r="N452" s="22" t="s">
        <v>70</v>
      </c>
      <c r="O452" s="9">
        <f>(VLOOKUP(L452,'[1]Simulation pricing per sub assy'!$D:$E,2,0))*M452</f>
        <v>94.656400000000033</v>
      </c>
      <c r="P452" s="23" t="s">
        <v>51</v>
      </c>
      <c r="Q452" s="23">
        <v>8</v>
      </c>
      <c r="R452" s="23" t="s">
        <v>17</v>
      </c>
      <c r="S452" s="40">
        <f>(VLOOKUP(P452,'[1]BOM Info General'!$A:$L,12,0))*Q452</f>
        <v>21.2</v>
      </c>
      <c r="T452" s="24" t="s">
        <v>24</v>
      </c>
      <c r="U452" s="17">
        <v>1</v>
      </c>
      <c r="V452" s="24" t="s">
        <v>25</v>
      </c>
      <c r="W452" s="17">
        <f>(VLOOKUP(T452,'[1]Simulation pricing per sub assy'!$D:$E,2,0))*U452</f>
        <v>6.44</v>
      </c>
      <c r="X452" s="25" t="s">
        <v>616</v>
      </c>
      <c r="Y452" s="25">
        <v>1</v>
      </c>
      <c r="Z452" s="25" t="s">
        <v>23</v>
      </c>
      <c r="AA452" s="18">
        <f>(VLOOKUP(X452,'[1]Simulation pricing per sub assy'!$D:$E,2,0))*Y452</f>
        <v>4.4802908000000006</v>
      </c>
    </row>
    <row r="453" spans="1:27" x14ac:dyDescent="0.35">
      <c r="A453" s="13" t="s">
        <v>643</v>
      </c>
      <c r="B453" s="13" t="s">
        <v>644</v>
      </c>
      <c r="C453" s="42">
        <f t="shared" si="7"/>
        <v>283.58669080000004</v>
      </c>
      <c r="D453" s="20" t="s">
        <v>43</v>
      </c>
      <c r="E453" s="20">
        <v>2</v>
      </c>
      <c r="F453" s="20" t="s">
        <v>3983</v>
      </c>
      <c r="G453" s="14">
        <f>(VLOOKUP(D453,'[1]BOM Info General'!$A:$L,12,0))*E453</f>
        <v>130.12</v>
      </c>
      <c r="H453" s="21" t="s">
        <v>40</v>
      </c>
      <c r="I453" s="21">
        <v>1</v>
      </c>
      <c r="J453" s="21" t="s">
        <v>45</v>
      </c>
      <c r="K453" s="15">
        <f>(VLOOKUP(H453,'[1]BOM Info General'!$A:$L,12,0))*I453</f>
        <v>25.59</v>
      </c>
      <c r="L453" s="22" t="s">
        <v>67</v>
      </c>
      <c r="M453" s="22">
        <v>1</v>
      </c>
      <c r="N453" s="22" t="s">
        <v>64</v>
      </c>
      <c r="O453" s="9">
        <f>(VLOOKUP(L453,'[1]Simulation pricing per sub assy'!$D:$E,2,0))*M453</f>
        <v>95.756400000000042</v>
      </c>
      <c r="P453" s="23" t="s">
        <v>51</v>
      </c>
      <c r="Q453" s="23">
        <v>8</v>
      </c>
      <c r="R453" s="23" t="s">
        <v>17</v>
      </c>
      <c r="S453" s="40">
        <f>(VLOOKUP(P453,'[1]BOM Info General'!$A:$L,12,0))*Q453</f>
        <v>21.2</v>
      </c>
      <c r="T453" s="24" t="s">
        <v>24</v>
      </c>
      <c r="U453" s="17">
        <v>1</v>
      </c>
      <c r="V453" s="24" t="s">
        <v>25</v>
      </c>
      <c r="W453" s="17">
        <f>(VLOOKUP(T453,'[1]Simulation pricing per sub assy'!$D:$E,2,0))*U453</f>
        <v>6.44</v>
      </c>
      <c r="X453" s="25" t="s">
        <v>616</v>
      </c>
      <c r="Y453" s="25">
        <v>1</v>
      </c>
      <c r="Z453" s="25" t="s">
        <v>23</v>
      </c>
      <c r="AA453" s="18">
        <f>(VLOOKUP(X453,'[1]Simulation pricing per sub assy'!$D:$E,2,0))*Y453</f>
        <v>4.4802908000000006</v>
      </c>
    </row>
    <row r="454" spans="1:27" x14ac:dyDescent="0.35">
      <c r="A454" s="13" t="s">
        <v>679</v>
      </c>
      <c r="B454" s="13" t="s">
        <v>680</v>
      </c>
      <c r="C454" s="42">
        <f t="shared" si="7"/>
        <v>283.58669080000004</v>
      </c>
      <c r="D454" s="20" t="s">
        <v>43</v>
      </c>
      <c r="E454" s="20">
        <v>2</v>
      </c>
      <c r="F454" s="20" t="s">
        <v>3983</v>
      </c>
      <c r="G454" s="14">
        <f>(VLOOKUP(D454,'[1]BOM Info General'!$A:$L,12,0))*E454</f>
        <v>130.12</v>
      </c>
      <c r="H454" s="21" t="s">
        <v>40</v>
      </c>
      <c r="I454" s="21">
        <v>1</v>
      </c>
      <c r="J454" s="21" t="s">
        <v>45</v>
      </c>
      <c r="K454" s="15">
        <f>(VLOOKUP(H454,'[1]BOM Info General'!$A:$L,12,0))*I454</f>
        <v>25.59</v>
      </c>
      <c r="L454" s="22" t="s">
        <v>63</v>
      </c>
      <c r="M454" s="22">
        <v>1</v>
      </c>
      <c r="N454" s="22" t="s">
        <v>62</v>
      </c>
      <c r="O454" s="9">
        <f>(VLOOKUP(L454,'[1]Simulation pricing per sub assy'!$D:$E,2,0))*M454</f>
        <v>95.756400000000042</v>
      </c>
      <c r="P454" s="23" t="s">
        <v>51</v>
      </c>
      <c r="Q454" s="23">
        <v>8</v>
      </c>
      <c r="R454" s="23" t="s">
        <v>17</v>
      </c>
      <c r="S454" s="40">
        <f>(VLOOKUP(P454,'[1]BOM Info General'!$A:$L,12,0))*Q454</f>
        <v>21.2</v>
      </c>
      <c r="T454" s="24" t="s">
        <v>24</v>
      </c>
      <c r="U454" s="17">
        <v>1</v>
      </c>
      <c r="V454" s="24" t="s">
        <v>25</v>
      </c>
      <c r="W454" s="17">
        <f>(VLOOKUP(T454,'[1]Simulation pricing per sub assy'!$D:$E,2,0))*U454</f>
        <v>6.44</v>
      </c>
      <c r="X454" s="25" t="s">
        <v>616</v>
      </c>
      <c r="Y454" s="25">
        <v>1</v>
      </c>
      <c r="Z454" s="25" t="s">
        <v>23</v>
      </c>
      <c r="AA454" s="18">
        <f>(VLOOKUP(X454,'[1]Simulation pricing per sub assy'!$D:$E,2,0))*Y454</f>
        <v>4.4802908000000006</v>
      </c>
    </row>
    <row r="455" spans="1:27" x14ac:dyDescent="0.35">
      <c r="A455" s="13" t="s">
        <v>661</v>
      </c>
      <c r="B455" s="13" t="s">
        <v>662</v>
      </c>
      <c r="C455" s="42">
        <f t="shared" si="7"/>
        <v>283.03669080000003</v>
      </c>
      <c r="D455" s="20" t="s">
        <v>43</v>
      </c>
      <c r="E455" s="20">
        <v>2</v>
      </c>
      <c r="F455" s="20" t="s">
        <v>3983</v>
      </c>
      <c r="G455" s="14">
        <f>(VLOOKUP(D455,'[1]BOM Info General'!$A:$L,12,0))*E455</f>
        <v>130.12</v>
      </c>
      <c r="H455" s="21" t="s">
        <v>40</v>
      </c>
      <c r="I455" s="21">
        <v>1</v>
      </c>
      <c r="J455" s="21" t="s">
        <v>45</v>
      </c>
      <c r="K455" s="15">
        <f>(VLOOKUP(H455,'[1]BOM Info General'!$A:$L,12,0))*I455</f>
        <v>25.59</v>
      </c>
      <c r="L455" s="22" t="s">
        <v>69</v>
      </c>
      <c r="M455" s="22">
        <v>1</v>
      </c>
      <c r="N455" s="22" t="s">
        <v>66</v>
      </c>
      <c r="O455" s="9">
        <f>(VLOOKUP(L455,'[1]Simulation pricing per sub assy'!$D:$E,2,0))*M455</f>
        <v>95.206400000000031</v>
      </c>
      <c r="P455" s="23" t="s">
        <v>51</v>
      </c>
      <c r="Q455" s="23">
        <v>8</v>
      </c>
      <c r="R455" s="23" t="s">
        <v>17</v>
      </c>
      <c r="S455" s="40">
        <f>(VLOOKUP(P455,'[1]BOM Info General'!$A:$L,12,0))*Q455</f>
        <v>21.2</v>
      </c>
      <c r="T455" s="24" t="s">
        <v>24</v>
      </c>
      <c r="U455" s="17">
        <v>1</v>
      </c>
      <c r="V455" s="24" t="s">
        <v>25</v>
      </c>
      <c r="W455" s="17">
        <f>(VLOOKUP(T455,'[1]Simulation pricing per sub assy'!$D:$E,2,0))*U455</f>
        <v>6.44</v>
      </c>
      <c r="X455" s="25" t="s">
        <v>616</v>
      </c>
      <c r="Y455" s="25">
        <v>1</v>
      </c>
      <c r="Z455" s="25" t="s">
        <v>23</v>
      </c>
      <c r="AA455" s="18">
        <f>(VLOOKUP(X455,'[1]Simulation pricing per sub assy'!$D:$E,2,0))*Y455</f>
        <v>4.4802908000000006</v>
      </c>
    </row>
    <row r="456" spans="1:27" x14ac:dyDescent="0.35">
      <c r="A456" s="13" t="s">
        <v>697</v>
      </c>
      <c r="B456" s="13" t="s">
        <v>698</v>
      </c>
      <c r="C456" s="42">
        <f t="shared" si="7"/>
        <v>290.99669080000001</v>
      </c>
      <c r="D456" s="20" t="s">
        <v>43</v>
      </c>
      <c r="E456" s="20">
        <v>2</v>
      </c>
      <c r="F456" s="20" t="s">
        <v>3983</v>
      </c>
      <c r="G456" s="14">
        <f>(VLOOKUP(D456,'[1]BOM Info General'!$A:$L,12,0))*E456</f>
        <v>130.12</v>
      </c>
      <c r="H456" s="21" t="s">
        <v>40</v>
      </c>
      <c r="I456" s="21">
        <v>1</v>
      </c>
      <c r="J456" s="21" t="s">
        <v>45</v>
      </c>
      <c r="K456" s="15">
        <f>(VLOOKUP(H456,'[1]BOM Info General'!$A:$L,12,0))*I456</f>
        <v>25.59</v>
      </c>
      <c r="L456" s="22" t="s">
        <v>65</v>
      </c>
      <c r="M456" s="22">
        <v>1</v>
      </c>
      <c r="N456" s="22" t="s">
        <v>68</v>
      </c>
      <c r="O456" s="9">
        <f>(VLOOKUP(L456,'[1]Simulation pricing per sub assy'!$D:$E,2,0))*M456</f>
        <v>103.16640000000004</v>
      </c>
      <c r="P456" s="23" t="s">
        <v>51</v>
      </c>
      <c r="Q456" s="23">
        <v>8</v>
      </c>
      <c r="R456" s="23" t="s">
        <v>17</v>
      </c>
      <c r="S456" s="40">
        <f>(VLOOKUP(P456,'[1]BOM Info General'!$A:$L,12,0))*Q456</f>
        <v>21.2</v>
      </c>
      <c r="T456" s="24" t="s">
        <v>24</v>
      </c>
      <c r="U456" s="17">
        <v>1</v>
      </c>
      <c r="V456" s="24" t="s">
        <v>25</v>
      </c>
      <c r="W456" s="17">
        <f>(VLOOKUP(T456,'[1]Simulation pricing per sub assy'!$D:$E,2,0))*U456</f>
        <v>6.44</v>
      </c>
      <c r="X456" s="25" t="s">
        <v>616</v>
      </c>
      <c r="Y456" s="25">
        <v>1</v>
      </c>
      <c r="Z456" s="25" t="s">
        <v>23</v>
      </c>
      <c r="AA456" s="18">
        <f>(VLOOKUP(X456,'[1]Simulation pricing per sub assy'!$D:$E,2,0))*Y456</f>
        <v>4.4802908000000006</v>
      </c>
    </row>
    <row r="457" spans="1:27" x14ac:dyDescent="0.35">
      <c r="A457" s="13" t="s">
        <v>717</v>
      </c>
      <c r="B457" s="13" t="s">
        <v>718</v>
      </c>
      <c r="C457" s="42">
        <f t="shared" si="7"/>
        <v>283.08669080000004</v>
      </c>
      <c r="D457" s="20" t="s">
        <v>43</v>
      </c>
      <c r="E457" s="20">
        <v>2</v>
      </c>
      <c r="F457" s="20" t="s">
        <v>3983</v>
      </c>
      <c r="G457" s="14">
        <f>(VLOOKUP(D457,'[1]BOM Info General'!$A:$L,12,0))*E457</f>
        <v>130.12</v>
      </c>
      <c r="H457" s="21" t="s">
        <v>40</v>
      </c>
      <c r="I457" s="21">
        <v>1</v>
      </c>
      <c r="J457" s="21" t="s">
        <v>45</v>
      </c>
      <c r="K457" s="15">
        <f>(VLOOKUP(H457,'[1]BOM Info General'!$A:$L,12,0))*I457</f>
        <v>25.59</v>
      </c>
      <c r="L457" s="22" t="s">
        <v>524</v>
      </c>
      <c r="M457" s="22">
        <v>1</v>
      </c>
      <c r="N457" s="22" t="s">
        <v>70</v>
      </c>
      <c r="O457" s="9">
        <f>(VLOOKUP(L457,'[1]Simulation pricing per sub assy'!$D:$E,2,0))*M457</f>
        <v>94.656400000000033</v>
      </c>
      <c r="P457" s="23" t="s">
        <v>51</v>
      </c>
      <c r="Q457" s="23">
        <v>8</v>
      </c>
      <c r="R457" s="23" t="s">
        <v>17</v>
      </c>
      <c r="S457" s="40">
        <f>(VLOOKUP(P457,'[1]BOM Info General'!$A:$L,12,0))*Q457</f>
        <v>21.2</v>
      </c>
      <c r="T457" s="24" t="s">
        <v>26</v>
      </c>
      <c r="U457" s="17">
        <v>1</v>
      </c>
      <c r="V457" s="24" t="s">
        <v>27</v>
      </c>
      <c r="W457" s="17">
        <f>(VLOOKUP(T457,'[1]Simulation pricing per sub assy'!$D:$E,2,0))*U457</f>
        <v>7.04</v>
      </c>
      <c r="X457" s="25" t="s">
        <v>616</v>
      </c>
      <c r="Y457" s="25">
        <v>1</v>
      </c>
      <c r="Z457" s="25" t="s">
        <v>23</v>
      </c>
      <c r="AA457" s="18">
        <f>(VLOOKUP(X457,'[1]Simulation pricing per sub assy'!$D:$E,2,0))*Y457</f>
        <v>4.4802908000000006</v>
      </c>
    </row>
    <row r="458" spans="1:27" x14ac:dyDescent="0.35">
      <c r="A458" s="13" t="s">
        <v>645</v>
      </c>
      <c r="B458" s="13" t="s">
        <v>646</v>
      </c>
      <c r="C458" s="42">
        <f t="shared" si="7"/>
        <v>284.18669080000006</v>
      </c>
      <c r="D458" s="20" t="s">
        <v>43</v>
      </c>
      <c r="E458" s="20">
        <v>2</v>
      </c>
      <c r="F458" s="20" t="s">
        <v>3983</v>
      </c>
      <c r="G458" s="14">
        <f>(VLOOKUP(D458,'[1]BOM Info General'!$A:$L,12,0))*E458</f>
        <v>130.12</v>
      </c>
      <c r="H458" s="21" t="s">
        <v>40</v>
      </c>
      <c r="I458" s="21">
        <v>1</v>
      </c>
      <c r="J458" s="21" t="s">
        <v>45</v>
      </c>
      <c r="K458" s="15">
        <f>(VLOOKUP(H458,'[1]BOM Info General'!$A:$L,12,0))*I458</f>
        <v>25.59</v>
      </c>
      <c r="L458" s="22" t="s">
        <v>67</v>
      </c>
      <c r="M458" s="22">
        <v>1</v>
      </c>
      <c r="N458" s="22" t="s">
        <v>64</v>
      </c>
      <c r="O458" s="9">
        <f>(VLOOKUP(L458,'[1]Simulation pricing per sub assy'!$D:$E,2,0))*M458</f>
        <v>95.756400000000042</v>
      </c>
      <c r="P458" s="23" t="s">
        <v>51</v>
      </c>
      <c r="Q458" s="23">
        <v>8</v>
      </c>
      <c r="R458" s="23" t="s">
        <v>17</v>
      </c>
      <c r="S458" s="40">
        <f>(VLOOKUP(P458,'[1]BOM Info General'!$A:$L,12,0))*Q458</f>
        <v>21.2</v>
      </c>
      <c r="T458" s="24" t="s">
        <v>26</v>
      </c>
      <c r="U458" s="17">
        <v>1</v>
      </c>
      <c r="V458" s="24" t="s">
        <v>27</v>
      </c>
      <c r="W458" s="17">
        <f>(VLOOKUP(T458,'[1]Simulation pricing per sub assy'!$D:$E,2,0))*U458</f>
        <v>7.04</v>
      </c>
      <c r="X458" s="25" t="s">
        <v>616</v>
      </c>
      <c r="Y458" s="25">
        <v>1</v>
      </c>
      <c r="Z458" s="25" t="s">
        <v>23</v>
      </c>
      <c r="AA458" s="18">
        <f>(VLOOKUP(X458,'[1]Simulation pricing per sub assy'!$D:$E,2,0))*Y458</f>
        <v>4.4802908000000006</v>
      </c>
    </row>
    <row r="459" spans="1:27" x14ac:dyDescent="0.35">
      <c r="A459" s="13" t="s">
        <v>681</v>
      </c>
      <c r="B459" s="13" t="s">
        <v>682</v>
      </c>
      <c r="C459" s="42">
        <f t="shared" si="7"/>
        <v>284.18669080000006</v>
      </c>
      <c r="D459" s="20" t="s">
        <v>43</v>
      </c>
      <c r="E459" s="20">
        <v>2</v>
      </c>
      <c r="F459" s="20" t="s">
        <v>3983</v>
      </c>
      <c r="G459" s="14">
        <f>(VLOOKUP(D459,'[1]BOM Info General'!$A:$L,12,0))*E459</f>
        <v>130.12</v>
      </c>
      <c r="H459" s="21" t="s">
        <v>40</v>
      </c>
      <c r="I459" s="21">
        <v>1</v>
      </c>
      <c r="J459" s="21" t="s">
        <v>45</v>
      </c>
      <c r="K459" s="15">
        <f>(VLOOKUP(H459,'[1]BOM Info General'!$A:$L,12,0))*I459</f>
        <v>25.59</v>
      </c>
      <c r="L459" s="22" t="s">
        <v>63</v>
      </c>
      <c r="M459" s="22">
        <v>1</v>
      </c>
      <c r="N459" s="22" t="s">
        <v>62</v>
      </c>
      <c r="O459" s="9">
        <f>(VLOOKUP(L459,'[1]Simulation pricing per sub assy'!$D:$E,2,0))*M459</f>
        <v>95.756400000000042</v>
      </c>
      <c r="P459" s="23" t="s">
        <v>51</v>
      </c>
      <c r="Q459" s="23">
        <v>8</v>
      </c>
      <c r="R459" s="23" t="s">
        <v>17</v>
      </c>
      <c r="S459" s="40">
        <f>(VLOOKUP(P459,'[1]BOM Info General'!$A:$L,12,0))*Q459</f>
        <v>21.2</v>
      </c>
      <c r="T459" s="24" t="s">
        <v>26</v>
      </c>
      <c r="U459" s="17">
        <v>1</v>
      </c>
      <c r="V459" s="24" t="s">
        <v>27</v>
      </c>
      <c r="W459" s="17">
        <f>(VLOOKUP(T459,'[1]Simulation pricing per sub assy'!$D:$E,2,0))*U459</f>
        <v>7.04</v>
      </c>
      <c r="X459" s="25" t="s">
        <v>616</v>
      </c>
      <c r="Y459" s="25">
        <v>1</v>
      </c>
      <c r="Z459" s="25" t="s">
        <v>23</v>
      </c>
      <c r="AA459" s="18">
        <f>(VLOOKUP(X459,'[1]Simulation pricing per sub assy'!$D:$E,2,0))*Y459</f>
        <v>4.4802908000000006</v>
      </c>
    </row>
    <row r="460" spans="1:27" x14ac:dyDescent="0.35">
      <c r="A460" s="13" t="s">
        <v>663</v>
      </c>
      <c r="B460" s="13" t="s">
        <v>664</v>
      </c>
      <c r="C460" s="42">
        <f t="shared" si="7"/>
        <v>283.63669080000005</v>
      </c>
      <c r="D460" s="20" t="s">
        <v>43</v>
      </c>
      <c r="E460" s="20">
        <v>2</v>
      </c>
      <c r="F460" s="20" t="s">
        <v>3983</v>
      </c>
      <c r="G460" s="14">
        <f>(VLOOKUP(D460,'[1]BOM Info General'!$A:$L,12,0))*E460</f>
        <v>130.12</v>
      </c>
      <c r="H460" s="21" t="s">
        <v>40</v>
      </c>
      <c r="I460" s="21">
        <v>1</v>
      </c>
      <c r="J460" s="21" t="s">
        <v>45</v>
      </c>
      <c r="K460" s="15">
        <f>(VLOOKUP(H460,'[1]BOM Info General'!$A:$L,12,0))*I460</f>
        <v>25.59</v>
      </c>
      <c r="L460" s="22" t="s">
        <v>69</v>
      </c>
      <c r="M460" s="22">
        <v>1</v>
      </c>
      <c r="N460" s="22" t="s">
        <v>66</v>
      </c>
      <c r="O460" s="9">
        <f>(VLOOKUP(L460,'[1]Simulation pricing per sub assy'!$D:$E,2,0))*M460</f>
        <v>95.206400000000031</v>
      </c>
      <c r="P460" s="23" t="s">
        <v>51</v>
      </c>
      <c r="Q460" s="23">
        <v>8</v>
      </c>
      <c r="R460" s="23" t="s">
        <v>17</v>
      </c>
      <c r="S460" s="40">
        <f>(VLOOKUP(P460,'[1]BOM Info General'!$A:$L,12,0))*Q460</f>
        <v>21.2</v>
      </c>
      <c r="T460" s="24" t="s">
        <v>26</v>
      </c>
      <c r="U460" s="17">
        <v>1</v>
      </c>
      <c r="V460" s="24" t="s">
        <v>27</v>
      </c>
      <c r="W460" s="17">
        <f>(VLOOKUP(T460,'[1]Simulation pricing per sub assy'!$D:$E,2,0))*U460</f>
        <v>7.04</v>
      </c>
      <c r="X460" s="25" t="s">
        <v>616</v>
      </c>
      <c r="Y460" s="25">
        <v>1</v>
      </c>
      <c r="Z460" s="25" t="s">
        <v>23</v>
      </c>
      <c r="AA460" s="18">
        <f>(VLOOKUP(X460,'[1]Simulation pricing per sub assy'!$D:$E,2,0))*Y460</f>
        <v>4.4802908000000006</v>
      </c>
    </row>
    <row r="461" spans="1:27" x14ac:dyDescent="0.35">
      <c r="A461" s="13" t="s">
        <v>699</v>
      </c>
      <c r="B461" s="13" t="s">
        <v>700</v>
      </c>
      <c r="C461" s="42">
        <f t="shared" si="7"/>
        <v>291.59669080000003</v>
      </c>
      <c r="D461" s="20" t="s">
        <v>43</v>
      </c>
      <c r="E461" s="20">
        <v>2</v>
      </c>
      <c r="F461" s="20" t="s">
        <v>3983</v>
      </c>
      <c r="G461" s="14">
        <f>(VLOOKUP(D461,'[1]BOM Info General'!$A:$L,12,0))*E461</f>
        <v>130.12</v>
      </c>
      <c r="H461" s="21" t="s">
        <v>40</v>
      </c>
      <c r="I461" s="21">
        <v>1</v>
      </c>
      <c r="J461" s="21" t="s">
        <v>45</v>
      </c>
      <c r="K461" s="15">
        <f>(VLOOKUP(H461,'[1]BOM Info General'!$A:$L,12,0))*I461</f>
        <v>25.59</v>
      </c>
      <c r="L461" s="22" t="s">
        <v>65</v>
      </c>
      <c r="M461" s="22">
        <v>1</v>
      </c>
      <c r="N461" s="22" t="s">
        <v>68</v>
      </c>
      <c r="O461" s="9">
        <f>(VLOOKUP(L461,'[1]Simulation pricing per sub assy'!$D:$E,2,0))*M461</f>
        <v>103.16640000000004</v>
      </c>
      <c r="P461" s="23" t="s">
        <v>51</v>
      </c>
      <c r="Q461" s="23">
        <v>8</v>
      </c>
      <c r="R461" s="23" t="s">
        <v>17</v>
      </c>
      <c r="S461" s="40">
        <f>(VLOOKUP(P461,'[1]BOM Info General'!$A:$L,12,0))*Q461</f>
        <v>21.2</v>
      </c>
      <c r="T461" s="24" t="s">
        <v>26</v>
      </c>
      <c r="U461" s="17">
        <v>1</v>
      </c>
      <c r="V461" s="24" t="s">
        <v>27</v>
      </c>
      <c r="W461" s="17">
        <f>(VLOOKUP(T461,'[1]Simulation pricing per sub assy'!$D:$E,2,0))*U461</f>
        <v>7.04</v>
      </c>
      <c r="X461" s="25" t="s">
        <v>616</v>
      </c>
      <c r="Y461" s="25">
        <v>1</v>
      </c>
      <c r="Z461" s="25" t="s">
        <v>23</v>
      </c>
      <c r="AA461" s="18">
        <f>(VLOOKUP(X461,'[1]Simulation pricing per sub assy'!$D:$E,2,0))*Y461</f>
        <v>4.4802908000000006</v>
      </c>
    </row>
    <row r="462" spans="1:27" x14ac:dyDescent="0.35">
      <c r="A462" s="13" t="s">
        <v>719</v>
      </c>
      <c r="B462" s="13" t="s">
        <v>720</v>
      </c>
      <c r="C462" s="42">
        <f t="shared" si="7"/>
        <v>283.04669080000002</v>
      </c>
      <c r="D462" s="20" t="s">
        <v>43</v>
      </c>
      <c r="E462" s="20">
        <v>2</v>
      </c>
      <c r="F462" s="20" t="s">
        <v>3983</v>
      </c>
      <c r="G462" s="14">
        <f>(VLOOKUP(D462,'[1]BOM Info General'!$A:$L,12,0))*E462</f>
        <v>130.12</v>
      </c>
      <c r="H462" s="21" t="s">
        <v>40</v>
      </c>
      <c r="I462" s="21">
        <v>1</v>
      </c>
      <c r="J462" s="21" t="s">
        <v>45</v>
      </c>
      <c r="K462" s="15">
        <f>(VLOOKUP(H462,'[1]BOM Info General'!$A:$L,12,0))*I462</f>
        <v>25.59</v>
      </c>
      <c r="L462" s="22" t="s">
        <v>524</v>
      </c>
      <c r="M462" s="22">
        <v>1</v>
      </c>
      <c r="N462" s="22" t="s">
        <v>70</v>
      </c>
      <c r="O462" s="9">
        <f>(VLOOKUP(L462,'[1]Simulation pricing per sub assy'!$D:$E,2,0))*M462</f>
        <v>94.656400000000033</v>
      </c>
      <c r="P462" s="23" t="s">
        <v>51</v>
      </c>
      <c r="Q462" s="23">
        <v>8</v>
      </c>
      <c r="R462" s="23" t="s">
        <v>17</v>
      </c>
      <c r="S462" s="40">
        <f>(VLOOKUP(P462,'[1]BOM Info General'!$A:$L,12,0))*Q462</f>
        <v>21.2</v>
      </c>
      <c r="T462" s="24" t="s">
        <v>28</v>
      </c>
      <c r="U462" s="17">
        <v>1</v>
      </c>
      <c r="V462" s="24" t="s">
        <v>29</v>
      </c>
      <c r="W462" s="17">
        <f>(VLOOKUP(T462,'[1]Simulation pricing per sub assy'!$D:$E,2,0))*U462</f>
        <v>7</v>
      </c>
      <c r="X462" s="25" t="s">
        <v>616</v>
      </c>
      <c r="Y462" s="25">
        <v>1</v>
      </c>
      <c r="Z462" s="25" t="s">
        <v>23</v>
      </c>
      <c r="AA462" s="18">
        <f>(VLOOKUP(X462,'[1]Simulation pricing per sub assy'!$D:$E,2,0))*Y462</f>
        <v>4.4802908000000006</v>
      </c>
    </row>
    <row r="463" spans="1:27" x14ac:dyDescent="0.35">
      <c r="A463" s="13" t="s">
        <v>647</v>
      </c>
      <c r="B463" s="13" t="s">
        <v>648</v>
      </c>
      <c r="C463" s="42">
        <f t="shared" si="7"/>
        <v>284.14669080000004</v>
      </c>
      <c r="D463" s="20" t="s">
        <v>43</v>
      </c>
      <c r="E463" s="20">
        <v>2</v>
      </c>
      <c r="F463" s="20" t="s">
        <v>3983</v>
      </c>
      <c r="G463" s="14">
        <f>(VLOOKUP(D463,'[1]BOM Info General'!$A:$L,12,0))*E463</f>
        <v>130.12</v>
      </c>
      <c r="H463" s="21" t="s">
        <v>40</v>
      </c>
      <c r="I463" s="21">
        <v>1</v>
      </c>
      <c r="J463" s="21" t="s">
        <v>45</v>
      </c>
      <c r="K463" s="15">
        <f>(VLOOKUP(H463,'[1]BOM Info General'!$A:$L,12,0))*I463</f>
        <v>25.59</v>
      </c>
      <c r="L463" s="22" t="s">
        <v>67</v>
      </c>
      <c r="M463" s="22">
        <v>1</v>
      </c>
      <c r="N463" s="22" t="s">
        <v>64</v>
      </c>
      <c r="O463" s="9">
        <f>(VLOOKUP(L463,'[1]Simulation pricing per sub assy'!$D:$E,2,0))*M463</f>
        <v>95.756400000000042</v>
      </c>
      <c r="P463" s="23" t="s">
        <v>51</v>
      </c>
      <c r="Q463" s="23">
        <v>8</v>
      </c>
      <c r="R463" s="23" t="s">
        <v>17</v>
      </c>
      <c r="S463" s="40">
        <f>(VLOOKUP(P463,'[1]BOM Info General'!$A:$L,12,0))*Q463</f>
        <v>21.2</v>
      </c>
      <c r="T463" s="24" t="s">
        <v>28</v>
      </c>
      <c r="U463" s="17">
        <v>1</v>
      </c>
      <c r="V463" s="24" t="s">
        <v>29</v>
      </c>
      <c r="W463" s="17">
        <f>(VLOOKUP(T463,'[1]Simulation pricing per sub assy'!$D:$E,2,0))*U463</f>
        <v>7</v>
      </c>
      <c r="X463" s="25" t="s">
        <v>616</v>
      </c>
      <c r="Y463" s="25">
        <v>1</v>
      </c>
      <c r="Z463" s="25" t="s">
        <v>23</v>
      </c>
      <c r="AA463" s="18">
        <f>(VLOOKUP(X463,'[1]Simulation pricing per sub assy'!$D:$E,2,0))*Y463</f>
        <v>4.4802908000000006</v>
      </c>
    </row>
    <row r="464" spans="1:27" x14ac:dyDescent="0.35">
      <c r="A464" s="13" t="s">
        <v>683</v>
      </c>
      <c r="B464" s="13" t="s">
        <v>684</v>
      </c>
      <c r="C464" s="42">
        <f t="shared" si="7"/>
        <v>284.14669080000004</v>
      </c>
      <c r="D464" s="20" t="s">
        <v>43</v>
      </c>
      <c r="E464" s="20">
        <v>2</v>
      </c>
      <c r="F464" s="20" t="s">
        <v>3983</v>
      </c>
      <c r="G464" s="14">
        <f>(VLOOKUP(D464,'[1]BOM Info General'!$A:$L,12,0))*E464</f>
        <v>130.12</v>
      </c>
      <c r="H464" s="21" t="s">
        <v>40</v>
      </c>
      <c r="I464" s="21">
        <v>1</v>
      </c>
      <c r="J464" s="21" t="s">
        <v>45</v>
      </c>
      <c r="K464" s="15">
        <f>(VLOOKUP(H464,'[1]BOM Info General'!$A:$L,12,0))*I464</f>
        <v>25.59</v>
      </c>
      <c r="L464" s="22" t="s">
        <v>63</v>
      </c>
      <c r="M464" s="22">
        <v>1</v>
      </c>
      <c r="N464" s="22" t="s">
        <v>62</v>
      </c>
      <c r="O464" s="9">
        <f>(VLOOKUP(L464,'[1]Simulation pricing per sub assy'!$D:$E,2,0))*M464</f>
        <v>95.756400000000042</v>
      </c>
      <c r="P464" s="23" t="s">
        <v>51</v>
      </c>
      <c r="Q464" s="23">
        <v>8</v>
      </c>
      <c r="R464" s="23" t="s">
        <v>17</v>
      </c>
      <c r="S464" s="40">
        <f>(VLOOKUP(P464,'[1]BOM Info General'!$A:$L,12,0))*Q464</f>
        <v>21.2</v>
      </c>
      <c r="T464" s="24" t="s">
        <v>28</v>
      </c>
      <c r="U464" s="17">
        <v>1</v>
      </c>
      <c r="V464" s="24" t="s">
        <v>29</v>
      </c>
      <c r="W464" s="17">
        <f>(VLOOKUP(T464,'[1]Simulation pricing per sub assy'!$D:$E,2,0))*U464</f>
        <v>7</v>
      </c>
      <c r="X464" s="25" t="s">
        <v>616</v>
      </c>
      <c r="Y464" s="25">
        <v>1</v>
      </c>
      <c r="Z464" s="25" t="s">
        <v>23</v>
      </c>
      <c r="AA464" s="18">
        <f>(VLOOKUP(X464,'[1]Simulation pricing per sub assy'!$D:$E,2,0))*Y464</f>
        <v>4.4802908000000006</v>
      </c>
    </row>
    <row r="465" spans="1:27" x14ac:dyDescent="0.35">
      <c r="A465" s="13" t="s">
        <v>665</v>
      </c>
      <c r="B465" s="13" t="s">
        <v>666</v>
      </c>
      <c r="C465" s="42">
        <f t="shared" si="7"/>
        <v>283.59669080000003</v>
      </c>
      <c r="D465" s="20" t="s">
        <v>43</v>
      </c>
      <c r="E465" s="20">
        <v>2</v>
      </c>
      <c r="F465" s="20" t="s">
        <v>3983</v>
      </c>
      <c r="G465" s="14">
        <f>(VLOOKUP(D465,'[1]BOM Info General'!$A:$L,12,0))*E465</f>
        <v>130.12</v>
      </c>
      <c r="H465" s="21" t="s">
        <v>40</v>
      </c>
      <c r="I465" s="21">
        <v>1</v>
      </c>
      <c r="J465" s="21" t="s">
        <v>45</v>
      </c>
      <c r="K465" s="15">
        <f>(VLOOKUP(H465,'[1]BOM Info General'!$A:$L,12,0))*I465</f>
        <v>25.59</v>
      </c>
      <c r="L465" s="22" t="s">
        <v>69</v>
      </c>
      <c r="M465" s="22">
        <v>1</v>
      </c>
      <c r="N465" s="22" t="s">
        <v>66</v>
      </c>
      <c r="O465" s="9">
        <f>(VLOOKUP(L465,'[1]Simulation pricing per sub assy'!$D:$E,2,0))*M465</f>
        <v>95.206400000000031</v>
      </c>
      <c r="P465" s="23" t="s">
        <v>51</v>
      </c>
      <c r="Q465" s="23">
        <v>8</v>
      </c>
      <c r="R465" s="23" t="s">
        <v>17</v>
      </c>
      <c r="S465" s="40">
        <f>(VLOOKUP(P465,'[1]BOM Info General'!$A:$L,12,0))*Q465</f>
        <v>21.2</v>
      </c>
      <c r="T465" s="24" t="s">
        <v>28</v>
      </c>
      <c r="U465" s="17">
        <v>1</v>
      </c>
      <c r="V465" s="24" t="s">
        <v>29</v>
      </c>
      <c r="W465" s="17">
        <f>(VLOOKUP(T465,'[1]Simulation pricing per sub assy'!$D:$E,2,0))*U465</f>
        <v>7</v>
      </c>
      <c r="X465" s="25" t="s">
        <v>616</v>
      </c>
      <c r="Y465" s="25">
        <v>1</v>
      </c>
      <c r="Z465" s="25" t="s">
        <v>23</v>
      </c>
      <c r="AA465" s="18">
        <f>(VLOOKUP(X465,'[1]Simulation pricing per sub assy'!$D:$E,2,0))*Y465</f>
        <v>4.4802908000000006</v>
      </c>
    </row>
    <row r="466" spans="1:27" x14ac:dyDescent="0.35">
      <c r="A466" s="13" t="s">
        <v>701</v>
      </c>
      <c r="B466" s="13" t="s">
        <v>702</v>
      </c>
      <c r="C466" s="42">
        <f t="shared" si="7"/>
        <v>291.55669080000001</v>
      </c>
      <c r="D466" s="20" t="s">
        <v>43</v>
      </c>
      <c r="E466" s="20">
        <v>2</v>
      </c>
      <c r="F466" s="20" t="s">
        <v>3983</v>
      </c>
      <c r="G466" s="14">
        <f>(VLOOKUP(D466,'[1]BOM Info General'!$A:$L,12,0))*E466</f>
        <v>130.12</v>
      </c>
      <c r="H466" s="21" t="s">
        <v>40</v>
      </c>
      <c r="I466" s="21">
        <v>1</v>
      </c>
      <c r="J466" s="21" t="s">
        <v>45</v>
      </c>
      <c r="K466" s="15">
        <f>(VLOOKUP(H466,'[1]BOM Info General'!$A:$L,12,0))*I466</f>
        <v>25.59</v>
      </c>
      <c r="L466" s="22" t="s">
        <v>65</v>
      </c>
      <c r="M466" s="22">
        <v>1</v>
      </c>
      <c r="N466" s="22" t="s">
        <v>68</v>
      </c>
      <c r="O466" s="9">
        <f>(VLOOKUP(L466,'[1]Simulation pricing per sub assy'!$D:$E,2,0))*M466</f>
        <v>103.16640000000004</v>
      </c>
      <c r="P466" s="23" t="s">
        <v>51</v>
      </c>
      <c r="Q466" s="23">
        <v>8</v>
      </c>
      <c r="R466" s="23" t="s">
        <v>17</v>
      </c>
      <c r="S466" s="40">
        <f>(VLOOKUP(P466,'[1]BOM Info General'!$A:$L,12,0))*Q466</f>
        <v>21.2</v>
      </c>
      <c r="T466" s="24" t="s">
        <v>28</v>
      </c>
      <c r="U466" s="17">
        <v>1</v>
      </c>
      <c r="V466" s="24" t="s">
        <v>29</v>
      </c>
      <c r="W466" s="17">
        <f>(VLOOKUP(T466,'[1]Simulation pricing per sub assy'!$D:$E,2,0))*U466</f>
        <v>7</v>
      </c>
      <c r="X466" s="25" t="s">
        <v>616</v>
      </c>
      <c r="Y466" s="25">
        <v>1</v>
      </c>
      <c r="Z466" s="25" t="s">
        <v>23</v>
      </c>
      <c r="AA466" s="18">
        <f>(VLOOKUP(X466,'[1]Simulation pricing per sub assy'!$D:$E,2,0))*Y466</f>
        <v>4.4802908000000006</v>
      </c>
    </row>
    <row r="467" spans="1:27" x14ac:dyDescent="0.35">
      <c r="A467" s="13" t="s">
        <v>721</v>
      </c>
      <c r="B467" s="13" t="s">
        <v>722</v>
      </c>
      <c r="C467" s="42">
        <f t="shared" si="7"/>
        <v>282.48669080000002</v>
      </c>
      <c r="D467" s="20" t="s">
        <v>43</v>
      </c>
      <c r="E467" s="20">
        <v>2</v>
      </c>
      <c r="F467" s="20" t="s">
        <v>3983</v>
      </c>
      <c r="G467" s="14">
        <f>(VLOOKUP(D467,'[1]BOM Info General'!$A:$L,12,0))*E467</f>
        <v>130.12</v>
      </c>
      <c r="H467" s="21" t="s">
        <v>40</v>
      </c>
      <c r="I467" s="21">
        <v>1</v>
      </c>
      <c r="J467" s="21" t="s">
        <v>45</v>
      </c>
      <c r="K467" s="15">
        <f>(VLOOKUP(H467,'[1]BOM Info General'!$A:$L,12,0))*I467</f>
        <v>25.59</v>
      </c>
      <c r="L467" s="22" t="s">
        <v>524</v>
      </c>
      <c r="M467" s="22">
        <v>1</v>
      </c>
      <c r="N467" s="22" t="s">
        <v>70</v>
      </c>
      <c r="O467" s="9">
        <f>(VLOOKUP(L467,'[1]Simulation pricing per sub assy'!$D:$E,2,0))*M467</f>
        <v>94.656400000000033</v>
      </c>
      <c r="P467" s="23" t="s">
        <v>52</v>
      </c>
      <c r="Q467" s="23">
        <v>8</v>
      </c>
      <c r="R467" s="23" t="s">
        <v>18</v>
      </c>
      <c r="S467" s="40">
        <f>(VLOOKUP(P467,'[1]BOM Info General'!$A:$L,12,0))*Q467</f>
        <v>21.2</v>
      </c>
      <c r="T467" s="24" t="s">
        <v>24</v>
      </c>
      <c r="U467" s="17">
        <v>1</v>
      </c>
      <c r="V467" s="24" t="s">
        <v>25</v>
      </c>
      <c r="W467" s="17">
        <f>(VLOOKUP(T467,'[1]Simulation pricing per sub assy'!$D:$E,2,0))*U467</f>
        <v>6.44</v>
      </c>
      <c r="X467" s="25" t="s">
        <v>616</v>
      </c>
      <c r="Y467" s="25">
        <v>1</v>
      </c>
      <c r="Z467" s="25" t="s">
        <v>23</v>
      </c>
      <c r="AA467" s="18">
        <f>(VLOOKUP(X467,'[1]Simulation pricing per sub assy'!$D:$E,2,0))*Y467</f>
        <v>4.4802908000000006</v>
      </c>
    </row>
    <row r="468" spans="1:27" x14ac:dyDescent="0.35">
      <c r="A468" s="13" t="s">
        <v>649</v>
      </c>
      <c r="B468" s="13" t="s">
        <v>650</v>
      </c>
      <c r="C468" s="42">
        <f t="shared" si="7"/>
        <v>283.58669080000004</v>
      </c>
      <c r="D468" s="20" t="s">
        <v>43</v>
      </c>
      <c r="E468" s="20">
        <v>2</v>
      </c>
      <c r="F468" s="20" t="s">
        <v>3983</v>
      </c>
      <c r="G468" s="14">
        <f>(VLOOKUP(D468,'[1]BOM Info General'!$A:$L,12,0))*E468</f>
        <v>130.12</v>
      </c>
      <c r="H468" s="21" t="s">
        <v>40</v>
      </c>
      <c r="I468" s="21">
        <v>1</v>
      </c>
      <c r="J468" s="21" t="s">
        <v>45</v>
      </c>
      <c r="K468" s="15">
        <f>(VLOOKUP(H468,'[1]BOM Info General'!$A:$L,12,0))*I468</f>
        <v>25.59</v>
      </c>
      <c r="L468" s="22" t="s">
        <v>67</v>
      </c>
      <c r="M468" s="22">
        <v>1</v>
      </c>
      <c r="N468" s="22" t="s">
        <v>64</v>
      </c>
      <c r="O468" s="9">
        <f>(VLOOKUP(L468,'[1]Simulation pricing per sub assy'!$D:$E,2,0))*M468</f>
        <v>95.756400000000042</v>
      </c>
      <c r="P468" s="23" t="s">
        <v>52</v>
      </c>
      <c r="Q468" s="23">
        <v>8</v>
      </c>
      <c r="R468" s="23" t="s">
        <v>18</v>
      </c>
      <c r="S468" s="40">
        <f>(VLOOKUP(P468,'[1]BOM Info General'!$A:$L,12,0))*Q468</f>
        <v>21.2</v>
      </c>
      <c r="T468" s="24" t="s">
        <v>24</v>
      </c>
      <c r="U468" s="17">
        <v>1</v>
      </c>
      <c r="V468" s="24" t="s">
        <v>25</v>
      </c>
      <c r="W468" s="17">
        <f>(VLOOKUP(T468,'[1]Simulation pricing per sub assy'!$D:$E,2,0))*U468</f>
        <v>6.44</v>
      </c>
      <c r="X468" s="25" t="s">
        <v>616</v>
      </c>
      <c r="Y468" s="25">
        <v>1</v>
      </c>
      <c r="Z468" s="25" t="s">
        <v>23</v>
      </c>
      <c r="AA468" s="18">
        <f>(VLOOKUP(X468,'[1]Simulation pricing per sub assy'!$D:$E,2,0))*Y468</f>
        <v>4.4802908000000006</v>
      </c>
    </row>
    <row r="469" spans="1:27" x14ac:dyDescent="0.35">
      <c r="A469" s="13" t="s">
        <v>685</v>
      </c>
      <c r="B469" s="13" t="s">
        <v>686</v>
      </c>
      <c r="C469" s="42">
        <f t="shared" si="7"/>
        <v>283.58669080000004</v>
      </c>
      <c r="D469" s="20" t="s">
        <v>43</v>
      </c>
      <c r="E469" s="20">
        <v>2</v>
      </c>
      <c r="F469" s="20" t="s">
        <v>3983</v>
      </c>
      <c r="G469" s="14">
        <f>(VLOOKUP(D469,'[1]BOM Info General'!$A:$L,12,0))*E469</f>
        <v>130.12</v>
      </c>
      <c r="H469" s="21" t="s">
        <v>40</v>
      </c>
      <c r="I469" s="21">
        <v>1</v>
      </c>
      <c r="J469" s="21" t="s">
        <v>45</v>
      </c>
      <c r="K469" s="15">
        <f>(VLOOKUP(H469,'[1]BOM Info General'!$A:$L,12,0))*I469</f>
        <v>25.59</v>
      </c>
      <c r="L469" s="22" t="s">
        <v>63</v>
      </c>
      <c r="M469" s="22">
        <v>1</v>
      </c>
      <c r="N469" s="22" t="s">
        <v>62</v>
      </c>
      <c r="O469" s="9">
        <f>(VLOOKUP(L469,'[1]Simulation pricing per sub assy'!$D:$E,2,0))*M469</f>
        <v>95.756400000000042</v>
      </c>
      <c r="P469" s="23" t="s">
        <v>52</v>
      </c>
      <c r="Q469" s="23">
        <v>8</v>
      </c>
      <c r="R469" s="23" t="s">
        <v>18</v>
      </c>
      <c r="S469" s="40">
        <f>(VLOOKUP(P469,'[1]BOM Info General'!$A:$L,12,0))*Q469</f>
        <v>21.2</v>
      </c>
      <c r="T469" s="24" t="s">
        <v>24</v>
      </c>
      <c r="U469" s="17">
        <v>1</v>
      </c>
      <c r="V469" s="24" t="s">
        <v>25</v>
      </c>
      <c r="W469" s="17">
        <f>(VLOOKUP(T469,'[1]Simulation pricing per sub assy'!$D:$E,2,0))*U469</f>
        <v>6.44</v>
      </c>
      <c r="X469" s="25" t="s">
        <v>616</v>
      </c>
      <c r="Y469" s="25">
        <v>1</v>
      </c>
      <c r="Z469" s="25" t="s">
        <v>23</v>
      </c>
      <c r="AA469" s="18">
        <f>(VLOOKUP(X469,'[1]Simulation pricing per sub assy'!$D:$E,2,0))*Y469</f>
        <v>4.4802908000000006</v>
      </c>
    </row>
    <row r="470" spans="1:27" x14ac:dyDescent="0.35">
      <c r="A470" s="13" t="s">
        <v>667</v>
      </c>
      <c r="B470" s="13" t="s">
        <v>668</v>
      </c>
      <c r="C470" s="42">
        <f t="shared" si="7"/>
        <v>283.03669080000003</v>
      </c>
      <c r="D470" s="20" t="s">
        <v>43</v>
      </c>
      <c r="E470" s="20">
        <v>2</v>
      </c>
      <c r="F470" s="20" t="s">
        <v>3983</v>
      </c>
      <c r="G470" s="14">
        <f>(VLOOKUP(D470,'[1]BOM Info General'!$A:$L,12,0))*E470</f>
        <v>130.12</v>
      </c>
      <c r="H470" s="21" t="s">
        <v>40</v>
      </c>
      <c r="I470" s="21">
        <v>1</v>
      </c>
      <c r="J470" s="21" t="s">
        <v>45</v>
      </c>
      <c r="K470" s="15">
        <f>(VLOOKUP(H470,'[1]BOM Info General'!$A:$L,12,0))*I470</f>
        <v>25.59</v>
      </c>
      <c r="L470" s="22" t="s">
        <v>69</v>
      </c>
      <c r="M470" s="22">
        <v>1</v>
      </c>
      <c r="N470" s="22" t="s">
        <v>66</v>
      </c>
      <c r="O470" s="9">
        <f>(VLOOKUP(L470,'[1]Simulation pricing per sub assy'!$D:$E,2,0))*M470</f>
        <v>95.206400000000031</v>
      </c>
      <c r="P470" s="23" t="s">
        <v>52</v>
      </c>
      <c r="Q470" s="23">
        <v>8</v>
      </c>
      <c r="R470" s="23" t="s">
        <v>18</v>
      </c>
      <c r="S470" s="40">
        <f>(VLOOKUP(P470,'[1]BOM Info General'!$A:$L,12,0))*Q470</f>
        <v>21.2</v>
      </c>
      <c r="T470" s="24" t="s">
        <v>24</v>
      </c>
      <c r="U470" s="17">
        <v>1</v>
      </c>
      <c r="V470" s="24" t="s">
        <v>25</v>
      </c>
      <c r="W470" s="17">
        <f>(VLOOKUP(T470,'[1]Simulation pricing per sub assy'!$D:$E,2,0))*U470</f>
        <v>6.44</v>
      </c>
      <c r="X470" s="25" t="s">
        <v>616</v>
      </c>
      <c r="Y470" s="25">
        <v>1</v>
      </c>
      <c r="Z470" s="25" t="s">
        <v>23</v>
      </c>
      <c r="AA470" s="18">
        <f>(VLOOKUP(X470,'[1]Simulation pricing per sub assy'!$D:$E,2,0))*Y470</f>
        <v>4.4802908000000006</v>
      </c>
    </row>
    <row r="471" spans="1:27" x14ac:dyDescent="0.35">
      <c r="A471" s="13" t="s">
        <v>703</v>
      </c>
      <c r="B471" s="13" t="s">
        <v>704</v>
      </c>
      <c r="C471" s="42">
        <f t="shared" si="7"/>
        <v>290.99669080000001</v>
      </c>
      <c r="D471" s="20" t="s">
        <v>43</v>
      </c>
      <c r="E471" s="20">
        <v>2</v>
      </c>
      <c r="F471" s="20" t="s">
        <v>3983</v>
      </c>
      <c r="G471" s="14">
        <f>(VLOOKUP(D471,'[1]BOM Info General'!$A:$L,12,0))*E471</f>
        <v>130.12</v>
      </c>
      <c r="H471" s="21" t="s">
        <v>40</v>
      </c>
      <c r="I471" s="21">
        <v>1</v>
      </c>
      <c r="J471" s="21" t="s">
        <v>45</v>
      </c>
      <c r="K471" s="15">
        <f>(VLOOKUP(H471,'[1]BOM Info General'!$A:$L,12,0))*I471</f>
        <v>25.59</v>
      </c>
      <c r="L471" s="22" t="s">
        <v>65</v>
      </c>
      <c r="M471" s="22">
        <v>1</v>
      </c>
      <c r="N471" s="22" t="s">
        <v>68</v>
      </c>
      <c r="O471" s="9">
        <f>(VLOOKUP(L471,'[1]Simulation pricing per sub assy'!$D:$E,2,0))*M471</f>
        <v>103.16640000000004</v>
      </c>
      <c r="P471" s="23" t="s">
        <v>52</v>
      </c>
      <c r="Q471" s="23">
        <v>8</v>
      </c>
      <c r="R471" s="23" t="s">
        <v>18</v>
      </c>
      <c r="S471" s="40">
        <f>(VLOOKUP(P471,'[1]BOM Info General'!$A:$L,12,0))*Q471</f>
        <v>21.2</v>
      </c>
      <c r="T471" s="24" t="s">
        <v>24</v>
      </c>
      <c r="U471" s="17">
        <v>1</v>
      </c>
      <c r="V471" s="24" t="s">
        <v>25</v>
      </c>
      <c r="W471" s="17">
        <f>(VLOOKUP(T471,'[1]Simulation pricing per sub assy'!$D:$E,2,0))*U471</f>
        <v>6.44</v>
      </c>
      <c r="X471" s="25" t="s">
        <v>616</v>
      </c>
      <c r="Y471" s="25">
        <v>1</v>
      </c>
      <c r="Z471" s="25" t="s">
        <v>23</v>
      </c>
      <c r="AA471" s="18">
        <f>(VLOOKUP(X471,'[1]Simulation pricing per sub assy'!$D:$E,2,0))*Y471</f>
        <v>4.4802908000000006</v>
      </c>
    </row>
    <row r="472" spans="1:27" x14ac:dyDescent="0.35">
      <c r="A472" s="13" t="s">
        <v>723</v>
      </c>
      <c r="B472" s="13" t="s">
        <v>724</v>
      </c>
      <c r="C472" s="42">
        <f t="shared" si="7"/>
        <v>283.08669080000004</v>
      </c>
      <c r="D472" s="20" t="s">
        <v>43</v>
      </c>
      <c r="E472" s="20">
        <v>2</v>
      </c>
      <c r="F472" s="20" t="s">
        <v>3983</v>
      </c>
      <c r="G472" s="14">
        <f>(VLOOKUP(D472,'[1]BOM Info General'!$A:$L,12,0))*E472</f>
        <v>130.12</v>
      </c>
      <c r="H472" s="21" t="s">
        <v>40</v>
      </c>
      <c r="I472" s="21">
        <v>1</v>
      </c>
      <c r="J472" s="21" t="s">
        <v>45</v>
      </c>
      <c r="K472" s="15">
        <f>(VLOOKUP(H472,'[1]BOM Info General'!$A:$L,12,0))*I472</f>
        <v>25.59</v>
      </c>
      <c r="L472" s="22" t="s">
        <v>524</v>
      </c>
      <c r="M472" s="22">
        <v>1</v>
      </c>
      <c r="N472" s="22" t="s">
        <v>70</v>
      </c>
      <c r="O472" s="9">
        <f>(VLOOKUP(L472,'[1]Simulation pricing per sub assy'!$D:$E,2,0))*M472</f>
        <v>94.656400000000033</v>
      </c>
      <c r="P472" s="23" t="s">
        <v>52</v>
      </c>
      <c r="Q472" s="23">
        <v>8</v>
      </c>
      <c r="R472" s="23" t="s">
        <v>18</v>
      </c>
      <c r="S472" s="40">
        <f>(VLOOKUP(P472,'[1]BOM Info General'!$A:$L,12,0))*Q472</f>
        <v>21.2</v>
      </c>
      <c r="T472" s="24" t="s">
        <v>26</v>
      </c>
      <c r="U472" s="17">
        <v>1</v>
      </c>
      <c r="V472" s="24" t="s">
        <v>27</v>
      </c>
      <c r="W472" s="17">
        <f>(VLOOKUP(T472,'[1]Simulation pricing per sub assy'!$D:$E,2,0))*U472</f>
        <v>7.04</v>
      </c>
      <c r="X472" s="25" t="s">
        <v>616</v>
      </c>
      <c r="Y472" s="25">
        <v>1</v>
      </c>
      <c r="Z472" s="25" t="s">
        <v>23</v>
      </c>
      <c r="AA472" s="18">
        <f>(VLOOKUP(X472,'[1]Simulation pricing per sub assy'!$D:$E,2,0))*Y472</f>
        <v>4.4802908000000006</v>
      </c>
    </row>
    <row r="473" spans="1:27" x14ac:dyDescent="0.35">
      <c r="A473" s="13" t="s">
        <v>651</v>
      </c>
      <c r="B473" s="13" t="s">
        <v>652</v>
      </c>
      <c r="C473" s="42">
        <f t="shared" si="7"/>
        <v>284.18669080000006</v>
      </c>
      <c r="D473" s="20" t="s">
        <v>43</v>
      </c>
      <c r="E473" s="20">
        <v>2</v>
      </c>
      <c r="F473" s="20" t="s">
        <v>3983</v>
      </c>
      <c r="G473" s="14">
        <f>(VLOOKUP(D473,'[1]BOM Info General'!$A:$L,12,0))*E473</f>
        <v>130.12</v>
      </c>
      <c r="H473" s="21" t="s">
        <v>40</v>
      </c>
      <c r="I473" s="21">
        <v>1</v>
      </c>
      <c r="J473" s="21" t="s">
        <v>45</v>
      </c>
      <c r="K473" s="15">
        <f>(VLOOKUP(H473,'[1]BOM Info General'!$A:$L,12,0))*I473</f>
        <v>25.59</v>
      </c>
      <c r="L473" s="22" t="s">
        <v>67</v>
      </c>
      <c r="M473" s="22">
        <v>1</v>
      </c>
      <c r="N473" s="22" t="s">
        <v>64</v>
      </c>
      <c r="O473" s="9">
        <f>(VLOOKUP(L473,'[1]Simulation pricing per sub assy'!$D:$E,2,0))*M473</f>
        <v>95.756400000000042</v>
      </c>
      <c r="P473" s="23" t="s">
        <v>52</v>
      </c>
      <c r="Q473" s="23">
        <v>8</v>
      </c>
      <c r="R473" s="23" t="s">
        <v>18</v>
      </c>
      <c r="S473" s="40">
        <f>(VLOOKUP(P473,'[1]BOM Info General'!$A:$L,12,0))*Q473</f>
        <v>21.2</v>
      </c>
      <c r="T473" s="24" t="s">
        <v>26</v>
      </c>
      <c r="U473" s="17">
        <v>1</v>
      </c>
      <c r="V473" s="24" t="s">
        <v>27</v>
      </c>
      <c r="W473" s="17">
        <f>(VLOOKUP(T473,'[1]Simulation pricing per sub assy'!$D:$E,2,0))*U473</f>
        <v>7.04</v>
      </c>
      <c r="X473" s="25" t="s">
        <v>616</v>
      </c>
      <c r="Y473" s="25">
        <v>1</v>
      </c>
      <c r="Z473" s="25" t="s">
        <v>23</v>
      </c>
      <c r="AA473" s="18">
        <f>(VLOOKUP(X473,'[1]Simulation pricing per sub assy'!$D:$E,2,0))*Y473</f>
        <v>4.4802908000000006</v>
      </c>
    </row>
    <row r="474" spans="1:27" x14ac:dyDescent="0.35">
      <c r="A474" s="13" t="s">
        <v>687</v>
      </c>
      <c r="B474" s="13" t="s">
        <v>688</v>
      </c>
      <c r="C474" s="42">
        <f t="shared" si="7"/>
        <v>284.18669080000006</v>
      </c>
      <c r="D474" s="20" t="s">
        <v>43</v>
      </c>
      <c r="E474" s="20">
        <v>2</v>
      </c>
      <c r="F474" s="20" t="s">
        <v>3983</v>
      </c>
      <c r="G474" s="14">
        <f>(VLOOKUP(D474,'[1]BOM Info General'!$A:$L,12,0))*E474</f>
        <v>130.12</v>
      </c>
      <c r="H474" s="21" t="s">
        <v>40</v>
      </c>
      <c r="I474" s="21">
        <v>1</v>
      </c>
      <c r="J474" s="21" t="s">
        <v>45</v>
      </c>
      <c r="K474" s="15">
        <f>(VLOOKUP(H474,'[1]BOM Info General'!$A:$L,12,0))*I474</f>
        <v>25.59</v>
      </c>
      <c r="L474" s="22" t="s">
        <v>63</v>
      </c>
      <c r="M474" s="22">
        <v>1</v>
      </c>
      <c r="N474" s="22" t="s">
        <v>62</v>
      </c>
      <c r="O474" s="9">
        <f>(VLOOKUP(L474,'[1]Simulation pricing per sub assy'!$D:$E,2,0))*M474</f>
        <v>95.756400000000042</v>
      </c>
      <c r="P474" s="23" t="s">
        <v>52</v>
      </c>
      <c r="Q474" s="23">
        <v>8</v>
      </c>
      <c r="R474" s="23" t="s">
        <v>18</v>
      </c>
      <c r="S474" s="40">
        <f>(VLOOKUP(P474,'[1]BOM Info General'!$A:$L,12,0))*Q474</f>
        <v>21.2</v>
      </c>
      <c r="T474" s="24" t="s">
        <v>26</v>
      </c>
      <c r="U474" s="17">
        <v>1</v>
      </c>
      <c r="V474" s="24" t="s">
        <v>27</v>
      </c>
      <c r="W474" s="17">
        <f>(VLOOKUP(T474,'[1]Simulation pricing per sub assy'!$D:$E,2,0))*U474</f>
        <v>7.04</v>
      </c>
      <c r="X474" s="25" t="s">
        <v>616</v>
      </c>
      <c r="Y474" s="25">
        <v>1</v>
      </c>
      <c r="Z474" s="25" t="s">
        <v>23</v>
      </c>
      <c r="AA474" s="18">
        <f>(VLOOKUP(X474,'[1]Simulation pricing per sub assy'!$D:$E,2,0))*Y474</f>
        <v>4.4802908000000006</v>
      </c>
    </row>
    <row r="475" spans="1:27" x14ac:dyDescent="0.35">
      <c r="A475" s="13" t="s">
        <v>669</v>
      </c>
      <c r="B475" s="13" t="s">
        <v>670</v>
      </c>
      <c r="C475" s="42">
        <f t="shared" si="7"/>
        <v>283.63669080000005</v>
      </c>
      <c r="D475" s="20" t="s">
        <v>43</v>
      </c>
      <c r="E475" s="20">
        <v>2</v>
      </c>
      <c r="F475" s="20" t="s">
        <v>3983</v>
      </c>
      <c r="G475" s="14">
        <f>(VLOOKUP(D475,'[1]BOM Info General'!$A:$L,12,0))*E475</f>
        <v>130.12</v>
      </c>
      <c r="H475" s="21" t="s">
        <v>40</v>
      </c>
      <c r="I475" s="21">
        <v>1</v>
      </c>
      <c r="J475" s="21" t="s">
        <v>45</v>
      </c>
      <c r="K475" s="15">
        <f>(VLOOKUP(H475,'[1]BOM Info General'!$A:$L,12,0))*I475</f>
        <v>25.59</v>
      </c>
      <c r="L475" s="22" t="s">
        <v>69</v>
      </c>
      <c r="M475" s="22">
        <v>1</v>
      </c>
      <c r="N475" s="22" t="s">
        <v>66</v>
      </c>
      <c r="O475" s="9">
        <f>(VLOOKUP(L475,'[1]Simulation pricing per sub assy'!$D:$E,2,0))*M475</f>
        <v>95.206400000000031</v>
      </c>
      <c r="P475" s="23" t="s">
        <v>52</v>
      </c>
      <c r="Q475" s="23">
        <v>8</v>
      </c>
      <c r="R475" s="23" t="s">
        <v>18</v>
      </c>
      <c r="S475" s="40">
        <f>(VLOOKUP(P475,'[1]BOM Info General'!$A:$L,12,0))*Q475</f>
        <v>21.2</v>
      </c>
      <c r="T475" s="24" t="s">
        <v>26</v>
      </c>
      <c r="U475" s="17">
        <v>1</v>
      </c>
      <c r="V475" s="24" t="s">
        <v>27</v>
      </c>
      <c r="W475" s="17">
        <f>(VLOOKUP(T475,'[1]Simulation pricing per sub assy'!$D:$E,2,0))*U475</f>
        <v>7.04</v>
      </c>
      <c r="X475" s="25" t="s">
        <v>616</v>
      </c>
      <c r="Y475" s="25">
        <v>1</v>
      </c>
      <c r="Z475" s="25" t="s">
        <v>23</v>
      </c>
      <c r="AA475" s="18">
        <f>(VLOOKUP(X475,'[1]Simulation pricing per sub assy'!$D:$E,2,0))*Y475</f>
        <v>4.4802908000000006</v>
      </c>
    </row>
    <row r="476" spans="1:27" x14ac:dyDescent="0.35">
      <c r="A476" s="13" t="s">
        <v>705</v>
      </c>
      <c r="B476" s="13" t="s">
        <v>706</v>
      </c>
      <c r="C476" s="42">
        <f t="shared" si="7"/>
        <v>291.59669080000003</v>
      </c>
      <c r="D476" s="20" t="s">
        <v>43</v>
      </c>
      <c r="E476" s="20">
        <v>2</v>
      </c>
      <c r="F476" s="20" t="s">
        <v>3983</v>
      </c>
      <c r="G476" s="14">
        <f>(VLOOKUP(D476,'[1]BOM Info General'!$A:$L,12,0))*E476</f>
        <v>130.12</v>
      </c>
      <c r="H476" s="21" t="s">
        <v>40</v>
      </c>
      <c r="I476" s="21">
        <v>1</v>
      </c>
      <c r="J476" s="21" t="s">
        <v>45</v>
      </c>
      <c r="K476" s="15">
        <f>(VLOOKUP(H476,'[1]BOM Info General'!$A:$L,12,0))*I476</f>
        <v>25.59</v>
      </c>
      <c r="L476" s="22" t="s">
        <v>65</v>
      </c>
      <c r="M476" s="22">
        <v>1</v>
      </c>
      <c r="N476" s="22" t="s">
        <v>68</v>
      </c>
      <c r="O476" s="9">
        <f>(VLOOKUP(L476,'[1]Simulation pricing per sub assy'!$D:$E,2,0))*M476</f>
        <v>103.16640000000004</v>
      </c>
      <c r="P476" s="23" t="s">
        <v>52</v>
      </c>
      <c r="Q476" s="23">
        <v>8</v>
      </c>
      <c r="R476" s="23" t="s">
        <v>18</v>
      </c>
      <c r="S476" s="40">
        <f>(VLOOKUP(P476,'[1]BOM Info General'!$A:$L,12,0))*Q476</f>
        <v>21.2</v>
      </c>
      <c r="T476" s="24" t="s">
        <v>26</v>
      </c>
      <c r="U476" s="17">
        <v>1</v>
      </c>
      <c r="V476" s="24" t="s">
        <v>27</v>
      </c>
      <c r="W476" s="17">
        <f>(VLOOKUP(T476,'[1]Simulation pricing per sub assy'!$D:$E,2,0))*U476</f>
        <v>7.04</v>
      </c>
      <c r="X476" s="25" t="s">
        <v>616</v>
      </c>
      <c r="Y476" s="25">
        <v>1</v>
      </c>
      <c r="Z476" s="25" t="s">
        <v>23</v>
      </c>
      <c r="AA476" s="18">
        <f>(VLOOKUP(X476,'[1]Simulation pricing per sub assy'!$D:$E,2,0))*Y476</f>
        <v>4.4802908000000006</v>
      </c>
    </row>
    <row r="477" spans="1:27" x14ac:dyDescent="0.35">
      <c r="A477" s="13" t="s">
        <v>725</v>
      </c>
      <c r="B477" s="13" t="s">
        <v>726</v>
      </c>
      <c r="C477" s="42">
        <f t="shared" si="7"/>
        <v>283.04669080000002</v>
      </c>
      <c r="D477" s="20" t="s">
        <v>43</v>
      </c>
      <c r="E477" s="20">
        <v>2</v>
      </c>
      <c r="F477" s="20" t="s">
        <v>3983</v>
      </c>
      <c r="G477" s="14">
        <f>(VLOOKUP(D477,'[1]BOM Info General'!$A:$L,12,0))*E477</f>
        <v>130.12</v>
      </c>
      <c r="H477" s="21" t="s">
        <v>40</v>
      </c>
      <c r="I477" s="21">
        <v>1</v>
      </c>
      <c r="J477" s="21" t="s">
        <v>45</v>
      </c>
      <c r="K477" s="15">
        <f>(VLOOKUP(H477,'[1]BOM Info General'!$A:$L,12,0))*I477</f>
        <v>25.59</v>
      </c>
      <c r="L477" s="22" t="s">
        <v>524</v>
      </c>
      <c r="M477" s="22">
        <v>1</v>
      </c>
      <c r="N477" s="22" t="s">
        <v>70</v>
      </c>
      <c r="O477" s="9">
        <f>(VLOOKUP(L477,'[1]Simulation pricing per sub assy'!$D:$E,2,0))*M477</f>
        <v>94.656400000000033</v>
      </c>
      <c r="P477" s="23" t="s">
        <v>52</v>
      </c>
      <c r="Q477" s="23">
        <v>8</v>
      </c>
      <c r="R477" s="23" t="s">
        <v>18</v>
      </c>
      <c r="S477" s="40">
        <f>(VLOOKUP(P477,'[1]BOM Info General'!$A:$L,12,0))*Q477</f>
        <v>21.2</v>
      </c>
      <c r="T477" s="24" t="s">
        <v>28</v>
      </c>
      <c r="U477" s="17">
        <v>1</v>
      </c>
      <c r="V477" s="24" t="s">
        <v>29</v>
      </c>
      <c r="W477" s="17">
        <f>(VLOOKUP(T477,'[1]Simulation pricing per sub assy'!$D:$E,2,0))*U477</f>
        <v>7</v>
      </c>
      <c r="X477" s="25" t="s">
        <v>616</v>
      </c>
      <c r="Y477" s="25">
        <v>1</v>
      </c>
      <c r="Z477" s="25" t="s">
        <v>23</v>
      </c>
      <c r="AA477" s="18">
        <f>(VLOOKUP(X477,'[1]Simulation pricing per sub assy'!$D:$E,2,0))*Y477</f>
        <v>4.4802908000000006</v>
      </c>
    </row>
    <row r="478" spans="1:27" x14ac:dyDescent="0.35">
      <c r="A478" s="13" t="s">
        <v>653</v>
      </c>
      <c r="B478" s="13" t="s">
        <v>654</v>
      </c>
      <c r="C478" s="42">
        <f t="shared" si="7"/>
        <v>284.14669080000004</v>
      </c>
      <c r="D478" s="20" t="s">
        <v>43</v>
      </c>
      <c r="E478" s="20">
        <v>2</v>
      </c>
      <c r="F478" s="20" t="s">
        <v>3983</v>
      </c>
      <c r="G478" s="14">
        <f>(VLOOKUP(D478,'[1]BOM Info General'!$A:$L,12,0))*E478</f>
        <v>130.12</v>
      </c>
      <c r="H478" s="21" t="s">
        <v>40</v>
      </c>
      <c r="I478" s="21">
        <v>1</v>
      </c>
      <c r="J478" s="21" t="s">
        <v>45</v>
      </c>
      <c r="K478" s="15">
        <f>(VLOOKUP(H478,'[1]BOM Info General'!$A:$L,12,0))*I478</f>
        <v>25.59</v>
      </c>
      <c r="L478" s="22" t="s">
        <v>67</v>
      </c>
      <c r="M478" s="22">
        <v>1</v>
      </c>
      <c r="N478" s="22" t="s">
        <v>64</v>
      </c>
      <c r="O478" s="9">
        <f>(VLOOKUP(L478,'[1]Simulation pricing per sub assy'!$D:$E,2,0))*M478</f>
        <v>95.756400000000042</v>
      </c>
      <c r="P478" s="23" t="s">
        <v>52</v>
      </c>
      <c r="Q478" s="23">
        <v>8</v>
      </c>
      <c r="R478" s="23" t="s">
        <v>18</v>
      </c>
      <c r="S478" s="40">
        <f>(VLOOKUP(P478,'[1]BOM Info General'!$A:$L,12,0))*Q478</f>
        <v>21.2</v>
      </c>
      <c r="T478" s="24" t="s">
        <v>28</v>
      </c>
      <c r="U478" s="17">
        <v>1</v>
      </c>
      <c r="V478" s="24" t="s">
        <v>29</v>
      </c>
      <c r="W478" s="17">
        <f>(VLOOKUP(T478,'[1]Simulation pricing per sub assy'!$D:$E,2,0))*U478</f>
        <v>7</v>
      </c>
      <c r="X478" s="25" t="s">
        <v>616</v>
      </c>
      <c r="Y478" s="25">
        <v>1</v>
      </c>
      <c r="Z478" s="25" t="s">
        <v>23</v>
      </c>
      <c r="AA478" s="18">
        <f>(VLOOKUP(X478,'[1]Simulation pricing per sub assy'!$D:$E,2,0))*Y478</f>
        <v>4.4802908000000006</v>
      </c>
    </row>
    <row r="479" spans="1:27" x14ac:dyDescent="0.35">
      <c r="A479" s="13" t="s">
        <v>689</v>
      </c>
      <c r="B479" s="13" t="s">
        <v>690</v>
      </c>
      <c r="C479" s="42">
        <f t="shared" si="7"/>
        <v>284.14669080000004</v>
      </c>
      <c r="D479" s="20" t="s">
        <v>43</v>
      </c>
      <c r="E479" s="20">
        <v>2</v>
      </c>
      <c r="F479" s="20" t="s">
        <v>3983</v>
      </c>
      <c r="G479" s="14">
        <f>(VLOOKUP(D479,'[1]BOM Info General'!$A:$L,12,0))*E479</f>
        <v>130.12</v>
      </c>
      <c r="H479" s="21" t="s">
        <v>40</v>
      </c>
      <c r="I479" s="21">
        <v>1</v>
      </c>
      <c r="J479" s="21" t="s">
        <v>45</v>
      </c>
      <c r="K479" s="15">
        <f>(VLOOKUP(H479,'[1]BOM Info General'!$A:$L,12,0))*I479</f>
        <v>25.59</v>
      </c>
      <c r="L479" s="22" t="s">
        <v>63</v>
      </c>
      <c r="M479" s="22">
        <v>1</v>
      </c>
      <c r="N479" s="22" t="s">
        <v>62</v>
      </c>
      <c r="O479" s="9">
        <f>(VLOOKUP(L479,'[1]Simulation pricing per sub assy'!$D:$E,2,0))*M479</f>
        <v>95.756400000000042</v>
      </c>
      <c r="P479" s="23" t="s">
        <v>52</v>
      </c>
      <c r="Q479" s="23">
        <v>8</v>
      </c>
      <c r="R479" s="23" t="s">
        <v>18</v>
      </c>
      <c r="S479" s="40">
        <f>(VLOOKUP(P479,'[1]BOM Info General'!$A:$L,12,0))*Q479</f>
        <v>21.2</v>
      </c>
      <c r="T479" s="24" t="s">
        <v>28</v>
      </c>
      <c r="U479" s="17">
        <v>1</v>
      </c>
      <c r="V479" s="24" t="s">
        <v>29</v>
      </c>
      <c r="W479" s="17">
        <f>(VLOOKUP(T479,'[1]Simulation pricing per sub assy'!$D:$E,2,0))*U479</f>
        <v>7</v>
      </c>
      <c r="X479" s="25" t="s">
        <v>616</v>
      </c>
      <c r="Y479" s="25">
        <v>1</v>
      </c>
      <c r="Z479" s="25" t="s">
        <v>23</v>
      </c>
      <c r="AA479" s="18">
        <f>(VLOOKUP(X479,'[1]Simulation pricing per sub assy'!$D:$E,2,0))*Y479</f>
        <v>4.4802908000000006</v>
      </c>
    </row>
    <row r="480" spans="1:27" x14ac:dyDescent="0.35">
      <c r="A480" s="13" t="s">
        <v>671</v>
      </c>
      <c r="B480" s="13" t="s">
        <v>672</v>
      </c>
      <c r="C480" s="42">
        <f t="shared" si="7"/>
        <v>283.59669080000003</v>
      </c>
      <c r="D480" s="20" t="s">
        <v>43</v>
      </c>
      <c r="E480" s="20">
        <v>2</v>
      </c>
      <c r="F480" s="20" t="s">
        <v>3983</v>
      </c>
      <c r="G480" s="14">
        <f>(VLOOKUP(D480,'[1]BOM Info General'!$A:$L,12,0))*E480</f>
        <v>130.12</v>
      </c>
      <c r="H480" s="21" t="s">
        <v>40</v>
      </c>
      <c r="I480" s="21">
        <v>1</v>
      </c>
      <c r="J480" s="21" t="s">
        <v>45</v>
      </c>
      <c r="K480" s="15">
        <f>(VLOOKUP(H480,'[1]BOM Info General'!$A:$L,12,0))*I480</f>
        <v>25.59</v>
      </c>
      <c r="L480" s="22" t="s">
        <v>69</v>
      </c>
      <c r="M480" s="22">
        <v>1</v>
      </c>
      <c r="N480" s="22" t="s">
        <v>66</v>
      </c>
      <c r="O480" s="9">
        <f>(VLOOKUP(L480,'[1]Simulation pricing per sub assy'!$D:$E,2,0))*M480</f>
        <v>95.206400000000031</v>
      </c>
      <c r="P480" s="23" t="s">
        <v>52</v>
      </c>
      <c r="Q480" s="23">
        <v>8</v>
      </c>
      <c r="R480" s="23" t="s">
        <v>18</v>
      </c>
      <c r="S480" s="40">
        <f>(VLOOKUP(P480,'[1]BOM Info General'!$A:$L,12,0))*Q480</f>
        <v>21.2</v>
      </c>
      <c r="T480" s="24" t="s">
        <v>28</v>
      </c>
      <c r="U480" s="17">
        <v>1</v>
      </c>
      <c r="V480" s="24" t="s">
        <v>29</v>
      </c>
      <c r="W480" s="17">
        <f>(VLOOKUP(T480,'[1]Simulation pricing per sub assy'!$D:$E,2,0))*U480</f>
        <v>7</v>
      </c>
      <c r="X480" s="25" t="s">
        <v>616</v>
      </c>
      <c r="Y480" s="25">
        <v>1</v>
      </c>
      <c r="Z480" s="25" t="s">
        <v>23</v>
      </c>
      <c r="AA480" s="18">
        <f>(VLOOKUP(X480,'[1]Simulation pricing per sub assy'!$D:$E,2,0))*Y480</f>
        <v>4.4802908000000006</v>
      </c>
    </row>
    <row r="481" spans="1:287" x14ac:dyDescent="0.35">
      <c r="A481" s="13" t="s">
        <v>707</v>
      </c>
      <c r="B481" s="13" t="s">
        <v>708</v>
      </c>
      <c r="C481" s="42">
        <f t="shared" si="7"/>
        <v>291.55669080000001</v>
      </c>
      <c r="D481" s="20" t="s">
        <v>43</v>
      </c>
      <c r="E481" s="20">
        <v>2</v>
      </c>
      <c r="F481" s="20" t="s">
        <v>3983</v>
      </c>
      <c r="G481" s="14">
        <f>(VLOOKUP(D481,'[1]BOM Info General'!$A:$L,12,0))*E481</f>
        <v>130.12</v>
      </c>
      <c r="H481" s="21" t="s">
        <v>40</v>
      </c>
      <c r="I481" s="21">
        <v>1</v>
      </c>
      <c r="J481" s="21" t="s">
        <v>45</v>
      </c>
      <c r="K481" s="15">
        <f>(VLOOKUP(H481,'[1]BOM Info General'!$A:$L,12,0))*I481</f>
        <v>25.59</v>
      </c>
      <c r="L481" s="22" t="s">
        <v>65</v>
      </c>
      <c r="M481" s="22">
        <v>1</v>
      </c>
      <c r="N481" s="22" t="s">
        <v>68</v>
      </c>
      <c r="O481" s="9">
        <f>(VLOOKUP(L481,'[1]Simulation pricing per sub assy'!$D:$E,2,0))*M481</f>
        <v>103.16640000000004</v>
      </c>
      <c r="P481" s="23" t="s">
        <v>52</v>
      </c>
      <c r="Q481" s="23">
        <v>8</v>
      </c>
      <c r="R481" s="23" t="s">
        <v>18</v>
      </c>
      <c r="S481" s="40">
        <f>(VLOOKUP(P481,'[1]BOM Info General'!$A:$L,12,0))*Q481</f>
        <v>21.2</v>
      </c>
      <c r="T481" s="24" t="s">
        <v>28</v>
      </c>
      <c r="U481" s="17">
        <v>1</v>
      </c>
      <c r="V481" s="24" t="s">
        <v>29</v>
      </c>
      <c r="W481" s="17">
        <f>(VLOOKUP(T481,'[1]Simulation pricing per sub assy'!$D:$E,2,0))*U481</f>
        <v>7</v>
      </c>
      <c r="X481" s="25" t="s">
        <v>616</v>
      </c>
      <c r="Y481" s="25">
        <v>1</v>
      </c>
      <c r="Z481" s="25" t="s">
        <v>23</v>
      </c>
      <c r="AA481" s="18">
        <f>(VLOOKUP(X481,'[1]Simulation pricing per sub assy'!$D:$E,2,0))*Y481</f>
        <v>4.4802908000000006</v>
      </c>
    </row>
    <row r="482" spans="1:287" s="5" customFormat="1" x14ac:dyDescent="0.35">
      <c r="A482" s="13" t="s">
        <v>635</v>
      </c>
      <c r="B482" s="13" t="s">
        <v>636</v>
      </c>
      <c r="C482" s="42">
        <f t="shared" si="7"/>
        <v>284.60669080000002</v>
      </c>
      <c r="D482" s="20" t="s">
        <v>43</v>
      </c>
      <c r="E482" s="20">
        <v>2</v>
      </c>
      <c r="F482" s="20" t="s">
        <v>3983</v>
      </c>
      <c r="G482" s="14">
        <f>(VLOOKUP(D482,'[1]BOM Info General'!$A:$L,12,0))*E482</f>
        <v>130.12</v>
      </c>
      <c r="H482" s="21" t="s">
        <v>40</v>
      </c>
      <c r="I482" s="21">
        <v>1</v>
      </c>
      <c r="J482" s="21" t="s">
        <v>45</v>
      </c>
      <c r="K482" s="15">
        <f>(VLOOKUP(H482,'[1]BOM Info General'!$A:$L,12,0))*I482</f>
        <v>25.59</v>
      </c>
      <c r="L482" s="22" t="s">
        <v>524</v>
      </c>
      <c r="M482" s="22">
        <v>1</v>
      </c>
      <c r="N482" s="22" t="s">
        <v>70</v>
      </c>
      <c r="O482" s="9">
        <f>(VLOOKUP(L482,'[1]Simulation pricing per sub assy'!$D:$E,2,0))*M482</f>
        <v>94.656400000000033</v>
      </c>
      <c r="P482" s="23" t="s">
        <v>50</v>
      </c>
      <c r="Q482" s="23">
        <v>8</v>
      </c>
      <c r="R482" s="23" t="s">
        <v>611</v>
      </c>
      <c r="S482" s="40">
        <f>(VLOOKUP(P482,'[1]BOM Info General'!$A:$L,12,0))*Q482</f>
        <v>21.2</v>
      </c>
      <c r="T482" s="24" t="s">
        <v>30</v>
      </c>
      <c r="U482" s="17">
        <v>1</v>
      </c>
      <c r="V482" s="24" t="s">
        <v>31</v>
      </c>
      <c r="W482" s="17">
        <f>(VLOOKUP(T482,'[1]Simulation pricing per sub assy'!$D:$E,2,0))*U482</f>
        <v>8.5599999999999987</v>
      </c>
      <c r="X482" s="25" t="s">
        <v>616</v>
      </c>
      <c r="Y482" s="25">
        <v>1</v>
      </c>
      <c r="Z482" s="25" t="s">
        <v>23</v>
      </c>
      <c r="AA482" s="18">
        <f>(VLOOKUP(X482,'[1]Simulation pricing per sub assy'!$D:$E,2,0))*Y482</f>
        <v>4.4802908000000006</v>
      </c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</row>
    <row r="483" spans="1:287" x14ac:dyDescent="0.35">
      <c r="A483" s="13" t="s">
        <v>627</v>
      </c>
      <c r="B483" s="13" t="s">
        <v>628</v>
      </c>
      <c r="C483" s="42">
        <f t="shared" si="7"/>
        <v>285.70669080000005</v>
      </c>
      <c r="D483" s="20" t="s">
        <v>43</v>
      </c>
      <c r="E483" s="20">
        <v>2</v>
      </c>
      <c r="F483" s="20" t="s">
        <v>3983</v>
      </c>
      <c r="G483" s="14">
        <f>(VLOOKUP(D483,'[1]BOM Info General'!$A:$L,12,0))*E483</f>
        <v>130.12</v>
      </c>
      <c r="H483" s="21" t="s">
        <v>40</v>
      </c>
      <c r="I483" s="21">
        <v>1</v>
      </c>
      <c r="J483" s="21" t="s">
        <v>45</v>
      </c>
      <c r="K483" s="15">
        <f>(VLOOKUP(H483,'[1]BOM Info General'!$A:$L,12,0))*I483</f>
        <v>25.59</v>
      </c>
      <c r="L483" s="22" t="s">
        <v>67</v>
      </c>
      <c r="M483" s="22">
        <v>1</v>
      </c>
      <c r="N483" s="22" t="s">
        <v>64</v>
      </c>
      <c r="O483" s="9">
        <f>(VLOOKUP(L483,'[1]Simulation pricing per sub assy'!$D:$E,2,0))*M483</f>
        <v>95.756400000000042</v>
      </c>
      <c r="P483" s="23" t="s">
        <v>50</v>
      </c>
      <c r="Q483" s="23">
        <v>8</v>
      </c>
      <c r="R483" s="23" t="s">
        <v>611</v>
      </c>
      <c r="S483" s="40">
        <f>(VLOOKUP(P483,'[1]BOM Info General'!$A:$L,12,0))*Q483</f>
        <v>21.2</v>
      </c>
      <c r="T483" s="24" t="s">
        <v>30</v>
      </c>
      <c r="U483" s="17">
        <v>1</v>
      </c>
      <c r="V483" s="24" t="s">
        <v>31</v>
      </c>
      <c r="W483" s="17">
        <f>(VLOOKUP(T483,'[1]Simulation pricing per sub assy'!$D:$E,2,0))*U483</f>
        <v>8.5599999999999987</v>
      </c>
      <c r="X483" s="25" t="s">
        <v>616</v>
      </c>
      <c r="Y483" s="25">
        <v>1</v>
      </c>
      <c r="Z483" s="25" t="s">
        <v>23</v>
      </c>
      <c r="AA483" s="18">
        <f>(VLOOKUP(X483,'[1]Simulation pricing per sub assy'!$D:$E,2,0))*Y483</f>
        <v>4.4802908000000006</v>
      </c>
    </row>
    <row r="484" spans="1:287" x14ac:dyDescent="0.35">
      <c r="A484" s="13" t="s">
        <v>631</v>
      </c>
      <c r="B484" s="13" t="s">
        <v>632</v>
      </c>
      <c r="C484" s="42">
        <f t="shared" si="7"/>
        <v>285.70669080000005</v>
      </c>
      <c r="D484" s="20" t="s">
        <v>43</v>
      </c>
      <c r="E484" s="20">
        <v>2</v>
      </c>
      <c r="F484" s="20" t="s">
        <v>3983</v>
      </c>
      <c r="G484" s="14">
        <f>(VLOOKUP(D484,'[1]BOM Info General'!$A:$L,12,0))*E484</f>
        <v>130.12</v>
      </c>
      <c r="H484" s="21" t="s">
        <v>40</v>
      </c>
      <c r="I484" s="21">
        <v>1</v>
      </c>
      <c r="J484" s="21" t="s">
        <v>45</v>
      </c>
      <c r="K484" s="15">
        <f>(VLOOKUP(H484,'[1]BOM Info General'!$A:$L,12,0))*I484</f>
        <v>25.59</v>
      </c>
      <c r="L484" s="22" t="s">
        <v>63</v>
      </c>
      <c r="M484" s="22">
        <v>1</v>
      </c>
      <c r="N484" s="22" t="s">
        <v>62</v>
      </c>
      <c r="O484" s="9">
        <f>(VLOOKUP(L484,'[1]Simulation pricing per sub assy'!$D:$E,2,0))*M484</f>
        <v>95.756400000000042</v>
      </c>
      <c r="P484" s="23" t="s">
        <v>50</v>
      </c>
      <c r="Q484" s="23">
        <v>8</v>
      </c>
      <c r="R484" s="23" t="s">
        <v>611</v>
      </c>
      <c r="S484" s="40">
        <f>(VLOOKUP(P484,'[1]BOM Info General'!$A:$L,12,0))*Q484</f>
        <v>21.2</v>
      </c>
      <c r="T484" s="24" t="s">
        <v>30</v>
      </c>
      <c r="U484" s="17">
        <v>1</v>
      </c>
      <c r="V484" s="24" t="s">
        <v>31</v>
      </c>
      <c r="W484" s="17">
        <f>(VLOOKUP(T484,'[1]Simulation pricing per sub assy'!$D:$E,2,0))*U484</f>
        <v>8.5599999999999987</v>
      </c>
      <c r="X484" s="25" t="s">
        <v>616</v>
      </c>
      <c r="Y484" s="25">
        <v>1</v>
      </c>
      <c r="Z484" s="25" t="s">
        <v>23</v>
      </c>
      <c r="AA484" s="18">
        <f>(VLOOKUP(X484,'[1]Simulation pricing per sub assy'!$D:$E,2,0))*Y484</f>
        <v>4.4802908000000006</v>
      </c>
    </row>
    <row r="485" spans="1:287" x14ac:dyDescent="0.35">
      <c r="A485" s="13" t="s">
        <v>629</v>
      </c>
      <c r="B485" s="13" t="s">
        <v>630</v>
      </c>
      <c r="C485" s="42">
        <f t="shared" si="7"/>
        <v>285.15669080000004</v>
      </c>
      <c r="D485" s="20" t="s">
        <v>43</v>
      </c>
      <c r="E485" s="20">
        <v>2</v>
      </c>
      <c r="F485" s="20" t="s">
        <v>3983</v>
      </c>
      <c r="G485" s="14">
        <f>(VLOOKUP(D485,'[1]BOM Info General'!$A:$L,12,0))*E485</f>
        <v>130.12</v>
      </c>
      <c r="H485" s="21" t="s">
        <v>40</v>
      </c>
      <c r="I485" s="21">
        <v>1</v>
      </c>
      <c r="J485" s="21" t="s">
        <v>45</v>
      </c>
      <c r="K485" s="15">
        <f>(VLOOKUP(H485,'[1]BOM Info General'!$A:$L,12,0))*I485</f>
        <v>25.59</v>
      </c>
      <c r="L485" s="22" t="s">
        <v>69</v>
      </c>
      <c r="M485" s="22">
        <v>1</v>
      </c>
      <c r="N485" s="22" t="s">
        <v>66</v>
      </c>
      <c r="O485" s="9">
        <f>(VLOOKUP(L485,'[1]Simulation pricing per sub assy'!$D:$E,2,0))*M485</f>
        <v>95.206400000000031</v>
      </c>
      <c r="P485" s="23" t="s">
        <v>50</v>
      </c>
      <c r="Q485" s="23">
        <v>8</v>
      </c>
      <c r="R485" s="23" t="s">
        <v>611</v>
      </c>
      <c r="S485" s="40">
        <f>(VLOOKUP(P485,'[1]BOM Info General'!$A:$L,12,0))*Q485</f>
        <v>21.2</v>
      </c>
      <c r="T485" s="24" t="s">
        <v>30</v>
      </c>
      <c r="U485" s="17">
        <v>1</v>
      </c>
      <c r="V485" s="24" t="s">
        <v>31</v>
      </c>
      <c r="W485" s="17">
        <f>(VLOOKUP(T485,'[1]Simulation pricing per sub assy'!$D:$E,2,0))*U485</f>
        <v>8.5599999999999987</v>
      </c>
      <c r="X485" s="25" t="s">
        <v>616</v>
      </c>
      <c r="Y485" s="25">
        <v>1</v>
      </c>
      <c r="Z485" s="25" t="s">
        <v>23</v>
      </c>
      <c r="AA485" s="18">
        <f>(VLOOKUP(X485,'[1]Simulation pricing per sub assy'!$D:$E,2,0))*Y485</f>
        <v>4.4802908000000006</v>
      </c>
    </row>
    <row r="486" spans="1:287" x14ac:dyDescent="0.35">
      <c r="A486" s="13" t="s">
        <v>633</v>
      </c>
      <c r="B486" s="13" t="s">
        <v>634</v>
      </c>
      <c r="C486" s="42">
        <f t="shared" si="7"/>
        <v>293.11669080000001</v>
      </c>
      <c r="D486" s="20" t="s">
        <v>43</v>
      </c>
      <c r="E486" s="20">
        <v>2</v>
      </c>
      <c r="F486" s="20" t="s">
        <v>3983</v>
      </c>
      <c r="G486" s="14">
        <f>(VLOOKUP(D486,'[1]BOM Info General'!$A:$L,12,0))*E486</f>
        <v>130.12</v>
      </c>
      <c r="H486" s="21" t="s">
        <v>40</v>
      </c>
      <c r="I486" s="21">
        <v>1</v>
      </c>
      <c r="J486" s="21" t="s">
        <v>45</v>
      </c>
      <c r="K486" s="15">
        <f>(VLOOKUP(H486,'[1]BOM Info General'!$A:$L,12,0))*I486</f>
        <v>25.59</v>
      </c>
      <c r="L486" s="22" t="s">
        <v>65</v>
      </c>
      <c r="M486" s="22">
        <v>1</v>
      </c>
      <c r="N486" s="22" t="s">
        <v>68</v>
      </c>
      <c r="O486" s="9">
        <f>(VLOOKUP(L486,'[1]Simulation pricing per sub assy'!$D:$E,2,0))*M486</f>
        <v>103.16640000000004</v>
      </c>
      <c r="P486" s="23" t="s">
        <v>50</v>
      </c>
      <c r="Q486" s="23">
        <v>8</v>
      </c>
      <c r="R486" s="23" t="s">
        <v>611</v>
      </c>
      <c r="S486" s="40">
        <f>(VLOOKUP(P486,'[1]BOM Info General'!$A:$L,12,0))*Q486</f>
        <v>21.2</v>
      </c>
      <c r="T486" s="24" t="s">
        <v>30</v>
      </c>
      <c r="U486" s="17">
        <v>1</v>
      </c>
      <c r="V486" s="24" t="s">
        <v>31</v>
      </c>
      <c r="W486" s="17">
        <f>(VLOOKUP(T486,'[1]Simulation pricing per sub assy'!$D:$E,2,0))*U486</f>
        <v>8.5599999999999987</v>
      </c>
      <c r="X486" s="25" t="s">
        <v>616</v>
      </c>
      <c r="Y486" s="25">
        <v>1</v>
      </c>
      <c r="Z486" s="25" t="s">
        <v>23</v>
      </c>
      <c r="AA486" s="18">
        <f>(VLOOKUP(X486,'[1]Simulation pricing per sub assy'!$D:$E,2,0))*Y486</f>
        <v>4.4802908000000006</v>
      </c>
    </row>
    <row r="487" spans="1:287" x14ac:dyDescent="0.35">
      <c r="A487" s="13" t="s">
        <v>735</v>
      </c>
      <c r="B487" s="13" t="s">
        <v>736</v>
      </c>
      <c r="C487" s="42">
        <f t="shared" si="7"/>
        <v>284.83669079999999</v>
      </c>
      <c r="D487" s="20" t="s">
        <v>43</v>
      </c>
      <c r="E487" s="20">
        <v>2</v>
      </c>
      <c r="F487" s="20" t="s">
        <v>3983</v>
      </c>
      <c r="G487" s="14">
        <f>(VLOOKUP(D487,'[1]BOM Info General'!$A:$L,12,0))*E487</f>
        <v>130.12</v>
      </c>
      <c r="H487" s="21" t="s">
        <v>41</v>
      </c>
      <c r="I487" s="21">
        <v>1</v>
      </c>
      <c r="J487" s="21" t="s">
        <v>47</v>
      </c>
      <c r="K487" s="15">
        <f>(VLOOKUP(H487,'[1]BOM Info General'!$A:$L,12,0))*I487</f>
        <v>27.18</v>
      </c>
      <c r="L487" s="22" t="s">
        <v>524</v>
      </c>
      <c r="M487" s="22">
        <v>1</v>
      </c>
      <c r="N487" s="22" t="s">
        <v>70</v>
      </c>
      <c r="O487" s="9">
        <f>(VLOOKUP(L487,'[1]Simulation pricing per sub assy'!$D:$E,2,0))*M487</f>
        <v>94.656400000000033</v>
      </c>
      <c r="P487" s="23" t="s">
        <v>50</v>
      </c>
      <c r="Q487" s="23">
        <v>8</v>
      </c>
      <c r="R487" s="23" t="s">
        <v>611</v>
      </c>
      <c r="S487" s="40">
        <f>(VLOOKUP(P487,'[1]BOM Info General'!$A:$L,12,0))*Q487</f>
        <v>21.2</v>
      </c>
      <c r="T487" s="24" t="s">
        <v>21</v>
      </c>
      <c r="U487" s="17">
        <v>1</v>
      </c>
      <c r="V487" s="24" t="s">
        <v>22</v>
      </c>
      <c r="W487" s="17">
        <f>(VLOOKUP(T487,'[1]Simulation pricing per sub assy'!$D:$E,2,0))*U487</f>
        <v>7.2</v>
      </c>
      <c r="X487" s="25" t="s">
        <v>616</v>
      </c>
      <c r="Y487" s="25">
        <v>1</v>
      </c>
      <c r="Z487" s="25" t="s">
        <v>23</v>
      </c>
      <c r="AA487" s="18">
        <f>(VLOOKUP(X487,'[1]Simulation pricing per sub assy'!$D:$E,2,0))*Y487</f>
        <v>4.4802908000000006</v>
      </c>
    </row>
    <row r="488" spans="1:287" x14ac:dyDescent="0.35">
      <c r="A488" s="13" t="s">
        <v>727</v>
      </c>
      <c r="B488" s="13" t="s">
        <v>728</v>
      </c>
      <c r="C488" s="42">
        <f t="shared" si="7"/>
        <v>285.93669080000001</v>
      </c>
      <c r="D488" s="20" t="s">
        <v>43</v>
      </c>
      <c r="E488" s="20">
        <v>2</v>
      </c>
      <c r="F488" s="20" t="s">
        <v>3983</v>
      </c>
      <c r="G488" s="14">
        <f>(VLOOKUP(D488,'[1]BOM Info General'!$A:$L,12,0))*E488</f>
        <v>130.12</v>
      </c>
      <c r="H488" s="21" t="s">
        <v>41</v>
      </c>
      <c r="I488" s="21">
        <v>1</v>
      </c>
      <c r="J488" s="21" t="s">
        <v>47</v>
      </c>
      <c r="K488" s="15">
        <f>(VLOOKUP(H488,'[1]BOM Info General'!$A:$L,12,0))*I488</f>
        <v>27.18</v>
      </c>
      <c r="L488" s="22" t="s">
        <v>67</v>
      </c>
      <c r="M488" s="22">
        <v>1</v>
      </c>
      <c r="N488" s="22" t="s">
        <v>64</v>
      </c>
      <c r="O488" s="9">
        <f>(VLOOKUP(L488,'[1]Simulation pricing per sub assy'!$D:$E,2,0))*M488</f>
        <v>95.756400000000042</v>
      </c>
      <c r="P488" s="23" t="s">
        <v>50</v>
      </c>
      <c r="Q488" s="23">
        <v>8</v>
      </c>
      <c r="R488" s="23" t="s">
        <v>611</v>
      </c>
      <c r="S488" s="40">
        <f>(VLOOKUP(P488,'[1]BOM Info General'!$A:$L,12,0))*Q488</f>
        <v>21.2</v>
      </c>
      <c r="T488" s="24" t="s">
        <v>21</v>
      </c>
      <c r="U488" s="17">
        <v>1</v>
      </c>
      <c r="V488" s="24" t="s">
        <v>22</v>
      </c>
      <c r="W488" s="17">
        <f>(VLOOKUP(T488,'[1]Simulation pricing per sub assy'!$D:$E,2,0))*U488</f>
        <v>7.2</v>
      </c>
      <c r="X488" s="25" t="s">
        <v>616</v>
      </c>
      <c r="Y488" s="25">
        <v>1</v>
      </c>
      <c r="Z488" s="25" t="s">
        <v>23</v>
      </c>
      <c r="AA488" s="18">
        <f>(VLOOKUP(X488,'[1]Simulation pricing per sub assy'!$D:$E,2,0))*Y488</f>
        <v>4.4802908000000006</v>
      </c>
    </row>
    <row r="489" spans="1:287" x14ac:dyDescent="0.35">
      <c r="A489" s="13" t="s">
        <v>731</v>
      </c>
      <c r="B489" s="13" t="s">
        <v>732</v>
      </c>
      <c r="C489" s="42">
        <f t="shared" si="7"/>
        <v>285.93669080000001</v>
      </c>
      <c r="D489" s="20" t="s">
        <v>43</v>
      </c>
      <c r="E489" s="20">
        <v>2</v>
      </c>
      <c r="F489" s="20" t="s">
        <v>3983</v>
      </c>
      <c r="G489" s="14">
        <f>(VLOOKUP(D489,'[1]BOM Info General'!$A:$L,12,0))*E489</f>
        <v>130.12</v>
      </c>
      <c r="H489" s="21" t="s">
        <v>41</v>
      </c>
      <c r="I489" s="21">
        <v>1</v>
      </c>
      <c r="J489" s="21" t="s">
        <v>47</v>
      </c>
      <c r="K489" s="15">
        <f>(VLOOKUP(H489,'[1]BOM Info General'!$A:$L,12,0))*I489</f>
        <v>27.18</v>
      </c>
      <c r="L489" s="22" t="s">
        <v>63</v>
      </c>
      <c r="M489" s="22">
        <v>1</v>
      </c>
      <c r="N489" s="22" t="s">
        <v>62</v>
      </c>
      <c r="O489" s="9">
        <f>(VLOOKUP(L489,'[1]Simulation pricing per sub assy'!$D:$E,2,0))*M489</f>
        <v>95.756400000000042</v>
      </c>
      <c r="P489" s="23" t="s">
        <v>50</v>
      </c>
      <c r="Q489" s="23">
        <v>8</v>
      </c>
      <c r="R489" s="23" t="s">
        <v>611</v>
      </c>
      <c r="S489" s="40">
        <f>(VLOOKUP(P489,'[1]BOM Info General'!$A:$L,12,0))*Q489</f>
        <v>21.2</v>
      </c>
      <c r="T489" s="24" t="s">
        <v>21</v>
      </c>
      <c r="U489" s="17">
        <v>1</v>
      </c>
      <c r="V489" s="24" t="s">
        <v>22</v>
      </c>
      <c r="W489" s="17">
        <f>(VLOOKUP(T489,'[1]Simulation pricing per sub assy'!$D:$E,2,0))*U489</f>
        <v>7.2</v>
      </c>
      <c r="X489" s="25" t="s">
        <v>616</v>
      </c>
      <c r="Y489" s="25">
        <v>1</v>
      </c>
      <c r="Z489" s="25" t="s">
        <v>23</v>
      </c>
      <c r="AA489" s="18">
        <f>(VLOOKUP(X489,'[1]Simulation pricing per sub assy'!$D:$E,2,0))*Y489</f>
        <v>4.4802908000000006</v>
      </c>
    </row>
    <row r="490" spans="1:287" x14ac:dyDescent="0.35">
      <c r="A490" s="13" t="s">
        <v>729</v>
      </c>
      <c r="B490" s="13" t="s">
        <v>730</v>
      </c>
      <c r="C490" s="42">
        <f t="shared" si="7"/>
        <v>285.3866908</v>
      </c>
      <c r="D490" s="20" t="s">
        <v>43</v>
      </c>
      <c r="E490" s="20">
        <v>2</v>
      </c>
      <c r="F490" s="20" t="s">
        <v>3983</v>
      </c>
      <c r="G490" s="14">
        <f>(VLOOKUP(D490,'[1]BOM Info General'!$A:$L,12,0))*E490</f>
        <v>130.12</v>
      </c>
      <c r="H490" s="21" t="s">
        <v>41</v>
      </c>
      <c r="I490" s="21">
        <v>1</v>
      </c>
      <c r="J490" s="21" t="s">
        <v>47</v>
      </c>
      <c r="K490" s="15">
        <f>(VLOOKUP(H490,'[1]BOM Info General'!$A:$L,12,0))*I490</f>
        <v>27.18</v>
      </c>
      <c r="L490" s="22" t="s">
        <v>69</v>
      </c>
      <c r="M490" s="22">
        <v>1</v>
      </c>
      <c r="N490" s="22" t="s">
        <v>66</v>
      </c>
      <c r="O490" s="9">
        <f>(VLOOKUP(L490,'[1]Simulation pricing per sub assy'!$D:$E,2,0))*M490</f>
        <v>95.206400000000031</v>
      </c>
      <c r="P490" s="23" t="s">
        <v>50</v>
      </c>
      <c r="Q490" s="23">
        <v>8</v>
      </c>
      <c r="R490" s="23" t="s">
        <v>611</v>
      </c>
      <c r="S490" s="40">
        <f>(VLOOKUP(P490,'[1]BOM Info General'!$A:$L,12,0))*Q490</f>
        <v>21.2</v>
      </c>
      <c r="T490" s="24" t="s">
        <v>21</v>
      </c>
      <c r="U490" s="17">
        <v>1</v>
      </c>
      <c r="V490" s="24" t="s">
        <v>22</v>
      </c>
      <c r="W490" s="17">
        <f>(VLOOKUP(T490,'[1]Simulation pricing per sub assy'!$D:$E,2,0))*U490</f>
        <v>7.2</v>
      </c>
      <c r="X490" s="25" t="s">
        <v>616</v>
      </c>
      <c r="Y490" s="25">
        <v>1</v>
      </c>
      <c r="Z490" s="25" t="s">
        <v>23</v>
      </c>
      <c r="AA490" s="18">
        <f>(VLOOKUP(X490,'[1]Simulation pricing per sub assy'!$D:$E,2,0))*Y490</f>
        <v>4.4802908000000006</v>
      </c>
    </row>
    <row r="491" spans="1:287" x14ac:dyDescent="0.35">
      <c r="A491" s="13" t="s">
        <v>733</v>
      </c>
      <c r="B491" s="13" t="s">
        <v>734</v>
      </c>
      <c r="C491" s="42">
        <f t="shared" si="7"/>
        <v>293.34669079999998</v>
      </c>
      <c r="D491" s="20" t="s">
        <v>43</v>
      </c>
      <c r="E491" s="20">
        <v>2</v>
      </c>
      <c r="F491" s="20" t="s">
        <v>3983</v>
      </c>
      <c r="G491" s="14">
        <f>(VLOOKUP(D491,'[1]BOM Info General'!$A:$L,12,0))*E491</f>
        <v>130.12</v>
      </c>
      <c r="H491" s="21" t="s">
        <v>41</v>
      </c>
      <c r="I491" s="21">
        <v>1</v>
      </c>
      <c r="J491" s="21" t="s">
        <v>47</v>
      </c>
      <c r="K491" s="15">
        <f>(VLOOKUP(H491,'[1]BOM Info General'!$A:$L,12,0))*I491</f>
        <v>27.18</v>
      </c>
      <c r="L491" s="22" t="s">
        <v>65</v>
      </c>
      <c r="M491" s="22">
        <v>1</v>
      </c>
      <c r="N491" s="22" t="s">
        <v>68</v>
      </c>
      <c r="O491" s="9">
        <f>(VLOOKUP(L491,'[1]Simulation pricing per sub assy'!$D:$E,2,0))*M491</f>
        <v>103.16640000000004</v>
      </c>
      <c r="P491" s="23" t="s">
        <v>50</v>
      </c>
      <c r="Q491" s="23">
        <v>8</v>
      </c>
      <c r="R491" s="23" t="s">
        <v>611</v>
      </c>
      <c r="S491" s="40">
        <f>(VLOOKUP(P491,'[1]BOM Info General'!$A:$L,12,0))*Q491</f>
        <v>21.2</v>
      </c>
      <c r="T491" s="24" t="s">
        <v>21</v>
      </c>
      <c r="U491" s="17">
        <v>1</v>
      </c>
      <c r="V491" s="24" t="s">
        <v>22</v>
      </c>
      <c r="W491" s="17">
        <f>(VLOOKUP(T491,'[1]Simulation pricing per sub assy'!$D:$E,2,0))*U491</f>
        <v>7.2</v>
      </c>
      <c r="X491" s="25" t="s">
        <v>616</v>
      </c>
      <c r="Y491" s="25">
        <v>1</v>
      </c>
      <c r="Z491" s="25" t="s">
        <v>23</v>
      </c>
      <c r="AA491" s="18">
        <f>(VLOOKUP(X491,'[1]Simulation pricing per sub assy'!$D:$E,2,0))*Y491</f>
        <v>4.4802908000000006</v>
      </c>
    </row>
    <row r="492" spans="1:287" x14ac:dyDescent="0.35">
      <c r="A492" s="13" t="s">
        <v>819</v>
      </c>
      <c r="B492" s="13" t="s">
        <v>820</v>
      </c>
      <c r="C492" s="42">
        <f t="shared" si="7"/>
        <v>284.07669079999999</v>
      </c>
      <c r="D492" s="20" t="s">
        <v>43</v>
      </c>
      <c r="E492" s="20">
        <v>2</v>
      </c>
      <c r="F492" s="20" t="s">
        <v>3983</v>
      </c>
      <c r="G492" s="14">
        <f>(VLOOKUP(D492,'[1]BOM Info General'!$A:$L,12,0))*E492</f>
        <v>130.12</v>
      </c>
      <c r="H492" s="21" t="s">
        <v>41</v>
      </c>
      <c r="I492" s="21">
        <v>1</v>
      </c>
      <c r="J492" s="21" t="s">
        <v>47</v>
      </c>
      <c r="K492" s="15">
        <f>(VLOOKUP(H492,'[1]BOM Info General'!$A:$L,12,0))*I492</f>
        <v>27.18</v>
      </c>
      <c r="L492" s="22" t="s">
        <v>524</v>
      </c>
      <c r="M492" s="22">
        <v>1</v>
      </c>
      <c r="N492" s="22" t="s">
        <v>70</v>
      </c>
      <c r="O492" s="9">
        <f>(VLOOKUP(L492,'[1]Simulation pricing per sub assy'!$D:$E,2,0))*M492</f>
        <v>94.656400000000033</v>
      </c>
      <c r="P492" s="23" t="s">
        <v>50</v>
      </c>
      <c r="Q492" s="23">
        <v>8</v>
      </c>
      <c r="R492" s="23" t="s">
        <v>16</v>
      </c>
      <c r="S492" s="40">
        <f>(VLOOKUP(P492,'[1]BOM Info General'!$A:$L,12,0))*Q492</f>
        <v>21.2</v>
      </c>
      <c r="T492" s="24" t="s">
        <v>24</v>
      </c>
      <c r="U492" s="17">
        <v>1</v>
      </c>
      <c r="V492" s="24" t="s">
        <v>25</v>
      </c>
      <c r="W492" s="17">
        <f>(VLOOKUP(T492,'[1]Simulation pricing per sub assy'!$D:$E,2,0))*U492</f>
        <v>6.44</v>
      </c>
      <c r="X492" s="25" t="s">
        <v>616</v>
      </c>
      <c r="Y492" s="25">
        <v>1</v>
      </c>
      <c r="Z492" s="25" t="s">
        <v>23</v>
      </c>
      <c r="AA492" s="18">
        <f>(VLOOKUP(X492,'[1]Simulation pricing per sub assy'!$D:$E,2,0))*Y492</f>
        <v>4.4802908000000006</v>
      </c>
    </row>
    <row r="493" spans="1:287" x14ac:dyDescent="0.35">
      <c r="A493" s="13" t="s">
        <v>747</v>
      </c>
      <c r="B493" s="13" t="s">
        <v>748</v>
      </c>
      <c r="C493" s="42">
        <f t="shared" si="7"/>
        <v>285.17669080000002</v>
      </c>
      <c r="D493" s="20" t="s">
        <v>43</v>
      </c>
      <c r="E493" s="20">
        <v>2</v>
      </c>
      <c r="F493" s="20" t="s">
        <v>3983</v>
      </c>
      <c r="G493" s="14">
        <f>(VLOOKUP(D493,'[1]BOM Info General'!$A:$L,12,0))*E493</f>
        <v>130.12</v>
      </c>
      <c r="H493" s="21" t="s">
        <v>41</v>
      </c>
      <c r="I493" s="21">
        <v>1</v>
      </c>
      <c r="J493" s="21" t="s">
        <v>47</v>
      </c>
      <c r="K493" s="15">
        <f>(VLOOKUP(H493,'[1]BOM Info General'!$A:$L,12,0))*I493</f>
        <v>27.18</v>
      </c>
      <c r="L493" s="22" t="s">
        <v>67</v>
      </c>
      <c r="M493" s="22">
        <v>1</v>
      </c>
      <c r="N493" s="22" t="s">
        <v>64</v>
      </c>
      <c r="O493" s="9">
        <f>(VLOOKUP(L493,'[1]Simulation pricing per sub assy'!$D:$E,2,0))*M493</f>
        <v>95.756400000000042</v>
      </c>
      <c r="P493" s="23" t="s">
        <v>50</v>
      </c>
      <c r="Q493" s="23">
        <v>8</v>
      </c>
      <c r="R493" s="23" t="s">
        <v>16</v>
      </c>
      <c r="S493" s="40">
        <f>(VLOOKUP(P493,'[1]BOM Info General'!$A:$L,12,0))*Q493</f>
        <v>21.2</v>
      </c>
      <c r="T493" s="24" t="s">
        <v>24</v>
      </c>
      <c r="U493" s="17">
        <v>1</v>
      </c>
      <c r="V493" s="24" t="s">
        <v>25</v>
      </c>
      <c r="W493" s="17">
        <f>(VLOOKUP(T493,'[1]Simulation pricing per sub assy'!$D:$E,2,0))*U493</f>
        <v>6.44</v>
      </c>
      <c r="X493" s="25" t="s">
        <v>616</v>
      </c>
      <c r="Y493" s="25">
        <v>1</v>
      </c>
      <c r="Z493" s="25" t="s">
        <v>23</v>
      </c>
      <c r="AA493" s="18">
        <f>(VLOOKUP(X493,'[1]Simulation pricing per sub assy'!$D:$E,2,0))*Y493</f>
        <v>4.4802908000000006</v>
      </c>
    </row>
    <row r="494" spans="1:287" x14ac:dyDescent="0.35">
      <c r="A494" s="13" t="s">
        <v>783</v>
      </c>
      <c r="B494" s="13" t="s">
        <v>784</v>
      </c>
      <c r="C494" s="42">
        <f t="shared" si="7"/>
        <v>285.17669080000002</v>
      </c>
      <c r="D494" s="20" t="s">
        <v>43</v>
      </c>
      <c r="E494" s="20">
        <v>2</v>
      </c>
      <c r="F494" s="20" t="s">
        <v>3983</v>
      </c>
      <c r="G494" s="14">
        <f>(VLOOKUP(D494,'[1]BOM Info General'!$A:$L,12,0))*E494</f>
        <v>130.12</v>
      </c>
      <c r="H494" s="21" t="s">
        <v>41</v>
      </c>
      <c r="I494" s="21">
        <v>1</v>
      </c>
      <c r="J494" s="21" t="s">
        <v>47</v>
      </c>
      <c r="K494" s="15">
        <f>(VLOOKUP(H494,'[1]BOM Info General'!$A:$L,12,0))*I494</f>
        <v>27.18</v>
      </c>
      <c r="L494" s="22" t="s">
        <v>63</v>
      </c>
      <c r="M494" s="22">
        <v>1</v>
      </c>
      <c r="N494" s="22" t="s">
        <v>62</v>
      </c>
      <c r="O494" s="9">
        <f>(VLOOKUP(L494,'[1]Simulation pricing per sub assy'!$D:$E,2,0))*M494</f>
        <v>95.756400000000042</v>
      </c>
      <c r="P494" s="23" t="s">
        <v>50</v>
      </c>
      <c r="Q494" s="23">
        <v>8</v>
      </c>
      <c r="R494" s="23" t="s">
        <v>16</v>
      </c>
      <c r="S494" s="40">
        <f>(VLOOKUP(P494,'[1]BOM Info General'!$A:$L,12,0))*Q494</f>
        <v>21.2</v>
      </c>
      <c r="T494" s="24" t="s">
        <v>24</v>
      </c>
      <c r="U494" s="17">
        <v>1</v>
      </c>
      <c r="V494" s="24" t="s">
        <v>25</v>
      </c>
      <c r="W494" s="17">
        <f>(VLOOKUP(T494,'[1]Simulation pricing per sub assy'!$D:$E,2,0))*U494</f>
        <v>6.44</v>
      </c>
      <c r="X494" s="25" t="s">
        <v>616</v>
      </c>
      <c r="Y494" s="25">
        <v>1</v>
      </c>
      <c r="Z494" s="25" t="s">
        <v>23</v>
      </c>
      <c r="AA494" s="18">
        <f>(VLOOKUP(X494,'[1]Simulation pricing per sub assy'!$D:$E,2,0))*Y494</f>
        <v>4.4802908000000006</v>
      </c>
    </row>
    <row r="495" spans="1:287" x14ac:dyDescent="0.35">
      <c r="A495" s="13" t="s">
        <v>765</v>
      </c>
      <c r="B495" s="13" t="s">
        <v>766</v>
      </c>
      <c r="C495" s="42">
        <f t="shared" si="7"/>
        <v>284.62669080000001</v>
      </c>
      <c r="D495" s="20" t="s">
        <v>43</v>
      </c>
      <c r="E495" s="20">
        <v>2</v>
      </c>
      <c r="F495" s="20" t="s">
        <v>3983</v>
      </c>
      <c r="G495" s="14">
        <f>(VLOOKUP(D495,'[1]BOM Info General'!$A:$L,12,0))*E495</f>
        <v>130.12</v>
      </c>
      <c r="H495" s="21" t="s">
        <v>41</v>
      </c>
      <c r="I495" s="21">
        <v>1</v>
      </c>
      <c r="J495" s="21" t="s">
        <v>47</v>
      </c>
      <c r="K495" s="15">
        <f>(VLOOKUP(H495,'[1]BOM Info General'!$A:$L,12,0))*I495</f>
        <v>27.18</v>
      </c>
      <c r="L495" s="22" t="s">
        <v>69</v>
      </c>
      <c r="M495" s="22">
        <v>1</v>
      </c>
      <c r="N495" s="22" t="s">
        <v>66</v>
      </c>
      <c r="O495" s="9">
        <f>(VLOOKUP(L495,'[1]Simulation pricing per sub assy'!$D:$E,2,0))*M495</f>
        <v>95.206400000000031</v>
      </c>
      <c r="P495" s="23" t="s">
        <v>50</v>
      </c>
      <c r="Q495" s="23">
        <v>8</v>
      </c>
      <c r="R495" s="23" t="s">
        <v>16</v>
      </c>
      <c r="S495" s="40">
        <f>(VLOOKUP(P495,'[1]BOM Info General'!$A:$L,12,0))*Q495</f>
        <v>21.2</v>
      </c>
      <c r="T495" s="24" t="s">
        <v>24</v>
      </c>
      <c r="U495" s="17">
        <v>1</v>
      </c>
      <c r="V495" s="24" t="s">
        <v>25</v>
      </c>
      <c r="W495" s="17">
        <f>(VLOOKUP(T495,'[1]Simulation pricing per sub assy'!$D:$E,2,0))*U495</f>
        <v>6.44</v>
      </c>
      <c r="X495" s="25" t="s">
        <v>616</v>
      </c>
      <c r="Y495" s="25">
        <v>1</v>
      </c>
      <c r="Z495" s="25" t="s">
        <v>23</v>
      </c>
      <c r="AA495" s="18">
        <f>(VLOOKUP(X495,'[1]Simulation pricing per sub assy'!$D:$E,2,0))*Y495</f>
        <v>4.4802908000000006</v>
      </c>
    </row>
    <row r="496" spans="1:287" x14ac:dyDescent="0.35">
      <c r="A496" s="13" t="s">
        <v>801</v>
      </c>
      <c r="B496" s="13" t="s">
        <v>802</v>
      </c>
      <c r="C496" s="42">
        <f t="shared" si="7"/>
        <v>292.58669079999999</v>
      </c>
      <c r="D496" s="20" t="s">
        <v>43</v>
      </c>
      <c r="E496" s="20">
        <v>2</v>
      </c>
      <c r="F496" s="20" t="s">
        <v>3983</v>
      </c>
      <c r="G496" s="14">
        <f>(VLOOKUP(D496,'[1]BOM Info General'!$A:$L,12,0))*E496</f>
        <v>130.12</v>
      </c>
      <c r="H496" s="21" t="s">
        <v>41</v>
      </c>
      <c r="I496" s="21">
        <v>1</v>
      </c>
      <c r="J496" s="21" t="s">
        <v>47</v>
      </c>
      <c r="K496" s="15">
        <f>(VLOOKUP(H496,'[1]BOM Info General'!$A:$L,12,0))*I496</f>
        <v>27.18</v>
      </c>
      <c r="L496" s="22" t="s">
        <v>65</v>
      </c>
      <c r="M496" s="22">
        <v>1</v>
      </c>
      <c r="N496" s="22" t="s">
        <v>68</v>
      </c>
      <c r="O496" s="9">
        <f>(VLOOKUP(L496,'[1]Simulation pricing per sub assy'!$D:$E,2,0))*M496</f>
        <v>103.16640000000004</v>
      </c>
      <c r="P496" s="23" t="s">
        <v>50</v>
      </c>
      <c r="Q496" s="23">
        <v>8</v>
      </c>
      <c r="R496" s="23" t="s">
        <v>16</v>
      </c>
      <c r="S496" s="40">
        <f>(VLOOKUP(P496,'[1]BOM Info General'!$A:$L,12,0))*Q496</f>
        <v>21.2</v>
      </c>
      <c r="T496" s="24" t="s">
        <v>24</v>
      </c>
      <c r="U496" s="17">
        <v>1</v>
      </c>
      <c r="V496" s="24" t="s">
        <v>25</v>
      </c>
      <c r="W496" s="17">
        <f>(VLOOKUP(T496,'[1]Simulation pricing per sub assy'!$D:$E,2,0))*U496</f>
        <v>6.44</v>
      </c>
      <c r="X496" s="25" t="s">
        <v>616</v>
      </c>
      <c r="Y496" s="25">
        <v>1</v>
      </c>
      <c r="Z496" s="25" t="s">
        <v>23</v>
      </c>
      <c r="AA496" s="18">
        <f>(VLOOKUP(X496,'[1]Simulation pricing per sub assy'!$D:$E,2,0))*Y496</f>
        <v>4.4802908000000006</v>
      </c>
    </row>
    <row r="497" spans="1:27" x14ac:dyDescent="0.35">
      <c r="A497" s="13" t="s">
        <v>821</v>
      </c>
      <c r="B497" s="13" t="s">
        <v>822</v>
      </c>
      <c r="C497" s="42">
        <f t="shared" si="7"/>
        <v>284.67669080000002</v>
      </c>
      <c r="D497" s="20" t="s">
        <v>43</v>
      </c>
      <c r="E497" s="20">
        <v>2</v>
      </c>
      <c r="F497" s="20" t="s">
        <v>3983</v>
      </c>
      <c r="G497" s="14">
        <f>(VLOOKUP(D497,'[1]BOM Info General'!$A:$L,12,0))*E497</f>
        <v>130.12</v>
      </c>
      <c r="H497" s="21" t="s">
        <v>41</v>
      </c>
      <c r="I497" s="21">
        <v>1</v>
      </c>
      <c r="J497" s="21" t="s">
        <v>47</v>
      </c>
      <c r="K497" s="15">
        <f>(VLOOKUP(H497,'[1]BOM Info General'!$A:$L,12,0))*I497</f>
        <v>27.18</v>
      </c>
      <c r="L497" s="22" t="s">
        <v>524</v>
      </c>
      <c r="M497" s="22">
        <v>1</v>
      </c>
      <c r="N497" s="22" t="s">
        <v>70</v>
      </c>
      <c r="O497" s="9">
        <f>(VLOOKUP(L497,'[1]Simulation pricing per sub assy'!$D:$E,2,0))*M497</f>
        <v>94.656400000000033</v>
      </c>
      <c r="P497" s="23" t="s">
        <v>50</v>
      </c>
      <c r="Q497" s="23">
        <v>8</v>
      </c>
      <c r="R497" s="23" t="s">
        <v>16</v>
      </c>
      <c r="S497" s="40">
        <f>(VLOOKUP(P497,'[1]BOM Info General'!$A:$L,12,0))*Q497</f>
        <v>21.2</v>
      </c>
      <c r="T497" s="24" t="s">
        <v>26</v>
      </c>
      <c r="U497" s="17">
        <v>1</v>
      </c>
      <c r="V497" s="24" t="s">
        <v>27</v>
      </c>
      <c r="W497" s="17">
        <f>(VLOOKUP(T497,'[1]Simulation pricing per sub assy'!$D:$E,2,0))*U497</f>
        <v>7.04</v>
      </c>
      <c r="X497" s="25" t="s">
        <v>616</v>
      </c>
      <c r="Y497" s="25">
        <v>1</v>
      </c>
      <c r="Z497" s="25" t="s">
        <v>23</v>
      </c>
      <c r="AA497" s="18">
        <f>(VLOOKUP(X497,'[1]Simulation pricing per sub assy'!$D:$E,2,0))*Y497</f>
        <v>4.4802908000000006</v>
      </c>
    </row>
    <row r="498" spans="1:27" x14ac:dyDescent="0.35">
      <c r="A498" s="13" t="s">
        <v>749</v>
      </c>
      <c r="B498" s="13" t="s">
        <v>750</v>
      </c>
      <c r="C498" s="42">
        <f t="shared" si="7"/>
        <v>285.77669080000004</v>
      </c>
      <c r="D498" s="20" t="s">
        <v>43</v>
      </c>
      <c r="E498" s="20">
        <v>2</v>
      </c>
      <c r="F498" s="20" t="s">
        <v>3983</v>
      </c>
      <c r="G498" s="14">
        <f>(VLOOKUP(D498,'[1]BOM Info General'!$A:$L,12,0))*E498</f>
        <v>130.12</v>
      </c>
      <c r="H498" s="21" t="s">
        <v>41</v>
      </c>
      <c r="I498" s="21">
        <v>1</v>
      </c>
      <c r="J498" s="21" t="s">
        <v>47</v>
      </c>
      <c r="K498" s="15">
        <f>(VLOOKUP(H498,'[1]BOM Info General'!$A:$L,12,0))*I498</f>
        <v>27.18</v>
      </c>
      <c r="L498" s="22" t="s">
        <v>67</v>
      </c>
      <c r="M498" s="22">
        <v>1</v>
      </c>
      <c r="N498" s="22" t="s">
        <v>64</v>
      </c>
      <c r="O498" s="9">
        <f>(VLOOKUP(L498,'[1]Simulation pricing per sub assy'!$D:$E,2,0))*M498</f>
        <v>95.756400000000042</v>
      </c>
      <c r="P498" s="23" t="s">
        <v>50</v>
      </c>
      <c r="Q498" s="23">
        <v>8</v>
      </c>
      <c r="R498" s="23" t="s">
        <v>16</v>
      </c>
      <c r="S498" s="40">
        <f>(VLOOKUP(P498,'[1]BOM Info General'!$A:$L,12,0))*Q498</f>
        <v>21.2</v>
      </c>
      <c r="T498" s="24" t="s">
        <v>26</v>
      </c>
      <c r="U498" s="17">
        <v>1</v>
      </c>
      <c r="V498" s="24" t="s">
        <v>27</v>
      </c>
      <c r="W498" s="17">
        <f>(VLOOKUP(T498,'[1]Simulation pricing per sub assy'!$D:$E,2,0))*U498</f>
        <v>7.04</v>
      </c>
      <c r="X498" s="25" t="s">
        <v>616</v>
      </c>
      <c r="Y498" s="25">
        <v>1</v>
      </c>
      <c r="Z498" s="25" t="s">
        <v>23</v>
      </c>
      <c r="AA498" s="18">
        <f>(VLOOKUP(X498,'[1]Simulation pricing per sub assy'!$D:$E,2,0))*Y498</f>
        <v>4.4802908000000006</v>
      </c>
    </row>
    <row r="499" spans="1:27" x14ac:dyDescent="0.35">
      <c r="A499" s="13" t="s">
        <v>785</v>
      </c>
      <c r="B499" s="13" t="s">
        <v>786</v>
      </c>
      <c r="C499" s="42">
        <f t="shared" si="7"/>
        <v>285.77669080000004</v>
      </c>
      <c r="D499" s="20" t="s">
        <v>43</v>
      </c>
      <c r="E499" s="20">
        <v>2</v>
      </c>
      <c r="F499" s="20" t="s">
        <v>3983</v>
      </c>
      <c r="G499" s="14">
        <f>(VLOOKUP(D499,'[1]BOM Info General'!$A:$L,12,0))*E499</f>
        <v>130.12</v>
      </c>
      <c r="H499" s="21" t="s">
        <v>41</v>
      </c>
      <c r="I499" s="21">
        <v>1</v>
      </c>
      <c r="J499" s="21" t="s">
        <v>47</v>
      </c>
      <c r="K499" s="15">
        <f>(VLOOKUP(H499,'[1]BOM Info General'!$A:$L,12,0))*I499</f>
        <v>27.18</v>
      </c>
      <c r="L499" s="22" t="s">
        <v>63</v>
      </c>
      <c r="M499" s="22">
        <v>1</v>
      </c>
      <c r="N499" s="22" t="s">
        <v>62</v>
      </c>
      <c r="O499" s="9">
        <f>(VLOOKUP(L499,'[1]Simulation pricing per sub assy'!$D:$E,2,0))*M499</f>
        <v>95.756400000000042</v>
      </c>
      <c r="P499" s="23" t="s">
        <v>50</v>
      </c>
      <c r="Q499" s="23">
        <v>8</v>
      </c>
      <c r="R499" s="23" t="s">
        <v>16</v>
      </c>
      <c r="S499" s="40">
        <f>(VLOOKUP(P499,'[1]BOM Info General'!$A:$L,12,0))*Q499</f>
        <v>21.2</v>
      </c>
      <c r="T499" s="24" t="s">
        <v>26</v>
      </c>
      <c r="U499" s="17">
        <v>1</v>
      </c>
      <c r="V499" s="24" t="s">
        <v>27</v>
      </c>
      <c r="W499" s="17">
        <f>(VLOOKUP(T499,'[1]Simulation pricing per sub assy'!$D:$E,2,0))*U499</f>
        <v>7.04</v>
      </c>
      <c r="X499" s="25" t="s">
        <v>616</v>
      </c>
      <c r="Y499" s="25">
        <v>1</v>
      </c>
      <c r="Z499" s="25" t="s">
        <v>23</v>
      </c>
      <c r="AA499" s="18">
        <f>(VLOOKUP(X499,'[1]Simulation pricing per sub assy'!$D:$E,2,0))*Y499</f>
        <v>4.4802908000000006</v>
      </c>
    </row>
    <row r="500" spans="1:27" x14ac:dyDescent="0.35">
      <c r="A500" s="13" t="s">
        <v>767</v>
      </c>
      <c r="B500" s="13" t="s">
        <v>768</v>
      </c>
      <c r="C500" s="42">
        <f t="shared" si="7"/>
        <v>285.22669080000003</v>
      </c>
      <c r="D500" s="20" t="s">
        <v>43</v>
      </c>
      <c r="E500" s="20">
        <v>2</v>
      </c>
      <c r="F500" s="20" t="s">
        <v>3983</v>
      </c>
      <c r="G500" s="14">
        <f>(VLOOKUP(D500,'[1]BOM Info General'!$A:$L,12,0))*E500</f>
        <v>130.12</v>
      </c>
      <c r="H500" s="21" t="s">
        <v>41</v>
      </c>
      <c r="I500" s="21">
        <v>1</v>
      </c>
      <c r="J500" s="21" t="s">
        <v>47</v>
      </c>
      <c r="K500" s="15">
        <f>(VLOOKUP(H500,'[1]BOM Info General'!$A:$L,12,0))*I500</f>
        <v>27.18</v>
      </c>
      <c r="L500" s="22" t="s">
        <v>69</v>
      </c>
      <c r="M500" s="22">
        <v>1</v>
      </c>
      <c r="N500" s="22" t="s">
        <v>66</v>
      </c>
      <c r="O500" s="9">
        <f>(VLOOKUP(L500,'[1]Simulation pricing per sub assy'!$D:$E,2,0))*M500</f>
        <v>95.206400000000031</v>
      </c>
      <c r="P500" s="23" t="s">
        <v>50</v>
      </c>
      <c r="Q500" s="23">
        <v>8</v>
      </c>
      <c r="R500" s="23" t="s">
        <v>16</v>
      </c>
      <c r="S500" s="40">
        <f>(VLOOKUP(P500,'[1]BOM Info General'!$A:$L,12,0))*Q500</f>
        <v>21.2</v>
      </c>
      <c r="T500" s="24" t="s">
        <v>26</v>
      </c>
      <c r="U500" s="17">
        <v>1</v>
      </c>
      <c r="V500" s="24" t="s">
        <v>27</v>
      </c>
      <c r="W500" s="17">
        <f>(VLOOKUP(T500,'[1]Simulation pricing per sub assy'!$D:$E,2,0))*U500</f>
        <v>7.04</v>
      </c>
      <c r="X500" s="25" t="s">
        <v>616</v>
      </c>
      <c r="Y500" s="25">
        <v>1</v>
      </c>
      <c r="Z500" s="25" t="s">
        <v>23</v>
      </c>
      <c r="AA500" s="18">
        <f>(VLOOKUP(X500,'[1]Simulation pricing per sub assy'!$D:$E,2,0))*Y500</f>
        <v>4.4802908000000006</v>
      </c>
    </row>
    <row r="501" spans="1:27" x14ac:dyDescent="0.35">
      <c r="A501" s="13" t="s">
        <v>803</v>
      </c>
      <c r="B501" s="13" t="s">
        <v>804</v>
      </c>
      <c r="C501" s="42">
        <f t="shared" si="7"/>
        <v>293.18669080000001</v>
      </c>
      <c r="D501" s="20" t="s">
        <v>43</v>
      </c>
      <c r="E501" s="20">
        <v>2</v>
      </c>
      <c r="F501" s="20" t="s">
        <v>3983</v>
      </c>
      <c r="G501" s="14">
        <f>(VLOOKUP(D501,'[1]BOM Info General'!$A:$L,12,0))*E501</f>
        <v>130.12</v>
      </c>
      <c r="H501" s="21" t="s">
        <v>41</v>
      </c>
      <c r="I501" s="21">
        <v>1</v>
      </c>
      <c r="J501" s="21" t="s">
        <v>47</v>
      </c>
      <c r="K501" s="15">
        <f>(VLOOKUP(H501,'[1]BOM Info General'!$A:$L,12,0))*I501</f>
        <v>27.18</v>
      </c>
      <c r="L501" s="22" t="s">
        <v>65</v>
      </c>
      <c r="M501" s="22">
        <v>1</v>
      </c>
      <c r="N501" s="22" t="s">
        <v>68</v>
      </c>
      <c r="O501" s="9">
        <f>(VLOOKUP(L501,'[1]Simulation pricing per sub assy'!$D:$E,2,0))*M501</f>
        <v>103.16640000000004</v>
      </c>
      <c r="P501" s="23" t="s">
        <v>50</v>
      </c>
      <c r="Q501" s="23">
        <v>8</v>
      </c>
      <c r="R501" s="23" t="s">
        <v>16</v>
      </c>
      <c r="S501" s="40">
        <f>(VLOOKUP(P501,'[1]BOM Info General'!$A:$L,12,0))*Q501</f>
        <v>21.2</v>
      </c>
      <c r="T501" s="24" t="s">
        <v>26</v>
      </c>
      <c r="U501" s="17">
        <v>1</v>
      </c>
      <c r="V501" s="24" t="s">
        <v>27</v>
      </c>
      <c r="W501" s="17">
        <f>(VLOOKUP(T501,'[1]Simulation pricing per sub assy'!$D:$E,2,0))*U501</f>
        <v>7.04</v>
      </c>
      <c r="X501" s="25" t="s">
        <v>616</v>
      </c>
      <c r="Y501" s="25">
        <v>1</v>
      </c>
      <c r="Z501" s="25" t="s">
        <v>23</v>
      </c>
      <c r="AA501" s="18">
        <f>(VLOOKUP(X501,'[1]Simulation pricing per sub assy'!$D:$E,2,0))*Y501</f>
        <v>4.4802908000000006</v>
      </c>
    </row>
    <row r="502" spans="1:27" x14ac:dyDescent="0.35">
      <c r="A502" s="13" t="s">
        <v>823</v>
      </c>
      <c r="B502" s="13" t="s">
        <v>824</v>
      </c>
      <c r="C502" s="42">
        <f t="shared" si="7"/>
        <v>284.6366908</v>
      </c>
      <c r="D502" s="20" t="s">
        <v>43</v>
      </c>
      <c r="E502" s="20">
        <v>2</v>
      </c>
      <c r="F502" s="20" t="s">
        <v>3983</v>
      </c>
      <c r="G502" s="14">
        <f>(VLOOKUP(D502,'[1]BOM Info General'!$A:$L,12,0))*E502</f>
        <v>130.12</v>
      </c>
      <c r="H502" s="21" t="s">
        <v>41</v>
      </c>
      <c r="I502" s="21">
        <v>1</v>
      </c>
      <c r="J502" s="21" t="s">
        <v>47</v>
      </c>
      <c r="K502" s="15">
        <f>(VLOOKUP(H502,'[1]BOM Info General'!$A:$L,12,0))*I502</f>
        <v>27.18</v>
      </c>
      <c r="L502" s="22" t="s">
        <v>524</v>
      </c>
      <c r="M502" s="22">
        <v>1</v>
      </c>
      <c r="N502" s="22" t="s">
        <v>70</v>
      </c>
      <c r="O502" s="9">
        <f>(VLOOKUP(L502,'[1]Simulation pricing per sub assy'!$D:$E,2,0))*M502</f>
        <v>94.656400000000033</v>
      </c>
      <c r="P502" s="23" t="s">
        <v>50</v>
      </c>
      <c r="Q502" s="23">
        <v>8</v>
      </c>
      <c r="R502" s="23" t="s">
        <v>16</v>
      </c>
      <c r="S502" s="40">
        <f>(VLOOKUP(P502,'[1]BOM Info General'!$A:$L,12,0))*Q502</f>
        <v>21.2</v>
      </c>
      <c r="T502" s="24" t="s">
        <v>28</v>
      </c>
      <c r="U502" s="17">
        <v>1</v>
      </c>
      <c r="V502" s="24" t="s">
        <v>29</v>
      </c>
      <c r="W502" s="17">
        <f>(VLOOKUP(T502,'[1]Simulation pricing per sub assy'!$D:$E,2,0))*U502</f>
        <v>7</v>
      </c>
      <c r="X502" s="25" t="s">
        <v>616</v>
      </c>
      <c r="Y502" s="25">
        <v>1</v>
      </c>
      <c r="Z502" s="25" t="s">
        <v>23</v>
      </c>
      <c r="AA502" s="18">
        <f>(VLOOKUP(X502,'[1]Simulation pricing per sub assy'!$D:$E,2,0))*Y502</f>
        <v>4.4802908000000006</v>
      </c>
    </row>
    <row r="503" spans="1:27" x14ac:dyDescent="0.35">
      <c r="A503" s="13" t="s">
        <v>751</v>
      </c>
      <c r="B503" s="13" t="s">
        <v>752</v>
      </c>
      <c r="C503" s="42">
        <f t="shared" si="7"/>
        <v>285.73669080000002</v>
      </c>
      <c r="D503" s="20" t="s">
        <v>43</v>
      </c>
      <c r="E503" s="20">
        <v>2</v>
      </c>
      <c r="F503" s="20" t="s">
        <v>3983</v>
      </c>
      <c r="G503" s="14">
        <f>(VLOOKUP(D503,'[1]BOM Info General'!$A:$L,12,0))*E503</f>
        <v>130.12</v>
      </c>
      <c r="H503" s="21" t="s">
        <v>41</v>
      </c>
      <c r="I503" s="21">
        <v>1</v>
      </c>
      <c r="J503" s="21" t="s">
        <v>47</v>
      </c>
      <c r="K503" s="15">
        <f>(VLOOKUP(H503,'[1]BOM Info General'!$A:$L,12,0))*I503</f>
        <v>27.18</v>
      </c>
      <c r="L503" s="22" t="s">
        <v>67</v>
      </c>
      <c r="M503" s="22">
        <v>1</v>
      </c>
      <c r="N503" s="22" t="s">
        <v>64</v>
      </c>
      <c r="O503" s="9">
        <f>(VLOOKUP(L503,'[1]Simulation pricing per sub assy'!$D:$E,2,0))*M503</f>
        <v>95.756400000000042</v>
      </c>
      <c r="P503" s="23" t="s">
        <v>50</v>
      </c>
      <c r="Q503" s="23">
        <v>8</v>
      </c>
      <c r="R503" s="23" t="s">
        <v>16</v>
      </c>
      <c r="S503" s="40">
        <f>(VLOOKUP(P503,'[1]BOM Info General'!$A:$L,12,0))*Q503</f>
        <v>21.2</v>
      </c>
      <c r="T503" s="24" t="s">
        <v>28</v>
      </c>
      <c r="U503" s="17">
        <v>1</v>
      </c>
      <c r="V503" s="24" t="s">
        <v>29</v>
      </c>
      <c r="W503" s="17">
        <f>(VLOOKUP(T503,'[1]Simulation pricing per sub assy'!$D:$E,2,0))*U503</f>
        <v>7</v>
      </c>
      <c r="X503" s="25" t="s">
        <v>616</v>
      </c>
      <c r="Y503" s="25">
        <v>1</v>
      </c>
      <c r="Z503" s="25" t="s">
        <v>23</v>
      </c>
      <c r="AA503" s="18">
        <f>(VLOOKUP(X503,'[1]Simulation pricing per sub assy'!$D:$E,2,0))*Y503</f>
        <v>4.4802908000000006</v>
      </c>
    </row>
    <row r="504" spans="1:27" x14ac:dyDescent="0.35">
      <c r="A504" s="13" t="s">
        <v>787</v>
      </c>
      <c r="B504" s="13" t="s">
        <v>788</v>
      </c>
      <c r="C504" s="42">
        <f t="shared" si="7"/>
        <v>285.73669080000002</v>
      </c>
      <c r="D504" s="20" t="s">
        <v>43</v>
      </c>
      <c r="E504" s="20">
        <v>2</v>
      </c>
      <c r="F504" s="20" t="s">
        <v>3983</v>
      </c>
      <c r="G504" s="14">
        <f>(VLOOKUP(D504,'[1]BOM Info General'!$A:$L,12,0))*E504</f>
        <v>130.12</v>
      </c>
      <c r="H504" s="21" t="s">
        <v>41</v>
      </c>
      <c r="I504" s="21">
        <v>1</v>
      </c>
      <c r="J504" s="21" t="s">
        <v>47</v>
      </c>
      <c r="K504" s="15">
        <f>(VLOOKUP(H504,'[1]BOM Info General'!$A:$L,12,0))*I504</f>
        <v>27.18</v>
      </c>
      <c r="L504" s="22" t="s">
        <v>63</v>
      </c>
      <c r="M504" s="22">
        <v>1</v>
      </c>
      <c r="N504" s="22" t="s">
        <v>62</v>
      </c>
      <c r="O504" s="9">
        <f>(VLOOKUP(L504,'[1]Simulation pricing per sub assy'!$D:$E,2,0))*M504</f>
        <v>95.756400000000042</v>
      </c>
      <c r="P504" s="23" t="s">
        <v>50</v>
      </c>
      <c r="Q504" s="23">
        <v>8</v>
      </c>
      <c r="R504" s="23" t="s">
        <v>16</v>
      </c>
      <c r="S504" s="40">
        <f>(VLOOKUP(P504,'[1]BOM Info General'!$A:$L,12,0))*Q504</f>
        <v>21.2</v>
      </c>
      <c r="T504" s="24" t="s">
        <v>28</v>
      </c>
      <c r="U504" s="17">
        <v>1</v>
      </c>
      <c r="V504" s="24" t="s">
        <v>29</v>
      </c>
      <c r="W504" s="17">
        <f>(VLOOKUP(T504,'[1]Simulation pricing per sub assy'!$D:$E,2,0))*U504</f>
        <v>7</v>
      </c>
      <c r="X504" s="25" t="s">
        <v>616</v>
      </c>
      <c r="Y504" s="25">
        <v>1</v>
      </c>
      <c r="Z504" s="25" t="s">
        <v>23</v>
      </c>
      <c r="AA504" s="18">
        <f>(VLOOKUP(X504,'[1]Simulation pricing per sub assy'!$D:$E,2,0))*Y504</f>
        <v>4.4802908000000006</v>
      </c>
    </row>
    <row r="505" spans="1:27" x14ac:dyDescent="0.35">
      <c r="A505" s="13" t="s">
        <v>769</v>
      </c>
      <c r="B505" s="13" t="s">
        <v>770</v>
      </c>
      <c r="C505" s="42">
        <f t="shared" si="7"/>
        <v>285.18669080000001</v>
      </c>
      <c r="D505" s="20" t="s">
        <v>43</v>
      </c>
      <c r="E505" s="20">
        <v>2</v>
      </c>
      <c r="F505" s="20" t="s">
        <v>3983</v>
      </c>
      <c r="G505" s="14">
        <f>(VLOOKUP(D505,'[1]BOM Info General'!$A:$L,12,0))*E505</f>
        <v>130.12</v>
      </c>
      <c r="H505" s="21" t="s">
        <v>41</v>
      </c>
      <c r="I505" s="21">
        <v>1</v>
      </c>
      <c r="J505" s="21" t="s">
        <v>47</v>
      </c>
      <c r="K505" s="15">
        <f>(VLOOKUP(H505,'[1]BOM Info General'!$A:$L,12,0))*I505</f>
        <v>27.18</v>
      </c>
      <c r="L505" s="22" t="s">
        <v>69</v>
      </c>
      <c r="M505" s="22">
        <v>1</v>
      </c>
      <c r="N505" s="22" t="s">
        <v>66</v>
      </c>
      <c r="O505" s="9">
        <f>(VLOOKUP(L505,'[1]Simulation pricing per sub assy'!$D:$E,2,0))*M505</f>
        <v>95.206400000000031</v>
      </c>
      <c r="P505" s="23" t="s">
        <v>50</v>
      </c>
      <c r="Q505" s="23">
        <v>8</v>
      </c>
      <c r="R505" s="23" t="s">
        <v>16</v>
      </c>
      <c r="S505" s="40">
        <f>(VLOOKUP(P505,'[1]BOM Info General'!$A:$L,12,0))*Q505</f>
        <v>21.2</v>
      </c>
      <c r="T505" s="24" t="s">
        <v>28</v>
      </c>
      <c r="U505" s="17">
        <v>1</v>
      </c>
      <c r="V505" s="24" t="s">
        <v>29</v>
      </c>
      <c r="W505" s="17">
        <f>(VLOOKUP(T505,'[1]Simulation pricing per sub assy'!$D:$E,2,0))*U505</f>
        <v>7</v>
      </c>
      <c r="X505" s="25" t="s">
        <v>616</v>
      </c>
      <c r="Y505" s="25">
        <v>1</v>
      </c>
      <c r="Z505" s="25" t="s">
        <v>23</v>
      </c>
      <c r="AA505" s="18">
        <f>(VLOOKUP(X505,'[1]Simulation pricing per sub assy'!$D:$E,2,0))*Y505</f>
        <v>4.4802908000000006</v>
      </c>
    </row>
    <row r="506" spans="1:27" x14ac:dyDescent="0.35">
      <c r="A506" s="13" t="s">
        <v>805</v>
      </c>
      <c r="B506" s="13" t="s">
        <v>806</v>
      </c>
      <c r="C506" s="42">
        <f t="shared" si="7"/>
        <v>293.14669079999999</v>
      </c>
      <c r="D506" s="20" t="s">
        <v>43</v>
      </c>
      <c r="E506" s="20">
        <v>2</v>
      </c>
      <c r="F506" s="20" t="s">
        <v>3983</v>
      </c>
      <c r="G506" s="14">
        <f>(VLOOKUP(D506,'[1]BOM Info General'!$A:$L,12,0))*E506</f>
        <v>130.12</v>
      </c>
      <c r="H506" s="21" t="s">
        <v>41</v>
      </c>
      <c r="I506" s="21">
        <v>1</v>
      </c>
      <c r="J506" s="21" t="s">
        <v>47</v>
      </c>
      <c r="K506" s="15">
        <f>(VLOOKUP(H506,'[1]BOM Info General'!$A:$L,12,0))*I506</f>
        <v>27.18</v>
      </c>
      <c r="L506" s="22" t="s">
        <v>65</v>
      </c>
      <c r="M506" s="22">
        <v>1</v>
      </c>
      <c r="N506" s="22" t="s">
        <v>68</v>
      </c>
      <c r="O506" s="9">
        <f>(VLOOKUP(L506,'[1]Simulation pricing per sub assy'!$D:$E,2,0))*M506</f>
        <v>103.16640000000004</v>
      </c>
      <c r="P506" s="23" t="s">
        <v>50</v>
      </c>
      <c r="Q506" s="23">
        <v>8</v>
      </c>
      <c r="R506" s="23" t="s">
        <v>16</v>
      </c>
      <c r="S506" s="40">
        <f>(VLOOKUP(P506,'[1]BOM Info General'!$A:$L,12,0))*Q506</f>
        <v>21.2</v>
      </c>
      <c r="T506" s="24" t="s">
        <v>28</v>
      </c>
      <c r="U506" s="17">
        <v>1</v>
      </c>
      <c r="V506" s="24" t="s">
        <v>29</v>
      </c>
      <c r="W506" s="17">
        <f>(VLOOKUP(T506,'[1]Simulation pricing per sub assy'!$D:$E,2,0))*U506</f>
        <v>7</v>
      </c>
      <c r="X506" s="25" t="s">
        <v>616</v>
      </c>
      <c r="Y506" s="25">
        <v>1</v>
      </c>
      <c r="Z506" s="25" t="s">
        <v>23</v>
      </c>
      <c r="AA506" s="18">
        <f>(VLOOKUP(X506,'[1]Simulation pricing per sub assy'!$D:$E,2,0))*Y506</f>
        <v>4.4802908000000006</v>
      </c>
    </row>
    <row r="507" spans="1:27" x14ac:dyDescent="0.35">
      <c r="A507" s="13" t="s">
        <v>825</v>
      </c>
      <c r="B507" s="13" t="s">
        <v>826</v>
      </c>
      <c r="C507" s="42">
        <f t="shared" si="7"/>
        <v>284.07669079999999</v>
      </c>
      <c r="D507" s="20" t="s">
        <v>43</v>
      </c>
      <c r="E507" s="20">
        <v>2</v>
      </c>
      <c r="F507" s="20" t="s">
        <v>3983</v>
      </c>
      <c r="G507" s="14">
        <f>(VLOOKUP(D507,'[1]BOM Info General'!$A:$L,12,0))*E507</f>
        <v>130.12</v>
      </c>
      <c r="H507" s="21" t="s">
        <v>41</v>
      </c>
      <c r="I507" s="21">
        <v>1</v>
      </c>
      <c r="J507" s="21" t="s">
        <v>47</v>
      </c>
      <c r="K507" s="15">
        <f>(VLOOKUP(H507,'[1]BOM Info General'!$A:$L,12,0))*I507</f>
        <v>27.18</v>
      </c>
      <c r="L507" s="22" t="s">
        <v>524</v>
      </c>
      <c r="M507" s="22">
        <v>1</v>
      </c>
      <c r="N507" s="22" t="s">
        <v>70</v>
      </c>
      <c r="O507" s="9">
        <f>(VLOOKUP(L507,'[1]Simulation pricing per sub assy'!$D:$E,2,0))*M507</f>
        <v>94.656400000000033</v>
      </c>
      <c r="P507" s="23" t="s">
        <v>51</v>
      </c>
      <c r="Q507" s="23">
        <v>8</v>
      </c>
      <c r="R507" s="23" t="s">
        <v>17</v>
      </c>
      <c r="S507" s="40">
        <f>(VLOOKUP(P507,'[1]BOM Info General'!$A:$L,12,0))*Q507</f>
        <v>21.2</v>
      </c>
      <c r="T507" s="24" t="s">
        <v>24</v>
      </c>
      <c r="U507" s="17">
        <v>1</v>
      </c>
      <c r="V507" s="24" t="s">
        <v>25</v>
      </c>
      <c r="W507" s="17">
        <f>(VLOOKUP(T507,'[1]Simulation pricing per sub assy'!$D:$E,2,0))*U507</f>
        <v>6.44</v>
      </c>
      <c r="X507" s="25" t="s">
        <v>616</v>
      </c>
      <c r="Y507" s="25">
        <v>1</v>
      </c>
      <c r="Z507" s="25" t="s">
        <v>23</v>
      </c>
      <c r="AA507" s="18">
        <f>(VLOOKUP(X507,'[1]Simulation pricing per sub assy'!$D:$E,2,0))*Y507</f>
        <v>4.4802908000000006</v>
      </c>
    </row>
    <row r="508" spans="1:27" x14ac:dyDescent="0.35">
      <c r="A508" s="13" t="s">
        <v>753</v>
      </c>
      <c r="B508" s="13" t="s">
        <v>754</v>
      </c>
      <c r="C508" s="42">
        <f t="shared" si="7"/>
        <v>285.17669080000002</v>
      </c>
      <c r="D508" s="20" t="s">
        <v>43</v>
      </c>
      <c r="E508" s="20">
        <v>2</v>
      </c>
      <c r="F508" s="20" t="s">
        <v>3983</v>
      </c>
      <c r="G508" s="14">
        <f>(VLOOKUP(D508,'[1]BOM Info General'!$A:$L,12,0))*E508</f>
        <v>130.12</v>
      </c>
      <c r="H508" s="21" t="s">
        <v>41</v>
      </c>
      <c r="I508" s="21">
        <v>1</v>
      </c>
      <c r="J508" s="21" t="s">
        <v>47</v>
      </c>
      <c r="K508" s="15">
        <f>(VLOOKUP(H508,'[1]BOM Info General'!$A:$L,12,0))*I508</f>
        <v>27.18</v>
      </c>
      <c r="L508" s="22" t="s">
        <v>67</v>
      </c>
      <c r="M508" s="22">
        <v>1</v>
      </c>
      <c r="N508" s="22" t="s">
        <v>64</v>
      </c>
      <c r="O508" s="9">
        <f>(VLOOKUP(L508,'[1]Simulation pricing per sub assy'!$D:$E,2,0))*M508</f>
        <v>95.756400000000042</v>
      </c>
      <c r="P508" s="23" t="s">
        <v>51</v>
      </c>
      <c r="Q508" s="23">
        <v>8</v>
      </c>
      <c r="R508" s="23" t="s">
        <v>17</v>
      </c>
      <c r="S508" s="40">
        <f>(VLOOKUP(P508,'[1]BOM Info General'!$A:$L,12,0))*Q508</f>
        <v>21.2</v>
      </c>
      <c r="T508" s="24" t="s">
        <v>24</v>
      </c>
      <c r="U508" s="17">
        <v>1</v>
      </c>
      <c r="V508" s="24" t="s">
        <v>25</v>
      </c>
      <c r="W508" s="17">
        <f>(VLOOKUP(T508,'[1]Simulation pricing per sub assy'!$D:$E,2,0))*U508</f>
        <v>6.44</v>
      </c>
      <c r="X508" s="25" t="s">
        <v>616</v>
      </c>
      <c r="Y508" s="25">
        <v>1</v>
      </c>
      <c r="Z508" s="25" t="s">
        <v>23</v>
      </c>
      <c r="AA508" s="18">
        <f>(VLOOKUP(X508,'[1]Simulation pricing per sub assy'!$D:$E,2,0))*Y508</f>
        <v>4.4802908000000006</v>
      </c>
    </row>
    <row r="509" spans="1:27" x14ac:dyDescent="0.35">
      <c r="A509" s="13" t="s">
        <v>789</v>
      </c>
      <c r="B509" s="13" t="s">
        <v>790</v>
      </c>
      <c r="C509" s="42">
        <f t="shared" si="7"/>
        <v>285.17669080000002</v>
      </c>
      <c r="D509" s="20" t="s">
        <v>43</v>
      </c>
      <c r="E509" s="20">
        <v>2</v>
      </c>
      <c r="F509" s="20" t="s">
        <v>3983</v>
      </c>
      <c r="G509" s="14">
        <f>(VLOOKUP(D509,'[1]BOM Info General'!$A:$L,12,0))*E509</f>
        <v>130.12</v>
      </c>
      <c r="H509" s="21" t="s">
        <v>41</v>
      </c>
      <c r="I509" s="21">
        <v>1</v>
      </c>
      <c r="J509" s="21" t="s">
        <v>47</v>
      </c>
      <c r="K509" s="15">
        <f>(VLOOKUP(H509,'[1]BOM Info General'!$A:$L,12,0))*I509</f>
        <v>27.18</v>
      </c>
      <c r="L509" s="22" t="s">
        <v>63</v>
      </c>
      <c r="M509" s="22">
        <v>1</v>
      </c>
      <c r="N509" s="22" t="s">
        <v>62</v>
      </c>
      <c r="O509" s="9">
        <f>(VLOOKUP(L509,'[1]Simulation pricing per sub assy'!$D:$E,2,0))*M509</f>
        <v>95.756400000000042</v>
      </c>
      <c r="P509" s="23" t="s">
        <v>51</v>
      </c>
      <c r="Q509" s="23">
        <v>8</v>
      </c>
      <c r="R509" s="23" t="s">
        <v>17</v>
      </c>
      <c r="S509" s="40">
        <f>(VLOOKUP(P509,'[1]BOM Info General'!$A:$L,12,0))*Q509</f>
        <v>21.2</v>
      </c>
      <c r="T509" s="24" t="s">
        <v>24</v>
      </c>
      <c r="U509" s="17">
        <v>1</v>
      </c>
      <c r="V509" s="24" t="s">
        <v>25</v>
      </c>
      <c r="W509" s="17">
        <f>(VLOOKUP(T509,'[1]Simulation pricing per sub assy'!$D:$E,2,0))*U509</f>
        <v>6.44</v>
      </c>
      <c r="X509" s="25" t="s">
        <v>616</v>
      </c>
      <c r="Y509" s="25">
        <v>1</v>
      </c>
      <c r="Z509" s="25" t="s">
        <v>23</v>
      </c>
      <c r="AA509" s="18">
        <f>(VLOOKUP(X509,'[1]Simulation pricing per sub assy'!$D:$E,2,0))*Y509</f>
        <v>4.4802908000000006</v>
      </c>
    </row>
    <row r="510" spans="1:27" x14ac:dyDescent="0.35">
      <c r="A510" s="13" t="s">
        <v>771</v>
      </c>
      <c r="B510" s="13" t="s">
        <v>772</v>
      </c>
      <c r="C510" s="42">
        <f t="shared" si="7"/>
        <v>284.62669080000001</v>
      </c>
      <c r="D510" s="20" t="s">
        <v>43</v>
      </c>
      <c r="E510" s="20">
        <v>2</v>
      </c>
      <c r="F510" s="20" t="s">
        <v>3983</v>
      </c>
      <c r="G510" s="14">
        <f>(VLOOKUP(D510,'[1]BOM Info General'!$A:$L,12,0))*E510</f>
        <v>130.12</v>
      </c>
      <c r="H510" s="21" t="s">
        <v>41</v>
      </c>
      <c r="I510" s="21">
        <v>1</v>
      </c>
      <c r="J510" s="21" t="s">
        <v>47</v>
      </c>
      <c r="K510" s="15">
        <f>(VLOOKUP(H510,'[1]BOM Info General'!$A:$L,12,0))*I510</f>
        <v>27.18</v>
      </c>
      <c r="L510" s="22" t="s">
        <v>69</v>
      </c>
      <c r="M510" s="22">
        <v>1</v>
      </c>
      <c r="N510" s="22" t="s">
        <v>66</v>
      </c>
      <c r="O510" s="9">
        <f>(VLOOKUP(L510,'[1]Simulation pricing per sub assy'!$D:$E,2,0))*M510</f>
        <v>95.206400000000031</v>
      </c>
      <c r="P510" s="23" t="s">
        <v>51</v>
      </c>
      <c r="Q510" s="23">
        <v>8</v>
      </c>
      <c r="R510" s="23" t="s">
        <v>17</v>
      </c>
      <c r="S510" s="40">
        <f>(VLOOKUP(P510,'[1]BOM Info General'!$A:$L,12,0))*Q510</f>
        <v>21.2</v>
      </c>
      <c r="T510" s="24" t="s">
        <v>24</v>
      </c>
      <c r="U510" s="17">
        <v>1</v>
      </c>
      <c r="V510" s="24" t="s">
        <v>25</v>
      </c>
      <c r="W510" s="17">
        <f>(VLOOKUP(T510,'[1]Simulation pricing per sub assy'!$D:$E,2,0))*U510</f>
        <v>6.44</v>
      </c>
      <c r="X510" s="25" t="s">
        <v>616</v>
      </c>
      <c r="Y510" s="25">
        <v>1</v>
      </c>
      <c r="Z510" s="25" t="s">
        <v>23</v>
      </c>
      <c r="AA510" s="18">
        <f>(VLOOKUP(X510,'[1]Simulation pricing per sub assy'!$D:$E,2,0))*Y510</f>
        <v>4.4802908000000006</v>
      </c>
    </row>
    <row r="511" spans="1:27" x14ac:dyDescent="0.35">
      <c r="A511" s="13" t="s">
        <v>807</v>
      </c>
      <c r="B511" s="13" t="s">
        <v>808</v>
      </c>
      <c r="C511" s="42">
        <f t="shared" si="7"/>
        <v>292.58669079999999</v>
      </c>
      <c r="D511" s="20" t="s">
        <v>43</v>
      </c>
      <c r="E511" s="20">
        <v>2</v>
      </c>
      <c r="F511" s="20" t="s">
        <v>3983</v>
      </c>
      <c r="G511" s="14">
        <f>(VLOOKUP(D511,'[1]BOM Info General'!$A:$L,12,0))*E511</f>
        <v>130.12</v>
      </c>
      <c r="H511" s="21" t="s">
        <v>41</v>
      </c>
      <c r="I511" s="21">
        <v>1</v>
      </c>
      <c r="J511" s="21" t="s">
        <v>47</v>
      </c>
      <c r="K511" s="15">
        <f>(VLOOKUP(H511,'[1]BOM Info General'!$A:$L,12,0))*I511</f>
        <v>27.18</v>
      </c>
      <c r="L511" s="22" t="s">
        <v>65</v>
      </c>
      <c r="M511" s="22">
        <v>1</v>
      </c>
      <c r="N511" s="22" t="s">
        <v>68</v>
      </c>
      <c r="O511" s="9">
        <f>(VLOOKUP(L511,'[1]Simulation pricing per sub assy'!$D:$E,2,0))*M511</f>
        <v>103.16640000000004</v>
      </c>
      <c r="P511" s="23" t="s">
        <v>51</v>
      </c>
      <c r="Q511" s="23">
        <v>8</v>
      </c>
      <c r="R511" s="23" t="s">
        <v>17</v>
      </c>
      <c r="S511" s="40">
        <f>(VLOOKUP(P511,'[1]BOM Info General'!$A:$L,12,0))*Q511</f>
        <v>21.2</v>
      </c>
      <c r="T511" s="24" t="s">
        <v>24</v>
      </c>
      <c r="U511" s="17">
        <v>1</v>
      </c>
      <c r="V511" s="24" t="s">
        <v>25</v>
      </c>
      <c r="W511" s="17">
        <f>(VLOOKUP(T511,'[1]Simulation pricing per sub assy'!$D:$E,2,0))*U511</f>
        <v>6.44</v>
      </c>
      <c r="X511" s="25" t="s">
        <v>616</v>
      </c>
      <c r="Y511" s="25">
        <v>1</v>
      </c>
      <c r="Z511" s="25" t="s">
        <v>23</v>
      </c>
      <c r="AA511" s="18">
        <f>(VLOOKUP(X511,'[1]Simulation pricing per sub assy'!$D:$E,2,0))*Y511</f>
        <v>4.4802908000000006</v>
      </c>
    </row>
    <row r="512" spans="1:27" x14ac:dyDescent="0.35">
      <c r="A512" s="13" t="s">
        <v>827</v>
      </c>
      <c r="B512" s="13" t="s">
        <v>828</v>
      </c>
      <c r="C512" s="42">
        <f t="shared" si="7"/>
        <v>284.67669080000002</v>
      </c>
      <c r="D512" s="20" t="s">
        <v>43</v>
      </c>
      <c r="E512" s="20">
        <v>2</v>
      </c>
      <c r="F512" s="20" t="s">
        <v>3983</v>
      </c>
      <c r="G512" s="14">
        <f>(VLOOKUP(D512,'[1]BOM Info General'!$A:$L,12,0))*E512</f>
        <v>130.12</v>
      </c>
      <c r="H512" s="21" t="s">
        <v>41</v>
      </c>
      <c r="I512" s="21">
        <v>1</v>
      </c>
      <c r="J512" s="21" t="s">
        <v>47</v>
      </c>
      <c r="K512" s="15">
        <f>(VLOOKUP(H512,'[1]BOM Info General'!$A:$L,12,0))*I512</f>
        <v>27.18</v>
      </c>
      <c r="L512" s="22" t="s">
        <v>524</v>
      </c>
      <c r="M512" s="22">
        <v>1</v>
      </c>
      <c r="N512" s="22" t="s">
        <v>70</v>
      </c>
      <c r="O512" s="9">
        <f>(VLOOKUP(L512,'[1]Simulation pricing per sub assy'!$D:$E,2,0))*M512</f>
        <v>94.656400000000033</v>
      </c>
      <c r="P512" s="23" t="s">
        <v>51</v>
      </c>
      <c r="Q512" s="23">
        <v>8</v>
      </c>
      <c r="R512" s="23" t="s">
        <v>17</v>
      </c>
      <c r="S512" s="40">
        <f>(VLOOKUP(P512,'[1]BOM Info General'!$A:$L,12,0))*Q512</f>
        <v>21.2</v>
      </c>
      <c r="T512" s="24" t="s">
        <v>26</v>
      </c>
      <c r="U512" s="17">
        <v>1</v>
      </c>
      <c r="V512" s="24" t="s">
        <v>27</v>
      </c>
      <c r="W512" s="17">
        <f>(VLOOKUP(T512,'[1]Simulation pricing per sub assy'!$D:$E,2,0))*U512</f>
        <v>7.04</v>
      </c>
      <c r="X512" s="25" t="s">
        <v>616</v>
      </c>
      <c r="Y512" s="25">
        <v>1</v>
      </c>
      <c r="Z512" s="25" t="s">
        <v>23</v>
      </c>
      <c r="AA512" s="18">
        <f>(VLOOKUP(X512,'[1]Simulation pricing per sub assy'!$D:$E,2,0))*Y512</f>
        <v>4.4802908000000006</v>
      </c>
    </row>
    <row r="513" spans="1:27" x14ac:dyDescent="0.35">
      <c r="A513" s="13" t="s">
        <v>755</v>
      </c>
      <c r="B513" s="13" t="s">
        <v>756</v>
      </c>
      <c r="C513" s="42">
        <f t="shared" si="7"/>
        <v>285.77669080000004</v>
      </c>
      <c r="D513" s="20" t="s">
        <v>43</v>
      </c>
      <c r="E513" s="20">
        <v>2</v>
      </c>
      <c r="F513" s="20" t="s">
        <v>3983</v>
      </c>
      <c r="G513" s="14">
        <f>(VLOOKUP(D513,'[1]BOM Info General'!$A:$L,12,0))*E513</f>
        <v>130.12</v>
      </c>
      <c r="H513" s="21" t="s">
        <v>41</v>
      </c>
      <c r="I513" s="21">
        <v>1</v>
      </c>
      <c r="J513" s="21" t="s">
        <v>47</v>
      </c>
      <c r="K513" s="15">
        <f>(VLOOKUP(H513,'[1]BOM Info General'!$A:$L,12,0))*I513</f>
        <v>27.18</v>
      </c>
      <c r="L513" s="22" t="s">
        <v>67</v>
      </c>
      <c r="M513" s="22">
        <v>1</v>
      </c>
      <c r="N513" s="22" t="s">
        <v>64</v>
      </c>
      <c r="O513" s="9">
        <f>(VLOOKUP(L513,'[1]Simulation pricing per sub assy'!$D:$E,2,0))*M513</f>
        <v>95.756400000000042</v>
      </c>
      <c r="P513" s="23" t="s">
        <v>51</v>
      </c>
      <c r="Q513" s="23">
        <v>8</v>
      </c>
      <c r="R513" s="23" t="s">
        <v>17</v>
      </c>
      <c r="S513" s="40">
        <f>(VLOOKUP(P513,'[1]BOM Info General'!$A:$L,12,0))*Q513</f>
        <v>21.2</v>
      </c>
      <c r="T513" s="24" t="s">
        <v>26</v>
      </c>
      <c r="U513" s="17">
        <v>1</v>
      </c>
      <c r="V513" s="24" t="s">
        <v>27</v>
      </c>
      <c r="W513" s="17">
        <f>(VLOOKUP(T513,'[1]Simulation pricing per sub assy'!$D:$E,2,0))*U513</f>
        <v>7.04</v>
      </c>
      <c r="X513" s="25" t="s">
        <v>616</v>
      </c>
      <c r="Y513" s="25">
        <v>1</v>
      </c>
      <c r="Z513" s="25" t="s">
        <v>23</v>
      </c>
      <c r="AA513" s="18">
        <f>(VLOOKUP(X513,'[1]Simulation pricing per sub assy'!$D:$E,2,0))*Y513</f>
        <v>4.4802908000000006</v>
      </c>
    </row>
    <row r="514" spans="1:27" x14ac:dyDescent="0.35">
      <c r="A514" s="13" t="s">
        <v>791</v>
      </c>
      <c r="B514" s="13" t="s">
        <v>792</v>
      </c>
      <c r="C514" s="42">
        <f t="shared" si="7"/>
        <v>285.77669080000004</v>
      </c>
      <c r="D514" s="20" t="s">
        <v>43</v>
      </c>
      <c r="E514" s="20">
        <v>2</v>
      </c>
      <c r="F514" s="20" t="s">
        <v>3983</v>
      </c>
      <c r="G514" s="14">
        <f>(VLOOKUP(D514,'[1]BOM Info General'!$A:$L,12,0))*E514</f>
        <v>130.12</v>
      </c>
      <c r="H514" s="21" t="s">
        <v>41</v>
      </c>
      <c r="I514" s="21">
        <v>1</v>
      </c>
      <c r="J514" s="21" t="s">
        <v>47</v>
      </c>
      <c r="K514" s="15">
        <f>(VLOOKUP(H514,'[1]BOM Info General'!$A:$L,12,0))*I514</f>
        <v>27.18</v>
      </c>
      <c r="L514" s="22" t="s">
        <v>63</v>
      </c>
      <c r="M514" s="22">
        <v>1</v>
      </c>
      <c r="N514" s="22" t="s">
        <v>62</v>
      </c>
      <c r="O514" s="9">
        <f>(VLOOKUP(L514,'[1]Simulation pricing per sub assy'!$D:$E,2,0))*M514</f>
        <v>95.756400000000042</v>
      </c>
      <c r="P514" s="23" t="s">
        <v>51</v>
      </c>
      <c r="Q514" s="23">
        <v>8</v>
      </c>
      <c r="R514" s="23" t="s">
        <v>17</v>
      </c>
      <c r="S514" s="40">
        <f>(VLOOKUP(P514,'[1]BOM Info General'!$A:$L,12,0))*Q514</f>
        <v>21.2</v>
      </c>
      <c r="T514" s="24" t="s">
        <v>26</v>
      </c>
      <c r="U514" s="17">
        <v>1</v>
      </c>
      <c r="V514" s="24" t="s">
        <v>27</v>
      </c>
      <c r="W514" s="17">
        <f>(VLOOKUP(T514,'[1]Simulation pricing per sub assy'!$D:$E,2,0))*U514</f>
        <v>7.04</v>
      </c>
      <c r="X514" s="25" t="s">
        <v>616</v>
      </c>
      <c r="Y514" s="25">
        <v>1</v>
      </c>
      <c r="Z514" s="25" t="s">
        <v>23</v>
      </c>
      <c r="AA514" s="18">
        <f>(VLOOKUP(X514,'[1]Simulation pricing per sub assy'!$D:$E,2,0))*Y514</f>
        <v>4.4802908000000006</v>
      </c>
    </row>
    <row r="515" spans="1:27" x14ac:dyDescent="0.35">
      <c r="A515" s="13" t="s">
        <v>773</v>
      </c>
      <c r="B515" s="13" t="s">
        <v>774</v>
      </c>
      <c r="C515" s="42">
        <f t="shared" ref="C515:C578" si="8">SUM(G515+K515+O515+S515+W515+AA515)</f>
        <v>285.22669080000003</v>
      </c>
      <c r="D515" s="20" t="s">
        <v>43</v>
      </c>
      <c r="E515" s="20">
        <v>2</v>
      </c>
      <c r="F515" s="20" t="s">
        <v>3983</v>
      </c>
      <c r="G515" s="14">
        <f>(VLOOKUP(D515,'[1]BOM Info General'!$A:$L,12,0))*E515</f>
        <v>130.12</v>
      </c>
      <c r="H515" s="21" t="s">
        <v>41</v>
      </c>
      <c r="I515" s="21">
        <v>1</v>
      </c>
      <c r="J515" s="21" t="s">
        <v>47</v>
      </c>
      <c r="K515" s="15">
        <f>(VLOOKUP(H515,'[1]BOM Info General'!$A:$L,12,0))*I515</f>
        <v>27.18</v>
      </c>
      <c r="L515" s="22" t="s">
        <v>69</v>
      </c>
      <c r="M515" s="22">
        <v>1</v>
      </c>
      <c r="N515" s="22" t="s">
        <v>66</v>
      </c>
      <c r="O515" s="9">
        <f>(VLOOKUP(L515,'[1]Simulation pricing per sub assy'!$D:$E,2,0))*M515</f>
        <v>95.206400000000031</v>
      </c>
      <c r="P515" s="23" t="s">
        <v>51</v>
      </c>
      <c r="Q515" s="23">
        <v>8</v>
      </c>
      <c r="R515" s="23" t="s">
        <v>17</v>
      </c>
      <c r="S515" s="40">
        <f>(VLOOKUP(P515,'[1]BOM Info General'!$A:$L,12,0))*Q515</f>
        <v>21.2</v>
      </c>
      <c r="T515" s="24" t="s">
        <v>26</v>
      </c>
      <c r="U515" s="17">
        <v>1</v>
      </c>
      <c r="V515" s="24" t="s">
        <v>27</v>
      </c>
      <c r="W515" s="17">
        <f>(VLOOKUP(T515,'[1]Simulation pricing per sub assy'!$D:$E,2,0))*U515</f>
        <v>7.04</v>
      </c>
      <c r="X515" s="25" t="s">
        <v>616</v>
      </c>
      <c r="Y515" s="25">
        <v>1</v>
      </c>
      <c r="Z515" s="25" t="s">
        <v>23</v>
      </c>
      <c r="AA515" s="18">
        <f>(VLOOKUP(X515,'[1]Simulation pricing per sub assy'!$D:$E,2,0))*Y515</f>
        <v>4.4802908000000006</v>
      </c>
    </row>
    <row r="516" spans="1:27" x14ac:dyDescent="0.35">
      <c r="A516" s="13" t="s">
        <v>809</v>
      </c>
      <c r="B516" s="13" t="s">
        <v>810</v>
      </c>
      <c r="C516" s="42">
        <f t="shared" si="8"/>
        <v>293.18669080000001</v>
      </c>
      <c r="D516" s="20" t="s">
        <v>43</v>
      </c>
      <c r="E516" s="20">
        <v>2</v>
      </c>
      <c r="F516" s="20" t="s">
        <v>3983</v>
      </c>
      <c r="G516" s="14">
        <f>(VLOOKUP(D516,'[1]BOM Info General'!$A:$L,12,0))*E516</f>
        <v>130.12</v>
      </c>
      <c r="H516" s="21" t="s">
        <v>41</v>
      </c>
      <c r="I516" s="21">
        <v>1</v>
      </c>
      <c r="J516" s="21" t="s">
        <v>47</v>
      </c>
      <c r="K516" s="15">
        <f>(VLOOKUP(H516,'[1]BOM Info General'!$A:$L,12,0))*I516</f>
        <v>27.18</v>
      </c>
      <c r="L516" s="22" t="s">
        <v>65</v>
      </c>
      <c r="M516" s="22">
        <v>1</v>
      </c>
      <c r="N516" s="22" t="s">
        <v>68</v>
      </c>
      <c r="O516" s="9">
        <f>(VLOOKUP(L516,'[1]Simulation pricing per sub assy'!$D:$E,2,0))*M516</f>
        <v>103.16640000000004</v>
      </c>
      <c r="P516" s="23" t="s">
        <v>51</v>
      </c>
      <c r="Q516" s="23">
        <v>8</v>
      </c>
      <c r="R516" s="23" t="s">
        <v>17</v>
      </c>
      <c r="S516" s="40">
        <f>(VLOOKUP(P516,'[1]BOM Info General'!$A:$L,12,0))*Q516</f>
        <v>21.2</v>
      </c>
      <c r="T516" s="24" t="s">
        <v>26</v>
      </c>
      <c r="U516" s="17">
        <v>1</v>
      </c>
      <c r="V516" s="24" t="s">
        <v>27</v>
      </c>
      <c r="W516" s="17">
        <f>(VLOOKUP(T516,'[1]Simulation pricing per sub assy'!$D:$E,2,0))*U516</f>
        <v>7.04</v>
      </c>
      <c r="X516" s="25" t="s">
        <v>616</v>
      </c>
      <c r="Y516" s="25">
        <v>1</v>
      </c>
      <c r="Z516" s="25" t="s">
        <v>23</v>
      </c>
      <c r="AA516" s="18">
        <f>(VLOOKUP(X516,'[1]Simulation pricing per sub assy'!$D:$E,2,0))*Y516</f>
        <v>4.4802908000000006</v>
      </c>
    </row>
    <row r="517" spans="1:27" x14ac:dyDescent="0.35">
      <c r="A517" s="13" t="s">
        <v>829</v>
      </c>
      <c r="B517" s="13" t="s">
        <v>830</v>
      </c>
      <c r="C517" s="42">
        <f t="shared" si="8"/>
        <v>284.6366908</v>
      </c>
      <c r="D517" s="20" t="s">
        <v>43</v>
      </c>
      <c r="E517" s="20">
        <v>2</v>
      </c>
      <c r="F517" s="20" t="s">
        <v>3983</v>
      </c>
      <c r="G517" s="14">
        <f>(VLOOKUP(D517,'[1]BOM Info General'!$A:$L,12,0))*E517</f>
        <v>130.12</v>
      </c>
      <c r="H517" s="21" t="s">
        <v>41</v>
      </c>
      <c r="I517" s="21">
        <v>1</v>
      </c>
      <c r="J517" s="21" t="s">
        <v>47</v>
      </c>
      <c r="K517" s="15">
        <f>(VLOOKUP(H517,'[1]BOM Info General'!$A:$L,12,0))*I517</f>
        <v>27.18</v>
      </c>
      <c r="L517" s="22" t="s">
        <v>524</v>
      </c>
      <c r="M517" s="22">
        <v>1</v>
      </c>
      <c r="N517" s="22" t="s">
        <v>70</v>
      </c>
      <c r="O517" s="9">
        <f>(VLOOKUP(L517,'[1]Simulation pricing per sub assy'!$D:$E,2,0))*M517</f>
        <v>94.656400000000033</v>
      </c>
      <c r="P517" s="23" t="s">
        <v>51</v>
      </c>
      <c r="Q517" s="23">
        <v>8</v>
      </c>
      <c r="R517" s="23" t="s">
        <v>17</v>
      </c>
      <c r="S517" s="40">
        <f>(VLOOKUP(P517,'[1]BOM Info General'!$A:$L,12,0))*Q517</f>
        <v>21.2</v>
      </c>
      <c r="T517" s="24" t="s">
        <v>28</v>
      </c>
      <c r="U517" s="17">
        <v>1</v>
      </c>
      <c r="V517" s="24" t="s">
        <v>29</v>
      </c>
      <c r="W517" s="17">
        <f>(VLOOKUP(T517,'[1]Simulation pricing per sub assy'!$D:$E,2,0))*U517</f>
        <v>7</v>
      </c>
      <c r="X517" s="25" t="s">
        <v>616</v>
      </c>
      <c r="Y517" s="25">
        <v>1</v>
      </c>
      <c r="Z517" s="25" t="s">
        <v>23</v>
      </c>
      <c r="AA517" s="18">
        <f>(VLOOKUP(X517,'[1]Simulation pricing per sub assy'!$D:$E,2,0))*Y517</f>
        <v>4.4802908000000006</v>
      </c>
    </row>
    <row r="518" spans="1:27" x14ac:dyDescent="0.35">
      <c r="A518" s="13" t="s">
        <v>757</v>
      </c>
      <c r="B518" s="13" t="s">
        <v>758</v>
      </c>
      <c r="C518" s="42">
        <f t="shared" si="8"/>
        <v>285.73669080000002</v>
      </c>
      <c r="D518" s="20" t="s">
        <v>43</v>
      </c>
      <c r="E518" s="20">
        <v>2</v>
      </c>
      <c r="F518" s="20" t="s">
        <v>3983</v>
      </c>
      <c r="G518" s="14">
        <f>(VLOOKUP(D518,'[1]BOM Info General'!$A:$L,12,0))*E518</f>
        <v>130.12</v>
      </c>
      <c r="H518" s="21" t="s">
        <v>41</v>
      </c>
      <c r="I518" s="21">
        <v>1</v>
      </c>
      <c r="J518" s="21" t="s">
        <v>47</v>
      </c>
      <c r="K518" s="15">
        <f>(VLOOKUP(H518,'[1]BOM Info General'!$A:$L,12,0))*I518</f>
        <v>27.18</v>
      </c>
      <c r="L518" s="22" t="s">
        <v>67</v>
      </c>
      <c r="M518" s="22">
        <v>1</v>
      </c>
      <c r="N518" s="22" t="s">
        <v>64</v>
      </c>
      <c r="O518" s="9">
        <f>(VLOOKUP(L518,'[1]Simulation pricing per sub assy'!$D:$E,2,0))*M518</f>
        <v>95.756400000000042</v>
      </c>
      <c r="P518" s="23" t="s">
        <v>51</v>
      </c>
      <c r="Q518" s="23">
        <v>8</v>
      </c>
      <c r="R518" s="23" t="s">
        <v>17</v>
      </c>
      <c r="S518" s="40">
        <f>(VLOOKUP(P518,'[1]BOM Info General'!$A:$L,12,0))*Q518</f>
        <v>21.2</v>
      </c>
      <c r="T518" s="24" t="s">
        <v>28</v>
      </c>
      <c r="U518" s="17">
        <v>1</v>
      </c>
      <c r="V518" s="24" t="s">
        <v>29</v>
      </c>
      <c r="W518" s="17">
        <f>(VLOOKUP(T518,'[1]Simulation pricing per sub assy'!$D:$E,2,0))*U518</f>
        <v>7</v>
      </c>
      <c r="X518" s="25" t="s">
        <v>616</v>
      </c>
      <c r="Y518" s="25">
        <v>1</v>
      </c>
      <c r="Z518" s="25" t="s">
        <v>23</v>
      </c>
      <c r="AA518" s="18">
        <f>(VLOOKUP(X518,'[1]Simulation pricing per sub assy'!$D:$E,2,0))*Y518</f>
        <v>4.4802908000000006</v>
      </c>
    </row>
    <row r="519" spans="1:27" x14ac:dyDescent="0.35">
      <c r="A519" s="13" t="s">
        <v>793</v>
      </c>
      <c r="B519" s="13" t="s">
        <v>794</v>
      </c>
      <c r="C519" s="42">
        <f t="shared" si="8"/>
        <v>285.73669080000002</v>
      </c>
      <c r="D519" s="20" t="s">
        <v>43</v>
      </c>
      <c r="E519" s="20">
        <v>2</v>
      </c>
      <c r="F519" s="20" t="s">
        <v>3983</v>
      </c>
      <c r="G519" s="14">
        <f>(VLOOKUP(D519,'[1]BOM Info General'!$A:$L,12,0))*E519</f>
        <v>130.12</v>
      </c>
      <c r="H519" s="21" t="s">
        <v>41</v>
      </c>
      <c r="I519" s="21">
        <v>1</v>
      </c>
      <c r="J519" s="21" t="s">
        <v>47</v>
      </c>
      <c r="K519" s="15">
        <f>(VLOOKUP(H519,'[1]BOM Info General'!$A:$L,12,0))*I519</f>
        <v>27.18</v>
      </c>
      <c r="L519" s="22" t="s">
        <v>63</v>
      </c>
      <c r="M519" s="22">
        <v>1</v>
      </c>
      <c r="N519" s="22" t="s">
        <v>62</v>
      </c>
      <c r="O519" s="9">
        <f>(VLOOKUP(L519,'[1]Simulation pricing per sub assy'!$D:$E,2,0))*M519</f>
        <v>95.756400000000042</v>
      </c>
      <c r="P519" s="23" t="s">
        <v>51</v>
      </c>
      <c r="Q519" s="23">
        <v>8</v>
      </c>
      <c r="R519" s="23" t="s">
        <v>17</v>
      </c>
      <c r="S519" s="40">
        <f>(VLOOKUP(P519,'[1]BOM Info General'!$A:$L,12,0))*Q519</f>
        <v>21.2</v>
      </c>
      <c r="T519" s="24" t="s">
        <v>28</v>
      </c>
      <c r="U519" s="17">
        <v>1</v>
      </c>
      <c r="V519" s="24" t="s">
        <v>29</v>
      </c>
      <c r="W519" s="17">
        <f>(VLOOKUP(T519,'[1]Simulation pricing per sub assy'!$D:$E,2,0))*U519</f>
        <v>7</v>
      </c>
      <c r="X519" s="25" t="s">
        <v>616</v>
      </c>
      <c r="Y519" s="25">
        <v>1</v>
      </c>
      <c r="Z519" s="25" t="s">
        <v>23</v>
      </c>
      <c r="AA519" s="18">
        <f>(VLOOKUP(X519,'[1]Simulation pricing per sub assy'!$D:$E,2,0))*Y519</f>
        <v>4.4802908000000006</v>
      </c>
    </row>
    <row r="520" spans="1:27" x14ac:dyDescent="0.35">
      <c r="A520" s="13" t="s">
        <v>775</v>
      </c>
      <c r="B520" s="13" t="s">
        <v>776</v>
      </c>
      <c r="C520" s="42">
        <f t="shared" si="8"/>
        <v>285.18669080000001</v>
      </c>
      <c r="D520" s="20" t="s">
        <v>43</v>
      </c>
      <c r="E520" s="20">
        <v>2</v>
      </c>
      <c r="F520" s="20" t="s">
        <v>3983</v>
      </c>
      <c r="G520" s="14">
        <f>(VLOOKUP(D520,'[1]BOM Info General'!$A:$L,12,0))*E520</f>
        <v>130.12</v>
      </c>
      <c r="H520" s="21" t="s">
        <v>41</v>
      </c>
      <c r="I520" s="21">
        <v>1</v>
      </c>
      <c r="J520" s="21" t="s">
        <v>47</v>
      </c>
      <c r="K520" s="15">
        <f>(VLOOKUP(H520,'[1]BOM Info General'!$A:$L,12,0))*I520</f>
        <v>27.18</v>
      </c>
      <c r="L520" s="22" t="s">
        <v>69</v>
      </c>
      <c r="M520" s="22">
        <v>1</v>
      </c>
      <c r="N520" s="22" t="s">
        <v>66</v>
      </c>
      <c r="O520" s="9">
        <f>(VLOOKUP(L520,'[1]Simulation pricing per sub assy'!$D:$E,2,0))*M520</f>
        <v>95.206400000000031</v>
      </c>
      <c r="P520" s="23" t="s">
        <v>51</v>
      </c>
      <c r="Q520" s="23">
        <v>8</v>
      </c>
      <c r="R520" s="23" t="s">
        <v>17</v>
      </c>
      <c r="S520" s="40">
        <f>(VLOOKUP(P520,'[1]BOM Info General'!$A:$L,12,0))*Q520</f>
        <v>21.2</v>
      </c>
      <c r="T520" s="24" t="s">
        <v>28</v>
      </c>
      <c r="U520" s="17">
        <v>1</v>
      </c>
      <c r="V520" s="24" t="s">
        <v>29</v>
      </c>
      <c r="W520" s="17">
        <f>(VLOOKUP(T520,'[1]Simulation pricing per sub assy'!$D:$E,2,0))*U520</f>
        <v>7</v>
      </c>
      <c r="X520" s="25" t="s">
        <v>616</v>
      </c>
      <c r="Y520" s="25">
        <v>1</v>
      </c>
      <c r="Z520" s="25" t="s">
        <v>23</v>
      </c>
      <c r="AA520" s="18">
        <f>(VLOOKUP(X520,'[1]Simulation pricing per sub assy'!$D:$E,2,0))*Y520</f>
        <v>4.4802908000000006</v>
      </c>
    </row>
    <row r="521" spans="1:27" x14ac:dyDescent="0.35">
      <c r="A521" s="13" t="s">
        <v>811</v>
      </c>
      <c r="B521" s="13" t="s">
        <v>812</v>
      </c>
      <c r="C521" s="42">
        <f t="shared" si="8"/>
        <v>293.14669079999999</v>
      </c>
      <c r="D521" s="20" t="s">
        <v>43</v>
      </c>
      <c r="E521" s="20">
        <v>2</v>
      </c>
      <c r="F521" s="20" t="s">
        <v>3983</v>
      </c>
      <c r="G521" s="14">
        <f>(VLOOKUP(D521,'[1]BOM Info General'!$A:$L,12,0))*E521</f>
        <v>130.12</v>
      </c>
      <c r="H521" s="21" t="s">
        <v>41</v>
      </c>
      <c r="I521" s="21">
        <v>1</v>
      </c>
      <c r="J521" s="21" t="s">
        <v>47</v>
      </c>
      <c r="K521" s="15">
        <f>(VLOOKUP(H521,'[1]BOM Info General'!$A:$L,12,0))*I521</f>
        <v>27.18</v>
      </c>
      <c r="L521" s="22" t="s">
        <v>65</v>
      </c>
      <c r="M521" s="22">
        <v>1</v>
      </c>
      <c r="N521" s="22" t="s">
        <v>68</v>
      </c>
      <c r="O521" s="9">
        <f>(VLOOKUP(L521,'[1]Simulation pricing per sub assy'!$D:$E,2,0))*M521</f>
        <v>103.16640000000004</v>
      </c>
      <c r="P521" s="23" t="s">
        <v>51</v>
      </c>
      <c r="Q521" s="23">
        <v>8</v>
      </c>
      <c r="R521" s="23" t="s">
        <v>17</v>
      </c>
      <c r="S521" s="40">
        <f>(VLOOKUP(P521,'[1]BOM Info General'!$A:$L,12,0))*Q521</f>
        <v>21.2</v>
      </c>
      <c r="T521" s="24" t="s">
        <v>28</v>
      </c>
      <c r="U521" s="17">
        <v>1</v>
      </c>
      <c r="V521" s="24" t="s">
        <v>29</v>
      </c>
      <c r="W521" s="17">
        <f>(VLOOKUP(T521,'[1]Simulation pricing per sub assy'!$D:$E,2,0))*U521</f>
        <v>7</v>
      </c>
      <c r="X521" s="25" t="s">
        <v>616</v>
      </c>
      <c r="Y521" s="25">
        <v>1</v>
      </c>
      <c r="Z521" s="25" t="s">
        <v>23</v>
      </c>
      <c r="AA521" s="18">
        <f>(VLOOKUP(X521,'[1]Simulation pricing per sub assy'!$D:$E,2,0))*Y521</f>
        <v>4.4802908000000006</v>
      </c>
    </row>
    <row r="522" spans="1:27" x14ac:dyDescent="0.35">
      <c r="A522" s="13" t="s">
        <v>831</v>
      </c>
      <c r="B522" s="13" t="s">
        <v>832</v>
      </c>
      <c r="C522" s="42">
        <f t="shared" si="8"/>
        <v>284.07669079999999</v>
      </c>
      <c r="D522" s="20" t="s">
        <v>43</v>
      </c>
      <c r="E522" s="20">
        <v>2</v>
      </c>
      <c r="F522" s="20" t="s">
        <v>3983</v>
      </c>
      <c r="G522" s="14">
        <f>(VLOOKUP(D522,'[1]BOM Info General'!$A:$L,12,0))*E522</f>
        <v>130.12</v>
      </c>
      <c r="H522" s="21" t="s">
        <v>41</v>
      </c>
      <c r="I522" s="21">
        <v>1</v>
      </c>
      <c r="J522" s="21" t="s">
        <v>47</v>
      </c>
      <c r="K522" s="15">
        <f>(VLOOKUP(H522,'[1]BOM Info General'!$A:$L,12,0))*I522</f>
        <v>27.18</v>
      </c>
      <c r="L522" s="22" t="s">
        <v>524</v>
      </c>
      <c r="M522" s="22">
        <v>1</v>
      </c>
      <c r="N522" s="22" t="s">
        <v>70</v>
      </c>
      <c r="O522" s="9">
        <f>(VLOOKUP(L522,'[1]Simulation pricing per sub assy'!$D:$E,2,0))*M522</f>
        <v>94.656400000000033</v>
      </c>
      <c r="P522" s="23" t="s">
        <v>52</v>
      </c>
      <c r="Q522" s="23">
        <v>8</v>
      </c>
      <c r="R522" s="23" t="s">
        <v>18</v>
      </c>
      <c r="S522" s="40">
        <f>(VLOOKUP(P522,'[1]BOM Info General'!$A:$L,12,0))*Q522</f>
        <v>21.2</v>
      </c>
      <c r="T522" s="24" t="s">
        <v>24</v>
      </c>
      <c r="U522" s="17">
        <v>1</v>
      </c>
      <c r="V522" s="24" t="s">
        <v>25</v>
      </c>
      <c r="W522" s="17">
        <f>(VLOOKUP(T522,'[1]Simulation pricing per sub assy'!$D:$E,2,0))*U522</f>
        <v>6.44</v>
      </c>
      <c r="X522" s="25" t="s">
        <v>616</v>
      </c>
      <c r="Y522" s="25">
        <v>1</v>
      </c>
      <c r="Z522" s="25" t="s">
        <v>23</v>
      </c>
      <c r="AA522" s="18">
        <f>(VLOOKUP(X522,'[1]Simulation pricing per sub assy'!$D:$E,2,0))*Y522</f>
        <v>4.4802908000000006</v>
      </c>
    </row>
    <row r="523" spans="1:27" x14ac:dyDescent="0.35">
      <c r="A523" s="13" t="s">
        <v>759</v>
      </c>
      <c r="B523" s="13" t="s">
        <v>760</v>
      </c>
      <c r="C523" s="42">
        <f t="shared" si="8"/>
        <v>285.17669080000002</v>
      </c>
      <c r="D523" s="20" t="s">
        <v>43</v>
      </c>
      <c r="E523" s="20">
        <v>2</v>
      </c>
      <c r="F523" s="20" t="s">
        <v>3983</v>
      </c>
      <c r="G523" s="14">
        <f>(VLOOKUP(D523,'[1]BOM Info General'!$A:$L,12,0))*E523</f>
        <v>130.12</v>
      </c>
      <c r="H523" s="21" t="s">
        <v>41</v>
      </c>
      <c r="I523" s="21">
        <v>1</v>
      </c>
      <c r="J523" s="21" t="s">
        <v>47</v>
      </c>
      <c r="K523" s="15">
        <f>(VLOOKUP(H523,'[1]BOM Info General'!$A:$L,12,0))*I523</f>
        <v>27.18</v>
      </c>
      <c r="L523" s="22" t="s">
        <v>67</v>
      </c>
      <c r="M523" s="22">
        <v>1</v>
      </c>
      <c r="N523" s="22" t="s">
        <v>64</v>
      </c>
      <c r="O523" s="9">
        <f>(VLOOKUP(L523,'[1]Simulation pricing per sub assy'!$D:$E,2,0))*M523</f>
        <v>95.756400000000042</v>
      </c>
      <c r="P523" s="23" t="s">
        <v>52</v>
      </c>
      <c r="Q523" s="23">
        <v>8</v>
      </c>
      <c r="R523" s="23" t="s">
        <v>18</v>
      </c>
      <c r="S523" s="40">
        <f>(VLOOKUP(P523,'[1]BOM Info General'!$A:$L,12,0))*Q523</f>
        <v>21.2</v>
      </c>
      <c r="T523" s="24" t="s">
        <v>24</v>
      </c>
      <c r="U523" s="17">
        <v>1</v>
      </c>
      <c r="V523" s="24" t="s">
        <v>25</v>
      </c>
      <c r="W523" s="17">
        <f>(VLOOKUP(T523,'[1]Simulation pricing per sub assy'!$D:$E,2,0))*U523</f>
        <v>6.44</v>
      </c>
      <c r="X523" s="25" t="s">
        <v>616</v>
      </c>
      <c r="Y523" s="25">
        <v>1</v>
      </c>
      <c r="Z523" s="25" t="s">
        <v>23</v>
      </c>
      <c r="AA523" s="18">
        <f>(VLOOKUP(X523,'[1]Simulation pricing per sub assy'!$D:$E,2,0))*Y523</f>
        <v>4.4802908000000006</v>
      </c>
    </row>
    <row r="524" spans="1:27" x14ac:dyDescent="0.35">
      <c r="A524" s="13" t="s">
        <v>795</v>
      </c>
      <c r="B524" s="13" t="s">
        <v>796</v>
      </c>
      <c r="C524" s="42">
        <f t="shared" si="8"/>
        <v>285.17669080000002</v>
      </c>
      <c r="D524" s="20" t="s">
        <v>43</v>
      </c>
      <c r="E524" s="20">
        <v>2</v>
      </c>
      <c r="F524" s="20" t="s">
        <v>3983</v>
      </c>
      <c r="G524" s="14">
        <f>(VLOOKUP(D524,'[1]BOM Info General'!$A:$L,12,0))*E524</f>
        <v>130.12</v>
      </c>
      <c r="H524" s="21" t="s">
        <v>41</v>
      </c>
      <c r="I524" s="21">
        <v>1</v>
      </c>
      <c r="J524" s="21" t="s">
        <v>47</v>
      </c>
      <c r="K524" s="15">
        <f>(VLOOKUP(H524,'[1]BOM Info General'!$A:$L,12,0))*I524</f>
        <v>27.18</v>
      </c>
      <c r="L524" s="22" t="s">
        <v>63</v>
      </c>
      <c r="M524" s="22">
        <v>1</v>
      </c>
      <c r="N524" s="22" t="s">
        <v>62</v>
      </c>
      <c r="O524" s="9">
        <f>(VLOOKUP(L524,'[1]Simulation pricing per sub assy'!$D:$E,2,0))*M524</f>
        <v>95.756400000000042</v>
      </c>
      <c r="P524" s="23" t="s">
        <v>52</v>
      </c>
      <c r="Q524" s="23">
        <v>8</v>
      </c>
      <c r="R524" s="23" t="s">
        <v>18</v>
      </c>
      <c r="S524" s="40">
        <f>(VLOOKUP(P524,'[1]BOM Info General'!$A:$L,12,0))*Q524</f>
        <v>21.2</v>
      </c>
      <c r="T524" s="24" t="s">
        <v>24</v>
      </c>
      <c r="U524" s="17">
        <v>1</v>
      </c>
      <c r="V524" s="24" t="s">
        <v>25</v>
      </c>
      <c r="W524" s="17">
        <f>(VLOOKUP(T524,'[1]Simulation pricing per sub assy'!$D:$E,2,0))*U524</f>
        <v>6.44</v>
      </c>
      <c r="X524" s="25" t="s">
        <v>616</v>
      </c>
      <c r="Y524" s="25">
        <v>1</v>
      </c>
      <c r="Z524" s="25" t="s">
        <v>23</v>
      </c>
      <c r="AA524" s="18">
        <f>(VLOOKUP(X524,'[1]Simulation pricing per sub assy'!$D:$E,2,0))*Y524</f>
        <v>4.4802908000000006</v>
      </c>
    </row>
    <row r="525" spans="1:27" x14ac:dyDescent="0.35">
      <c r="A525" s="13" t="s">
        <v>777</v>
      </c>
      <c r="B525" s="13" t="s">
        <v>778</v>
      </c>
      <c r="C525" s="42">
        <f t="shared" si="8"/>
        <v>284.62669080000001</v>
      </c>
      <c r="D525" s="20" t="s">
        <v>43</v>
      </c>
      <c r="E525" s="20">
        <v>2</v>
      </c>
      <c r="F525" s="20" t="s">
        <v>3983</v>
      </c>
      <c r="G525" s="14">
        <f>(VLOOKUP(D525,'[1]BOM Info General'!$A:$L,12,0))*E525</f>
        <v>130.12</v>
      </c>
      <c r="H525" s="21" t="s">
        <v>41</v>
      </c>
      <c r="I525" s="21">
        <v>1</v>
      </c>
      <c r="J525" s="21" t="s">
        <v>47</v>
      </c>
      <c r="K525" s="15">
        <f>(VLOOKUP(H525,'[1]BOM Info General'!$A:$L,12,0))*I525</f>
        <v>27.18</v>
      </c>
      <c r="L525" s="22" t="s">
        <v>69</v>
      </c>
      <c r="M525" s="22">
        <v>1</v>
      </c>
      <c r="N525" s="22" t="s">
        <v>66</v>
      </c>
      <c r="O525" s="9">
        <f>(VLOOKUP(L525,'[1]Simulation pricing per sub assy'!$D:$E,2,0))*M525</f>
        <v>95.206400000000031</v>
      </c>
      <c r="P525" s="23" t="s">
        <v>52</v>
      </c>
      <c r="Q525" s="23">
        <v>8</v>
      </c>
      <c r="R525" s="23" t="s">
        <v>18</v>
      </c>
      <c r="S525" s="40">
        <f>(VLOOKUP(P525,'[1]BOM Info General'!$A:$L,12,0))*Q525</f>
        <v>21.2</v>
      </c>
      <c r="T525" s="24" t="s">
        <v>24</v>
      </c>
      <c r="U525" s="17">
        <v>1</v>
      </c>
      <c r="V525" s="24" t="s">
        <v>25</v>
      </c>
      <c r="W525" s="17">
        <f>(VLOOKUP(T525,'[1]Simulation pricing per sub assy'!$D:$E,2,0))*U525</f>
        <v>6.44</v>
      </c>
      <c r="X525" s="25" t="s">
        <v>616</v>
      </c>
      <c r="Y525" s="25">
        <v>1</v>
      </c>
      <c r="Z525" s="25" t="s">
        <v>23</v>
      </c>
      <c r="AA525" s="18">
        <f>(VLOOKUP(X525,'[1]Simulation pricing per sub assy'!$D:$E,2,0))*Y525</f>
        <v>4.4802908000000006</v>
      </c>
    </row>
    <row r="526" spans="1:27" x14ac:dyDescent="0.35">
      <c r="A526" s="13" t="s">
        <v>813</v>
      </c>
      <c r="B526" s="13" t="s">
        <v>814</v>
      </c>
      <c r="C526" s="42">
        <f t="shared" si="8"/>
        <v>292.58669079999999</v>
      </c>
      <c r="D526" s="20" t="s">
        <v>43</v>
      </c>
      <c r="E526" s="20">
        <v>2</v>
      </c>
      <c r="F526" s="20" t="s">
        <v>3983</v>
      </c>
      <c r="G526" s="14">
        <f>(VLOOKUP(D526,'[1]BOM Info General'!$A:$L,12,0))*E526</f>
        <v>130.12</v>
      </c>
      <c r="H526" s="21" t="s">
        <v>41</v>
      </c>
      <c r="I526" s="21">
        <v>1</v>
      </c>
      <c r="J526" s="21" t="s">
        <v>47</v>
      </c>
      <c r="K526" s="15">
        <f>(VLOOKUP(H526,'[1]BOM Info General'!$A:$L,12,0))*I526</f>
        <v>27.18</v>
      </c>
      <c r="L526" s="22" t="s">
        <v>65</v>
      </c>
      <c r="M526" s="22">
        <v>1</v>
      </c>
      <c r="N526" s="22" t="s">
        <v>68</v>
      </c>
      <c r="O526" s="9">
        <f>(VLOOKUP(L526,'[1]Simulation pricing per sub assy'!$D:$E,2,0))*M526</f>
        <v>103.16640000000004</v>
      </c>
      <c r="P526" s="23" t="s">
        <v>52</v>
      </c>
      <c r="Q526" s="23">
        <v>8</v>
      </c>
      <c r="R526" s="23" t="s">
        <v>18</v>
      </c>
      <c r="S526" s="40">
        <f>(VLOOKUP(P526,'[1]BOM Info General'!$A:$L,12,0))*Q526</f>
        <v>21.2</v>
      </c>
      <c r="T526" s="24" t="s">
        <v>24</v>
      </c>
      <c r="U526" s="17">
        <v>1</v>
      </c>
      <c r="V526" s="24" t="s">
        <v>25</v>
      </c>
      <c r="W526" s="17">
        <f>(VLOOKUP(T526,'[1]Simulation pricing per sub assy'!$D:$E,2,0))*U526</f>
        <v>6.44</v>
      </c>
      <c r="X526" s="25" t="s">
        <v>616</v>
      </c>
      <c r="Y526" s="25">
        <v>1</v>
      </c>
      <c r="Z526" s="25" t="s">
        <v>23</v>
      </c>
      <c r="AA526" s="18">
        <f>(VLOOKUP(X526,'[1]Simulation pricing per sub assy'!$D:$E,2,0))*Y526</f>
        <v>4.4802908000000006</v>
      </c>
    </row>
    <row r="527" spans="1:27" x14ac:dyDescent="0.35">
      <c r="A527" s="13" t="s">
        <v>833</v>
      </c>
      <c r="B527" s="13" t="s">
        <v>834</v>
      </c>
      <c r="C527" s="42">
        <f t="shared" si="8"/>
        <v>284.67669080000002</v>
      </c>
      <c r="D527" s="20" t="s">
        <v>43</v>
      </c>
      <c r="E527" s="20">
        <v>2</v>
      </c>
      <c r="F527" s="20" t="s">
        <v>3983</v>
      </c>
      <c r="G527" s="14">
        <f>(VLOOKUP(D527,'[1]BOM Info General'!$A:$L,12,0))*E527</f>
        <v>130.12</v>
      </c>
      <c r="H527" s="21" t="s">
        <v>41</v>
      </c>
      <c r="I527" s="21">
        <v>1</v>
      </c>
      <c r="J527" s="21" t="s">
        <v>47</v>
      </c>
      <c r="K527" s="15">
        <f>(VLOOKUP(H527,'[1]BOM Info General'!$A:$L,12,0))*I527</f>
        <v>27.18</v>
      </c>
      <c r="L527" s="22" t="s">
        <v>524</v>
      </c>
      <c r="M527" s="22">
        <v>1</v>
      </c>
      <c r="N527" s="22" t="s">
        <v>70</v>
      </c>
      <c r="O527" s="9">
        <f>(VLOOKUP(L527,'[1]Simulation pricing per sub assy'!$D:$E,2,0))*M527</f>
        <v>94.656400000000033</v>
      </c>
      <c r="P527" s="23" t="s">
        <v>52</v>
      </c>
      <c r="Q527" s="23">
        <v>8</v>
      </c>
      <c r="R527" s="23" t="s">
        <v>18</v>
      </c>
      <c r="S527" s="40">
        <f>(VLOOKUP(P527,'[1]BOM Info General'!$A:$L,12,0))*Q527</f>
        <v>21.2</v>
      </c>
      <c r="T527" s="24" t="s">
        <v>26</v>
      </c>
      <c r="U527" s="17">
        <v>1</v>
      </c>
      <c r="V527" s="24" t="s">
        <v>27</v>
      </c>
      <c r="W527" s="17">
        <f>(VLOOKUP(T527,'[1]Simulation pricing per sub assy'!$D:$E,2,0))*U527</f>
        <v>7.04</v>
      </c>
      <c r="X527" s="25" t="s">
        <v>616</v>
      </c>
      <c r="Y527" s="25">
        <v>1</v>
      </c>
      <c r="Z527" s="25" t="s">
        <v>23</v>
      </c>
      <c r="AA527" s="18">
        <f>(VLOOKUP(X527,'[1]Simulation pricing per sub assy'!$D:$E,2,0))*Y527</f>
        <v>4.4802908000000006</v>
      </c>
    </row>
    <row r="528" spans="1:27" x14ac:dyDescent="0.35">
      <c r="A528" s="13" t="s">
        <v>761</v>
      </c>
      <c r="B528" s="13" t="s">
        <v>762</v>
      </c>
      <c r="C528" s="42">
        <f t="shared" si="8"/>
        <v>285.77669080000004</v>
      </c>
      <c r="D528" s="20" t="s">
        <v>43</v>
      </c>
      <c r="E528" s="20">
        <v>2</v>
      </c>
      <c r="F528" s="20" t="s">
        <v>3983</v>
      </c>
      <c r="G528" s="14">
        <f>(VLOOKUP(D528,'[1]BOM Info General'!$A:$L,12,0))*E528</f>
        <v>130.12</v>
      </c>
      <c r="H528" s="21" t="s">
        <v>41</v>
      </c>
      <c r="I528" s="21">
        <v>1</v>
      </c>
      <c r="J528" s="21" t="s">
        <v>47</v>
      </c>
      <c r="K528" s="15">
        <f>(VLOOKUP(H528,'[1]BOM Info General'!$A:$L,12,0))*I528</f>
        <v>27.18</v>
      </c>
      <c r="L528" s="22" t="s">
        <v>67</v>
      </c>
      <c r="M528" s="22">
        <v>1</v>
      </c>
      <c r="N528" s="22" t="s">
        <v>64</v>
      </c>
      <c r="O528" s="9">
        <f>(VLOOKUP(L528,'[1]Simulation pricing per sub assy'!$D:$E,2,0))*M528</f>
        <v>95.756400000000042</v>
      </c>
      <c r="P528" s="23" t="s">
        <v>52</v>
      </c>
      <c r="Q528" s="23">
        <v>8</v>
      </c>
      <c r="R528" s="23" t="s">
        <v>18</v>
      </c>
      <c r="S528" s="40">
        <f>(VLOOKUP(P528,'[1]BOM Info General'!$A:$L,12,0))*Q528</f>
        <v>21.2</v>
      </c>
      <c r="T528" s="24" t="s">
        <v>26</v>
      </c>
      <c r="U528" s="17">
        <v>1</v>
      </c>
      <c r="V528" s="24" t="s">
        <v>27</v>
      </c>
      <c r="W528" s="17">
        <f>(VLOOKUP(T528,'[1]Simulation pricing per sub assy'!$D:$E,2,0))*U528</f>
        <v>7.04</v>
      </c>
      <c r="X528" s="25" t="s">
        <v>616</v>
      </c>
      <c r="Y528" s="25">
        <v>1</v>
      </c>
      <c r="Z528" s="25" t="s">
        <v>23</v>
      </c>
      <c r="AA528" s="18">
        <f>(VLOOKUP(X528,'[1]Simulation pricing per sub assy'!$D:$E,2,0))*Y528</f>
        <v>4.4802908000000006</v>
      </c>
    </row>
    <row r="529" spans="1:27" x14ac:dyDescent="0.35">
      <c r="A529" s="13" t="s">
        <v>797</v>
      </c>
      <c r="B529" s="13" t="s">
        <v>798</v>
      </c>
      <c r="C529" s="42">
        <f t="shared" si="8"/>
        <v>285.77669080000004</v>
      </c>
      <c r="D529" s="20" t="s">
        <v>43</v>
      </c>
      <c r="E529" s="20">
        <v>2</v>
      </c>
      <c r="F529" s="20" t="s">
        <v>3983</v>
      </c>
      <c r="G529" s="14">
        <f>(VLOOKUP(D529,'[1]BOM Info General'!$A:$L,12,0))*E529</f>
        <v>130.12</v>
      </c>
      <c r="H529" s="21" t="s">
        <v>41</v>
      </c>
      <c r="I529" s="21">
        <v>1</v>
      </c>
      <c r="J529" s="21" t="s">
        <v>47</v>
      </c>
      <c r="K529" s="15">
        <f>(VLOOKUP(H529,'[1]BOM Info General'!$A:$L,12,0))*I529</f>
        <v>27.18</v>
      </c>
      <c r="L529" s="22" t="s">
        <v>63</v>
      </c>
      <c r="M529" s="22">
        <v>1</v>
      </c>
      <c r="N529" s="22" t="s">
        <v>62</v>
      </c>
      <c r="O529" s="9">
        <f>(VLOOKUP(L529,'[1]Simulation pricing per sub assy'!$D:$E,2,0))*M529</f>
        <v>95.756400000000042</v>
      </c>
      <c r="P529" s="23" t="s">
        <v>52</v>
      </c>
      <c r="Q529" s="23">
        <v>8</v>
      </c>
      <c r="R529" s="23" t="s">
        <v>18</v>
      </c>
      <c r="S529" s="40">
        <f>(VLOOKUP(P529,'[1]BOM Info General'!$A:$L,12,0))*Q529</f>
        <v>21.2</v>
      </c>
      <c r="T529" s="24" t="s">
        <v>26</v>
      </c>
      <c r="U529" s="17">
        <v>1</v>
      </c>
      <c r="V529" s="24" t="s">
        <v>27</v>
      </c>
      <c r="W529" s="17">
        <f>(VLOOKUP(T529,'[1]Simulation pricing per sub assy'!$D:$E,2,0))*U529</f>
        <v>7.04</v>
      </c>
      <c r="X529" s="25" t="s">
        <v>616</v>
      </c>
      <c r="Y529" s="25">
        <v>1</v>
      </c>
      <c r="Z529" s="25" t="s">
        <v>23</v>
      </c>
      <c r="AA529" s="18">
        <f>(VLOOKUP(X529,'[1]Simulation pricing per sub assy'!$D:$E,2,0))*Y529</f>
        <v>4.4802908000000006</v>
      </c>
    </row>
    <row r="530" spans="1:27" x14ac:dyDescent="0.35">
      <c r="A530" s="13" t="s">
        <v>779</v>
      </c>
      <c r="B530" s="13" t="s">
        <v>780</v>
      </c>
      <c r="C530" s="42">
        <f t="shared" si="8"/>
        <v>285.22669080000003</v>
      </c>
      <c r="D530" s="20" t="s">
        <v>43</v>
      </c>
      <c r="E530" s="20">
        <v>2</v>
      </c>
      <c r="F530" s="20" t="s">
        <v>3983</v>
      </c>
      <c r="G530" s="14">
        <f>(VLOOKUP(D530,'[1]BOM Info General'!$A:$L,12,0))*E530</f>
        <v>130.12</v>
      </c>
      <c r="H530" s="21" t="s">
        <v>41</v>
      </c>
      <c r="I530" s="21">
        <v>1</v>
      </c>
      <c r="J530" s="21" t="s">
        <v>47</v>
      </c>
      <c r="K530" s="15">
        <f>(VLOOKUP(H530,'[1]BOM Info General'!$A:$L,12,0))*I530</f>
        <v>27.18</v>
      </c>
      <c r="L530" s="22" t="s">
        <v>69</v>
      </c>
      <c r="M530" s="22">
        <v>1</v>
      </c>
      <c r="N530" s="22" t="s">
        <v>66</v>
      </c>
      <c r="O530" s="9">
        <f>(VLOOKUP(L530,'[1]Simulation pricing per sub assy'!$D:$E,2,0))*M530</f>
        <v>95.206400000000031</v>
      </c>
      <c r="P530" s="23" t="s">
        <v>52</v>
      </c>
      <c r="Q530" s="23">
        <v>8</v>
      </c>
      <c r="R530" s="23" t="s">
        <v>18</v>
      </c>
      <c r="S530" s="40">
        <f>(VLOOKUP(P530,'[1]BOM Info General'!$A:$L,12,0))*Q530</f>
        <v>21.2</v>
      </c>
      <c r="T530" s="24" t="s">
        <v>26</v>
      </c>
      <c r="U530" s="17">
        <v>1</v>
      </c>
      <c r="V530" s="24" t="s">
        <v>27</v>
      </c>
      <c r="W530" s="17">
        <f>(VLOOKUP(T530,'[1]Simulation pricing per sub assy'!$D:$E,2,0))*U530</f>
        <v>7.04</v>
      </c>
      <c r="X530" s="25" t="s">
        <v>616</v>
      </c>
      <c r="Y530" s="25">
        <v>1</v>
      </c>
      <c r="Z530" s="25" t="s">
        <v>23</v>
      </c>
      <c r="AA530" s="18">
        <f>(VLOOKUP(X530,'[1]Simulation pricing per sub assy'!$D:$E,2,0))*Y530</f>
        <v>4.4802908000000006</v>
      </c>
    </row>
    <row r="531" spans="1:27" x14ac:dyDescent="0.35">
      <c r="A531" s="13" t="s">
        <v>815</v>
      </c>
      <c r="B531" s="13" t="s">
        <v>816</v>
      </c>
      <c r="C531" s="42">
        <f t="shared" si="8"/>
        <v>293.18669080000001</v>
      </c>
      <c r="D531" s="20" t="s">
        <v>43</v>
      </c>
      <c r="E531" s="20">
        <v>2</v>
      </c>
      <c r="F531" s="20" t="s">
        <v>3983</v>
      </c>
      <c r="G531" s="14">
        <f>(VLOOKUP(D531,'[1]BOM Info General'!$A:$L,12,0))*E531</f>
        <v>130.12</v>
      </c>
      <c r="H531" s="21" t="s">
        <v>41</v>
      </c>
      <c r="I531" s="21">
        <v>1</v>
      </c>
      <c r="J531" s="21" t="s">
        <v>47</v>
      </c>
      <c r="K531" s="15">
        <f>(VLOOKUP(H531,'[1]BOM Info General'!$A:$L,12,0))*I531</f>
        <v>27.18</v>
      </c>
      <c r="L531" s="22" t="s">
        <v>65</v>
      </c>
      <c r="M531" s="22">
        <v>1</v>
      </c>
      <c r="N531" s="22" t="s">
        <v>68</v>
      </c>
      <c r="O531" s="9">
        <f>(VLOOKUP(L531,'[1]Simulation pricing per sub assy'!$D:$E,2,0))*M531</f>
        <v>103.16640000000004</v>
      </c>
      <c r="P531" s="23" t="s">
        <v>52</v>
      </c>
      <c r="Q531" s="23">
        <v>8</v>
      </c>
      <c r="R531" s="23" t="s">
        <v>18</v>
      </c>
      <c r="S531" s="40">
        <f>(VLOOKUP(P531,'[1]BOM Info General'!$A:$L,12,0))*Q531</f>
        <v>21.2</v>
      </c>
      <c r="T531" s="24" t="s">
        <v>26</v>
      </c>
      <c r="U531" s="17">
        <v>1</v>
      </c>
      <c r="V531" s="24" t="s">
        <v>27</v>
      </c>
      <c r="W531" s="17">
        <f>(VLOOKUP(T531,'[1]Simulation pricing per sub assy'!$D:$E,2,0))*U531</f>
        <v>7.04</v>
      </c>
      <c r="X531" s="25" t="s">
        <v>616</v>
      </c>
      <c r="Y531" s="25">
        <v>1</v>
      </c>
      <c r="Z531" s="25" t="s">
        <v>23</v>
      </c>
      <c r="AA531" s="18">
        <f>(VLOOKUP(X531,'[1]Simulation pricing per sub assy'!$D:$E,2,0))*Y531</f>
        <v>4.4802908000000006</v>
      </c>
    </row>
    <row r="532" spans="1:27" x14ac:dyDescent="0.35">
      <c r="A532" s="13" t="s">
        <v>835</v>
      </c>
      <c r="B532" s="13" t="s">
        <v>836</v>
      </c>
      <c r="C532" s="42">
        <f t="shared" si="8"/>
        <v>284.6366908</v>
      </c>
      <c r="D532" s="20" t="s">
        <v>43</v>
      </c>
      <c r="E532" s="20">
        <v>2</v>
      </c>
      <c r="F532" s="20" t="s">
        <v>3983</v>
      </c>
      <c r="G532" s="14">
        <f>(VLOOKUP(D532,'[1]BOM Info General'!$A:$L,12,0))*E532</f>
        <v>130.12</v>
      </c>
      <c r="H532" s="21" t="s">
        <v>41</v>
      </c>
      <c r="I532" s="21">
        <v>1</v>
      </c>
      <c r="J532" s="21" t="s">
        <v>47</v>
      </c>
      <c r="K532" s="15">
        <f>(VLOOKUP(H532,'[1]BOM Info General'!$A:$L,12,0))*I532</f>
        <v>27.18</v>
      </c>
      <c r="L532" s="22" t="s">
        <v>524</v>
      </c>
      <c r="M532" s="22">
        <v>1</v>
      </c>
      <c r="N532" s="22" t="s">
        <v>70</v>
      </c>
      <c r="O532" s="9">
        <f>(VLOOKUP(L532,'[1]Simulation pricing per sub assy'!$D:$E,2,0))*M532</f>
        <v>94.656400000000033</v>
      </c>
      <c r="P532" s="23" t="s">
        <v>52</v>
      </c>
      <c r="Q532" s="23">
        <v>8</v>
      </c>
      <c r="R532" s="23" t="s">
        <v>18</v>
      </c>
      <c r="S532" s="40">
        <f>(VLOOKUP(P532,'[1]BOM Info General'!$A:$L,12,0))*Q532</f>
        <v>21.2</v>
      </c>
      <c r="T532" s="24" t="s">
        <v>28</v>
      </c>
      <c r="U532" s="17">
        <v>1</v>
      </c>
      <c r="V532" s="24" t="s">
        <v>29</v>
      </c>
      <c r="W532" s="17">
        <f>(VLOOKUP(T532,'[1]Simulation pricing per sub assy'!$D:$E,2,0))*U532</f>
        <v>7</v>
      </c>
      <c r="X532" s="25" t="s">
        <v>616</v>
      </c>
      <c r="Y532" s="25">
        <v>1</v>
      </c>
      <c r="Z532" s="25" t="s">
        <v>23</v>
      </c>
      <c r="AA532" s="18">
        <f>(VLOOKUP(X532,'[1]Simulation pricing per sub assy'!$D:$E,2,0))*Y532</f>
        <v>4.4802908000000006</v>
      </c>
    </row>
    <row r="533" spans="1:27" x14ac:dyDescent="0.35">
      <c r="A533" s="13" t="s">
        <v>763</v>
      </c>
      <c r="B533" s="13" t="s">
        <v>764</v>
      </c>
      <c r="C533" s="42">
        <f t="shared" si="8"/>
        <v>285.73669080000002</v>
      </c>
      <c r="D533" s="20" t="s">
        <v>43</v>
      </c>
      <c r="E533" s="20">
        <v>2</v>
      </c>
      <c r="F533" s="20" t="s">
        <v>3983</v>
      </c>
      <c r="G533" s="14">
        <f>(VLOOKUP(D533,'[1]BOM Info General'!$A:$L,12,0))*E533</f>
        <v>130.12</v>
      </c>
      <c r="H533" s="21" t="s">
        <v>41</v>
      </c>
      <c r="I533" s="21">
        <v>1</v>
      </c>
      <c r="J533" s="21" t="s">
        <v>47</v>
      </c>
      <c r="K533" s="15">
        <f>(VLOOKUP(H533,'[1]BOM Info General'!$A:$L,12,0))*I533</f>
        <v>27.18</v>
      </c>
      <c r="L533" s="22" t="s">
        <v>67</v>
      </c>
      <c r="M533" s="22">
        <v>1</v>
      </c>
      <c r="N533" s="22" t="s">
        <v>64</v>
      </c>
      <c r="O533" s="9">
        <f>(VLOOKUP(L533,'[1]Simulation pricing per sub assy'!$D:$E,2,0))*M533</f>
        <v>95.756400000000042</v>
      </c>
      <c r="P533" s="23" t="s">
        <v>52</v>
      </c>
      <c r="Q533" s="23">
        <v>8</v>
      </c>
      <c r="R533" s="23" t="s">
        <v>18</v>
      </c>
      <c r="S533" s="40">
        <f>(VLOOKUP(P533,'[1]BOM Info General'!$A:$L,12,0))*Q533</f>
        <v>21.2</v>
      </c>
      <c r="T533" s="24" t="s">
        <v>28</v>
      </c>
      <c r="U533" s="17">
        <v>1</v>
      </c>
      <c r="V533" s="24" t="s">
        <v>29</v>
      </c>
      <c r="W533" s="17">
        <f>(VLOOKUP(T533,'[1]Simulation pricing per sub assy'!$D:$E,2,0))*U533</f>
        <v>7</v>
      </c>
      <c r="X533" s="25" t="s">
        <v>616</v>
      </c>
      <c r="Y533" s="25">
        <v>1</v>
      </c>
      <c r="Z533" s="25" t="s">
        <v>23</v>
      </c>
      <c r="AA533" s="18">
        <f>(VLOOKUP(X533,'[1]Simulation pricing per sub assy'!$D:$E,2,0))*Y533</f>
        <v>4.4802908000000006</v>
      </c>
    </row>
    <row r="534" spans="1:27" x14ac:dyDescent="0.35">
      <c r="A534" s="13" t="s">
        <v>799</v>
      </c>
      <c r="B534" s="13" t="s">
        <v>800</v>
      </c>
      <c r="C534" s="42">
        <f t="shared" si="8"/>
        <v>285.73669080000002</v>
      </c>
      <c r="D534" s="20" t="s">
        <v>43</v>
      </c>
      <c r="E534" s="20">
        <v>2</v>
      </c>
      <c r="F534" s="20" t="s">
        <v>3983</v>
      </c>
      <c r="G534" s="14">
        <f>(VLOOKUP(D534,'[1]BOM Info General'!$A:$L,12,0))*E534</f>
        <v>130.12</v>
      </c>
      <c r="H534" s="21" t="s">
        <v>41</v>
      </c>
      <c r="I534" s="21">
        <v>1</v>
      </c>
      <c r="J534" s="21" t="s">
        <v>47</v>
      </c>
      <c r="K534" s="15">
        <f>(VLOOKUP(H534,'[1]BOM Info General'!$A:$L,12,0))*I534</f>
        <v>27.18</v>
      </c>
      <c r="L534" s="22" t="s">
        <v>63</v>
      </c>
      <c r="M534" s="22">
        <v>1</v>
      </c>
      <c r="N534" s="22" t="s">
        <v>62</v>
      </c>
      <c r="O534" s="9">
        <f>(VLOOKUP(L534,'[1]Simulation pricing per sub assy'!$D:$E,2,0))*M534</f>
        <v>95.756400000000042</v>
      </c>
      <c r="P534" s="23" t="s">
        <v>52</v>
      </c>
      <c r="Q534" s="23">
        <v>8</v>
      </c>
      <c r="R534" s="23" t="s">
        <v>18</v>
      </c>
      <c r="S534" s="40">
        <f>(VLOOKUP(P534,'[1]BOM Info General'!$A:$L,12,0))*Q534</f>
        <v>21.2</v>
      </c>
      <c r="T534" s="24" t="s">
        <v>28</v>
      </c>
      <c r="U534" s="17">
        <v>1</v>
      </c>
      <c r="V534" s="24" t="s">
        <v>29</v>
      </c>
      <c r="W534" s="17">
        <f>(VLOOKUP(T534,'[1]Simulation pricing per sub assy'!$D:$E,2,0))*U534</f>
        <v>7</v>
      </c>
      <c r="X534" s="25" t="s">
        <v>616</v>
      </c>
      <c r="Y534" s="25">
        <v>1</v>
      </c>
      <c r="Z534" s="25" t="s">
        <v>23</v>
      </c>
      <c r="AA534" s="18">
        <f>(VLOOKUP(X534,'[1]Simulation pricing per sub assy'!$D:$E,2,0))*Y534</f>
        <v>4.4802908000000006</v>
      </c>
    </row>
    <row r="535" spans="1:27" x14ac:dyDescent="0.35">
      <c r="A535" s="13" t="s">
        <v>781</v>
      </c>
      <c r="B535" s="13" t="s">
        <v>782</v>
      </c>
      <c r="C535" s="42">
        <f t="shared" si="8"/>
        <v>285.18669080000001</v>
      </c>
      <c r="D535" s="20" t="s">
        <v>43</v>
      </c>
      <c r="E535" s="20">
        <v>2</v>
      </c>
      <c r="F535" s="20" t="s">
        <v>3983</v>
      </c>
      <c r="G535" s="14">
        <f>(VLOOKUP(D535,'[1]BOM Info General'!$A:$L,12,0))*E535</f>
        <v>130.12</v>
      </c>
      <c r="H535" s="21" t="s">
        <v>41</v>
      </c>
      <c r="I535" s="21">
        <v>1</v>
      </c>
      <c r="J535" s="21" t="s">
        <v>47</v>
      </c>
      <c r="K535" s="15">
        <f>(VLOOKUP(H535,'[1]BOM Info General'!$A:$L,12,0))*I535</f>
        <v>27.18</v>
      </c>
      <c r="L535" s="22" t="s">
        <v>69</v>
      </c>
      <c r="M535" s="22">
        <v>1</v>
      </c>
      <c r="N535" s="22" t="s">
        <v>66</v>
      </c>
      <c r="O535" s="9">
        <f>(VLOOKUP(L535,'[1]Simulation pricing per sub assy'!$D:$E,2,0))*M535</f>
        <v>95.206400000000031</v>
      </c>
      <c r="P535" s="23" t="s">
        <v>52</v>
      </c>
      <c r="Q535" s="23">
        <v>8</v>
      </c>
      <c r="R535" s="23" t="s">
        <v>18</v>
      </c>
      <c r="S535" s="40">
        <f>(VLOOKUP(P535,'[1]BOM Info General'!$A:$L,12,0))*Q535</f>
        <v>21.2</v>
      </c>
      <c r="T535" s="24" t="s">
        <v>28</v>
      </c>
      <c r="U535" s="17">
        <v>1</v>
      </c>
      <c r="V535" s="24" t="s">
        <v>29</v>
      </c>
      <c r="W535" s="17">
        <f>(VLOOKUP(T535,'[1]Simulation pricing per sub assy'!$D:$E,2,0))*U535</f>
        <v>7</v>
      </c>
      <c r="X535" s="25" t="s">
        <v>616</v>
      </c>
      <c r="Y535" s="25">
        <v>1</v>
      </c>
      <c r="Z535" s="25" t="s">
        <v>23</v>
      </c>
      <c r="AA535" s="18">
        <f>(VLOOKUP(X535,'[1]Simulation pricing per sub assy'!$D:$E,2,0))*Y535</f>
        <v>4.4802908000000006</v>
      </c>
    </row>
    <row r="536" spans="1:27" x14ac:dyDescent="0.35">
      <c r="A536" s="13" t="s">
        <v>817</v>
      </c>
      <c r="B536" s="13" t="s">
        <v>818</v>
      </c>
      <c r="C536" s="42">
        <f t="shared" si="8"/>
        <v>293.14669079999999</v>
      </c>
      <c r="D536" s="20" t="s">
        <v>43</v>
      </c>
      <c r="E536" s="20">
        <v>2</v>
      </c>
      <c r="F536" s="20" t="s">
        <v>3983</v>
      </c>
      <c r="G536" s="14">
        <f>(VLOOKUP(D536,'[1]BOM Info General'!$A:$L,12,0))*E536</f>
        <v>130.12</v>
      </c>
      <c r="H536" s="21" t="s">
        <v>41</v>
      </c>
      <c r="I536" s="21">
        <v>1</v>
      </c>
      <c r="J536" s="21" t="s">
        <v>47</v>
      </c>
      <c r="K536" s="15">
        <f>(VLOOKUP(H536,'[1]BOM Info General'!$A:$L,12,0))*I536</f>
        <v>27.18</v>
      </c>
      <c r="L536" s="22" t="s">
        <v>65</v>
      </c>
      <c r="M536" s="22">
        <v>1</v>
      </c>
      <c r="N536" s="22" t="s">
        <v>68</v>
      </c>
      <c r="O536" s="9">
        <f>(VLOOKUP(L536,'[1]Simulation pricing per sub assy'!$D:$E,2,0))*M536</f>
        <v>103.16640000000004</v>
      </c>
      <c r="P536" s="23" t="s">
        <v>52</v>
      </c>
      <c r="Q536" s="23">
        <v>8</v>
      </c>
      <c r="R536" s="23" t="s">
        <v>18</v>
      </c>
      <c r="S536" s="40">
        <f>(VLOOKUP(P536,'[1]BOM Info General'!$A:$L,12,0))*Q536</f>
        <v>21.2</v>
      </c>
      <c r="T536" s="24" t="s">
        <v>28</v>
      </c>
      <c r="U536" s="17">
        <v>1</v>
      </c>
      <c r="V536" s="24" t="s">
        <v>29</v>
      </c>
      <c r="W536" s="17">
        <f>(VLOOKUP(T536,'[1]Simulation pricing per sub assy'!$D:$E,2,0))*U536</f>
        <v>7</v>
      </c>
      <c r="X536" s="25" t="s">
        <v>616</v>
      </c>
      <c r="Y536" s="25">
        <v>1</v>
      </c>
      <c r="Z536" s="25" t="s">
        <v>23</v>
      </c>
      <c r="AA536" s="18">
        <f>(VLOOKUP(X536,'[1]Simulation pricing per sub assy'!$D:$E,2,0))*Y536</f>
        <v>4.4802908000000006</v>
      </c>
    </row>
    <row r="537" spans="1:27" x14ac:dyDescent="0.35">
      <c r="A537" s="13" t="s">
        <v>745</v>
      </c>
      <c r="B537" s="13" t="s">
        <v>746</v>
      </c>
      <c r="C537" s="42">
        <f t="shared" si="8"/>
        <v>286.1966908</v>
      </c>
      <c r="D537" s="20" t="s">
        <v>43</v>
      </c>
      <c r="E537" s="20">
        <v>2</v>
      </c>
      <c r="F537" s="20" t="s">
        <v>3983</v>
      </c>
      <c r="G537" s="14">
        <f>(VLOOKUP(D537,'[1]BOM Info General'!$A:$L,12,0))*E537</f>
        <v>130.12</v>
      </c>
      <c r="H537" s="21" t="s">
        <v>41</v>
      </c>
      <c r="I537" s="21">
        <v>1</v>
      </c>
      <c r="J537" s="21" t="s">
        <v>47</v>
      </c>
      <c r="K537" s="15">
        <f>(VLOOKUP(H537,'[1]BOM Info General'!$A:$L,12,0))*I537</f>
        <v>27.18</v>
      </c>
      <c r="L537" s="22" t="s">
        <v>524</v>
      </c>
      <c r="M537" s="22">
        <v>1</v>
      </c>
      <c r="N537" s="22" t="s">
        <v>70</v>
      </c>
      <c r="O537" s="9">
        <f>(VLOOKUP(L537,'[1]Simulation pricing per sub assy'!$D:$E,2,0))*M537</f>
        <v>94.656400000000033</v>
      </c>
      <c r="P537" s="23" t="s">
        <v>50</v>
      </c>
      <c r="Q537" s="23">
        <v>8</v>
      </c>
      <c r="R537" s="23" t="s">
        <v>611</v>
      </c>
      <c r="S537" s="40">
        <f>(VLOOKUP(P537,'[1]BOM Info General'!$A:$L,12,0))*Q537</f>
        <v>21.2</v>
      </c>
      <c r="T537" s="24" t="s">
        <v>30</v>
      </c>
      <c r="U537" s="17">
        <v>1</v>
      </c>
      <c r="V537" s="24" t="s">
        <v>31</v>
      </c>
      <c r="W537" s="17">
        <f>(VLOOKUP(T537,'[1]Simulation pricing per sub assy'!$D:$E,2,0))*U537</f>
        <v>8.5599999999999987</v>
      </c>
      <c r="X537" s="25" t="s">
        <v>616</v>
      </c>
      <c r="Y537" s="25">
        <v>1</v>
      </c>
      <c r="Z537" s="25" t="s">
        <v>23</v>
      </c>
      <c r="AA537" s="18">
        <f>(VLOOKUP(X537,'[1]Simulation pricing per sub assy'!$D:$E,2,0))*Y537</f>
        <v>4.4802908000000006</v>
      </c>
    </row>
    <row r="538" spans="1:27" x14ac:dyDescent="0.35">
      <c r="A538" s="13" t="s">
        <v>737</v>
      </c>
      <c r="B538" s="13" t="s">
        <v>738</v>
      </c>
      <c r="C538" s="42">
        <f t="shared" si="8"/>
        <v>287.29669080000002</v>
      </c>
      <c r="D538" s="20" t="s">
        <v>43</v>
      </c>
      <c r="E538" s="20">
        <v>2</v>
      </c>
      <c r="F538" s="20" t="s">
        <v>3983</v>
      </c>
      <c r="G538" s="14">
        <f>(VLOOKUP(D538,'[1]BOM Info General'!$A:$L,12,0))*E538</f>
        <v>130.12</v>
      </c>
      <c r="H538" s="21" t="s">
        <v>41</v>
      </c>
      <c r="I538" s="21">
        <v>1</v>
      </c>
      <c r="J538" s="21" t="s">
        <v>47</v>
      </c>
      <c r="K538" s="15">
        <f>(VLOOKUP(H538,'[1]BOM Info General'!$A:$L,12,0))*I538</f>
        <v>27.18</v>
      </c>
      <c r="L538" s="22" t="s">
        <v>67</v>
      </c>
      <c r="M538" s="22">
        <v>1</v>
      </c>
      <c r="N538" s="22" t="s">
        <v>64</v>
      </c>
      <c r="O538" s="9">
        <f>(VLOOKUP(L538,'[1]Simulation pricing per sub assy'!$D:$E,2,0))*M538</f>
        <v>95.756400000000042</v>
      </c>
      <c r="P538" s="23" t="s">
        <v>50</v>
      </c>
      <c r="Q538" s="23">
        <v>8</v>
      </c>
      <c r="R538" s="23" t="s">
        <v>611</v>
      </c>
      <c r="S538" s="40">
        <f>(VLOOKUP(P538,'[1]BOM Info General'!$A:$L,12,0))*Q538</f>
        <v>21.2</v>
      </c>
      <c r="T538" s="24" t="s">
        <v>30</v>
      </c>
      <c r="U538" s="17">
        <v>1</v>
      </c>
      <c r="V538" s="24" t="s">
        <v>31</v>
      </c>
      <c r="W538" s="17">
        <f>(VLOOKUP(T538,'[1]Simulation pricing per sub assy'!$D:$E,2,0))*U538</f>
        <v>8.5599999999999987</v>
      </c>
      <c r="X538" s="25" t="s">
        <v>616</v>
      </c>
      <c r="Y538" s="25">
        <v>1</v>
      </c>
      <c r="Z538" s="25" t="s">
        <v>23</v>
      </c>
      <c r="AA538" s="18">
        <f>(VLOOKUP(X538,'[1]Simulation pricing per sub assy'!$D:$E,2,0))*Y538</f>
        <v>4.4802908000000006</v>
      </c>
    </row>
    <row r="539" spans="1:27" x14ac:dyDescent="0.35">
      <c r="A539" s="13" t="s">
        <v>741</v>
      </c>
      <c r="B539" s="13" t="s">
        <v>742</v>
      </c>
      <c r="C539" s="42">
        <f t="shared" si="8"/>
        <v>287.29669080000002</v>
      </c>
      <c r="D539" s="20" t="s">
        <v>43</v>
      </c>
      <c r="E539" s="20">
        <v>2</v>
      </c>
      <c r="F539" s="20" t="s">
        <v>3983</v>
      </c>
      <c r="G539" s="14">
        <f>(VLOOKUP(D539,'[1]BOM Info General'!$A:$L,12,0))*E539</f>
        <v>130.12</v>
      </c>
      <c r="H539" s="21" t="s">
        <v>41</v>
      </c>
      <c r="I539" s="21">
        <v>1</v>
      </c>
      <c r="J539" s="21" t="s">
        <v>47</v>
      </c>
      <c r="K539" s="15">
        <f>(VLOOKUP(H539,'[1]BOM Info General'!$A:$L,12,0))*I539</f>
        <v>27.18</v>
      </c>
      <c r="L539" s="22" t="s">
        <v>63</v>
      </c>
      <c r="M539" s="22">
        <v>1</v>
      </c>
      <c r="N539" s="22" t="s">
        <v>62</v>
      </c>
      <c r="O539" s="9">
        <f>(VLOOKUP(L539,'[1]Simulation pricing per sub assy'!$D:$E,2,0))*M539</f>
        <v>95.756400000000042</v>
      </c>
      <c r="P539" s="23" t="s">
        <v>50</v>
      </c>
      <c r="Q539" s="23">
        <v>8</v>
      </c>
      <c r="R539" s="23" t="s">
        <v>611</v>
      </c>
      <c r="S539" s="40">
        <f>(VLOOKUP(P539,'[1]BOM Info General'!$A:$L,12,0))*Q539</f>
        <v>21.2</v>
      </c>
      <c r="T539" s="24" t="s">
        <v>30</v>
      </c>
      <c r="U539" s="17">
        <v>1</v>
      </c>
      <c r="V539" s="24" t="s">
        <v>31</v>
      </c>
      <c r="W539" s="17">
        <f>(VLOOKUP(T539,'[1]Simulation pricing per sub assy'!$D:$E,2,0))*U539</f>
        <v>8.5599999999999987</v>
      </c>
      <c r="X539" s="25" t="s">
        <v>616</v>
      </c>
      <c r="Y539" s="25">
        <v>1</v>
      </c>
      <c r="Z539" s="25" t="s">
        <v>23</v>
      </c>
      <c r="AA539" s="18">
        <f>(VLOOKUP(X539,'[1]Simulation pricing per sub assy'!$D:$E,2,0))*Y539</f>
        <v>4.4802908000000006</v>
      </c>
    </row>
    <row r="540" spans="1:27" x14ac:dyDescent="0.35">
      <c r="A540" s="13" t="s">
        <v>739</v>
      </c>
      <c r="B540" s="13" t="s">
        <v>740</v>
      </c>
      <c r="C540" s="42">
        <f t="shared" si="8"/>
        <v>286.74669080000001</v>
      </c>
      <c r="D540" s="20" t="s">
        <v>43</v>
      </c>
      <c r="E540" s="20">
        <v>2</v>
      </c>
      <c r="F540" s="20" t="s">
        <v>3983</v>
      </c>
      <c r="G540" s="14">
        <f>(VLOOKUP(D540,'[1]BOM Info General'!$A:$L,12,0))*E540</f>
        <v>130.12</v>
      </c>
      <c r="H540" s="21" t="s">
        <v>41</v>
      </c>
      <c r="I540" s="21">
        <v>1</v>
      </c>
      <c r="J540" s="21" t="s">
        <v>47</v>
      </c>
      <c r="K540" s="15">
        <f>(VLOOKUP(H540,'[1]BOM Info General'!$A:$L,12,0))*I540</f>
        <v>27.18</v>
      </c>
      <c r="L540" s="22" t="s">
        <v>69</v>
      </c>
      <c r="M540" s="22">
        <v>1</v>
      </c>
      <c r="N540" s="22" t="s">
        <v>66</v>
      </c>
      <c r="O540" s="9">
        <f>(VLOOKUP(L540,'[1]Simulation pricing per sub assy'!$D:$E,2,0))*M540</f>
        <v>95.206400000000031</v>
      </c>
      <c r="P540" s="23" t="s">
        <v>50</v>
      </c>
      <c r="Q540" s="23">
        <v>8</v>
      </c>
      <c r="R540" s="23" t="s">
        <v>611</v>
      </c>
      <c r="S540" s="40">
        <f>(VLOOKUP(P540,'[1]BOM Info General'!$A:$L,12,0))*Q540</f>
        <v>21.2</v>
      </c>
      <c r="T540" s="24" t="s">
        <v>30</v>
      </c>
      <c r="U540" s="17">
        <v>1</v>
      </c>
      <c r="V540" s="24" t="s">
        <v>31</v>
      </c>
      <c r="W540" s="17">
        <f>(VLOOKUP(T540,'[1]Simulation pricing per sub assy'!$D:$E,2,0))*U540</f>
        <v>8.5599999999999987</v>
      </c>
      <c r="X540" s="25" t="s">
        <v>616</v>
      </c>
      <c r="Y540" s="25">
        <v>1</v>
      </c>
      <c r="Z540" s="25" t="s">
        <v>23</v>
      </c>
      <c r="AA540" s="18">
        <f>(VLOOKUP(X540,'[1]Simulation pricing per sub assy'!$D:$E,2,0))*Y540</f>
        <v>4.4802908000000006</v>
      </c>
    </row>
    <row r="541" spans="1:27" x14ac:dyDescent="0.35">
      <c r="A541" s="13" t="s">
        <v>743</v>
      </c>
      <c r="B541" s="13" t="s">
        <v>744</v>
      </c>
      <c r="C541" s="42">
        <f t="shared" si="8"/>
        <v>294.70669079999999</v>
      </c>
      <c r="D541" s="20" t="s">
        <v>43</v>
      </c>
      <c r="E541" s="20">
        <v>2</v>
      </c>
      <c r="F541" s="20" t="s">
        <v>3983</v>
      </c>
      <c r="G541" s="14">
        <f>(VLOOKUP(D541,'[1]BOM Info General'!$A:$L,12,0))*E541</f>
        <v>130.12</v>
      </c>
      <c r="H541" s="21" t="s">
        <v>41</v>
      </c>
      <c r="I541" s="21">
        <v>1</v>
      </c>
      <c r="J541" s="21" t="s">
        <v>47</v>
      </c>
      <c r="K541" s="15">
        <f>(VLOOKUP(H541,'[1]BOM Info General'!$A:$L,12,0))*I541</f>
        <v>27.18</v>
      </c>
      <c r="L541" s="22" t="s">
        <v>65</v>
      </c>
      <c r="M541" s="22">
        <v>1</v>
      </c>
      <c r="N541" s="22" t="s">
        <v>68</v>
      </c>
      <c r="O541" s="9">
        <f>(VLOOKUP(L541,'[1]Simulation pricing per sub assy'!$D:$E,2,0))*M541</f>
        <v>103.16640000000004</v>
      </c>
      <c r="P541" s="23" t="s">
        <v>50</v>
      </c>
      <c r="Q541" s="23">
        <v>8</v>
      </c>
      <c r="R541" s="23" t="s">
        <v>611</v>
      </c>
      <c r="S541" s="40">
        <f>(VLOOKUP(P541,'[1]BOM Info General'!$A:$L,12,0))*Q541</f>
        <v>21.2</v>
      </c>
      <c r="T541" s="24" t="s">
        <v>30</v>
      </c>
      <c r="U541" s="17">
        <v>1</v>
      </c>
      <c r="V541" s="24" t="s">
        <v>31</v>
      </c>
      <c r="W541" s="17">
        <f>(VLOOKUP(T541,'[1]Simulation pricing per sub assy'!$D:$E,2,0))*U541</f>
        <v>8.5599999999999987</v>
      </c>
      <c r="X541" s="25" t="s">
        <v>616</v>
      </c>
      <c r="Y541" s="25">
        <v>1</v>
      </c>
      <c r="Z541" s="25" t="s">
        <v>23</v>
      </c>
      <c r="AA541" s="18">
        <f>(VLOOKUP(X541,'[1]Simulation pricing per sub assy'!$D:$E,2,0))*Y541</f>
        <v>4.4802908000000006</v>
      </c>
    </row>
    <row r="542" spans="1:27" x14ac:dyDescent="0.35">
      <c r="A542" s="13" t="s">
        <v>845</v>
      </c>
      <c r="B542" s="13" t="s">
        <v>846</v>
      </c>
      <c r="C542" s="42">
        <f t="shared" si="8"/>
        <v>284.83669079999999</v>
      </c>
      <c r="D542" s="20" t="s">
        <v>43</v>
      </c>
      <c r="E542" s="20">
        <v>2</v>
      </c>
      <c r="F542" s="20" t="s">
        <v>3983</v>
      </c>
      <c r="G542" s="14">
        <f>(VLOOKUP(D542,'[1]BOM Info General'!$A:$L,12,0))*E542</f>
        <v>130.12</v>
      </c>
      <c r="H542" s="21" t="s">
        <v>41</v>
      </c>
      <c r="I542" s="21">
        <v>1</v>
      </c>
      <c r="J542" s="21" t="s">
        <v>47</v>
      </c>
      <c r="K542" s="15">
        <f>(VLOOKUP(H542,'[1]BOM Info General'!$A:$L,12,0))*I542</f>
        <v>27.18</v>
      </c>
      <c r="L542" s="22" t="s">
        <v>524</v>
      </c>
      <c r="M542" s="22">
        <v>1</v>
      </c>
      <c r="N542" s="22" t="s">
        <v>70</v>
      </c>
      <c r="O542" s="9">
        <f>(VLOOKUP(L542,'[1]Simulation pricing per sub assy'!$D:$E,2,0))*M542</f>
        <v>94.656400000000033</v>
      </c>
      <c r="P542" s="23" t="s">
        <v>50</v>
      </c>
      <c r="Q542" s="23">
        <v>8</v>
      </c>
      <c r="R542" s="23" t="s">
        <v>611</v>
      </c>
      <c r="S542" s="40">
        <f>(VLOOKUP(P542,'[1]BOM Info General'!$A:$L,12,0))*Q542</f>
        <v>21.2</v>
      </c>
      <c r="T542" s="24" t="s">
        <v>21</v>
      </c>
      <c r="U542" s="17">
        <v>1</v>
      </c>
      <c r="V542" s="24" t="s">
        <v>22</v>
      </c>
      <c r="W542" s="17">
        <f>(VLOOKUP(T542,'[1]Simulation pricing per sub assy'!$D:$E,2,0))*U542</f>
        <v>7.2</v>
      </c>
      <c r="X542" s="25" t="s">
        <v>616</v>
      </c>
      <c r="Y542" s="25">
        <v>1</v>
      </c>
      <c r="Z542" s="25" t="s">
        <v>23</v>
      </c>
      <c r="AA542" s="18">
        <f>(VLOOKUP(X542,'[1]Simulation pricing per sub assy'!$D:$E,2,0))*Y542</f>
        <v>4.4802908000000006</v>
      </c>
    </row>
    <row r="543" spans="1:27" x14ac:dyDescent="0.35">
      <c r="A543" s="13" t="s">
        <v>837</v>
      </c>
      <c r="B543" s="13" t="s">
        <v>838</v>
      </c>
      <c r="C543" s="42">
        <f t="shared" si="8"/>
        <v>285.93669080000001</v>
      </c>
      <c r="D543" s="20" t="s">
        <v>43</v>
      </c>
      <c r="E543" s="20">
        <v>2</v>
      </c>
      <c r="F543" s="20" t="s">
        <v>3983</v>
      </c>
      <c r="G543" s="14">
        <f>(VLOOKUP(D543,'[1]BOM Info General'!$A:$L,12,0))*E543</f>
        <v>130.12</v>
      </c>
      <c r="H543" s="21" t="s">
        <v>41</v>
      </c>
      <c r="I543" s="21">
        <v>1</v>
      </c>
      <c r="J543" s="21" t="s">
        <v>47</v>
      </c>
      <c r="K543" s="15">
        <f>(VLOOKUP(H543,'[1]BOM Info General'!$A:$L,12,0))*I543</f>
        <v>27.18</v>
      </c>
      <c r="L543" s="22" t="s">
        <v>67</v>
      </c>
      <c r="M543" s="22">
        <v>1</v>
      </c>
      <c r="N543" s="22" t="s">
        <v>64</v>
      </c>
      <c r="O543" s="9">
        <f>(VLOOKUP(L543,'[1]Simulation pricing per sub assy'!$D:$E,2,0))*M543</f>
        <v>95.756400000000042</v>
      </c>
      <c r="P543" s="23" t="s">
        <v>50</v>
      </c>
      <c r="Q543" s="23">
        <v>8</v>
      </c>
      <c r="R543" s="23" t="s">
        <v>611</v>
      </c>
      <c r="S543" s="40">
        <f>(VLOOKUP(P543,'[1]BOM Info General'!$A:$L,12,0))*Q543</f>
        <v>21.2</v>
      </c>
      <c r="T543" s="24" t="s">
        <v>21</v>
      </c>
      <c r="U543" s="17">
        <v>1</v>
      </c>
      <c r="V543" s="24" t="s">
        <v>22</v>
      </c>
      <c r="W543" s="17">
        <f>(VLOOKUP(T543,'[1]Simulation pricing per sub assy'!$D:$E,2,0))*U543</f>
        <v>7.2</v>
      </c>
      <c r="X543" s="25" t="s">
        <v>616</v>
      </c>
      <c r="Y543" s="25">
        <v>1</v>
      </c>
      <c r="Z543" s="25" t="s">
        <v>23</v>
      </c>
      <c r="AA543" s="18">
        <f>(VLOOKUP(X543,'[1]Simulation pricing per sub assy'!$D:$E,2,0))*Y543</f>
        <v>4.4802908000000006</v>
      </c>
    </row>
    <row r="544" spans="1:27" x14ac:dyDescent="0.35">
      <c r="A544" s="13" t="s">
        <v>841</v>
      </c>
      <c r="B544" s="13" t="s">
        <v>842</v>
      </c>
      <c r="C544" s="42">
        <f t="shared" si="8"/>
        <v>285.93669080000001</v>
      </c>
      <c r="D544" s="20" t="s">
        <v>43</v>
      </c>
      <c r="E544" s="20">
        <v>2</v>
      </c>
      <c r="F544" s="20" t="s">
        <v>3983</v>
      </c>
      <c r="G544" s="14">
        <f>(VLOOKUP(D544,'[1]BOM Info General'!$A:$L,12,0))*E544</f>
        <v>130.12</v>
      </c>
      <c r="H544" s="21" t="s">
        <v>41</v>
      </c>
      <c r="I544" s="21">
        <v>1</v>
      </c>
      <c r="J544" s="21" t="s">
        <v>47</v>
      </c>
      <c r="K544" s="15">
        <f>(VLOOKUP(H544,'[1]BOM Info General'!$A:$L,12,0))*I544</f>
        <v>27.18</v>
      </c>
      <c r="L544" s="22" t="s">
        <v>63</v>
      </c>
      <c r="M544" s="22">
        <v>1</v>
      </c>
      <c r="N544" s="22" t="s">
        <v>62</v>
      </c>
      <c r="O544" s="9">
        <f>(VLOOKUP(L544,'[1]Simulation pricing per sub assy'!$D:$E,2,0))*M544</f>
        <v>95.756400000000042</v>
      </c>
      <c r="P544" s="23" t="s">
        <v>50</v>
      </c>
      <c r="Q544" s="23">
        <v>8</v>
      </c>
      <c r="R544" s="23" t="s">
        <v>611</v>
      </c>
      <c r="S544" s="40">
        <f>(VLOOKUP(P544,'[1]BOM Info General'!$A:$L,12,0))*Q544</f>
        <v>21.2</v>
      </c>
      <c r="T544" s="24" t="s">
        <v>21</v>
      </c>
      <c r="U544" s="17">
        <v>1</v>
      </c>
      <c r="V544" s="24" t="s">
        <v>22</v>
      </c>
      <c r="W544" s="17">
        <f>(VLOOKUP(T544,'[1]Simulation pricing per sub assy'!$D:$E,2,0))*U544</f>
        <v>7.2</v>
      </c>
      <c r="X544" s="25" t="s">
        <v>616</v>
      </c>
      <c r="Y544" s="25">
        <v>1</v>
      </c>
      <c r="Z544" s="25" t="s">
        <v>23</v>
      </c>
      <c r="AA544" s="18">
        <f>(VLOOKUP(X544,'[1]Simulation pricing per sub assy'!$D:$E,2,0))*Y544</f>
        <v>4.4802908000000006</v>
      </c>
    </row>
    <row r="545" spans="1:27" x14ac:dyDescent="0.35">
      <c r="A545" s="13" t="s">
        <v>839</v>
      </c>
      <c r="B545" s="13" t="s">
        <v>840</v>
      </c>
      <c r="C545" s="42">
        <f t="shared" si="8"/>
        <v>285.3866908</v>
      </c>
      <c r="D545" s="20" t="s">
        <v>43</v>
      </c>
      <c r="E545" s="20">
        <v>2</v>
      </c>
      <c r="F545" s="20" t="s">
        <v>3983</v>
      </c>
      <c r="G545" s="14">
        <f>(VLOOKUP(D545,'[1]BOM Info General'!$A:$L,12,0))*E545</f>
        <v>130.12</v>
      </c>
      <c r="H545" s="21" t="s">
        <v>41</v>
      </c>
      <c r="I545" s="21">
        <v>1</v>
      </c>
      <c r="J545" s="21" t="s">
        <v>47</v>
      </c>
      <c r="K545" s="15">
        <f>(VLOOKUP(H545,'[1]BOM Info General'!$A:$L,12,0))*I545</f>
        <v>27.18</v>
      </c>
      <c r="L545" s="22" t="s">
        <v>69</v>
      </c>
      <c r="M545" s="22">
        <v>1</v>
      </c>
      <c r="N545" s="22" t="s">
        <v>66</v>
      </c>
      <c r="O545" s="9">
        <f>(VLOOKUP(L545,'[1]Simulation pricing per sub assy'!$D:$E,2,0))*M545</f>
        <v>95.206400000000031</v>
      </c>
      <c r="P545" s="23" t="s">
        <v>50</v>
      </c>
      <c r="Q545" s="23">
        <v>8</v>
      </c>
      <c r="R545" s="23" t="s">
        <v>611</v>
      </c>
      <c r="S545" s="40">
        <f>(VLOOKUP(P545,'[1]BOM Info General'!$A:$L,12,0))*Q545</f>
        <v>21.2</v>
      </c>
      <c r="T545" s="24" t="s">
        <v>21</v>
      </c>
      <c r="U545" s="17">
        <v>1</v>
      </c>
      <c r="V545" s="24" t="s">
        <v>22</v>
      </c>
      <c r="W545" s="17">
        <f>(VLOOKUP(T545,'[1]Simulation pricing per sub assy'!$D:$E,2,0))*U545</f>
        <v>7.2</v>
      </c>
      <c r="X545" s="25" t="s">
        <v>616</v>
      </c>
      <c r="Y545" s="25">
        <v>1</v>
      </c>
      <c r="Z545" s="25" t="s">
        <v>23</v>
      </c>
      <c r="AA545" s="18">
        <f>(VLOOKUP(X545,'[1]Simulation pricing per sub assy'!$D:$E,2,0))*Y545</f>
        <v>4.4802908000000006</v>
      </c>
    </row>
    <row r="546" spans="1:27" x14ac:dyDescent="0.35">
      <c r="A546" s="13" t="s">
        <v>843</v>
      </c>
      <c r="B546" s="13" t="s">
        <v>844</v>
      </c>
      <c r="C546" s="42">
        <f t="shared" si="8"/>
        <v>293.34669079999998</v>
      </c>
      <c r="D546" s="20" t="s">
        <v>43</v>
      </c>
      <c r="E546" s="20">
        <v>2</v>
      </c>
      <c r="F546" s="20" t="s">
        <v>3983</v>
      </c>
      <c r="G546" s="14">
        <f>(VLOOKUP(D546,'[1]BOM Info General'!$A:$L,12,0))*E546</f>
        <v>130.12</v>
      </c>
      <c r="H546" s="21" t="s">
        <v>41</v>
      </c>
      <c r="I546" s="21">
        <v>1</v>
      </c>
      <c r="J546" s="21" t="s">
        <v>47</v>
      </c>
      <c r="K546" s="15">
        <f>(VLOOKUP(H546,'[1]BOM Info General'!$A:$L,12,0))*I546</f>
        <v>27.18</v>
      </c>
      <c r="L546" s="22" t="s">
        <v>65</v>
      </c>
      <c r="M546" s="22">
        <v>1</v>
      </c>
      <c r="N546" s="22" t="s">
        <v>68</v>
      </c>
      <c r="O546" s="9">
        <f>(VLOOKUP(L546,'[1]Simulation pricing per sub assy'!$D:$E,2,0))*M546</f>
        <v>103.16640000000004</v>
      </c>
      <c r="P546" s="23" t="s">
        <v>50</v>
      </c>
      <c r="Q546" s="23">
        <v>8</v>
      </c>
      <c r="R546" s="23" t="s">
        <v>611</v>
      </c>
      <c r="S546" s="40">
        <f>(VLOOKUP(P546,'[1]BOM Info General'!$A:$L,12,0))*Q546</f>
        <v>21.2</v>
      </c>
      <c r="T546" s="24" t="s">
        <v>21</v>
      </c>
      <c r="U546" s="17">
        <v>1</v>
      </c>
      <c r="V546" s="24" t="s">
        <v>22</v>
      </c>
      <c r="W546" s="17">
        <f>(VLOOKUP(T546,'[1]Simulation pricing per sub assy'!$D:$E,2,0))*U546</f>
        <v>7.2</v>
      </c>
      <c r="X546" s="25" t="s">
        <v>616</v>
      </c>
      <c r="Y546" s="25">
        <v>1</v>
      </c>
      <c r="Z546" s="25" t="s">
        <v>23</v>
      </c>
      <c r="AA546" s="18">
        <f>(VLOOKUP(X546,'[1]Simulation pricing per sub assy'!$D:$E,2,0))*Y546</f>
        <v>4.4802908000000006</v>
      </c>
    </row>
    <row r="547" spans="1:27" x14ac:dyDescent="0.35">
      <c r="A547" s="13" t="s">
        <v>929</v>
      </c>
      <c r="B547" s="13" t="s">
        <v>930</v>
      </c>
      <c r="C547" s="42">
        <f t="shared" si="8"/>
        <v>284.07669079999999</v>
      </c>
      <c r="D547" s="20" t="s">
        <v>43</v>
      </c>
      <c r="E547" s="20">
        <v>2</v>
      </c>
      <c r="F547" s="20" t="s">
        <v>3983</v>
      </c>
      <c r="G547" s="14">
        <f>(VLOOKUP(D547,'[1]BOM Info General'!$A:$L,12,0))*E547</f>
        <v>130.12</v>
      </c>
      <c r="H547" s="21" t="s">
        <v>41</v>
      </c>
      <c r="I547" s="21">
        <v>1</v>
      </c>
      <c r="J547" s="21" t="s">
        <v>47</v>
      </c>
      <c r="K547" s="15">
        <f>(VLOOKUP(H547,'[1]BOM Info General'!$A:$L,12,0))*I547</f>
        <v>27.18</v>
      </c>
      <c r="L547" s="22" t="s">
        <v>524</v>
      </c>
      <c r="M547" s="22">
        <v>1</v>
      </c>
      <c r="N547" s="22" t="s">
        <v>70</v>
      </c>
      <c r="O547" s="9">
        <f>(VLOOKUP(L547,'[1]Simulation pricing per sub assy'!$D:$E,2,0))*M547</f>
        <v>94.656400000000033</v>
      </c>
      <c r="P547" s="23" t="s">
        <v>50</v>
      </c>
      <c r="Q547" s="23">
        <v>8</v>
      </c>
      <c r="R547" s="23" t="s">
        <v>16</v>
      </c>
      <c r="S547" s="40">
        <f>(VLOOKUP(P547,'[1]BOM Info General'!$A:$L,12,0))*Q547</f>
        <v>21.2</v>
      </c>
      <c r="T547" s="24" t="s">
        <v>24</v>
      </c>
      <c r="U547" s="24">
        <v>1</v>
      </c>
      <c r="V547" s="24" t="s">
        <v>25</v>
      </c>
      <c r="W547" s="17">
        <f>(VLOOKUP(T547,'[1]Simulation pricing per sub assy'!$D:$E,2,0))*U547</f>
        <v>6.44</v>
      </c>
      <c r="X547" s="18" t="s">
        <v>616</v>
      </c>
      <c r="Y547" s="25">
        <v>1</v>
      </c>
      <c r="Z547" s="25" t="s">
        <v>23</v>
      </c>
      <c r="AA547" s="18">
        <f>(VLOOKUP(X547,'[1]Simulation pricing per sub assy'!$D:$E,2,0))*Y547</f>
        <v>4.4802908000000006</v>
      </c>
    </row>
    <row r="548" spans="1:27" x14ac:dyDescent="0.35">
      <c r="A548" s="13" t="s">
        <v>857</v>
      </c>
      <c r="B548" s="13" t="s">
        <v>858</v>
      </c>
      <c r="C548" s="42">
        <f t="shared" si="8"/>
        <v>285.17669080000002</v>
      </c>
      <c r="D548" s="20" t="s">
        <v>43</v>
      </c>
      <c r="E548" s="20">
        <v>2</v>
      </c>
      <c r="F548" s="20" t="s">
        <v>3983</v>
      </c>
      <c r="G548" s="14">
        <f>(VLOOKUP(D548,'[1]BOM Info General'!$A:$L,12,0))*E548</f>
        <v>130.12</v>
      </c>
      <c r="H548" s="21" t="s">
        <v>41</v>
      </c>
      <c r="I548" s="21">
        <v>1</v>
      </c>
      <c r="J548" s="21" t="s">
        <v>47</v>
      </c>
      <c r="K548" s="15">
        <f>(VLOOKUP(H548,'[1]BOM Info General'!$A:$L,12,0))*I548</f>
        <v>27.18</v>
      </c>
      <c r="L548" s="22" t="s">
        <v>67</v>
      </c>
      <c r="M548" s="22">
        <v>1</v>
      </c>
      <c r="N548" s="22" t="s">
        <v>64</v>
      </c>
      <c r="O548" s="9">
        <f>(VLOOKUP(L548,'[1]Simulation pricing per sub assy'!$D:$E,2,0))*M548</f>
        <v>95.756400000000042</v>
      </c>
      <c r="P548" s="23" t="s">
        <v>50</v>
      </c>
      <c r="Q548" s="23">
        <v>8</v>
      </c>
      <c r="R548" s="23" t="s">
        <v>16</v>
      </c>
      <c r="S548" s="40">
        <f>(VLOOKUP(P548,'[1]BOM Info General'!$A:$L,12,0))*Q548</f>
        <v>21.2</v>
      </c>
      <c r="T548" s="24" t="s">
        <v>24</v>
      </c>
      <c r="U548" s="17">
        <v>1</v>
      </c>
      <c r="V548" s="24" t="s">
        <v>25</v>
      </c>
      <c r="W548" s="17">
        <f>(VLOOKUP(T548,'[1]Simulation pricing per sub assy'!$D:$E,2,0))*U548</f>
        <v>6.44</v>
      </c>
      <c r="X548" s="25" t="s">
        <v>616</v>
      </c>
      <c r="Y548" s="25">
        <v>1</v>
      </c>
      <c r="Z548" s="25" t="s">
        <v>23</v>
      </c>
      <c r="AA548" s="18">
        <f>(VLOOKUP(X548,'[1]Simulation pricing per sub assy'!$D:$E,2,0))*Y548</f>
        <v>4.4802908000000006</v>
      </c>
    </row>
    <row r="549" spans="1:27" x14ac:dyDescent="0.35">
      <c r="A549" s="13" t="s">
        <v>893</v>
      </c>
      <c r="B549" s="13" t="s">
        <v>894</v>
      </c>
      <c r="C549" s="42">
        <f t="shared" si="8"/>
        <v>285.17669080000002</v>
      </c>
      <c r="D549" s="20" t="s">
        <v>43</v>
      </c>
      <c r="E549" s="20">
        <v>2</v>
      </c>
      <c r="F549" s="20" t="s">
        <v>3983</v>
      </c>
      <c r="G549" s="14">
        <f>(VLOOKUP(D549,'[1]BOM Info General'!$A:$L,12,0))*E549</f>
        <v>130.12</v>
      </c>
      <c r="H549" s="21" t="s">
        <v>41</v>
      </c>
      <c r="I549" s="21">
        <v>1</v>
      </c>
      <c r="J549" s="21" t="s">
        <v>47</v>
      </c>
      <c r="K549" s="15">
        <f>(VLOOKUP(H549,'[1]BOM Info General'!$A:$L,12,0))*I549</f>
        <v>27.18</v>
      </c>
      <c r="L549" s="22" t="s">
        <v>63</v>
      </c>
      <c r="M549" s="22">
        <v>1</v>
      </c>
      <c r="N549" s="22" t="s">
        <v>62</v>
      </c>
      <c r="O549" s="9">
        <f>(VLOOKUP(L549,'[1]Simulation pricing per sub assy'!$D:$E,2,0))*M549</f>
        <v>95.756400000000042</v>
      </c>
      <c r="P549" s="23" t="s">
        <v>50</v>
      </c>
      <c r="Q549" s="23">
        <v>8</v>
      </c>
      <c r="R549" s="23" t="s">
        <v>16</v>
      </c>
      <c r="S549" s="40">
        <f>(VLOOKUP(P549,'[1]BOM Info General'!$A:$L,12,0))*Q549</f>
        <v>21.2</v>
      </c>
      <c r="T549" s="24" t="s">
        <v>24</v>
      </c>
      <c r="U549" s="24">
        <v>1</v>
      </c>
      <c r="V549" s="24" t="s">
        <v>25</v>
      </c>
      <c r="W549" s="17">
        <f>(VLOOKUP(T549,'[1]Simulation pricing per sub assy'!$D:$E,2,0))*U549</f>
        <v>6.44</v>
      </c>
      <c r="X549" s="18" t="s">
        <v>616</v>
      </c>
      <c r="Y549" s="25">
        <v>1</v>
      </c>
      <c r="Z549" s="25" t="s">
        <v>23</v>
      </c>
      <c r="AA549" s="18">
        <f>(VLOOKUP(X549,'[1]Simulation pricing per sub assy'!$D:$E,2,0))*Y549</f>
        <v>4.4802908000000006</v>
      </c>
    </row>
    <row r="550" spans="1:27" x14ac:dyDescent="0.35">
      <c r="A550" s="13" t="s">
        <v>875</v>
      </c>
      <c r="B550" s="13" t="s">
        <v>876</v>
      </c>
      <c r="C550" s="42">
        <f t="shared" si="8"/>
        <v>284.62669080000001</v>
      </c>
      <c r="D550" s="20" t="s">
        <v>43</v>
      </c>
      <c r="E550" s="20">
        <v>2</v>
      </c>
      <c r="F550" s="20" t="s">
        <v>3983</v>
      </c>
      <c r="G550" s="14">
        <f>(VLOOKUP(D550,'[1]BOM Info General'!$A:$L,12,0))*E550</f>
        <v>130.12</v>
      </c>
      <c r="H550" s="21" t="s">
        <v>41</v>
      </c>
      <c r="I550" s="21">
        <v>1</v>
      </c>
      <c r="J550" s="21" t="s">
        <v>47</v>
      </c>
      <c r="K550" s="15">
        <f>(VLOOKUP(H550,'[1]BOM Info General'!$A:$L,12,0))*I550</f>
        <v>27.18</v>
      </c>
      <c r="L550" s="22" t="s">
        <v>69</v>
      </c>
      <c r="M550" s="22">
        <v>1</v>
      </c>
      <c r="N550" s="22" t="s">
        <v>66</v>
      </c>
      <c r="O550" s="9">
        <f>(VLOOKUP(L550,'[1]Simulation pricing per sub assy'!$D:$E,2,0))*M550</f>
        <v>95.206400000000031</v>
      </c>
      <c r="P550" s="23" t="s">
        <v>50</v>
      </c>
      <c r="Q550" s="23">
        <v>8</v>
      </c>
      <c r="R550" s="23" t="s">
        <v>16</v>
      </c>
      <c r="S550" s="40">
        <f>(VLOOKUP(P550,'[1]BOM Info General'!$A:$L,12,0))*Q550</f>
        <v>21.2</v>
      </c>
      <c r="T550" s="24" t="s">
        <v>24</v>
      </c>
      <c r="U550" s="24">
        <v>1</v>
      </c>
      <c r="V550" s="24" t="s">
        <v>25</v>
      </c>
      <c r="W550" s="17">
        <f>(VLOOKUP(T550,'[1]Simulation pricing per sub assy'!$D:$E,2,0))*U550</f>
        <v>6.44</v>
      </c>
      <c r="X550" s="18" t="s">
        <v>616</v>
      </c>
      <c r="Y550" s="25">
        <v>1</v>
      </c>
      <c r="Z550" s="25" t="s">
        <v>23</v>
      </c>
      <c r="AA550" s="18">
        <f>(VLOOKUP(X550,'[1]Simulation pricing per sub assy'!$D:$E,2,0))*Y550</f>
        <v>4.4802908000000006</v>
      </c>
    </row>
    <row r="551" spans="1:27" x14ac:dyDescent="0.35">
      <c r="A551" s="13" t="s">
        <v>911</v>
      </c>
      <c r="B551" s="13" t="s">
        <v>912</v>
      </c>
      <c r="C551" s="42">
        <f t="shared" si="8"/>
        <v>292.58669079999999</v>
      </c>
      <c r="D551" s="20" t="s">
        <v>43</v>
      </c>
      <c r="E551" s="20">
        <v>2</v>
      </c>
      <c r="F551" s="20" t="s">
        <v>3983</v>
      </c>
      <c r="G551" s="14">
        <f>(VLOOKUP(D551,'[1]BOM Info General'!$A:$L,12,0))*E551</f>
        <v>130.12</v>
      </c>
      <c r="H551" s="21" t="s">
        <v>41</v>
      </c>
      <c r="I551" s="21">
        <v>1</v>
      </c>
      <c r="J551" s="21" t="s">
        <v>47</v>
      </c>
      <c r="K551" s="15">
        <f>(VLOOKUP(H551,'[1]BOM Info General'!$A:$L,12,0))*I551</f>
        <v>27.18</v>
      </c>
      <c r="L551" s="22" t="s">
        <v>65</v>
      </c>
      <c r="M551" s="22">
        <v>1</v>
      </c>
      <c r="N551" s="22" t="s">
        <v>68</v>
      </c>
      <c r="O551" s="9">
        <f>(VLOOKUP(L551,'[1]Simulation pricing per sub assy'!$D:$E,2,0))*M551</f>
        <v>103.16640000000004</v>
      </c>
      <c r="P551" s="23" t="s">
        <v>50</v>
      </c>
      <c r="Q551" s="23">
        <v>8</v>
      </c>
      <c r="R551" s="23" t="s">
        <v>16</v>
      </c>
      <c r="S551" s="40">
        <f>(VLOOKUP(P551,'[1]BOM Info General'!$A:$L,12,0))*Q551</f>
        <v>21.2</v>
      </c>
      <c r="T551" s="24" t="s">
        <v>24</v>
      </c>
      <c r="U551" s="24">
        <v>1</v>
      </c>
      <c r="V551" s="24" t="s">
        <v>25</v>
      </c>
      <c r="W551" s="17">
        <f>(VLOOKUP(T551,'[1]Simulation pricing per sub assy'!$D:$E,2,0))*U551</f>
        <v>6.44</v>
      </c>
      <c r="X551" s="18" t="s">
        <v>616</v>
      </c>
      <c r="Y551" s="25">
        <v>1</v>
      </c>
      <c r="Z551" s="25" t="s">
        <v>23</v>
      </c>
      <c r="AA551" s="18">
        <f>(VLOOKUP(X551,'[1]Simulation pricing per sub assy'!$D:$E,2,0))*Y551</f>
        <v>4.4802908000000006</v>
      </c>
    </row>
    <row r="552" spans="1:27" x14ac:dyDescent="0.35">
      <c r="A552" s="13" t="s">
        <v>931</v>
      </c>
      <c r="B552" s="13" t="s">
        <v>932</v>
      </c>
      <c r="C552" s="42">
        <f t="shared" si="8"/>
        <v>284.67669080000002</v>
      </c>
      <c r="D552" s="20" t="s">
        <v>43</v>
      </c>
      <c r="E552" s="20">
        <v>2</v>
      </c>
      <c r="F552" s="20" t="s">
        <v>3983</v>
      </c>
      <c r="G552" s="14">
        <f>(VLOOKUP(D552,'[1]BOM Info General'!$A:$L,12,0))*E552</f>
        <v>130.12</v>
      </c>
      <c r="H552" s="21" t="s">
        <v>41</v>
      </c>
      <c r="I552" s="21">
        <v>1</v>
      </c>
      <c r="J552" s="21" t="s">
        <v>47</v>
      </c>
      <c r="K552" s="15">
        <f>(VLOOKUP(H552,'[1]BOM Info General'!$A:$L,12,0))*I552</f>
        <v>27.18</v>
      </c>
      <c r="L552" s="22" t="s">
        <v>524</v>
      </c>
      <c r="M552" s="22">
        <v>1</v>
      </c>
      <c r="N552" s="22" t="s">
        <v>70</v>
      </c>
      <c r="O552" s="9">
        <f>(VLOOKUP(L552,'[1]Simulation pricing per sub assy'!$D:$E,2,0))*M552</f>
        <v>94.656400000000033</v>
      </c>
      <c r="P552" s="23" t="s">
        <v>50</v>
      </c>
      <c r="Q552" s="23">
        <v>8</v>
      </c>
      <c r="R552" s="23" t="s">
        <v>16</v>
      </c>
      <c r="S552" s="40">
        <f>(VLOOKUP(P552,'[1]BOM Info General'!$A:$L,12,0))*Q552</f>
        <v>21.2</v>
      </c>
      <c r="T552" s="24" t="s">
        <v>26</v>
      </c>
      <c r="U552" s="24">
        <v>1</v>
      </c>
      <c r="V552" s="24" t="s">
        <v>27</v>
      </c>
      <c r="W552" s="17">
        <f>(VLOOKUP(T552,'[1]Simulation pricing per sub assy'!$D:$E,2,0))*U552</f>
        <v>7.04</v>
      </c>
      <c r="X552" s="18" t="s">
        <v>616</v>
      </c>
      <c r="Y552" s="25">
        <v>1</v>
      </c>
      <c r="Z552" s="25" t="s">
        <v>23</v>
      </c>
      <c r="AA552" s="18">
        <f>(VLOOKUP(X552,'[1]Simulation pricing per sub assy'!$D:$E,2,0))*Y552</f>
        <v>4.4802908000000006</v>
      </c>
    </row>
    <row r="553" spans="1:27" x14ac:dyDescent="0.35">
      <c r="A553" s="13" t="s">
        <v>859</v>
      </c>
      <c r="B553" s="13" t="s">
        <v>860</v>
      </c>
      <c r="C553" s="42">
        <f t="shared" si="8"/>
        <v>285.77669080000004</v>
      </c>
      <c r="D553" s="20" t="s">
        <v>43</v>
      </c>
      <c r="E553" s="20">
        <v>2</v>
      </c>
      <c r="F553" s="20" t="s">
        <v>3983</v>
      </c>
      <c r="G553" s="14">
        <f>(VLOOKUP(D553,'[1]BOM Info General'!$A:$L,12,0))*E553</f>
        <v>130.12</v>
      </c>
      <c r="H553" s="21" t="s">
        <v>41</v>
      </c>
      <c r="I553" s="21">
        <v>1</v>
      </c>
      <c r="J553" s="21" t="s">
        <v>47</v>
      </c>
      <c r="K553" s="15">
        <f>(VLOOKUP(H553,'[1]BOM Info General'!$A:$L,12,0))*I553</f>
        <v>27.18</v>
      </c>
      <c r="L553" s="22" t="s">
        <v>67</v>
      </c>
      <c r="M553" s="22">
        <v>1</v>
      </c>
      <c r="N553" s="22" t="s">
        <v>64</v>
      </c>
      <c r="O553" s="9">
        <f>(VLOOKUP(L553,'[1]Simulation pricing per sub assy'!$D:$E,2,0))*M553</f>
        <v>95.756400000000042</v>
      </c>
      <c r="P553" s="23" t="s">
        <v>50</v>
      </c>
      <c r="Q553" s="23">
        <v>8</v>
      </c>
      <c r="R553" s="23" t="s">
        <v>16</v>
      </c>
      <c r="S553" s="40">
        <f>(VLOOKUP(P553,'[1]BOM Info General'!$A:$L,12,0))*Q553</f>
        <v>21.2</v>
      </c>
      <c r="T553" s="24" t="s">
        <v>26</v>
      </c>
      <c r="U553" s="17">
        <v>1</v>
      </c>
      <c r="V553" s="24" t="s">
        <v>27</v>
      </c>
      <c r="W553" s="17">
        <f>(VLOOKUP(T553,'[1]Simulation pricing per sub assy'!$D:$E,2,0))*U553</f>
        <v>7.04</v>
      </c>
      <c r="X553" s="25" t="s">
        <v>616</v>
      </c>
      <c r="Y553" s="25">
        <v>1</v>
      </c>
      <c r="Z553" s="25" t="s">
        <v>23</v>
      </c>
      <c r="AA553" s="18">
        <f>(VLOOKUP(X553,'[1]Simulation pricing per sub assy'!$D:$E,2,0))*Y553</f>
        <v>4.4802908000000006</v>
      </c>
    </row>
    <row r="554" spans="1:27" x14ac:dyDescent="0.35">
      <c r="A554" s="13" t="s">
        <v>895</v>
      </c>
      <c r="B554" s="13" t="s">
        <v>896</v>
      </c>
      <c r="C554" s="42">
        <f t="shared" si="8"/>
        <v>285.77669080000004</v>
      </c>
      <c r="D554" s="20" t="s">
        <v>43</v>
      </c>
      <c r="E554" s="20">
        <v>2</v>
      </c>
      <c r="F554" s="20" t="s">
        <v>3983</v>
      </c>
      <c r="G554" s="14">
        <f>(VLOOKUP(D554,'[1]BOM Info General'!$A:$L,12,0))*E554</f>
        <v>130.12</v>
      </c>
      <c r="H554" s="21" t="s">
        <v>41</v>
      </c>
      <c r="I554" s="21">
        <v>1</v>
      </c>
      <c r="J554" s="21" t="s">
        <v>47</v>
      </c>
      <c r="K554" s="15">
        <f>(VLOOKUP(H554,'[1]BOM Info General'!$A:$L,12,0))*I554</f>
        <v>27.18</v>
      </c>
      <c r="L554" s="22" t="s">
        <v>63</v>
      </c>
      <c r="M554" s="22">
        <v>1</v>
      </c>
      <c r="N554" s="22" t="s">
        <v>62</v>
      </c>
      <c r="O554" s="9">
        <f>(VLOOKUP(L554,'[1]Simulation pricing per sub assy'!$D:$E,2,0))*M554</f>
        <v>95.756400000000042</v>
      </c>
      <c r="P554" s="23" t="s">
        <v>50</v>
      </c>
      <c r="Q554" s="23">
        <v>8</v>
      </c>
      <c r="R554" s="23" t="s">
        <v>16</v>
      </c>
      <c r="S554" s="40">
        <f>(VLOOKUP(P554,'[1]BOM Info General'!$A:$L,12,0))*Q554</f>
        <v>21.2</v>
      </c>
      <c r="T554" s="24" t="s">
        <v>26</v>
      </c>
      <c r="U554" s="24">
        <v>1</v>
      </c>
      <c r="V554" s="24" t="s">
        <v>27</v>
      </c>
      <c r="W554" s="17">
        <f>(VLOOKUP(T554,'[1]Simulation pricing per sub assy'!$D:$E,2,0))*U554</f>
        <v>7.04</v>
      </c>
      <c r="X554" s="18" t="s">
        <v>616</v>
      </c>
      <c r="Y554" s="25">
        <v>1</v>
      </c>
      <c r="Z554" s="25" t="s">
        <v>23</v>
      </c>
      <c r="AA554" s="18">
        <f>(VLOOKUP(X554,'[1]Simulation pricing per sub assy'!$D:$E,2,0))*Y554</f>
        <v>4.4802908000000006</v>
      </c>
    </row>
    <row r="555" spans="1:27" x14ac:dyDescent="0.35">
      <c r="A555" s="13" t="s">
        <v>877</v>
      </c>
      <c r="B555" s="13" t="s">
        <v>878</v>
      </c>
      <c r="C555" s="42">
        <f t="shared" si="8"/>
        <v>285.22669080000003</v>
      </c>
      <c r="D555" s="20" t="s">
        <v>43</v>
      </c>
      <c r="E555" s="20">
        <v>2</v>
      </c>
      <c r="F555" s="20" t="s">
        <v>3983</v>
      </c>
      <c r="G555" s="14">
        <f>(VLOOKUP(D555,'[1]BOM Info General'!$A:$L,12,0))*E555</f>
        <v>130.12</v>
      </c>
      <c r="H555" s="21" t="s">
        <v>41</v>
      </c>
      <c r="I555" s="21">
        <v>1</v>
      </c>
      <c r="J555" s="21" t="s">
        <v>47</v>
      </c>
      <c r="K555" s="15">
        <f>(VLOOKUP(H555,'[1]BOM Info General'!$A:$L,12,0))*I555</f>
        <v>27.18</v>
      </c>
      <c r="L555" s="22" t="s">
        <v>69</v>
      </c>
      <c r="M555" s="22">
        <v>1</v>
      </c>
      <c r="N555" s="22" t="s">
        <v>66</v>
      </c>
      <c r="O555" s="9">
        <f>(VLOOKUP(L555,'[1]Simulation pricing per sub assy'!$D:$E,2,0))*M555</f>
        <v>95.206400000000031</v>
      </c>
      <c r="P555" s="23" t="s">
        <v>50</v>
      </c>
      <c r="Q555" s="23">
        <v>8</v>
      </c>
      <c r="R555" s="23" t="s">
        <v>16</v>
      </c>
      <c r="S555" s="40">
        <f>(VLOOKUP(P555,'[1]BOM Info General'!$A:$L,12,0))*Q555</f>
        <v>21.2</v>
      </c>
      <c r="T555" s="24" t="s">
        <v>26</v>
      </c>
      <c r="U555" s="24">
        <v>1</v>
      </c>
      <c r="V555" s="24" t="s">
        <v>27</v>
      </c>
      <c r="W555" s="17">
        <f>(VLOOKUP(T555,'[1]Simulation pricing per sub assy'!$D:$E,2,0))*U555</f>
        <v>7.04</v>
      </c>
      <c r="X555" s="18" t="s">
        <v>616</v>
      </c>
      <c r="Y555" s="25">
        <v>1</v>
      </c>
      <c r="Z555" s="25" t="s">
        <v>23</v>
      </c>
      <c r="AA555" s="18">
        <f>(VLOOKUP(X555,'[1]Simulation pricing per sub assy'!$D:$E,2,0))*Y555</f>
        <v>4.4802908000000006</v>
      </c>
    </row>
    <row r="556" spans="1:27" x14ac:dyDescent="0.35">
      <c r="A556" s="13" t="s">
        <v>913</v>
      </c>
      <c r="B556" s="13" t="s">
        <v>914</v>
      </c>
      <c r="C556" s="42">
        <f t="shared" si="8"/>
        <v>293.18669080000001</v>
      </c>
      <c r="D556" s="20" t="s">
        <v>43</v>
      </c>
      <c r="E556" s="20">
        <v>2</v>
      </c>
      <c r="F556" s="20" t="s">
        <v>3983</v>
      </c>
      <c r="G556" s="14">
        <f>(VLOOKUP(D556,'[1]BOM Info General'!$A:$L,12,0))*E556</f>
        <v>130.12</v>
      </c>
      <c r="H556" s="21" t="s">
        <v>41</v>
      </c>
      <c r="I556" s="21">
        <v>1</v>
      </c>
      <c r="J556" s="21" t="s">
        <v>47</v>
      </c>
      <c r="K556" s="15">
        <f>(VLOOKUP(H556,'[1]BOM Info General'!$A:$L,12,0))*I556</f>
        <v>27.18</v>
      </c>
      <c r="L556" s="22" t="s">
        <v>65</v>
      </c>
      <c r="M556" s="22">
        <v>1</v>
      </c>
      <c r="N556" s="22" t="s">
        <v>68</v>
      </c>
      <c r="O556" s="9">
        <f>(VLOOKUP(L556,'[1]Simulation pricing per sub assy'!$D:$E,2,0))*M556</f>
        <v>103.16640000000004</v>
      </c>
      <c r="P556" s="23" t="s">
        <v>50</v>
      </c>
      <c r="Q556" s="23">
        <v>8</v>
      </c>
      <c r="R556" s="23" t="s">
        <v>16</v>
      </c>
      <c r="S556" s="40">
        <f>(VLOOKUP(P556,'[1]BOM Info General'!$A:$L,12,0))*Q556</f>
        <v>21.2</v>
      </c>
      <c r="T556" s="24" t="s">
        <v>26</v>
      </c>
      <c r="U556" s="24">
        <v>1</v>
      </c>
      <c r="V556" s="24" t="s">
        <v>27</v>
      </c>
      <c r="W556" s="17">
        <f>(VLOOKUP(T556,'[1]Simulation pricing per sub assy'!$D:$E,2,0))*U556</f>
        <v>7.04</v>
      </c>
      <c r="X556" s="18" t="s">
        <v>616</v>
      </c>
      <c r="Y556" s="25">
        <v>1</v>
      </c>
      <c r="Z556" s="25" t="s">
        <v>23</v>
      </c>
      <c r="AA556" s="18">
        <f>(VLOOKUP(X556,'[1]Simulation pricing per sub assy'!$D:$E,2,0))*Y556</f>
        <v>4.4802908000000006</v>
      </c>
    </row>
    <row r="557" spans="1:27" x14ac:dyDescent="0.35">
      <c r="A557" s="13" t="s">
        <v>933</v>
      </c>
      <c r="B557" s="13" t="s">
        <v>934</v>
      </c>
      <c r="C557" s="42">
        <f t="shared" si="8"/>
        <v>284.6366908</v>
      </c>
      <c r="D557" s="20" t="s">
        <v>43</v>
      </c>
      <c r="E557" s="20">
        <v>2</v>
      </c>
      <c r="F557" s="20" t="s">
        <v>3983</v>
      </c>
      <c r="G557" s="14">
        <f>(VLOOKUP(D557,'[1]BOM Info General'!$A:$L,12,0))*E557</f>
        <v>130.12</v>
      </c>
      <c r="H557" s="21" t="s">
        <v>41</v>
      </c>
      <c r="I557" s="21">
        <v>1</v>
      </c>
      <c r="J557" s="21" t="s">
        <v>47</v>
      </c>
      <c r="K557" s="15">
        <f>(VLOOKUP(H557,'[1]BOM Info General'!$A:$L,12,0))*I557</f>
        <v>27.18</v>
      </c>
      <c r="L557" s="22" t="s">
        <v>524</v>
      </c>
      <c r="M557" s="22">
        <v>1</v>
      </c>
      <c r="N557" s="22" t="s">
        <v>70</v>
      </c>
      <c r="O557" s="9">
        <f>(VLOOKUP(L557,'[1]Simulation pricing per sub assy'!$D:$E,2,0))*M557</f>
        <v>94.656400000000033</v>
      </c>
      <c r="P557" s="23" t="s">
        <v>50</v>
      </c>
      <c r="Q557" s="23">
        <v>8</v>
      </c>
      <c r="R557" s="23" t="s">
        <v>16</v>
      </c>
      <c r="S557" s="40">
        <f>(VLOOKUP(P557,'[1]BOM Info General'!$A:$L,12,0))*Q557</f>
        <v>21.2</v>
      </c>
      <c r="T557" s="24" t="s">
        <v>28</v>
      </c>
      <c r="U557" s="24">
        <v>1</v>
      </c>
      <c r="V557" s="24" t="s">
        <v>29</v>
      </c>
      <c r="W557" s="17">
        <f>(VLOOKUP(T557,'[1]Simulation pricing per sub assy'!$D:$E,2,0))*U557</f>
        <v>7</v>
      </c>
      <c r="X557" s="18" t="s">
        <v>616</v>
      </c>
      <c r="Y557" s="25">
        <v>1</v>
      </c>
      <c r="Z557" s="25" t="s">
        <v>23</v>
      </c>
      <c r="AA557" s="18">
        <f>(VLOOKUP(X557,'[1]Simulation pricing per sub assy'!$D:$E,2,0))*Y557</f>
        <v>4.4802908000000006</v>
      </c>
    </row>
    <row r="558" spans="1:27" x14ac:dyDescent="0.35">
      <c r="A558" s="13" t="s">
        <v>861</v>
      </c>
      <c r="B558" s="13" t="s">
        <v>862</v>
      </c>
      <c r="C558" s="42">
        <f t="shared" si="8"/>
        <v>285.73669080000002</v>
      </c>
      <c r="D558" s="20" t="s">
        <v>43</v>
      </c>
      <c r="E558" s="20">
        <v>2</v>
      </c>
      <c r="F558" s="20" t="s">
        <v>3983</v>
      </c>
      <c r="G558" s="14">
        <f>(VLOOKUP(D558,'[1]BOM Info General'!$A:$L,12,0))*E558</f>
        <v>130.12</v>
      </c>
      <c r="H558" s="21" t="s">
        <v>41</v>
      </c>
      <c r="I558" s="21">
        <v>1</v>
      </c>
      <c r="J558" s="21" t="s">
        <v>47</v>
      </c>
      <c r="K558" s="15">
        <f>(VLOOKUP(H558,'[1]BOM Info General'!$A:$L,12,0))*I558</f>
        <v>27.18</v>
      </c>
      <c r="L558" s="22" t="s">
        <v>67</v>
      </c>
      <c r="M558" s="22">
        <v>1</v>
      </c>
      <c r="N558" s="22" t="s">
        <v>64</v>
      </c>
      <c r="O558" s="9">
        <f>(VLOOKUP(L558,'[1]Simulation pricing per sub assy'!$D:$E,2,0))*M558</f>
        <v>95.756400000000042</v>
      </c>
      <c r="P558" s="23" t="s">
        <v>50</v>
      </c>
      <c r="Q558" s="23">
        <v>8</v>
      </c>
      <c r="R558" s="23" t="s">
        <v>16</v>
      </c>
      <c r="S558" s="40">
        <f>(VLOOKUP(P558,'[1]BOM Info General'!$A:$L,12,0))*Q558</f>
        <v>21.2</v>
      </c>
      <c r="T558" s="24" t="s">
        <v>28</v>
      </c>
      <c r="U558" s="17">
        <v>1</v>
      </c>
      <c r="V558" s="24" t="s">
        <v>29</v>
      </c>
      <c r="W558" s="17">
        <f>(VLOOKUP(T558,'[1]Simulation pricing per sub assy'!$D:$E,2,0))*U558</f>
        <v>7</v>
      </c>
      <c r="X558" s="25" t="s">
        <v>616</v>
      </c>
      <c r="Y558" s="25">
        <v>1</v>
      </c>
      <c r="Z558" s="25" t="s">
        <v>23</v>
      </c>
      <c r="AA558" s="18">
        <f>(VLOOKUP(X558,'[1]Simulation pricing per sub assy'!$D:$E,2,0))*Y558</f>
        <v>4.4802908000000006</v>
      </c>
    </row>
    <row r="559" spans="1:27" x14ac:dyDescent="0.35">
      <c r="A559" s="13" t="s">
        <v>897</v>
      </c>
      <c r="B559" s="13" t="s">
        <v>898</v>
      </c>
      <c r="C559" s="42">
        <f t="shared" si="8"/>
        <v>285.73669080000002</v>
      </c>
      <c r="D559" s="20" t="s">
        <v>43</v>
      </c>
      <c r="E559" s="20">
        <v>2</v>
      </c>
      <c r="F559" s="20" t="s">
        <v>3983</v>
      </c>
      <c r="G559" s="14">
        <f>(VLOOKUP(D559,'[1]BOM Info General'!$A:$L,12,0))*E559</f>
        <v>130.12</v>
      </c>
      <c r="H559" s="21" t="s">
        <v>41</v>
      </c>
      <c r="I559" s="21">
        <v>1</v>
      </c>
      <c r="J559" s="21" t="s">
        <v>47</v>
      </c>
      <c r="K559" s="15">
        <f>(VLOOKUP(H559,'[1]BOM Info General'!$A:$L,12,0))*I559</f>
        <v>27.18</v>
      </c>
      <c r="L559" s="22" t="s">
        <v>63</v>
      </c>
      <c r="M559" s="22">
        <v>1</v>
      </c>
      <c r="N559" s="22" t="s">
        <v>62</v>
      </c>
      <c r="O559" s="9">
        <f>(VLOOKUP(L559,'[1]Simulation pricing per sub assy'!$D:$E,2,0))*M559</f>
        <v>95.756400000000042</v>
      </c>
      <c r="P559" s="23" t="s">
        <v>50</v>
      </c>
      <c r="Q559" s="23">
        <v>8</v>
      </c>
      <c r="R559" s="23" t="s">
        <v>16</v>
      </c>
      <c r="S559" s="40">
        <f>(VLOOKUP(P559,'[1]BOM Info General'!$A:$L,12,0))*Q559</f>
        <v>21.2</v>
      </c>
      <c r="T559" s="24" t="s">
        <v>28</v>
      </c>
      <c r="U559" s="24">
        <v>1</v>
      </c>
      <c r="V559" s="24" t="s">
        <v>29</v>
      </c>
      <c r="W559" s="17">
        <f>(VLOOKUP(T559,'[1]Simulation pricing per sub assy'!$D:$E,2,0))*U559</f>
        <v>7</v>
      </c>
      <c r="X559" s="18" t="s">
        <v>616</v>
      </c>
      <c r="Y559" s="25">
        <v>1</v>
      </c>
      <c r="Z559" s="25" t="s">
        <v>23</v>
      </c>
      <c r="AA559" s="18">
        <f>(VLOOKUP(X559,'[1]Simulation pricing per sub assy'!$D:$E,2,0))*Y559</f>
        <v>4.4802908000000006</v>
      </c>
    </row>
    <row r="560" spans="1:27" x14ac:dyDescent="0.35">
      <c r="A560" s="13" t="s">
        <v>879</v>
      </c>
      <c r="B560" s="13" t="s">
        <v>880</v>
      </c>
      <c r="C560" s="42">
        <f t="shared" si="8"/>
        <v>285.18669080000001</v>
      </c>
      <c r="D560" s="20" t="s">
        <v>43</v>
      </c>
      <c r="E560" s="20">
        <v>2</v>
      </c>
      <c r="F560" s="20" t="s">
        <v>3983</v>
      </c>
      <c r="G560" s="14">
        <f>(VLOOKUP(D560,'[1]BOM Info General'!$A:$L,12,0))*E560</f>
        <v>130.12</v>
      </c>
      <c r="H560" s="21" t="s">
        <v>41</v>
      </c>
      <c r="I560" s="21">
        <v>1</v>
      </c>
      <c r="J560" s="21" t="s">
        <v>47</v>
      </c>
      <c r="K560" s="15">
        <f>(VLOOKUP(H560,'[1]BOM Info General'!$A:$L,12,0))*I560</f>
        <v>27.18</v>
      </c>
      <c r="L560" s="22" t="s">
        <v>69</v>
      </c>
      <c r="M560" s="22">
        <v>1</v>
      </c>
      <c r="N560" s="22" t="s">
        <v>66</v>
      </c>
      <c r="O560" s="9">
        <f>(VLOOKUP(L560,'[1]Simulation pricing per sub assy'!$D:$E,2,0))*M560</f>
        <v>95.206400000000031</v>
      </c>
      <c r="P560" s="23" t="s">
        <v>50</v>
      </c>
      <c r="Q560" s="23">
        <v>8</v>
      </c>
      <c r="R560" s="23" t="s">
        <v>16</v>
      </c>
      <c r="S560" s="40">
        <f>(VLOOKUP(P560,'[1]BOM Info General'!$A:$L,12,0))*Q560</f>
        <v>21.2</v>
      </c>
      <c r="T560" s="24" t="s">
        <v>28</v>
      </c>
      <c r="U560" s="24">
        <v>1</v>
      </c>
      <c r="V560" s="24" t="s">
        <v>29</v>
      </c>
      <c r="W560" s="17">
        <f>(VLOOKUP(T560,'[1]Simulation pricing per sub assy'!$D:$E,2,0))*U560</f>
        <v>7</v>
      </c>
      <c r="X560" s="18" t="s">
        <v>616</v>
      </c>
      <c r="Y560" s="25">
        <v>1</v>
      </c>
      <c r="Z560" s="25" t="s">
        <v>23</v>
      </c>
      <c r="AA560" s="18">
        <f>(VLOOKUP(X560,'[1]Simulation pricing per sub assy'!$D:$E,2,0))*Y560</f>
        <v>4.4802908000000006</v>
      </c>
    </row>
    <row r="561" spans="1:27" x14ac:dyDescent="0.35">
      <c r="A561" s="13" t="s">
        <v>915</v>
      </c>
      <c r="B561" s="13" t="s">
        <v>916</v>
      </c>
      <c r="C561" s="42">
        <f t="shared" si="8"/>
        <v>293.14669079999999</v>
      </c>
      <c r="D561" s="20" t="s">
        <v>43</v>
      </c>
      <c r="E561" s="20">
        <v>2</v>
      </c>
      <c r="F561" s="20" t="s">
        <v>3983</v>
      </c>
      <c r="G561" s="14">
        <f>(VLOOKUP(D561,'[1]BOM Info General'!$A:$L,12,0))*E561</f>
        <v>130.12</v>
      </c>
      <c r="H561" s="21" t="s">
        <v>41</v>
      </c>
      <c r="I561" s="21">
        <v>1</v>
      </c>
      <c r="J561" s="21" t="s">
        <v>47</v>
      </c>
      <c r="K561" s="15">
        <f>(VLOOKUP(H561,'[1]BOM Info General'!$A:$L,12,0))*I561</f>
        <v>27.18</v>
      </c>
      <c r="L561" s="22" t="s">
        <v>65</v>
      </c>
      <c r="M561" s="22">
        <v>1</v>
      </c>
      <c r="N561" s="22" t="s">
        <v>68</v>
      </c>
      <c r="O561" s="9">
        <f>(VLOOKUP(L561,'[1]Simulation pricing per sub assy'!$D:$E,2,0))*M561</f>
        <v>103.16640000000004</v>
      </c>
      <c r="P561" s="23" t="s">
        <v>50</v>
      </c>
      <c r="Q561" s="23">
        <v>8</v>
      </c>
      <c r="R561" s="23" t="s">
        <v>16</v>
      </c>
      <c r="S561" s="40">
        <f>(VLOOKUP(P561,'[1]BOM Info General'!$A:$L,12,0))*Q561</f>
        <v>21.2</v>
      </c>
      <c r="T561" s="24" t="s">
        <v>28</v>
      </c>
      <c r="U561" s="24">
        <v>1</v>
      </c>
      <c r="V561" s="24" t="s">
        <v>29</v>
      </c>
      <c r="W561" s="17">
        <f>(VLOOKUP(T561,'[1]Simulation pricing per sub assy'!$D:$E,2,0))*U561</f>
        <v>7</v>
      </c>
      <c r="X561" s="18" t="s">
        <v>616</v>
      </c>
      <c r="Y561" s="25">
        <v>1</v>
      </c>
      <c r="Z561" s="25" t="s">
        <v>23</v>
      </c>
      <c r="AA561" s="18">
        <f>(VLOOKUP(X561,'[1]Simulation pricing per sub assy'!$D:$E,2,0))*Y561</f>
        <v>4.4802908000000006</v>
      </c>
    </row>
    <row r="562" spans="1:27" x14ac:dyDescent="0.35">
      <c r="A562" s="13" t="s">
        <v>935</v>
      </c>
      <c r="B562" s="13" t="s">
        <v>936</v>
      </c>
      <c r="C562" s="42">
        <f t="shared" si="8"/>
        <v>284.07669079999999</v>
      </c>
      <c r="D562" s="20" t="s">
        <v>43</v>
      </c>
      <c r="E562" s="20">
        <v>2</v>
      </c>
      <c r="F562" s="20" t="s">
        <v>3983</v>
      </c>
      <c r="G562" s="14">
        <f>(VLOOKUP(D562,'[1]BOM Info General'!$A:$L,12,0))*E562</f>
        <v>130.12</v>
      </c>
      <c r="H562" s="21" t="s">
        <v>41</v>
      </c>
      <c r="I562" s="21">
        <v>1</v>
      </c>
      <c r="J562" s="21" t="s">
        <v>47</v>
      </c>
      <c r="K562" s="15">
        <f>(VLOOKUP(H562,'[1]BOM Info General'!$A:$L,12,0))*I562</f>
        <v>27.18</v>
      </c>
      <c r="L562" s="22" t="s">
        <v>524</v>
      </c>
      <c r="M562" s="22">
        <v>1</v>
      </c>
      <c r="N562" s="22" t="s">
        <v>70</v>
      </c>
      <c r="O562" s="9">
        <f>(VLOOKUP(L562,'[1]Simulation pricing per sub assy'!$D:$E,2,0))*M562</f>
        <v>94.656400000000033</v>
      </c>
      <c r="P562" s="23" t="s">
        <v>51</v>
      </c>
      <c r="Q562" s="23">
        <v>8</v>
      </c>
      <c r="R562" s="23" t="s">
        <v>17</v>
      </c>
      <c r="S562" s="40">
        <f>(VLOOKUP(P562,'[1]BOM Info General'!$A:$L,12,0))*Q562</f>
        <v>21.2</v>
      </c>
      <c r="T562" s="24" t="s">
        <v>24</v>
      </c>
      <c r="U562" s="24">
        <v>1</v>
      </c>
      <c r="V562" s="24" t="s">
        <v>25</v>
      </c>
      <c r="W562" s="17">
        <f>(VLOOKUP(T562,'[1]Simulation pricing per sub assy'!$D:$E,2,0))*U562</f>
        <v>6.44</v>
      </c>
      <c r="X562" s="18" t="s">
        <v>616</v>
      </c>
      <c r="Y562" s="25">
        <v>1</v>
      </c>
      <c r="Z562" s="25" t="s">
        <v>23</v>
      </c>
      <c r="AA562" s="18">
        <f>(VLOOKUP(X562,'[1]Simulation pricing per sub assy'!$D:$E,2,0))*Y562</f>
        <v>4.4802908000000006</v>
      </c>
    </row>
    <row r="563" spans="1:27" x14ac:dyDescent="0.35">
      <c r="A563" s="13" t="s">
        <v>863</v>
      </c>
      <c r="B563" s="13" t="s">
        <v>864</v>
      </c>
      <c r="C563" s="42">
        <f t="shared" si="8"/>
        <v>285.17669080000002</v>
      </c>
      <c r="D563" s="20" t="s">
        <v>43</v>
      </c>
      <c r="E563" s="20">
        <v>2</v>
      </c>
      <c r="F563" s="20" t="s">
        <v>3983</v>
      </c>
      <c r="G563" s="14">
        <f>(VLOOKUP(D563,'[1]BOM Info General'!$A:$L,12,0))*E563</f>
        <v>130.12</v>
      </c>
      <c r="H563" s="21" t="s">
        <v>41</v>
      </c>
      <c r="I563" s="21">
        <v>1</v>
      </c>
      <c r="J563" s="21" t="s">
        <v>47</v>
      </c>
      <c r="K563" s="15">
        <f>(VLOOKUP(H563,'[1]BOM Info General'!$A:$L,12,0))*I563</f>
        <v>27.18</v>
      </c>
      <c r="L563" s="22" t="s">
        <v>67</v>
      </c>
      <c r="M563" s="22">
        <v>1</v>
      </c>
      <c r="N563" s="22" t="s">
        <v>64</v>
      </c>
      <c r="O563" s="9">
        <f>(VLOOKUP(L563,'[1]Simulation pricing per sub assy'!$D:$E,2,0))*M563</f>
        <v>95.756400000000042</v>
      </c>
      <c r="P563" s="23" t="s">
        <v>51</v>
      </c>
      <c r="Q563" s="23">
        <v>8</v>
      </c>
      <c r="R563" s="23" t="s">
        <v>17</v>
      </c>
      <c r="S563" s="40">
        <f>(VLOOKUP(P563,'[1]BOM Info General'!$A:$L,12,0))*Q563</f>
        <v>21.2</v>
      </c>
      <c r="T563" s="24" t="s">
        <v>24</v>
      </c>
      <c r="U563" s="17">
        <v>1</v>
      </c>
      <c r="V563" s="24" t="s">
        <v>25</v>
      </c>
      <c r="W563" s="17">
        <f>(VLOOKUP(T563,'[1]Simulation pricing per sub assy'!$D:$E,2,0))*U563</f>
        <v>6.44</v>
      </c>
      <c r="X563" s="25" t="s">
        <v>616</v>
      </c>
      <c r="Y563" s="25">
        <v>1</v>
      </c>
      <c r="Z563" s="25" t="s">
        <v>23</v>
      </c>
      <c r="AA563" s="18">
        <f>(VLOOKUP(X563,'[1]Simulation pricing per sub assy'!$D:$E,2,0))*Y563</f>
        <v>4.4802908000000006</v>
      </c>
    </row>
    <row r="564" spans="1:27" x14ac:dyDescent="0.35">
      <c r="A564" s="13" t="s">
        <v>899</v>
      </c>
      <c r="B564" s="13" t="s">
        <v>900</v>
      </c>
      <c r="C564" s="42">
        <f t="shared" si="8"/>
        <v>285.17669080000002</v>
      </c>
      <c r="D564" s="20" t="s">
        <v>43</v>
      </c>
      <c r="E564" s="20">
        <v>2</v>
      </c>
      <c r="F564" s="20" t="s">
        <v>3983</v>
      </c>
      <c r="G564" s="14">
        <f>(VLOOKUP(D564,'[1]BOM Info General'!$A:$L,12,0))*E564</f>
        <v>130.12</v>
      </c>
      <c r="H564" s="21" t="s">
        <v>41</v>
      </c>
      <c r="I564" s="21">
        <v>1</v>
      </c>
      <c r="J564" s="21" t="s">
        <v>47</v>
      </c>
      <c r="K564" s="15">
        <f>(VLOOKUP(H564,'[1]BOM Info General'!$A:$L,12,0))*I564</f>
        <v>27.18</v>
      </c>
      <c r="L564" s="22" t="s">
        <v>63</v>
      </c>
      <c r="M564" s="22">
        <v>1</v>
      </c>
      <c r="N564" s="22" t="s">
        <v>62</v>
      </c>
      <c r="O564" s="9">
        <f>(VLOOKUP(L564,'[1]Simulation pricing per sub assy'!$D:$E,2,0))*M564</f>
        <v>95.756400000000042</v>
      </c>
      <c r="P564" s="23" t="s">
        <v>51</v>
      </c>
      <c r="Q564" s="23">
        <v>8</v>
      </c>
      <c r="R564" s="23" t="s">
        <v>17</v>
      </c>
      <c r="S564" s="40">
        <f>(VLOOKUP(P564,'[1]BOM Info General'!$A:$L,12,0))*Q564</f>
        <v>21.2</v>
      </c>
      <c r="T564" s="24" t="s">
        <v>24</v>
      </c>
      <c r="U564" s="24">
        <v>1</v>
      </c>
      <c r="V564" s="24" t="s">
        <v>25</v>
      </c>
      <c r="W564" s="17">
        <f>(VLOOKUP(T564,'[1]Simulation pricing per sub assy'!$D:$E,2,0))*U564</f>
        <v>6.44</v>
      </c>
      <c r="X564" s="18" t="s">
        <v>616</v>
      </c>
      <c r="Y564" s="25">
        <v>1</v>
      </c>
      <c r="Z564" s="25" t="s">
        <v>23</v>
      </c>
      <c r="AA564" s="18">
        <f>(VLOOKUP(X564,'[1]Simulation pricing per sub assy'!$D:$E,2,0))*Y564</f>
        <v>4.4802908000000006</v>
      </c>
    </row>
    <row r="565" spans="1:27" x14ac:dyDescent="0.35">
      <c r="A565" s="13" t="s">
        <v>881</v>
      </c>
      <c r="B565" s="13" t="s">
        <v>882</v>
      </c>
      <c r="C565" s="42">
        <f t="shared" si="8"/>
        <v>284.62669080000001</v>
      </c>
      <c r="D565" s="20" t="s">
        <v>43</v>
      </c>
      <c r="E565" s="20">
        <v>2</v>
      </c>
      <c r="F565" s="20" t="s">
        <v>3983</v>
      </c>
      <c r="G565" s="14">
        <f>(VLOOKUP(D565,'[1]BOM Info General'!$A:$L,12,0))*E565</f>
        <v>130.12</v>
      </c>
      <c r="H565" s="21" t="s">
        <v>41</v>
      </c>
      <c r="I565" s="21">
        <v>1</v>
      </c>
      <c r="J565" s="21" t="s">
        <v>47</v>
      </c>
      <c r="K565" s="15">
        <f>(VLOOKUP(H565,'[1]BOM Info General'!$A:$L,12,0))*I565</f>
        <v>27.18</v>
      </c>
      <c r="L565" s="22" t="s">
        <v>69</v>
      </c>
      <c r="M565" s="22">
        <v>1</v>
      </c>
      <c r="N565" s="22" t="s">
        <v>66</v>
      </c>
      <c r="O565" s="9">
        <f>(VLOOKUP(L565,'[1]Simulation pricing per sub assy'!$D:$E,2,0))*M565</f>
        <v>95.206400000000031</v>
      </c>
      <c r="P565" s="23" t="s">
        <v>51</v>
      </c>
      <c r="Q565" s="23">
        <v>8</v>
      </c>
      <c r="R565" s="23" t="s">
        <v>17</v>
      </c>
      <c r="S565" s="40">
        <f>(VLOOKUP(P565,'[1]BOM Info General'!$A:$L,12,0))*Q565</f>
        <v>21.2</v>
      </c>
      <c r="T565" s="24" t="s">
        <v>24</v>
      </c>
      <c r="U565" s="24">
        <v>1</v>
      </c>
      <c r="V565" s="24" t="s">
        <v>25</v>
      </c>
      <c r="W565" s="17">
        <f>(VLOOKUP(T565,'[1]Simulation pricing per sub assy'!$D:$E,2,0))*U565</f>
        <v>6.44</v>
      </c>
      <c r="X565" s="18" t="s">
        <v>616</v>
      </c>
      <c r="Y565" s="25">
        <v>1</v>
      </c>
      <c r="Z565" s="25" t="s">
        <v>23</v>
      </c>
      <c r="AA565" s="18">
        <f>(VLOOKUP(X565,'[1]Simulation pricing per sub assy'!$D:$E,2,0))*Y565</f>
        <v>4.4802908000000006</v>
      </c>
    </row>
    <row r="566" spans="1:27" x14ac:dyDescent="0.35">
      <c r="A566" s="13" t="s">
        <v>917</v>
      </c>
      <c r="B566" s="13" t="s">
        <v>918</v>
      </c>
      <c r="C566" s="42">
        <f t="shared" si="8"/>
        <v>292.58669079999999</v>
      </c>
      <c r="D566" s="20" t="s">
        <v>43</v>
      </c>
      <c r="E566" s="20">
        <v>2</v>
      </c>
      <c r="F566" s="20" t="s">
        <v>3983</v>
      </c>
      <c r="G566" s="14">
        <f>(VLOOKUP(D566,'[1]BOM Info General'!$A:$L,12,0))*E566</f>
        <v>130.12</v>
      </c>
      <c r="H566" s="21" t="s">
        <v>41</v>
      </c>
      <c r="I566" s="21">
        <v>1</v>
      </c>
      <c r="J566" s="21" t="s">
        <v>47</v>
      </c>
      <c r="K566" s="15">
        <f>(VLOOKUP(H566,'[1]BOM Info General'!$A:$L,12,0))*I566</f>
        <v>27.18</v>
      </c>
      <c r="L566" s="22" t="s">
        <v>65</v>
      </c>
      <c r="M566" s="22">
        <v>1</v>
      </c>
      <c r="N566" s="22" t="s">
        <v>68</v>
      </c>
      <c r="O566" s="9">
        <f>(VLOOKUP(L566,'[1]Simulation pricing per sub assy'!$D:$E,2,0))*M566</f>
        <v>103.16640000000004</v>
      </c>
      <c r="P566" s="23" t="s">
        <v>51</v>
      </c>
      <c r="Q566" s="23">
        <v>8</v>
      </c>
      <c r="R566" s="23" t="s">
        <v>17</v>
      </c>
      <c r="S566" s="40">
        <f>(VLOOKUP(P566,'[1]BOM Info General'!$A:$L,12,0))*Q566</f>
        <v>21.2</v>
      </c>
      <c r="T566" s="24" t="s">
        <v>24</v>
      </c>
      <c r="U566" s="24">
        <v>1</v>
      </c>
      <c r="V566" s="24" t="s">
        <v>25</v>
      </c>
      <c r="W566" s="17">
        <f>(VLOOKUP(T566,'[1]Simulation pricing per sub assy'!$D:$E,2,0))*U566</f>
        <v>6.44</v>
      </c>
      <c r="X566" s="18" t="s">
        <v>616</v>
      </c>
      <c r="Y566" s="25">
        <v>1</v>
      </c>
      <c r="Z566" s="25" t="s">
        <v>23</v>
      </c>
      <c r="AA566" s="18">
        <f>(VLOOKUP(X566,'[1]Simulation pricing per sub assy'!$D:$E,2,0))*Y566</f>
        <v>4.4802908000000006</v>
      </c>
    </row>
    <row r="567" spans="1:27" x14ac:dyDescent="0.35">
      <c r="A567" s="13" t="s">
        <v>937</v>
      </c>
      <c r="B567" s="13" t="s">
        <v>938</v>
      </c>
      <c r="C567" s="42">
        <f t="shared" si="8"/>
        <v>284.67669080000002</v>
      </c>
      <c r="D567" s="20" t="s">
        <v>43</v>
      </c>
      <c r="E567" s="20">
        <v>2</v>
      </c>
      <c r="F567" s="20" t="s">
        <v>3983</v>
      </c>
      <c r="G567" s="14">
        <f>(VLOOKUP(D567,'[1]BOM Info General'!$A:$L,12,0))*E567</f>
        <v>130.12</v>
      </c>
      <c r="H567" s="21" t="s">
        <v>41</v>
      </c>
      <c r="I567" s="21">
        <v>1</v>
      </c>
      <c r="J567" s="21" t="s">
        <v>47</v>
      </c>
      <c r="K567" s="15">
        <f>(VLOOKUP(H567,'[1]BOM Info General'!$A:$L,12,0))*I567</f>
        <v>27.18</v>
      </c>
      <c r="L567" s="22" t="s">
        <v>524</v>
      </c>
      <c r="M567" s="22">
        <v>1</v>
      </c>
      <c r="N567" s="22" t="s">
        <v>70</v>
      </c>
      <c r="O567" s="9">
        <f>(VLOOKUP(L567,'[1]Simulation pricing per sub assy'!$D:$E,2,0))*M567</f>
        <v>94.656400000000033</v>
      </c>
      <c r="P567" s="23" t="s">
        <v>51</v>
      </c>
      <c r="Q567" s="23">
        <v>8</v>
      </c>
      <c r="R567" s="23" t="s">
        <v>17</v>
      </c>
      <c r="S567" s="40">
        <f>(VLOOKUP(P567,'[1]BOM Info General'!$A:$L,12,0))*Q567</f>
        <v>21.2</v>
      </c>
      <c r="T567" s="24" t="s">
        <v>26</v>
      </c>
      <c r="U567" s="24">
        <v>1</v>
      </c>
      <c r="V567" s="24" t="s">
        <v>27</v>
      </c>
      <c r="W567" s="17">
        <f>(VLOOKUP(T567,'[1]Simulation pricing per sub assy'!$D:$E,2,0))*U567</f>
        <v>7.04</v>
      </c>
      <c r="X567" s="18" t="s">
        <v>616</v>
      </c>
      <c r="Y567" s="25">
        <v>1</v>
      </c>
      <c r="Z567" s="25" t="s">
        <v>23</v>
      </c>
      <c r="AA567" s="18">
        <f>(VLOOKUP(X567,'[1]Simulation pricing per sub assy'!$D:$E,2,0))*Y567</f>
        <v>4.4802908000000006</v>
      </c>
    </row>
    <row r="568" spans="1:27" x14ac:dyDescent="0.35">
      <c r="A568" s="13" t="s">
        <v>865</v>
      </c>
      <c r="B568" s="13" t="s">
        <v>866</v>
      </c>
      <c r="C568" s="42">
        <f t="shared" si="8"/>
        <v>285.77669080000004</v>
      </c>
      <c r="D568" s="20" t="s">
        <v>43</v>
      </c>
      <c r="E568" s="20">
        <v>2</v>
      </c>
      <c r="F568" s="20" t="s">
        <v>3983</v>
      </c>
      <c r="G568" s="14">
        <f>(VLOOKUP(D568,'[1]BOM Info General'!$A:$L,12,0))*E568</f>
        <v>130.12</v>
      </c>
      <c r="H568" s="21" t="s">
        <v>41</v>
      </c>
      <c r="I568" s="21">
        <v>1</v>
      </c>
      <c r="J568" s="21" t="s">
        <v>47</v>
      </c>
      <c r="K568" s="15">
        <f>(VLOOKUP(H568,'[1]BOM Info General'!$A:$L,12,0))*I568</f>
        <v>27.18</v>
      </c>
      <c r="L568" s="22" t="s">
        <v>67</v>
      </c>
      <c r="M568" s="22">
        <v>1</v>
      </c>
      <c r="N568" s="22" t="s">
        <v>64</v>
      </c>
      <c r="O568" s="9">
        <f>(VLOOKUP(L568,'[1]Simulation pricing per sub assy'!$D:$E,2,0))*M568</f>
        <v>95.756400000000042</v>
      </c>
      <c r="P568" s="23" t="s">
        <v>51</v>
      </c>
      <c r="Q568" s="23">
        <v>8</v>
      </c>
      <c r="R568" s="23" t="s">
        <v>17</v>
      </c>
      <c r="S568" s="40">
        <f>(VLOOKUP(P568,'[1]BOM Info General'!$A:$L,12,0))*Q568</f>
        <v>21.2</v>
      </c>
      <c r="T568" s="24" t="s">
        <v>26</v>
      </c>
      <c r="U568" s="17">
        <v>1</v>
      </c>
      <c r="V568" s="24" t="s">
        <v>27</v>
      </c>
      <c r="W568" s="17">
        <f>(VLOOKUP(T568,'[1]Simulation pricing per sub assy'!$D:$E,2,0))*U568</f>
        <v>7.04</v>
      </c>
      <c r="X568" s="25" t="s">
        <v>616</v>
      </c>
      <c r="Y568" s="25">
        <v>1</v>
      </c>
      <c r="Z568" s="25" t="s">
        <v>23</v>
      </c>
      <c r="AA568" s="18">
        <f>(VLOOKUP(X568,'[1]Simulation pricing per sub assy'!$D:$E,2,0))*Y568</f>
        <v>4.4802908000000006</v>
      </c>
    </row>
    <row r="569" spans="1:27" x14ac:dyDescent="0.35">
      <c r="A569" s="13" t="s">
        <v>901</v>
      </c>
      <c r="B569" s="13" t="s">
        <v>902</v>
      </c>
      <c r="C569" s="42">
        <f t="shared" si="8"/>
        <v>285.77669080000004</v>
      </c>
      <c r="D569" s="20" t="s">
        <v>43</v>
      </c>
      <c r="E569" s="20">
        <v>2</v>
      </c>
      <c r="F569" s="20" t="s">
        <v>3983</v>
      </c>
      <c r="G569" s="14">
        <f>(VLOOKUP(D569,'[1]BOM Info General'!$A:$L,12,0))*E569</f>
        <v>130.12</v>
      </c>
      <c r="H569" s="21" t="s">
        <v>41</v>
      </c>
      <c r="I569" s="21">
        <v>1</v>
      </c>
      <c r="J569" s="21" t="s">
        <v>47</v>
      </c>
      <c r="K569" s="15">
        <f>(VLOOKUP(H569,'[1]BOM Info General'!$A:$L,12,0))*I569</f>
        <v>27.18</v>
      </c>
      <c r="L569" s="22" t="s">
        <v>63</v>
      </c>
      <c r="M569" s="22">
        <v>1</v>
      </c>
      <c r="N569" s="22" t="s">
        <v>62</v>
      </c>
      <c r="O569" s="9">
        <f>(VLOOKUP(L569,'[1]Simulation pricing per sub assy'!$D:$E,2,0))*M569</f>
        <v>95.756400000000042</v>
      </c>
      <c r="P569" s="23" t="s">
        <v>51</v>
      </c>
      <c r="Q569" s="23">
        <v>8</v>
      </c>
      <c r="R569" s="23" t="s">
        <v>17</v>
      </c>
      <c r="S569" s="40">
        <f>(VLOOKUP(P569,'[1]BOM Info General'!$A:$L,12,0))*Q569</f>
        <v>21.2</v>
      </c>
      <c r="T569" s="24" t="s">
        <v>26</v>
      </c>
      <c r="U569" s="24">
        <v>1</v>
      </c>
      <c r="V569" s="24" t="s">
        <v>27</v>
      </c>
      <c r="W569" s="17">
        <f>(VLOOKUP(T569,'[1]Simulation pricing per sub assy'!$D:$E,2,0))*U569</f>
        <v>7.04</v>
      </c>
      <c r="X569" s="18" t="s">
        <v>616</v>
      </c>
      <c r="Y569" s="25">
        <v>1</v>
      </c>
      <c r="Z569" s="25" t="s">
        <v>23</v>
      </c>
      <c r="AA569" s="18">
        <f>(VLOOKUP(X569,'[1]Simulation pricing per sub assy'!$D:$E,2,0))*Y569</f>
        <v>4.4802908000000006</v>
      </c>
    </row>
    <row r="570" spans="1:27" x14ac:dyDescent="0.35">
      <c r="A570" s="13" t="s">
        <v>883</v>
      </c>
      <c r="B570" s="13" t="s">
        <v>884</v>
      </c>
      <c r="C570" s="42">
        <f t="shared" si="8"/>
        <v>285.22669080000003</v>
      </c>
      <c r="D570" s="20" t="s">
        <v>43</v>
      </c>
      <c r="E570" s="20">
        <v>2</v>
      </c>
      <c r="F570" s="20" t="s">
        <v>3983</v>
      </c>
      <c r="G570" s="14">
        <f>(VLOOKUP(D570,'[1]BOM Info General'!$A:$L,12,0))*E570</f>
        <v>130.12</v>
      </c>
      <c r="H570" s="21" t="s">
        <v>41</v>
      </c>
      <c r="I570" s="21">
        <v>1</v>
      </c>
      <c r="J570" s="21" t="s">
        <v>47</v>
      </c>
      <c r="K570" s="15">
        <f>(VLOOKUP(H570,'[1]BOM Info General'!$A:$L,12,0))*I570</f>
        <v>27.18</v>
      </c>
      <c r="L570" s="22" t="s">
        <v>69</v>
      </c>
      <c r="M570" s="22">
        <v>1</v>
      </c>
      <c r="N570" s="22" t="s">
        <v>66</v>
      </c>
      <c r="O570" s="9">
        <f>(VLOOKUP(L570,'[1]Simulation pricing per sub assy'!$D:$E,2,0))*M570</f>
        <v>95.206400000000031</v>
      </c>
      <c r="P570" s="23" t="s">
        <v>51</v>
      </c>
      <c r="Q570" s="23">
        <v>8</v>
      </c>
      <c r="R570" s="23" t="s">
        <v>17</v>
      </c>
      <c r="S570" s="40">
        <f>(VLOOKUP(P570,'[1]BOM Info General'!$A:$L,12,0))*Q570</f>
        <v>21.2</v>
      </c>
      <c r="T570" s="24" t="s">
        <v>26</v>
      </c>
      <c r="U570" s="24">
        <v>1</v>
      </c>
      <c r="V570" s="24" t="s">
        <v>27</v>
      </c>
      <c r="W570" s="17">
        <f>(VLOOKUP(T570,'[1]Simulation pricing per sub assy'!$D:$E,2,0))*U570</f>
        <v>7.04</v>
      </c>
      <c r="X570" s="18" t="s">
        <v>616</v>
      </c>
      <c r="Y570" s="25">
        <v>1</v>
      </c>
      <c r="Z570" s="25" t="s">
        <v>23</v>
      </c>
      <c r="AA570" s="18">
        <f>(VLOOKUP(X570,'[1]Simulation pricing per sub assy'!$D:$E,2,0))*Y570</f>
        <v>4.4802908000000006</v>
      </c>
    </row>
    <row r="571" spans="1:27" x14ac:dyDescent="0.35">
      <c r="A571" s="13" t="s">
        <v>919</v>
      </c>
      <c r="B571" s="13" t="s">
        <v>920</v>
      </c>
      <c r="C571" s="42">
        <f t="shared" si="8"/>
        <v>293.18669080000001</v>
      </c>
      <c r="D571" s="20" t="s">
        <v>43</v>
      </c>
      <c r="E571" s="20">
        <v>2</v>
      </c>
      <c r="F571" s="20" t="s">
        <v>3983</v>
      </c>
      <c r="G571" s="14">
        <f>(VLOOKUP(D571,'[1]BOM Info General'!$A:$L,12,0))*E571</f>
        <v>130.12</v>
      </c>
      <c r="H571" s="21" t="s">
        <v>41</v>
      </c>
      <c r="I571" s="21">
        <v>1</v>
      </c>
      <c r="J571" s="21" t="s">
        <v>47</v>
      </c>
      <c r="K571" s="15">
        <f>(VLOOKUP(H571,'[1]BOM Info General'!$A:$L,12,0))*I571</f>
        <v>27.18</v>
      </c>
      <c r="L571" s="22" t="s">
        <v>65</v>
      </c>
      <c r="M571" s="22">
        <v>1</v>
      </c>
      <c r="N571" s="22" t="s">
        <v>68</v>
      </c>
      <c r="O571" s="9">
        <f>(VLOOKUP(L571,'[1]Simulation pricing per sub assy'!$D:$E,2,0))*M571</f>
        <v>103.16640000000004</v>
      </c>
      <c r="P571" s="23" t="s">
        <v>51</v>
      </c>
      <c r="Q571" s="23">
        <v>8</v>
      </c>
      <c r="R571" s="23" t="s">
        <v>17</v>
      </c>
      <c r="S571" s="40">
        <f>(VLOOKUP(P571,'[1]BOM Info General'!$A:$L,12,0))*Q571</f>
        <v>21.2</v>
      </c>
      <c r="T571" s="24" t="s">
        <v>26</v>
      </c>
      <c r="U571" s="24">
        <v>1</v>
      </c>
      <c r="V571" s="24" t="s">
        <v>27</v>
      </c>
      <c r="W571" s="17">
        <f>(VLOOKUP(T571,'[1]Simulation pricing per sub assy'!$D:$E,2,0))*U571</f>
        <v>7.04</v>
      </c>
      <c r="X571" s="18" t="s">
        <v>616</v>
      </c>
      <c r="Y571" s="25">
        <v>1</v>
      </c>
      <c r="Z571" s="25" t="s">
        <v>23</v>
      </c>
      <c r="AA571" s="18">
        <f>(VLOOKUP(X571,'[1]Simulation pricing per sub assy'!$D:$E,2,0))*Y571</f>
        <v>4.4802908000000006</v>
      </c>
    </row>
    <row r="572" spans="1:27" x14ac:dyDescent="0.35">
      <c r="A572" s="13" t="s">
        <v>939</v>
      </c>
      <c r="B572" s="13" t="s">
        <v>940</v>
      </c>
      <c r="C572" s="42">
        <f t="shared" si="8"/>
        <v>284.6366908</v>
      </c>
      <c r="D572" s="20" t="s">
        <v>43</v>
      </c>
      <c r="E572" s="20">
        <v>2</v>
      </c>
      <c r="F572" s="20" t="s">
        <v>3983</v>
      </c>
      <c r="G572" s="14">
        <f>(VLOOKUP(D572,'[1]BOM Info General'!$A:$L,12,0))*E572</f>
        <v>130.12</v>
      </c>
      <c r="H572" s="21" t="s">
        <v>41</v>
      </c>
      <c r="I572" s="21">
        <v>1</v>
      </c>
      <c r="J572" s="21" t="s">
        <v>47</v>
      </c>
      <c r="K572" s="15">
        <f>(VLOOKUP(H572,'[1]BOM Info General'!$A:$L,12,0))*I572</f>
        <v>27.18</v>
      </c>
      <c r="L572" s="22" t="s">
        <v>524</v>
      </c>
      <c r="M572" s="22">
        <v>1</v>
      </c>
      <c r="N572" s="22" t="s">
        <v>70</v>
      </c>
      <c r="O572" s="9">
        <f>(VLOOKUP(L572,'[1]Simulation pricing per sub assy'!$D:$E,2,0))*M572</f>
        <v>94.656400000000033</v>
      </c>
      <c r="P572" s="23" t="s">
        <v>51</v>
      </c>
      <c r="Q572" s="23">
        <v>8</v>
      </c>
      <c r="R572" s="23" t="s">
        <v>17</v>
      </c>
      <c r="S572" s="40">
        <f>(VLOOKUP(P572,'[1]BOM Info General'!$A:$L,12,0))*Q572</f>
        <v>21.2</v>
      </c>
      <c r="T572" s="24" t="s">
        <v>28</v>
      </c>
      <c r="U572" s="24">
        <v>1</v>
      </c>
      <c r="V572" s="24" t="s">
        <v>29</v>
      </c>
      <c r="W572" s="17">
        <f>(VLOOKUP(T572,'[1]Simulation pricing per sub assy'!$D:$E,2,0))*U572</f>
        <v>7</v>
      </c>
      <c r="X572" s="18" t="s">
        <v>616</v>
      </c>
      <c r="Y572" s="25">
        <v>1</v>
      </c>
      <c r="Z572" s="25" t="s">
        <v>23</v>
      </c>
      <c r="AA572" s="18">
        <f>(VLOOKUP(X572,'[1]Simulation pricing per sub assy'!$D:$E,2,0))*Y572</f>
        <v>4.4802908000000006</v>
      </c>
    </row>
    <row r="573" spans="1:27" x14ac:dyDescent="0.35">
      <c r="A573" s="13" t="s">
        <v>867</v>
      </c>
      <c r="B573" s="13" t="s">
        <v>868</v>
      </c>
      <c r="C573" s="42">
        <f t="shared" si="8"/>
        <v>285.73669080000002</v>
      </c>
      <c r="D573" s="20" t="s">
        <v>43</v>
      </c>
      <c r="E573" s="20">
        <v>2</v>
      </c>
      <c r="F573" s="20" t="s">
        <v>3983</v>
      </c>
      <c r="G573" s="14">
        <f>(VLOOKUP(D573,'[1]BOM Info General'!$A:$L,12,0))*E573</f>
        <v>130.12</v>
      </c>
      <c r="H573" s="21" t="s">
        <v>41</v>
      </c>
      <c r="I573" s="21">
        <v>1</v>
      </c>
      <c r="J573" s="21" t="s">
        <v>47</v>
      </c>
      <c r="K573" s="15">
        <f>(VLOOKUP(H573,'[1]BOM Info General'!$A:$L,12,0))*I573</f>
        <v>27.18</v>
      </c>
      <c r="L573" s="22" t="s">
        <v>67</v>
      </c>
      <c r="M573" s="22">
        <v>1</v>
      </c>
      <c r="N573" s="22" t="s">
        <v>64</v>
      </c>
      <c r="O573" s="9">
        <f>(VLOOKUP(L573,'[1]Simulation pricing per sub assy'!$D:$E,2,0))*M573</f>
        <v>95.756400000000042</v>
      </c>
      <c r="P573" s="23" t="s">
        <v>51</v>
      </c>
      <c r="Q573" s="23">
        <v>8</v>
      </c>
      <c r="R573" s="23" t="s">
        <v>17</v>
      </c>
      <c r="S573" s="40">
        <f>(VLOOKUP(P573,'[1]BOM Info General'!$A:$L,12,0))*Q573</f>
        <v>21.2</v>
      </c>
      <c r="T573" s="24" t="s">
        <v>28</v>
      </c>
      <c r="U573" s="17">
        <v>1</v>
      </c>
      <c r="V573" s="24" t="s">
        <v>29</v>
      </c>
      <c r="W573" s="17">
        <f>(VLOOKUP(T573,'[1]Simulation pricing per sub assy'!$D:$E,2,0))*U573</f>
        <v>7</v>
      </c>
      <c r="X573" s="25" t="s">
        <v>616</v>
      </c>
      <c r="Y573" s="25">
        <v>1</v>
      </c>
      <c r="Z573" s="25" t="s">
        <v>23</v>
      </c>
      <c r="AA573" s="18">
        <f>(VLOOKUP(X573,'[1]Simulation pricing per sub assy'!$D:$E,2,0))*Y573</f>
        <v>4.4802908000000006</v>
      </c>
    </row>
    <row r="574" spans="1:27" x14ac:dyDescent="0.35">
      <c r="A574" s="13" t="s">
        <v>903</v>
      </c>
      <c r="B574" s="13" t="s">
        <v>904</v>
      </c>
      <c r="C574" s="42">
        <f t="shared" si="8"/>
        <v>285.73669080000002</v>
      </c>
      <c r="D574" s="20" t="s">
        <v>43</v>
      </c>
      <c r="E574" s="20">
        <v>2</v>
      </c>
      <c r="F574" s="20" t="s">
        <v>3983</v>
      </c>
      <c r="G574" s="14">
        <f>(VLOOKUP(D574,'[1]BOM Info General'!$A:$L,12,0))*E574</f>
        <v>130.12</v>
      </c>
      <c r="H574" s="21" t="s">
        <v>41</v>
      </c>
      <c r="I574" s="21">
        <v>1</v>
      </c>
      <c r="J574" s="21" t="s">
        <v>47</v>
      </c>
      <c r="K574" s="15">
        <f>(VLOOKUP(H574,'[1]BOM Info General'!$A:$L,12,0))*I574</f>
        <v>27.18</v>
      </c>
      <c r="L574" s="22" t="s">
        <v>63</v>
      </c>
      <c r="M574" s="22">
        <v>1</v>
      </c>
      <c r="N574" s="22" t="s">
        <v>62</v>
      </c>
      <c r="O574" s="9">
        <f>(VLOOKUP(L574,'[1]Simulation pricing per sub assy'!$D:$E,2,0))*M574</f>
        <v>95.756400000000042</v>
      </c>
      <c r="P574" s="23" t="s">
        <v>51</v>
      </c>
      <c r="Q574" s="23">
        <v>8</v>
      </c>
      <c r="R574" s="23" t="s">
        <v>17</v>
      </c>
      <c r="S574" s="40">
        <f>(VLOOKUP(P574,'[1]BOM Info General'!$A:$L,12,0))*Q574</f>
        <v>21.2</v>
      </c>
      <c r="T574" s="24" t="s">
        <v>28</v>
      </c>
      <c r="U574" s="24">
        <v>1</v>
      </c>
      <c r="V574" s="24" t="s">
        <v>29</v>
      </c>
      <c r="W574" s="17">
        <f>(VLOOKUP(T574,'[1]Simulation pricing per sub assy'!$D:$E,2,0))*U574</f>
        <v>7</v>
      </c>
      <c r="X574" s="18" t="s">
        <v>616</v>
      </c>
      <c r="Y574" s="25">
        <v>1</v>
      </c>
      <c r="Z574" s="25" t="s">
        <v>23</v>
      </c>
      <c r="AA574" s="18">
        <f>(VLOOKUP(X574,'[1]Simulation pricing per sub assy'!$D:$E,2,0))*Y574</f>
        <v>4.4802908000000006</v>
      </c>
    </row>
    <row r="575" spans="1:27" x14ac:dyDescent="0.35">
      <c r="A575" s="13" t="s">
        <v>885</v>
      </c>
      <c r="B575" s="13" t="s">
        <v>886</v>
      </c>
      <c r="C575" s="42">
        <f t="shared" si="8"/>
        <v>285.18669080000001</v>
      </c>
      <c r="D575" s="20" t="s">
        <v>43</v>
      </c>
      <c r="E575" s="20">
        <v>2</v>
      </c>
      <c r="F575" s="20" t="s">
        <v>3983</v>
      </c>
      <c r="G575" s="14">
        <f>(VLOOKUP(D575,'[1]BOM Info General'!$A:$L,12,0))*E575</f>
        <v>130.12</v>
      </c>
      <c r="H575" s="21" t="s">
        <v>41</v>
      </c>
      <c r="I575" s="21">
        <v>1</v>
      </c>
      <c r="J575" s="21" t="s">
        <v>47</v>
      </c>
      <c r="K575" s="15">
        <f>(VLOOKUP(H575,'[1]BOM Info General'!$A:$L,12,0))*I575</f>
        <v>27.18</v>
      </c>
      <c r="L575" s="22" t="s">
        <v>69</v>
      </c>
      <c r="M575" s="22">
        <v>1</v>
      </c>
      <c r="N575" s="22" t="s">
        <v>66</v>
      </c>
      <c r="O575" s="9">
        <f>(VLOOKUP(L575,'[1]Simulation pricing per sub assy'!$D:$E,2,0))*M575</f>
        <v>95.206400000000031</v>
      </c>
      <c r="P575" s="23" t="s">
        <v>51</v>
      </c>
      <c r="Q575" s="23">
        <v>8</v>
      </c>
      <c r="R575" s="23" t="s">
        <v>17</v>
      </c>
      <c r="S575" s="40">
        <f>(VLOOKUP(P575,'[1]BOM Info General'!$A:$L,12,0))*Q575</f>
        <v>21.2</v>
      </c>
      <c r="T575" s="24" t="s">
        <v>28</v>
      </c>
      <c r="U575" s="24">
        <v>1</v>
      </c>
      <c r="V575" s="24" t="s">
        <v>29</v>
      </c>
      <c r="W575" s="17">
        <f>(VLOOKUP(T575,'[1]Simulation pricing per sub assy'!$D:$E,2,0))*U575</f>
        <v>7</v>
      </c>
      <c r="X575" s="18" t="s">
        <v>616</v>
      </c>
      <c r="Y575" s="25">
        <v>1</v>
      </c>
      <c r="Z575" s="25" t="s">
        <v>23</v>
      </c>
      <c r="AA575" s="18">
        <f>(VLOOKUP(X575,'[1]Simulation pricing per sub assy'!$D:$E,2,0))*Y575</f>
        <v>4.4802908000000006</v>
      </c>
    </row>
    <row r="576" spans="1:27" x14ac:dyDescent="0.35">
      <c r="A576" s="13" t="s">
        <v>921</v>
      </c>
      <c r="B576" s="13" t="s">
        <v>922</v>
      </c>
      <c r="C576" s="42">
        <f t="shared" si="8"/>
        <v>293.14669079999999</v>
      </c>
      <c r="D576" s="20" t="s">
        <v>43</v>
      </c>
      <c r="E576" s="20">
        <v>2</v>
      </c>
      <c r="F576" s="20" t="s">
        <v>3983</v>
      </c>
      <c r="G576" s="14">
        <f>(VLOOKUP(D576,'[1]BOM Info General'!$A:$L,12,0))*E576</f>
        <v>130.12</v>
      </c>
      <c r="H576" s="21" t="s">
        <v>41</v>
      </c>
      <c r="I576" s="21">
        <v>1</v>
      </c>
      <c r="J576" s="21" t="s">
        <v>47</v>
      </c>
      <c r="K576" s="15">
        <f>(VLOOKUP(H576,'[1]BOM Info General'!$A:$L,12,0))*I576</f>
        <v>27.18</v>
      </c>
      <c r="L576" s="22" t="s">
        <v>65</v>
      </c>
      <c r="M576" s="22">
        <v>1</v>
      </c>
      <c r="N576" s="22" t="s">
        <v>68</v>
      </c>
      <c r="O576" s="9">
        <f>(VLOOKUP(L576,'[1]Simulation pricing per sub assy'!$D:$E,2,0))*M576</f>
        <v>103.16640000000004</v>
      </c>
      <c r="P576" s="23" t="s">
        <v>51</v>
      </c>
      <c r="Q576" s="23">
        <v>8</v>
      </c>
      <c r="R576" s="23" t="s">
        <v>17</v>
      </c>
      <c r="S576" s="40">
        <f>(VLOOKUP(P576,'[1]BOM Info General'!$A:$L,12,0))*Q576</f>
        <v>21.2</v>
      </c>
      <c r="T576" s="24" t="s">
        <v>28</v>
      </c>
      <c r="U576" s="24">
        <v>1</v>
      </c>
      <c r="V576" s="24" t="s">
        <v>29</v>
      </c>
      <c r="W576" s="17">
        <f>(VLOOKUP(T576,'[1]Simulation pricing per sub assy'!$D:$E,2,0))*U576</f>
        <v>7</v>
      </c>
      <c r="X576" s="18" t="s">
        <v>616</v>
      </c>
      <c r="Y576" s="25">
        <v>1</v>
      </c>
      <c r="Z576" s="25" t="s">
        <v>23</v>
      </c>
      <c r="AA576" s="18">
        <f>(VLOOKUP(X576,'[1]Simulation pricing per sub assy'!$D:$E,2,0))*Y576</f>
        <v>4.4802908000000006</v>
      </c>
    </row>
    <row r="577" spans="1:27" x14ac:dyDescent="0.35">
      <c r="A577" s="13" t="s">
        <v>941</v>
      </c>
      <c r="B577" s="13" t="s">
        <v>942</v>
      </c>
      <c r="C577" s="42">
        <f t="shared" si="8"/>
        <v>284.07669079999999</v>
      </c>
      <c r="D577" s="20" t="s">
        <v>43</v>
      </c>
      <c r="E577" s="20">
        <v>2</v>
      </c>
      <c r="F577" s="20" t="s">
        <v>3983</v>
      </c>
      <c r="G577" s="14">
        <f>(VLOOKUP(D577,'[1]BOM Info General'!$A:$L,12,0))*E577</f>
        <v>130.12</v>
      </c>
      <c r="H577" s="21" t="s">
        <v>41</v>
      </c>
      <c r="I577" s="21">
        <v>1</v>
      </c>
      <c r="J577" s="21" t="s">
        <v>47</v>
      </c>
      <c r="K577" s="15">
        <f>(VLOOKUP(H577,'[1]BOM Info General'!$A:$L,12,0))*I577</f>
        <v>27.18</v>
      </c>
      <c r="L577" s="22" t="s">
        <v>524</v>
      </c>
      <c r="M577" s="22">
        <v>1</v>
      </c>
      <c r="N577" s="22" t="s">
        <v>70</v>
      </c>
      <c r="O577" s="9">
        <f>(VLOOKUP(L577,'[1]Simulation pricing per sub assy'!$D:$E,2,0))*M577</f>
        <v>94.656400000000033</v>
      </c>
      <c r="P577" s="23" t="s">
        <v>52</v>
      </c>
      <c r="Q577" s="23">
        <v>8</v>
      </c>
      <c r="R577" s="23" t="s">
        <v>18</v>
      </c>
      <c r="S577" s="40">
        <f>(VLOOKUP(P577,'[1]BOM Info General'!$A:$L,12,0))*Q577</f>
        <v>21.2</v>
      </c>
      <c r="T577" s="24" t="s">
        <v>24</v>
      </c>
      <c r="U577" s="24">
        <v>1</v>
      </c>
      <c r="V577" s="24" t="s">
        <v>25</v>
      </c>
      <c r="W577" s="17">
        <f>(VLOOKUP(T577,'[1]Simulation pricing per sub assy'!$D:$E,2,0))*U577</f>
        <v>6.44</v>
      </c>
      <c r="X577" s="18" t="s">
        <v>616</v>
      </c>
      <c r="Y577" s="25">
        <v>1</v>
      </c>
      <c r="Z577" s="25" t="s">
        <v>23</v>
      </c>
      <c r="AA577" s="18">
        <f>(VLOOKUP(X577,'[1]Simulation pricing per sub assy'!$D:$E,2,0))*Y577</f>
        <v>4.4802908000000006</v>
      </c>
    </row>
    <row r="578" spans="1:27" x14ac:dyDescent="0.35">
      <c r="A578" s="13" t="s">
        <v>869</v>
      </c>
      <c r="B578" s="13" t="s">
        <v>870</v>
      </c>
      <c r="C578" s="42">
        <f t="shared" si="8"/>
        <v>285.17669080000002</v>
      </c>
      <c r="D578" s="20" t="s">
        <v>43</v>
      </c>
      <c r="E578" s="20">
        <v>2</v>
      </c>
      <c r="F578" s="20" t="s">
        <v>3983</v>
      </c>
      <c r="G578" s="14">
        <f>(VLOOKUP(D578,'[1]BOM Info General'!$A:$L,12,0))*E578</f>
        <v>130.12</v>
      </c>
      <c r="H578" s="21" t="s">
        <v>41</v>
      </c>
      <c r="I578" s="21">
        <v>1</v>
      </c>
      <c r="J578" s="21" t="s">
        <v>47</v>
      </c>
      <c r="K578" s="15">
        <f>(VLOOKUP(H578,'[1]BOM Info General'!$A:$L,12,0))*I578</f>
        <v>27.18</v>
      </c>
      <c r="L578" s="22" t="s">
        <v>67</v>
      </c>
      <c r="M578" s="22">
        <v>1</v>
      </c>
      <c r="N578" s="22" t="s">
        <v>64</v>
      </c>
      <c r="O578" s="9">
        <f>(VLOOKUP(L578,'[1]Simulation pricing per sub assy'!$D:$E,2,0))*M578</f>
        <v>95.756400000000042</v>
      </c>
      <c r="P578" s="23" t="s">
        <v>52</v>
      </c>
      <c r="Q578" s="23">
        <v>8</v>
      </c>
      <c r="R578" s="23" t="s">
        <v>18</v>
      </c>
      <c r="S578" s="40">
        <f>(VLOOKUP(P578,'[1]BOM Info General'!$A:$L,12,0))*Q578</f>
        <v>21.2</v>
      </c>
      <c r="T578" s="24" t="s">
        <v>24</v>
      </c>
      <c r="U578" s="17">
        <v>1</v>
      </c>
      <c r="V578" s="24" t="s">
        <v>25</v>
      </c>
      <c r="W578" s="17">
        <f>(VLOOKUP(T578,'[1]Simulation pricing per sub assy'!$D:$E,2,0))*U578</f>
        <v>6.44</v>
      </c>
      <c r="X578" s="25" t="s">
        <v>616</v>
      </c>
      <c r="Y578" s="25">
        <v>1</v>
      </c>
      <c r="Z578" s="25" t="s">
        <v>23</v>
      </c>
      <c r="AA578" s="18">
        <f>(VLOOKUP(X578,'[1]Simulation pricing per sub assy'!$D:$E,2,0))*Y578</f>
        <v>4.4802908000000006</v>
      </c>
    </row>
    <row r="579" spans="1:27" x14ac:dyDescent="0.35">
      <c r="A579" s="13" t="s">
        <v>905</v>
      </c>
      <c r="B579" s="13" t="s">
        <v>906</v>
      </c>
      <c r="C579" s="42">
        <f t="shared" ref="C579:C642" si="9">SUM(G579+K579+O579+S579+W579+AA579)</f>
        <v>285.17669080000002</v>
      </c>
      <c r="D579" s="20" t="s">
        <v>43</v>
      </c>
      <c r="E579" s="20">
        <v>2</v>
      </c>
      <c r="F579" s="20" t="s">
        <v>3983</v>
      </c>
      <c r="G579" s="14">
        <f>(VLOOKUP(D579,'[1]BOM Info General'!$A:$L,12,0))*E579</f>
        <v>130.12</v>
      </c>
      <c r="H579" s="21" t="s">
        <v>41</v>
      </c>
      <c r="I579" s="21">
        <v>1</v>
      </c>
      <c r="J579" s="21" t="s">
        <v>47</v>
      </c>
      <c r="K579" s="15">
        <f>(VLOOKUP(H579,'[1]BOM Info General'!$A:$L,12,0))*I579</f>
        <v>27.18</v>
      </c>
      <c r="L579" s="22" t="s">
        <v>63</v>
      </c>
      <c r="M579" s="22">
        <v>1</v>
      </c>
      <c r="N579" s="22" t="s">
        <v>62</v>
      </c>
      <c r="O579" s="9">
        <f>(VLOOKUP(L579,'[1]Simulation pricing per sub assy'!$D:$E,2,0))*M579</f>
        <v>95.756400000000042</v>
      </c>
      <c r="P579" s="23" t="s">
        <v>52</v>
      </c>
      <c r="Q579" s="23">
        <v>8</v>
      </c>
      <c r="R579" s="23" t="s">
        <v>18</v>
      </c>
      <c r="S579" s="40">
        <f>(VLOOKUP(P579,'[1]BOM Info General'!$A:$L,12,0))*Q579</f>
        <v>21.2</v>
      </c>
      <c r="T579" s="24" t="s">
        <v>24</v>
      </c>
      <c r="U579" s="24">
        <v>1</v>
      </c>
      <c r="V579" s="24" t="s">
        <v>25</v>
      </c>
      <c r="W579" s="17">
        <f>(VLOOKUP(T579,'[1]Simulation pricing per sub assy'!$D:$E,2,0))*U579</f>
        <v>6.44</v>
      </c>
      <c r="X579" s="18" t="s">
        <v>616</v>
      </c>
      <c r="Y579" s="25">
        <v>1</v>
      </c>
      <c r="Z579" s="25" t="s">
        <v>23</v>
      </c>
      <c r="AA579" s="18">
        <f>(VLOOKUP(X579,'[1]Simulation pricing per sub assy'!$D:$E,2,0))*Y579</f>
        <v>4.4802908000000006</v>
      </c>
    </row>
    <row r="580" spans="1:27" x14ac:dyDescent="0.35">
      <c r="A580" s="13" t="s">
        <v>887</v>
      </c>
      <c r="B580" s="13" t="s">
        <v>888</v>
      </c>
      <c r="C580" s="42">
        <f t="shared" si="9"/>
        <v>284.62669080000001</v>
      </c>
      <c r="D580" s="20" t="s">
        <v>43</v>
      </c>
      <c r="E580" s="20">
        <v>2</v>
      </c>
      <c r="F580" s="20" t="s">
        <v>3983</v>
      </c>
      <c r="G580" s="14">
        <f>(VLOOKUP(D580,'[1]BOM Info General'!$A:$L,12,0))*E580</f>
        <v>130.12</v>
      </c>
      <c r="H580" s="21" t="s">
        <v>41</v>
      </c>
      <c r="I580" s="21">
        <v>1</v>
      </c>
      <c r="J580" s="21" t="s">
        <v>47</v>
      </c>
      <c r="K580" s="15">
        <f>(VLOOKUP(H580,'[1]BOM Info General'!$A:$L,12,0))*I580</f>
        <v>27.18</v>
      </c>
      <c r="L580" s="22" t="s">
        <v>69</v>
      </c>
      <c r="M580" s="22">
        <v>1</v>
      </c>
      <c r="N580" s="22" t="s">
        <v>66</v>
      </c>
      <c r="O580" s="9">
        <f>(VLOOKUP(L580,'[1]Simulation pricing per sub assy'!$D:$E,2,0))*M580</f>
        <v>95.206400000000031</v>
      </c>
      <c r="P580" s="23" t="s">
        <v>52</v>
      </c>
      <c r="Q580" s="23">
        <v>8</v>
      </c>
      <c r="R580" s="23" t="s">
        <v>18</v>
      </c>
      <c r="S580" s="40">
        <f>(VLOOKUP(P580,'[1]BOM Info General'!$A:$L,12,0))*Q580</f>
        <v>21.2</v>
      </c>
      <c r="T580" s="24" t="s">
        <v>24</v>
      </c>
      <c r="U580" s="24">
        <v>1</v>
      </c>
      <c r="V580" s="24" t="s">
        <v>25</v>
      </c>
      <c r="W580" s="17">
        <f>(VLOOKUP(T580,'[1]Simulation pricing per sub assy'!$D:$E,2,0))*U580</f>
        <v>6.44</v>
      </c>
      <c r="X580" s="18" t="s">
        <v>616</v>
      </c>
      <c r="Y580" s="25">
        <v>1</v>
      </c>
      <c r="Z580" s="25" t="s">
        <v>23</v>
      </c>
      <c r="AA580" s="18">
        <f>(VLOOKUP(X580,'[1]Simulation pricing per sub assy'!$D:$E,2,0))*Y580</f>
        <v>4.4802908000000006</v>
      </c>
    </row>
    <row r="581" spans="1:27" x14ac:dyDescent="0.35">
      <c r="A581" s="13" t="s">
        <v>923</v>
      </c>
      <c r="B581" s="13" t="s">
        <v>924</v>
      </c>
      <c r="C581" s="42">
        <f t="shared" si="9"/>
        <v>292.58669079999999</v>
      </c>
      <c r="D581" s="20" t="s">
        <v>43</v>
      </c>
      <c r="E581" s="20">
        <v>2</v>
      </c>
      <c r="F581" s="20" t="s">
        <v>3983</v>
      </c>
      <c r="G581" s="14">
        <f>(VLOOKUP(D581,'[1]BOM Info General'!$A:$L,12,0))*E581</f>
        <v>130.12</v>
      </c>
      <c r="H581" s="21" t="s">
        <v>41</v>
      </c>
      <c r="I581" s="21">
        <v>1</v>
      </c>
      <c r="J581" s="21" t="s">
        <v>47</v>
      </c>
      <c r="K581" s="15">
        <f>(VLOOKUP(H581,'[1]BOM Info General'!$A:$L,12,0))*I581</f>
        <v>27.18</v>
      </c>
      <c r="L581" s="22" t="s">
        <v>65</v>
      </c>
      <c r="M581" s="22">
        <v>1</v>
      </c>
      <c r="N581" s="22" t="s">
        <v>68</v>
      </c>
      <c r="O581" s="9">
        <f>(VLOOKUP(L581,'[1]Simulation pricing per sub assy'!$D:$E,2,0))*M581</f>
        <v>103.16640000000004</v>
      </c>
      <c r="P581" s="23" t="s">
        <v>52</v>
      </c>
      <c r="Q581" s="23">
        <v>8</v>
      </c>
      <c r="R581" s="23" t="s">
        <v>18</v>
      </c>
      <c r="S581" s="40">
        <f>(VLOOKUP(P581,'[1]BOM Info General'!$A:$L,12,0))*Q581</f>
        <v>21.2</v>
      </c>
      <c r="T581" s="24" t="s">
        <v>24</v>
      </c>
      <c r="U581" s="24">
        <v>1</v>
      </c>
      <c r="V581" s="24" t="s">
        <v>25</v>
      </c>
      <c r="W581" s="17">
        <f>(VLOOKUP(T581,'[1]Simulation pricing per sub assy'!$D:$E,2,0))*U581</f>
        <v>6.44</v>
      </c>
      <c r="X581" s="18" t="s">
        <v>616</v>
      </c>
      <c r="Y581" s="25">
        <v>1</v>
      </c>
      <c r="Z581" s="25" t="s">
        <v>23</v>
      </c>
      <c r="AA581" s="18">
        <f>(VLOOKUP(X581,'[1]Simulation pricing per sub assy'!$D:$E,2,0))*Y581</f>
        <v>4.4802908000000006</v>
      </c>
    </row>
    <row r="582" spans="1:27" x14ac:dyDescent="0.35">
      <c r="A582" s="13" t="s">
        <v>943</v>
      </c>
      <c r="B582" s="13" t="s">
        <v>944</v>
      </c>
      <c r="C582" s="42">
        <f t="shared" si="9"/>
        <v>284.67669080000002</v>
      </c>
      <c r="D582" s="20" t="s">
        <v>43</v>
      </c>
      <c r="E582" s="20">
        <v>2</v>
      </c>
      <c r="F582" s="20" t="s">
        <v>3983</v>
      </c>
      <c r="G582" s="14">
        <f>(VLOOKUP(D582,'[1]BOM Info General'!$A:$L,12,0))*E582</f>
        <v>130.12</v>
      </c>
      <c r="H582" s="21" t="s">
        <v>41</v>
      </c>
      <c r="I582" s="21">
        <v>1</v>
      </c>
      <c r="J582" s="21" t="s">
        <v>47</v>
      </c>
      <c r="K582" s="15">
        <f>(VLOOKUP(H582,'[1]BOM Info General'!$A:$L,12,0))*I582</f>
        <v>27.18</v>
      </c>
      <c r="L582" s="22" t="s">
        <v>524</v>
      </c>
      <c r="M582" s="22">
        <v>1</v>
      </c>
      <c r="N582" s="22" t="s">
        <v>70</v>
      </c>
      <c r="O582" s="9">
        <f>(VLOOKUP(L582,'[1]Simulation pricing per sub assy'!$D:$E,2,0))*M582</f>
        <v>94.656400000000033</v>
      </c>
      <c r="P582" s="23" t="s">
        <v>52</v>
      </c>
      <c r="Q582" s="23">
        <v>8</v>
      </c>
      <c r="R582" s="23" t="s">
        <v>18</v>
      </c>
      <c r="S582" s="40">
        <f>(VLOOKUP(P582,'[1]BOM Info General'!$A:$L,12,0))*Q582</f>
        <v>21.2</v>
      </c>
      <c r="T582" s="24" t="s">
        <v>26</v>
      </c>
      <c r="U582" s="24">
        <v>1</v>
      </c>
      <c r="V582" s="24" t="s">
        <v>27</v>
      </c>
      <c r="W582" s="17">
        <f>(VLOOKUP(T582,'[1]Simulation pricing per sub assy'!$D:$E,2,0))*U582</f>
        <v>7.04</v>
      </c>
      <c r="X582" s="18" t="s">
        <v>616</v>
      </c>
      <c r="Y582" s="25">
        <v>1</v>
      </c>
      <c r="Z582" s="25" t="s">
        <v>23</v>
      </c>
      <c r="AA582" s="18">
        <f>(VLOOKUP(X582,'[1]Simulation pricing per sub assy'!$D:$E,2,0))*Y582</f>
        <v>4.4802908000000006</v>
      </c>
    </row>
    <row r="583" spans="1:27" x14ac:dyDescent="0.35">
      <c r="A583" s="13" t="s">
        <v>871</v>
      </c>
      <c r="B583" s="13" t="s">
        <v>872</v>
      </c>
      <c r="C583" s="42">
        <f t="shared" si="9"/>
        <v>285.77669080000004</v>
      </c>
      <c r="D583" s="20" t="s">
        <v>43</v>
      </c>
      <c r="E583" s="20">
        <v>2</v>
      </c>
      <c r="F583" s="20" t="s">
        <v>3983</v>
      </c>
      <c r="G583" s="14">
        <f>(VLOOKUP(D583,'[1]BOM Info General'!$A:$L,12,0))*E583</f>
        <v>130.12</v>
      </c>
      <c r="H583" s="21" t="s">
        <v>41</v>
      </c>
      <c r="I583" s="21">
        <v>1</v>
      </c>
      <c r="J583" s="21" t="s">
        <v>47</v>
      </c>
      <c r="K583" s="15">
        <f>(VLOOKUP(H583,'[1]BOM Info General'!$A:$L,12,0))*I583</f>
        <v>27.18</v>
      </c>
      <c r="L583" s="22" t="s">
        <v>67</v>
      </c>
      <c r="M583" s="22">
        <v>1</v>
      </c>
      <c r="N583" s="22" t="s">
        <v>64</v>
      </c>
      <c r="O583" s="9">
        <f>(VLOOKUP(L583,'[1]Simulation pricing per sub assy'!$D:$E,2,0))*M583</f>
        <v>95.756400000000042</v>
      </c>
      <c r="P583" s="23" t="s">
        <v>52</v>
      </c>
      <c r="Q583" s="23">
        <v>8</v>
      </c>
      <c r="R583" s="23" t="s">
        <v>18</v>
      </c>
      <c r="S583" s="40">
        <f>(VLOOKUP(P583,'[1]BOM Info General'!$A:$L,12,0))*Q583</f>
        <v>21.2</v>
      </c>
      <c r="T583" s="24" t="s">
        <v>26</v>
      </c>
      <c r="U583" s="24">
        <v>1</v>
      </c>
      <c r="V583" s="24" t="s">
        <v>27</v>
      </c>
      <c r="W583" s="17">
        <f>(VLOOKUP(T583,'[1]Simulation pricing per sub assy'!$D:$E,2,0))*U583</f>
        <v>7.04</v>
      </c>
      <c r="X583" s="18" t="s">
        <v>616</v>
      </c>
      <c r="Y583" s="25">
        <v>1</v>
      </c>
      <c r="Z583" s="25" t="s">
        <v>23</v>
      </c>
      <c r="AA583" s="18">
        <f>(VLOOKUP(X583,'[1]Simulation pricing per sub assy'!$D:$E,2,0))*Y583</f>
        <v>4.4802908000000006</v>
      </c>
    </row>
    <row r="584" spans="1:27" x14ac:dyDescent="0.35">
      <c r="A584" s="13" t="s">
        <v>907</v>
      </c>
      <c r="B584" s="13" t="s">
        <v>908</v>
      </c>
      <c r="C584" s="42">
        <f t="shared" si="9"/>
        <v>285.77669080000004</v>
      </c>
      <c r="D584" s="20" t="s">
        <v>43</v>
      </c>
      <c r="E584" s="20">
        <v>2</v>
      </c>
      <c r="F584" s="20" t="s">
        <v>3983</v>
      </c>
      <c r="G584" s="14">
        <f>(VLOOKUP(D584,'[1]BOM Info General'!$A:$L,12,0))*E584</f>
        <v>130.12</v>
      </c>
      <c r="H584" s="21" t="s">
        <v>41</v>
      </c>
      <c r="I584" s="21">
        <v>1</v>
      </c>
      <c r="J584" s="21" t="s">
        <v>47</v>
      </c>
      <c r="K584" s="15">
        <f>(VLOOKUP(H584,'[1]BOM Info General'!$A:$L,12,0))*I584</f>
        <v>27.18</v>
      </c>
      <c r="L584" s="22" t="s">
        <v>63</v>
      </c>
      <c r="M584" s="22">
        <v>1</v>
      </c>
      <c r="N584" s="22" t="s">
        <v>62</v>
      </c>
      <c r="O584" s="9">
        <f>(VLOOKUP(L584,'[1]Simulation pricing per sub assy'!$D:$E,2,0))*M584</f>
        <v>95.756400000000042</v>
      </c>
      <c r="P584" s="23" t="s">
        <v>52</v>
      </c>
      <c r="Q584" s="23">
        <v>8</v>
      </c>
      <c r="R584" s="23" t="s">
        <v>18</v>
      </c>
      <c r="S584" s="40">
        <f>(VLOOKUP(P584,'[1]BOM Info General'!$A:$L,12,0))*Q584</f>
        <v>21.2</v>
      </c>
      <c r="T584" s="24" t="s">
        <v>26</v>
      </c>
      <c r="U584" s="24">
        <v>1</v>
      </c>
      <c r="V584" s="24" t="s">
        <v>27</v>
      </c>
      <c r="W584" s="17">
        <f>(VLOOKUP(T584,'[1]Simulation pricing per sub assy'!$D:$E,2,0))*U584</f>
        <v>7.04</v>
      </c>
      <c r="X584" s="18" t="s">
        <v>616</v>
      </c>
      <c r="Y584" s="25">
        <v>1</v>
      </c>
      <c r="Z584" s="25" t="s">
        <v>23</v>
      </c>
      <c r="AA584" s="18">
        <f>(VLOOKUP(X584,'[1]Simulation pricing per sub assy'!$D:$E,2,0))*Y584</f>
        <v>4.4802908000000006</v>
      </c>
    </row>
    <row r="585" spans="1:27" x14ac:dyDescent="0.35">
      <c r="A585" s="13" t="s">
        <v>889</v>
      </c>
      <c r="B585" s="13" t="s">
        <v>890</v>
      </c>
      <c r="C585" s="42">
        <f t="shared" si="9"/>
        <v>285.22669080000003</v>
      </c>
      <c r="D585" s="20" t="s">
        <v>43</v>
      </c>
      <c r="E585" s="20">
        <v>2</v>
      </c>
      <c r="F585" s="20" t="s">
        <v>3983</v>
      </c>
      <c r="G585" s="14">
        <f>(VLOOKUP(D585,'[1]BOM Info General'!$A:$L,12,0))*E585</f>
        <v>130.12</v>
      </c>
      <c r="H585" s="21" t="s">
        <v>41</v>
      </c>
      <c r="I585" s="21">
        <v>1</v>
      </c>
      <c r="J585" s="21" t="s">
        <v>47</v>
      </c>
      <c r="K585" s="15">
        <f>(VLOOKUP(H585,'[1]BOM Info General'!$A:$L,12,0))*I585</f>
        <v>27.18</v>
      </c>
      <c r="L585" s="22" t="s">
        <v>69</v>
      </c>
      <c r="M585" s="22">
        <v>1</v>
      </c>
      <c r="N585" s="22" t="s">
        <v>66</v>
      </c>
      <c r="O585" s="9">
        <f>(VLOOKUP(L585,'[1]Simulation pricing per sub assy'!$D:$E,2,0))*M585</f>
        <v>95.206400000000031</v>
      </c>
      <c r="P585" s="23" t="s">
        <v>52</v>
      </c>
      <c r="Q585" s="23">
        <v>8</v>
      </c>
      <c r="R585" s="23" t="s">
        <v>18</v>
      </c>
      <c r="S585" s="40">
        <f>(VLOOKUP(P585,'[1]BOM Info General'!$A:$L,12,0))*Q585</f>
        <v>21.2</v>
      </c>
      <c r="T585" s="24" t="s">
        <v>26</v>
      </c>
      <c r="U585" s="24">
        <v>1</v>
      </c>
      <c r="V585" s="24" t="s">
        <v>27</v>
      </c>
      <c r="W585" s="17">
        <f>(VLOOKUP(T585,'[1]Simulation pricing per sub assy'!$D:$E,2,0))*U585</f>
        <v>7.04</v>
      </c>
      <c r="X585" s="18" t="s">
        <v>616</v>
      </c>
      <c r="Y585" s="25">
        <v>1</v>
      </c>
      <c r="Z585" s="25" t="s">
        <v>23</v>
      </c>
      <c r="AA585" s="18">
        <f>(VLOOKUP(X585,'[1]Simulation pricing per sub assy'!$D:$E,2,0))*Y585</f>
        <v>4.4802908000000006</v>
      </c>
    </row>
    <row r="586" spans="1:27" x14ac:dyDescent="0.35">
      <c r="A586" s="13" t="s">
        <v>925</v>
      </c>
      <c r="B586" s="13" t="s">
        <v>926</v>
      </c>
      <c r="C586" s="42">
        <f t="shared" si="9"/>
        <v>293.18669080000001</v>
      </c>
      <c r="D586" s="20" t="s">
        <v>43</v>
      </c>
      <c r="E586" s="20">
        <v>2</v>
      </c>
      <c r="F586" s="20" t="s">
        <v>3983</v>
      </c>
      <c r="G586" s="14">
        <f>(VLOOKUP(D586,'[1]BOM Info General'!$A:$L,12,0))*E586</f>
        <v>130.12</v>
      </c>
      <c r="H586" s="21" t="s">
        <v>41</v>
      </c>
      <c r="I586" s="21">
        <v>1</v>
      </c>
      <c r="J586" s="21" t="s">
        <v>47</v>
      </c>
      <c r="K586" s="15">
        <f>(VLOOKUP(H586,'[1]BOM Info General'!$A:$L,12,0))*I586</f>
        <v>27.18</v>
      </c>
      <c r="L586" s="22" t="s">
        <v>65</v>
      </c>
      <c r="M586" s="22">
        <v>1</v>
      </c>
      <c r="N586" s="22" t="s">
        <v>68</v>
      </c>
      <c r="O586" s="9">
        <f>(VLOOKUP(L586,'[1]Simulation pricing per sub assy'!$D:$E,2,0))*M586</f>
        <v>103.16640000000004</v>
      </c>
      <c r="P586" s="23" t="s">
        <v>52</v>
      </c>
      <c r="Q586" s="23">
        <v>8</v>
      </c>
      <c r="R586" s="23" t="s">
        <v>18</v>
      </c>
      <c r="S586" s="40">
        <f>(VLOOKUP(P586,'[1]BOM Info General'!$A:$L,12,0))*Q586</f>
        <v>21.2</v>
      </c>
      <c r="T586" s="24" t="s">
        <v>26</v>
      </c>
      <c r="U586" s="24">
        <v>1</v>
      </c>
      <c r="V586" s="24" t="s">
        <v>27</v>
      </c>
      <c r="W586" s="17">
        <f>(VLOOKUP(T586,'[1]Simulation pricing per sub assy'!$D:$E,2,0))*U586</f>
        <v>7.04</v>
      </c>
      <c r="X586" s="18" t="s">
        <v>616</v>
      </c>
      <c r="Y586" s="25">
        <v>1</v>
      </c>
      <c r="Z586" s="25" t="s">
        <v>23</v>
      </c>
      <c r="AA586" s="18">
        <f>(VLOOKUP(X586,'[1]Simulation pricing per sub assy'!$D:$E,2,0))*Y586</f>
        <v>4.4802908000000006</v>
      </c>
    </row>
    <row r="587" spans="1:27" x14ac:dyDescent="0.35">
      <c r="A587" s="13" t="s">
        <v>945</v>
      </c>
      <c r="B587" s="13" t="s">
        <v>946</v>
      </c>
      <c r="C587" s="42">
        <f t="shared" si="9"/>
        <v>284.6366908</v>
      </c>
      <c r="D587" s="20" t="s">
        <v>43</v>
      </c>
      <c r="E587" s="20">
        <v>2</v>
      </c>
      <c r="F587" s="20" t="s">
        <v>3983</v>
      </c>
      <c r="G587" s="14">
        <f>(VLOOKUP(D587,'[1]BOM Info General'!$A:$L,12,0))*E587</f>
        <v>130.12</v>
      </c>
      <c r="H587" s="21" t="s">
        <v>41</v>
      </c>
      <c r="I587" s="21">
        <v>1</v>
      </c>
      <c r="J587" s="21" t="s">
        <v>47</v>
      </c>
      <c r="K587" s="15">
        <f>(VLOOKUP(H587,'[1]BOM Info General'!$A:$L,12,0))*I587</f>
        <v>27.18</v>
      </c>
      <c r="L587" s="22" t="s">
        <v>524</v>
      </c>
      <c r="M587" s="22">
        <v>1</v>
      </c>
      <c r="N587" s="22" t="s">
        <v>70</v>
      </c>
      <c r="O587" s="9">
        <f>(VLOOKUP(L587,'[1]Simulation pricing per sub assy'!$D:$E,2,0))*M587</f>
        <v>94.656400000000033</v>
      </c>
      <c r="P587" s="23" t="s">
        <v>52</v>
      </c>
      <c r="Q587" s="23">
        <v>8</v>
      </c>
      <c r="R587" s="23" t="s">
        <v>18</v>
      </c>
      <c r="S587" s="40">
        <f>(VLOOKUP(P587,'[1]BOM Info General'!$A:$L,12,0))*Q587</f>
        <v>21.2</v>
      </c>
      <c r="T587" s="24" t="s">
        <v>28</v>
      </c>
      <c r="U587" s="24">
        <v>1</v>
      </c>
      <c r="V587" s="24" t="s">
        <v>29</v>
      </c>
      <c r="W587" s="17">
        <f>(VLOOKUP(T587,'[1]Simulation pricing per sub assy'!$D:$E,2,0))*U587</f>
        <v>7</v>
      </c>
      <c r="X587" s="18" t="s">
        <v>616</v>
      </c>
      <c r="Y587" s="25">
        <v>1</v>
      </c>
      <c r="Z587" s="25" t="s">
        <v>23</v>
      </c>
      <c r="AA587" s="18">
        <f>(VLOOKUP(X587,'[1]Simulation pricing per sub assy'!$D:$E,2,0))*Y587</f>
        <v>4.4802908000000006</v>
      </c>
    </row>
    <row r="588" spans="1:27" x14ac:dyDescent="0.35">
      <c r="A588" s="13" t="s">
        <v>873</v>
      </c>
      <c r="B588" s="13" t="s">
        <v>874</v>
      </c>
      <c r="C588" s="42">
        <f t="shared" si="9"/>
        <v>285.73669080000002</v>
      </c>
      <c r="D588" s="20" t="s">
        <v>43</v>
      </c>
      <c r="E588" s="20">
        <v>2</v>
      </c>
      <c r="F588" s="20" t="s">
        <v>3983</v>
      </c>
      <c r="G588" s="14">
        <f>(VLOOKUP(D588,'[1]BOM Info General'!$A:$L,12,0))*E588</f>
        <v>130.12</v>
      </c>
      <c r="H588" s="21" t="s">
        <v>41</v>
      </c>
      <c r="I588" s="21">
        <v>1</v>
      </c>
      <c r="J588" s="21" t="s">
        <v>47</v>
      </c>
      <c r="K588" s="15">
        <f>(VLOOKUP(H588,'[1]BOM Info General'!$A:$L,12,0))*I588</f>
        <v>27.18</v>
      </c>
      <c r="L588" s="22" t="s">
        <v>67</v>
      </c>
      <c r="M588" s="22">
        <v>1</v>
      </c>
      <c r="N588" s="22" t="s">
        <v>64</v>
      </c>
      <c r="O588" s="9">
        <f>(VLOOKUP(L588,'[1]Simulation pricing per sub assy'!$D:$E,2,0))*M588</f>
        <v>95.756400000000042</v>
      </c>
      <c r="P588" s="23" t="s">
        <v>52</v>
      </c>
      <c r="Q588" s="23">
        <v>8</v>
      </c>
      <c r="R588" s="23" t="s">
        <v>18</v>
      </c>
      <c r="S588" s="40">
        <f>(VLOOKUP(P588,'[1]BOM Info General'!$A:$L,12,0))*Q588</f>
        <v>21.2</v>
      </c>
      <c r="T588" s="24" t="s">
        <v>28</v>
      </c>
      <c r="U588" s="24">
        <v>1</v>
      </c>
      <c r="V588" s="24" t="s">
        <v>29</v>
      </c>
      <c r="W588" s="17">
        <f>(VLOOKUP(T588,'[1]Simulation pricing per sub assy'!$D:$E,2,0))*U588</f>
        <v>7</v>
      </c>
      <c r="X588" s="18" t="s">
        <v>616</v>
      </c>
      <c r="Y588" s="25">
        <v>1</v>
      </c>
      <c r="Z588" s="25" t="s">
        <v>23</v>
      </c>
      <c r="AA588" s="18">
        <f>(VLOOKUP(X588,'[1]Simulation pricing per sub assy'!$D:$E,2,0))*Y588</f>
        <v>4.4802908000000006</v>
      </c>
    </row>
    <row r="589" spans="1:27" x14ac:dyDescent="0.35">
      <c r="A589" s="13" t="s">
        <v>909</v>
      </c>
      <c r="B589" s="13" t="s">
        <v>910</v>
      </c>
      <c r="C589" s="42">
        <f t="shared" si="9"/>
        <v>285.73669080000002</v>
      </c>
      <c r="D589" s="20" t="s">
        <v>43</v>
      </c>
      <c r="E589" s="20">
        <v>2</v>
      </c>
      <c r="F589" s="20" t="s">
        <v>3983</v>
      </c>
      <c r="G589" s="14">
        <f>(VLOOKUP(D589,'[1]BOM Info General'!$A:$L,12,0))*E589</f>
        <v>130.12</v>
      </c>
      <c r="H589" s="21" t="s">
        <v>41</v>
      </c>
      <c r="I589" s="21">
        <v>1</v>
      </c>
      <c r="J589" s="21" t="s">
        <v>47</v>
      </c>
      <c r="K589" s="15">
        <f>(VLOOKUP(H589,'[1]BOM Info General'!$A:$L,12,0))*I589</f>
        <v>27.18</v>
      </c>
      <c r="L589" s="22" t="s">
        <v>63</v>
      </c>
      <c r="M589" s="22">
        <v>1</v>
      </c>
      <c r="N589" s="22" t="s">
        <v>62</v>
      </c>
      <c r="O589" s="9">
        <f>(VLOOKUP(L589,'[1]Simulation pricing per sub assy'!$D:$E,2,0))*M589</f>
        <v>95.756400000000042</v>
      </c>
      <c r="P589" s="23" t="s">
        <v>52</v>
      </c>
      <c r="Q589" s="23">
        <v>8</v>
      </c>
      <c r="R589" s="23" t="s">
        <v>18</v>
      </c>
      <c r="S589" s="40">
        <f>(VLOOKUP(P589,'[1]BOM Info General'!$A:$L,12,0))*Q589</f>
        <v>21.2</v>
      </c>
      <c r="T589" s="24" t="s">
        <v>28</v>
      </c>
      <c r="U589" s="24">
        <v>1</v>
      </c>
      <c r="V589" s="24" t="s">
        <v>29</v>
      </c>
      <c r="W589" s="17">
        <f>(VLOOKUP(T589,'[1]Simulation pricing per sub assy'!$D:$E,2,0))*U589</f>
        <v>7</v>
      </c>
      <c r="X589" s="18" t="s">
        <v>616</v>
      </c>
      <c r="Y589" s="25">
        <v>1</v>
      </c>
      <c r="Z589" s="25" t="s">
        <v>23</v>
      </c>
      <c r="AA589" s="18">
        <f>(VLOOKUP(X589,'[1]Simulation pricing per sub assy'!$D:$E,2,0))*Y589</f>
        <v>4.4802908000000006</v>
      </c>
    </row>
    <row r="590" spans="1:27" x14ac:dyDescent="0.35">
      <c r="A590" s="13" t="s">
        <v>891</v>
      </c>
      <c r="B590" s="13" t="s">
        <v>892</v>
      </c>
      <c r="C590" s="42">
        <f t="shared" si="9"/>
        <v>285.18669080000001</v>
      </c>
      <c r="D590" s="20" t="s">
        <v>43</v>
      </c>
      <c r="E590" s="20">
        <v>2</v>
      </c>
      <c r="F590" s="20" t="s">
        <v>3983</v>
      </c>
      <c r="G590" s="14">
        <f>(VLOOKUP(D590,'[1]BOM Info General'!$A:$L,12,0))*E590</f>
        <v>130.12</v>
      </c>
      <c r="H590" s="21" t="s">
        <v>41</v>
      </c>
      <c r="I590" s="21">
        <v>1</v>
      </c>
      <c r="J590" s="21" t="s">
        <v>47</v>
      </c>
      <c r="K590" s="15">
        <f>(VLOOKUP(H590,'[1]BOM Info General'!$A:$L,12,0))*I590</f>
        <v>27.18</v>
      </c>
      <c r="L590" s="22" t="s">
        <v>69</v>
      </c>
      <c r="M590" s="22">
        <v>1</v>
      </c>
      <c r="N590" s="22" t="s">
        <v>66</v>
      </c>
      <c r="O590" s="9">
        <f>(VLOOKUP(L590,'[1]Simulation pricing per sub assy'!$D:$E,2,0))*M590</f>
        <v>95.206400000000031</v>
      </c>
      <c r="P590" s="23" t="s">
        <v>52</v>
      </c>
      <c r="Q590" s="23">
        <v>8</v>
      </c>
      <c r="R590" s="23" t="s">
        <v>18</v>
      </c>
      <c r="S590" s="40">
        <f>(VLOOKUP(P590,'[1]BOM Info General'!$A:$L,12,0))*Q590</f>
        <v>21.2</v>
      </c>
      <c r="T590" s="24" t="s">
        <v>28</v>
      </c>
      <c r="U590" s="24">
        <v>1</v>
      </c>
      <c r="V590" s="24" t="s">
        <v>29</v>
      </c>
      <c r="W590" s="17">
        <f>(VLOOKUP(T590,'[1]Simulation pricing per sub assy'!$D:$E,2,0))*U590</f>
        <v>7</v>
      </c>
      <c r="X590" s="18" t="s">
        <v>616</v>
      </c>
      <c r="Y590" s="25">
        <v>1</v>
      </c>
      <c r="Z590" s="25" t="s">
        <v>23</v>
      </c>
      <c r="AA590" s="18">
        <f>(VLOOKUP(X590,'[1]Simulation pricing per sub assy'!$D:$E,2,0))*Y590</f>
        <v>4.4802908000000006</v>
      </c>
    </row>
    <row r="591" spans="1:27" x14ac:dyDescent="0.35">
      <c r="A591" s="13" t="s">
        <v>927</v>
      </c>
      <c r="B591" s="13" t="s">
        <v>928</v>
      </c>
      <c r="C591" s="42">
        <f t="shared" si="9"/>
        <v>293.14669079999999</v>
      </c>
      <c r="D591" s="20" t="s">
        <v>43</v>
      </c>
      <c r="E591" s="20">
        <v>2</v>
      </c>
      <c r="F591" s="20" t="s">
        <v>3983</v>
      </c>
      <c r="G591" s="14">
        <f>(VLOOKUP(D591,'[1]BOM Info General'!$A:$L,12,0))*E591</f>
        <v>130.12</v>
      </c>
      <c r="H591" s="21" t="s">
        <v>41</v>
      </c>
      <c r="I591" s="21">
        <v>1</v>
      </c>
      <c r="J591" s="21" t="s">
        <v>47</v>
      </c>
      <c r="K591" s="15">
        <f>(VLOOKUP(H591,'[1]BOM Info General'!$A:$L,12,0))*I591</f>
        <v>27.18</v>
      </c>
      <c r="L591" s="22" t="s">
        <v>65</v>
      </c>
      <c r="M591" s="22">
        <v>1</v>
      </c>
      <c r="N591" s="22" t="s">
        <v>68</v>
      </c>
      <c r="O591" s="9">
        <f>(VLOOKUP(L591,'[1]Simulation pricing per sub assy'!$D:$E,2,0))*M591</f>
        <v>103.16640000000004</v>
      </c>
      <c r="P591" s="23" t="s">
        <v>52</v>
      </c>
      <c r="Q591" s="23">
        <v>8</v>
      </c>
      <c r="R591" s="23" t="s">
        <v>18</v>
      </c>
      <c r="S591" s="40">
        <f>(VLOOKUP(P591,'[1]BOM Info General'!$A:$L,12,0))*Q591</f>
        <v>21.2</v>
      </c>
      <c r="T591" s="24" t="s">
        <v>28</v>
      </c>
      <c r="U591" s="24">
        <v>1</v>
      </c>
      <c r="V591" s="24" t="s">
        <v>29</v>
      </c>
      <c r="W591" s="17">
        <f>(VLOOKUP(T591,'[1]Simulation pricing per sub assy'!$D:$E,2,0))*U591</f>
        <v>7</v>
      </c>
      <c r="X591" s="18" t="s">
        <v>616</v>
      </c>
      <c r="Y591" s="25">
        <v>1</v>
      </c>
      <c r="Z591" s="25" t="s">
        <v>23</v>
      </c>
      <c r="AA591" s="18">
        <f>(VLOOKUP(X591,'[1]Simulation pricing per sub assy'!$D:$E,2,0))*Y591</f>
        <v>4.4802908000000006</v>
      </c>
    </row>
    <row r="592" spans="1:27" x14ac:dyDescent="0.35">
      <c r="A592" s="13" t="s">
        <v>855</v>
      </c>
      <c r="B592" s="13" t="s">
        <v>856</v>
      </c>
      <c r="C592" s="42">
        <f t="shared" si="9"/>
        <v>286.1966908</v>
      </c>
      <c r="D592" s="20" t="s">
        <v>43</v>
      </c>
      <c r="E592" s="20">
        <v>2</v>
      </c>
      <c r="F592" s="20" t="s">
        <v>3983</v>
      </c>
      <c r="G592" s="14">
        <f>(VLOOKUP(D592,'[1]BOM Info General'!$A:$L,12,0))*E592</f>
        <v>130.12</v>
      </c>
      <c r="H592" s="21" t="s">
        <v>41</v>
      </c>
      <c r="I592" s="21">
        <v>1</v>
      </c>
      <c r="J592" s="21" t="s">
        <v>47</v>
      </c>
      <c r="K592" s="15">
        <f>(VLOOKUP(H592,'[1]BOM Info General'!$A:$L,12,0))*I592</f>
        <v>27.18</v>
      </c>
      <c r="L592" s="22" t="s">
        <v>524</v>
      </c>
      <c r="M592" s="22">
        <v>1</v>
      </c>
      <c r="N592" s="22" t="s">
        <v>70</v>
      </c>
      <c r="O592" s="9">
        <f>(VLOOKUP(L592,'[1]Simulation pricing per sub assy'!$D:$E,2,0))*M592</f>
        <v>94.656400000000033</v>
      </c>
      <c r="P592" s="23" t="s">
        <v>50</v>
      </c>
      <c r="Q592" s="23">
        <v>8</v>
      </c>
      <c r="R592" s="23" t="s">
        <v>611</v>
      </c>
      <c r="S592" s="40">
        <f>(VLOOKUP(P592,'[1]BOM Info General'!$A:$L,12,0))*Q592</f>
        <v>21.2</v>
      </c>
      <c r="T592" s="24" t="s">
        <v>30</v>
      </c>
      <c r="U592" s="17">
        <v>1</v>
      </c>
      <c r="V592" s="24" t="s">
        <v>31</v>
      </c>
      <c r="W592" s="17">
        <f>(VLOOKUP(T592,'[1]Simulation pricing per sub assy'!$D:$E,2,0))*U592</f>
        <v>8.5599999999999987</v>
      </c>
      <c r="X592" s="25" t="s">
        <v>616</v>
      </c>
      <c r="Y592" s="25">
        <v>1</v>
      </c>
      <c r="Z592" s="25" t="s">
        <v>23</v>
      </c>
      <c r="AA592" s="18">
        <f>(VLOOKUP(X592,'[1]Simulation pricing per sub assy'!$D:$E,2,0))*Y592</f>
        <v>4.4802908000000006</v>
      </c>
    </row>
    <row r="593" spans="1:27" x14ac:dyDescent="0.35">
      <c r="A593" s="13" t="s">
        <v>847</v>
      </c>
      <c r="B593" s="13" t="s">
        <v>848</v>
      </c>
      <c r="C593" s="42">
        <f t="shared" si="9"/>
        <v>287.29669080000002</v>
      </c>
      <c r="D593" s="20" t="s">
        <v>43</v>
      </c>
      <c r="E593" s="20">
        <v>2</v>
      </c>
      <c r="F593" s="20" t="s">
        <v>3983</v>
      </c>
      <c r="G593" s="14">
        <f>(VLOOKUP(D593,'[1]BOM Info General'!$A:$L,12,0))*E593</f>
        <v>130.12</v>
      </c>
      <c r="H593" s="21" t="s">
        <v>41</v>
      </c>
      <c r="I593" s="21">
        <v>1</v>
      </c>
      <c r="J593" s="21" t="s">
        <v>47</v>
      </c>
      <c r="K593" s="15">
        <f>(VLOOKUP(H593,'[1]BOM Info General'!$A:$L,12,0))*I593</f>
        <v>27.18</v>
      </c>
      <c r="L593" s="22" t="s">
        <v>67</v>
      </c>
      <c r="M593" s="22">
        <v>1</v>
      </c>
      <c r="N593" s="22" t="s">
        <v>64</v>
      </c>
      <c r="O593" s="9">
        <f>(VLOOKUP(L593,'[1]Simulation pricing per sub assy'!$D:$E,2,0))*M593</f>
        <v>95.756400000000042</v>
      </c>
      <c r="P593" s="23" t="s">
        <v>50</v>
      </c>
      <c r="Q593" s="23">
        <v>8</v>
      </c>
      <c r="R593" s="23" t="s">
        <v>611</v>
      </c>
      <c r="S593" s="40">
        <f>(VLOOKUP(P593,'[1]BOM Info General'!$A:$L,12,0))*Q593</f>
        <v>21.2</v>
      </c>
      <c r="T593" s="24" t="s">
        <v>30</v>
      </c>
      <c r="U593" s="17">
        <v>1</v>
      </c>
      <c r="V593" s="24" t="s">
        <v>31</v>
      </c>
      <c r="W593" s="17">
        <f>(VLOOKUP(T593,'[1]Simulation pricing per sub assy'!$D:$E,2,0))*U593</f>
        <v>8.5599999999999987</v>
      </c>
      <c r="X593" s="25" t="s">
        <v>616</v>
      </c>
      <c r="Y593" s="25">
        <v>1</v>
      </c>
      <c r="Z593" s="25" t="s">
        <v>23</v>
      </c>
      <c r="AA593" s="18">
        <f>(VLOOKUP(X593,'[1]Simulation pricing per sub assy'!$D:$E,2,0))*Y593</f>
        <v>4.4802908000000006</v>
      </c>
    </row>
    <row r="594" spans="1:27" x14ac:dyDescent="0.35">
      <c r="A594" s="13" t="s">
        <v>851</v>
      </c>
      <c r="B594" s="13" t="s">
        <v>852</v>
      </c>
      <c r="C594" s="42">
        <f t="shared" si="9"/>
        <v>287.29669080000002</v>
      </c>
      <c r="D594" s="20" t="s">
        <v>43</v>
      </c>
      <c r="E594" s="20">
        <v>2</v>
      </c>
      <c r="F594" s="20" t="s">
        <v>3983</v>
      </c>
      <c r="G594" s="14">
        <f>(VLOOKUP(D594,'[1]BOM Info General'!$A:$L,12,0))*E594</f>
        <v>130.12</v>
      </c>
      <c r="H594" s="21" t="s">
        <v>41</v>
      </c>
      <c r="I594" s="21">
        <v>1</v>
      </c>
      <c r="J594" s="21" t="s">
        <v>47</v>
      </c>
      <c r="K594" s="15">
        <f>(VLOOKUP(H594,'[1]BOM Info General'!$A:$L,12,0))*I594</f>
        <v>27.18</v>
      </c>
      <c r="L594" s="22" t="s">
        <v>63</v>
      </c>
      <c r="M594" s="22">
        <v>1</v>
      </c>
      <c r="N594" s="22" t="s">
        <v>62</v>
      </c>
      <c r="O594" s="9">
        <f>(VLOOKUP(L594,'[1]Simulation pricing per sub assy'!$D:$E,2,0))*M594</f>
        <v>95.756400000000042</v>
      </c>
      <c r="P594" s="23" t="s">
        <v>50</v>
      </c>
      <c r="Q594" s="23">
        <v>8</v>
      </c>
      <c r="R594" s="23" t="s">
        <v>611</v>
      </c>
      <c r="S594" s="40">
        <f>(VLOOKUP(P594,'[1]BOM Info General'!$A:$L,12,0))*Q594</f>
        <v>21.2</v>
      </c>
      <c r="T594" s="24" t="s">
        <v>30</v>
      </c>
      <c r="U594" s="17">
        <v>1</v>
      </c>
      <c r="V594" s="24" t="s">
        <v>31</v>
      </c>
      <c r="W594" s="17">
        <f>(VLOOKUP(T594,'[1]Simulation pricing per sub assy'!$D:$E,2,0))*U594</f>
        <v>8.5599999999999987</v>
      </c>
      <c r="X594" s="25" t="s">
        <v>616</v>
      </c>
      <c r="Y594" s="25">
        <v>1</v>
      </c>
      <c r="Z594" s="25" t="s">
        <v>23</v>
      </c>
      <c r="AA594" s="18">
        <f>(VLOOKUP(X594,'[1]Simulation pricing per sub assy'!$D:$E,2,0))*Y594</f>
        <v>4.4802908000000006</v>
      </c>
    </row>
    <row r="595" spans="1:27" x14ac:dyDescent="0.35">
      <c r="A595" s="13" t="s">
        <v>849</v>
      </c>
      <c r="B595" s="13" t="s">
        <v>850</v>
      </c>
      <c r="C595" s="42">
        <f t="shared" si="9"/>
        <v>286.74669080000001</v>
      </c>
      <c r="D595" s="20" t="s">
        <v>43</v>
      </c>
      <c r="E595" s="20">
        <v>2</v>
      </c>
      <c r="F595" s="20" t="s">
        <v>3983</v>
      </c>
      <c r="G595" s="14">
        <f>(VLOOKUP(D595,'[1]BOM Info General'!$A:$L,12,0))*E595</f>
        <v>130.12</v>
      </c>
      <c r="H595" s="21" t="s">
        <v>41</v>
      </c>
      <c r="I595" s="21">
        <v>1</v>
      </c>
      <c r="J595" s="21" t="s">
        <v>47</v>
      </c>
      <c r="K595" s="15">
        <f>(VLOOKUP(H595,'[1]BOM Info General'!$A:$L,12,0))*I595</f>
        <v>27.18</v>
      </c>
      <c r="L595" s="22" t="s">
        <v>69</v>
      </c>
      <c r="M595" s="22">
        <v>1</v>
      </c>
      <c r="N595" s="22" t="s">
        <v>66</v>
      </c>
      <c r="O595" s="9">
        <f>(VLOOKUP(L595,'[1]Simulation pricing per sub assy'!$D:$E,2,0))*M595</f>
        <v>95.206400000000031</v>
      </c>
      <c r="P595" s="23" t="s">
        <v>50</v>
      </c>
      <c r="Q595" s="23">
        <v>8</v>
      </c>
      <c r="R595" s="23" t="s">
        <v>611</v>
      </c>
      <c r="S595" s="40">
        <f>(VLOOKUP(P595,'[1]BOM Info General'!$A:$L,12,0))*Q595</f>
        <v>21.2</v>
      </c>
      <c r="T595" s="24" t="s">
        <v>30</v>
      </c>
      <c r="U595" s="17">
        <v>1</v>
      </c>
      <c r="V595" s="24" t="s">
        <v>31</v>
      </c>
      <c r="W595" s="17">
        <f>(VLOOKUP(T595,'[1]Simulation pricing per sub assy'!$D:$E,2,0))*U595</f>
        <v>8.5599999999999987</v>
      </c>
      <c r="X595" s="25" t="s">
        <v>616</v>
      </c>
      <c r="Y595" s="25">
        <v>1</v>
      </c>
      <c r="Z595" s="25" t="s">
        <v>23</v>
      </c>
      <c r="AA595" s="18">
        <f>(VLOOKUP(X595,'[1]Simulation pricing per sub assy'!$D:$E,2,0))*Y595</f>
        <v>4.4802908000000006</v>
      </c>
    </row>
    <row r="596" spans="1:27" x14ac:dyDescent="0.35">
      <c r="A596" s="13" t="s">
        <v>853</v>
      </c>
      <c r="B596" s="13" t="s">
        <v>854</v>
      </c>
      <c r="C596" s="42">
        <f t="shared" si="9"/>
        <v>294.70669079999999</v>
      </c>
      <c r="D596" s="20" t="s">
        <v>43</v>
      </c>
      <c r="E596" s="20">
        <v>2</v>
      </c>
      <c r="F596" s="20" t="s">
        <v>3983</v>
      </c>
      <c r="G596" s="14">
        <f>(VLOOKUP(D596,'[1]BOM Info General'!$A:$L,12,0))*E596</f>
        <v>130.12</v>
      </c>
      <c r="H596" s="21" t="s">
        <v>41</v>
      </c>
      <c r="I596" s="21">
        <v>1</v>
      </c>
      <c r="J596" s="21" t="s">
        <v>47</v>
      </c>
      <c r="K596" s="15">
        <f>(VLOOKUP(H596,'[1]BOM Info General'!$A:$L,12,0))*I596</f>
        <v>27.18</v>
      </c>
      <c r="L596" s="22" t="s">
        <v>65</v>
      </c>
      <c r="M596" s="22">
        <v>1</v>
      </c>
      <c r="N596" s="22" t="s">
        <v>68</v>
      </c>
      <c r="O596" s="9">
        <f>(VLOOKUP(L596,'[1]Simulation pricing per sub assy'!$D:$E,2,0))*M596</f>
        <v>103.16640000000004</v>
      </c>
      <c r="P596" s="23" t="s">
        <v>50</v>
      </c>
      <c r="Q596" s="23">
        <v>8</v>
      </c>
      <c r="R596" s="23" t="s">
        <v>611</v>
      </c>
      <c r="S596" s="40">
        <f>(VLOOKUP(P596,'[1]BOM Info General'!$A:$L,12,0))*Q596</f>
        <v>21.2</v>
      </c>
      <c r="T596" s="24" t="s">
        <v>30</v>
      </c>
      <c r="U596" s="17">
        <v>1</v>
      </c>
      <c r="V596" s="24" t="s">
        <v>31</v>
      </c>
      <c r="W596" s="17">
        <f>(VLOOKUP(T596,'[1]Simulation pricing per sub assy'!$D:$E,2,0))*U596</f>
        <v>8.5599999999999987</v>
      </c>
      <c r="X596" s="25" t="s">
        <v>616</v>
      </c>
      <c r="Y596" s="25">
        <v>1</v>
      </c>
      <c r="Z596" s="25" t="s">
        <v>23</v>
      </c>
      <c r="AA596" s="18">
        <f>(VLOOKUP(X596,'[1]Simulation pricing per sub assy'!$D:$E,2,0))*Y596</f>
        <v>4.4802908000000006</v>
      </c>
    </row>
    <row r="597" spans="1:27" x14ac:dyDescent="0.35">
      <c r="A597" s="13" t="s">
        <v>546</v>
      </c>
      <c r="B597" s="13" t="s">
        <v>4189</v>
      </c>
      <c r="C597" s="42">
        <f t="shared" si="9"/>
        <v>284.83669079999999</v>
      </c>
      <c r="D597" s="14" t="s">
        <v>43</v>
      </c>
      <c r="E597" s="14">
        <v>2</v>
      </c>
      <c r="F597" s="14" t="s">
        <v>3983</v>
      </c>
      <c r="G597" s="14">
        <f>(VLOOKUP(D597,'[1]BOM Info General'!$A:$L,12,0))*E597</f>
        <v>130.12</v>
      </c>
      <c r="H597" s="15" t="s">
        <v>41</v>
      </c>
      <c r="I597" s="15">
        <v>1</v>
      </c>
      <c r="J597" s="15" t="s">
        <v>47</v>
      </c>
      <c r="K597" s="15">
        <f>(VLOOKUP(H597,'[1]BOM Info General'!$A:$L,12,0))*I597</f>
        <v>27.18</v>
      </c>
      <c r="L597" s="9" t="s">
        <v>524</v>
      </c>
      <c r="M597" s="9">
        <v>1</v>
      </c>
      <c r="N597" s="9" t="s">
        <v>70</v>
      </c>
      <c r="O597" s="9">
        <f>(VLOOKUP(L597,'[1]Simulation pricing per sub assy'!$D:$E,2,0))*M597</f>
        <v>94.656400000000033</v>
      </c>
      <c r="P597" s="16" t="s">
        <v>50</v>
      </c>
      <c r="Q597" s="16">
        <v>8</v>
      </c>
      <c r="R597" s="16" t="s">
        <v>611</v>
      </c>
      <c r="S597" s="40">
        <f>(VLOOKUP(P597,'[1]BOM Info General'!$A:$L,12,0))*Q597</f>
        <v>21.2</v>
      </c>
      <c r="T597" s="17" t="s">
        <v>21</v>
      </c>
      <c r="U597" s="17">
        <v>1</v>
      </c>
      <c r="V597" s="17" t="s">
        <v>22</v>
      </c>
      <c r="W597" s="17">
        <f>(VLOOKUP(T597,'[1]Simulation pricing per sub assy'!$D:$E,2,0))*U597</f>
        <v>7.2</v>
      </c>
      <c r="X597" s="18" t="s">
        <v>616</v>
      </c>
      <c r="Y597" s="18">
        <v>1</v>
      </c>
      <c r="Z597" s="18" t="s">
        <v>23</v>
      </c>
      <c r="AA597" s="18">
        <f>(VLOOKUP(X597,'[1]Simulation pricing per sub assy'!$D:$E,2,0))*Y597</f>
        <v>4.4802908000000006</v>
      </c>
    </row>
    <row r="598" spans="1:27" x14ac:dyDescent="0.35">
      <c r="A598" s="13" t="s">
        <v>542</v>
      </c>
      <c r="B598" s="13" t="s">
        <v>4190</v>
      </c>
      <c r="C598" s="42">
        <f t="shared" si="9"/>
        <v>285.93669080000001</v>
      </c>
      <c r="D598" s="14" t="s">
        <v>43</v>
      </c>
      <c r="E598" s="14">
        <v>2</v>
      </c>
      <c r="F598" s="14" t="s">
        <v>3983</v>
      </c>
      <c r="G598" s="14">
        <f>(VLOOKUP(D598,'[1]BOM Info General'!$A:$L,12,0))*E598</f>
        <v>130.12</v>
      </c>
      <c r="H598" s="15" t="s">
        <v>41</v>
      </c>
      <c r="I598" s="15">
        <v>1</v>
      </c>
      <c r="J598" s="15" t="s">
        <v>47</v>
      </c>
      <c r="K598" s="15">
        <f>(VLOOKUP(H598,'[1]BOM Info General'!$A:$L,12,0))*I598</f>
        <v>27.18</v>
      </c>
      <c r="L598" s="9" t="s">
        <v>67</v>
      </c>
      <c r="M598" s="9">
        <v>1</v>
      </c>
      <c r="N598" s="9" t="s">
        <v>64</v>
      </c>
      <c r="O598" s="9">
        <f>(VLOOKUP(L598,'[1]Simulation pricing per sub assy'!$D:$E,2,0))*M598</f>
        <v>95.756400000000042</v>
      </c>
      <c r="P598" s="16" t="s">
        <v>50</v>
      </c>
      <c r="Q598" s="16">
        <v>8</v>
      </c>
      <c r="R598" s="16" t="s">
        <v>611</v>
      </c>
      <c r="S598" s="40">
        <f>(VLOOKUP(P598,'[1]BOM Info General'!$A:$L,12,0))*Q598</f>
        <v>21.2</v>
      </c>
      <c r="T598" s="17" t="s">
        <v>21</v>
      </c>
      <c r="U598" s="17">
        <v>1</v>
      </c>
      <c r="V598" s="17" t="s">
        <v>22</v>
      </c>
      <c r="W598" s="17">
        <f>(VLOOKUP(T598,'[1]Simulation pricing per sub assy'!$D:$E,2,0))*U598</f>
        <v>7.2</v>
      </c>
      <c r="X598" s="18" t="s">
        <v>616</v>
      </c>
      <c r="Y598" s="18">
        <v>1</v>
      </c>
      <c r="Z598" s="18" t="s">
        <v>23</v>
      </c>
      <c r="AA598" s="18">
        <f>(VLOOKUP(X598,'[1]Simulation pricing per sub assy'!$D:$E,2,0))*Y598</f>
        <v>4.4802908000000006</v>
      </c>
    </row>
    <row r="599" spans="1:27" x14ac:dyDescent="0.35">
      <c r="A599" s="13" t="s">
        <v>544</v>
      </c>
      <c r="B599" s="13" t="s">
        <v>4191</v>
      </c>
      <c r="C599" s="42">
        <f t="shared" si="9"/>
        <v>285.93669080000001</v>
      </c>
      <c r="D599" s="14" t="s">
        <v>43</v>
      </c>
      <c r="E599" s="14">
        <v>2</v>
      </c>
      <c r="F599" s="14" t="s">
        <v>3983</v>
      </c>
      <c r="G599" s="14">
        <f>(VLOOKUP(D599,'[1]BOM Info General'!$A:$L,12,0))*E599</f>
        <v>130.12</v>
      </c>
      <c r="H599" s="15" t="s">
        <v>41</v>
      </c>
      <c r="I599" s="15">
        <v>1</v>
      </c>
      <c r="J599" s="15" t="s">
        <v>47</v>
      </c>
      <c r="K599" s="15">
        <f>(VLOOKUP(H599,'[1]BOM Info General'!$A:$L,12,0))*I599</f>
        <v>27.18</v>
      </c>
      <c r="L599" s="9" t="s">
        <v>63</v>
      </c>
      <c r="M599" s="9">
        <v>1</v>
      </c>
      <c r="N599" s="9" t="s">
        <v>62</v>
      </c>
      <c r="O599" s="9">
        <f>(VLOOKUP(L599,'[1]Simulation pricing per sub assy'!$D:$E,2,0))*M599</f>
        <v>95.756400000000042</v>
      </c>
      <c r="P599" s="16" t="s">
        <v>50</v>
      </c>
      <c r="Q599" s="16">
        <v>8</v>
      </c>
      <c r="R599" s="16" t="s">
        <v>611</v>
      </c>
      <c r="S599" s="40">
        <f>(VLOOKUP(P599,'[1]BOM Info General'!$A:$L,12,0))*Q599</f>
        <v>21.2</v>
      </c>
      <c r="T599" s="17" t="s">
        <v>21</v>
      </c>
      <c r="U599" s="17">
        <v>1</v>
      </c>
      <c r="V599" s="17" t="s">
        <v>22</v>
      </c>
      <c r="W599" s="17">
        <f>(VLOOKUP(T599,'[1]Simulation pricing per sub assy'!$D:$E,2,0))*U599</f>
        <v>7.2</v>
      </c>
      <c r="X599" s="18" t="s">
        <v>616</v>
      </c>
      <c r="Y599" s="18">
        <v>1</v>
      </c>
      <c r="Z599" s="18" t="s">
        <v>23</v>
      </c>
      <c r="AA599" s="18">
        <f>(VLOOKUP(X599,'[1]Simulation pricing per sub assy'!$D:$E,2,0))*Y599</f>
        <v>4.4802908000000006</v>
      </c>
    </row>
    <row r="600" spans="1:27" x14ac:dyDescent="0.35">
      <c r="A600" s="13" t="s">
        <v>543</v>
      </c>
      <c r="B600" s="13" t="s">
        <v>4192</v>
      </c>
      <c r="C600" s="42">
        <f t="shared" si="9"/>
        <v>285.3866908</v>
      </c>
      <c r="D600" s="14" t="s">
        <v>43</v>
      </c>
      <c r="E600" s="14">
        <v>2</v>
      </c>
      <c r="F600" s="14" t="s">
        <v>3983</v>
      </c>
      <c r="G600" s="14">
        <f>(VLOOKUP(D600,'[1]BOM Info General'!$A:$L,12,0))*E600</f>
        <v>130.12</v>
      </c>
      <c r="H600" s="15" t="s">
        <v>41</v>
      </c>
      <c r="I600" s="15">
        <v>1</v>
      </c>
      <c r="J600" s="15" t="s">
        <v>47</v>
      </c>
      <c r="K600" s="15">
        <f>(VLOOKUP(H600,'[1]BOM Info General'!$A:$L,12,0))*I600</f>
        <v>27.18</v>
      </c>
      <c r="L600" s="9" t="s">
        <v>69</v>
      </c>
      <c r="M600" s="9">
        <v>1</v>
      </c>
      <c r="N600" s="9" t="s">
        <v>66</v>
      </c>
      <c r="O600" s="9">
        <f>(VLOOKUP(L600,'[1]Simulation pricing per sub assy'!$D:$E,2,0))*M600</f>
        <v>95.206400000000031</v>
      </c>
      <c r="P600" s="16" t="s">
        <v>50</v>
      </c>
      <c r="Q600" s="16">
        <v>8</v>
      </c>
      <c r="R600" s="16" t="s">
        <v>611</v>
      </c>
      <c r="S600" s="40">
        <f>(VLOOKUP(P600,'[1]BOM Info General'!$A:$L,12,0))*Q600</f>
        <v>21.2</v>
      </c>
      <c r="T600" s="17" t="s">
        <v>21</v>
      </c>
      <c r="U600" s="17">
        <v>1</v>
      </c>
      <c r="V600" s="17" t="s">
        <v>22</v>
      </c>
      <c r="W600" s="17">
        <f>(VLOOKUP(T600,'[1]Simulation pricing per sub assy'!$D:$E,2,0))*U600</f>
        <v>7.2</v>
      </c>
      <c r="X600" s="18" t="s">
        <v>616</v>
      </c>
      <c r="Y600" s="18">
        <v>1</v>
      </c>
      <c r="Z600" s="18" t="s">
        <v>23</v>
      </c>
      <c r="AA600" s="18">
        <f>(VLOOKUP(X600,'[1]Simulation pricing per sub assy'!$D:$E,2,0))*Y600</f>
        <v>4.4802908000000006</v>
      </c>
    </row>
    <row r="601" spans="1:27" x14ac:dyDescent="0.35">
      <c r="A601" s="13" t="s">
        <v>545</v>
      </c>
      <c r="B601" s="13" t="s">
        <v>4193</v>
      </c>
      <c r="C601" s="42">
        <f t="shared" si="9"/>
        <v>293.34669079999998</v>
      </c>
      <c r="D601" s="14" t="s">
        <v>43</v>
      </c>
      <c r="E601" s="14">
        <v>2</v>
      </c>
      <c r="F601" s="14" t="s">
        <v>3983</v>
      </c>
      <c r="G601" s="14">
        <f>(VLOOKUP(D601,'[1]BOM Info General'!$A:$L,12,0))*E601</f>
        <v>130.12</v>
      </c>
      <c r="H601" s="15" t="s">
        <v>41</v>
      </c>
      <c r="I601" s="15">
        <v>1</v>
      </c>
      <c r="J601" s="15" t="s">
        <v>47</v>
      </c>
      <c r="K601" s="15">
        <f>(VLOOKUP(H601,'[1]BOM Info General'!$A:$L,12,0))*I601</f>
        <v>27.18</v>
      </c>
      <c r="L601" s="9" t="s">
        <v>65</v>
      </c>
      <c r="M601" s="9">
        <v>1</v>
      </c>
      <c r="N601" s="9" t="s">
        <v>68</v>
      </c>
      <c r="O601" s="9">
        <f>(VLOOKUP(L601,'[1]Simulation pricing per sub assy'!$D:$E,2,0))*M601</f>
        <v>103.16640000000004</v>
      </c>
      <c r="P601" s="16" t="s">
        <v>50</v>
      </c>
      <c r="Q601" s="16">
        <v>8</v>
      </c>
      <c r="R601" s="16" t="s">
        <v>611</v>
      </c>
      <c r="S601" s="40">
        <f>(VLOOKUP(P601,'[1]BOM Info General'!$A:$L,12,0))*Q601</f>
        <v>21.2</v>
      </c>
      <c r="T601" s="17" t="s">
        <v>21</v>
      </c>
      <c r="U601" s="17">
        <v>1</v>
      </c>
      <c r="V601" s="17" t="s">
        <v>22</v>
      </c>
      <c r="W601" s="17">
        <f>(VLOOKUP(T601,'[1]Simulation pricing per sub assy'!$D:$E,2,0))*U601</f>
        <v>7.2</v>
      </c>
      <c r="X601" s="18" t="s">
        <v>616</v>
      </c>
      <c r="Y601" s="18">
        <v>1</v>
      </c>
      <c r="Z601" s="18" t="s">
        <v>23</v>
      </c>
      <c r="AA601" s="18">
        <f>(VLOOKUP(X601,'[1]Simulation pricing per sub assy'!$D:$E,2,0))*Y601</f>
        <v>4.4802908000000006</v>
      </c>
    </row>
    <row r="602" spans="1:27" x14ac:dyDescent="0.35">
      <c r="A602" s="13" t="s">
        <v>286</v>
      </c>
      <c r="B602" s="13" t="s">
        <v>4194</v>
      </c>
      <c r="C602" s="42">
        <f t="shared" si="9"/>
        <v>284.07669079999999</v>
      </c>
      <c r="D602" s="14" t="s">
        <v>43</v>
      </c>
      <c r="E602" s="14">
        <v>2</v>
      </c>
      <c r="F602" s="14" t="s">
        <v>3983</v>
      </c>
      <c r="G602" s="14">
        <f>(VLOOKUP(D602,'[1]BOM Info General'!$A:$L,12,0))*E602</f>
        <v>130.12</v>
      </c>
      <c r="H602" s="15" t="s">
        <v>41</v>
      </c>
      <c r="I602" s="15">
        <v>1</v>
      </c>
      <c r="J602" s="15" t="s">
        <v>47</v>
      </c>
      <c r="K602" s="15">
        <f>(VLOOKUP(H602,'[1]BOM Info General'!$A:$L,12,0))*I602</f>
        <v>27.18</v>
      </c>
      <c r="L602" s="9" t="s">
        <v>524</v>
      </c>
      <c r="M602" s="9">
        <v>1</v>
      </c>
      <c r="N602" s="9" t="s">
        <v>70</v>
      </c>
      <c r="O602" s="9">
        <f>(VLOOKUP(L602,'[1]Simulation pricing per sub assy'!$D:$E,2,0))*M602</f>
        <v>94.656400000000033</v>
      </c>
      <c r="P602" s="16" t="s">
        <v>50</v>
      </c>
      <c r="Q602" s="16">
        <v>8</v>
      </c>
      <c r="R602" s="16" t="s">
        <v>16</v>
      </c>
      <c r="S602" s="40">
        <f>(VLOOKUP(P602,'[1]BOM Info General'!$A:$L,12,0))*Q602</f>
        <v>21.2</v>
      </c>
      <c r="T602" s="17" t="s">
        <v>24</v>
      </c>
      <c r="U602" s="17">
        <v>1</v>
      </c>
      <c r="V602" s="17" t="s">
        <v>25</v>
      </c>
      <c r="W602" s="17">
        <f>(VLOOKUP(T602,'[1]Simulation pricing per sub assy'!$D:$E,2,0))*U602</f>
        <v>6.44</v>
      </c>
      <c r="X602" s="18" t="s">
        <v>616</v>
      </c>
      <c r="Y602" s="18">
        <v>1</v>
      </c>
      <c r="Z602" s="18" t="s">
        <v>23</v>
      </c>
      <c r="AA602" s="18">
        <f>(VLOOKUP(X602,'[1]Simulation pricing per sub assy'!$D:$E,2,0))*Y602</f>
        <v>4.4802908000000006</v>
      </c>
    </row>
    <row r="603" spans="1:27" x14ac:dyDescent="0.35">
      <c r="A603" s="13" t="s">
        <v>142</v>
      </c>
      <c r="B603" s="13" t="s">
        <v>4195</v>
      </c>
      <c r="C603" s="42">
        <f t="shared" si="9"/>
        <v>285.17669080000002</v>
      </c>
      <c r="D603" s="14" t="s">
        <v>43</v>
      </c>
      <c r="E603" s="14">
        <v>2</v>
      </c>
      <c r="F603" s="14" t="s">
        <v>3983</v>
      </c>
      <c r="G603" s="14">
        <f>(VLOOKUP(D603,'[1]BOM Info General'!$A:$L,12,0))*E603</f>
        <v>130.12</v>
      </c>
      <c r="H603" s="15" t="s">
        <v>41</v>
      </c>
      <c r="I603" s="15">
        <v>1</v>
      </c>
      <c r="J603" s="15" t="s">
        <v>47</v>
      </c>
      <c r="K603" s="15">
        <f>(VLOOKUP(H603,'[1]BOM Info General'!$A:$L,12,0))*I603</f>
        <v>27.18</v>
      </c>
      <c r="L603" s="9" t="s">
        <v>67</v>
      </c>
      <c r="M603" s="9">
        <v>1</v>
      </c>
      <c r="N603" s="9" t="s">
        <v>64</v>
      </c>
      <c r="O603" s="9">
        <f>(VLOOKUP(L603,'[1]Simulation pricing per sub assy'!$D:$E,2,0))*M603</f>
        <v>95.756400000000042</v>
      </c>
      <c r="P603" s="16" t="s">
        <v>50</v>
      </c>
      <c r="Q603" s="16">
        <v>8</v>
      </c>
      <c r="R603" s="16" t="s">
        <v>16</v>
      </c>
      <c r="S603" s="40">
        <f>(VLOOKUP(P603,'[1]BOM Info General'!$A:$L,12,0))*Q603</f>
        <v>21.2</v>
      </c>
      <c r="T603" s="17" t="s">
        <v>24</v>
      </c>
      <c r="U603" s="17">
        <v>1</v>
      </c>
      <c r="V603" s="17" t="s">
        <v>25</v>
      </c>
      <c r="W603" s="17">
        <f>(VLOOKUP(T603,'[1]Simulation pricing per sub assy'!$D:$E,2,0))*U603</f>
        <v>6.44</v>
      </c>
      <c r="X603" s="18" t="s">
        <v>616</v>
      </c>
      <c r="Y603" s="18">
        <v>1</v>
      </c>
      <c r="Z603" s="18" t="s">
        <v>23</v>
      </c>
      <c r="AA603" s="18">
        <f>(VLOOKUP(X603,'[1]Simulation pricing per sub assy'!$D:$E,2,0))*Y603</f>
        <v>4.4802908000000006</v>
      </c>
    </row>
    <row r="604" spans="1:27" x14ac:dyDescent="0.35">
      <c r="A604" s="13" t="s">
        <v>214</v>
      </c>
      <c r="B604" s="13" t="s">
        <v>4196</v>
      </c>
      <c r="C604" s="42">
        <f t="shared" si="9"/>
        <v>285.17669080000002</v>
      </c>
      <c r="D604" s="14" t="s">
        <v>43</v>
      </c>
      <c r="E604" s="14">
        <v>2</v>
      </c>
      <c r="F604" s="14" t="s">
        <v>3983</v>
      </c>
      <c r="G604" s="14">
        <f>(VLOOKUP(D604,'[1]BOM Info General'!$A:$L,12,0))*E604</f>
        <v>130.12</v>
      </c>
      <c r="H604" s="15" t="s">
        <v>41</v>
      </c>
      <c r="I604" s="15">
        <v>1</v>
      </c>
      <c r="J604" s="15" t="s">
        <v>47</v>
      </c>
      <c r="K604" s="15">
        <f>(VLOOKUP(H604,'[1]BOM Info General'!$A:$L,12,0))*I604</f>
        <v>27.18</v>
      </c>
      <c r="L604" s="9" t="s">
        <v>63</v>
      </c>
      <c r="M604" s="9">
        <v>1</v>
      </c>
      <c r="N604" s="9" t="s">
        <v>62</v>
      </c>
      <c r="O604" s="9">
        <f>(VLOOKUP(L604,'[1]Simulation pricing per sub assy'!$D:$E,2,0))*M604</f>
        <v>95.756400000000042</v>
      </c>
      <c r="P604" s="16" t="s">
        <v>50</v>
      </c>
      <c r="Q604" s="16">
        <v>8</v>
      </c>
      <c r="R604" s="16" t="s">
        <v>16</v>
      </c>
      <c r="S604" s="40">
        <f>(VLOOKUP(P604,'[1]BOM Info General'!$A:$L,12,0))*Q604</f>
        <v>21.2</v>
      </c>
      <c r="T604" s="17" t="s">
        <v>24</v>
      </c>
      <c r="U604" s="17">
        <v>1</v>
      </c>
      <c r="V604" s="17" t="s">
        <v>25</v>
      </c>
      <c r="W604" s="17">
        <f>(VLOOKUP(T604,'[1]Simulation pricing per sub assy'!$D:$E,2,0))*U604</f>
        <v>6.44</v>
      </c>
      <c r="X604" s="18" t="s">
        <v>616</v>
      </c>
      <c r="Y604" s="18">
        <v>1</v>
      </c>
      <c r="Z604" s="18" t="s">
        <v>23</v>
      </c>
      <c r="AA604" s="18">
        <f>(VLOOKUP(X604,'[1]Simulation pricing per sub assy'!$D:$E,2,0))*Y604</f>
        <v>4.4802908000000006</v>
      </c>
    </row>
    <row r="605" spans="1:27" x14ac:dyDescent="0.35">
      <c r="A605" s="13" t="s">
        <v>178</v>
      </c>
      <c r="B605" s="13" t="s">
        <v>4197</v>
      </c>
      <c r="C605" s="42">
        <f t="shared" si="9"/>
        <v>284.62669080000001</v>
      </c>
      <c r="D605" s="14" t="s">
        <v>43</v>
      </c>
      <c r="E605" s="14">
        <v>2</v>
      </c>
      <c r="F605" s="14" t="s">
        <v>3983</v>
      </c>
      <c r="G605" s="14">
        <f>(VLOOKUP(D605,'[1]BOM Info General'!$A:$L,12,0))*E605</f>
        <v>130.12</v>
      </c>
      <c r="H605" s="15" t="s">
        <v>41</v>
      </c>
      <c r="I605" s="15">
        <v>1</v>
      </c>
      <c r="J605" s="15" t="s">
        <v>47</v>
      </c>
      <c r="K605" s="15">
        <f>(VLOOKUP(H605,'[1]BOM Info General'!$A:$L,12,0))*I605</f>
        <v>27.18</v>
      </c>
      <c r="L605" s="9" t="s">
        <v>69</v>
      </c>
      <c r="M605" s="9">
        <v>1</v>
      </c>
      <c r="N605" s="9" t="s">
        <v>66</v>
      </c>
      <c r="O605" s="9">
        <f>(VLOOKUP(L605,'[1]Simulation pricing per sub assy'!$D:$E,2,0))*M605</f>
        <v>95.206400000000031</v>
      </c>
      <c r="P605" s="16" t="s">
        <v>50</v>
      </c>
      <c r="Q605" s="16">
        <v>8</v>
      </c>
      <c r="R605" s="16" t="s">
        <v>16</v>
      </c>
      <c r="S605" s="40">
        <f>(VLOOKUP(P605,'[1]BOM Info General'!$A:$L,12,0))*Q605</f>
        <v>21.2</v>
      </c>
      <c r="T605" s="17" t="s">
        <v>24</v>
      </c>
      <c r="U605" s="17">
        <v>1</v>
      </c>
      <c r="V605" s="17" t="s">
        <v>25</v>
      </c>
      <c r="W605" s="17">
        <f>(VLOOKUP(T605,'[1]Simulation pricing per sub assy'!$D:$E,2,0))*U605</f>
        <v>6.44</v>
      </c>
      <c r="X605" s="18" t="s">
        <v>616</v>
      </c>
      <c r="Y605" s="18">
        <v>1</v>
      </c>
      <c r="Z605" s="18" t="s">
        <v>23</v>
      </c>
      <c r="AA605" s="18">
        <f>(VLOOKUP(X605,'[1]Simulation pricing per sub assy'!$D:$E,2,0))*Y605</f>
        <v>4.4802908000000006</v>
      </c>
    </row>
    <row r="606" spans="1:27" x14ac:dyDescent="0.35">
      <c r="A606" s="13" t="s">
        <v>250</v>
      </c>
      <c r="B606" s="13" t="s">
        <v>4198</v>
      </c>
      <c r="C606" s="42">
        <f t="shared" si="9"/>
        <v>292.58669079999999</v>
      </c>
      <c r="D606" s="14" t="s">
        <v>43</v>
      </c>
      <c r="E606" s="14">
        <v>2</v>
      </c>
      <c r="F606" s="14" t="s">
        <v>3983</v>
      </c>
      <c r="G606" s="14">
        <f>(VLOOKUP(D606,'[1]BOM Info General'!$A:$L,12,0))*E606</f>
        <v>130.12</v>
      </c>
      <c r="H606" s="15" t="s">
        <v>41</v>
      </c>
      <c r="I606" s="15">
        <v>1</v>
      </c>
      <c r="J606" s="15" t="s">
        <v>47</v>
      </c>
      <c r="K606" s="15">
        <f>(VLOOKUP(H606,'[1]BOM Info General'!$A:$L,12,0))*I606</f>
        <v>27.18</v>
      </c>
      <c r="L606" s="9" t="s">
        <v>65</v>
      </c>
      <c r="M606" s="9">
        <v>1</v>
      </c>
      <c r="N606" s="9" t="s">
        <v>68</v>
      </c>
      <c r="O606" s="9">
        <f>(VLOOKUP(L606,'[1]Simulation pricing per sub assy'!$D:$E,2,0))*M606</f>
        <v>103.16640000000004</v>
      </c>
      <c r="P606" s="16" t="s">
        <v>50</v>
      </c>
      <c r="Q606" s="16">
        <v>8</v>
      </c>
      <c r="R606" s="16" t="s">
        <v>16</v>
      </c>
      <c r="S606" s="40">
        <f>(VLOOKUP(P606,'[1]BOM Info General'!$A:$L,12,0))*Q606</f>
        <v>21.2</v>
      </c>
      <c r="T606" s="17" t="s">
        <v>24</v>
      </c>
      <c r="U606" s="17">
        <v>1</v>
      </c>
      <c r="V606" s="17" t="s">
        <v>25</v>
      </c>
      <c r="W606" s="17">
        <f>(VLOOKUP(T606,'[1]Simulation pricing per sub assy'!$D:$E,2,0))*U606</f>
        <v>6.44</v>
      </c>
      <c r="X606" s="18" t="s">
        <v>616</v>
      </c>
      <c r="Y606" s="18">
        <v>1</v>
      </c>
      <c r="Z606" s="18" t="s">
        <v>23</v>
      </c>
      <c r="AA606" s="18">
        <f>(VLOOKUP(X606,'[1]Simulation pricing per sub assy'!$D:$E,2,0))*Y606</f>
        <v>4.4802908000000006</v>
      </c>
    </row>
    <row r="607" spans="1:27" x14ac:dyDescent="0.35">
      <c r="A607" s="13" t="s">
        <v>287</v>
      </c>
      <c r="B607" s="13" t="s">
        <v>4199</v>
      </c>
      <c r="C607" s="42">
        <f t="shared" si="9"/>
        <v>284.67669080000002</v>
      </c>
      <c r="D607" s="14" t="s">
        <v>43</v>
      </c>
      <c r="E607" s="14">
        <v>2</v>
      </c>
      <c r="F607" s="14" t="s">
        <v>3983</v>
      </c>
      <c r="G607" s="14">
        <f>(VLOOKUP(D607,'[1]BOM Info General'!$A:$L,12,0))*E607</f>
        <v>130.12</v>
      </c>
      <c r="H607" s="15" t="s">
        <v>41</v>
      </c>
      <c r="I607" s="15">
        <v>1</v>
      </c>
      <c r="J607" s="15" t="s">
        <v>47</v>
      </c>
      <c r="K607" s="15">
        <f>(VLOOKUP(H607,'[1]BOM Info General'!$A:$L,12,0))*I607</f>
        <v>27.18</v>
      </c>
      <c r="L607" s="9" t="s">
        <v>524</v>
      </c>
      <c r="M607" s="9">
        <v>1</v>
      </c>
      <c r="N607" s="9" t="s">
        <v>70</v>
      </c>
      <c r="O607" s="9">
        <f>(VLOOKUP(L607,'[1]Simulation pricing per sub assy'!$D:$E,2,0))*M607</f>
        <v>94.656400000000033</v>
      </c>
      <c r="P607" s="16" t="s">
        <v>50</v>
      </c>
      <c r="Q607" s="16">
        <v>8</v>
      </c>
      <c r="R607" s="16" t="s">
        <v>16</v>
      </c>
      <c r="S607" s="40">
        <f>(VLOOKUP(P607,'[1]BOM Info General'!$A:$L,12,0))*Q607</f>
        <v>21.2</v>
      </c>
      <c r="T607" s="17" t="s">
        <v>26</v>
      </c>
      <c r="U607" s="17">
        <v>1</v>
      </c>
      <c r="V607" s="17" t="s">
        <v>27</v>
      </c>
      <c r="W607" s="17">
        <f>(VLOOKUP(T607,'[1]Simulation pricing per sub assy'!$D:$E,2,0))*U607</f>
        <v>7.04</v>
      </c>
      <c r="X607" s="18" t="s">
        <v>616</v>
      </c>
      <c r="Y607" s="18">
        <v>1</v>
      </c>
      <c r="Z607" s="18" t="s">
        <v>23</v>
      </c>
      <c r="AA607" s="18">
        <f>(VLOOKUP(X607,'[1]Simulation pricing per sub assy'!$D:$E,2,0))*Y607</f>
        <v>4.4802908000000006</v>
      </c>
    </row>
    <row r="608" spans="1:27" x14ac:dyDescent="0.35">
      <c r="A608" s="13" t="s">
        <v>143</v>
      </c>
      <c r="B608" s="13" t="s">
        <v>4200</v>
      </c>
      <c r="C608" s="42">
        <f t="shared" si="9"/>
        <v>285.77669080000004</v>
      </c>
      <c r="D608" s="14" t="s">
        <v>43</v>
      </c>
      <c r="E608" s="14">
        <v>2</v>
      </c>
      <c r="F608" s="14" t="s">
        <v>3983</v>
      </c>
      <c r="G608" s="14">
        <f>(VLOOKUP(D608,'[1]BOM Info General'!$A:$L,12,0))*E608</f>
        <v>130.12</v>
      </c>
      <c r="H608" s="15" t="s">
        <v>41</v>
      </c>
      <c r="I608" s="15">
        <v>1</v>
      </c>
      <c r="J608" s="15" t="s">
        <v>47</v>
      </c>
      <c r="K608" s="15">
        <f>(VLOOKUP(H608,'[1]BOM Info General'!$A:$L,12,0))*I608</f>
        <v>27.18</v>
      </c>
      <c r="L608" s="9" t="s">
        <v>67</v>
      </c>
      <c r="M608" s="9">
        <v>1</v>
      </c>
      <c r="N608" s="9" t="s">
        <v>64</v>
      </c>
      <c r="O608" s="9">
        <f>(VLOOKUP(L608,'[1]Simulation pricing per sub assy'!$D:$E,2,0))*M608</f>
        <v>95.756400000000042</v>
      </c>
      <c r="P608" s="16" t="s">
        <v>50</v>
      </c>
      <c r="Q608" s="16">
        <v>8</v>
      </c>
      <c r="R608" s="16" t="s">
        <v>16</v>
      </c>
      <c r="S608" s="40">
        <f>(VLOOKUP(P608,'[1]BOM Info General'!$A:$L,12,0))*Q608</f>
        <v>21.2</v>
      </c>
      <c r="T608" s="17" t="s">
        <v>26</v>
      </c>
      <c r="U608" s="17">
        <v>1</v>
      </c>
      <c r="V608" s="17" t="s">
        <v>27</v>
      </c>
      <c r="W608" s="17">
        <f>(VLOOKUP(T608,'[1]Simulation pricing per sub assy'!$D:$E,2,0))*U608</f>
        <v>7.04</v>
      </c>
      <c r="X608" s="18" t="s">
        <v>616</v>
      </c>
      <c r="Y608" s="18">
        <v>1</v>
      </c>
      <c r="Z608" s="18" t="s">
        <v>23</v>
      </c>
      <c r="AA608" s="18">
        <f>(VLOOKUP(X608,'[1]Simulation pricing per sub assy'!$D:$E,2,0))*Y608</f>
        <v>4.4802908000000006</v>
      </c>
    </row>
    <row r="609" spans="1:27" x14ac:dyDescent="0.35">
      <c r="A609" s="13" t="s">
        <v>215</v>
      </c>
      <c r="B609" s="13" t="s">
        <v>4201</v>
      </c>
      <c r="C609" s="42">
        <f t="shared" si="9"/>
        <v>285.77669080000004</v>
      </c>
      <c r="D609" s="14" t="s">
        <v>43</v>
      </c>
      <c r="E609" s="14">
        <v>2</v>
      </c>
      <c r="F609" s="14" t="s">
        <v>3983</v>
      </c>
      <c r="G609" s="14">
        <f>(VLOOKUP(D609,'[1]BOM Info General'!$A:$L,12,0))*E609</f>
        <v>130.12</v>
      </c>
      <c r="H609" s="15" t="s">
        <v>41</v>
      </c>
      <c r="I609" s="15">
        <v>1</v>
      </c>
      <c r="J609" s="15" t="s">
        <v>47</v>
      </c>
      <c r="K609" s="15">
        <f>(VLOOKUP(H609,'[1]BOM Info General'!$A:$L,12,0))*I609</f>
        <v>27.18</v>
      </c>
      <c r="L609" s="9" t="s">
        <v>63</v>
      </c>
      <c r="M609" s="9">
        <v>1</v>
      </c>
      <c r="N609" s="9" t="s">
        <v>62</v>
      </c>
      <c r="O609" s="9">
        <f>(VLOOKUP(L609,'[1]Simulation pricing per sub assy'!$D:$E,2,0))*M609</f>
        <v>95.756400000000042</v>
      </c>
      <c r="P609" s="16" t="s">
        <v>50</v>
      </c>
      <c r="Q609" s="16">
        <v>8</v>
      </c>
      <c r="R609" s="16" t="s">
        <v>16</v>
      </c>
      <c r="S609" s="40">
        <f>(VLOOKUP(P609,'[1]BOM Info General'!$A:$L,12,0))*Q609</f>
        <v>21.2</v>
      </c>
      <c r="T609" s="17" t="s">
        <v>26</v>
      </c>
      <c r="U609" s="17">
        <v>1</v>
      </c>
      <c r="V609" s="17" t="s">
        <v>27</v>
      </c>
      <c r="W609" s="17">
        <f>(VLOOKUP(T609,'[1]Simulation pricing per sub assy'!$D:$E,2,0))*U609</f>
        <v>7.04</v>
      </c>
      <c r="X609" s="18" t="s">
        <v>616</v>
      </c>
      <c r="Y609" s="18">
        <v>1</v>
      </c>
      <c r="Z609" s="18" t="s">
        <v>23</v>
      </c>
      <c r="AA609" s="18">
        <f>(VLOOKUP(X609,'[1]Simulation pricing per sub assy'!$D:$E,2,0))*Y609</f>
        <v>4.4802908000000006</v>
      </c>
    </row>
    <row r="610" spans="1:27" x14ac:dyDescent="0.35">
      <c r="A610" s="13" t="s">
        <v>179</v>
      </c>
      <c r="B610" s="13" t="s">
        <v>4202</v>
      </c>
      <c r="C610" s="42">
        <f t="shared" si="9"/>
        <v>285.22669080000003</v>
      </c>
      <c r="D610" s="14" t="s">
        <v>43</v>
      </c>
      <c r="E610" s="14">
        <v>2</v>
      </c>
      <c r="F610" s="14" t="s">
        <v>3983</v>
      </c>
      <c r="G610" s="14">
        <f>(VLOOKUP(D610,'[1]BOM Info General'!$A:$L,12,0))*E610</f>
        <v>130.12</v>
      </c>
      <c r="H610" s="15" t="s">
        <v>41</v>
      </c>
      <c r="I610" s="15">
        <v>1</v>
      </c>
      <c r="J610" s="15" t="s">
        <v>47</v>
      </c>
      <c r="K610" s="15">
        <f>(VLOOKUP(H610,'[1]BOM Info General'!$A:$L,12,0))*I610</f>
        <v>27.18</v>
      </c>
      <c r="L610" s="9" t="s">
        <v>69</v>
      </c>
      <c r="M610" s="9">
        <v>1</v>
      </c>
      <c r="N610" s="9" t="s">
        <v>66</v>
      </c>
      <c r="O610" s="9">
        <f>(VLOOKUP(L610,'[1]Simulation pricing per sub assy'!$D:$E,2,0))*M610</f>
        <v>95.206400000000031</v>
      </c>
      <c r="P610" s="16" t="s">
        <v>50</v>
      </c>
      <c r="Q610" s="16">
        <v>8</v>
      </c>
      <c r="R610" s="16" t="s">
        <v>16</v>
      </c>
      <c r="S610" s="40">
        <f>(VLOOKUP(P610,'[1]BOM Info General'!$A:$L,12,0))*Q610</f>
        <v>21.2</v>
      </c>
      <c r="T610" s="17" t="s">
        <v>26</v>
      </c>
      <c r="U610" s="17">
        <v>1</v>
      </c>
      <c r="V610" s="17" t="s">
        <v>27</v>
      </c>
      <c r="W610" s="17">
        <f>(VLOOKUP(T610,'[1]Simulation pricing per sub assy'!$D:$E,2,0))*U610</f>
        <v>7.04</v>
      </c>
      <c r="X610" s="18" t="s">
        <v>616</v>
      </c>
      <c r="Y610" s="18">
        <v>1</v>
      </c>
      <c r="Z610" s="18" t="s">
        <v>23</v>
      </c>
      <c r="AA610" s="18">
        <f>(VLOOKUP(X610,'[1]Simulation pricing per sub assy'!$D:$E,2,0))*Y610</f>
        <v>4.4802908000000006</v>
      </c>
    </row>
    <row r="611" spans="1:27" x14ac:dyDescent="0.35">
      <c r="A611" s="13" t="s">
        <v>251</v>
      </c>
      <c r="B611" s="13" t="s">
        <v>4203</v>
      </c>
      <c r="C611" s="42">
        <f t="shared" si="9"/>
        <v>293.18669080000001</v>
      </c>
      <c r="D611" s="14" t="s">
        <v>43</v>
      </c>
      <c r="E611" s="14">
        <v>2</v>
      </c>
      <c r="F611" s="14" t="s">
        <v>3983</v>
      </c>
      <c r="G611" s="14">
        <f>(VLOOKUP(D611,'[1]BOM Info General'!$A:$L,12,0))*E611</f>
        <v>130.12</v>
      </c>
      <c r="H611" s="15" t="s">
        <v>41</v>
      </c>
      <c r="I611" s="15">
        <v>1</v>
      </c>
      <c r="J611" s="15" t="s">
        <v>47</v>
      </c>
      <c r="K611" s="15">
        <f>(VLOOKUP(H611,'[1]BOM Info General'!$A:$L,12,0))*I611</f>
        <v>27.18</v>
      </c>
      <c r="L611" s="9" t="s">
        <v>65</v>
      </c>
      <c r="M611" s="9">
        <v>1</v>
      </c>
      <c r="N611" s="9" t="s">
        <v>68</v>
      </c>
      <c r="O611" s="9">
        <f>(VLOOKUP(L611,'[1]Simulation pricing per sub assy'!$D:$E,2,0))*M611</f>
        <v>103.16640000000004</v>
      </c>
      <c r="P611" s="16" t="s">
        <v>50</v>
      </c>
      <c r="Q611" s="16">
        <v>8</v>
      </c>
      <c r="R611" s="16" t="s">
        <v>16</v>
      </c>
      <c r="S611" s="40">
        <f>(VLOOKUP(P611,'[1]BOM Info General'!$A:$L,12,0))*Q611</f>
        <v>21.2</v>
      </c>
      <c r="T611" s="17" t="s">
        <v>26</v>
      </c>
      <c r="U611" s="17">
        <v>1</v>
      </c>
      <c r="V611" s="17" t="s">
        <v>27</v>
      </c>
      <c r="W611" s="17">
        <f>(VLOOKUP(T611,'[1]Simulation pricing per sub assy'!$D:$E,2,0))*U611</f>
        <v>7.04</v>
      </c>
      <c r="X611" s="18" t="s">
        <v>616</v>
      </c>
      <c r="Y611" s="18">
        <v>1</v>
      </c>
      <c r="Z611" s="18" t="s">
        <v>23</v>
      </c>
      <c r="AA611" s="18">
        <f>(VLOOKUP(X611,'[1]Simulation pricing per sub assy'!$D:$E,2,0))*Y611</f>
        <v>4.4802908000000006</v>
      </c>
    </row>
    <row r="612" spans="1:27" x14ac:dyDescent="0.35">
      <c r="A612" s="13" t="s">
        <v>288</v>
      </c>
      <c r="B612" s="13" t="s">
        <v>4204</v>
      </c>
      <c r="C612" s="42">
        <f t="shared" si="9"/>
        <v>284.6366908</v>
      </c>
      <c r="D612" s="14" t="s">
        <v>43</v>
      </c>
      <c r="E612" s="14">
        <v>2</v>
      </c>
      <c r="F612" s="14" t="s">
        <v>3983</v>
      </c>
      <c r="G612" s="14">
        <f>(VLOOKUP(D612,'[1]BOM Info General'!$A:$L,12,0))*E612</f>
        <v>130.12</v>
      </c>
      <c r="H612" s="15" t="s">
        <v>41</v>
      </c>
      <c r="I612" s="15">
        <v>1</v>
      </c>
      <c r="J612" s="15" t="s">
        <v>47</v>
      </c>
      <c r="K612" s="15">
        <f>(VLOOKUP(H612,'[1]BOM Info General'!$A:$L,12,0))*I612</f>
        <v>27.18</v>
      </c>
      <c r="L612" s="9" t="s">
        <v>524</v>
      </c>
      <c r="M612" s="9">
        <v>1</v>
      </c>
      <c r="N612" s="9" t="s">
        <v>70</v>
      </c>
      <c r="O612" s="9">
        <f>(VLOOKUP(L612,'[1]Simulation pricing per sub assy'!$D:$E,2,0))*M612</f>
        <v>94.656400000000033</v>
      </c>
      <c r="P612" s="16" t="s">
        <v>50</v>
      </c>
      <c r="Q612" s="16">
        <v>8</v>
      </c>
      <c r="R612" s="16" t="s">
        <v>16</v>
      </c>
      <c r="S612" s="40">
        <f>(VLOOKUP(P612,'[1]BOM Info General'!$A:$L,12,0))*Q612</f>
        <v>21.2</v>
      </c>
      <c r="T612" s="17" t="s">
        <v>28</v>
      </c>
      <c r="U612" s="17">
        <v>1</v>
      </c>
      <c r="V612" s="17" t="s">
        <v>29</v>
      </c>
      <c r="W612" s="17">
        <f>(VLOOKUP(T612,'[1]Simulation pricing per sub assy'!$D:$E,2,0))*U612</f>
        <v>7</v>
      </c>
      <c r="X612" s="18" t="s">
        <v>616</v>
      </c>
      <c r="Y612" s="18">
        <v>1</v>
      </c>
      <c r="Z612" s="18" t="s">
        <v>23</v>
      </c>
      <c r="AA612" s="18">
        <f>(VLOOKUP(X612,'[1]Simulation pricing per sub assy'!$D:$E,2,0))*Y612</f>
        <v>4.4802908000000006</v>
      </c>
    </row>
    <row r="613" spans="1:27" x14ac:dyDescent="0.35">
      <c r="A613" s="13" t="s">
        <v>144</v>
      </c>
      <c r="B613" s="13" t="s">
        <v>4205</v>
      </c>
      <c r="C613" s="42">
        <f t="shared" si="9"/>
        <v>285.73669080000002</v>
      </c>
      <c r="D613" s="14" t="s">
        <v>43</v>
      </c>
      <c r="E613" s="14">
        <v>2</v>
      </c>
      <c r="F613" s="14" t="s">
        <v>3983</v>
      </c>
      <c r="G613" s="14">
        <f>(VLOOKUP(D613,'[1]BOM Info General'!$A:$L,12,0))*E613</f>
        <v>130.12</v>
      </c>
      <c r="H613" s="15" t="s">
        <v>41</v>
      </c>
      <c r="I613" s="15">
        <v>1</v>
      </c>
      <c r="J613" s="15" t="s">
        <v>47</v>
      </c>
      <c r="K613" s="15">
        <f>(VLOOKUP(H613,'[1]BOM Info General'!$A:$L,12,0))*I613</f>
        <v>27.18</v>
      </c>
      <c r="L613" s="9" t="s">
        <v>67</v>
      </c>
      <c r="M613" s="9">
        <v>1</v>
      </c>
      <c r="N613" s="9" t="s">
        <v>64</v>
      </c>
      <c r="O613" s="9">
        <f>(VLOOKUP(L613,'[1]Simulation pricing per sub assy'!$D:$E,2,0))*M613</f>
        <v>95.756400000000042</v>
      </c>
      <c r="P613" s="16" t="s">
        <v>50</v>
      </c>
      <c r="Q613" s="16">
        <v>8</v>
      </c>
      <c r="R613" s="16" t="s">
        <v>16</v>
      </c>
      <c r="S613" s="40">
        <f>(VLOOKUP(P613,'[1]BOM Info General'!$A:$L,12,0))*Q613</f>
        <v>21.2</v>
      </c>
      <c r="T613" s="17" t="s">
        <v>28</v>
      </c>
      <c r="U613" s="17">
        <v>1</v>
      </c>
      <c r="V613" s="17" t="s">
        <v>29</v>
      </c>
      <c r="W613" s="17">
        <f>(VLOOKUP(T613,'[1]Simulation pricing per sub assy'!$D:$E,2,0))*U613</f>
        <v>7</v>
      </c>
      <c r="X613" s="18" t="s">
        <v>616</v>
      </c>
      <c r="Y613" s="18">
        <v>1</v>
      </c>
      <c r="Z613" s="18" t="s">
        <v>23</v>
      </c>
      <c r="AA613" s="18">
        <f>(VLOOKUP(X613,'[1]Simulation pricing per sub assy'!$D:$E,2,0))*Y613</f>
        <v>4.4802908000000006</v>
      </c>
    </row>
    <row r="614" spans="1:27" x14ac:dyDescent="0.35">
      <c r="A614" s="13" t="s">
        <v>216</v>
      </c>
      <c r="B614" s="13" t="s">
        <v>4206</v>
      </c>
      <c r="C614" s="42">
        <f t="shared" si="9"/>
        <v>285.73669080000002</v>
      </c>
      <c r="D614" s="14" t="s">
        <v>43</v>
      </c>
      <c r="E614" s="14">
        <v>2</v>
      </c>
      <c r="F614" s="14" t="s">
        <v>3983</v>
      </c>
      <c r="G614" s="14">
        <f>(VLOOKUP(D614,'[1]BOM Info General'!$A:$L,12,0))*E614</f>
        <v>130.12</v>
      </c>
      <c r="H614" s="15" t="s">
        <v>41</v>
      </c>
      <c r="I614" s="15">
        <v>1</v>
      </c>
      <c r="J614" s="15" t="s">
        <v>47</v>
      </c>
      <c r="K614" s="15">
        <f>(VLOOKUP(H614,'[1]BOM Info General'!$A:$L,12,0))*I614</f>
        <v>27.18</v>
      </c>
      <c r="L614" s="9" t="s">
        <v>63</v>
      </c>
      <c r="M614" s="9">
        <v>1</v>
      </c>
      <c r="N614" s="9" t="s">
        <v>62</v>
      </c>
      <c r="O614" s="9">
        <f>(VLOOKUP(L614,'[1]Simulation pricing per sub assy'!$D:$E,2,0))*M614</f>
        <v>95.756400000000042</v>
      </c>
      <c r="P614" s="16" t="s">
        <v>50</v>
      </c>
      <c r="Q614" s="16">
        <v>8</v>
      </c>
      <c r="R614" s="16" t="s">
        <v>16</v>
      </c>
      <c r="S614" s="40">
        <f>(VLOOKUP(P614,'[1]BOM Info General'!$A:$L,12,0))*Q614</f>
        <v>21.2</v>
      </c>
      <c r="T614" s="17" t="s">
        <v>28</v>
      </c>
      <c r="U614" s="17">
        <v>1</v>
      </c>
      <c r="V614" s="17" t="s">
        <v>29</v>
      </c>
      <c r="W614" s="17">
        <f>(VLOOKUP(T614,'[1]Simulation pricing per sub assy'!$D:$E,2,0))*U614</f>
        <v>7</v>
      </c>
      <c r="X614" s="18" t="s">
        <v>616</v>
      </c>
      <c r="Y614" s="18">
        <v>1</v>
      </c>
      <c r="Z614" s="18" t="s">
        <v>23</v>
      </c>
      <c r="AA614" s="18">
        <f>(VLOOKUP(X614,'[1]Simulation pricing per sub assy'!$D:$E,2,0))*Y614</f>
        <v>4.4802908000000006</v>
      </c>
    </row>
    <row r="615" spans="1:27" x14ac:dyDescent="0.35">
      <c r="A615" s="13" t="s">
        <v>180</v>
      </c>
      <c r="B615" s="13" t="s">
        <v>4207</v>
      </c>
      <c r="C615" s="42">
        <f t="shared" si="9"/>
        <v>285.18669080000001</v>
      </c>
      <c r="D615" s="14" t="s">
        <v>43</v>
      </c>
      <c r="E615" s="14">
        <v>2</v>
      </c>
      <c r="F615" s="14" t="s">
        <v>3983</v>
      </c>
      <c r="G615" s="14">
        <f>(VLOOKUP(D615,'[1]BOM Info General'!$A:$L,12,0))*E615</f>
        <v>130.12</v>
      </c>
      <c r="H615" s="15" t="s">
        <v>41</v>
      </c>
      <c r="I615" s="15">
        <v>1</v>
      </c>
      <c r="J615" s="15" t="s">
        <v>47</v>
      </c>
      <c r="K615" s="15">
        <f>(VLOOKUP(H615,'[1]BOM Info General'!$A:$L,12,0))*I615</f>
        <v>27.18</v>
      </c>
      <c r="L615" s="9" t="s">
        <v>69</v>
      </c>
      <c r="M615" s="9">
        <v>1</v>
      </c>
      <c r="N615" s="9" t="s">
        <v>66</v>
      </c>
      <c r="O615" s="9">
        <f>(VLOOKUP(L615,'[1]Simulation pricing per sub assy'!$D:$E,2,0))*M615</f>
        <v>95.206400000000031</v>
      </c>
      <c r="P615" s="16" t="s">
        <v>50</v>
      </c>
      <c r="Q615" s="16">
        <v>8</v>
      </c>
      <c r="R615" s="16" t="s">
        <v>16</v>
      </c>
      <c r="S615" s="40">
        <f>(VLOOKUP(P615,'[1]BOM Info General'!$A:$L,12,0))*Q615</f>
        <v>21.2</v>
      </c>
      <c r="T615" s="17" t="s">
        <v>28</v>
      </c>
      <c r="U615" s="17">
        <v>1</v>
      </c>
      <c r="V615" s="17" t="s">
        <v>29</v>
      </c>
      <c r="W615" s="17">
        <f>(VLOOKUP(T615,'[1]Simulation pricing per sub assy'!$D:$E,2,0))*U615</f>
        <v>7</v>
      </c>
      <c r="X615" s="18" t="s">
        <v>616</v>
      </c>
      <c r="Y615" s="18">
        <v>1</v>
      </c>
      <c r="Z615" s="18" t="s">
        <v>23</v>
      </c>
      <c r="AA615" s="18">
        <f>(VLOOKUP(X615,'[1]Simulation pricing per sub assy'!$D:$E,2,0))*Y615</f>
        <v>4.4802908000000006</v>
      </c>
    </row>
    <row r="616" spans="1:27" x14ac:dyDescent="0.35">
      <c r="A616" s="13" t="s">
        <v>252</v>
      </c>
      <c r="B616" s="13" t="s">
        <v>4208</v>
      </c>
      <c r="C616" s="42">
        <f t="shared" si="9"/>
        <v>293.14669079999999</v>
      </c>
      <c r="D616" s="14" t="s">
        <v>43</v>
      </c>
      <c r="E616" s="14">
        <v>2</v>
      </c>
      <c r="F616" s="14" t="s">
        <v>3983</v>
      </c>
      <c r="G616" s="14">
        <f>(VLOOKUP(D616,'[1]BOM Info General'!$A:$L,12,0))*E616</f>
        <v>130.12</v>
      </c>
      <c r="H616" s="15" t="s">
        <v>41</v>
      </c>
      <c r="I616" s="15">
        <v>1</v>
      </c>
      <c r="J616" s="15" t="s">
        <v>47</v>
      </c>
      <c r="K616" s="15">
        <f>(VLOOKUP(H616,'[1]BOM Info General'!$A:$L,12,0))*I616</f>
        <v>27.18</v>
      </c>
      <c r="L616" s="9" t="s">
        <v>65</v>
      </c>
      <c r="M616" s="9">
        <v>1</v>
      </c>
      <c r="N616" s="9" t="s">
        <v>68</v>
      </c>
      <c r="O616" s="9">
        <f>(VLOOKUP(L616,'[1]Simulation pricing per sub assy'!$D:$E,2,0))*M616</f>
        <v>103.16640000000004</v>
      </c>
      <c r="P616" s="16" t="s">
        <v>50</v>
      </c>
      <c r="Q616" s="16">
        <v>8</v>
      </c>
      <c r="R616" s="16" t="s">
        <v>16</v>
      </c>
      <c r="S616" s="40">
        <f>(VLOOKUP(P616,'[1]BOM Info General'!$A:$L,12,0))*Q616</f>
        <v>21.2</v>
      </c>
      <c r="T616" s="17" t="s">
        <v>28</v>
      </c>
      <c r="U616" s="17">
        <v>1</v>
      </c>
      <c r="V616" s="17" t="s">
        <v>29</v>
      </c>
      <c r="W616" s="17">
        <f>(VLOOKUP(T616,'[1]Simulation pricing per sub assy'!$D:$E,2,0))*U616</f>
        <v>7</v>
      </c>
      <c r="X616" s="18" t="s">
        <v>616</v>
      </c>
      <c r="Y616" s="18">
        <v>1</v>
      </c>
      <c r="Z616" s="18" t="s">
        <v>23</v>
      </c>
      <c r="AA616" s="18">
        <f>(VLOOKUP(X616,'[1]Simulation pricing per sub assy'!$D:$E,2,0))*Y616</f>
        <v>4.4802908000000006</v>
      </c>
    </row>
    <row r="617" spans="1:27" x14ac:dyDescent="0.35">
      <c r="A617" s="13" t="s">
        <v>289</v>
      </c>
      <c r="B617" s="13" t="s">
        <v>4209</v>
      </c>
      <c r="C617" s="42">
        <f t="shared" si="9"/>
        <v>284.07669079999999</v>
      </c>
      <c r="D617" s="14" t="s">
        <v>43</v>
      </c>
      <c r="E617" s="14">
        <v>2</v>
      </c>
      <c r="F617" s="14" t="s">
        <v>3983</v>
      </c>
      <c r="G617" s="14">
        <f>(VLOOKUP(D617,'[1]BOM Info General'!$A:$L,12,0))*E617</f>
        <v>130.12</v>
      </c>
      <c r="H617" s="15" t="s">
        <v>41</v>
      </c>
      <c r="I617" s="15">
        <v>1</v>
      </c>
      <c r="J617" s="15" t="s">
        <v>47</v>
      </c>
      <c r="K617" s="15">
        <f>(VLOOKUP(H617,'[1]BOM Info General'!$A:$L,12,0))*I617</f>
        <v>27.18</v>
      </c>
      <c r="L617" s="9" t="s">
        <v>524</v>
      </c>
      <c r="M617" s="9">
        <v>1</v>
      </c>
      <c r="N617" s="9" t="s">
        <v>70</v>
      </c>
      <c r="O617" s="9">
        <f>(VLOOKUP(L617,'[1]Simulation pricing per sub assy'!$D:$E,2,0))*M617</f>
        <v>94.656400000000033</v>
      </c>
      <c r="P617" s="16" t="s">
        <v>51</v>
      </c>
      <c r="Q617" s="16">
        <v>8</v>
      </c>
      <c r="R617" s="16" t="s">
        <v>17</v>
      </c>
      <c r="S617" s="40">
        <f>(VLOOKUP(P617,'[1]BOM Info General'!$A:$L,12,0))*Q617</f>
        <v>21.2</v>
      </c>
      <c r="T617" s="17" t="s">
        <v>24</v>
      </c>
      <c r="U617" s="17">
        <v>1</v>
      </c>
      <c r="V617" s="17" t="s">
        <v>25</v>
      </c>
      <c r="W617" s="17">
        <f>(VLOOKUP(T617,'[1]Simulation pricing per sub assy'!$D:$E,2,0))*U617</f>
        <v>6.44</v>
      </c>
      <c r="X617" s="18" t="s">
        <v>616</v>
      </c>
      <c r="Y617" s="18">
        <v>1</v>
      </c>
      <c r="Z617" s="18" t="s">
        <v>23</v>
      </c>
      <c r="AA617" s="18">
        <f>(VLOOKUP(X617,'[1]Simulation pricing per sub assy'!$D:$E,2,0))*Y617</f>
        <v>4.4802908000000006</v>
      </c>
    </row>
    <row r="618" spans="1:27" x14ac:dyDescent="0.35">
      <c r="A618" s="13" t="s">
        <v>145</v>
      </c>
      <c r="B618" s="13" t="s">
        <v>4210</v>
      </c>
      <c r="C618" s="42">
        <f t="shared" si="9"/>
        <v>285.17669080000002</v>
      </c>
      <c r="D618" s="14" t="s">
        <v>43</v>
      </c>
      <c r="E618" s="14">
        <v>2</v>
      </c>
      <c r="F618" s="14" t="s">
        <v>3983</v>
      </c>
      <c r="G618" s="14">
        <f>(VLOOKUP(D618,'[1]BOM Info General'!$A:$L,12,0))*E618</f>
        <v>130.12</v>
      </c>
      <c r="H618" s="15" t="s">
        <v>41</v>
      </c>
      <c r="I618" s="15">
        <v>1</v>
      </c>
      <c r="J618" s="15" t="s">
        <v>47</v>
      </c>
      <c r="K618" s="15">
        <f>(VLOOKUP(H618,'[1]BOM Info General'!$A:$L,12,0))*I618</f>
        <v>27.18</v>
      </c>
      <c r="L618" s="9" t="s">
        <v>67</v>
      </c>
      <c r="M618" s="9">
        <v>1</v>
      </c>
      <c r="N618" s="9" t="s">
        <v>64</v>
      </c>
      <c r="O618" s="9">
        <f>(VLOOKUP(L618,'[1]Simulation pricing per sub assy'!$D:$E,2,0))*M618</f>
        <v>95.756400000000042</v>
      </c>
      <c r="P618" s="16" t="s">
        <v>51</v>
      </c>
      <c r="Q618" s="16">
        <v>8</v>
      </c>
      <c r="R618" s="16" t="s">
        <v>17</v>
      </c>
      <c r="S618" s="40">
        <f>(VLOOKUP(P618,'[1]BOM Info General'!$A:$L,12,0))*Q618</f>
        <v>21.2</v>
      </c>
      <c r="T618" s="17" t="s">
        <v>24</v>
      </c>
      <c r="U618" s="17">
        <v>1</v>
      </c>
      <c r="V618" s="17" t="s">
        <v>25</v>
      </c>
      <c r="W618" s="17">
        <f>(VLOOKUP(T618,'[1]Simulation pricing per sub assy'!$D:$E,2,0))*U618</f>
        <v>6.44</v>
      </c>
      <c r="X618" s="18" t="s">
        <v>616</v>
      </c>
      <c r="Y618" s="18">
        <v>1</v>
      </c>
      <c r="Z618" s="18" t="s">
        <v>23</v>
      </c>
      <c r="AA618" s="18">
        <f>(VLOOKUP(X618,'[1]Simulation pricing per sub assy'!$D:$E,2,0))*Y618</f>
        <v>4.4802908000000006</v>
      </c>
    </row>
    <row r="619" spans="1:27" x14ac:dyDescent="0.35">
      <c r="A619" s="13" t="s">
        <v>217</v>
      </c>
      <c r="B619" s="13" t="s">
        <v>4211</v>
      </c>
      <c r="C619" s="42">
        <f t="shared" si="9"/>
        <v>285.17669080000002</v>
      </c>
      <c r="D619" s="14" t="s">
        <v>43</v>
      </c>
      <c r="E619" s="14">
        <v>2</v>
      </c>
      <c r="F619" s="14" t="s">
        <v>3983</v>
      </c>
      <c r="G619" s="14">
        <f>(VLOOKUP(D619,'[1]BOM Info General'!$A:$L,12,0))*E619</f>
        <v>130.12</v>
      </c>
      <c r="H619" s="15" t="s">
        <v>41</v>
      </c>
      <c r="I619" s="15">
        <v>1</v>
      </c>
      <c r="J619" s="15" t="s">
        <v>47</v>
      </c>
      <c r="K619" s="15">
        <f>(VLOOKUP(H619,'[1]BOM Info General'!$A:$L,12,0))*I619</f>
        <v>27.18</v>
      </c>
      <c r="L619" s="9" t="s">
        <v>63</v>
      </c>
      <c r="M619" s="9">
        <v>1</v>
      </c>
      <c r="N619" s="9" t="s">
        <v>62</v>
      </c>
      <c r="O619" s="9">
        <f>(VLOOKUP(L619,'[1]Simulation pricing per sub assy'!$D:$E,2,0))*M619</f>
        <v>95.756400000000042</v>
      </c>
      <c r="P619" s="16" t="s">
        <v>51</v>
      </c>
      <c r="Q619" s="16">
        <v>8</v>
      </c>
      <c r="R619" s="16" t="s">
        <v>17</v>
      </c>
      <c r="S619" s="40">
        <f>(VLOOKUP(P619,'[1]BOM Info General'!$A:$L,12,0))*Q619</f>
        <v>21.2</v>
      </c>
      <c r="T619" s="17" t="s">
        <v>24</v>
      </c>
      <c r="U619" s="17">
        <v>1</v>
      </c>
      <c r="V619" s="17" t="s">
        <v>25</v>
      </c>
      <c r="W619" s="17">
        <f>(VLOOKUP(T619,'[1]Simulation pricing per sub assy'!$D:$E,2,0))*U619</f>
        <v>6.44</v>
      </c>
      <c r="X619" s="18" t="s">
        <v>616</v>
      </c>
      <c r="Y619" s="18">
        <v>1</v>
      </c>
      <c r="Z619" s="18" t="s">
        <v>23</v>
      </c>
      <c r="AA619" s="18">
        <f>(VLOOKUP(X619,'[1]Simulation pricing per sub assy'!$D:$E,2,0))*Y619</f>
        <v>4.4802908000000006</v>
      </c>
    </row>
    <row r="620" spans="1:27" x14ac:dyDescent="0.35">
      <c r="A620" s="13" t="s">
        <v>181</v>
      </c>
      <c r="B620" s="13" t="s">
        <v>4212</v>
      </c>
      <c r="C620" s="42">
        <f t="shared" si="9"/>
        <v>284.62669080000001</v>
      </c>
      <c r="D620" s="14" t="s">
        <v>43</v>
      </c>
      <c r="E620" s="14">
        <v>2</v>
      </c>
      <c r="F620" s="14" t="s">
        <v>3983</v>
      </c>
      <c r="G620" s="14">
        <f>(VLOOKUP(D620,'[1]BOM Info General'!$A:$L,12,0))*E620</f>
        <v>130.12</v>
      </c>
      <c r="H620" s="15" t="s">
        <v>41</v>
      </c>
      <c r="I620" s="15">
        <v>1</v>
      </c>
      <c r="J620" s="15" t="s">
        <v>47</v>
      </c>
      <c r="K620" s="15">
        <f>(VLOOKUP(H620,'[1]BOM Info General'!$A:$L,12,0))*I620</f>
        <v>27.18</v>
      </c>
      <c r="L620" s="9" t="s">
        <v>69</v>
      </c>
      <c r="M620" s="9">
        <v>1</v>
      </c>
      <c r="N620" s="9" t="s">
        <v>66</v>
      </c>
      <c r="O620" s="9">
        <f>(VLOOKUP(L620,'[1]Simulation pricing per sub assy'!$D:$E,2,0))*M620</f>
        <v>95.206400000000031</v>
      </c>
      <c r="P620" s="16" t="s">
        <v>51</v>
      </c>
      <c r="Q620" s="16">
        <v>8</v>
      </c>
      <c r="R620" s="16" t="s">
        <v>17</v>
      </c>
      <c r="S620" s="40">
        <f>(VLOOKUP(P620,'[1]BOM Info General'!$A:$L,12,0))*Q620</f>
        <v>21.2</v>
      </c>
      <c r="T620" s="17" t="s">
        <v>24</v>
      </c>
      <c r="U620" s="17">
        <v>1</v>
      </c>
      <c r="V620" s="17" t="s">
        <v>25</v>
      </c>
      <c r="W620" s="17">
        <f>(VLOOKUP(T620,'[1]Simulation pricing per sub assy'!$D:$E,2,0))*U620</f>
        <v>6.44</v>
      </c>
      <c r="X620" s="18" t="s">
        <v>616</v>
      </c>
      <c r="Y620" s="18">
        <v>1</v>
      </c>
      <c r="Z620" s="18" t="s">
        <v>23</v>
      </c>
      <c r="AA620" s="18">
        <f>(VLOOKUP(X620,'[1]Simulation pricing per sub assy'!$D:$E,2,0))*Y620</f>
        <v>4.4802908000000006</v>
      </c>
    </row>
    <row r="621" spans="1:27" x14ac:dyDescent="0.35">
      <c r="A621" s="13" t="s">
        <v>253</v>
      </c>
      <c r="B621" s="13" t="s">
        <v>4213</v>
      </c>
      <c r="C621" s="42">
        <f t="shared" si="9"/>
        <v>292.58669079999999</v>
      </c>
      <c r="D621" s="14" t="s">
        <v>43</v>
      </c>
      <c r="E621" s="14">
        <v>2</v>
      </c>
      <c r="F621" s="14" t="s">
        <v>3983</v>
      </c>
      <c r="G621" s="14">
        <f>(VLOOKUP(D621,'[1]BOM Info General'!$A:$L,12,0))*E621</f>
        <v>130.12</v>
      </c>
      <c r="H621" s="15" t="s">
        <v>41</v>
      </c>
      <c r="I621" s="15">
        <v>1</v>
      </c>
      <c r="J621" s="15" t="s">
        <v>47</v>
      </c>
      <c r="K621" s="15">
        <f>(VLOOKUP(H621,'[1]BOM Info General'!$A:$L,12,0))*I621</f>
        <v>27.18</v>
      </c>
      <c r="L621" s="9" t="s">
        <v>65</v>
      </c>
      <c r="M621" s="9">
        <v>1</v>
      </c>
      <c r="N621" s="9" t="s">
        <v>68</v>
      </c>
      <c r="O621" s="9">
        <f>(VLOOKUP(L621,'[1]Simulation pricing per sub assy'!$D:$E,2,0))*M621</f>
        <v>103.16640000000004</v>
      </c>
      <c r="P621" s="16" t="s">
        <v>51</v>
      </c>
      <c r="Q621" s="16">
        <v>8</v>
      </c>
      <c r="R621" s="16" t="s">
        <v>17</v>
      </c>
      <c r="S621" s="40">
        <f>(VLOOKUP(P621,'[1]BOM Info General'!$A:$L,12,0))*Q621</f>
        <v>21.2</v>
      </c>
      <c r="T621" s="17" t="s">
        <v>24</v>
      </c>
      <c r="U621" s="17">
        <v>1</v>
      </c>
      <c r="V621" s="17" t="s">
        <v>25</v>
      </c>
      <c r="W621" s="17">
        <f>(VLOOKUP(T621,'[1]Simulation pricing per sub assy'!$D:$E,2,0))*U621</f>
        <v>6.44</v>
      </c>
      <c r="X621" s="18" t="s">
        <v>616</v>
      </c>
      <c r="Y621" s="18">
        <v>1</v>
      </c>
      <c r="Z621" s="18" t="s">
        <v>23</v>
      </c>
      <c r="AA621" s="18">
        <f>(VLOOKUP(X621,'[1]Simulation pricing per sub assy'!$D:$E,2,0))*Y621</f>
        <v>4.4802908000000006</v>
      </c>
    </row>
    <row r="622" spans="1:27" x14ac:dyDescent="0.35">
      <c r="A622" s="13" t="s">
        <v>290</v>
      </c>
      <c r="B622" s="13" t="s">
        <v>4214</v>
      </c>
      <c r="C622" s="42">
        <f t="shared" si="9"/>
        <v>284.67669080000002</v>
      </c>
      <c r="D622" s="14" t="s">
        <v>43</v>
      </c>
      <c r="E622" s="14">
        <v>2</v>
      </c>
      <c r="F622" s="14" t="s">
        <v>3983</v>
      </c>
      <c r="G622" s="14">
        <f>(VLOOKUP(D622,'[1]BOM Info General'!$A:$L,12,0))*E622</f>
        <v>130.12</v>
      </c>
      <c r="H622" s="15" t="s">
        <v>41</v>
      </c>
      <c r="I622" s="15">
        <v>1</v>
      </c>
      <c r="J622" s="15" t="s">
        <v>47</v>
      </c>
      <c r="K622" s="15">
        <f>(VLOOKUP(H622,'[1]BOM Info General'!$A:$L,12,0))*I622</f>
        <v>27.18</v>
      </c>
      <c r="L622" s="9" t="s">
        <v>524</v>
      </c>
      <c r="M622" s="9">
        <v>1</v>
      </c>
      <c r="N622" s="9" t="s">
        <v>70</v>
      </c>
      <c r="O622" s="9">
        <f>(VLOOKUP(L622,'[1]Simulation pricing per sub assy'!$D:$E,2,0))*M622</f>
        <v>94.656400000000033</v>
      </c>
      <c r="P622" s="16" t="s">
        <v>51</v>
      </c>
      <c r="Q622" s="16">
        <v>8</v>
      </c>
      <c r="R622" s="16" t="s">
        <v>17</v>
      </c>
      <c r="S622" s="40">
        <f>(VLOOKUP(P622,'[1]BOM Info General'!$A:$L,12,0))*Q622</f>
        <v>21.2</v>
      </c>
      <c r="T622" s="17" t="s">
        <v>26</v>
      </c>
      <c r="U622" s="17">
        <v>1</v>
      </c>
      <c r="V622" s="17" t="s">
        <v>27</v>
      </c>
      <c r="W622" s="17">
        <f>(VLOOKUP(T622,'[1]Simulation pricing per sub assy'!$D:$E,2,0))*U622</f>
        <v>7.04</v>
      </c>
      <c r="X622" s="18" t="s">
        <v>616</v>
      </c>
      <c r="Y622" s="18">
        <v>1</v>
      </c>
      <c r="Z622" s="18" t="s">
        <v>23</v>
      </c>
      <c r="AA622" s="18">
        <f>(VLOOKUP(X622,'[1]Simulation pricing per sub assy'!$D:$E,2,0))*Y622</f>
        <v>4.4802908000000006</v>
      </c>
    </row>
    <row r="623" spans="1:27" x14ac:dyDescent="0.35">
      <c r="A623" s="13" t="s">
        <v>146</v>
      </c>
      <c r="B623" s="13" t="s">
        <v>4215</v>
      </c>
      <c r="C623" s="42">
        <f t="shared" si="9"/>
        <v>285.77669080000004</v>
      </c>
      <c r="D623" s="14" t="s">
        <v>43</v>
      </c>
      <c r="E623" s="14">
        <v>2</v>
      </c>
      <c r="F623" s="14" t="s">
        <v>3983</v>
      </c>
      <c r="G623" s="14">
        <f>(VLOOKUP(D623,'[1]BOM Info General'!$A:$L,12,0))*E623</f>
        <v>130.12</v>
      </c>
      <c r="H623" s="15" t="s">
        <v>41</v>
      </c>
      <c r="I623" s="15">
        <v>1</v>
      </c>
      <c r="J623" s="15" t="s">
        <v>47</v>
      </c>
      <c r="K623" s="15">
        <f>(VLOOKUP(H623,'[1]BOM Info General'!$A:$L,12,0))*I623</f>
        <v>27.18</v>
      </c>
      <c r="L623" s="9" t="s">
        <v>67</v>
      </c>
      <c r="M623" s="9">
        <v>1</v>
      </c>
      <c r="N623" s="9" t="s">
        <v>64</v>
      </c>
      <c r="O623" s="9">
        <f>(VLOOKUP(L623,'[1]Simulation pricing per sub assy'!$D:$E,2,0))*M623</f>
        <v>95.756400000000042</v>
      </c>
      <c r="P623" s="16" t="s">
        <v>51</v>
      </c>
      <c r="Q623" s="16">
        <v>8</v>
      </c>
      <c r="R623" s="16" t="s">
        <v>17</v>
      </c>
      <c r="S623" s="40">
        <f>(VLOOKUP(P623,'[1]BOM Info General'!$A:$L,12,0))*Q623</f>
        <v>21.2</v>
      </c>
      <c r="T623" s="17" t="s">
        <v>26</v>
      </c>
      <c r="U623" s="17">
        <v>1</v>
      </c>
      <c r="V623" s="17" t="s">
        <v>27</v>
      </c>
      <c r="W623" s="17">
        <f>(VLOOKUP(T623,'[1]Simulation pricing per sub assy'!$D:$E,2,0))*U623</f>
        <v>7.04</v>
      </c>
      <c r="X623" s="18" t="s">
        <v>616</v>
      </c>
      <c r="Y623" s="18">
        <v>1</v>
      </c>
      <c r="Z623" s="18" t="s">
        <v>23</v>
      </c>
      <c r="AA623" s="18">
        <f>(VLOOKUP(X623,'[1]Simulation pricing per sub assy'!$D:$E,2,0))*Y623</f>
        <v>4.4802908000000006</v>
      </c>
    </row>
    <row r="624" spans="1:27" x14ac:dyDescent="0.35">
      <c r="A624" s="13" t="s">
        <v>218</v>
      </c>
      <c r="B624" s="13" t="s">
        <v>4216</v>
      </c>
      <c r="C624" s="42">
        <f t="shared" si="9"/>
        <v>285.77669080000004</v>
      </c>
      <c r="D624" s="14" t="s">
        <v>43</v>
      </c>
      <c r="E624" s="14">
        <v>2</v>
      </c>
      <c r="F624" s="14" t="s">
        <v>3983</v>
      </c>
      <c r="G624" s="14">
        <f>(VLOOKUP(D624,'[1]BOM Info General'!$A:$L,12,0))*E624</f>
        <v>130.12</v>
      </c>
      <c r="H624" s="15" t="s">
        <v>41</v>
      </c>
      <c r="I624" s="15">
        <v>1</v>
      </c>
      <c r="J624" s="15" t="s">
        <v>47</v>
      </c>
      <c r="K624" s="15">
        <f>(VLOOKUP(H624,'[1]BOM Info General'!$A:$L,12,0))*I624</f>
        <v>27.18</v>
      </c>
      <c r="L624" s="9" t="s">
        <v>63</v>
      </c>
      <c r="M624" s="9">
        <v>1</v>
      </c>
      <c r="N624" s="9" t="s">
        <v>62</v>
      </c>
      <c r="O624" s="9">
        <f>(VLOOKUP(L624,'[1]Simulation pricing per sub assy'!$D:$E,2,0))*M624</f>
        <v>95.756400000000042</v>
      </c>
      <c r="P624" s="16" t="s">
        <v>51</v>
      </c>
      <c r="Q624" s="16">
        <v>8</v>
      </c>
      <c r="R624" s="16" t="s">
        <v>17</v>
      </c>
      <c r="S624" s="40">
        <f>(VLOOKUP(P624,'[1]BOM Info General'!$A:$L,12,0))*Q624</f>
        <v>21.2</v>
      </c>
      <c r="T624" s="17" t="s">
        <v>26</v>
      </c>
      <c r="U624" s="17">
        <v>1</v>
      </c>
      <c r="V624" s="17" t="s">
        <v>27</v>
      </c>
      <c r="W624" s="17">
        <f>(VLOOKUP(T624,'[1]Simulation pricing per sub assy'!$D:$E,2,0))*U624</f>
        <v>7.04</v>
      </c>
      <c r="X624" s="18" t="s">
        <v>616</v>
      </c>
      <c r="Y624" s="18">
        <v>1</v>
      </c>
      <c r="Z624" s="18" t="s">
        <v>23</v>
      </c>
      <c r="AA624" s="18">
        <f>(VLOOKUP(X624,'[1]Simulation pricing per sub assy'!$D:$E,2,0))*Y624</f>
        <v>4.4802908000000006</v>
      </c>
    </row>
    <row r="625" spans="1:27" x14ac:dyDescent="0.35">
      <c r="A625" s="13" t="s">
        <v>182</v>
      </c>
      <c r="B625" s="13" t="s">
        <v>4217</v>
      </c>
      <c r="C625" s="42">
        <f t="shared" si="9"/>
        <v>285.22669080000003</v>
      </c>
      <c r="D625" s="14" t="s">
        <v>43</v>
      </c>
      <c r="E625" s="14">
        <v>2</v>
      </c>
      <c r="F625" s="14" t="s">
        <v>3983</v>
      </c>
      <c r="G625" s="14">
        <f>(VLOOKUP(D625,'[1]BOM Info General'!$A:$L,12,0))*E625</f>
        <v>130.12</v>
      </c>
      <c r="H625" s="15" t="s">
        <v>41</v>
      </c>
      <c r="I625" s="15">
        <v>1</v>
      </c>
      <c r="J625" s="15" t="s">
        <v>47</v>
      </c>
      <c r="K625" s="15">
        <f>(VLOOKUP(H625,'[1]BOM Info General'!$A:$L,12,0))*I625</f>
        <v>27.18</v>
      </c>
      <c r="L625" s="9" t="s">
        <v>69</v>
      </c>
      <c r="M625" s="9">
        <v>1</v>
      </c>
      <c r="N625" s="9" t="s">
        <v>66</v>
      </c>
      <c r="O625" s="9">
        <f>(VLOOKUP(L625,'[1]Simulation pricing per sub assy'!$D:$E,2,0))*M625</f>
        <v>95.206400000000031</v>
      </c>
      <c r="P625" s="16" t="s">
        <v>51</v>
      </c>
      <c r="Q625" s="16">
        <v>8</v>
      </c>
      <c r="R625" s="16" t="s">
        <v>17</v>
      </c>
      <c r="S625" s="40">
        <f>(VLOOKUP(P625,'[1]BOM Info General'!$A:$L,12,0))*Q625</f>
        <v>21.2</v>
      </c>
      <c r="T625" s="17" t="s">
        <v>26</v>
      </c>
      <c r="U625" s="17">
        <v>1</v>
      </c>
      <c r="V625" s="17" t="s">
        <v>27</v>
      </c>
      <c r="W625" s="17">
        <f>(VLOOKUP(T625,'[1]Simulation pricing per sub assy'!$D:$E,2,0))*U625</f>
        <v>7.04</v>
      </c>
      <c r="X625" s="18" t="s">
        <v>616</v>
      </c>
      <c r="Y625" s="18">
        <v>1</v>
      </c>
      <c r="Z625" s="18" t="s">
        <v>23</v>
      </c>
      <c r="AA625" s="18">
        <f>(VLOOKUP(X625,'[1]Simulation pricing per sub assy'!$D:$E,2,0))*Y625</f>
        <v>4.4802908000000006</v>
      </c>
    </row>
    <row r="626" spans="1:27" x14ac:dyDescent="0.35">
      <c r="A626" s="13" t="s">
        <v>254</v>
      </c>
      <c r="B626" s="13" t="s">
        <v>4218</v>
      </c>
      <c r="C626" s="42">
        <f t="shared" si="9"/>
        <v>293.18669080000001</v>
      </c>
      <c r="D626" s="14" t="s">
        <v>43</v>
      </c>
      <c r="E626" s="14">
        <v>2</v>
      </c>
      <c r="F626" s="14" t="s">
        <v>3983</v>
      </c>
      <c r="G626" s="14">
        <f>(VLOOKUP(D626,'[1]BOM Info General'!$A:$L,12,0))*E626</f>
        <v>130.12</v>
      </c>
      <c r="H626" s="15" t="s">
        <v>41</v>
      </c>
      <c r="I626" s="15">
        <v>1</v>
      </c>
      <c r="J626" s="15" t="s">
        <v>47</v>
      </c>
      <c r="K626" s="15">
        <f>(VLOOKUP(H626,'[1]BOM Info General'!$A:$L,12,0))*I626</f>
        <v>27.18</v>
      </c>
      <c r="L626" s="9" t="s">
        <v>65</v>
      </c>
      <c r="M626" s="9">
        <v>1</v>
      </c>
      <c r="N626" s="9" t="s">
        <v>68</v>
      </c>
      <c r="O626" s="9">
        <f>(VLOOKUP(L626,'[1]Simulation pricing per sub assy'!$D:$E,2,0))*M626</f>
        <v>103.16640000000004</v>
      </c>
      <c r="P626" s="16" t="s">
        <v>51</v>
      </c>
      <c r="Q626" s="16">
        <v>8</v>
      </c>
      <c r="R626" s="16" t="s">
        <v>17</v>
      </c>
      <c r="S626" s="40">
        <f>(VLOOKUP(P626,'[1]BOM Info General'!$A:$L,12,0))*Q626</f>
        <v>21.2</v>
      </c>
      <c r="T626" s="17" t="s">
        <v>26</v>
      </c>
      <c r="U626" s="17">
        <v>1</v>
      </c>
      <c r="V626" s="17" t="s">
        <v>27</v>
      </c>
      <c r="W626" s="17">
        <f>(VLOOKUP(T626,'[1]Simulation pricing per sub assy'!$D:$E,2,0))*U626</f>
        <v>7.04</v>
      </c>
      <c r="X626" s="18" t="s">
        <v>616</v>
      </c>
      <c r="Y626" s="18">
        <v>1</v>
      </c>
      <c r="Z626" s="18" t="s">
        <v>23</v>
      </c>
      <c r="AA626" s="18">
        <f>(VLOOKUP(X626,'[1]Simulation pricing per sub assy'!$D:$E,2,0))*Y626</f>
        <v>4.4802908000000006</v>
      </c>
    </row>
    <row r="627" spans="1:27" x14ac:dyDescent="0.35">
      <c r="A627" s="13" t="s">
        <v>291</v>
      </c>
      <c r="B627" s="13" t="s">
        <v>4219</v>
      </c>
      <c r="C627" s="42">
        <f t="shared" si="9"/>
        <v>284.6366908</v>
      </c>
      <c r="D627" s="14" t="s">
        <v>43</v>
      </c>
      <c r="E627" s="14">
        <v>2</v>
      </c>
      <c r="F627" s="14" t="s">
        <v>3983</v>
      </c>
      <c r="G627" s="14">
        <f>(VLOOKUP(D627,'[1]BOM Info General'!$A:$L,12,0))*E627</f>
        <v>130.12</v>
      </c>
      <c r="H627" s="15" t="s">
        <v>41</v>
      </c>
      <c r="I627" s="15">
        <v>1</v>
      </c>
      <c r="J627" s="15" t="s">
        <v>47</v>
      </c>
      <c r="K627" s="15">
        <f>(VLOOKUP(H627,'[1]BOM Info General'!$A:$L,12,0))*I627</f>
        <v>27.18</v>
      </c>
      <c r="L627" s="9" t="s">
        <v>524</v>
      </c>
      <c r="M627" s="9">
        <v>1</v>
      </c>
      <c r="N627" s="9" t="s">
        <v>70</v>
      </c>
      <c r="O627" s="9">
        <f>(VLOOKUP(L627,'[1]Simulation pricing per sub assy'!$D:$E,2,0))*M627</f>
        <v>94.656400000000033</v>
      </c>
      <c r="P627" s="16" t="s">
        <v>51</v>
      </c>
      <c r="Q627" s="16">
        <v>8</v>
      </c>
      <c r="R627" s="16" t="s">
        <v>17</v>
      </c>
      <c r="S627" s="40">
        <f>(VLOOKUP(P627,'[1]BOM Info General'!$A:$L,12,0))*Q627</f>
        <v>21.2</v>
      </c>
      <c r="T627" s="17" t="s">
        <v>28</v>
      </c>
      <c r="U627" s="17">
        <v>1</v>
      </c>
      <c r="V627" s="17" t="s">
        <v>29</v>
      </c>
      <c r="W627" s="17">
        <f>(VLOOKUP(T627,'[1]Simulation pricing per sub assy'!$D:$E,2,0))*U627</f>
        <v>7</v>
      </c>
      <c r="X627" s="18" t="s">
        <v>616</v>
      </c>
      <c r="Y627" s="18">
        <v>1</v>
      </c>
      <c r="Z627" s="18" t="s">
        <v>23</v>
      </c>
      <c r="AA627" s="18">
        <f>(VLOOKUP(X627,'[1]Simulation pricing per sub assy'!$D:$E,2,0))*Y627</f>
        <v>4.4802908000000006</v>
      </c>
    </row>
    <row r="628" spans="1:27" x14ac:dyDescent="0.35">
      <c r="A628" s="13" t="s">
        <v>147</v>
      </c>
      <c r="B628" s="13" t="s">
        <v>4220</v>
      </c>
      <c r="C628" s="42">
        <f t="shared" si="9"/>
        <v>285.73669080000002</v>
      </c>
      <c r="D628" s="14" t="s">
        <v>43</v>
      </c>
      <c r="E628" s="14">
        <v>2</v>
      </c>
      <c r="F628" s="14" t="s">
        <v>3983</v>
      </c>
      <c r="G628" s="14">
        <f>(VLOOKUP(D628,'[1]BOM Info General'!$A:$L,12,0))*E628</f>
        <v>130.12</v>
      </c>
      <c r="H628" s="15" t="s">
        <v>41</v>
      </c>
      <c r="I628" s="15">
        <v>1</v>
      </c>
      <c r="J628" s="15" t="s">
        <v>47</v>
      </c>
      <c r="K628" s="15">
        <f>(VLOOKUP(H628,'[1]BOM Info General'!$A:$L,12,0))*I628</f>
        <v>27.18</v>
      </c>
      <c r="L628" s="9" t="s">
        <v>67</v>
      </c>
      <c r="M628" s="9">
        <v>1</v>
      </c>
      <c r="N628" s="9" t="s">
        <v>64</v>
      </c>
      <c r="O628" s="9">
        <f>(VLOOKUP(L628,'[1]Simulation pricing per sub assy'!$D:$E,2,0))*M628</f>
        <v>95.756400000000042</v>
      </c>
      <c r="P628" s="16" t="s">
        <v>51</v>
      </c>
      <c r="Q628" s="16">
        <v>8</v>
      </c>
      <c r="R628" s="16" t="s">
        <v>17</v>
      </c>
      <c r="S628" s="40">
        <f>(VLOOKUP(P628,'[1]BOM Info General'!$A:$L,12,0))*Q628</f>
        <v>21.2</v>
      </c>
      <c r="T628" s="17" t="s">
        <v>28</v>
      </c>
      <c r="U628" s="17">
        <v>1</v>
      </c>
      <c r="V628" s="17" t="s">
        <v>29</v>
      </c>
      <c r="W628" s="17">
        <f>(VLOOKUP(T628,'[1]Simulation pricing per sub assy'!$D:$E,2,0))*U628</f>
        <v>7</v>
      </c>
      <c r="X628" s="18" t="s">
        <v>616</v>
      </c>
      <c r="Y628" s="18">
        <v>1</v>
      </c>
      <c r="Z628" s="18" t="s">
        <v>23</v>
      </c>
      <c r="AA628" s="18">
        <f>(VLOOKUP(X628,'[1]Simulation pricing per sub assy'!$D:$E,2,0))*Y628</f>
        <v>4.4802908000000006</v>
      </c>
    </row>
    <row r="629" spans="1:27" x14ac:dyDescent="0.35">
      <c r="A629" s="13" t="s">
        <v>219</v>
      </c>
      <c r="B629" s="13" t="s">
        <v>4221</v>
      </c>
      <c r="C629" s="42">
        <f t="shared" si="9"/>
        <v>285.73669080000002</v>
      </c>
      <c r="D629" s="14" t="s">
        <v>43</v>
      </c>
      <c r="E629" s="14">
        <v>2</v>
      </c>
      <c r="F629" s="14" t="s">
        <v>3983</v>
      </c>
      <c r="G629" s="14">
        <f>(VLOOKUP(D629,'[1]BOM Info General'!$A:$L,12,0))*E629</f>
        <v>130.12</v>
      </c>
      <c r="H629" s="15" t="s">
        <v>41</v>
      </c>
      <c r="I629" s="15">
        <v>1</v>
      </c>
      <c r="J629" s="15" t="s">
        <v>47</v>
      </c>
      <c r="K629" s="15">
        <f>(VLOOKUP(H629,'[1]BOM Info General'!$A:$L,12,0))*I629</f>
        <v>27.18</v>
      </c>
      <c r="L629" s="9" t="s">
        <v>63</v>
      </c>
      <c r="M629" s="9">
        <v>1</v>
      </c>
      <c r="N629" s="9" t="s">
        <v>62</v>
      </c>
      <c r="O629" s="9">
        <f>(VLOOKUP(L629,'[1]Simulation pricing per sub assy'!$D:$E,2,0))*M629</f>
        <v>95.756400000000042</v>
      </c>
      <c r="P629" s="16" t="s">
        <v>51</v>
      </c>
      <c r="Q629" s="16">
        <v>8</v>
      </c>
      <c r="R629" s="16" t="s">
        <v>17</v>
      </c>
      <c r="S629" s="40">
        <f>(VLOOKUP(P629,'[1]BOM Info General'!$A:$L,12,0))*Q629</f>
        <v>21.2</v>
      </c>
      <c r="T629" s="17" t="s">
        <v>28</v>
      </c>
      <c r="U629" s="17">
        <v>1</v>
      </c>
      <c r="V629" s="17" t="s">
        <v>29</v>
      </c>
      <c r="W629" s="17">
        <f>(VLOOKUP(T629,'[1]Simulation pricing per sub assy'!$D:$E,2,0))*U629</f>
        <v>7</v>
      </c>
      <c r="X629" s="18" t="s">
        <v>616</v>
      </c>
      <c r="Y629" s="18">
        <v>1</v>
      </c>
      <c r="Z629" s="18" t="s">
        <v>23</v>
      </c>
      <c r="AA629" s="18">
        <f>(VLOOKUP(X629,'[1]Simulation pricing per sub assy'!$D:$E,2,0))*Y629</f>
        <v>4.4802908000000006</v>
      </c>
    </row>
    <row r="630" spans="1:27" x14ac:dyDescent="0.35">
      <c r="A630" s="13" t="s">
        <v>183</v>
      </c>
      <c r="B630" s="13" t="s">
        <v>4222</v>
      </c>
      <c r="C630" s="42">
        <f t="shared" si="9"/>
        <v>285.18669080000001</v>
      </c>
      <c r="D630" s="14" t="s">
        <v>43</v>
      </c>
      <c r="E630" s="14">
        <v>2</v>
      </c>
      <c r="F630" s="14" t="s">
        <v>3983</v>
      </c>
      <c r="G630" s="14">
        <f>(VLOOKUP(D630,'[1]BOM Info General'!$A:$L,12,0))*E630</f>
        <v>130.12</v>
      </c>
      <c r="H630" s="15" t="s">
        <v>41</v>
      </c>
      <c r="I630" s="15">
        <v>1</v>
      </c>
      <c r="J630" s="15" t="s">
        <v>47</v>
      </c>
      <c r="K630" s="15">
        <f>(VLOOKUP(H630,'[1]BOM Info General'!$A:$L,12,0))*I630</f>
        <v>27.18</v>
      </c>
      <c r="L630" s="9" t="s">
        <v>69</v>
      </c>
      <c r="M630" s="9">
        <v>1</v>
      </c>
      <c r="N630" s="9" t="s">
        <v>66</v>
      </c>
      <c r="O630" s="9">
        <f>(VLOOKUP(L630,'[1]Simulation pricing per sub assy'!$D:$E,2,0))*M630</f>
        <v>95.206400000000031</v>
      </c>
      <c r="P630" s="16" t="s">
        <v>51</v>
      </c>
      <c r="Q630" s="16">
        <v>8</v>
      </c>
      <c r="R630" s="16" t="s">
        <v>17</v>
      </c>
      <c r="S630" s="40">
        <f>(VLOOKUP(P630,'[1]BOM Info General'!$A:$L,12,0))*Q630</f>
        <v>21.2</v>
      </c>
      <c r="T630" s="17" t="s">
        <v>28</v>
      </c>
      <c r="U630" s="17">
        <v>1</v>
      </c>
      <c r="V630" s="17" t="s">
        <v>29</v>
      </c>
      <c r="W630" s="17">
        <f>(VLOOKUP(T630,'[1]Simulation pricing per sub assy'!$D:$E,2,0))*U630</f>
        <v>7</v>
      </c>
      <c r="X630" s="18" t="s">
        <v>616</v>
      </c>
      <c r="Y630" s="18">
        <v>1</v>
      </c>
      <c r="Z630" s="18" t="s">
        <v>23</v>
      </c>
      <c r="AA630" s="18">
        <f>(VLOOKUP(X630,'[1]Simulation pricing per sub assy'!$D:$E,2,0))*Y630</f>
        <v>4.4802908000000006</v>
      </c>
    </row>
    <row r="631" spans="1:27" x14ac:dyDescent="0.35">
      <c r="A631" s="13" t="s">
        <v>255</v>
      </c>
      <c r="B631" s="13" t="s">
        <v>4223</v>
      </c>
      <c r="C631" s="42">
        <f t="shared" si="9"/>
        <v>293.14669079999999</v>
      </c>
      <c r="D631" s="14" t="s">
        <v>43</v>
      </c>
      <c r="E631" s="14">
        <v>2</v>
      </c>
      <c r="F631" s="14" t="s">
        <v>3983</v>
      </c>
      <c r="G631" s="14">
        <f>(VLOOKUP(D631,'[1]BOM Info General'!$A:$L,12,0))*E631</f>
        <v>130.12</v>
      </c>
      <c r="H631" s="15" t="s">
        <v>41</v>
      </c>
      <c r="I631" s="15">
        <v>1</v>
      </c>
      <c r="J631" s="15" t="s">
        <v>47</v>
      </c>
      <c r="K631" s="15">
        <f>(VLOOKUP(H631,'[1]BOM Info General'!$A:$L,12,0))*I631</f>
        <v>27.18</v>
      </c>
      <c r="L631" s="9" t="s">
        <v>65</v>
      </c>
      <c r="M631" s="9">
        <v>1</v>
      </c>
      <c r="N631" s="9" t="s">
        <v>68</v>
      </c>
      <c r="O631" s="9">
        <f>(VLOOKUP(L631,'[1]Simulation pricing per sub assy'!$D:$E,2,0))*M631</f>
        <v>103.16640000000004</v>
      </c>
      <c r="P631" s="16" t="s">
        <v>51</v>
      </c>
      <c r="Q631" s="16">
        <v>8</v>
      </c>
      <c r="R631" s="16" t="s">
        <v>17</v>
      </c>
      <c r="S631" s="40">
        <f>(VLOOKUP(P631,'[1]BOM Info General'!$A:$L,12,0))*Q631</f>
        <v>21.2</v>
      </c>
      <c r="T631" s="17" t="s">
        <v>28</v>
      </c>
      <c r="U631" s="17">
        <v>1</v>
      </c>
      <c r="V631" s="17" t="s">
        <v>29</v>
      </c>
      <c r="W631" s="17">
        <f>(VLOOKUP(T631,'[1]Simulation pricing per sub assy'!$D:$E,2,0))*U631</f>
        <v>7</v>
      </c>
      <c r="X631" s="18" t="s">
        <v>616</v>
      </c>
      <c r="Y631" s="18">
        <v>1</v>
      </c>
      <c r="Z631" s="18" t="s">
        <v>23</v>
      </c>
      <c r="AA631" s="18">
        <f>(VLOOKUP(X631,'[1]Simulation pricing per sub assy'!$D:$E,2,0))*Y631</f>
        <v>4.4802908000000006</v>
      </c>
    </row>
    <row r="632" spans="1:27" x14ac:dyDescent="0.35">
      <c r="A632" s="13" t="s">
        <v>292</v>
      </c>
      <c r="B632" s="13" t="s">
        <v>4224</v>
      </c>
      <c r="C632" s="42">
        <f t="shared" si="9"/>
        <v>284.07669079999999</v>
      </c>
      <c r="D632" s="14" t="s">
        <v>43</v>
      </c>
      <c r="E632" s="14">
        <v>2</v>
      </c>
      <c r="F632" s="14" t="s">
        <v>3983</v>
      </c>
      <c r="G632" s="14">
        <f>(VLOOKUP(D632,'[1]BOM Info General'!$A:$L,12,0))*E632</f>
        <v>130.12</v>
      </c>
      <c r="H632" s="15" t="s">
        <v>41</v>
      </c>
      <c r="I632" s="15">
        <v>1</v>
      </c>
      <c r="J632" s="15" t="s">
        <v>47</v>
      </c>
      <c r="K632" s="15">
        <f>(VLOOKUP(H632,'[1]BOM Info General'!$A:$L,12,0))*I632</f>
        <v>27.18</v>
      </c>
      <c r="L632" s="9" t="s">
        <v>524</v>
      </c>
      <c r="M632" s="9">
        <v>1</v>
      </c>
      <c r="N632" s="9" t="s">
        <v>70</v>
      </c>
      <c r="O632" s="9">
        <f>(VLOOKUP(L632,'[1]Simulation pricing per sub assy'!$D:$E,2,0))*M632</f>
        <v>94.656400000000033</v>
      </c>
      <c r="P632" s="16" t="s">
        <v>52</v>
      </c>
      <c r="Q632" s="16">
        <v>8</v>
      </c>
      <c r="R632" s="16" t="s">
        <v>18</v>
      </c>
      <c r="S632" s="40">
        <f>(VLOOKUP(P632,'[1]BOM Info General'!$A:$L,12,0))*Q632</f>
        <v>21.2</v>
      </c>
      <c r="T632" s="17" t="s">
        <v>24</v>
      </c>
      <c r="U632" s="17">
        <v>1</v>
      </c>
      <c r="V632" s="17" t="s">
        <v>25</v>
      </c>
      <c r="W632" s="17">
        <f>(VLOOKUP(T632,'[1]Simulation pricing per sub assy'!$D:$E,2,0))*U632</f>
        <v>6.44</v>
      </c>
      <c r="X632" s="18" t="s">
        <v>616</v>
      </c>
      <c r="Y632" s="18">
        <v>1</v>
      </c>
      <c r="Z632" s="18" t="s">
        <v>23</v>
      </c>
      <c r="AA632" s="18">
        <f>(VLOOKUP(X632,'[1]Simulation pricing per sub assy'!$D:$E,2,0))*Y632</f>
        <v>4.4802908000000006</v>
      </c>
    </row>
    <row r="633" spans="1:27" x14ac:dyDescent="0.35">
      <c r="A633" s="13" t="s">
        <v>148</v>
      </c>
      <c r="B633" s="13" t="s">
        <v>4225</v>
      </c>
      <c r="C633" s="42">
        <f t="shared" si="9"/>
        <v>285.17669080000002</v>
      </c>
      <c r="D633" s="14" t="s">
        <v>43</v>
      </c>
      <c r="E633" s="14">
        <v>2</v>
      </c>
      <c r="F633" s="14" t="s">
        <v>3983</v>
      </c>
      <c r="G633" s="14">
        <f>(VLOOKUP(D633,'[1]BOM Info General'!$A:$L,12,0))*E633</f>
        <v>130.12</v>
      </c>
      <c r="H633" s="15" t="s">
        <v>41</v>
      </c>
      <c r="I633" s="15">
        <v>1</v>
      </c>
      <c r="J633" s="15" t="s">
        <v>47</v>
      </c>
      <c r="K633" s="15">
        <f>(VLOOKUP(H633,'[1]BOM Info General'!$A:$L,12,0))*I633</f>
        <v>27.18</v>
      </c>
      <c r="L633" s="9" t="s">
        <v>67</v>
      </c>
      <c r="M633" s="9">
        <v>1</v>
      </c>
      <c r="N633" s="9" t="s">
        <v>64</v>
      </c>
      <c r="O633" s="9">
        <f>(VLOOKUP(L633,'[1]Simulation pricing per sub assy'!$D:$E,2,0))*M633</f>
        <v>95.756400000000042</v>
      </c>
      <c r="P633" s="16" t="s">
        <v>52</v>
      </c>
      <c r="Q633" s="16">
        <v>8</v>
      </c>
      <c r="R633" s="16" t="s">
        <v>18</v>
      </c>
      <c r="S633" s="40">
        <f>(VLOOKUP(P633,'[1]BOM Info General'!$A:$L,12,0))*Q633</f>
        <v>21.2</v>
      </c>
      <c r="T633" s="17" t="s">
        <v>24</v>
      </c>
      <c r="U633" s="17">
        <v>1</v>
      </c>
      <c r="V633" s="17" t="s">
        <v>25</v>
      </c>
      <c r="W633" s="17">
        <f>(VLOOKUP(T633,'[1]Simulation pricing per sub assy'!$D:$E,2,0))*U633</f>
        <v>6.44</v>
      </c>
      <c r="X633" s="18" t="s">
        <v>616</v>
      </c>
      <c r="Y633" s="18">
        <v>1</v>
      </c>
      <c r="Z633" s="18" t="s">
        <v>23</v>
      </c>
      <c r="AA633" s="18">
        <f>(VLOOKUP(X633,'[1]Simulation pricing per sub assy'!$D:$E,2,0))*Y633</f>
        <v>4.4802908000000006</v>
      </c>
    </row>
    <row r="634" spans="1:27" x14ac:dyDescent="0.35">
      <c r="A634" s="13" t="s">
        <v>220</v>
      </c>
      <c r="B634" s="13" t="s">
        <v>4226</v>
      </c>
      <c r="C634" s="42">
        <f t="shared" si="9"/>
        <v>285.17669080000002</v>
      </c>
      <c r="D634" s="14" t="s">
        <v>43</v>
      </c>
      <c r="E634" s="14">
        <v>2</v>
      </c>
      <c r="F634" s="14" t="s">
        <v>3983</v>
      </c>
      <c r="G634" s="14">
        <f>(VLOOKUP(D634,'[1]BOM Info General'!$A:$L,12,0))*E634</f>
        <v>130.12</v>
      </c>
      <c r="H634" s="15" t="s">
        <v>41</v>
      </c>
      <c r="I634" s="15">
        <v>1</v>
      </c>
      <c r="J634" s="15" t="s">
        <v>47</v>
      </c>
      <c r="K634" s="15">
        <f>(VLOOKUP(H634,'[1]BOM Info General'!$A:$L,12,0))*I634</f>
        <v>27.18</v>
      </c>
      <c r="L634" s="9" t="s">
        <v>63</v>
      </c>
      <c r="M634" s="9">
        <v>1</v>
      </c>
      <c r="N634" s="9" t="s">
        <v>62</v>
      </c>
      <c r="O634" s="9">
        <f>(VLOOKUP(L634,'[1]Simulation pricing per sub assy'!$D:$E,2,0))*M634</f>
        <v>95.756400000000042</v>
      </c>
      <c r="P634" s="16" t="s">
        <v>52</v>
      </c>
      <c r="Q634" s="16">
        <v>8</v>
      </c>
      <c r="R634" s="16" t="s">
        <v>18</v>
      </c>
      <c r="S634" s="40">
        <f>(VLOOKUP(P634,'[1]BOM Info General'!$A:$L,12,0))*Q634</f>
        <v>21.2</v>
      </c>
      <c r="T634" s="17" t="s">
        <v>24</v>
      </c>
      <c r="U634" s="17">
        <v>1</v>
      </c>
      <c r="V634" s="17" t="s">
        <v>25</v>
      </c>
      <c r="W634" s="17">
        <f>(VLOOKUP(T634,'[1]Simulation pricing per sub assy'!$D:$E,2,0))*U634</f>
        <v>6.44</v>
      </c>
      <c r="X634" s="18" t="s">
        <v>616</v>
      </c>
      <c r="Y634" s="18">
        <v>1</v>
      </c>
      <c r="Z634" s="18" t="s">
        <v>23</v>
      </c>
      <c r="AA634" s="18">
        <f>(VLOOKUP(X634,'[1]Simulation pricing per sub assy'!$D:$E,2,0))*Y634</f>
        <v>4.4802908000000006</v>
      </c>
    </row>
    <row r="635" spans="1:27" x14ac:dyDescent="0.35">
      <c r="A635" s="13" t="s">
        <v>184</v>
      </c>
      <c r="B635" s="13" t="s">
        <v>4227</v>
      </c>
      <c r="C635" s="42">
        <f t="shared" si="9"/>
        <v>284.62669080000001</v>
      </c>
      <c r="D635" s="14" t="s">
        <v>43</v>
      </c>
      <c r="E635" s="14">
        <v>2</v>
      </c>
      <c r="F635" s="14" t="s">
        <v>3983</v>
      </c>
      <c r="G635" s="14">
        <f>(VLOOKUP(D635,'[1]BOM Info General'!$A:$L,12,0))*E635</f>
        <v>130.12</v>
      </c>
      <c r="H635" s="15" t="s">
        <v>41</v>
      </c>
      <c r="I635" s="15">
        <v>1</v>
      </c>
      <c r="J635" s="15" t="s">
        <v>47</v>
      </c>
      <c r="K635" s="15">
        <f>(VLOOKUP(H635,'[1]BOM Info General'!$A:$L,12,0))*I635</f>
        <v>27.18</v>
      </c>
      <c r="L635" s="9" t="s">
        <v>69</v>
      </c>
      <c r="M635" s="9">
        <v>1</v>
      </c>
      <c r="N635" s="9" t="s">
        <v>66</v>
      </c>
      <c r="O635" s="9">
        <f>(VLOOKUP(L635,'[1]Simulation pricing per sub assy'!$D:$E,2,0))*M635</f>
        <v>95.206400000000031</v>
      </c>
      <c r="P635" s="16" t="s">
        <v>52</v>
      </c>
      <c r="Q635" s="16">
        <v>8</v>
      </c>
      <c r="R635" s="16" t="s">
        <v>18</v>
      </c>
      <c r="S635" s="40">
        <f>(VLOOKUP(P635,'[1]BOM Info General'!$A:$L,12,0))*Q635</f>
        <v>21.2</v>
      </c>
      <c r="T635" s="17" t="s">
        <v>24</v>
      </c>
      <c r="U635" s="17">
        <v>1</v>
      </c>
      <c r="V635" s="17" t="s">
        <v>25</v>
      </c>
      <c r="W635" s="17">
        <f>(VLOOKUP(T635,'[1]Simulation pricing per sub assy'!$D:$E,2,0))*U635</f>
        <v>6.44</v>
      </c>
      <c r="X635" s="18" t="s">
        <v>616</v>
      </c>
      <c r="Y635" s="18">
        <v>1</v>
      </c>
      <c r="Z635" s="18" t="s">
        <v>23</v>
      </c>
      <c r="AA635" s="18">
        <f>(VLOOKUP(X635,'[1]Simulation pricing per sub assy'!$D:$E,2,0))*Y635</f>
        <v>4.4802908000000006</v>
      </c>
    </row>
    <row r="636" spans="1:27" x14ac:dyDescent="0.35">
      <c r="A636" s="13" t="s">
        <v>256</v>
      </c>
      <c r="B636" s="13" t="s">
        <v>4228</v>
      </c>
      <c r="C636" s="42">
        <f t="shared" si="9"/>
        <v>292.58669079999999</v>
      </c>
      <c r="D636" s="14" t="s">
        <v>43</v>
      </c>
      <c r="E636" s="14">
        <v>2</v>
      </c>
      <c r="F636" s="14" t="s">
        <v>3983</v>
      </c>
      <c r="G636" s="14">
        <f>(VLOOKUP(D636,'[1]BOM Info General'!$A:$L,12,0))*E636</f>
        <v>130.12</v>
      </c>
      <c r="H636" s="15" t="s">
        <v>41</v>
      </c>
      <c r="I636" s="15">
        <v>1</v>
      </c>
      <c r="J636" s="15" t="s">
        <v>47</v>
      </c>
      <c r="K636" s="15">
        <f>(VLOOKUP(H636,'[1]BOM Info General'!$A:$L,12,0))*I636</f>
        <v>27.18</v>
      </c>
      <c r="L636" s="9" t="s">
        <v>65</v>
      </c>
      <c r="M636" s="9">
        <v>1</v>
      </c>
      <c r="N636" s="9" t="s">
        <v>68</v>
      </c>
      <c r="O636" s="9">
        <f>(VLOOKUP(L636,'[1]Simulation pricing per sub assy'!$D:$E,2,0))*M636</f>
        <v>103.16640000000004</v>
      </c>
      <c r="P636" s="16" t="s">
        <v>52</v>
      </c>
      <c r="Q636" s="16">
        <v>8</v>
      </c>
      <c r="R636" s="16" t="s">
        <v>18</v>
      </c>
      <c r="S636" s="40">
        <f>(VLOOKUP(P636,'[1]BOM Info General'!$A:$L,12,0))*Q636</f>
        <v>21.2</v>
      </c>
      <c r="T636" s="17" t="s">
        <v>24</v>
      </c>
      <c r="U636" s="17">
        <v>1</v>
      </c>
      <c r="V636" s="17" t="s">
        <v>25</v>
      </c>
      <c r="W636" s="17">
        <f>(VLOOKUP(T636,'[1]Simulation pricing per sub assy'!$D:$E,2,0))*U636</f>
        <v>6.44</v>
      </c>
      <c r="X636" s="18" t="s">
        <v>616</v>
      </c>
      <c r="Y636" s="18">
        <v>1</v>
      </c>
      <c r="Z636" s="18" t="s">
        <v>23</v>
      </c>
      <c r="AA636" s="18">
        <f>(VLOOKUP(X636,'[1]Simulation pricing per sub assy'!$D:$E,2,0))*Y636</f>
        <v>4.4802908000000006</v>
      </c>
    </row>
    <row r="637" spans="1:27" x14ac:dyDescent="0.35">
      <c r="A637" s="13" t="s">
        <v>293</v>
      </c>
      <c r="B637" s="13" t="s">
        <v>4229</v>
      </c>
      <c r="C637" s="42">
        <f t="shared" si="9"/>
        <v>284.67669080000002</v>
      </c>
      <c r="D637" s="14" t="s">
        <v>43</v>
      </c>
      <c r="E637" s="14">
        <v>2</v>
      </c>
      <c r="F637" s="14" t="s">
        <v>3983</v>
      </c>
      <c r="G637" s="14">
        <f>(VLOOKUP(D637,'[1]BOM Info General'!$A:$L,12,0))*E637</f>
        <v>130.12</v>
      </c>
      <c r="H637" s="15" t="s">
        <v>41</v>
      </c>
      <c r="I637" s="15">
        <v>1</v>
      </c>
      <c r="J637" s="15" t="s">
        <v>47</v>
      </c>
      <c r="K637" s="15">
        <f>(VLOOKUP(H637,'[1]BOM Info General'!$A:$L,12,0))*I637</f>
        <v>27.18</v>
      </c>
      <c r="L637" s="9" t="s">
        <v>524</v>
      </c>
      <c r="M637" s="9">
        <v>1</v>
      </c>
      <c r="N637" s="9" t="s">
        <v>70</v>
      </c>
      <c r="O637" s="9">
        <f>(VLOOKUP(L637,'[1]Simulation pricing per sub assy'!$D:$E,2,0))*M637</f>
        <v>94.656400000000033</v>
      </c>
      <c r="P637" s="16" t="s">
        <v>52</v>
      </c>
      <c r="Q637" s="16">
        <v>8</v>
      </c>
      <c r="R637" s="16" t="s">
        <v>18</v>
      </c>
      <c r="S637" s="40">
        <f>(VLOOKUP(P637,'[1]BOM Info General'!$A:$L,12,0))*Q637</f>
        <v>21.2</v>
      </c>
      <c r="T637" s="17" t="s">
        <v>26</v>
      </c>
      <c r="U637" s="17">
        <v>1</v>
      </c>
      <c r="V637" s="17" t="s">
        <v>27</v>
      </c>
      <c r="W637" s="17">
        <f>(VLOOKUP(T637,'[1]Simulation pricing per sub assy'!$D:$E,2,0))*U637</f>
        <v>7.04</v>
      </c>
      <c r="X637" s="18" t="s">
        <v>616</v>
      </c>
      <c r="Y637" s="18">
        <v>1</v>
      </c>
      <c r="Z637" s="18" t="s">
        <v>23</v>
      </c>
      <c r="AA637" s="18">
        <f>(VLOOKUP(X637,'[1]Simulation pricing per sub assy'!$D:$E,2,0))*Y637</f>
        <v>4.4802908000000006</v>
      </c>
    </row>
    <row r="638" spans="1:27" x14ac:dyDescent="0.35">
      <c r="A638" s="13" t="s">
        <v>149</v>
      </c>
      <c r="B638" s="13" t="s">
        <v>4230</v>
      </c>
      <c r="C638" s="42">
        <f t="shared" si="9"/>
        <v>285.77669080000004</v>
      </c>
      <c r="D638" s="14" t="s">
        <v>43</v>
      </c>
      <c r="E638" s="14">
        <v>2</v>
      </c>
      <c r="F638" s="14" t="s">
        <v>3983</v>
      </c>
      <c r="G638" s="14">
        <f>(VLOOKUP(D638,'[1]BOM Info General'!$A:$L,12,0))*E638</f>
        <v>130.12</v>
      </c>
      <c r="H638" s="15" t="s">
        <v>41</v>
      </c>
      <c r="I638" s="15">
        <v>1</v>
      </c>
      <c r="J638" s="15" t="s">
        <v>47</v>
      </c>
      <c r="K638" s="15">
        <f>(VLOOKUP(H638,'[1]BOM Info General'!$A:$L,12,0))*I638</f>
        <v>27.18</v>
      </c>
      <c r="L638" s="9" t="s">
        <v>67</v>
      </c>
      <c r="M638" s="9">
        <v>1</v>
      </c>
      <c r="N638" s="9" t="s">
        <v>64</v>
      </c>
      <c r="O638" s="9">
        <f>(VLOOKUP(L638,'[1]Simulation pricing per sub assy'!$D:$E,2,0))*M638</f>
        <v>95.756400000000042</v>
      </c>
      <c r="P638" s="16" t="s">
        <v>52</v>
      </c>
      <c r="Q638" s="16">
        <v>8</v>
      </c>
      <c r="R638" s="16" t="s">
        <v>18</v>
      </c>
      <c r="S638" s="40">
        <f>(VLOOKUP(P638,'[1]BOM Info General'!$A:$L,12,0))*Q638</f>
        <v>21.2</v>
      </c>
      <c r="T638" s="17" t="s">
        <v>26</v>
      </c>
      <c r="U638" s="17">
        <v>1</v>
      </c>
      <c r="V638" s="17" t="s">
        <v>27</v>
      </c>
      <c r="W638" s="17">
        <f>(VLOOKUP(T638,'[1]Simulation pricing per sub assy'!$D:$E,2,0))*U638</f>
        <v>7.04</v>
      </c>
      <c r="X638" s="18" t="s">
        <v>616</v>
      </c>
      <c r="Y638" s="18">
        <v>1</v>
      </c>
      <c r="Z638" s="18" t="s">
        <v>23</v>
      </c>
      <c r="AA638" s="18">
        <f>(VLOOKUP(X638,'[1]Simulation pricing per sub assy'!$D:$E,2,0))*Y638</f>
        <v>4.4802908000000006</v>
      </c>
    </row>
    <row r="639" spans="1:27" x14ac:dyDescent="0.35">
      <c r="A639" s="13" t="s">
        <v>221</v>
      </c>
      <c r="B639" s="13" t="s">
        <v>4231</v>
      </c>
      <c r="C639" s="42">
        <f t="shared" si="9"/>
        <v>285.77669080000004</v>
      </c>
      <c r="D639" s="14" t="s">
        <v>43</v>
      </c>
      <c r="E639" s="14">
        <v>2</v>
      </c>
      <c r="F639" s="14" t="s">
        <v>3983</v>
      </c>
      <c r="G639" s="14">
        <f>(VLOOKUP(D639,'[1]BOM Info General'!$A:$L,12,0))*E639</f>
        <v>130.12</v>
      </c>
      <c r="H639" s="15" t="s">
        <v>41</v>
      </c>
      <c r="I639" s="15">
        <v>1</v>
      </c>
      <c r="J639" s="15" t="s">
        <v>47</v>
      </c>
      <c r="K639" s="15">
        <f>(VLOOKUP(H639,'[1]BOM Info General'!$A:$L,12,0))*I639</f>
        <v>27.18</v>
      </c>
      <c r="L639" s="9" t="s">
        <v>63</v>
      </c>
      <c r="M639" s="9">
        <v>1</v>
      </c>
      <c r="N639" s="9" t="s">
        <v>62</v>
      </c>
      <c r="O639" s="9">
        <f>(VLOOKUP(L639,'[1]Simulation pricing per sub assy'!$D:$E,2,0))*M639</f>
        <v>95.756400000000042</v>
      </c>
      <c r="P639" s="16" t="s">
        <v>52</v>
      </c>
      <c r="Q639" s="16">
        <v>8</v>
      </c>
      <c r="R639" s="16" t="s">
        <v>18</v>
      </c>
      <c r="S639" s="40">
        <f>(VLOOKUP(P639,'[1]BOM Info General'!$A:$L,12,0))*Q639</f>
        <v>21.2</v>
      </c>
      <c r="T639" s="17" t="s">
        <v>26</v>
      </c>
      <c r="U639" s="17">
        <v>1</v>
      </c>
      <c r="V639" s="17" t="s">
        <v>27</v>
      </c>
      <c r="W639" s="17">
        <f>(VLOOKUP(T639,'[1]Simulation pricing per sub assy'!$D:$E,2,0))*U639</f>
        <v>7.04</v>
      </c>
      <c r="X639" s="18" t="s">
        <v>616</v>
      </c>
      <c r="Y639" s="18">
        <v>1</v>
      </c>
      <c r="Z639" s="18" t="s">
        <v>23</v>
      </c>
      <c r="AA639" s="18">
        <f>(VLOOKUP(X639,'[1]Simulation pricing per sub assy'!$D:$E,2,0))*Y639</f>
        <v>4.4802908000000006</v>
      </c>
    </row>
    <row r="640" spans="1:27" x14ac:dyDescent="0.35">
      <c r="A640" s="13" t="s">
        <v>185</v>
      </c>
      <c r="B640" s="13" t="s">
        <v>4232</v>
      </c>
      <c r="C640" s="42">
        <f t="shared" si="9"/>
        <v>285.22669080000003</v>
      </c>
      <c r="D640" s="14" t="s">
        <v>43</v>
      </c>
      <c r="E640" s="14">
        <v>2</v>
      </c>
      <c r="F640" s="14" t="s">
        <v>3983</v>
      </c>
      <c r="G640" s="14">
        <f>(VLOOKUP(D640,'[1]BOM Info General'!$A:$L,12,0))*E640</f>
        <v>130.12</v>
      </c>
      <c r="H640" s="15" t="s">
        <v>41</v>
      </c>
      <c r="I640" s="15">
        <v>1</v>
      </c>
      <c r="J640" s="15" t="s">
        <v>47</v>
      </c>
      <c r="K640" s="15">
        <f>(VLOOKUP(H640,'[1]BOM Info General'!$A:$L,12,0))*I640</f>
        <v>27.18</v>
      </c>
      <c r="L640" s="9" t="s">
        <v>69</v>
      </c>
      <c r="M640" s="9">
        <v>1</v>
      </c>
      <c r="N640" s="9" t="s">
        <v>66</v>
      </c>
      <c r="O640" s="9">
        <f>(VLOOKUP(L640,'[1]Simulation pricing per sub assy'!$D:$E,2,0))*M640</f>
        <v>95.206400000000031</v>
      </c>
      <c r="P640" s="16" t="s">
        <v>52</v>
      </c>
      <c r="Q640" s="16">
        <v>8</v>
      </c>
      <c r="R640" s="16" t="s">
        <v>18</v>
      </c>
      <c r="S640" s="40">
        <f>(VLOOKUP(P640,'[1]BOM Info General'!$A:$L,12,0))*Q640</f>
        <v>21.2</v>
      </c>
      <c r="T640" s="17" t="s">
        <v>26</v>
      </c>
      <c r="U640" s="17">
        <v>1</v>
      </c>
      <c r="V640" s="17" t="s">
        <v>27</v>
      </c>
      <c r="W640" s="17">
        <f>(VLOOKUP(T640,'[1]Simulation pricing per sub assy'!$D:$E,2,0))*U640</f>
        <v>7.04</v>
      </c>
      <c r="X640" s="18" t="s">
        <v>616</v>
      </c>
      <c r="Y640" s="18">
        <v>1</v>
      </c>
      <c r="Z640" s="18" t="s">
        <v>23</v>
      </c>
      <c r="AA640" s="18">
        <f>(VLOOKUP(X640,'[1]Simulation pricing per sub assy'!$D:$E,2,0))*Y640</f>
        <v>4.4802908000000006</v>
      </c>
    </row>
    <row r="641" spans="1:27" x14ac:dyDescent="0.35">
      <c r="A641" s="13" t="s">
        <v>257</v>
      </c>
      <c r="B641" s="13" t="s">
        <v>4233</v>
      </c>
      <c r="C641" s="42">
        <f t="shared" si="9"/>
        <v>293.18669080000001</v>
      </c>
      <c r="D641" s="14" t="s">
        <v>43</v>
      </c>
      <c r="E641" s="14">
        <v>2</v>
      </c>
      <c r="F641" s="14" t="s">
        <v>3983</v>
      </c>
      <c r="G641" s="14">
        <f>(VLOOKUP(D641,'[1]BOM Info General'!$A:$L,12,0))*E641</f>
        <v>130.12</v>
      </c>
      <c r="H641" s="15" t="s">
        <v>41</v>
      </c>
      <c r="I641" s="15">
        <v>1</v>
      </c>
      <c r="J641" s="15" t="s">
        <v>47</v>
      </c>
      <c r="K641" s="15">
        <f>(VLOOKUP(H641,'[1]BOM Info General'!$A:$L,12,0))*I641</f>
        <v>27.18</v>
      </c>
      <c r="L641" s="9" t="s">
        <v>65</v>
      </c>
      <c r="M641" s="9">
        <v>1</v>
      </c>
      <c r="N641" s="9" t="s">
        <v>68</v>
      </c>
      <c r="O641" s="9">
        <f>(VLOOKUP(L641,'[1]Simulation pricing per sub assy'!$D:$E,2,0))*M641</f>
        <v>103.16640000000004</v>
      </c>
      <c r="P641" s="16" t="s">
        <v>52</v>
      </c>
      <c r="Q641" s="16">
        <v>8</v>
      </c>
      <c r="R641" s="16" t="s">
        <v>18</v>
      </c>
      <c r="S641" s="40">
        <f>(VLOOKUP(P641,'[1]BOM Info General'!$A:$L,12,0))*Q641</f>
        <v>21.2</v>
      </c>
      <c r="T641" s="17" t="s">
        <v>26</v>
      </c>
      <c r="U641" s="17">
        <v>1</v>
      </c>
      <c r="V641" s="17" t="s">
        <v>27</v>
      </c>
      <c r="W641" s="17">
        <f>(VLOOKUP(T641,'[1]Simulation pricing per sub assy'!$D:$E,2,0))*U641</f>
        <v>7.04</v>
      </c>
      <c r="X641" s="18" t="s">
        <v>616</v>
      </c>
      <c r="Y641" s="18">
        <v>1</v>
      </c>
      <c r="Z641" s="18" t="s">
        <v>23</v>
      </c>
      <c r="AA641" s="18">
        <f>(VLOOKUP(X641,'[1]Simulation pricing per sub assy'!$D:$E,2,0))*Y641</f>
        <v>4.4802908000000006</v>
      </c>
    </row>
    <row r="642" spans="1:27" x14ac:dyDescent="0.35">
      <c r="A642" s="13" t="s">
        <v>294</v>
      </c>
      <c r="B642" s="13" t="s">
        <v>4234</v>
      </c>
      <c r="C642" s="42">
        <f t="shared" si="9"/>
        <v>284.6366908</v>
      </c>
      <c r="D642" s="14" t="s">
        <v>43</v>
      </c>
      <c r="E642" s="14">
        <v>2</v>
      </c>
      <c r="F642" s="14" t="s">
        <v>3983</v>
      </c>
      <c r="G642" s="14">
        <f>(VLOOKUP(D642,'[1]BOM Info General'!$A:$L,12,0))*E642</f>
        <v>130.12</v>
      </c>
      <c r="H642" s="15" t="s">
        <v>41</v>
      </c>
      <c r="I642" s="15">
        <v>1</v>
      </c>
      <c r="J642" s="15" t="s">
        <v>47</v>
      </c>
      <c r="K642" s="15">
        <f>(VLOOKUP(H642,'[1]BOM Info General'!$A:$L,12,0))*I642</f>
        <v>27.18</v>
      </c>
      <c r="L642" s="9" t="s">
        <v>524</v>
      </c>
      <c r="M642" s="9">
        <v>1</v>
      </c>
      <c r="N642" s="9" t="s">
        <v>70</v>
      </c>
      <c r="O642" s="9">
        <f>(VLOOKUP(L642,'[1]Simulation pricing per sub assy'!$D:$E,2,0))*M642</f>
        <v>94.656400000000033</v>
      </c>
      <c r="P642" s="16" t="s">
        <v>52</v>
      </c>
      <c r="Q642" s="16">
        <v>8</v>
      </c>
      <c r="R642" s="16" t="s">
        <v>18</v>
      </c>
      <c r="S642" s="40">
        <f>(VLOOKUP(P642,'[1]BOM Info General'!$A:$L,12,0))*Q642</f>
        <v>21.2</v>
      </c>
      <c r="T642" s="17" t="s">
        <v>28</v>
      </c>
      <c r="U642" s="17">
        <v>1</v>
      </c>
      <c r="V642" s="17" t="s">
        <v>29</v>
      </c>
      <c r="W642" s="17">
        <f>(VLOOKUP(T642,'[1]Simulation pricing per sub assy'!$D:$E,2,0))*U642</f>
        <v>7</v>
      </c>
      <c r="X642" s="18" t="s">
        <v>616</v>
      </c>
      <c r="Y642" s="18">
        <v>1</v>
      </c>
      <c r="Z642" s="18" t="s">
        <v>23</v>
      </c>
      <c r="AA642" s="18">
        <f>(VLOOKUP(X642,'[1]Simulation pricing per sub assy'!$D:$E,2,0))*Y642</f>
        <v>4.4802908000000006</v>
      </c>
    </row>
    <row r="643" spans="1:27" x14ac:dyDescent="0.35">
      <c r="A643" s="13" t="s">
        <v>150</v>
      </c>
      <c r="B643" s="13" t="s">
        <v>4235</v>
      </c>
      <c r="C643" s="42">
        <f t="shared" ref="C643:C706" si="10">SUM(G643+K643+O643+S643+W643+AA643)</f>
        <v>285.73669080000002</v>
      </c>
      <c r="D643" s="14" t="s">
        <v>43</v>
      </c>
      <c r="E643" s="14">
        <v>2</v>
      </c>
      <c r="F643" s="14" t="s">
        <v>3983</v>
      </c>
      <c r="G643" s="14">
        <f>(VLOOKUP(D643,'[1]BOM Info General'!$A:$L,12,0))*E643</f>
        <v>130.12</v>
      </c>
      <c r="H643" s="15" t="s">
        <v>41</v>
      </c>
      <c r="I643" s="15">
        <v>1</v>
      </c>
      <c r="J643" s="15" t="s">
        <v>47</v>
      </c>
      <c r="K643" s="15">
        <f>(VLOOKUP(H643,'[1]BOM Info General'!$A:$L,12,0))*I643</f>
        <v>27.18</v>
      </c>
      <c r="L643" s="9" t="s">
        <v>67</v>
      </c>
      <c r="M643" s="9">
        <v>1</v>
      </c>
      <c r="N643" s="9" t="s">
        <v>64</v>
      </c>
      <c r="O643" s="9">
        <f>(VLOOKUP(L643,'[1]Simulation pricing per sub assy'!$D:$E,2,0))*M643</f>
        <v>95.756400000000042</v>
      </c>
      <c r="P643" s="16" t="s">
        <v>52</v>
      </c>
      <c r="Q643" s="16">
        <v>8</v>
      </c>
      <c r="R643" s="16" t="s">
        <v>18</v>
      </c>
      <c r="S643" s="40">
        <f>(VLOOKUP(P643,'[1]BOM Info General'!$A:$L,12,0))*Q643</f>
        <v>21.2</v>
      </c>
      <c r="T643" s="17" t="s">
        <v>28</v>
      </c>
      <c r="U643" s="17">
        <v>1</v>
      </c>
      <c r="V643" s="17" t="s">
        <v>29</v>
      </c>
      <c r="W643" s="17">
        <f>(VLOOKUP(T643,'[1]Simulation pricing per sub assy'!$D:$E,2,0))*U643</f>
        <v>7</v>
      </c>
      <c r="X643" s="18" t="s">
        <v>616</v>
      </c>
      <c r="Y643" s="18">
        <v>1</v>
      </c>
      <c r="Z643" s="18" t="s">
        <v>23</v>
      </c>
      <c r="AA643" s="18">
        <f>(VLOOKUP(X643,'[1]Simulation pricing per sub assy'!$D:$E,2,0))*Y643</f>
        <v>4.4802908000000006</v>
      </c>
    </row>
    <row r="644" spans="1:27" x14ac:dyDescent="0.35">
      <c r="A644" s="13" t="s">
        <v>222</v>
      </c>
      <c r="B644" s="13" t="s">
        <v>4236</v>
      </c>
      <c r="C644" s="42">
        <f t="shared" si="10"/>
        <v>285.73669080000002</v>
      </c>
      <c r="D644" s="14" t="s">
        <v>43</v>
      </c>
      <c r="E644" s="14">
        <v>2</v>
      </c>
      <c r="F644" s="14" t="s">
        <v>3983</v>
      </c>
      <c r="G644" s="14">
        <f>(VLOOKUP(D644,'[1]BOM Info General'!$A:$L,12,0))*E644</f>
        <v>130.12</v>
      </c>
      <c r="H644" s="15" t="s">
        <v>41</v>
      </c>
      <c r="I644" s="15">
        <v>1</v>
      </c>
      <c r="J644" s="15" t="s">
        <v>47</v>
      </c>
      <c r="K644" s="15">
        <f>(VLOOKUP(H644,'[1]BOM Info General'!$A:$L,12,0))*I644</f>
        <v>27.18</v>
      </c>
      <c r="L644" s="9" t="s">
        <v>63</v>
      </c>
      <c r="M644" s="9">
        <v>1</v>
      </c>
      <c r="N644" s="9" t="s">
        <v>62</v>
      </c>
      <c r="O644" s="9">
        <f>(VLOOKUP(L644,'[1]Simulation pricing per sub assy'!$D:$E,2,0))*M644</f>
        <v>95.756400000000042</v>
      </c>
      <c r="P644" s="16" t="s">
        <v>52</v>
      </c>
      <c r="Q644" s="16">
        <v>8</v>
      </c>
      <c r="R644" s="16" t="s">
        <v>18</v>
      </c>
      <c r="S644" s="40">
        <f>(VLOOKUP(P644,'[1]BOM Info General'!$A:$L,12,0))*Q644</f>
        <v>21.2</v>
      </c>
      <c r="T644" s="17" t="s">
        <v>28</v>
      </c>
      <c r="U644" s="17">
        <v>1</v>
      </c>
      <c r="V644" s="17" t="s">
        <v>29</v>
      </c>
      <c r="W644" s="17">
        <f>(VLOOKUP(T644,'[1]Simulation pricing per sub assy'!$D:$E,2,0))*U644</f>
        <v>7</v>
      </c>
      <c r="X644" s="18" t="s">
        <v>616</v>
      </c>
      <c r="Y644" s="18">
        <v>1</v>
      </c>
      <c r="Z644" s="18" t="s">
        <v>23</v>
      </c>
      <c r="AA644" s="18">
        <f>(VLOOKUP(X644,'[1]Simulation pricing per sub assy'!$D:$E,2,0))*Y644</f>
        <v>4.4802908000000006</v>
      </c>
    </row>
    <row r="645" spans="1:27" x14ac:dyDescent="0.35">
      <c r="A645" s="13" t="s">
        <v>186</v>
      </c>
      <c r="B645" s="13" t="s">
        <v>4237</v>
      </c>
      <c r="C645" s="42">
        <f t="shared" si="10"/>
        <v>285.18669080000001</v>
      </c>
      <c r="D645" s="14" t="s">
        <v>43</v>
      </c>
      <c r="E645" s="14">
        <v>2</v>
      </c>
      <c r="F645" s="14" t="s">
        <v>3983</v>
      </c>
      <c r="G645" s="14">
        <f>(VLOOKUP(D645,'[1]BOM Info General'!$A:$L,12,0))*E645</f>
        <v>130.12</v>
      </c>
      <c r="H645" s="15" t="s">
        <v>41</v>
      </c>
      <c r="I645" s="15">
        <v>1</v>
      </c>
      <c r="J645" s="15" t="s">
        <v>47</v>
      </c>
      <c r="K645" s="15">
        <f>(VLOOKUP(H645,'[1]BOM Info General'!$A:$L,12,0))*I645</f>
        <v>27.18</v>
      </c>
      <c r="L645" s="9" t="s">
        <v>69</v>
      </c>
      <c r="M645" s="9">
        <v>1</v>
      </c>
      <c r="N645" s="9" t="s">
        <v>66</v>
      </c>
      <c r="O645" s="9">
        <f>(VLOOKUP(L645,'[1]Simulation pricing per sub assy'!$D:$E,2,0))*M645</f>
        <v>95.206400000000031</v>
      </c>
      <c r="P645" s="16" t="s">
        <v>52</v>
      </c>
      <c r="Q645" s="16">
        <v>8</v>
      </c>
      <c r="R645" s="16" t="s">
        <v>18</v>
      </c>
      <c r="S645" s="40">
        <f>(VLOOKUP(P645,'[1]BOM Info General'!$A:$L,12,0))*Q645</f>
        <v>21.2</v>
      </c>
      <c r="T645" s="17" t="s">
        <v>28</v>
      </c>
      <c r="U645" s="17">
        <v>1</v>
      </c>
      <c r="V645" s="17" t="s">
        <v>29</v>
      </c>
      <c r="W645" s="17">
        <f>(VLOOKUP(T645,'[1]Simulation pricing per sub assy'!$D:$E,2,0))*U645</f>
        <v>7</v>
      </c>
      <c r="X645" s="18" t="s">
        <v>616</v>
      </c>
      <c r="Y645" s="18">
        <v>1</v>
      </c>
      <c r="Z645" s="18" t="s">
        <v>23</v>
      </c>
      <c r="AA645" s="18">
        <f>(VLOOKUP(X645,'[1]Simulation pricing per sub assy'!$D:$E,2,0))*Y645</f>
        <v>4.4802908000000006</v>
      </c>
    </row>
    <row r="646" spans="1:27" x14ac:dyDescent="0.35">
      <c r="A646" s="13" t="s">
        <v>258</v>
      </c>
      <c r="B646" s="13" t="s">
        <v>4238</v>
      </c>
      <c r="C646" s="42">
        <f t="shared" si="10"/>
        <v>293.14669079999999</v>
      </c>
      <c r="D646" s="14" t="s">
        <v>43</v>
      </c>
      <c r="E646" s="14">
        <v>2</v>
      </c>
      <c r="F646" s="14" t="s">
        <v>3983</v>
      </c>
      <c r="G646" s="14">
        <f>(VLOOKUP(D646,'[1]BOM Info General'!$A:$L,12,0))*E646</f>
        <v>130.12</v>
      </c>
      <c r="H646" s="15" t="s">
        <v>41</v>
      </c>
      <c r="I646" s="15">
        <v>1</v>
      </c>
      <c r="J646" s="15" t="s">
        <v>47</v>
      </c>
      <c r="K646" s="15">
        <f>(VLOOKUP(H646,'[1]BOM Info General'!$A:$L,12,0))*I646</f>
        <v>27.18</v>
      </c>
      <c r="L646" s="9" t="s">
        <v>65</v>
      </c>
      <c r="M646" s="9">
        <v>1</v>
      </c>
      <c r="N646" s="9" t="s">
        <v>68</v>
      </c>
      <c r="O646" s="9">
        <f>(VLOOKUP(L646,'[1]Simulation pricing per sub assy'!$D:$E,2,0))*M646</f>
        <v>103.16640000000004</v>
      </c>
      <c r="P646" s="16" t="s">
        <v>52</v>
      </c>
      <c r="Q646" s="16">
        <v>8</v>
      </c>
      <c r="R646" s="16" t="s">
        <v>18</v>
      </c>
      <c r="S646" s="40">
        <f>(VLOOKUP(P646,'[1]BOM Info General'!$A:$L,12,0))*Q646</f>
        <v>21.2</v>
      </c>
      <c r="T646" s="17" t="s">
        <v>28</v>
      </c>
      <c r="U646" s="17">
        <v>1</v>
      </c>
      <c r="V646" s="17" t="s">
        <v>29</v>
      </c>
      <c r="W646" s="17">
        <f>(VLOOKUP(T646,'[1]Simulation pricing per sub assy'!$D:$E,2,0))*U646</f>
        <v>7</v>
      </c>
      <c r="X646" s="18" t="s">
        <v>616</v>
      </c>
      <c r="Y646" s="18">
        <v>1</v>
      </c>
      <c r="Z646" s="18" t="s">
        <v>23</v>
      </c>
      <c r="AA646" s="18">
        <f>(VLOOKUP(X646,'[1]Simulation pricing per sub assy'!$D:$E,2,0))*Y646</f>
        <v>4.4802908000000006</v>
      </c>
    </row>
    <row r="647" spans="1:27" x14ac:dyDescent="0.35">
      <c r="A647" s="13" t="s">
        <v>551</v>
      </c>
      <c r="B647" s="13" t="s">
        <v>4239</v>
      </c>
      <c r="C647" s="42">
        <f t="shared" si="10"/>
        <v>286.1966908</v>
      </c>
      <c r="D647" s="14" t="s">
        <v>43</v>
      </c>
      <c r="E647" s="14">
        <v>2</v>
      </c>
      <c r="F647" s="14" t="s">
        <v>3983</v>
      </c>
      <c r="G647" s="14">
        <f>(VLOOKUP(D647,'[1]BOM Info General'!$A:$L,12,0))*E647</f>
        <v>130.12</v>
      </c>
      <c r="H647" s="15" t="s">
        <v>41</v>
      </c>
      <c r="I647" s="15">
        <v>1</v>
      </c>
      <c r="J647" s="15" t="s">
        <v>47</v>
      </c>
      <c r="K647" s="15">
        <f>(VLOOKUP(H647,'[1]BOM Info General'!$A:$L,12,0))*I647</f>
        <v>27.18</v>
      </c>
      <c r="L647" s="9" t="s">
        <v>524</v>
      </c>
      <c r="M647" s="9">
        <v>1</v>
      </c>
      <c r="N647" s="9" t="s">
        <v>70</v>
      </c>
      <c r="O647" s="9">
        <f>(VLOOKUP(L647,'[1]Simulation pricing per sub assy'!$D:$E,2,0))*M647</f>
        <v>94.656400000000033</v>
      </c>
      <c r="P647" s="16" t="s">
        <v>50</v>
      </c>
      <c r="Q647" s="16">
        <v>8</v>
      </c>
      <c r="R647" s="16" t="s">
        <v>611</v>
      </c>
      <c r="S647" s="40">
        <f>(VLOOKUP(P647,'[1]BOM Info General'!$A:$L,12,0))*Q647</f>
        <v>21.2</v>
      </c>
      <c r="T647" s="17" t="s">
        <v>30</v>
      </c>
      <c r="U647" s="17">
        <v>1</v>
      </c>
      <c r="V647" s="17" t="s">
        <v>31</v>
      </c>
      <c r="W647" s="17">
        <f>(VLOOKUP(T647,'[1]Simulation pricing per sub assy'!$D:$E,2,0))*U647</f>
        <v>8.5599999999999987</v>
      </c>
      <c r="X647" s="18" t="s">
        <v>616</v>
      </c>
      <c r="Y647" s="18">
        <v>1</v>
      </c>
      <c r="Z647" s="18" t="s">
        <v>23</v>
      </c>
      <c r="AA647" s="18">
        <f>(VLOOKUP(X647,'[1]Simulation pricing per sub assy'!$D:$E,2,0))*Y647</f>
        <v>4.4802908000000006</v>
      </c>
    </row>
    <row r="648" spans="1:27" x14ac:dyDescent="0.35">
      <c r="A648" s="13" t="s">
        <v>547</v>
      </c>
      <c r="B648" s="13" t="s">
        <v>4240</v>
      </c>
      <c r="C648" s="42">
        <f t="shared" si="10"/>
        <v>287.29669080000002</v>
      </c>
      <c r="D648" s="14" t="s">
        <v>43</v>
      </c>
      <c r="E648" s="14">
        <v>2</v>
      </c>
      <c r="F648" s="14" t="s">
        <v>3983</v>
      </c>
      <c r="G648" s="14">
        <f>(VLOOKUP(D648,'[1]BOM Info General'!$A:$L,12,0))*E648</f>
        <v>130.12</v>
      </c>
      <c r="H648" s="15" t="s">
        <v>41</v>
      </c>
      <c r="I648" s="15">
        <v>1</v>
      </c>
      <c r="J648" s="15" t="s">
        <v>47</v>
      </c>
      <c r="K648" s="15">
        <f>(VLOOKUP(H648,'[1]BOM Info General'!$A:$L,12,0))*I648</f>
        <v>27.18</v>
      </c>
      <c r="L648" s="9" t="s">
        <v>67</v>
      </c>
      <c r="M648" s="9">
        <v>1</v>
      </c>
      <c r="N648" s="9" t="s">
        <v>64</v>
      </c>
      <c r="O648" s="9">
        <f>(VLOOKUP(L648,'[1]Simulation pricing per sub assy'!$D:$E,2,0))*M648</f>
        <v>95.756400000000042</v>
      </c>
      <c r="P648" s="16" t="s">
        <v>50</v>
      </c>
      <c r="Q648" s="16">
        <v>8</v>
      </c>
      <c r="R648" s="16" t="s">
        <v>611</v>
      </c>
      <c r="S648" s="40">
        <f>(VLOOKUP(P648,'[1]BOM Info General'!$A:$L,12,0))*Q648</f>
        <v>21.2</v>
      </c>
      <c r="T648" s="17" t="s">
        <v>30</v>
      </c>
      <c r="U648" s="17">
        <v>1</v>
      </c>
      <c r="V648" s="17" t="s">
        <v>31</v>
      </c>
      <c r="W648" s="17">
        <f>(VLOOKUP(T648,'[1]Simulation pricing per sub assy'!$D:$E,2,0))*U648</f>
        <v>8.5599999999999987</v>
      </c>
      <c r="X648" s="18" t="s">
        <v>616</v>
      </c>
      <c r="Y648" s="18">
        <v>1</v>
      </c>
      <c r="Z648" s="18" t="s">
        <v>23</v>
      </c>
      <c r="AA648" s="18">
        <f>(VLOOKUP(X648,'[1]Simulation pricing per sub assy'!$D:$E,2,0))*Y648</f>
        <v>4.4802908000000006</v>
      </c>
    </row>
    <row r="649" spans="1:27" x14ac:dyDescent="0.35">
      <c r="A649" s="13" t="s">
        <v>549</v>
      </c>
      <c r="B649" s="13" t="s">
        <v>4241</v>
      </c>
      <c r="C649" s="42">
        <f t="shared" si="10"/>
        <v>287.29669080000002</v>
      </c>
      <c r="D649" s="14" t="s">
        <v>43</v>
      </c>
      <c r="E649" s="14">
        <v>2</v>
      </c>
      <c r="F649" s="14" t="s">
        <v>3983</v>
      </c>
      <c r="G649" s="14">
        <f>(VLOOKUP(D649,'[1]BOM Info General'!$A:$L,12,0))*E649</f>
        <v>130.12</v>
      </c>
      <c r="H649" s="15" t="s">
        <v>41</v>
      </c>
      <c r="I649" s="15">
        <v>1</v>
      </c>
      <c r="J649" s="15" t="s">
        <v>47</v>
      </c>
      <c r="K649" s="15">
        <f>(VLOOKUP(H649,'[1]BOM Info General'!$A:$L,12,0))*I649</f>
        <v>27.18</v>
      </c>
      <c r="L649" s="9" t="s">
        <v>63</v>
      </c>
      <c r="M649" s="9">
        <v>1</v>
      </c>
      <c r="N649" s="9" t="s">
        <v>62</v>
      </c>
      <c r="O649" s="9">
        <f>(VLOOKUP(L649,'[1]Simulation pricing per sub assy'!$D:$E,2,0))*M649</f>
        <v>95.756400000000042</v>
      </c>
      <c r="P649" s="16" t="s">
        <v>50</v>
      </c>
      <c r="Q649" s="16">
        <v>8</v>
      </c>
      <c r="R649" s="16" t="s">
        <v>611</v>
      </c>
      <c r="S649" s="40">
        <f>(VLOOKUP(P649,'[1]BOM Info General'!$A:$L,12,0))*Q649</f>
        <v>21.2</v>
      </c>
      <c r="T649" s="17" t="s">
        <v>30</v>
      </c>
      <c r="U649" s="17">
        <v>1</v>
      </c>
      <c r="V649" s="17" t="s">
        <v>31</v>
      </c>
      <c r="W649" s="17">
        <f>(VLOOKUP(T649,'[1]Simulation pricing per sub assy'!$D:$E,2,0))*U649</f>
        <v>8.5599999999999987</v>
      </c>
      <c r="X649" s="18" t="s">
        <v>616</v>
      </c>
      <c r="Y649" s="18">
        <v>1</v>
      </c>
      <c r="Z649" s="18" t="s">
        <v>23</v>
      </c>
      <c r="AA649" s="18">
        <f>(VLOOKUP(X649,'[1]Simulation pricing per sub assy'!$D:$E,2,0))*Y649</f>
        <v>4.4802908000000006</v>
      </c>
    </row>
    <row r="650" spans="1:27" x14ac:dyDescent="0.35">
      <c r="A650" s="13" t="s">
        <v>548</v>
      </c>
      <c r="B650" s="13" t="s">
        <v>4242</v>
      </c>
      <c r="C650" s="42">
        <f t="shared" si="10"/>
        <v>286.74669080000001</v>
      </c>
      <c r="D650" s="14" t="s">
        <v>43</v>
      </c>
      <c r="E650" s="14">
        <v>2</v>
      </c>
      <c r="F650" s="14" t="s">
        <v>3983</v>
      </c>
      <c r="G650" s="14">
        <f>(VLOOKUP(D650,'[1]BOM Info General'!$A:$L,12,0))*E650</f>
        <v>130.12</v>
      </c>
      <c r="H650" s="15" t="s">
        <v>41</v>
      </c>
      <c r="I650" s="15">
        <v>1</v>
      </c>
      <c r="J650" s="15" t="s">
        <v>47</v>
      </c>
      <c r="K650" s="15">
        <f>(VLOOKUP(H650,'[1]BOM Info General'!$A:$L,12,0))*I650</f>
        <v>27.18</v>
      </c>
      <c r="L650" s="9" t="s">
        <v>69</v>
      </c>
      <c r="M650" s="9">
        <v>1</v>
      </c>
      <c r="N650" s="9" t="s">
        <v>66</v>
      </c>
      <c r="O650" s="9">
        <f>(VLOOKUP(L650,'[1]Simulation pricing per sub assy'!$D:$E,2,0))*M650</f>
        <v>95.206400000000031</v>
      </c>
      <c r="P650" s="16" t="s">
        <v>50</v>
      </c>
      <c r="Q650" s="16">
        <v>8</v>
      </c>
      <c r="R650" s="16" t="s">
        <v>611</v>
      </c>
      <c r="S650" s="40">
        <f>(VLOOKUP(P650,'[1]BOM Info General'!$A:$L,12,0))*Q650</f>
        <v>21.2</v>
      </c>
      <c r="T650" s="17" t="s">
        <v>30</v>
      </c>
      <c r="U650" s="17">
        <v>1</v>
      </c>
      <c r="V650" s="17" t="s">
        <v>31</v>
      </c>
      <c r="W650" s="17">
        <f>(VLOOKUP(T650,'[1]Simulation pricing per sub assy'!$D:$E,2,0))*U650</f>
        <v>8.5599999999999987</v>
      </c>
      <c r="X650" s="18" t="s">
        <v>616</v>
      </c>
      <c r="Y650" s="18">
        <v>1</v>
      </c>
      <c r="Z650" s="18" t="s">
        <v>23</v>
      </c>
      <c r="AA650" s="18">
        <f>(VLOOKUP(X650,'[1]Simulation pricing per sub assy'!$D:$E,2,0))*Y650</f>
        <v>4.4802908000000006</v>
      </c>
    </row>
    <row r="651" spans="1:27" x14ac:dyDescent="0.35">
      <c r="A651" s="13" t="s">
        <v>550</v>
      </c>
      <c r="B651" s="13" t="s">
        <v>4243</v>
      </c>
      <c r="C651" s="42">
        <f t="shared" si="10"/>
        <v>294.70669079999999</v>
      </c>
      <c r="D651" s="14" t="s">
        <v>43</v>
      </c>
      <c r="E651" s="14">
        <v>2</v>
      </c>
      <c r="F651" s="14" t="s">
        <v>3983</v>
      </c>
      <c r="G651" s="14">
        <f>(VLOOKUP(D651,'[1]BOM Info General'!$A:$L,12,0))*E651</f>
        <v>130.12</v>
      </c>
      <c r="H651" s="15" t="s">
        <v>41</v>
      </c>
      <c r="I651" s="15">
        <v>1</v>
      </c>
      <c r="J651" s="15" t="s">
        <v>47</v>
      </c>
      <c r="K651" s="15">
        <f>(VLOOKUP(H651,'[1]BOM Info General'!$A:$L,12,0))*I651</f>
        <v>27.18</v>
      </c>
      <c r="L651" s="9" t="s">
        <v>65</v>
      </c>
      <c r="M651" s="9">
        <v>1</v>
      </c>
      <c r="N651" s="9" t="s">
        <v>68</v>
      </c>
      <c r="O651" s="9">
        <f>(VLOOKUP(L651,'[1]Simulation pricing per sub assy'!$D:$E,2,0))*M651</f>
        <v>103.16640000000004</v>
      </c>
      <c r="P651" s="16" t="s">
        <v>50</v>
      </c>
      <c r="Q651" s="16">
        <v>8</v>
      </c>
      <c r="R651" s="16" t="s">
        <v>611</v>
      </c>
      <c r="S651" s="40">
        <f>(VLOOKUP(P651,'[1]BOM Info General'!$A:$L,12,0))*Q651</f>
        <v>21.2</v>
      </c>
      <c r="T651" s="17" t="s">
        <v>30</v>
      </c>
      <c r="U651" s="17">
        <v>1</v>
      </c>
      <c r="V651" s="17" t="s">
        <v>31</v>
      </c>
      <c r="W651" s="17">
        <f>(VLOOKUP(T651,'[1]Simulation pricing per sub assy'!$D:$E,2,0))*U651</f>
        <v>8.5599999999999987</v>
      </c>
      <c r="X651" s="18" t="s">
        <v>616</v>
      </c>
      <c r="Y651" s="18">
        <v>1</v>
      </c>
      <c r="Z651" s="18" t="s">
        <v>23</v>
      </c>
      <c r="AA651" s="18">
        <f>(VLOOKUP(X651,'[1]Simulation pricing per sub assy'!$D:$E,2,0))*Y651</f>
        <v>4.4802908000000006</v>
      </c>
    </row>
    <row r="652" spans="1:27" x14ac:dyDescent="0.35">
      <c r="A652" s="13" t="s">
        <v>575</v>
      </c>
      <c r="B652" s="13" t="s">
        <v>4244</v>
      </c>
      <c r="C652" s="42">
        <f t="shared" si="10"/>
        <v>111.01578079999999</v>
      </c>
      <c r="D652" s="14" t="s">
        <v>42</v>
      </c>
      <c r="E652" s="14">
        <v>1</v>
      </c>
      <c r="F652" s="14" t="s">
        <v>3982</v>
      </c>
      <c r="G652" s="14">
        <f>(VLOOKUP(D652,'[1]BOM Info General'!$A:$L,12,0))*E652</f>
        <v>35.56</v>
      </c>
      <c r="H652" s="15" t="s">
        <v>39</v>
      </c>
      <c r="I652" s="15">
        <v>1</v>
      </c>
      <c r="J652" s="15" t="s">
        <v>46</v>
      </c>
      <c r="K652" s="15">
        <f>(VLOOKUP(H652,'[1]BOM Info General'!$A:$L,12,0))*I652</f>
        <v>24.42</v>
      </c>
      <c r="L652" s="9" t="s">
        <v>527</v>
      </c>
      <c r="M652" s="9">
        <v>1</v>
      </c>
      <c r="N652" s="9" t="s">
        <v>79</v>
      </c>
      <c r="O652" s="9">
        <f>(VLOOKUP(L652,'[1]Simulation pricing per sub assy'!$D:$E,2,0))*M652</f>
        <v>42.308799999999991</v>
      </c>
      <c r="P652" s="16" t="s">
        <v>50</v>
      </c>
      <c r="Q652" s="16">
        <v>2</v>
      </c>
      <c r="R652" s="16" t="s">
        <v>611</v>
      </c>
      <c r="S652" s="40">
        <f>(VLOOKUP(P652,'[1]BOM Info General'!$A:$L,12,0))*Q652</f>
        <v>5.3</v>
      </c>
      <c r="T652" s="17" t="s">
        <v>7</v>
      </c>
      <c r="U652" s="17">
        <v>1</v>
      </c>
      <c r="V652" s="17" t="s">
        <v>8</v>
      </c>
      <c r="W652" s="17">
        <f>(VLOOKUP(T652,'[1]Simulation pricing per sub assy'!$D:$E,2,0))*U652</f>
        <v>1.85</v>
      </c>
      <c r="X652" s="18" t="s">
        <v>615</v>
      </c>
      <c r="Y652" s="18">
        <v>1</v>
      </c>
      <c r="Z652" s="18" t="s">
        <v>9</v>
      </c>
      <c r="AA652" s="18">
        <f>(VLOOKUP(X652,'[1]Simulation pricing per sub assy'!$D:$E,2,0))*Y652</f>
        <v>1.5769808000000001</v>
      </c>
    </row>
    <row r="653" spans="1:27" x14ac:dyDescent="0.35">
      <c r="A653" s="13" t="s">
        <v>571</v>
      </c>
      <c r="B653" s="13" t="s">
        <v>4245</v>
      </c>
      <c r="C653" s="42">
        <f t="shared" si="10"/>
        <v>111.99578079999999</v>
      </c>
      <c r="D653" s="14" t="s">
        <v>42</v>
      </c>
      <c r="E653" s="14">
        <v>1</v>
      </c>
      <c r="F653" s="14" t="s">
        <v>3982</v>
      </c>
      <c r="G653" s="14">
        <f>(VLOOKUP(D653,'[1]BOM Info General'!$A:$L,12,0))*E653</f>
        <v>35.56</v>
      </c>
      <c r="H653" s="15" t="s">
        <v>39</v>
      </c>
      <c r="I653" s="15">
        <v>1</v>
      </c>
      <c r="J653" s="15" t="s">
        <v>46</v>
      </c>
      <c r="K653" s="15">
        <f>(VLOOKUP(H653,'[1]BOM Info General'!$A:$L,12,0))*I653</f>
        <v>24.42</v>
      </c>
      <c r="L653" s="9" t="s">
        <v>76</v>
      </c>
      <c r="M653" s="9">
        <v>1</v>
      </c>
      <c r="N653" s="9" t="s">
        <v>73</v>
      </c>
      <c r="O653" s="9">
        <f>(VLOOKUP(L653,'[1]Simulation pricing per sub assy'!$D:$E,2,0))*M653</f>
        <v>43.288799999999988</v>
      </c>
      <c r="P653" s="16" t="s">
        <v>50</v>
      </c>
      <c r="Q653" s="16">
        <v>2</v>
      </c>
      <c r="R653" s="16" t="s">
        <v>611</v>
      </c>
      <c r="S653" s="40">
        <f>(VLOOKUP(P653,'[1]BOM Info General'!$A:$L,12,0))*Q653</f>
        <v>5.3</v>
      </c>
      <c r="T653" s="17" t="s">
        <v>7</v>
      </c>
      <c r="U653" s="17">
        <v>1</v>
      </c>
      <c r="V653" s="17" t="s">
        <v>8</v>
      </c>
      <c r="W653" s="17">
        <f>(VLOOKUP(T653,'[1]Simulation pricing per sub assy'!$D:$E,2,0))*U653</f>
        <v>1.85</v>
      </c>
      <c r="X653" s="18" t="s">
        <v>615</v>
      </c>
      <c r="Y653" s="18">
        <v>1</v>
      </c>
      <c r="Z653" s="18" t="s">
        <v>9</v>
      </c>
      <c r="AA653" s="18">
        <f>(VLOOKUP(X653,'[1]Simulation pricing per sub assy'!$D:$E,2,0))*Y653</f>
        <v>1.5769808000000001</v>
      </c>
    </row>
    <row r="654" spans="1:27" x14ac:dyDescent="0.35">
      <c r="A654" s="13" t="s">
        <v>573</v>
      </c>
      <c r="B654" s="13" t="s">
        <v>4246</v>
      </c>
      <c r="C654" s="42">
        <f t="shared" si="10"/>
        <v>112.57578079999999</v>
      </c>
      <c r="D654" s="14" t="s">
        <v>42</v>
      </c>
      <c r="E654" s="14">
        <v>1</v>
      </c>
      <c r="F654" s="14" t="s">
        <v>3982</v>
      </c>
      <c r="G654" s="14">
        <f>(VLOOKUP(D654,'[1]BOM Info General'!$A:$L,12,0))*E654</f>
        <v>35.56</v>
      </c>
      <c r="H654" s="15" t="s">
        <v>39</v>
      </c>
      <c r="I654" s="15">
        <v>1</v>
      </c>
      <c r="J654" s="15" t="s">
        <v>46</v>
      </c>
      <c r="K654" s="15">
        <f>(VLOOKUP(H654,'[1]BOM Info General'!$A:$L,12,0))*I654</f>
        <v>24.42</v>
      </c>
      <c r="L654" s="9" t="s">
        <v>72</v>
      </c>
      <c r="M654" s="9">
        <v>1</v>
      </c>
      <c r="N654" s="9" t="s">
        <v>71</v>
      </c>
      <c r="O654" s="9">
        <f>(VLOOKUP(L654,'[1]Simulation pricing per sub assy'!$D:$E,2,0))*M654</f>
        <v>43.868799999999993</v>
      </c>
      <c r="P654" s="16" t="s">
        <v>50</v>
      </c>
      <c r="Q654" s="16">
        <v>2</v>
      </c>
      <c r="R654" s="16" t="s">
        <v>611</v>
      </c>
      <c r="S654" s="40">
        <f>(VLOOKUP(P654,'[1]BOM Info General'!$A:$L,12,0))*Q654</f>
        <v>5.3</v>
      </c>
      <c r="T654" s="17" t="s">
        <v>7</v>
      </c>
      <c r="U654" s="17">
        <v>1</v>
      </c>
      <c r="V654" s="17" t="s">
        <v>8</v>
      </c>
      <c r="W654" s="17">
        <f>(VLOOKUP(T654,'[1]Simulation pricing per sub assy'!$D:$E,2,0))*U654</f>
        <v>1.85</v>
      </c>
      <c r="X654" s="18" t="s">
        <v>615</v>
      </c>
      <c r="Y654" s="18">
        <v>1</v>
      </c>
      <c r="Z654" s="18" t="s">
        <v>9</v>
      </c>
      <c r="AA654" s="18">
        <f>(VLOOKUP(X654,'[1]Simulation pricing per sub assy'!$D:$E,2,0))*Y654</f>
        <v>1.5769808000000001</v>
      </c>
    </row>
    <row r="655" spans="1:27" x14ac:dyDescent="0.35">
      <c r="A655" s="13" t="s">
        <v>572</v>
      </c>
      <c r="B655" s="13" t="s">
        <v>4247</v>
      </c>
      <c r="C655" s="42">
        <f t="shared" si="10"/>
        <v>112.31578079999998</v>
      </c>
      <c r="D655" s="14" t="s">
        <v>42</v>
      </c>
      <c r="E655" s="14">
        <v>1</v>
      </c>
      <c r="F655" s="14" t="s">
        <v>3982</v>
      </c>
      <c r="G655" s="14">
        <f>(VLOOKUP(D655,'[1]BOM Info General'!$A:$L,12,0))*E655</f>
        <v>35.56</v>
      </c>
      <c r="H655" s="15" t="s">
        <v>39</v>
      </c>
      <c r="I655" s="15">
        <v>1</v>
      </c>
      <c r="J655" s="15" t="s">
        <v>46</v>
      </c>
      <c r="K655" s="15">
        <f>(VLOOKUP(H655,'[1]BOM Info General'!$A:$L,12,0))*I655</f>
        <v>24.42</v>
      </c>
      <c r="L655" s="9" t="s">
        <v>78</v>
      </c>
      <c r="M655" s="9">
        <v>1</v>
      </c>
      <c r="N655" s="9" t="s">
        <v>75</v>
      </c>
      <c r="O655" s="9">
        <f>(VLOOKUP(L655,'[1]Simulation pricing per sub assy'!$D:$E,2,0))*M655</f>
        <v>43.608799999999988</v>
      </c>
      <c r="P655" s="16" t="s">
        <v>50</v>
      </c>
      <c r="Q655" s="16">
        <v>2</v>
      </c>
      <c r="R655" s="16" t="s">
        <v>611</v>
      </c>
      <c r="S655" s="40">
        <f>(VLOOKUP(P655,'[1]BOM Info General'!$A:$L,12,0))*Q655</f>
        <v>5.3</v>
      </c>
      <c r="T655" s="17" t="s">
        <v>7</v>
      </c>
      <c r="U655" s="17">
        <v>1</v>
      </c>
      <c r="V655" s="17" t="s">
        <v>8</v>
      </c>
      <c r="W655" s="17">
        <f>(VLOOKUP(T655,'[1]Simulation pricing per sub assy'!$D:$E,2,0))*U655</f>
        <v>1.85</v>
      </c>
      <c r="X655" s="18" t="s">
        <v>615</v>
      </c>
      <c r="Y655" s="18">
        <v>1</v>
      </c>
      <c r="Z655" s="18" t="s">
        <v>9</v>
      </c>
      <c r="AA655" s="18">
        <f>(VLOOKUP(X655,'[1]Simulation pricing per sub assy'!$D:$E,2,0))*Y655</f>
        <v>1.5769808000000001</v>
      </c>
    </row>
    <row r="656" spans="1:27" x14ac:dyDescent="0.35">
      <c r="A656" s="13" t="s">
        <v>574</v>
      </c>
      <c r="B656" s="13" t="s">
        <v>4248</v>
      </c>
      <c r="C656" s="42">
        <f t="shared" si="10"/>
        <v>119.98578079999999</v>
      </c>
      <c r="D656" s="14" t="s">
        <v>42</v>
      </c>
      <c r="E656" s="14">
        <v>1</v>
      </c>
      <c r="F656" s="14" t="s">
        <v>3982</v>
      </c>
      <c r="G656" s="14">
        <f>(VLOOKUP(D656,'[1]BOM Info General'!$A:$L,12,0))*E656</f>
        <v>35.56</v>
      </c>
      <c r="H656" s="15" t="s">
        <v>39</v>
      </c>
      <c r="I656" s="15">
        <v>1</v>
      </c>
      <c r="J656" s="15" t="s">
        <v>46</v>
      </c>
      <c r="K656" s="15">
        <f>(VLOOKUP(H656,'[1]BOM Info General'!$A:$L,12,0))*I656</f>
        <v>24.42</v>
      </c>
      <c r="L656" s="9" t="s">
        <v>74</v>
      </c>
      <c r="M656" s="9">
        <v>1</v>
      </c>
      <c r="N656" s="9" t="s">
        <v>77</v>
      </c>
      <c r="O656" s="9">
        <f>(VLOOKUP(L656,'[1]Simulation pricing per sub assy'!$D:$E,2,0))*M656</f>
        <v>51.27879999999999</v>
      </c>
      <c r="P656" s="16" t="s">
        <v>50</v>
      </c>
      <c r="Q656" s="16">
        <v>2</v>
      </c>
      <c r="R656" s="16" t="s">
        <v>611</v>
      </c>
      <c r="S656" s="40">
        <f>(VLOOKUP(P656,'[1]BOM Info General'!$A:$L,12,0))*Q656</f>
        <v>5.3</v>
      </c>
      <c r="T656" s="17" t="s">
        <v>7</v>
      </c>
      <c r="U656" s="17">
        <v>1</v>
      </c>
      <c r="V656" s="17" t="s">
        <v>8</v>
      </c>
      <c r="W656" s="17">
        <f>(VLOOKUP(T656,'[1]Simulation pricing per sub assy'!$D:$E,2,0))*U656</f>
        <v>1.85</v>
      </c>
      <c r="X656" s="18" t="s">
        <v>615</v>
      </c>
      <c r="Y656" s="18">
        <v>1</v>
      </c>
      <c r="Z656" s="18" t="s">
        <v>9</v>
      </c>
      <c r="AA656" s="18">
        <f>(VLOOKUP(X656,'[1]Simulation pricing per sub assy'!$D:$E,2,0))*Y656</f>
        <v>1.5769808000000001</v>
      </c>
    </row>
    <row r="657" spans="1:27" x14ac:dyDescent="0.35">
      <c r="A657" s="13" t="s">
        <v>456</v>
      </c>
      <c r="B657" s="13" t="s">
        <v>4249</v>
      </c>
      <c r="C657" s="42">
        <f t="shared" si="10"/>
        <v>111.21578079999999</v>
      </c>
      <c r="D657" s="14" t="s">
        <v>42</v>
      </c>
      <c r="E657" s="14">
        <v>1</v>
      </c>
      <c r="F657" s="14" t="s">
        <v>3982</v>
      </c>
      <c r="G657" s="14">
        <f>(VLOOKUP(D657,'[1]BOM Info General'!$A:$L,12,0))*E657</f>
        <v>35.56</v>
      </c>
      <c r="H657" s="15" t="s">
        <v>39</v>
      </c>
      <c r="I657" s="15">
        <v>1</v>
      </c>
      <c r="J657" s="15" t="s">
        <v>46</v>
      </c>
      <c r="K657" s="15">
        <f>(VLOOKUP(H657,'[1]BOM Info General'!$A:$L,12,0))*I657</f>
        <v>24.42</v>
      </c>
      <c r="L657" s="9" t="s">
        <v>527</v>
      </c>
      <c r="M657" s="9">
        <v>1</v>
      </c>
      <c r="N657" s="9" t="s">
        <v>79</v>
      </c>
      <c r="O657" s="9">
        <f>(VLOOKUP(L657,'[1]Simulation pricing per sub assy'!$D:$E,2,0))*M657</f>
        <v>42.308799999999991</v>
      </c>
      <c r="P657" s="16" t="s">
        <v>50</v>
      </c>
      <c r="Q657" s="16">
        <v>2</v>
      </c>
      <c r="R657" s="16" t="s">
        <v>16</v>
      </c>
      <c r="S657" s="40">
        <f>(VLOOKUP(P657,'[1]BOM Info General'!$A:$L,12,0))*Q657</f>
        <v>5.3</v>
      </c>
      <c r="T657" s="17" t="s">
        <v>10</v>
      </c>
      <c r="U657" s="17">
        <v>1</v>
      </c>
      <c r="V657" s="17" t="s">
        <v>11</v>
      </c>
      <c r="W657" s="17">
        <f>(VLOOKUP(T657,'[1]Simulation pricing per sub assy'!$D:$E,2,0))*U657</f>
        <v>2.0499999999999998</v>
      </c>
      <c r="X657" s="18" t="s">
        <v>615</v>
      </c>
      <c r="Y657" s="18">
        <v>1</v>
      </c>
      <c r="Z657" s="18" t="s">
        <v>9</v>
      </c>
      <c r="AA657" s="18">
        <f>(VLOOKUP(X657,'[1]Simulation pricing per sub assy'!$D:$E,2,0))*Y657</f>
        <v>1.5769808000000001</v>
      </c>
    </row>
    <row r="658" spans="1:27" x14ac:dyDescent="0.35">
      <c r="A658" s="13" t="s">
        <v>312</v>
      </c>
      <c r="B658" s="13" t="s">
        <v>4250</v>
      </c>
      <c r="C658" s="42">
        <f t="shared" si="10"/>
        <v>112.19578079999999</v>
      </c>
      <c r="D658" s="14" t="s">
        <v>42</v>
      </c>
      <c r="E658" s="14">
        <v>1</v>
      </c>
      <c r="F658" s="14" t="s">
        <v>3982</v>
      </c>
      <c r="G658" s="14">
        <f>(VLOOKUP(D658,'[1]BOM Info General'!$A:$L,12,0))*E658</f>
        <v>35.56</v>
      </c>
      <c r="H658" s="15" t="s">
        <v>39</v>
      </c>
      <c r="I658" s="15">
        <v>1</v>
      </c>
      <c r="J658" s="15" t="s">
        <v>46</v>
      </c>
      <c r="K658" s="15">
        <f>(VLOOKUP(H658,'[1]BOM Info General'!$A:$L,12,0))*I658</f>
        <v>24.42</v>
      </c>
      <c r="L658" s="9" t="s">
        <v>76</v>
      </c>
      <c r="M658" s="9">
        <v>1</v>
      </c>
      <c r="N658" s="9" t="s">
        <v>73</v>
      </c>
      <c r="O658" s="9">
        <f>(VLOOKUP(L658,'[1]Simulation pricing per sub assy'!$D:$E,2,0))*M658</f>
        <v>43.288799999999988</v>
      </c>
      <c r="P658" s="16" t="s">
        <v>50</v>
      </c>
      <c r="Q658" s="16">
        <v>2</v>
      </c>
      <c r="R658" s="16" t="s">
        <v>16</v>
      </c>
      <c r="S658" s="40">
        <f>(VLOOKUP(P658,'[1]BOM Info General'!$A:$L,12,0))*Q658</f>
        <v>5.3</v>
      </c>
      <c r="T658" s="17" t="s">
        <v>10</v>
      </c>
      <c r="U658" s="17">
        <v>1</v>
      </c>
      <c r="V658" s="17" t="s">
        <v>11</v>
      </c>
      <c r="W658" s="17">
        <f>(VLOOKUP(T658,'[1]Simulation pricing per sub assy'!$D:$E,2,0))*U658</f>
        <v>2.0499999999999998</v>
      </c>
      <c r="X658" s="18" t="s">
        <v>615</v>
      </c>
      <c r="Y658" s="18">
        <v>1</v>
      </c>
      <c r="Z658" s="18" t="s">
        <v>9</v>
      </c>
      <c r="AA658" s="18">
        <f>(VLOOKUP(X658,'[1]Simulation pricing per sub assy'!$D:$E,2,0))*Y658</f>
        <v>1.5769808000000001</v>
      </c>
    </row>
    <row r="659" spans="1:27" x14ac:dyDescent="0.35">
      <c r="A659" s="13" t="s">
        <v>384</v>
      </c>
      <c r="B659" s="13" t="s">
        <v>4251</v>
      </c>
      <c r="C659" s="42">
        <f t="shared" si="10"/>
        <v>112.77578079999999</v>
      </c>
      <c r="D659" s="14" t="s">
        <v>42</v>
      </c>
      <c r="E659" s="14">
        <v>1</v>
      </c>
      <c r="F659" s="14" t="s">
        <v>3982</v>
      </c>
      <c r="G659" s="14">
        <f>(VLOOKUP(D659,'[1]BOM Info General'!$A:$L,12,0))*E659</f>
        <v>35.56</v>
      </c>
      <c r="H659" s="15" t="s">
        <v>39</v>
      </c>
      <c r="I659" s="15">
        <v>1</v>
      </c>
      <c r="J659" s="15" t="s">
        <v>46</v>
      </c>
      <c r="K659" s="15">
        <f>(VLOOKUP(H659,'[1]BOM Info General'!$A:$L,12,0))*I659</f>
        <v>24.42</v>
      </c>
      <c r="L659" s="9" t="s">
        <v>72</v>
      </c>
      <c r="M659" s="9">
        <v>1</v>
      </c>
      <c r="N659" s="9" t="s">
        <v>71</v>
      </c>
      <c r="O659" s="9">
        <f>(VLOOKUP(L659,'[1]Simulation pricing per sub assy'!$D:$E,2,0))*M659</f>
        <v>43.868799999999993</v>
      </c>
      <c r="P659" s="16" t="s">
        <v>50</v>
      </c>
      <c r="Q659" s="16">
        <v>2</v>
      </c>
      <c r="R659" s="16" t="s">
        <v>16</v>
      </c>
      <c r="S659" s="40">
        <f>(VLOOKUP(P659,'[1]BOM Info General'!$A:$L,12,0))*Q659</f>
        <v>5.3</v>
      </c>
      <c r="T659" s="17" t="s">
        <v>10</v>
      </c>
      <c r="U659" s="17">
        <v>1</v>
      </c>
      <c r="V659" s="17" t="s">
        <v>11</v>
      </c>
      <c r="W659" s="17">
        <f>(VLOOKUP(T659,'[1]Simulation pricing per sub assy'!$D:$E,2,0))*U659</f>
        <v>2.0499999999999998</v>
      </c>
      <c r="X659" s="18" t="s">
        <v>615</v>
      </c>
      <c r="Y659" s="18">
        <v>1</v>
      </c>
      <c r="Z659" s="18" t="s">
        <v>9</v>
      </c>
      <c r="AA659" s="18">
        <f>(VLOOKUP(X659,'[1]Simulation pricing per sub assy'!$D:$E,2,0))*Y659</f>
        <v>1.5769808000000001</v>
      </c>
    </row>
    <row r="660" spans="1:27" x14ac:dyDescent="0.35">
      <c r="A660" s="13" t="s">
        <v>348</v>
      </c>
      <c r="B660" s="13" t="s">
        <v>4252</v>
      </c>
      <c r="C660" s="42">
        <f t="shared" si="10"/>
        <v>112.51578079999999</v>
      </c>
      <c r="D660" s="14" t="s">
        <v>42</v>
      </c>
      <c r="E660" s="14">
        <v>1</v>
      </c>
      <c r="F660" s="14" t="s">
        <v>3982</v>
      </c>
      <c r="G660" s="14">
        <f>(VLOOKUP(D660,'[1]BOM Info General'!$A:$L,12,0))*E660</f>
        <v>35.56</v>
      </c>
      <c r="H660" s="15" t="s">
        <v>39</v>
      </c>
      <c r="I660" s="15">
        <v>1</v>
      </c>
      <c r="J660" s="15" t="s">
        <v>46</v>
      </c>
      <c r="K660" s="15">
        <f>(VLOOKUP(H660,'[1]BOM Info General'!$A:$L,12,0))*I660</f>
        <v>24.42</v>
      </c>
      <c r="L660" s="9" t="s">
        <v>78</v>
      </c>
      <c r="M660" s="9">
        <v>1</v>
      </c>
      <c r="N660" s="9" t="s">
        <v>75</v>
      </c>
      <c r="O660" s="9">
        <f>(VLOOKUP(L660,'[1]Simulation pricing per sub assy'!$D:$E,2,0))*M660</f>
        <v>43.608799999999988</v>
      </c>
      <c r="P660" s="16" t="s">
        <v>50</v>
      </c>
      <c r="Q660" s="16">
        <v>2</v>
      </c>
      <c r="R660" s="16" t="s">
        <v>16</v>
      </c>
      <c r="S660" s="40">
        <f>(VLOOKUP(P660,'[1]BOM Info General'!$A:$L,12,0))*Q660</f>
        <v>5.3</v>
      </c>
      <c r="T660" s="17" t="s">
        <v>10</v>
      </c>
      <c r="U660" s="17">
        <v>1</v>
      </c>
      <c r="V660" s="17" t="s">
        <v>11</v>
      </c>
      <c r="W660" s="17">
        <f>(VLOOKUP(T660,'[1]Simulation pricing per sub assy'!$D:$E,2,0))*U660</f>
        <v>2.0499999999999998</v>
      </c>
      <c r="X660" s="18" t="s">
        <v>615</v>
      </c>
      <c r="Y660" s="18">
        <v>1</v>
      </c>
      <c r="Z660" s="18" t="s">
        <v>9</v>
      </c>
      <c r="AA660" s="18">
        <f>(VLOOKUP(X660,'[1]Simulation pricing per sub assy'!$D:$E,2,0))*Y660</f>
        <v>1.5769808000000001</v>
      </c>
    </row>
    <row r="661" spans="1:27" x14ac:dyDescent="0.35">
      <c r="A661" s="13" t="s">
        <v>420</v>
      </c>
      <c r="B661" s="13" t="s">
        <v>4253</v>
      </c>
      <c r="C661" s="42">
        <f t="shared" si="10"/>
        <v>120.18578079999999</v>
      </c>
      <c r="D661" s="14" t="s">
        <v>42</v>
      </c>
      <c r="E661" s="14">
        <v>1</v>
      </c>
      <c r="F661" s="14" t="s">
        <v>3982</v>
      </c>
      <c r="G661" s="14">
        <f>(VLOOKUP(D661,'[1]BOM Info General'!$A:$L,12,0))*E661</f>
        <v>35.56</v>
      </c>
      <c r="H661" s="15" t="s">
        <v>39</v>
      </c>
      <c r="I661" s="15">
        <v>1</v>
      </c>
      <c r="J661" s="15" t="s">
        <v>46</v>
      </c>
      <c r="K661" s="15">
        <f>(VLOOKUP(H661,'[1]BOM Info General'!$A:$L,12,0))*I661</f>
        <v>24.42</v>
      </c>
      <c r="L661" s="9" t="s">
        <v>74</v>
      </c>
      <c r="M661" s="9">
        <v>1</v>
      </c>
      <c r="N661" s="9" t="s">
        <v>77</v>
      </c>
      <c r="O661" s="9">
        <f>(VLOOKUP(L661,'[1]Simulation pricing per sub assy'!$D:$E,2,0))*M661</f>
        <v>51.27879999999999</v>
      </c>
      <c r="P661" s="16" t="s">
        <v>50</v>
      </c>
      <c r="Q661" s="16">
        <v>2</v>
      </c>
      <c r="R661" s="16" t="s">
        <v>16</v>
      </c>
      <c r="S661" s="40">
        <f>(VLOOKUP(P661,'[1]BOM Info General'!$A:$L,12,0))*Q661</f>
        <v>5.3</v>
      </c>
      <c r="T661" s="17" t="s">
        <v>10</v>
      </c>
      <c r="U661" s="17">
        <v>1</v>
      </c>
      <c r="V661" s="17" t="s">
        <v>11</v>
      </c>
      <c r="W661" s="17">
        <f>(VLOOKUP(T661,'[1]Simulation pricing per sub assy'!$D:$E,2,0))*U661</f>
        <v>2.0499999999999998</v>
      </c>
      <c r="X661" s="18" t="s">
        <v>615</v>
      </c>
      <c r="Y661" s="18">
        <v>1</v>
      </c>
      <c r="Z661" s="18" t="s">
        <v>9</v>
      </c>
      <c r="AA661" s="18">
        <f>(VLOOKUP(X661,'[1]Simulation pricing per sub assy'!$D:$E,2,0))*Y661</f>
        <v>1.5769808000000001</v>
      </c>
    </row>
    <row r="662" spans="1:27" x14ac:dyDescent="0.35">
      <c r="A662" s="13" t="s">
        <v>457</v>
      </c>
      <c r="B662" s="13" t="s">
        <v>4254</v>
      </c>
      <c r="C662" s="42">
        <f t="shared" si="10"/>
        <v>111.0657808</v>
      </c>
      <c r="D662" s="14" t="s">
        <v>42</v>
      </c>
      <c r="E662" s="14">
        <v>1</v>
      </c>
      <c r="F662" s="14" t="s">
        <v>3982</v>
      </c>
      <c r="G662" s="14">
        <f>(VLOOKUP(D662,'[1]BOM Info General'!$A:$L,12,0))*E662</f>
        <v>35.56</v>
      </c>
      <c r="H662" s="15" t="s">
        <v>39</v>
      </c>
      <c r="I662" s="15">
        <v>1</v>
      </c>
      <c r="J662" s="15" t="s">
        <v>46</v>
      </c>
      <c r="K662" s="15">
        <f>(VLOOKUP(H662,'[1]BOM Info General'!$A:$L,12,0))*I662</f>
        <v>24.42</v>
      </c>
      <c r="L662" s="9" t="s">
        <v>527</v>
      </c>
      <c r="M662" s="9">
        <v>1</v>
      </c>
      <c r="N662" s="9" t="s">
        <v>79</v>
      </c>
      <c r="O662" s="9">
        <f>(VLOOKUP(L662,'[1]Simulation pricing per sub assy'!$D:$E,2,0))*M662</f>
        <v>42.308799999999991</v>
      </c>
      <c r="P662" s="16" t="s">
        <v>50</v>
      </c>
      <c r="Q662" s="16">
        <v>2</v>
      </c>
      <c r="R662" s="16" t="s">
        <v>16</v>
      </c>
      <c r="S662" s="40">
        <f>(VLOOKUP(P662,'[1]BOM Info General'!$A:$L,12,0))*Q662</f>
        <v>5.3</v>
      </c>
      <c r="T662" s="17" t="s">
        <v>12</v>
      </c>
      <c r="U662" s="17">
        <v>1</v>
      </c>
      <c r="V662" s="17" t="s">
        <v>13</v>
      </c>
      <c r="W662" s="17">
        <f>(VLOOKUP(T662,'[1]Simulation pricing per sub assy'!$D:$E,2,0))*U662</f>
        <v>1.9</v>
      </c>
      <c r="X662" s="18" t="s">
        <v>615</v>
      </c>
      <c r="Y662" s="18">
        <v>1</v>
      </c>
      <c r="Z662" s="18" t="s">
        <v>9</v>
      </c>
      <c r="AA662" s="18">
        <f>(VLOOKUP(X662,'[1]Simulation pricing per sub assy'!$D:$E,2,0))*Y662</f>
        <v>1.5769808000000001</v>
      </c>
    </row>
    <row r="663" spans="1:27" x14ac:dyDescent="0.35">
      <c r="A663" s="13" t="s">
        <v>313</v>
      </c>
      <c r="B663" s="13" t="s">
        <v>4255</v>
      </c>
      <c r="C663" s="42">
        <f t="shared" si="10"/>
        <v>112.0457808</v>
      </c>
      <c r="D663" s="14" t="s">
        <v>42</v>
      </c>
      <c r="E663" s="14">
        <v>1</v>
      </c>
      <c r="F663" s="14" t="s">
        <v>3982</v>
      </c>
      <c r="G663" s="14">
        <f>(VLOOKUP(D663,'[1]BOM Info General'!$A:$L,12,0))*E663</f>
        <v>35.56</v>
      </c>
      <c r="H663" s="15" t="s">
        <v>39</v>
      </c>
      <c r="I663" s="15">
        <v>1</v>
      </c>
      <c r="J663" s="15" t="s">
        <v>46</v>
      </c>
      <c r="K663" s="15">
        <f>(VLOOKUP(H663,'[1]BOM Info General'!$A:$L,12,0))*I663</f>
        <v>24.42</v>
      </c>
      <c r="L663" s="9" t="s">
        <v>76</v>
      </c>
      <c r="M663" s="9">
        <v>1</v>
      </c>
      <c r="N663" s="9" t="s">
        <v>73</v>
      </c>
      <c r="O663" s="9">
        <f>(VLOOKUP(L663,'[1]Simulation pricing per sub assy'!$D:$E,2,0))*M663</f>
        <v>43.288799999999988</v>
      </c>
      <c r="P663" s="16" t="s">
        <v>50</v>
      </c>
      <c r="Q663" s="16">
        <v>2</v>
      </c>
      <c r="R663" s="16" t="s">
        <v>16</v>
      </c>
      <c r="S663" s="40">
        <f>(VLOOKUP(P663,'[1]BOM Info General'!$A:$L,12,0))*Q663</f>
        <v>5.3</v>
      </c>
      <c r="T663" s="17" t="s">
        <v>12</v>
      </c>
      <c r="U663" s="17">
        <v>1</v>
      </c>
      <c r="V663" s="17" t="s">
        <v>13</v>
      </c>
      <c r="W663" s="17">
        <f>(VLOOKUP(T663,'[1]Simulation pricing per sub assy'!$D:$E,2,0))*U663</f>
        <v>1.9</v>
      </c>
      <c r="X663" s="18" t="s">
        <v>615</v>
      </c>
      <c r="Y663" s="18">
        <v>1</v>
      </c>
      <c r="Z663" s="18" t="s">
        <v>9</v>
      </c>
      <c r="AA663" s="18">
        <f>(VLOOKUP(X663,'[1]Simulation pricing per sub assy'!$D:$E,2,0))*Y663</f>
        <v>1.5769808000000001</v>
      </c>
    </row>
    <row r="664" spans="1:27" x14ac:dyDescent="0.35">
      <c r="A664" s="13" t="s">
        <v>385</v>
      </c>
      <c r="B664" s="13" t="s">
        <v>4256</v>
      </c>
      <c r="C664" s="42">
        <f t="shared" si="10"/>
        <v>112.6257808</v>
      </c>
      <c r="D664" s="14" t="s">
        <v>42</v>
      </c>
      <c r="E664" s="14">
        <v>1</v>
      </c>
      <c r="F664" s="14" t="s">
        <v>3982</v>
      </c>
      <c r="G664" s="14">
        <f>(VLOOKUP(D664,'[1]BOM Info General'!$A:$L,12,0))*E664</f>
        <v>35.56</v>
      </c>
      <c r="H664" s="15" t="s">
        <v>39</v>
      </c>
      <c r="I664" s="15">
        <v>1</v>
      </c>
      <c r="J664" s="15" t="s">
        <v>46</v>
      </c>
      <c r="K664" s="15">
        <f>(VLOOKUP(H664,'[1]BOM Info General'!$A:$L,12,0))*I664</f>
        <v>24.42</v>
      </c>
      <c r="L664" s="9" t="s">
        <v>72</v>
      </c>
      <c r="M664" s="9">
        <v>1</v>
      </c>
      <c r="N664" s="9" t="s">
        <v>71</v>
      </c>
      <c r="O664" s="9">
        <f>(VLOOKUP(L664,'[1]Simulation pricing per sub assy'!$D:$E,2,0))*M664</f>
        <v>43.868799999999993</v>
      </c>
      <c r="P664" s="16" t="s">
        <v>50</v>
      </c>
      <c r="Q664" s="16">
        <v>2</v>
      </c>
      <c r="R664" s="16" t="s">
        <v>16</v>
      </c>
      <c r="S664" s="40">
        <f>(VLOOKUP(P664,'[1]BOM Info General'!$A:$L,12,0))*Q664</f>
        <v>5.3</v>
      </c>
      <c r="T664" s="17" t="s">
        <v>12</v>
      </c>
      <c r="U664" s="17">
        <v>1</v>
      </c>
      <c r="V664" s="17" t="s">
        <v>13</v>
      </c>
      <c r="W664" s="17">
        <f>(VLOOKUP(T664,'[1]Simulation pricing per sub assy'!$D:$E,2,0))*U664</f>
        <v>1.9</v>
      </c>
      <c r="X664" s="18" t="s">
        <v>615</v>
      </c>
      <c r="Y664" s="18">
        <v>1</v>
      </c>
      <c r="Z664" s="18" t="s">
        <v>9</v>
      </c>
      <c r="AA664" s="18">
        <f>(VLOOKUP(X664,'[1]Simulation pricing per sub assy'!$D:$E,2,0))*Y664</f>
        <v>1.5769808000000001</v>
      </c>
    </row>
    <row r="665" spans="1:27" x14ac:dyDescent="0.35">
      <c r="A665" s="13" t="s">
        <v>349</v>
      </c>
      <c r="B665" s="13" t="s">
        <v>4257</v>
      </c>
      <c r="C665" s="42">
        <f t="shared" si="10"/>
        <v>112.3657808</v>
      </c>
      <c r="D665" s="14" t="s">
        <v>42</v>
      </c>
      <c r="E665" s="14">
        <v>1</v>
      </c>
      <c r="F665" s="14" t="s">
        <v>3982</v>
      </c>
      <c r="G665" s="14">
        <f>(VLOOKUP(D665,'[1]BOM Info General'!$A:$L,12,0))*E665</f>
        <v>35.56</v>
      </c>
      <c r="H665" s="15" t="s">
        <v>39</v>
      </c>
      <c r="I665" s="15">
        <v>1</v>
      </c>
      <c r="J665" s="15" t="s">
        <v>46</v>
      </c>
      <c r="K665" s="15">
        <f>(VLOOKUP(H665,'[1]BOM Info General'!$A:$L,12,0))*I665</f>
        <v>24.42</v>
      </c>
      <c r="L665" s="9" t="s">
        <v>78</v>
      </c>
      <c r="M665" s="9">
        <v>1</v>
      </c>
      <c r="N665" s="9" t="s">
        <v>75</v>
      </c>
      <c r="O665" s="9">
        <f>(VLOOKUP(L665,'[1]Simulation pricing per sub assy'!$D:$E,2,0))*M665</f>
        <v>43.608799999999988</v>
      </c>
      <c r="P665" s="16" t="s">
        <v>50</v>
      </c>
      <c r="Q665" s="16">
        <v>2</v>
      </c>
      <c r="R665" s="16" t="s">
        <v>16</v>
      </c>
      <c r="S665" s="40">
        <f>(VLOOKUP(P665,'[1]BOM Info General'!$A:$L,12,0))*Q665</f>
        <v>5.3</v>
      </c>
      <c r="T665" s="17" t="s">
        <v>12</v>
      </c>
      <c r="U665" s="17">
        <v>1</v>
      </c>
      <c r="V665" s="17" t="s">
        <v>13</v>
      </c>
      <c r="W665" s="17">
        <f>(VLOOKUP(T665,'[1]Simulation pricing per sub assy'!$D:$E,2,0))*U665</f>
        <v>1.9</v>
      </c>
      <c r="X665" s="18" t="s">
        <v>615</v>
      </c>
      <c r="Y665" s="18">
        <v>1</v>
      </c>
      <c r="Z665" s="18" t="s">
        <v>9</v>
      </c>
      <c r="AA665" s="18">
        <f>(VLOOKUP(X665,'[1]Simulation pricing per sub assy'!$D:$E,2,0))*Y665</f>
        <v>1.5769808000000001</v>
      </c>
    </row>
    <row r="666" spans="1:27" x14ac:dyDescent="0.35">
      <c r="A666" s="13" t="s">
        <v>421</v>
      </c>
      <c r="B666" s="13" t="s">
        <v>4258</v>
      </c>
      <c r="C666" s="42">
        <f t="shared" si="10"/>
        <v>120.0357808</v>
      </c>
      <c r="D666" s="14" t="s">
        <v>42</v>
      </c>
      <c r="E666" s="14">
        <v>1</v>
      </c>
      <c r="F666" s="14" t="s">
        <v>3982</v>
      </c>
      <c r="G666" s="14">
        <f>(VLOOKUP(D666,'[1]BOM Info General'!$A:$L,12,0))*E666</f>
        <v>35.56</v>
      </c>
      <c r="H666" s="15" t="s">
        <v>39</v>
      </c>
      <c r="I666" s="15">
        <v>1</v>
      </c>
      <c r="J666" s="15" t="s">
        <v>46</v>
      </c>
      <c r="K666" s="15">
        <f>(VLOOKUP(H666,'[1]BOM Info General'!$A:$L,12,0))*I666</f>
        <v>24.42</v>
      </c>
      <c r="L666" s="9" t="s">
        <v>74</v>
      </c>
      <c r="M666" s="9">
        <v>1</v>
      </c>
      <c r="N666" s="9" t="s">
        <v>77</v>
      </c>
      <c r="O666" s="9">
        <f>(VLOOKUP(L666,'[1]Simulation pricing per sub assy'!$D:$E,2,0))*M666</f>
        <v>51.27879999999999</v>
      </c>
      <c r="P666" s="16" t="s">
        <v>50</v>
      </c>
      <c r="Q666" s="16">
        <v>2</v>
      </c>
      <c r="R666" s="16" t="s">
        <v>16</v>
      </c>
      <c r="S666" s="40">
        <f>(VLOOKUP(P666,'[1]BOM Info General'!$A:$L,12,0))*Q666</f>
        <v>5.3</v>
      </c>
      <c r="T666" s="17" t="s">
        <v>12</v>
      </c>
      <c r="U666" s="17">
        <v>1</v>
      </c>
      <c r="V666" s="17" t="s">
        <v>13</v>
      </c>
      <c r="W666" s="17">
        <f>(VLOOKUP(T666,'[1]Simulation pricing per sub assy'!$D:$E,2,0))*U666</f>
        <v>1.9</v>
      </c>
      <c r="X666" s="18" t="s">
        <v>615</v>
      </c>
      <c r="Y666" s="18">
        <v>1</v>
      </c>
      <c r="Z666" s="18" t="s">
        <v>9</v>
      </c>
      <c r="AA666" s="18">
        <f>(VLOOKUP(X666,'[1]Simulation pricing per sub assy'!$D:$E,2,0))*Y666</f>
        <v>1.5769808000000001</v>
      </c>
    </row>
    <row r="667" spans="1:27" x14ac:dyDescent="0.35">
      <c r="A667" s="13" t="s">
        <v>458</v>
      </c>
      <c r="B667" s="13" t="s">
        <v>4259</v>
      </c>
      <c r="C667" s="42">
        <f t="shared" si="10"/>
        <v>111.0657808</v>
      </c>
      <c r="D667" s="14" t="s">
        <v>42</v>
      </c>
      <c r="E667" s="14">
        <v>1</v>
      </c>
      <c r="F667" s="14" t="s">
        <v>3982</v>
      </c>
      <c r="G667" s="14">
        <f>(VLOOKUP(D667,'[1]BOM Info General'!$A:$L,12,0))*E667</f>
        <v>35.56</v>
      </c>
      <c r="H667" s="15" t="s">
        <v>39</v>
      </c>
      <c r="I667" s="15">
        <v>1</v>
      </c>
      <c r="J667" s="15" t="s">
        <v>46</v>
      </c>
      <c r="K667" s="15">
        <f>(VLOOKUP(H667,'[1]BOM Info General'!$A:$L,12,0))*I667</f>
        <v>24.42</v>
      </c>
      <c r="L667" s="9" t="s">
        <v>527</v>
      </c>
      <c r="M667" s="9">
        <v>1</v>
      </c>
      <c r="N667" s="9" t="s">
        <v>79</v>
      </c>
      <c r="O667" s="9">
        <f>(VLOOKUP(L667,'[1]Simulation pricing per sub assy'!$D:$E,2,0))*M667</f>
        <v>42.308799999999991</v>
      </c>
      <c r="P667" s="16" t="s">
        <v>50</v>
      </c>
      <c r="Q667" s="16">
        <v>2</v>
      </c>
      <c r="R667" s="16" t="s">
        <v>16</v>
      </c>
      <c r="S667" s="40">
        <f>(VLOOKUP(P667,'[1]BOM Info General'!$A:$L,12,0))*Q667</f>
        <v>5.3</v>
      </c>
      <c r="T667" s="17" t="s">
        <v>14</v>
      </c>
      <c r="U667" s="17">
        <v>1</v>
      </c>
      <c r="V667" s="17" t="s">
        <v>15</v>
      </c>
      <c r="W667" s="17">
        <f>(VLOOKUP(T667,'[1]Simulation pricing per sub assy'!$D:$E,2,0))*U667</f>
        <v>1.9</v>
      </c>
      <c r="X667" s="18" t="s">
        <v>615</v>
      </c>
      <c r="Y667" s="18">
        <v>1</v>
      </c>
      <c r="Z667" s="18" t="s">
        <v>9</v>
      </c>
      <c r="AA667" s="18">
        <f>(VLOOKUP(X667,'[1]Simulation pricing per sub assy'!$D:$E,2,0))*Y667</f>
        <v>1.5769808000000001</v>
      </c>
    </row>
    <row r="668" spans="1:27" x14ac:dyDescent="0.35">
      <c r="A668" s="13" t="s">
        <v>314</v>
      </c>
      <c r="B668" s="13" t="s">
        <v>4260</v>
      </c>
      <c r="C668" s="42">
        <f t="shared" si="10"/>
        <v>112.0457808</v>
      </c>
      <c r="D668" s="14" t="s">
        <v>42</v>
      </c>
      <c r="E668" s="14">
        <v>1</v>
      </c>
      <c r="F668" s="14" t="s">
        <v>3982</v>
      </c>
      <c r="G668" s="14">
        <f>(VLOOKUP(D668,'[1]BOM Info General'!$A:$L,12,0))*E668</f>
        <v>35.56</v>
      </c>
      <c r="H668" s="15" t="s">
        <v>39</v>
      </c>
      <c r="I668" s="15">
        <v>1</v>
      </c>
      <c r="J668" s="15" t="s">
        <v>46</v>
      </c>
      <c r="K668" s="15">
        <f>(VLOOKUP(H668,'[1]BOM Info General'!$A:$L,12,0))*I668</f>
        <v>24.42</v>
      </c>
      <c r="L668" s="9" t="s">
        <v>76</v>
      </c>
      <c r="M668" s="9">
        <v>1</v>
      </c>
      <c r="N668" s="9" t="s">
        <v>73</v>
      </c>
      <c r="O668" s="9">
        <f>(VLOOKUP(L668,'[1]Simulation pricing per sub assy'!$D:$E,2,0))*M668</f>
        <v>43.288799999999988</v>
      </c>
      <c r="P668" s="16" t="s">
        <v>50</v>
      </c>
      <c r="Q668" s="16">
        <v>2</v>
      </c>
      <c r="R668" s="16" t="s">
        <v>16</v>
      </c>
      <c r="S668" s="40">
        <f>(VLOOKUP(P668,'[1]BOM Info General'!$A:$L,12,0))*Q668</f>
        <v>5.3</v>
      </c>
      <c r="T668" s="17" t="s">
        <v>14</v>
      </c>
      <c r="U668" s="17">
        <v>1</v>
      </c>
      <c r="V668" s="17" t="s">
        <v>15</v>
      </c>
      <c r="W668" s="17">
        <f>(VLOOKUP(T668,'[1]Simulation pricing per sub assy'!$D:$E,2,0))*U668</f>
        <v>1.9</v>
      </c>
      <c r="X668" s="18" t="s">
        <v>615</v>
      </c>
      <c r="Y668" s="18">
        <v>1</v>
      </c>
      <c r="Z668" s="18" t="s">
        <v>9</v>
      </c>
      <c r="AA668" s="18">
        <f>(VLOOKUP(X668,'[1]Simulation pricing per sub assy'!$D:$E,2,0))*Y668</f>
        <v>1.5769808000000001</v>
      </c>
    </row>
    <row r="669" spans="1:27" x14ac:dyDescent="0.35">
      <c r="A669" s="13" t="s">
        <v>386</v>
      </c>
      <c r="B669" s="13" t="s">
        <v>4261</v>
      </c>
      <c r="C669" s="42">
        <f t="shared" si="10"/>
        <v>112.6257808</v>
      </c>
      <c r="D669" s="14" t="s">
        <v>42</v>
      </c>
      <c r="E669" s="14">
        <v>1</v>
      </c>
      <c r="F669" s="14" t="s">
        <v>3982</v>
      </c>
      <c r="G669" s="14">
        <f>(VLOOKUP(D669,'[1]BOM Info General'!$A:$L,12,0))*E669</f>
        <v>35.56</v>
      </c>
      <c r="H669" s="15" t="s">
        <v>39</v>
      </c>
      <c r="I669" s="15">
        <v>1</v>
      </c>
      <c r="J669" s="15" t="s">
        <v>46</v>
      </c>
      <c r="K669" s="15">
        <f>(VLOOKUP(H669,'[1]BOM Info General'!$A:$L,12,0))*I669</f>
        <v>24.42</v>
      </c>
      <c r="L669" s="9" t="s">
        <v>72</v>
      </c>
      <c r="M669" s="9">
        <v>1</v>
      </c>
      <c r="N669" s="9" t="s">
        <v>71</v>
      </c>
      <c r="O669" s="9">
        <f>(VLOOKUP(L669,'[1]Simulation pricing per sub assy'!$D:$E,2,0))*M669</f>
        <v>43.868799999999993</v>
      </c>
      <c r="P669" s="16" t="s">
        <v>50</v>
      </c>
      <c r="Q669" s="16">
        <v>2</v>
      </c>
      <c r="R669" s="16" t="s">
        <v>16</v>
      </c>
      <c r="S669" s="40">
        <f>(VLOOKUP(P669,'[1]BOM Info General'!$A:$L,12,0))*Q669</f>
        <v>5.3</v>
      </c>
      <c r="T669" s="17" t="s">
        <v>14</v>
      </c>
      <c r="U669" s="17">
        <v>1</v>
      </c>
      <c r="V669" s="17" t="s">
        <v>15</v>
      </c>
      <c r="W669" s="17">
        <f>(VLOOKUP(T669,'[1]Simulation pricing per sub assy'!$D:$E,2,0))*U669</f>
        <v>1.9</v>
      </c>
      <c r="X669" s="18" t="s">
        <v>615</v>
      </c>
      <c r="Y669" s="18">
        <v>1</v>
      </c>
      <c r="Z669" s="18" t="s">
        <v>9</v>
      </c>
      <c r="AA669" s="18">
        <f>(VLOOKUP(X669,'[1]Simulation pricing per sub assy'!$D:$E,2,0))*Y669</f>
        <v>1.5769808000000001</v>
      </c>
    </row>
    <row r="670" spans="1:27" x14ac:dyDescent="0.35">
      <c r="A670" s="13" t="s">
        <v>350</v>
      </c>
      <c r="B670" s="13" t="s">
        <v>4262</v>
      </c>
      <c r="C670" s="42">
        <f t="shared" si="10"/>
        <v>112.3657808</v>
      </c>
      <c r="D670" s="14" t="s">
        <v>42</v>
      </c>
      <c r="E670" s="14">
        <v>1</v>
      </c>
      <c r="F670" s="14" t="s">
        <v>3982</v>
      </c>
      <c r="G670" s="14">
        <f>(VLOOKUP(D670,'[1]BOM Info General'!$A:$L,12,0))*E670</f>
        <v>35.56</v>
      </c>
      <c r="H670" s="15" t="s">
        <v>39</v>
      </c>
      <c r="I670" s="15">
        <v>1</v>
      </c>
      <c r="J670" s="15" t="s">
        <v>46</v>
      </c>
      <c r="K670" s="15">
        <f>(VLOOKUP(H670,'[1]BOM Info General'!$A:$L,12,0))*I670</f>
        <v>24.42</v>
      </c>
      <c r="L670" s="9" t="s">
        <v>78</v>
      </c>
      <c r="M670" s="9">
        <v>1</v>
      </c>
      <c r="N670" s="9" t="s">
        <v>75</v>
      </c>
      <c r="O670" s="9">
        <f>(VLOOKUP(L670,'[1]Simulation pricing per sub assy'!$D:$E,2,0))*M670</f>
        <v>43.608799999999988</v>
      </c>
      <c r="P670" s="16" t="s">
        <v>50</v>
      </c>
      <c r="Q670" s="16">
        <v>2</v>
      </c>
      <c r="R670" s="16" t="s">
        <v>16</v>
      </c>
      <c r="S670" s="40">
        <f>(VLOOKUP(P670,'[1]BOM Info General'!$A:$L,12,0))*Q670</f>
        <v>5.3</v>
      </c>
      <c r="T670" s="17" t="s">
        <v>14</v>
      </c>
      <c r="U670" s="17">
        <v>1</v>
      </c>
      <c r="V670" s="17" t="s">
        <v>15</v>
      </c>
      <c r="W670" s="17">
        <f>(VLOOKUP(T670,'[1]Simulation pricing per sub assy'!$D:$E,2,0))*U670</f>
        <v>1.9</v>
      </c>
      <c r="X670" s="18" t="s">
        <v>615</v>
      </c>
      <c r="Y670" s="18">
        <v>1</v>
      </c>
      <c r="Z670" s="18" t="s">
        <v>9</v>
      </c>
      <c r="AA670" s="18">
        <f>(VLOOKUP(X670,'[1]Simulation pricing per sub assy'!$D:$E,2,0))*Y670</f>
        <v>1.5769808000000001</v>
      </c>
    </row>
    <row r="671" spans="1:27" x14ac:dyDescent="0.35">
      <c r="A671" s="13" t="s">
        <v>422</v>
      </c>
      <c r="B671" s="13" t="s">
        <v>4263</v>
      </c>
      <c r="C671" s="42">
        <f t="shared" si="10"/>
        <v>120.0357808</v>
      </c>
      <c r="D671" s="14" t="s">
        <v>42</v>
      </c>
      <c r="E671" s="14">
        <v>1</v>
      </c>
      <c r="F671" s="14" t="s">
        <v>3982</v>
      </c>
      <c r="G671" s="14">
        <f>(VLOOKUP(D671,'[1]BOM Info General'!$A:$L,12,0))*E671</f>
        <v>35.56</v>
      </c>
      <c r="H671" s="15" t="s">
        <v>39</v>
      </c>
      <c r="I671" s="15">
        <v>1</v>
      </c>
      <c r="J671" s="15" t="s">
        <v>46</v>
      </c>
      <c r="K671" s="15">
        <f>(VLOOKUP(H671,'[1]BOM Info General'!$A:$L,12,0))*I671</f>
        <v>24.42</v>
      </c>
      <c r="L671" s="9" t="s">
        <v>74</v>
      </c>
      <c r="M671" s="9">
        <v>1</v>
      </c>
      <c r="N671" s="9" t="s">
        <v>77</v>
      </c>
      <c r="O671" s="9">
        <f>(VLOOKUP(L671,'[1]Simulation pricing per sub assy'!$D:$E,2,0))*M671</f>
        <v>51.27879999999999</v>
      </c>
      <c r="P671" s="16" t="s">
        <v>50</v>
      </c>
      <c r="Q671" s="16">
        <v>2</v>
      </c>
      <c r="R671" s="16" t="s">
        <v>16</v>
      </c>
      <c r="S671" s="40">
        <f>(VLOOKUP(P671,'[1]BOM Info General'!$A:$L,12,0))*Q671</f>
        <v>5.3</v>
      </c>
      <c r="T671" s="17" t="s">
        <v>14</v>
      </c>
      <c r="U671" s="17">
        <v>1</v>
      </c>
      <c r="V671" s="17" t="s">
        <v>15</v>
      </c>
      <c r="W671" s="17">
        <f>(VLOOKUP(T671,'[1]Simulation pricing per sub assy'!$D:$E,2,0))*U671</f>
        <v>1.9</v>
      </c>
      <c r="X671" s="18" t="s">
        <v>615</v>
      </c>
      <c r="Y671" s="18">
        <v>1</v>
      </c>
      <c r="Z671" s="18" t="s">
        <v>9</v>
      </c>
      <c r="AA671" s="18">
        <f>(VLOOKUP(X671,'[1]Simulation pricing per sub assy'!$D:$E,2,0))*Y671</f>
        <v>1.5769808000000001</v>
      </c>
    </row>
    <row r="672" spans="1:27" x14ac:dyDescent="0.35">
      <c r="A672" s="13" t="s">
        <v>459</v>
      </c>
      <c r="B672" s="13" t="s">
        <v>4264</v>
      </c>
      <c r="C672" s="42">
        <f t="shared" si="10"/>
        <v>111.21578079999999</v>
      </c>
      <c r="D672" s="14" t="s">
        <v>42</v>
      </c>
      <c r="E672" s="14">
        <v>1</v>
      </c>
      <c r="F672" s="14" t="s">
        <v>3982</v>
      </c>
      <c r="G672" s="14">
        <f>(VLOOKUP(D672,'[1]BOM Info General'!$A:$L,12,0))*E672</f>
        <v>35.56</v>
      </c>
      <c r="H672" s="15" t="s">
        <v>39</v>
      </c>
      <c r="I672" s="15">
        <v>1</v>
      </c>
      <c r="J672" s="15" t="s">
        <v>46</v>
      </c>
      <c r="K672" s="15">
        <f>(VLOOKUP(H672,'[1]BOM Info General'!$A:$L,12,0))*I672</f>
        <v>24.42</v>
      </c>
      <c r="L672" s="9" t="s">
        <v>527</v>
      </c>
      <c r="M672" s="9">
        <v>1</v>
      </c>
      <c r="N672" s="9" t="s">
        <v>79</v>
      </c>
      <c r="O672" s="9">
        <f>(VLOOKUP(L672,'[1]Simulation pricing per sub assy'!$D:$E,2,0))*M672</f>
        <v>42.308799999999991</v>
      </c>
      <c r="P672" s="16" t="s">
        <v>51</v>
      </c>
      <c r="Q672" s="16">
        <v>2</v>
      </c>
      <c r="R672" s="16" t="s">
        <v>17</v>
      </c>
      <c r="S672" s="40">
        <f>(VLOOKUP(P672,'[1]BOM Info General'!$A:$L,12,0))*Q672</f>
        <v>5.3</v>
      </c>
      <c r="T672" s="17" t="s">
        <v>10</v>
      </c>
      <c r="U672" s="17">
        <v>1</v>
      </c>
      <c r="V672" s="17" t="s">
        <v>11</v>
      </c>
      <c r="W672" s="17">
        <f>(VLOOKUP(T672,'[1]Simulation pricing per sub assy'!$D:$E,2,0))*U672</f>
        <v>2.0499999999999998</v>
      </c>
      <c r="X672" s="18" t="s">
        <v>615</v>
      </c>
      <c r="Y672" s="18">
        <v>1</v>
      </c>
      <c r="Z672" s="18" t="s">
        <v>9</v>
      </c>
      <c r="AA672" s="18">
        <f>(VLOOKUP(X672,'[1]Simulation pricing per sub assy'!$D:$E,2,0))*Y672</f>
        <v>1.5769808000000001</v>
      </c>
    </row>
    <row r="673" spans="1:27" x14ac:dyDescent="0.35">
      <c r="A673" s="13" t="s">
        <v>315</v>
      </c>
      <c r="B673" s="13" t="s">
        <v>4265</v>
      </c>
      <c r="C673" s="42">
        <f t="shared" si="10"/>
        <v>112.19578079999999</v>
      </c>
      <c r="D673" s="14" t="s">
        <v>42</v>
      </c>
      <c r="E673" s="14">
        <v>1</v>
      </c>
      <c r="F673" s="14" t="s">
        <v>3982</v>
      </c>
      <c r="G673" s="14">
        <f>(VLOOKUP(D673,'[1]BOM Info General'!$A:$L,12,0))*E673</f>
        <v>35.56</v>
      </c>
      <c r="H673" s="15" t="s">
        <v>39</v>
      </c>
      <c r="I673" s="15">
        <v>1</v>
      </c>
      <c r="J673" s="15" t="s">
        <v>46</v>
      </c>
      <c r="K673" s="15">
        <f>(VLOOKUP(H673,'[1]BOM Info General'!$A:$L,12,0))*I673</f>
        <v>24.42</v>
      </c>
      <c r="L673" s="9" t="s">
        <v>76</v>
      </c>
      <c r="M673" s="9">
        <v>1</v>
      </c>
      <c r="N673" s="9" t="s">
        <v>73</v>
      </c>
      <c r="O673" s="9">
        <f>(VLOOKUP(L673,'[1]Simulation pricing per sub assy'!$D:$E,2,0))*M673</f>
        <v>43.288799999999988</v>
      </c>
      <c r="P673" s="16" t="s">
        <v>51</v>
      </c>
      <c r="Q673" s="16">
        <v>2</v>
      </c>
      <c r="R673" s="16" t="s">
        <v>17</v>
      </c>
      <c r="S673" s="40">
        <f>(VLOOKUP(P673,'[1]BOM Info General'!$A:$L,12,0))*Q673</f>
        <v>5.3</v>
      </c>
      <c r="T673" s="17" t="s">
        <v>10</v>
      </c>
      <c r="U673" s="17">
        <v>1</v>
      </c>
      <c r="V673" s="17" t="s">
        <v>11</v>
      </c>
      <c r="W673" s="17">
        <f>(VLOOKUP(T673,'[1]Simulation pricing per sub assy'!$D:$E,2,0))*U673</f>
        <v>2.0499999999999998</v>
      </c>
      <c r="X673" s="18" t="s">
        <v>615</v>
      </c>
      <c r="Y673" s="18">
        <v>1</v>
      </c>
      <c r="Z673" s="18" t="s">
        <v>9</v>
      </c>
      <c r="AA673" s="18">
        <f>(VLOOKUP(X673,'[1]Simulation pricing per sub assy'!$D:$E,2,0))*Y673</f>
        <v>1.5769808000000001</v>
      </c>
    </row>
    <row r="674" spans="1:27" x14ac:dyDescent="0.35">
      <c r="A674" s="13" t="s">
        <v>387</v>
      </c>
      <c r="B674" s="13" t="s">
        <v>4266</v>
      </c>
      <c r="C674" s="42">
        <f t="shared" si="10"/>
        <v>112.77578079999999</v>
      </c>
      <c r="D674" s="14" t="s">
        <v>42</v>
      </c>
      <c r="E674" s="14">
        <v>1</v>
      </c>
      <c r="F674" s="14" t="s">
        <v>3982</v>
      </c>
      <c r="G674" s="14">
        <f>(VLOOKUP(D674,'[1]BOM Info General'!$A:$L,12,0))*E674</f>
        <v>35.56</v>
      </c>
      <c r="H674" s="15" t="s">
        <v>39</v>
      </c>
      <c r="I674" s="15">
        <v>1</v>
      </c>
      <c r="J674" s="15" t="s">
        <v>46</v>
      </c>
      <c r="K674" s="15">
        <f>(VLOOKUP(H674,'[1]BOM Info General'!$A:$L,12,0))*I674</f>
        <v>24.42</v>
      </c>
      <c r="L674" s="9" t="s">
        <v>72</v>
      </c>
      <c r="M674" s="9">
        <v>1</v>
      </c>
      <c r="N674" s="9" t="s">
        <v>71</v>
      </c>
      <c r="O674" s="9">
        <f>(VLOOKUP(L674,'[1]Simulation pricing per sub assy'!$D:$E,2,0))*M674</f>
        <v>43.868799999999993</v>
      </c>
      <c r="P674" s="16" t="s">
        <v>51</v>
      </c>
      <c r="Q674" s="16">
        <v>2</v>
      </c>
      <c r="R674" s="16" t="s">
        <v>17</v>
      </c>
      <c r="S674" s="40">
        <f>(VLOOKUP(P674,'[1]BOM Info General'!$A:$L,12,0))*Q674</f>
        <v>5.3</v>
      </c>
      <c r="T674" s="17" t="s">
        <v>10</v>
      </c>
      <c r="U674" s="17">
        <v>1</v>
      </c>
      <c r="V674" s="17" t="s">
        <v>11</v>
      </c>
      <c r="W674" s="17">
        <f>(VLOOKUP(T674,'[1]Simulation pricing per sub assy'!$D:$E,2,0))*U674</f>
        <v>2.0499999999999998</v>
      </c>
      <c r="X674" s="18" t="s">
        <v>615</v>
      </c>
      <c r="Y674" s="18">
        <v>1</v>
      </c>
      <c r="Z674" s="18" t="s">
        <v>9</v>
      </c>
      <c r="AA674" s="18">
        <f>(VLOOKUP(X674,'[1]Simulation pricing per sub assy'!$D:$E,2,0))*Y674</f>
        <v>1.5769808000000001</v>
      </c>
    </row>
    <row r="675" spans="1:27" x14ac:dyDescent="0.35">
      <c r="A675" s="13" t="s">
        <v>351</v>
      </c>
      <c r="B675" s="13" t="s">
        <v>4267</v>
      </c>
      <c r="C675" s="42">
        <f t="shared" si="10"/>
        <v>112.51578079999999</v>
      </c>
      <c r="D675" s="14" t="s">
        <v>42</v>
      </c>
      <c r="E675" s="14">
        <v>1</v>
      </c>
      <c r="F675" s="14" t="s">
        <v>3982</v>
      </c>
      <c r="G675" s="14">
        <f>(VLOOKUP(D675,'[1]BOM Info General'!$A:$L,12,0))*E675</f>
        <v>35.56</v>
      </c>
      <c r="H675" s="15" t="s">
        <v>39</v>
      </c>
      <c r="I675" s="15">
        <v>1</v>
      </c>
      <c r="J675" s="15" t="s">
        <v>46</v>
      </c>
      <c r="K675" s="15">
        <f>(VLOOKUP(H675,'[1]BOM Info General'!$A:$L,12,0))*I675</f>
        <v>24.42</v>
      </c>
      <c r="L675" s="9" t="s">
        <v>78</v>
      </c>
      <c r="M675" s="9">
        <v>1</v>
      </c>
      <c r="N675" s="9" t="s">
        <v>75</v>
      </c>
      <c r="O675" s="9">
        <f>(VLOOKUP(L675,'[1]Simulation pricing per sub assy'!$D:$E,2,0))*M675</f>
        <v>43.608799999999988</v>
      </c>
      <c r="P675" s="16" t="s">
        <v>51</v>
      </c>
      <c r="Q675" s="16">
        <v>2</v>
      </c>
      <c r="R675" s="16" t="s">
        <v>17</v>
      </c>
      <c r="S675" s="40">
        <f>(VLOOKUP(P675,'[1]BOM Info General'!$A:$L,12,0))*Q675</f>
        <v>5.3</v>
      </c>
      <c r="T675" s="17" t="s">
        <v>10</v>
      </c>
      <c r="U675" s="17">
        <v>1</v>
      </c>
      <c r="V675" s="17" t="s">
        <v>11</v>
      </c>
      <c r="W675" s="17">
        <f>(VLOOKUP(T675,'[1]Simulation pricing per sub assy'!$D:$E,2,0))*U675</f>
        <v>2.0499999999999998</v>
      </c>
      <c r="X675" s="18" t="s">
        <v>615</v>
      </c>
      <c r="Y675" s="18">
        <v>1</v>
      </c>
      <c r="Z675" s="18" t="s">
        <v>9</v>
      </c>
      <c r="AA675" s="18">
        <f>(VLOOKUP(X675,'[1]Simulation pricing per sub assy'!$D:$E,2,0))*Y675</f>
        <v>1.5769808000000001</v>
      </c>
    </row>
    <row r="676" spans="1:27" x14ac:dyDescent="0.35">
      <c r="A676" s="13" t="s">
        <v>423</v>
      </c>
      <c r="B676" s="13" t="s">
        <v>4268</v>
      </c>
      <c r="C676" s="42">
        <f t="shared" si="10"/>
        <v>120.18578079999999</v>
      </c>
      <c r="D676" s="14" t="s">
        <v>42</v>
      </c>
      <c r="E676" s="14">
        <v>1</v>
      </c>
      <c r="F676" s="14" t="s">
        <v>3982</v>
      </c>
      <c r="G676" s="14">
        <f>(VLOOKUP(D676,'[1]BOM Info General'!$A:$L,12,0))*E676</f>
        <v>35.56</v>
      </c>
      <c r="H676" s="15" t="s">
        <v>39</v>
      </c>
      <c r="I676" s="15">
        <v>1</v>
      </c>
      <c r="J676" s="15" t="s">
        <v>46</v>
      </c>
      <c r="K676" s="15">
        <f>(VLOOKUP(H676,'[1]BOM Info General'!$A:$L,12,0))*I676</f>
        <v>24.42</v>
      </c>
      <c r="L676" s="9" t="s">
        <v>74</v>
      </c>
      <c r="M676" s="9">
        <v>1</v>
      </c>
      <c r="N676" s="9" t="s">
        <v>77</v>
      </c>
      <c r="O676" s="9">
        <f>(VLOOKUP(L676,'[1]Simulation pricing per sub assy'!$D:$E,2,0))*M676</f>
        <v>51.27879999999999</v>
      </c>
      <c r="P676" s="16" t="s">
        <v>51</v>
      </c>
      <c r="Q676" s="16">
        <v>2</v>
      </c>
      <c r="R676" s="16" t="s">
        <v>17</v>
      </c>
      <c r="S676" s="40">
        <f>(VLOOKUP(P676,'[1]BOM Info General'!$A:$L,12,0))*Q676</f>
        <v>5.3</v>
      </c>
      <c r="T676" s="17" t="s">
        <v>10</v>
      </c>
      <c r="U676" s="17">
        <v>1</v>
      </c>
      <c r="V676" s="17" t="s">
        <v>11</v>
      </c>
      <c r="W676" s="17">
        <f>(VLOOKUP(T676,'[1]Simulation pricing per sub assy'!$D:$E,2,0))*U676</f>
        <v>2.0499999999999998</v>
      </c>
      <c r="X676" s="18" t="s">
        <v>615</v>
      </c>
      <c r="Y676" s="18">
        <v>1</v>
      </c>
      <c r="Z676" s="18" t="s">
        <v>9</v>
      </c>
      <c r="AA676" s="18">
        <f>(VLOOKUP(X676,'[1]Simulation pricing per sub assy'!$D:$E,2,0))*Y676</f>
        <v>1.5769808000000001</v>
      </c>
    </row>
    <row r="677" spans="1:27" x14ac:dyDescent="0.35">
      <c r="A677" s="13" t="s">
        <v>460</v>
      </c>
      <c r="B677" s="13" t="s">
        <v>4269</v>
      </c>
      <c r="C677" s="42">
        <f t="shared" si="10"/>
        <v>111.0657808</v>
      </c>
      <c r="D677" s="14" t="s">
        <v>42</v>
      </c>
      <c r="E677" s="14">
        <v>1</v>
      </c>
      <c r="F677" s="14" t="s">
        <v>3982</v>
      </c>
      <c r="G677" s="14">
        <f>(VLOOKUP(D677,'[1]BOM Info General'!$A:$L,12,0))*E677</f>
        <v>35.56</v>
      </c>
      <c r="H677" s="15" t="s">
        <v>39</v>
      </c>
      <c r="I677" s="15">
        <v>1</v>
      </c>
      <c r="J677" s="15" t="s">
        <v>46</v>
      </c>
      <c r="K677" s="15">
        <f>(VLOOKUP(H677,'[1]BOM Info General'!$A:$L,12,0))*I677</f>
        <v>24.42</v>
      </c>
      <c r="L677" s="9" t="s">
        <v>527</v>
      </c>
      <c r="M677" s="9">
        <v>1</v>
      </c>
      <c r="N677" s="9" t="s">
        <v>79</v>
      </c>
      <c r="O677" s="9">
        <f>(VLOOKUP(L677,'[1]Simulation pricing per sub assy'!$D:$E,2,0))*M677</f>
        <v>42.308799999999991</v>
      </c>
      <c r="P677" s="16" t="s">
        <v>51</v>
      </c>
      <c r="Q677" s="16">
        <v>2</v>
      </c>
      <c r="R677" s="16" t="s">
        <v>17</v>
      </c>
      <c r="S677" s="40">
        <f>(VLOOKUP(P677,'[1]BOM Info General'!$A:$L,12,0))*Q677</f>
        <v>5.3</v>
      </c>
      <c r="T677" s="17" t="s">
        <v>12</v>
      </c>
      <c r="U677" s="17">
        <v>1</v>
      </c>
      <c r="V677" s="17" t="s">
        <v>13</v>
      </c>
      <c r="W677" s="17">
        <f>(VLOOKUP(T677,'[1]Simulation pricing per sub assy'!$D:$E,2,0))*U677</f>
        <v>1.9</v>
      </c>
      <c r="X677" s="18" t="s">
        <v>615</v>
      </c>
      <c r="Y677" s="18">
        <v>1</v>
      </c>
      <c r="Z677" s="18" t="s">
        <v>9</v>
      </c>
      <c r="AA677" s="18">
        <f>(VLOOKUP(X677,'[1]Simulation pricing per sub assy'!$D:$E,2,0))*Y677</f>
        <v>1.5769808000000001</v>
      </c>
    </row>
    <row r="678" spans="1:27" x14ac:dyDescent="0.35">
      <c r="A678" s="13" t="s">
        <v>316</v>
      </c>
      <c r="B678" s="13" t="s">
        <v>4270</v>
      </c>
      <c r="C678" s="42">
        <f t="shared" si="10"/>
        <v>112.0457808</v>
      </c>
      <c r="D678" s="14" t="s">
        <v>42</v>
      </c>
      <c r="E678" s="14">
        <v>1</v>
      </c>
      <c r="F678" s="14" t="s">
        <v>3982</v>
      </c>
      <c r="G678" s="14">
        <f>(VLOOKUP(D678,'[1]BOM Info General'!$A:$L,12,0))*E678</f>
        <v>35.56</v>
      </c>
      <c r="H678" s="15" t="s">
        <v>39</v>
      </c>
      <c r="I678" s="15">
        <v>1</v>
      </c>
      <c r="J678" s="15" t="s">
        <v>46</v>
      </c>
      <c r="K678" s="15">
        <f>(VLOOKUP(H678,'[1]BOM Info General'!$A:$L,12,0))*I678</f>
        <v>24.42</v>
      </c>
      <c r="L678" s="9" t="s">
        <v>76</v>
      </c>
      <c r="M678" s="9">
        <v>1</v>
      </c>
      <c r="N678" s="9" t="s">
        <v>73</v>
      </c>
      <c r="O678" s="9">
        <f>(VLOOKUP(L678,'[1]Simulation pricing per sub assy'!$D:$E,2,0))*M678</f>
        <v>43.288799999999988</v>
      </c>
      <c r="P678" s="16" t="s">
        <v>51</v>
      </c>
      <c r="Q678" s="16">
        <v>2</v>
      </c>
      <c r="R678" s="16" t="s">
        <v>17</v>
      </c>
      <c r="S678" s="40">
        <f>(VLOOKUP(P678,'[1]BOM Info General'!$A:$L,12,0))*Q678</f>
        <v>5.3</v>
      </c>
      <c r="T678" s="17" t="s">
        <v>12</v>
      </c>
      <c r="U678" s="17">
        <v>1</v>
      </c>
      <c r="V678" s="17" t="s">
        <v>13</v>
      </c>
      <c r="W678" s="17">
        <f>(VLOOKUP(T678,'[1]Simulation pricing per sub assy'!$D:$E,2,0))*U678</f>
        <v>1.9</v>
      </c>
      <c r="X678" s="18" t="s">
        <v>615</v>
      </c>
      <c r="Y678" s="18">
        <v>1</v>
      </c>
      <c r="Z678" s="18" t="s">
        <v>9</v>
      </c>
      <c r="AA678" s="18">
        <f>(VLOOKUP(X678,'[1]Simulation pricing per sub assy'!$D:$E,2,0))*Y678</f>
        <v>1.5769808000000001</v>
      </c>
    </row>
    <row r="679" spans="1:27" x14ac:dyDescent="0.35">
      <c r="A679" s="13" t="s">
        <v>388</v>
      </c>
      <c r="B679" s="13" t="s">
        <v>4271</v>
      </c>
      <c r="C679" s="42">
        <f t="shared" si="10"/>
        <v>112.6257808</v>
      </c>
      <c r="D679" s="14" t="s">
        <v>42</v>
      </c>
      <c r="E679" s="14">
        <v>1</v>
      </c>
      <c r="F679" s="14" t="s">
        <v>3982</v>
      </c>
      <c r="G679" s="14">
        <f>(VLOOKUP(D679,'[1]BOM Info General'!$A:$L,12,0))*E679</f>
        <v>35.56</v>
      </c>
      <c r="H679" s="15" t="s">
        <v>39</v>
      </c>
      <c r="I679" s="15">
        <v>1</v>
      </c>
      <c r="J679" s="15" t="s">
        <v>46</v>
      </c>
      <c r="K679" s="15">
        <f>(VLOOKUP(H679,'[1]BOM Info General'!$A:$L,12,0))*I679</f>
        <v>24.42</v>
      </c>
      <c r="L679" s="9" t="s">
        <v>72</v>
      </c>
      <c r="M679" s="9">
        <v>1</v>
      </c>
      <c r="N679" s="9" t="s">
        <v>71</v>
      </c>
      <c r="O679" s="9">
        <f>(VLOOKUP(L679,'[1]Simulation pricing per sub assy'!$D:$E,2,0))*M679</f>
        <v>43.868799999999993</v>
      </c>
      <c r="P679" s="16" t="s">
        <v>51</v>
      </c>
      <c r="Q679" s="16">
        <v>2</v>
      </c>
      <c r="R679" s="16" t="s">
        <v>17</v>
      </c>
      <c r="S679" s="40">
        <f>(VLOOKUP(P679,'[1]BOM Info General'!$A:$L,12,0))*Q679</f>
        <v>5.3</v>
      </c>
      <c r="T679" s="17" t="s">
        <v>12</v>
      </c>
      <c r="U679" s="17">
        <v>1</v>
      </c>
      <c r="V679" s="17" t="s">
        <v>13</v>
      </c>
      <c r="W679" s="17">
        <f>(VLOOKUP(T679,'[1]Simulation pricing per sub assy'!$D:$E,2,0))*U679</f>
        <v>1.9</v>
      </c>
      <c r="X679" s="18" t="s">
        <v>615</v>
      </c>
      <c r="Y679" s="18">
        <v>1</v>
      </c>
      <c r="Z679" s="18" t="s">
        <v>9</v>
      </c>
      <c r="AA679" s="18">
        <f>(VLOOKUP(X679,'[1]Simulation pricing per sub assy'!$D:$E,2,0))*Y679</f>
        <v>1.5769808000000001</v>
      </c>
    </row>
    <row r="680" spans="1:27" x14ac:dyDescent="0.35">
      <c r="A680" s="13" t="s">
        <v>352</v>
      </c>
      <c r="B680" s="13" t="s">
        <v>4272</v>
      </c>
      <c r="C680" s="42">
        <f t="shared" si="10"/>
        <v>112.3657808</v>
      </c>
      <c r="D680" s="14" t="s">
        <v>42</v>
      </c>
      <c r="E680" s="14">
        <v>1</v>
      </c>
      <c r="F680" s="14" t="s">
        <v>3982</v>
      </c>
      <c r="G680" s="14">
        <f>(VLOOKUP(D680,'[1]BOM Info General'!$A:$L,12,0))*E680</f>
        <v>35.56</v>
      </c>
      <c r="H680" s="15" t="s">
        <v>39</v>
      </c>
      <c r="I680" s="15">
        <v>1</v>
      </c>
      <c r="J680" s="15" t="s">
        <v>46</v>
      </c>
      <c r="K680" s="15">
        <f>(VLOOKUP(H680,'[1]BOM Info General'!$A:$L,12,0))*I680</f>
        <v>24.42</v>
      </c>
      <c r="L680" s="9" t="s">
        <v>78</v>
      </c>
      <c r="M680" s="9">
        <v>1</v>
      </c>
      <c r="N680" s="9" t="s">
        <v>75</v>
      </c>
      <c r="O680" s="9">
        <f>(VLOOKUP(L680,'[1]Simulation pricing per sub assy'!$D:$E,2,0))*M680</f>
        <v>43.608799999999988</v>
      </c>
      <c r="P680" s="16" t="s">
        <v>51</v>
      </c>
      <c r="Q680" s="16">
        <v>2</v>
      </c>
      <c r="R680" s="16" t="s">
        <v>17</v>
      </c>
      <c r="S680" s="40">
        <f>(VLOOKUP(P680,'[1]BOM Info General'!$A:$L,12,0))*Q680</f>
        <v>5.3</v>
      </c>
      <c r="T680" s="17" t="s">
        <v>12</v>
      </c>
      <c r="U680" s="17">
        <v>1</v>
      </c>
      <c r="V680" s="17" t="s">
        <v>13</v>
      </c>
      <c r="W680" s="17">
        <f>(VLOOKUP(T680,'[1]Simulation pricing per sub assy'!$D:$E,2,0))*U680</f>
        <v>1.9</v>
      </c>
      <c r="X680" s="18" t="s">
        <v>615</v>
      </c>
      <c r="Y680" s="18">
        <v>1</v>
      </c>
      <c r="Z680" s="18" t="s">
        <v>9</v>
      </c>
      <c r="AA680" s="18">
        <f>(VLOOKUP(X680,'[1]Simulation pricing per sub assy'!$D:$E,2,0))*Y680</f>
        <v>1.5769808000000001</v>
      </c>
    </row>
    <row r="681" spans="1:27" x14ac:dyDescent="0.35">
      <c r="A681" s="13" t="s">
        <v>424</v>
      </c>
      <c r="B681" s="13" t="s">
        <v>4273</v>
      </c>
      <c r="C681" s="42">
        <f t="shared" si="10"/>
        <v>120.0357808</v>
      </c>
      <c r="D681" s="14" t="s">
        <v>42</v>
      </c>
      <c r="E681" s="14">
        <v>1</v>
      </c>
      <c r="F681" s="14" t="s">
        <v>3982</v>
      </c>
      <c r="G681" s="14">
        <f>(VLOOKUP(D681,'[1]BOM Info General'!$A:$L,12,0))*E681</f>
        <v>35.56</v>
      </c>
      <c r="H681" s="15" t="s">
        <v>39</v>
      </c>
      <c r="I681" s="15">
        <v>1</v>
      </c>
      <c r="J681" s="15" t="s">
        <v>46</v>
      </c>
      <c r="K681" s="15">
        <f>(VLOOKUP(H681,'[1]BOM Info General'!$A:$L,12,0))*I681</f>
        <v>24.42</v>
      </c>
      <c r="L681" s="9" t="s">
        <v>74</v>
      </c>
      <c r="M681" s="9">
        <v>1</v>
      </c>
      <c r="N681" s="9" t="s">
        <v>77</v>
      </c>
      <c r="O681" s="9">
        <f>(VLOOKUP(L681,'[1]Simulation pricing per sub assy'!$D:$E,2,0))*M681</f>
        <v>51.27879999999999</v>
      </c>
      <c r="P681" s="16" t="s">
        <v>51</v>
      </c>
      <c r="Q681" s="16">
        <v>2</v>
      </c>
      <c r="R681" s="16" t="s">
        <v>17</v>
      </c>
      <c r="S681" s="40">
        <f>(VLOOKUP(P681,'[1]BOM Info General'!$A:$L,12,0))*Q681</f>
        <v>5.3</v>
      </c>
      <c r="T681" s="17" t="s">
        <v>12</v>
      </c>
      <c r="U681" s="17">
        <v>1</v>
      </c>
      <c r="V681" s="17" t="s">
        <v>13</v>
      </c>
      <c r="W681" s="17">
        <f>(VLOOKUP(T681,'[1]Simulation pricing per sub assy'!$D:$E,2,0))*U681</f>
        <v>1.9</v>
      </c>
      <c r="X681" s="18" t="s">
        <v>615</v>
      </c>
      <c r="Y681" s="18">
        <v>1</v>
      </c>
      <c r="Z681" s="18" t="s">
        <v>9</v>
      </c>
      <c r="AA681" s="18">
        <f>(VLOOKUP(X681,'[1]Simulation pricing per sub assy'!$D:$E,2,0))*Y681</f>
        <v>1.5769808000000001</v>
      </c>
    </row>
    <row r="682" spans="1:27" x14ac:dyDescent="0.35">
      <c r="A682" s="13" t="s">
        <v>461</v>
      </c>
      <c r="B682" s="13" t="s">
        <v>4274</v>
      </c>
      <c r="C682" s="42">
        <f t="shared" si="10"/>
        <v>111.0657808</v>
      </c>
      <c r="D682" s="14" t="s">
        <v>42</v>
      </c>
      <c r="E682" s="14">
        <v>1</v>
      </c>
      <c r="F682" s="14" t="s">
        <v>3982</v>
      </c>
      <c r="G682" s="14">
        <f>(VLOOKUP(D682,'[1]BOM Info General'!$A:$L,12,0))*E682</f>
        <v>35.56</v>
      </c>
      <c r="H682" s="15" t="s">
        <v>39</v>
      </c>
      <c r="I682" s="15">
        <v>1</v>
      </c>
      <c r="J682" s="15" t="s">
        <v>46</v>
      </c>
      <c r="K682" s="15">
        <f>(VLOOKUP(H682,'[1]BOM Info General'!$A:$L,12,0))*I682</f>
        <v>24.42</v>
      </c>
      <c r="L682" s="9" t="s">
        <v>527</v>
      </c>
      <c r="M682" s="9">
        <v>1</v>
      </c>
      <c r="N682" s="9" t="s">
        <v>79</v>
      </c>
      <c r="O682" s="9">
        <f>(VLOOKUP(L682,'[1]Simulation pricing per sub assy'!$D:$E,2,0))*M682</f>
        <v>42.308799999999991</v>
      </c>
      <c r="P682" s="16" t="s">
        <v>51</v>
      </c>
      <c r="Q682" s="16">
        <v>2</v>
      </c>
      <c r="R682" s="16" t="s">
        <v>17</v>
      </c>
      <c r="S682" s="40">
        <f>(VLOOKUP(P682,'[1]BOM Info General'!$A:$L,12,0))*Q682</f>
        <v>5.3</v>
      </c>
      <c r="T682" s="17" t="s">
        <v>14</v>
      </c>
      <c r="U682" s="17">
        <v>1</v>
      </c>
      <c r="V682" s="17" t="s">
        <v>15</v>
      </c>
      <c r="W682" s="17">
        <f>(VLOOKUP(T682,'[1]Simulation pricing per sub assy'!$D:$E,2,0))*U682</f>
        <v>1.9</v>
      </c>
      <c r="X682" s="18" t="s">
        <v>615</v>
      </c>
      <c r="Y682" s="18">
        <v>1</v>
      </c>
      <c r="Z682" s="18" t="s">
        <v>9</v>
      </c>
      <c r="AA682" s="18">
        <f>(VLOOKUP(X682,'[1]Simulation pricing per sub assy'!$D:$E,2,0))*Y682</f>
        <v>1.5769808000000001</v>
      </c>
    </row>
    <row r="683" spans="1:27" x14ac:dyDescent="0.35">
      <c r="A683" s="13" t="s">
        <v>317</v>
      </c>
      <c r="B683" s="13" t="s">
        <v>4275</v>
      </c>
      <c r="C683" s="42">
        <f t="shared" si="10"/>
        <v>112.0457808</v>
      </c>
      <c r="D683" s="14" t="s">
        <v>42</v>
      </c>
      <c r="E683" s="14">
        <v>1</v>
      </c>
      <c r="F683" s="14" t="s">
        <v>3982</v>
      </c>
      <c r="G683" s="14">
        <f>(VLOOKUP(D683,'[1]BOM Info General'!$A:$L,12,0))*E683</f>
        <v>35.56</v>
      </c>
      <c r="H683" s="15" t="s">
        <v>39</v>
      </c>
      <c r="I683" s="15">
        <v>1</v>
      </c>
      <c r="J683" s="15" t="s">
        <v>46</v>
      </c>
      <c r="K683" s="15">
        <f>(VLOOKUP(H683,'[1]BOM Info General'!$A:$L,12,0))*I683</f>
        <v>24.42</v>
      </c>
      <c r="L683" s="9" t="s">
        <v>76</v>
      </c>
      <c r="M683" s="9">
        <v>1</v>
      </c>
      <c r="N683" s="9" t="s">
        <v>73</v>
      </c>
      <c r="O683" s="9">
        <f>(VLOOKUP(L683,'[1]Simulation pricing per sub assy'!$D:$E,2,0))*M683</f>
        <v>43.288799999999988</v>
      </c>
      <c r="P683" s="16" t="s">
        <v>51</v>
      </c>
      <c r="Q683" s="16">
        <v>2</v>
      </c>
      <c r="R683" s="16" t="s">
        <v>17</v>
      </c>
      <c r="S683" s="40">
        <f>(VLOOKUP(P683,'[1]BOM Info General'!$A:$L,12,0))*Q683</f>
        <v>5.3</v>
      </c>
      <c r="T683" s="17" t="s">
        <v>14</v>
      </c>
      <c r="U683" s="17">
        <v>1</v>
      </c>
      <c r="V683" s="17" t="s">
        <v>15</v>
      </c>
      <c r="W683" s="17">
        <f>(VLOOKUP(T683,'[1]Simulation pricing per sub assy'!$D:$E,2,0))*U683</f>
        <v>1.9</v>
      </c>
      <c r="X683" s="18" t="s">
        <v>615</v>
      </c>
      <c r="Y683" s="18">
        <v>1</v>
      </c>
      <c r="Z683" s="18" t="s">
        <v>9</v>
      </c>
      <c r="AA683" s="18">
        <f>(VLOOKUP(X683,'[1]Simulation pricing per sub assy'!$D:$E,2,0))*Y683</f>
        <v>1.5769808000000001</v>
      </c>
    </row>
    <row r="684" spans="1:27" x14ac:dyDescent="0.35">
      <c r="A684" s="13" t="s">
        <v>389</v>
      </c>
      <c r="B684" s="13" t="s">
        <v>4276</v>
      </c>
      <c r="C684" s="42">
        <f t="shared" si="10"/>
        <v>112.6257808</v>
      </c>
      <c r="D684" s="14" t="s">
        <v>42</v>
      </c>
      <c r="E684" s="14">
        <v>1</v>
      </c>
      <c r="F684" s="14" t="s">
        <v>3982</v>
      </c>
      <c r="G684" s="14">
        <f>(VLOOKUP(D684,'[1]BOM Info General'!$A:$L,12,0))*E684</f>
        <v>35.56</v>
      </c>
      <c r="H684" s="15" t="s">
        <v>39</v>
      </c>
      <c r="I684" s="15">
        <v>1</v>
      </c>
      <c r="J684" s="15" t="s">
        <v>46</v>
      </c>
      <c r="K684" s="15">
        <f>(VLOOKUP(H684,'[1]BOM Info General'!$A:$L,12,0))*I684</f>
        <v>24.42</v>
      </c>
      <c r="L684" s="9" t="s">
        <v>72</v>
      </c>
      <c r="M684" s="9">
        <v>1</v>
      </c>
      <c r="N684" s="9" t="s">
        <v>71</v>
      </c>
      <c r="O684" s="9">
        <f>(VLOOKUP(L684,'[1]Simulation pricing per sub assy'!$D:$E,2,0))*M684</f>
        <v>43.868799999999993</v>
      </c>
      <c r="P684" s="16" t="s">
        <v>51</v>
      </c>
      <c r="Q684" s="16">
        <v>2</v>
      </c>
      <c r="R684" s="16" t="s">
        <v>17</v>
      </c>
      <c r="S684" s="40">
        <f>(VLOOKUP(P684,'[1]BOM Info General'!$A:$L,12,0))*Q684</f>
        <v>5.3</v>
      </c>
      <c r="T684" s="17" t="s">
        <v>14</v>
      </c>
      <c r="U684" s="17">
        <v>1</v>
      </c>
      <c r="V684" s="17" t="s">
        <v>15</v>
      </c>
      <c r="W684" s="17">
        <f>(VLOOKUP(T684,'[1]Simulation pricing per sub assy'!$D:$E,2,0))*U684</f>
        <v>1.9</v>
      </c>
      <c r="X684" s="18" t="s">
        <v>615</v>
      </c>
      <c r="Y684" s="18">
        <v>1</v>
      </c>
      <c r="Z684" s="18" t="s">
        <v>9</v>
      </c>
      <c r="AA684" s="18">
        <f>(VLOOKUP(X684,'[1]Simulation pricing per sub assy'!$D:$E,2,0))*Y684</f>
        <v>1.5769808000000001</v>
      </c>
    </row>
    <row r="685" spans="1:27" x14ac:dyDescent="0.35">
      <c r="A685" s="13" t="s">
        <v>353</v>
      </c>
      <c r="B685" s="13" t="s">
        <v>4277</v>
      </c>
      <c r="C685" s="42">
        <f t="shared" si="10"/>
        <v>112.3657808</v>
      </c>
      <c r="D685" s="14" t="s">
        <v>42</v>
      </c>
      <c r="E685" s="14">
        <v>1</v>
      </c>
      <c r="F685" s="14" t="s">
        <v>3982</v>
      </c>
      <c r="G685" s="14">
        <f>(VLOOKUP(D685,'[1]BOM Info General'!$A:$L,12,0))*E685</f>
        <v>35.56</v>
      </c>
      <c r="H685" s="15" t="s">
        <v>39</v>
      </c>
      <c r="I685" s="15">
        <v>1</v>
      </c>
      <c r="J685" s="15" t="s">
        <v>46</v>
      </c>
      <c r="K685" s="15">
        <f>(VLOOKUP(H685,'[1]BOM Info General'!$A:$L,12,0))*I685</f>
        <v>24.42</v>
      </c>
      <c r="L685" s="9" t="s">
        <v>78</v>
      </c>
      <c r="M685" s="9">
        <v>1</v>
      </c>
      <c r="N685" s="9" t="s">
        <v>75</v>
      </c>
      <c r="O685" s="9">
        <f>(VLOOKUP(L685,'[1]Simulation pricing per sub assy'!$D:$E,2,0))*M685</f>
        <v>43.608799999999988</v>
      </c>
      <c r="P685" s="16" t="s">
        <v>51</v>
      </c>
      <c r="Q685" s="16">
        <v>2</v>
      </c>
      <c r="R685" s="16" t="s">
        <v>17</v>
      </c>
      <c r="S685" s="40">
        <f>(VLOOKUP(P685,'[1]BOM Info General'!$A:$L,12,0))*Q685</f>
        <v>5.3</v>
      </c>
      <c r="T685" s="17" t="s">
        <v>14</v>
      </c>
      <c r="U685" s="17">
        <v>1</v>
      </c>
      <c r="V685" s="17" t="s">
        <v>15</v>
      </c>
      <c r="W685" s="17">
        <f>(VLOOKUP(T685,'[1]Simulation pricing per sub assy'!$D:$E,2,0))*U685</f>
        <v>1.9</v>
      </c>
      <c r="X685" s="18" t="s">
        <v>615</v>
      </c>
      <c r="Y685" s="18">
        <v>1</v>
      </c>
      <c r="Z685" s="18" t="s">
        <v>9</v>
      </c>
      <c r="AA685" s="18">
        <f>(VLOOKUP(X685,'[1]Simulation pricing per sub assy'!$D:$E,2,0))*Y685</f>
        <v>1.5769808000000001</v>
      </c>
    </row>
    <row r="686" spans="1:27" x14ac:dyDescent="0.35">
      <c r="A686" s="13" t="s">
        <v>425</v>
      </c>
      <c r="B686" s="13" t="s">
        <v>4278</v>
      </c>
      <c r="C686" s="42">
        <f t="shared" si="10"/>
        <v>120.0357808</v>
      </c>
      <c r="D686" s="14" t="s">
        <v>42</v>
      </c>
      <c r="E686" s="14">
        <v>1</v>
      </c>
      <c r="F686" s="14" t="s">
        <v>3982</v>
      </c>
      <c r="G686" s="14">
        <f>(VLOOKUP(D686,'[1]BOM Info General'!$A:$L,12,0))*E686</f>
        <v>35.56</v>
      </c>
      <c r="H686" s="15" t="s">
        <v>39</v>
      </c>
      <c r="I686" s="15">
        <v>1</v>
      </c>
      <c r="J686" s="15" t="s">
        <v>46</v>
      </c>
      <c r="K686" s="15">
        <f>(VLOOKUP(H686,'[1]BOM Info General'!$A:$L,12,0))*I686</f>
        <v>24.42</v>
      </c>
      <c r="L686" s="9" t="s">
        <v>74</v>
      </c>
      <c r="M686" s="9">
        <v>1</v>
      </c>
      <c r="N686" s="9" t="s">
        <v>77</v>
      </c>
      <c r="O686" s="9">
        <f>(VLOOKUP(L686,'[1]Simulation pricing per sub assy'!$D:$E,2,0))*M686</f>
        <v>51.27879999999999</v>
      </c>
      <c r="P686" s="16" t="s">
        <v>51</v>
      </c>
      <c r="Q686" s="16">
        <v>2</v>
      </c>
      <c r="R686" s="16" t="s">
        <v>17</v>
      </c>
      <c r="S686" s="40">
        <f>(VLOOKUP(P686,'[1]BOM Info General'!$A:$L,12,0))*Q686</f>
        <v>5.3</v>
      </c>
      <c r="T686" s="17" t="s">
        <v>14</v>
      </c>
      <c r="U686" s="17">
        <v>1</v>
      </c>
      <c r="V686" s="17" t="s">
        <v>15</v>
      </c>
      <c r="W686" s="17">
        <f>(VLOOKUP(T686,'[1]Simulation pricing per sub assy'!$D:$E,2,0))*U686</f>
        <v>1.9</v>
      </c>
      <c r="X686" s="18" t="s">
        <v>615</v>
      </c>
      <c r="Y686" s="18">
        <v>1</v>
      </c>
      <c r="Z686" s="18" t="s">
        <v>9</v>
      </c>
      <c r="AA686" s="18">
        <f>(VLOOKUP(X686,'[1]Simulation pricing per sub assy'!$D:$E,2,0))*Y686</f>
        <v>1.5769808000000001</v>
      </c>
    </row>
    <row r="687" spans="1:27" x14ac:dyDescent="0.35">
      <c r="A687" s="13" t="s">
        <v>462</v>
      </c>
      <c r="B687" s="13" t="s">
        <v>4279</v>
      </c>
      <c r="C687" s="42">
        <f t="shared" si="10"/>
        <v>111.21578079999999</v>
      </c>
      <c r="D687" s="14" t="s">
        <v>42</v>
      </c>
      <c r="E687" s="14">
        <v>1</v>
      </c>
      <c r="F687" s="14" t="s">
        <v>3982</v>
      </c>
      <c r="G687" s="14">
        <f>(VLOOKUP(D687,'[1]BOM Info General'!$A:$L,12,0))*E687</f>
        <v>35.56</v>
      </c>
      <c r="H687" s="15" t="s">
        <v>39</v>
      </c>
      <c r="I687" s="15">
        <v>1</v>
      </c>
      <c r="J687" s="15" t="s">
        <v>46</v>
      </c>
      <c r="K687" s="15">
        <f>(VLOOKUP(H687,'[1]BOM Info General'!$A:$L,12,0))*I687</f>
        <v>24.42</v>
      </c>
      <c r="L687" s="9" t="s">
        <v>527</v>
      </c>
      <c r="M687" s="9">
        <v>1</v>
      </c>
      <c r="N687" s="9" t="s">
        <v>79</v>
      </c>
      <c r="O687" s="9">
        <f>(VLOOKUP(L687,'[1]Simulation pricing per sub assy'!$D:$E,2,0))*M687</f>
        <v>42.308799999999991</v>
      </c>
      <c r="P687" s="16" t="s">
        <v>52</v>
      </c>
      <c r="Q687" s="16">
        <v>2</v>
      </c>
      <c r="R687" s="16" t="s">
        <v>18</v>
      </c>
      <c r="S687" s="40">
        <f>(VLOOKUP(P687,'[1]BOM Info General'!$A:$L,12,0))*Q687</f>
        <v>5.3</v>
      </c>
      <c r="T687" s="17" t="s">
        <v>10</v>
      </c>
      <c r="U687" s="17">
        <v>1</v>
      </c>
      <c r="V687" s="17" t="s">
        <v>11</v>
      </c>
      <c r="W687" s="17">
        <f>(VLOOKUP(T687,'[1]Simulation pricing per sub assy'!$D:$E,2,0))*U687</f>
        <v>2.0499999999999998</v>
      </c>
      <c r="X687" s="18" t="s">
        <v>615</v>
      </c>
      <c r="Y687" s="18">
        <v>1</v>
      </c>
      <c r="Z687" s="18" t="s">
        <v>9</v>
      </c>
      <c r="AA687" s="18">
        <f>(VLOOKUP(X687,'[1]Simulation pricing per sub assy'!$D:$E,2,0))*Y687</f>
        <v>1.5769808000000001</v>
      </c>
    </row>
    <row r="688" spans="1:27" x14ac:dyDescent="0.35">
      <c r="A688" s="13" t="s">
        <v>318</v>
      </c>
      <c r="B688" s="13" t="s">
        <v>4280</v>
      </c>
      <c r="C688" s="42">
        <f t="shared" si="10"/>
        <v>112.19578079999999</v>
      </c>
      <c r="D688" s="14" t="s">
        <v>42</v>
      </c>
      <c r="E688" s="14">
        <v>1</v>
      </c>
      <c r="F688" s="14" t="s">
        <v>3982</v>
      </c>
      <c r="G688" s="14">
        <f>(VLOOKUP(D688,'[1]BOM Info General'!$A:$L,12,0))*E688</f>
        <v>35.56</v>
      </c>
      <c r="H688" s="15" t="s">
        <v>39</v>
      </c>
      <c r="I688" s="15">
        <v>1</v>
      </c>
      <c r="J688" s="15" t="s">
        <v>46</v>
      </c>
      <c r="K688" s="15">
        <f>(VLOOKUP(H688,'[1]BOM Info General'!$A:$L,12,0))*I688</f>
        <v>24.42</v>
      </c>
      <c r="L688" s="9" t="s">
        <v>76</v>
      </c>
      <c r="M688" s="9">
        <v>1</v>
      </c>
      <c r="N688" s="9" t="s">
        <v>73</v>
      </c>
      <c r="O688" s="9">
        <f>(VLOOKUP(L688,'[1]Simulation pricing per sub assy'!$D:$E,2,0))*M688</f>
        <v>43.288799999999988</v>
      </c>
      <c r="P688" s="16" t="s">
        <v>52</v>
      </c>
      <c r="Q688" s="16">
        <v>2</v>
      </c>
      <c r="R688" s="16" t="s">
        <v>18</v>
      </c>
      <c r="S688" s="40">
        <f>(VLOOKUP(P688,'[1]BOM Info General'!$A:$L,12,0))*Q688</f>
        <v>5.3</v>
      </c>
      <c r="T688" s="17" t="s">
        <v>10</v>
      </c>
      <c r="U688" s="17">
        <v>1</v>
      </c>
      <c r="V688" s="17" t="s">
        <v>11</v>
      </c>
      <c r="W688" s="17">
        <f>(VLOOKUP(T688,'[1]Simulation pricing per sub assy'!$D:$E,2,0))*U688</f>
        <v>2.0499999999999998</v>
      </c>
      <c r="X688" s="18" t="s">
        <v>615</v>
      </c>
      <c r="Y688" s="18">
        <v>1</v>
      </c>
      <c r="Z688" s="18" t="s">
        <v>9</v>
      </c>
      <c r="AA688" s="18">
        <f>(VLOOKUP(X688,'[1]Simulation pricing per sub assy'!$D:$E,2,0))*Y688</f>
        <v>1.5769808000000001</v>
      </c>
    </row>
    <row r="689" spans="1:27" x14ac:dyDescent="0.35">
      <c r="A689" s="13" t="s">
        <v>390</v>
      </c>
      <c r="B689" s="13" t="s">
        <v>4281</v>
      </c>
      <c r="C689" s="42">
        <f t="shared" si="10"/>
        <v>112.77578079999999</v>
      </c>
      <c r="D689" s="14" t="s">
        <v>42</v>
      </c>
      <c r="E689" s="14">
        <v>1</v>
      </c>
      <c r="F689" s="14" t="s">
        <v>3982</v>
      </c>
      <c r="G689" s="14">
        <f>(VLOOKUP(D689,'[1]BOM Info General'!$A:$L,12,0))*E689</f>
        <v>35.56</v>
      </c>
      <c r="H689" s="15" t="s">
        <v>39</v>
      </c>
      <c r="I689" s="15">
        <v>1</v>
      </c>
      <c r="J689" s="15" t="s">
        <v>46</v>
      </c>
      <c r="K689" s="15">
        <f>(VLOOKUP(H689,'[1]BOM Info General'!$A:$L,12,0))*I689</f>
        <v>24.42</v>
      </c>
      <c r="L689" s="9" t="s">
        <v>72</v>
      </c>
      <c r="M689" s="9">
        <v>1</v>
      </c>
      <c r="N689" s="9" t="s">
        <v>71</v>
      </c>
      <c r="O689" s="9">
        <f>(VLOOKUP(L689,'[1]Simulation pricing per sub assy'!$D:$E,2,0))*M689</f>
        <v>43.868799999999993</v>
      </c>
      <c r="P689" s="16" t="s">
        <v>52</v>
      </c>
      <c r="Q689" s="16">
        <v>2</v>
      </c>
      <c r="R689" s="16" t="s">
        <v>18</v>
      </c>
      <c r="S689" s="40">
        <f>(VLOOKUP(P689,'[1]BOM Info General'!$A:$L,12,0))*Q689</f>
        <v>5.3</v>
      </c>
      <c r="T689" s="17" t="s">
        <v>10</v>
      </c>
      <c r="U689" s="17">
        <v>1</v>
      </c>
      <c r="V689" s="17" t="s">
        <v>11</v>
      </c>
      <c r="W689" s="17">
        <f>(VLOOKUP(T689,'[1]Simulation pricing per sub assy'!$D:$E,2,0))*U689</f>
        <v>2.0499999999999998</v>
      </c>
      <c r="X689" s="18" t="s">
        <v>615</v>
      </c>
      <c r="Y689" s="18">
        <v>1</v>
      </c>
      <c r="Z689" s="18" t="s">
        <v>9</v>
      </c>
      <c r="AA689" s="18">
        <f>(VLOOKUP(X689,'[1]Simulation pricing per sub assy'!$D:$E,2,0))*Y689</f>
        <v>1.5769808000000001</v>
      </c>
    </row>
    <row r="690" spans="1:27" x14ac:dyDescent="0.35">
      <c r="A690" s="13" t="s">
        <v>354</v>
      </c>
      <c r="B690" s="13" t="s">
        <v>4282</v>
      </c>
      <c r="C690" s="42">
        <f t="shared" si="10"/>
        <v>112.51578079999999</v>
      </c>
      <c r="D690" s="14" t="s">
        <v>42</v>
      </c>
      <c r="E690" s="14">
        <v>1</v>
      </c>
      <c r="F690" s="14" t="s">
        <v>3982</v>
      </c>
      <c r="G690" s="14">
        <f>(VLOOKUP(D690,'[1]BOM Info General'!$A:$L,12,0))*E690</f>
        <v>35.56</v>
      </c>
      <c r="H690" s="15" t="s">
        <v>39</v>
      </c>
      <c r="I690" s="15">
        <v>1</v>
      </c>
      <c r="J690" s="15" t="s">
        <v>46</v>
      </c>
      <c r="K690" s="15">
        <f>(VLOOKUP(H690,'[1]BOM Info General'!$A:$L,12,0))*I690</f>
        <v>24.42</v>
      </c>
      <c r="L690" s="9" t="s">
        <v>78</v>
      </c>
      <c r="M690" s="9">
        <v>1</v>
      </c>
      <c r="N690" s="9" t="s">
        <v>75</v>
      </c>
      <c r="O690" s="9">
        <f>(VLOOKUP(L690,'[1]Simulation pricing per sub assy'!$D:$E,2,0))*M690</f>
        <v>43.608799999999988</v>
      </c>
      <c r="P690" s="16" t="s">
        <v>52</v>
      </c>
      <c r="Q690" s="16">
        <v>2</v>
      </c>
      <c r="R690" s="16" t="s">
        <v>18</v>
      </c>
      <c r="S690" s="40">
        <f>(VLOOKUP(P690,'[1]BOM Info General'!$A:$L,12,0))*Q690</f>
        <v>5.3</v>
      </c>
      <c r="T690" s="17" t="s">
        <v>10</v>
      </c>
      <c r="U690" s="17">
        <v>1</v>
      </c>
      <c r="V690" s="17" t="s">
        <v>11</v>
      </c>
      <c r="W690" s="17">
        <f>(VLOOKUP(T690,'[1]Simulation pricing per sub assy'!$D:$E,2,0))*U690</f>
        <v>2.0499999999999998</v>
      </c>
      <c r="X690" s="18" t="s">
        <v>615</v>
      </c>
      <c r="Y690" s="18">
        <v>1</v>
      </c>
      <c r="Z690" s="18" t="s">
        <v>9</v>
      </c>
      <c r="AA690" s="18">
        <f>(VLOOKUP(X690,'[1]Simulation pricing per sub assy'!$D:$E,2,0))*Y690</f>
        <v>1.5769808000000001</v>
      </c>
    </row>
    <row r="691" spans="1:27" x14ac:dyDescent="0.35">
      <c r="A691" s="13" t="s">
        <v>426</v>
      </c>
      <c r="B691" s="13" t="s">
        <v>4283</v>
      </c>
      <c r="C691" s="42">
        <f t="shared" si="10"/>
        <v>120.18578079999999</v>
      </c>
      <c r="D691" s="14" t="s">
        <v>42</v>
      </c>
      <c r="E691" s="14">
        <v>1</v>
      </c>
      <c r="F691" s="14" t="s">
        <v>3982</v>
      </c>
      <c r="G691" s="14">
        <f>(VLOOKUP(D691,'[1]BOM Info General'!$A:$L,12,0))*E691</f>
        <v>35.56</v>
      </c>
      <c r="H691" s="15" t="s">
        <v>39</v>
      </c>
      <c r="I691" s="15">
        <v>1</v>
      </c>
      <c r="J691" s="15" t="s">
        <v>46</v>
      </c>
      <c r="K691" s="15">
        <f>(VLOOKUP(H691,'[1]BOM Info General'!$A:$L,12,0))*I691</f>
        <v>24.42</v>
      </c>
      <c r="L691" s="9" t="s">
        <v>74</v>
      </c>
      <c r="M691" s="9">
        <v>1</v>
      </c>
      <c r="N691" s="9" t="s">
        <v>77</v>
      </c>
      <c r="O691" s="9">
        <f>(VLOOKUP(L691,'[1]Simulation pricing per sub assy'!$D:$E,2,0))*M691</f>
        <v>51.27879999999999</v>
      </c>
      <c r="P691" s="16" t="s">
        <v>52</v>
      </c>
      <c r="Q691" s="16">
        <v>2</v>
      </c>
      <c r="R691" s="16" t="s">
        <v>18</v>
      </c>
      <c r="S691" s="40">
        <f>(VLOOKUP(P691,'[1]BOM Info General'!$A:$L,12,0))*Q691</f>
        <v>5.3</v>
      </c>
      <c r="T691" s="17" t="s">
        <v>10</v>
      </c>
      <c r="U691" s="17">
        <v>1</v>
      </c>
      <c r="V691" s="17" t="s">
        <v>11</v>
      </c>
      <c r="W691" s="17">
        <f>(VLOOKUP(T691,'[1]Simulation pricing per sub assy'!$D:$E,2,0))*U691</f>
        <v>2.0499999999999998</v>
      </c>
      <c r="X691" s="18" t="s">
        <v>615</v>
      </c>
      <c r="Y691" s="18">
        <v>1</v>
      </c>
      <c r="Z691" s="18" t="s">
        <v>9</v>
      </c>
      <c r="AA691" s="18">
        <f>(VLOOKUP(X691,'[1]Simulation pricing per sub assy'!$D:$E,2,0))*Y691</f>
        <v>1.5769808000000001</v>
      </c>
    </row>
    <row r="692" spans="1:27" x14ac:dyDescent="0.35">
      <c r="A692" s="13" t="s">
        <v>463</v>
      </c>
      <c r="B692" s="13" t="s">
        <v>4284</v>
      </c>
      <c r="C692" s="42">
        <f t="shared" si="10"/>
        <v>111.0657808</v>
      </c>
      <c r="D692" s="14" t="s">
        <v>42</v>
      </c>
      <c r="E692" s="14">
        <v>1</v>
      </c>
      <c r="F692" s="14" t="s">
        <v>3982</v>
      </c>
      <c r="G692" s="14">
        <f>(VLOOKUP(D692,'[1]BOM Info General'!$A:$L,12,0))*E692</f>
        <v>35.56</v>
      </c>
      <c r="H692" s="15" t="s">
        <v>39</v>
      </c>
      <c r="I692" s="15">
        <v>1</v>
      </c>
      <c r="J692" s="15" t="s">
        <v>46</v>
      </c>
      <c r="K692" s="15">
        <f>(VLOOKUP(H692,'[1]BOM Info General'!$A:$L,12,0))*I692</f>
        <v>24.42</v>
      </c>
      <c r="L692" s="9" t="s">
        <v>527</v>
      </c>
      <c r="M692" s="9">
        <v>1</v>
      </c>
      <c r="N692" s="9" t="s">
        <v>79</v>
      </c>
      <c r="O692" s="9">
        <f>(VLOOKUP(L692,'[1]Simulation pricing per sub assy'!$D:$E,2,0))*M692</f>
        <v>42.308799999999991</v>
      </c>
      <c r="P692" s="16" t="s">
        <v>52</v>
      </c>
      <c r="Q692" s="16">
        <v>2</v>
      </c>
      <c r="R692" s="16" t="s">
        <v>18</v>
      </c>
      <c r="S692" s="40">
        <f>(VLOOKUP(P692,'[1]BOM Info General'!$A:$L,12,0))*Q692</f>
        <v>5.3</v>
      </c>
      <c r="T692" s="17" t="s">
        <v>12</v>
      </c>
      <c r="U692" s="17">
        <v>1</v>
      </c>
      <c r="V692" s="17" t="s">
        <v>13</v>
      </c>
      <c r="W692" s="17">
        <f>(VLOOKUP(T692,'[1]Simulation pricing per sub assy'!$D:$E,2,0))*U692</f>
        <v>1.9</v>
      </c>
      <c r="X692" s="18" t="s">
        <v>615</v>
      </c>
      <c r="Y692" s="18">
        <v>1</v>
      </c>
      <c r="Z692" s="18" t="s">
        <v>9</v>
      </c>
      <c r="AA692" s="18">
        <f>(VLOOKUP(X692,'[1]Simulation pricing per sub assy'!$D:$E,2,0))*Y692</f>
        <v>1.5769808000000001</v>
      </c>
    </row>
    <row r="693" spans="1:27" x14ac:dyDescent="0.35">
      <c r="A693" s="13" t="s">
        <v>319</v>
      </c>
      <c r="B693" s="13" t="s">
        <v>4285</v>
      </c>
      <c r="C693" s="42">
        <f t="shared" si="10"/>
        <v>112.0457808</v>
      </c>
      <c r="D693" s="14" t="s">
        <v>42</v>
      </c>
      <c r="E693" s="14">
        <v>1</v>
      </c>
      <c r="F693" s="14" t="s">
        <v>3982</v>
      </c>
      <c r="G693" s="14">
        <f>(VLOOKUP(D693,'[1]BOM Info General'!$A:$L,12,0))*E693</f>
        <v>35.56</v>
      </c>
      <c r="H693" s="15" t="s">
        <v>39</v>
      </c>
      <c r="I693" s="15">
        <v>1</v>
      </c>
      <c r="J693" s="15" t="s">
        <v>46</v>
      </c>
      <c r="K693" s="15">
        <f>(VLOOKUP(H693,'[1]BOM Info General'!$A:$L,12,0))*I693</f>
        <v>24.42</v>
      </c>
      <c r="L693" s="9" t="s">
        <v>76</v>
      </c>
      <c r="M693" s="9">
        <v>1</v>
      </c>
      <c r="N693" s="9" t="s">
        <v>73</v>
      </c>
      <c r="O693" s="9">
        <f>(VLOOKUP(L693,'[1]Simulation pricing per sub assy'!$D:$E,2,0))*M693</f>
        <v>43.288799999999988</v>
      </c>
      <c r="P693" s="16" t="s">
        <v>52</v>
      </c>
      <c r="Q693" s="16">
        <v>2</v>
      </c>
      <c r="R693" s="16" t="s">
        <v>18</v>
      </c>
      <c r="S693" s="40">
        <f>(VLOOKUP(P693,'[1]BOM Info General'!$A:$L,12,0))*Q693</f>
        <v>5.3</v>
      </c>
      <c r="T693" s="17" t="s">
        <v>12</v>
      </c>
      <c r="U693" s="17">
        <v>1</v>
      </c>
      <c r="V693" s="17" t="s">
        <v>13</v>
      </c>
      <c r="W693" s="17">
        <f>(VLOOKUP(T693,'[1]Simulation pricing per sub assy'!$D:$E,2,0))*U693</f>
        <v>1.9</v>
      </c>
      <c r="X693" s="18" t="s">
        <v>615</v>
      </c>
      <c r="Y693" s="18">
        <v>1</v>
      </c>
      <c r="Z693" s="18" t="s">
        <v>9</v>
      </c>
      <c r="AA693" s="18">
        <f>(VLOOKUP(X693,'[1]Simulation pricing per sub assy'!$D:$E,2,0))*Y693</f>
        <v>1.5769808000000001</v>
      </c>
    </row>
    <row r="694" spans="1:27" x14ac:dyDescent="0.35">
      <c r="A694" s="13" t="s">
        <v>391</v>
      </c>
      <c r="B694" s="13" t="s">
        <v>4286</v>
      </c>
      <c r="C694" s="42">
        <f t="shared" si="10"/>
        <v>112.6257808</v>
      </c>
      <c r="D694" s="14" t="s">
        <v>42</v>
      </c>
      <c r="E694" s="14">
        <v>1</v>
      </c>
      <c r="F694" s="14" t="s">
        <v>3982</v>
      </c>
      <c r="G694" s="14">
        <f>(VLOOKUP(D694,'[1]BOM Info General'!$A:$L,12,0))*E694</f>
        <v>35.56</v>
      </c>
      <c r="H694" s="15" t="s">
        <v>39</v>
      </c>
      <c r="I694" s="15">
        <v>1</v>
      </c>
      <c r="J694" s="15" t="s">
        <v>46</v>
      </c>
      <c r="K694" s="15">
        <f>(VLOOKUP(H694,'[1]BOM Info General'!$A:$L,12,0))*I694</f>
        <v>24.42</v>
      </c>
      <c r="L694" s="9" t="s">
        <v>72</v>
      </c>
      <c r="M694" s="9">
        <v>1</v>
      </c>
      <c r="N694" s="9" t="s">
        <v>71</v>
      </c>
      <c r="O694" s="9">
        <f>(VLOOKUP(L694,'[1]Simulation pricing per sub assy'!$D:$E,2,0))*M694</f>
        <v>43.868799999999993</v>
      </c>
      <c r="P694" s="16" t="s">
        <v>52</v>
      </c>
      <c r="Q694" s="16">
        <v>2</v>
      </c>
      <c r="R694" s="16" t="s">
        <v>18</v>
      </c>
      <c r="S694" s="40">
        <f>(VLOOKUP(P694,'[1]BOM Info General'!$A:$L,12,0))*Q694</f>
        <v>5.3</v>
      </c>
      <c r="T694" s="17" t="s">
        <v>12</v>
      </c>
      <c r="U694" s="17">
        <v>1</v>
      </c>
      <c r="V694" s="17" t="s">
        <v>13</v>
      </c>
      <c r="W694" s="17">
        <f>(VLOOKUP(T694,'[1]Simulation pricing per sub assy'!$D:$E,2,0))*U694</f>
        <v>1.9</v>
      </c>
      <c r="X694" s="18" t="s">
        <v>615</v>
      </c>
      <c r="Y694" s="18">
        <v>1</v>
      </c>
      <c r="Z694" s="18" t="s">
        <v>9</v>
      </c>
      <c r="AA694" s="18">
        <f>(VLOOKUP(X694,'[1]Simulation pricing per sub assy'!$D:$E,2,0))*Y694</f>
        <v>1.5769808000000001</v>
      </c>
    </row>
    <row r="695" spans="1:27" x14ac:dyDescent="0.35">
      <c r="A695" s="13" t="s">
        <v>355</v>
      </c>
      <c r="B695" s="13" t="s">
        <v>4287</v>
      </c>
      <c r="C695" s="42">
        <f t="shared" si="10"/>
        <v>112.3657808</v>
      </c>
      <c r="D695" s="14" t="s">
        <v>42</v>
      </c>
      <c r="E695" s="14">
        <v>1</v>
      </c>
      <c r="F695" s="14" t="s">
        <v>3982</v>
      </c>
      <c r="G695" s="14">
        <f>(VLOOKUP(D695,'[1]BOM Info General'!$A:$L,12,0))*E695</f>
        <v>35.56</v>
      </c>
      <c r="H695" s="15" t="s">
        <v>39</v>
      </c>
      <c r="I695" s="15">
        <v>1</v>
      </c>
      <c r="J695" s="15" t="s">
        <v>46</v>
      </c>
      <c r="K695" s="15">
        <f>(VLOOKUP(H695,'[1]BOM Info General'!$A:$L,12,0))*I695</f>
        <v>24.42</v>
      </c>
      <c r="L695" s="9" t="s">
        <v>78</v>
      </c>
      <c r="M695" s="9">
        <v>1</v>
      </c>
      <c r="N695" s="9" t="s">
        <v>75</v>
      </c>
      <c r="O695" s="9">
        <f>(VLOOKUP(L695,'[1]Simulation pricing per sub assy'!$D:$E,2,0))*M695</f>
        <v>43.608799999999988</v>
      </c>
      <c r="P695" s="16" t="s">
        <v>52</v>
      </c>
      <c r="Q695" s="16">
        <v>2</v>
      </c>
      <c r="R695" s="16" t="s">
        <v>18</v>
      </c>
      <c r="S695" s="40">
        <f>(VLOOKUP(P695,'[1]BOM Info General'!$A:$L,12,0))*Q695</f>
        <v>5.3</v>
      </c>
      <c r="T695" s="17" t="s">
        <v>12</v>
      </c>
      <c r="U695" s="17">
        <v>1</v>
      </c>
      <c r="V695" s="17" t="s">
        <v>13</v>
      </c>
      <c r="W695" s="17">
        <f>(VLOOKUP(T695,'[1]Simulation pricing per sub assy'!$D:$E,2,0))*U695</f>
        <v>1.9</v>
      </c>
      <c r="X695" s="18" t="s">
        <v>615</v>
      </c>
      <c r="Y695" s="18">
        <v>1</v>
      </c>
      <c r="Z695" s="18" t="s">
        <v>9</v>
      </c>
      <c r="AA695" s="18">
        <f>(VLOOKUP(X695,'[1]Simulation pricing per sub assy'!$D:$E,2,0))*Y695</f>
        <v>1.5769808000000001</v>
      </c>
    </row>
    <row r="696" spans="1:27" x14ac:dyDescent="0.35">
      <c r="A696" s="13" t="s">
        <v>427</v>
      </c>
      <c r="B696" s="13" t="s">
        <v>4288</v>
      </c>
      <c r="C696" s="42">
        <f t="shared" si="10"/>
        <v>120.0357808</v>
      </c>
      <c r="D696" s="14" t="s">
        <v>42</v>
      </c>
      <c r="E696" s="14">
        <v>1</v>
      </c>
      <c r="F696" s="14" t="s">
        <v>3982</v>
      </c>
      <c r="G696" s="14">
        <f>(VLOOKUP(D696,'[1]BOM Info General'!$A:$L,12,0))*E696</f>
        <v>35.56</v>
      </c>
      <c r="H696" s="15" t="s">
        <v>39</v>
      </c>
      <c r="I696" s="15">
        <v>1</v>
      </c>
      <c r="J696" s="15" t="s">
        <v>46</v>
      </c>
      <c r="K696" s="15">
        <f>(VLOOKUP(H696,'[1]BOM Info General'!$A:$L,12,0))*I696</f>
        <v>24.42</v>
      </c>
      <c r="L696" s="9" t="s">
        <v>74</v>
      </c>
      <c r="M696" s="9">
        <v>1</v>
      </c>
      <c r="N696" s="9" t="s">
        <v>77</v>
      </c>
      <c r="O696" s="9">
        <f>(VLOOKUP(L696,'[1]Simulation pricing per sub assy'!$D:$E,2,0))*M696</f>
        <v>51.27879999999999</v>
      </c>
      <c r="P696" s="16" t="s">
        <v>52</v>
      </c>
      <c r="Q696" s="16">
        <v>2</v>
      </c>
      <c r="R696" s="16" t="s">
        <v>18</v>
      </c>
      <c r="S696" s="40">
        <f>(VLOOKUP(P696,'[1]BOM Info General'!$A:$L,12,0))*Q696</f>
        <v>5.3</v>
      </c>
      <c r="T696" s="17" t="s">
        <v>12</v>
      </c>
      <c r="U696" s="17">
        <v>1</v>
      </c>
      <c r="V696" s="17" t="s">
        <v>13</v>
      </c>
      <c r="W696" s="17">
        <f>(VLOOKUP(T696,'[1]Simulation pricing per sub assy'!$D:$E,2,0))*U696</f>
        <v>1.9</v>
      </c>
      <c r="X696" s="18" t="s">
        <v>615</v>
      </c>
      <c r="Y696" s="18">
        <v>1</v>
      </c>
      <c r="Z696" s="18" t="s">
        <v>9</v>
      </c>
      <c r="AA696" s="18">
        <f>(VLOOKUP(X696,'[1]Simulation pricing per sub assy'!$D:$E,2,0))*Y696</f>
        <v>1.5769808000000001</v>
      </c>
    </row>
    <row r="697" spans="1:27" x14ac:dyDescent="0.35">
      <c r="A697" s="13" t="s">
        <v>464</v>
      </c>
      <c r="B697" s="13" t="s">
        <v>4289</v>
      </c>
      <c r="C697" s="42">
        <f t="shared" si="10"/>
        <v>111.0657808</v>
      </c>
      <c r="D697" s="14" t="s">
        <v>42</v>
      </c>
      <c r="E697" s="14">
        <v>1</v>
      </c>
      <c r="F697" s="14" t="s">
        <v>3982</v>
      </c>
      <c r="G697" s="14">
        <f>(VLOOKUP(D697,'[1]BOM Info General'!$A:$L,12,0))*E697</f>
        <v>35.56</v>
      </c>
      <c r="H697" s="15" t="s">
        <v>39</v>
      </c>
      <c r="I697" s="15">
        <v>1</v>
      </c>
      <c r="J697" s="15" t="s">
        <v>46</v>
      </c>
      <c r="K697" s="15">
        <f>(VLOOKUP(H697,'[1]BOM Info General'!$A:$L,12,0))*I697</f>
        <v>24.42</v>
      </c>
      <c r="L697" s="9" t="s">
        <v>527</v>
      </c>
      <c r="M697" s="9">
        <v>1</v>
      </c>
      <c r="N697" s="9" t="s">
        <v>79</v>
      </c>
      <c r="O697" s="9">
        <f>(VLOOKUP(L697,'[1]Simulation pricing per sub assy'!$D:$E,2,0))*M697</f>
        <v>42.308799999999991</v>
      </c>
      <c r="P697" s="16" t="s">
        <v>52</v>
      </c>
      <c r="Q697" s="16">
        <v>2</v>
      </c>
      <c r="R697" s="16" t="s">
        <v>18</v>
      </c>
      <c r="S697" s="40">
        <f>(VLOOKUP(P697,'[1]BOM Info General'!$A:$L,12,0))*Q697</f>
        <v>5.3</v>
      </c>
      <c r="T697" s="17" t="s">
        <v>14</v>
      </c>
      <c r="U697" s="17">
        <v>1</v>
      </c>
      <c r="V697" s="17" t="s">
        <v>15</v>
      </c>
      <c r="W697" s="17">
        <f>(VLOOKUP(T697,'[1]Simulation pricing per sub assy'!$D:$E,2,0))*U697</f>
        <v>1.9</v>
      </c>
      <c r="X697" s="18" t="s">
        <v>615</v>
      </c>
      <c r="Y697" s="18">
        <v>1</v>
      </c>
      <c r="Z697" s="18" t="s">
        <v>9</v>
      </c>
      <c r="AA697" s="18">
        <f>(VLOOKUP(X697,'[1]Simulation pricing per sub assy'!$D:$E,2,0))*Y697</f>
        <v>1.5769808000000001</v>
      </c>
    </row>
    <row r="698" spans="1:27" x14ac:dyDescent="0.35">
      <c r="A698" s="13" t="s">
        <v>320</v>
      </c>
      <c r="B698" s="13" t="s">
        <v>4290</v>
      </c>
      <c r="C698" s="42">
        <f t="shared" si="10"/>
        <v>112.0457808</v>
      </c>
      <c r="D698" s="14" t="s">
        <v>42</v>
      </c>
      <c r="E698" s="14">
        <v>1</v>
      </c>
      <c r="F698" s="14" t="s">
        <v>3982</v>
      </c>
      <c r="G698" s="14">
        <f>(VLOOKUP(D698,'[1]BOM Info General'!$A:$L,12,0))*E698</f>
        <v>35.56</v>
      </c>
      <c r="H698" s="15" t="s">
        <v>39</v>
      </c>
      <c r="I698" s="15">
        <v>1</v>
      </c>
      <c r="J698" s="15" t="s">
        <v>46</v>
      </c>
      <c r="K698" s="15">
        <f>(VLOOKUP(H698,'[1]BOM Info General'!$A:$L,12,0))*I698</f>
        <v>24.42</v>
      </c>
      <c r="L698" s="9" t="s">
        <v>76</v>
      </c>
      <c r="M698" s="9">
        <v>1</v>
      </c>
      <c r="N698" s="9" t="s">
        <v>73</v>
      </c>
      <c r="O698" s="9">
        <f>(VLOOKUP(L698,'[1]Simulation pricing per sub assy'!$D:$E,2,0))*M698</f>
        <v>43.288799999999988</v>
      </c>
      <c r="P698" s="16" t="s">
        <v>52</v>
      </c>
      <c r="Q698" s="16">
        <v>2</v>
      </c>
      <c r="R698" s="16" t="s">
        <v>18</v>
      </c>
      <c r="S698" s="40">
        <f>(VLOOKUP(P698,'[1]BOM Info General'!$A:$L,12,0))*Q698</f>
        <v>5.3</v>
      </c>
      <c r="T698" s="17" t="s">
        <v>14</v>
      </c>
      <c r="U698" s="17">
        <v>1</v>
      </c>
      <c r="V698" s="17" t="s">
        <v>15</v>
      </c>
      <c r="W698" s="17">
        <f>(VLOOKUP(T698,'[1]Simulation pricing per sub assy'!$D:$E,2,0))*U698</f>
        <v>1.9</v>
      </c>
      <c r="X698" s="18" t="s">
        <v>615</v>
      </c>
      <c r="Y698" s="18">
        <v>1</v>
      </c>
      <c r="Z698" s="18" t="s">
        <v>9</v>
      </c>
      <c r="AA698" s="18">
        <f>(VLOOKUP(X698,'[1]Simulation pricing per sub assy'!$D:$E,2,0))*Y698</f>
        <v>1.5769808000000001</v>
      </c>
    </row>
    <row r="699" spans="1:27" x14ac:dyDescent="0.35">
      <c r="A699" s="13" t="s">
        <v>392</v>
      </c>
      <c r="B699" s="13" t="s">
        <v>4291</v>
      </c>
      <c r="C699" s="42">
        <f t="shared" si="10"/>
        <v>112.6257808</v>
      </c>
      <c r="D699" s="14" t="s">
        <v>42</v>
      </c>
      <c r="E699" s="14">
        <v>1</v>
      </c>
      <c r="F699" s="14" t="s">
        <v>3982</v>
      </c>
      <c r="G699" s="14">
        <f>(VLOOKUP(D699,'[1]BOM Info General'!$A:$L,12,0))*E699</f>
        <v>35.56</v>
      </c>
      <c r="H699" s="15" t="s">
        <v>39</v>
      </c>
      <c r="I699" s="15">
        <v>1</v>
      </c>
      <c r="J699" s="15" t="s">
        <v>46</v>
      </c>
      <c r="K699" s="15">
        <f>(VLOOKUP(H699,'[1]BOM Info General'!$A:$L,12,0))*I699</f>
        <v>24.42</v>
      </c>
      <c r="L699" s="9" t="s">
        <v>72</v>
      </c>
      <c r="M699" s="9">
        <v>1</v>
      </c>
      <c r="N699" s="9" t="s">
        <v>71</v>
      </c>
      <c r="O699" s="9">
        <f>(VLOOKUP(L699,'[1]Simulation pricing per sub assy'!$D:$E,2,0))*M699</f>
        <v>43.868799999999993</v>
      </c>
      <c r="P699" s="16" t="s">
        <v>52</v>
      </c>
      <c r="Q699" s="16">
        <v>2</v>
      </c>
      <c r="R699" s="16" t="s">
        <v>18</v>
      </c>
      <c r="S699" s="40">
        <f>(VLOOKUP(P699,'[1]BOM Info General'!$A:$L,12,0))*Q699</f>
        <v>5.3</v>
      </c>
      <c r="T699" s="17" t="s">
        <v>14</v>
      </c>
      <c r="U699" s="17">
        <v>1</v>
      </c>
      <c r="V699" s="17" t="s">
        <v>15</v>
      </c>
      <c r="W699" s="17">
        <f>(VLOOKUP(T699,'[1]Simulation pricing per sub assy'!$D:$E,2,0))*U699</f>
        <v>1.9</v>
      </c>
      <c r="X699" s="18" t="s">
        <v>615</v>
      </c>
      <c r="Y699" s="18">
        <v>1</v>
      </c>
      <c r="Z699" s="18" t="s">
        <v>9</v>
      </c>
      <c r="AA699" s="18">
        <f>(VLOOKUP(X699,'[1]Simulation pricing per sub assy'!$D:$E,2,0))*Y699</f>
        <v>1.5769808000000001</v>
      </c>
    </row>
    <row r="700" spans="1:27" x14ac:dyDescent="0.35">
      <c r="A700" s="13" t="s">
        <v>356</v>
      </c>
      <c r="B700" s="13" t="s">
        <v>4292</v>
      </c>
      <c r="C700" s="42">
        <f t="shared" si="10"/>
        <v>112.3657808</v>
      </c>
      <c r="D700" s="14" t="s">
        <v>42</v>
      </c>
      <c r="E700" s="14">
        <v>1</v>
      </c>
      <c r="F700" s="14" t="s">
        <v>3982</v>
      </c>
      <c r="G700" s="14">
        <f>(VLOOKUP(D700,'[1]BOM Info General'!$A:$L,12,0))*E700</f>
        <v>35.56</v>
      </c>
      <c r="H700" s="15" t="s">
        <v>39</v>
      </c>
      <c r="I700" s="15">
        <v>1</v>
      </c>
      <c r="J700" s="15" t="s">
        <v>46</v>
      </c>
      <c r="K700" s="15">
        <f>(VLOOKUP(H700,'[1]BOM Info General'!$A:$L,12,0))*I700</f>
        <v>24.42</v>
      </c>
      <c r="L700" s="9" t="s">
        <v>78</v>
      </c>
      <c r="M700" s="9">
        <v>1</v>
      </c>
      <c r="N700" s="9" t="s">
        <v>75</v>
      </c>
      <c r="O700" s="9">
        <f>(VLOOKUP(L700,'[1]Simulation pricing per sub assy'!$D:$E,2,0))*M700</f>
        <v>43.608799999999988</v>
      </c>
      <c r="P700" s="16" t="s">
        <v>52</v>
      </c>
      <c r="Q700" s="16">
        <v>2</v>
      </c>
      <c r="R700" s="16" t="s">
        <v>18</v>
      </c>
      <c r="S700" s="40">
        <f>(VLOOKUP(P700,'[1]BOM Info General'!$A:$L,12,0))*Q700</f>
        <v>5.3</v>
      </c>
      <c r="T700" s="17" t="s">
        <v>14</v>
      </c>
      <c r="U700" s="17">
        <v>1</v>
      </c>
      <c r="V700" s="17" t="s">
        <v>15</v>
      </c>
      <c r="W700" s="17">
        <f>(VLOOKUP(T700,'[1]Simulation pricing per sub assy'!$D:$E,2,0))*U700</f>
        <v>1.9</v>
      </c>
      <c r="X700" s="18" t="s">
        <v>615</v>
      </c>
      <c r="Y700" s="18">
        <v>1</v>
      </c>
      <c r="Z700" s="18" t="s">
        <v>9</v>
      </c>
      <c r="AA700" s="18">
        <f>(VLOOKUP(X700,'[1]Simulation pricing per sub assy'!$D:$E,2,0))*Y700</f>
        <v>1.5769808000000001</v>
      </c>
    </row>
    <row r="701" spans="1:27" x14ac:dyDescent="0.35">
      <c r="A701" s="13" t="s">
        <v>428</v>
      </c>
      <c r="B701" s="13" t="s">
        <v>4293</v>
      </c>
      <c r="C701" s="42">
        <f t="shared" si="10"/>
        <v>120.0357808</v>
      </c>
      <c r="D701" s="14" t="s">
        <v>42</v>
      </c>
      <c r="E701" s="14">
        <v>1</v>
      </c>
      <c r="F701" s="14" t="s">
        <v>3982</v>
      </c>
      <c r="G701" s="14">
        <f>(VLOOKUP(D701,'[1]BOM Info General'!$A:$L,12,0))*E701</f>
        <v>35.56</v>
      </c>
      <c r="H701" s="15" t="s">
        <v>39</v>
      </c>
      <c r="I701" s="15">
        <v>1</v>
      </c>
      <c r="J701" s="15" t="s">
        <v>46</v>
      </c>
      <c r="K701" s="15">
        <f>(VLOOKUP(H701,'[1]BOM Info General'!$A:$L,12,0))*I701</f>
        <v>24.42</v>
      </c>
      <c r="L701" s="9" t="s">
        <v>74</v>
      </c>
      <c r="M701" s="9">
        <v>1</v>
      </c>
      <c r="N701" s="9" t="s">
        <v>77</v>
      </c>
      <c r="O701" s="9">
        <f>(VLOOKUP(L701,'[1]Simulation pricing per sub assy'!$D:$E,2,0))*M701</f>
        <v>51.27879999999999</v>
      </c>
      <c r="P701" s="16" t="s">
        <v>52</v>
      </c>
      <c r="Q701" s="16">
        <v>2</v>
      </c>
      <c r="R701" s="16" t="s">
        <v>18</v>
      </c>
      <c r="S701" s="40">
        <f>(VLOOKUP(P701,'[1]BOM Info General'!$A:$L,12,0))*Q701</f>
        <v>5.3</v>
      </c>
      <c r="T701" s="17" t="s">
        <v>14</v>
      </c>
      <c r="U701" s="17">
        <v>1</v>
      </c>
      <c r="V701" s="17" t="s">
        <v>15</v>
      </c>
      <c r="W701" s="17">
        <f>(VLOOKUP(T701,'[1]Simulation pricing per sub assy'!$D:$E,2,0))*U701</f>
        <v>1.9</v>
      </c>
      <c r="X701" s="18" t="s">
        <v>615</v>
      </c>
      <c r="Y701" s="18">
        <v>1</v>
      </c>
      <c r="Z701" s="18" t="s">
        <v>9</v>
      </c>
      <c r="AA701" s="18">
        <f>(VLOOKUP(X701,'[1]Simulation pricing per sub assy'!$D:$E,2,0))*Y701</f>
        <v>1.5769808000000001</v>
      </c>
    </row>
    <row r="702" spans="1:27" x14ac:dyDescent="0.35">
      <c r="A702" s="13" t="s">
        <v>580</v>
      </c>
      <c r="B702" s="13" t="s">
        <v>4294</v>
      </c>
      <c r="C702" s="42">
        <f t="shared" si="10"/>
        <v>111.5057808</v>
      </c>
      <c r="D702" s="14" t="s">
        <v>42</v>
      </c>
      <c r="E702" s="14">
        <v>1</v>
      </c>
      <c r="F702" s="14" t="s">
        <v>3982</v>
      </c>
      <c r="G702" s="14">
        <f>(VLOOKUP(D702,'[1]BOM Info General'!$A:$L,12,0))*E702</f>
        <v>35.56</v>
      </c>
      <c r="H702" s="15" t="s">
        <v>39</v>
      </c>
      <c r="I702" s="15">
        <v>1</v>
      </c>
      <c r="J702" s="15" t="s">
        <v>46</v>
      </c>
      <c r="K702" s="15">
        <f>(VLOOKUP(H702,'[1]BOM Info General'!$A:$L,12,0))*I702</f>
        <v>24.42</v>
      </c>
      <c r="L702" s="9" t="s">
        <v>527</v>
      </c>
      <c r="M702" s="9">
        <v>1</v>
      </c>
      <c r="N702" s="9" t="s">
        <v>79</v>
      </c>
      <c r="O702" s="9">
        <f>(VLOOKUP(L702,'[1]Simulation pricing per sub assy'!$D:$E,2,0))*M702</f>
        <v>42.308799999999991</v>
      </c>
      <c r="P702" s="16" t="s">
        <v>50</v>
      </c>
      <c r="Q702" s="16">
        <v>2</v>
      </c>
      <c r="R702" s="16" t="s">
        <v>611</v>
      </c>
      <c r="S702" s="40">
        <f>(VLOOKUP(P702,'[1]BOM Info General'!$A:$L,12,0))*Q702</f>
        <v>5.3</v>
      </c>
      <c r="T702" s="17" t="s">
        <v>19</v>
      </c>
      <c r="U702" s="17">
        <v>1</v>
      </c>
      <c r="V702" s="17" t="s">
        <v>20</v>
      </c>
      <c r="W702" s="17">
        <f>(VLOOKUP(T702,'[1]Simulation pricing per sub assy'!$D:$E,2,0))*U702</f>
        <v>2.3400000000000003</v>
      </c>
      <c r="X702" s="18" t="s">
        <v>615</v>
      </c>
      <c r="Y702" s="18">
        <v>1</v>
      </c>
      <c r="Z702" s="18" t="s">
        <v>9</v>
      </c>
      <c r="AA702" s="18">
        <f>(VLOOKUP(X702,'[1]Simulation pricing per sub assy'!$D:$E,2,0))*Y702</f>
        <v>1.5769808000000001</v>
      </c>
    </row>
    <row r="703" spans="1:27" x14ac:dyDescent="0.35">
      <c r="A703" s="13" t="s">
        <v>576</v>
      </c>
      <c r="B703" s="13" t="s">
        <v>4295</v>
      </c>
      <c r="C703" s="42">
        <f t="shared" si="10"/>
        <v>112.4857808</v>
      </c>
      <c r="D703" s="14" t="s">
        <v>42</v>
      </c>
      <c r="E703" s="14">
        <v>1</v>
      </c>
      <c r="F703" s="14" t="s">
        <v>3982</v>
      </c>
      <c r="G703" s="14">
        <f>(VLOOKUP(D703,'[1]BOM Info General'!$A:$L,12,0))*E703</f>
        <v>35.56</v>
      </c>
      <c r="H703" s="15" t="s">
        <v>39</v>
      </c>
      <c r="I703" s="15">
        <v>1</v>
      </c>
      <c r="J703" s="15" t="s">
        <v>46</v>
      </c>
      <c r="K703" s="15">
        <f>(VLOOKUP(H703,'[1]BOM Info General'!$A:$L,12,0))*I703</f>
        <v>24.42</v>
      </c>
      <c r="L703" s="9" t="s">
        <v>76</v>
      </c>
      <c r="M703" s="9">
        <v>1</v>
      </c>
      <c r="N703" s="9" t="s">
        <v>73</v>
      </c>
      <c r="O703" s="9">
        <f>(VLOOKUP(L703,'[1]Simulation pricing per sub assy'!$D:$E,2,0))*M703</f>
        <v>43.288799999999988</v>
      </c>
      <c r="P703" s="16" t="s">
        <v>50</v>
      </c>
      <c r="Q703" s="16">
        <v>2</v>
      </c>
      <c r="R703" s="16" t="s">
        <v>611</v>
      </c>
      <c r="S703" s="40">
        <f>(VLOOKUP(P703,'[1]BOM Info General'!$A:$L,12,0))*Q703</f>
        <v>5.3</v>
      </c>
      <c r="T703" s="17" t="s">
        <v>19</v>
      </c>
      <c r="U703" s="17">
        <v>1</v>
      </c>
      <c r="V703" s="17" t="s">
        <v>20</v>
      </c>
      <c r="W703" s="17">
        <f>(VLOOKUP(T703,'[1]Simulation pricing per sub assy'!$D:$E,2,0))*U703</f>
        <v>2.3400000000000003</v>
      </c>
      <c r="X703" s="18" t="s">
        <v>615</v>
      </c>
      <c r="Y703" s="18">
        <v>1</v>
      </c>
      <c r="Z703" s="18" t="s">
        <v>9</v>
      </c>
      <c r="AA703" s="18">
        <f>(VLOOKUP(X703,'[1]Simulation pricing per sub assy'!$D:$E,2,0))*Y703</f>
        <v>1.5769808000000001</v>
      </c>
    </row>
    <row r="704" spans="1:27" x14ac:dyDescent="0.35">
      <c r="A704" s="13" t="s">
        <v>578</v>
      </c>
      <c r="B704" s="13" t="s">
        <v>4296</v>
      </c>
      <c r="C704" s="42">
        <f t="shared" si="10"/>
        <v>113.0657808</v>
      </c>
      <c r="D704" s="14" t="s">
        <v>42</v>
      </c>
      <c r="E704" s="14">
        <v>1</v>
      </c>
      <c r="F704" s="14" t="s">
        <v>3982</v>
      </c>
      <c r="G704" s="14">
        <f>(VLOOKUP(D704,'[1]BOM Info General'!$A:$L,12,0))*E704</f>
        <v>35.56</v>
      </c>
      <c r="H704" s="15" t="s">
        <v>39</v>
      </c>
      <c r="I704" s="15">
        <v>1</v>
      </c>
      <c r="J704" s="15" t="s">
        <v>46</v>
      </c>
      <c r="K704" s="15">
        <f>(VLOOKUP(H704,'[1]BOM Info General'!$A:$L,12,0))*I704</f>
        <v>24.42</v>
      </c>
      <c r="L704" s="9" t="s">
        <v>72</v>
      </c>
      <c r="M704" s="9">
        <v>1</v>
      </c>
      <c r="N704" s="9" t="s">
        <v>71</v>
      </c>
      <c r="O704" s="9">
        <f>(VLOOKUP(L704,'[1]Simulation pricing per sub assy'!$D:$E,2,0))*M704</f>
        <v>43.868799999999993</v>
      </c>
      <c r="P704" s="16" t="s">
        <v>50</v>
      </c>
      <c r="Q704" s="16">
        <v>2</v>
      </c>
      <c r="R704" s="16" t="s">
        <v>611</v>
      </c>
      <c r="S704" s="40">
        <f>(VLOOKUP(P704,'[1]BOM Info General'!$A:$L,12,0))*Q704</f>
        <v>5.3</v>
      </c>
      <c r="T704" s="17" t="s">
        <v>19</v>
      </c>
      <c r="U704" s="17">
        <v>1</v>
      </c>
      <c r="V704" s="17" t="s">
        <v>20</v>
      </c>
      <c r="W704" s="17">
        <f>(VLOOKUP(T704,'[1]Simulation pricing per sub assy'!$D:$E,2,0))*U704</f>
        <v>2.3400000000000003</v>
      </c>
      <c r="X704" s="18" t="s">
        <v>615</v>
      </c>
      <c r="Y704" s="18">
        <v>1</v>
      </c>
      <c r="Z704" s="18" t="s">
        <v>9</v>
      </c>
      <c r="AA704" s="18">
        <f>(VLOOKUP(X704,'[1]Simulation pricing per sub assy'!$D:$E,2,0))*Y704</f>
        <v>1.5769808000000001</v>
      </c>
    </row>
    <row r="705" spans="1:27" x14ac:dyDescent="0.35">
      <c r="A705" s="13" t="s">
        <v>577</v>
      </c>
      <c r="B705" s="13" t="s">
        <v>4297</v>
      </c>
      <c r="C705" s="42">
        <f t="shared" si="10"/>
        <v>112.80578079999999</v>
      </c>
      <c r="D705" s="14" t="s">
        <v>42</v>
      </c>
      <c r="E705" s="14">
        <v>1</v>
      </c>
      <c r="F705" s="14" t="s">
        <v>3982</v>
      </c>
      <c r="G705" s="14">
        <f>(VLOOKUP(D705,'[1]BOM Info General'!$A:$L,12,0))*E705</f>
        <v>35.56</v>
      </c>
      <c r="H705" s="15" t="s">
        <v>39</v>
      </c>
      <c r="I705" s="15">
        <v>1</v>
      </c>
      <c r="J705" s="15" t="s">
        <v>46</v>
      </c>
      <c r="K705" s="15">
        <f>(VLOOKUP(H705,'[1]BOM Info General'!$A:$L,12,0))*I705</f>
        <v>24.42</v>
      </c>
      <c r="L705" s="9" t="s">
        <v>78</v>
      </c>
      <c r="M705" s="9">
        <v>1</v>
      </c>
      <c r="N705" s="9" t="s">
        <v>75</v>
      </c>
      <c r="O705" s="9">
        <f>(VLOOKUP(L705,'[1]Simulation pricing per sub assy'!$D:$E,2,0))*M705</f>
        <v>43.608799999999988</v>
      </c>
      <c r="P705" s="16" t="s">
        <v>50</v>
      </c>
      <c r="Q705" s="16">
        <v>2</v>
      </c>
      <c r="R705" s="16" t="s">
        <v>611</v>
      </c>
      <c r="S705" s="40">
        <f>(VLOOKUP(P705,'[1]BOM Info General'!$A:$L,12,0))*Q705</f>
        <v>5.3</v>
      </c>
      <c r="T705" s="17" t="s">
        <v>19</v>
      </c>
      <c r="U705" s="17">
        <v>1</v>
      </c>
      <c r="V705" s="17" t="s">
        <v>20</v>
      </c>
      <c r="W705" s="17">
        <f>(VLOOKUP(T705,'[1]Simulation pricing per sub assy'!$D:$E,2,0))*U705</f>
        <v>2.3400000000000003</v>
      </c>
      <c r="X705" s="18" t="s">
        <v>615</v>
      </c>
      <c r="Y705" s="18">
        <v>1</v>
      </c>
      <c r="Z705" s="18" t="s">
        <v>9</v>
      </c>
      <c r="AA705" s="18">
        <f>(VLOOKUP(X705,'[1]Simulation pricing per sub assy'!$D:$E,2,0))*Y705</f>
        <v>1.5769808000000001</v>
      </c>
    </row>
    <row r="706" spans="1:27" x14ac:dyDescent="0.35">
      <c r="A706" s="13" t="s">
        <v>579</v>
      </c>
      <c r="B706" s="13" t="s">
        <v>4298</v>
      </c>
      <c r="C706" s="42">
        <f t="shared" si="10"/>
        <v>120.4757808</v>
      </c>
      <c r="D706" s="14" t="s">
        <v>42</v>
      </c>
      <c r="E706" s="14">
        <v>1</v>
      </c>
      <c r="F706" s="14" t="s">
        <v>3982</v>
      </c>
      <c r="G706" s="14">
        <f>(VLOOKUP(D706,'[1]BOM Info General'!$A:$L,12,0))*E706</f>
        <v>35.56</v>
      </c>
      <c r="H706" s="15" t="s">
        <v>39</v>
      </c>
      <c r="I706" s="15">
        <v>1</v>
      </c>
      <c r="J706" s="15" t="s">
        <v>46</v>
      </c>
      <c r="K706" s="15">
        <f>(VLOOKUP(H706,'[1]BOM Info General'!$A:$L,12,0))*I706</f>
        <v>24.42</v>
      </c>
      <c r="L706" s="9" t="s">
        <v>74</v>
      </c>
      <c r="M706" s="9">
        <v>1</v>
      </c>
      <c r="N706" s="9" t="s">
        <v>77</v>
      </c>
      <c r="O706" s="9">
        <f>(VLOOKUP(L706,'[1]Simulation pricing per sub assy'!$D:$E,2,0))*M706</f>
        <v>51.27879999999999</v>
      </c>
      <c r="P706" s="16" t="s">
        <v>50</v>
      </c>
      <c r="Q706" s="16">
        <v>2</v>
      </c>
      <c r="R706" s="16" t="s">
        <v>611</v>
      </c>
      <c r="S706" s="40">
        <f>(VLOOKUP(P706,'[1]BOM Info General'!$A:$L,12,0))*Q706</f>
        <v>5.3</v>
      </c>
      <c r="T706" s="17" t="s">
        <v>19</v>
      </c>
      <c r="U706" s="17">
        <v>1</v>
      </c>
      <c r="V706" s="17" t="s">
        <v>20</v>
      </c>
      <c r="W706" s="17">
        <f>(VLOOKUP(T706,'[1]Simulation pricing per sub assy'!$D:$E,2,0))*U706</f>
        <v>2.3400000000000003</v>
      </c>
      <c r="X706" s="18" t="s">
        <v>615</v>
      </c>
      <c r="Y706" s="18">
        <v>1</v>
      </c>
      <c r="Z706" s="18" t="s">
        <v>9</v>
      </c>
      <c r="AA706" s="18">
        <f>(VLOOKUP(X706,'[1]Simulation pricing per sub assy'!$D:$E,2,0))*Y706</f>
        <v>1.5769808000000001</v>
      </c>
    </row>
    <row r="707" spans="1:27" x14ac:dyDescent="0.35">
      <c r="A707" s="13" t="s">
        <v>1615</v>
      </c>
      <c r="B707" s="13" t="s">
        <v>1616</v>
      </c>
      <c r="C707" s="42">
        <f t="shared" ref="C707:C770" si="11">SUM(G707+K707+O707+S707+W707+AA707)</f>
        <v>111.01578079999999</v>
      </c>
      <c r="D707" s="20" t="s">
        <v>42</v>
      </c>
      <c r="E707" s="20">
        <v>1</v>
      </c>
      <c r="F707" s="20" t="s">
        <v>3982</v>
      </c>
      <c r="G707" s="14">
        <f>(VLOOKUP(D707,'[1]BOM Info General'!$A:$L,12,0))*E707</f>
        <v>35.56</v>
      </c>
      <c r="H707" s="21" t="s">
        <v>39</v>
      </c>
      <c r="I707" s="21">
        <v>1</v>
      </c>
      <c r="J707" s="21" t="s">
        <v>46</v>
      </c>
      <c r="K707" s="15">
        <f>(VLOOKUP(H707,'[1]BOM Info General'!$A:$L,12,0))*I707</f>
        <v>24.42</v>
      </c>
      <c r="L707" s="22" t="s">
        <v>527</v>
      </c>
      <c r="M707" s="22">
        <v>1</v>
      </c>
      <c r="N707" s="22" t="s">
        <v>79</v>
      </c>
      <c r="O707" s="9">
        <f>(VLOOKUP(L707,'[1]Simulation pricing per sub assy'!$D:$E,2,0))*M707</f>
        <v>42.308799999999991</v>
      </c>
      <c r="P707" s="23" t="s">
        <v>50</v>
      </c>
      <c r="Q707" s="23">
        <v>2</v>
      </c>
      <c r="R707" s="23" t="s">
        <v>611</v>
      </c>
      <c r="S707" s="40">
        <f>(VLOOKUP(P707,'[1]BOM Info General'!$A:$L,12,0))*Q707</f>
        <v>5.3</v>
      </c>
      <c r="T707" s="24" t="s">
        <v>7</v>
      </c>
      <c r="U707" s="24">
        <v>1</v>
      </c>
      <c r="V707" s="24" t="s">
        <v>8</v>
      </c>
      <c r="W707" s="17">
        <f>(VLOOKUP(T707,'[1]Simulation pricing per sub assy'!$D:$E,2,0))*U707</f>
        <v>1.85</v>
      </c>
      <c r="X707" s="18" t="s">
        <v>615</v>
      </c>
      <c r="Y707" s="25">
        <v>1</v>
      </c>
      <c r="Z707" s="25" t="s">
        <v>9</v>
      </c>
      <c r="AA707" s="18">
        <f>(VLOOKUP(X707,'[1]Simulation pricing per sub assy'!$D:$E,2,0))*Y707</f>
        <v>1.5769808000000001</v>
      </c>
    </row>
    <row r="708" spans="1:27" x14ac:dyDescent="0.35">
      <c r="A708" s="13" t="s">
        <v>1607</v>
      </c>
      <c r="B708" s="13" t="s">
        <v>1608</v>
      </c>
      <c r="C708" s="42">
        <f t="shared" si="11"/>
        <v>111.99578079999999</v>
      </c>
      <c r="D708" s="20" t="s">
        <v>42</v>
      </c>
      <c r="E708" s="20">
        <v>1</v>
      </c>
      <c r="F708" s="20" t="s">
        <v>3982</v>
      </c>
      <c r="G708" s="14">
        <f>(VLOOKUP(D708,'[1]BOM Info General'!$A:$L,12,0))*E708</f>
        <v>35.56</v>
      </c>
      <c r="H708" s="21" t="s">
        <v>39</v>
      </c>
      <c r="I708" s="21">
        <v>1</v>
      </c>
      <c r="J708" s="21" t="s">
        <v>46</v>
      </c>
      <c r="K708" s="15">
        <f>(VLOOKUP(H708,'[1]BOM Info General'!$A:$L,12,0))*I708</f>
        <v>24.42</v>
      </c>
      <c r="L708" s="22" t="s">
        <v>76</v>
      </c>
      <c r="M708" s="22">
        <v>1</v>
      </c>
      <c r="N708" s="22" t="s">
        <v>73</v>
      </c>
      <c r="O708" s="9">
        <f>(VLOOKUP(L708,'[1]Simulation pricing per sub assy'!$D:$E,2,0))*M708</f>
        <v>43.288799999999988</v>
      </c>
      <c r="P708" s="23" t="s">
        <v>50</v>
      </c>
      <c r="Q708" s="23">
        <v>2</v>
      </c>
      <c r="R708" s="23" t="s">
        <v>611</v>
      </c>
      <c r="S708" s="40">
        <f>(VLOOKUP(P708,'[1]BOM Info General'!$A:$L,12,0))*Q708</f>
        <v>5.3</v>
      </c>
      <c r="T708" s="24" t="s">
        <v>7</v>
      </c>
      <c r="U708" s="24">
        <v>1</v>
      </c>
      <c r="V708" s="24" t="s">
        <v>8</v>
      </c>
      <c r="W708" s="17">
        <f>(VLOOKUP(T708,'[1]Simulation pricing per sub assy'!$D:$E,2,0))*U708</f>
        <v>1.85</v>
      </c>
      <c r="X708" s="18" t="s">
        <v>615</v>
      </c>
      <c r="Y708" s="25">
        <v>1</v>
      </c>
      <c r="Z708" s="25" t="s">
        <v>9</v>
      </c>
      <c r="AA708" s="18">
        <f>(VLOOKUP(X708,'[1]Simulation pricing per sub assy'!$D:$E,2,0))*Y708</f>
        <v>1.5769808000000001</v>
      </c>
    </row>
    <row r="709" spans="1:27" x14ac:dyDescent="0.35">
      <c r="A709" s="13" t="s">
        <v>1611</v>
      </c>
      <c r="B709" s="13" t="s">
        <v>1612</v>
      </c>
      <c r="C709" s="42">
        <f t="shared" si="11"/>
        <v>112.57578079999999</v>
      </c>
      <c r="D709" s="20" t="s">
        <v>42</v>
      </c>
      <c r="E709" s="20">
        <v>1</v>
      </c>
      <c r="F709" s="20" t="s">
        <v>3982</v>
      </c>
      <c r="G709" s="14">
        <f>(VLOOKUP(D709,'[1]BOM Info General'!$A:$L,12,0))*E709</f>
        <v>35.56</v>
      </c>
      <c r="H709" s="21" t="s">
        <v>39</v>
      </c>
      <c r="I709" s="21">
        <v>1</v>
      </c>
      <c r="J709" s="21" t="s">
        <v>46</v>
      </c>
      <c r="K709" s="15">
        <f>(VLOOKUP(H709,'[1]BOM Info General'!$A:$L,12,0))*I709</f>
        <v>24.42</v>
      </c>
      <c r="L709" s="22" t="s">
        <v>72</v>
      </c>
      <c r="M709" s="22">
        <v>1</v>
      </c>
      <c r="N709" s="22" t="s">
        <v>71</v>
      </c>
      <c r="O709" s="9">
        <f>(VLOOKUP(L709,'[1]Simulation pricing per sub assy'!$D:$E,2,0))*M709</f>
        <v>43.868799999999993</v>
      </c>
      <c r="P709" s="23" t="s">
        <v>50</v>
      </c>
      <c r="Q709" s="23">
        <v>2</v>
      </c>
      <c r="R709" s="23" t="s">
        <v>611</v>
      </c>
      <c r="S709" s="40">
        <f>(VLOOKUP(P709,'[1]BOM Info General'!$A:$L,12,0))*Q709</f>
        <v>5.3</v>
      </c>
      <c r="T709" s="24" t="s">
        <v>7</v>
      </c>
      <c r="U709" s="24">
        <v>1</v>
      </c>
      <c r="V709" s="24" t="s">
        <v>8</v>
      </c>
      <c r="W709" s="17">
        <f>(VLOOKUP(T709,'[1]Simulation pricing per sub assy'!$D:$E,2,0))*U709</f>
        <v>1.85</v>
      </c>
      <c r="X709" s="18" t="s">
        <v>615</v>
      </c>
      <c r="Y709" s="25">
        <v>1</v>
      </c>
      <c r="Z709" s="25" t="s">
        <v>9</v>
      </c>
      <c r="AA709" s="18">
        <f>(VLOOKUP(X709,'[1]Simulation pricing per sub assy'!$D:$E,2,0))*Y709</f>
        <v>1.5769808000000001</v>
      </c>
    </row>
    <row r="710" spans="1:27" x14ac:dyDescent="0.35">
      <c r="A710" s="13" t="s">
        <v>1609</v>
      </c>
      <c r="B710" s="13" t="s">
        <v>1610</v>
      </c>
      <c r="C710" s="42">
        <f t="shared" si="11"/>
        <v>112.31578079999998</v>
      </c>
      <c r="D710" s="20" t="s">
        <v>42</v>
      </c>
      <c r="E710" s="20">
        <v>1</v>
      </c>
      <c r="F710" s="20" t="s">
        <v>3982</v>
      </c>
      <c r="G710" s="14">
        <f>(VLOOKUP(D710,'[1]BOM Info General'!$A:$L,12,0))*E710</f>
        <v>35.56</v>
      </c>
      <c r="H710" s="21" t="s">
        <v>39</v>
      </c>
      <c r="I710" s="21">
        <v>1</v>
      </c>
      <c r="J710" s="21" t="s">
        <v>46</v>
      </c>
      <c r="K710" s="15">
        <f>(VLOOKUP(H710,'[1]BOM Info General'!$A:$L,12,0))*I710</f>
        <v>24.42</v>
      </c>
      <c r="L710" s="22" t="s">
        <v>78</v>
      </c>
      <c r="M710" s="22">
        <v>1</v>
      </c>
      <c r="N710" s="22" t="s">
        <v>75</v>
      </c>
      <c r="O710" s="9">
        <f>(VLOOKUP(L710,'[1]Simulation pricing per sub assy'!$D:$E,2,0))*M710</f>
        <v>43.608799999999988</v>
      </c>
      <c r="P710" s="23" t="s">
        <v>50</v>
      </c>
      <c r="Q710" s="23">
        <v>2</v>
      </c>
      <c r="R710" s="23" t="s">
        <v>611</v>
      </c>
      <c r="S710" s="40">
        <f>(VLOOKUP(P710,'[1]BOM Info General'!$A:$L,12,0))*Q710</f>
        <v>5.3</v>
      </c>
      <c r="T710" s="24" t="s">
        <v>7</v>
      </c>
      <c r="U710" s="24">
        <v>1</v>
      </c>
      <c r="V710" s="24" t="s">
        <v>8</v>
      </c>
      <c r="W710" s="17">
        <f>(VLOOKUP(T710,'[1]Simulation pricing per sub assy'!$D:$E,2,0))*U710</f>
        <v>1.85</v>
      </c>
      <c r="X710" s="18" t="s">
        <v>615</v>
      </c>
      <c r="Y710" s="25">
        <v>1</v>
      </c>
      <c r="Z710" s="25" t="s">
        <v>9</v>
      </c>
      <c r="AA710" s="18">
        <f>(VLOOKUP(X710,'[1]Simulation pricing per sub assy'!$D:$E,2,0))*Y710</f>
        <v>1.5769808000000001</v>
      </c>
    </row>
    <row r="711" spans="1:27" x14ac:dyDescent="0.35">
      <c r="A711" s="13" t="s">
        <v>1613</v>
      </c>
      <c r="B711" s="13" t="s">
        <v>1614</v>
      </c>
      <c r="C711" s="42">
        <f t="shared" si="11"/>
        <v>119.98578079999999</v>
      </c>
      <c r="D711" s="20" t="s">
        <v>42</v>
      </c>
      <c r="E711" s="20">
        <v>1</v>
      </c>
      <c r="F711" s="20" t="s">
        <v>3982</v>
      </c>
      <c r="G711" s="14">
        <f>(VLOOKUP(D711,'[1]BOM Info General'!$A:$L,12,0))*E711</f>
        <v>35.56</v>
      </c>
      <c r="H711" s="21" t="s">
        <v>39</v>
      </c>
      <c r="I711" s="21">
        <v>1</v>
      </c>
      <c r="J711" s="21" t="s">
        <v>46</v>
      </c>
      <c r="K711" s="15">
        <f>(VLOOKUP(H711,'[1]BOM Info General'!$A:$L,12,0))*I711</f>
        <v>24.42</v>
      </c>
      <c r="L711" s="22" t="s">
        <v>74</v>
      </c>
      <c r="M711" s="22">
        <v>1</v>
      </c>
      <c r="N711" s="22" t="s">
        <v>77</v>
      </c>
      <c r="O711" s="9">
        <f>(VLOOKUP(L711,'[1]Simulation pricing per sub assy'!$D:$E,2,0))*M711</f>
        <v>51.27879999999999</v>
      </c>
      <c r="P711" s="23" t="s">
        <v>50</v>
      </c>
      <c r="Q711" s="23">
        <v>2</v>
      </c>
      <c r="R711" s="23" t="s">
        <v>611</v>
      </c>
      <c r="S711" s="40">
        <f>(VLOOKUP(P711,'[1]BOM Info General'!$A:$L,12,0))*Q711</f>
        <v>5.3</v>
      </c>
      <c r="T711" s="24" t="s">
        <v>7</v>
      </c>
      <c r="U711" s="24">
        <v>1</v>
      </c>
      <c r="V711" s="24" t="s">
        <v>8</v>
      </c>
      <c r="W711" s="17">
        <f>(VLOOKUP(T711,'[1]Simulation pricing per sub assy'!$D:$E,2,0))*U711</f>
        <v>1.85</v>
      </c>
      <c r="X711" s="18" t="s">
        <v>615</v>
      </c>
      <c r="Y711" s="25">
        <v>1</v>
      </c>
      <c r="Z711" s="25" t="s">
        <v>9</v>
      </c>
      <c r="AA711" s="18">
        <f>(VLOOKUP(X711,'[1]Simulation pricing per sub assy'!$D:$E,2,0))*Y711</f>
        <v>1.5769808000000001</v>
      </c>
    </row>
    <row r="712" spans="1:27" x14ac:dyDescent="0.35">
      <c r="A712" s="13" t="s">
        <v>1699</v>
      </c>
      <c r="B712" s="13" t="s">
        <v>1700</v>
      </c>
      <c r="C712" s="42">
        <f t="shared" si="11"/>
        <v>111.21578079999999</v>
      </c>
      <c r="D712" s="20" t="s">
        <v>42</v>
      </c>
      <c r="E712" s="20">
        <v>1</v>
      </c>
      <c r="F712" s="20" t="s">
        <v>3982</v>
      </c>
      <c r="G712" s="14">
        <f>(VLOOKUP(D712,'[1]BOM Info General'!$A:$L,12,0))*E712</f>
        <v>35.56</v>
      </c>
      <c r="H712" s="21" t="s">
        <v>39</v>
      </c>
      <c r="I712" s="21">
        <v>1</v>
      </c>
      <c r="J712" s="21" t="s">
        <v>46</v>
      </c>
      <c r="K712" s="15">
        <f>(VLOOKUP(H712,'[1]BOM Info General'!$A:$L,12,0))*I712</f>
        <v>24.42</v>
      </c>
      <c r="L712" s="22" t="s">
        <v>527</v>
      </c>
      <c r="M712" s="22">
        <v>1</v>
      </c>
      <c r="N712" s="22" t="s">
        <v>79</v>
      </c>
      <c r="O712" s="9">
        <f>(VLOOKUP(L712,'[1]Simulation pricing per sub assy'!$D:$E,2,0))*M712</f>
        <v>42.308799999999991</v>
      </c>
      <c r="P712" s="23" t="s">
        <v>50</v>
      </c>
      <c r="Q712" s="23">
        <v>2</v>
      </c>
      <c r="R712" s="23" t="s">
        <v>16</v>
      </c>
      <c r="S712" s="40">
        <f>(VLOOKUP(P712,'[1]BOM Info General'!$A:$L,12,0))*Q712</f>
        <v>5.3</v>
      </c>
      <c r="T712" s="24" t="s">
        <v>10</v>
      </c>
      <c r="U712" s="24">
        <v>1</v>
      </c>
      <c r="V712" s="24" t="s">
        <v>11</v>
      </c>
      <c r="W712" s="17">
        <f>(VLOOKUP(T712,'[1]Simulation pricing per sub assy'!$D:$E,2,0))*U712</f>
        <v>2.0499999999999998</v>
      </c>
      <c r="X712" s="18" t="s">
        <v>615</v>
      </c>
      <c r="Y712" s="25">
        <v>1</v>
      </c>
      <c r="Z712" s="25" t="s">
        <v>9</v>
      </c>
      <c r="AA712" s="18">
        <f>(VLOOKUP(X712,'[1]Simulation pricing per sub assy'!$D:$E,2,0))*Y712</f>
        <v>1.5769808000000001</v>
      </c>
    </row>
    <row r="713" spans="1:27" x14ac:dyDescent="0.35">
      <c r="A713" s="13" t="s">
        <v>1627</v>
      </c>
      <c r="B713" s="13" t="s">
        <v>1628</v>
      </c>
      <c r="C713" s="42">
        <f t="shared" si="11"/>
        <v>112.19578079999999</v>
      </c>
      <c r="D713" s="20" t="s">
        <v>42</v>
      </c>
      <c r="E713" s="20">
        <v>1</v>
      </c>
      <c r="F713" s="20" t="s">
        <v>3982</v>
      </c>
      <c r="G713" s="14">
        <f>(VLOOKUP(D713,'[1]BOM Info General'!$A:$L,12,0))*E713</f>
        <v>35.56</v>
      </c>
      <c r="H713" s="21" t="s">
        <v>39</v>
      </c>
      <c r="I713" s="21">
        <v>1</v>
      </c>
      <c r="J713" s="21" t="s">
        <v>46</v>
      </c>
      <c r="K713" s="15">
        <f>(VLOOKUP(H713,'[1]BOM Info General'!$A:$L,12,0))*I713</f>
        <v>24.42</v>
      </c>
      <c r="L713" s="22" t="s">
        <v>76</v>
      </c>
      <c r="M713" s="22">
        <v>1</v>
      </c>
      <c r="N713" s="22" t="s">
        <v>73</v>
      </c>
      <c r="O713" s="9">
        <f>(VLOOKUP(L713,'[1]Simulation pricing per sub assy'!$D:$E,2,0))*M713</f>
        <v>43.288799999999988</v>
      </c>
      <c r="P713" s="23" t="s">
        <v>50</v>
      </c>
      <c r="Q713" s="23">
        <v>2</v>
      </c>
      <c r="R713" s="23" t="s">
        <v>16</v>
      </c>
      <c r="S713" s="40">
        <f>(VLOOKUP(P713,'[1]BOM Info General'!$A:$L,12,0))*Q713</f>
        <v>5.3</v>
      </c>
      <c r="T713" s="24" t="s">
        <v>10</v>
      </c>
      <c r="U713" s="24">
        <v>1</v>
      </c>
      <c r="V713" s="24" t="s">
        <v>11</v>
      </c>
      <c r="W713" s="17">
        <f>(VLOOKUP(T713,'[1]Simulation pricing per sub assy'!$D:$E,2,0))*U713</f>
        <v>2.0499999999999998</v>
      </c>
      <c r="X713" s="18" t="s">
        <v>615</v>
      </c>
      <c r="Y713" s="25">
        <v>1</v>
      </c>
      <c r="Z713" s="25" t="s">
        <v>9</v>
      </c>
      <c r="AA713" s="18">
        <f>(VLOOKUP(X713,'[1]Simulation pricing per sub assy'!$D:$E,2,0))*Y713</f>
        <v>1.5769808000000001</v>
      </c>
    </row>
    <row r="714" spans="1:27" x14ac:dyDescent="0.35">
      <c r="A714" s="13" t="s">
        <v>1663</v>
      </c>
      <c r="B714" s="13" t="s">
        <v>1664</v>
      </c>
      <c r="C714" s="42">
        <f t="shared" si="11"/>
        <v>112.77578079999999</v>
      </c>
      <c r="D714" s="20" t="s">
        <v>42</v>
      </c>
      <c r="E714" s="20">
        <v>1</v>
      </c>
      <c r="F714" s="20" t="s">
        <v>3982</v>
      </c>
      <c r="G714" s="14">
        <f>(VLOOKUP(D714,'[1]BOM Info General'!$A:$L,12,0))*E714</f>
        <v>35.56</v>
      </c>
      <c r="H714" s="21" t="s">
        <v>39</v>
      </c>
      <c r="I714" s="21">
        <v>1</v>
      </c>
      <c r="J714" s="21" t="s">
        <v>46</v>
      </c>
      <c r="K714" s="15">
        <f>(VLOOKUP(H714,'[1]BOM Info General'!$A:$L,12,0))*I714</f>
        <v>24.42</v>
      </c>
      <c r="L714" s="22" t="s">
        <v>72</v>
      </c>
      <c r="M714" s="22">
        <v>1</v>
      </c>
      <c r="N714" s="22" t="s">
        <v>71</v>
      </c>
      <c r="O714" s="9">
        <f>(VLOOKUP(L714,'[1]Simulation pricing per sub assy'!$D:$E,2,0))*M714</f>
        <v>43.868799999999993</v>
      </c>
      <c r="P714" s="23" t="s">
        <v>50</v>
      </c>
      <c r="Q714" s="23">
        <v>2</v>
      </c>
      <c r="R714" s="23" t="s">
        <v>16</v>
      </c>
      <c r="S714" s="40">
        <f>(VLOOKUP(P714,'[1]BOM Info General'!$A:$L,12,0))*Q714</f>
        <v>5.3</v>
      </c>
      <c r="T714" s="24" t="s">
        <v>10</v>
      </c>
      <c r="U714" s="24">
        <v>1</v>
      </c>
      <c r="V714" s="24" t="s">
        <v>11</v>
      </c>
      <c r="W714" s="17">
        <f>(VLOOKUP(T714,'[1]Simulation pricing per sub assy'!$D:$E,2,0))*U714</f>
        <v>2.0499999999999998</v>
      </c>
      <c r="X714" s="18" t="s">
        <v>615</v>
      </c>
      <c r="Y714" s="25">
        <v>1</v>
      </c>
      <c r="Z714" s="25" t="s">
        <v>9</v>
      </c>
      <c r="AA714" s="18">
        <f>(VLOOKUP(X714,'[1]Simulation pricing per sub assy'!$D:$E,2,0))*Y714</f>
        <v>1.5769808000000001</v>
      </c>
    </row>
    <row r="715" spans="1:27" x14ac:dyDescent="0.35">
      <c r="A715" s="13" t="s">
        <v>1645</v>
      </c>
      <c r="B715" s="13" t="s">
        <v>1646</v>
      </c>
      <c r="C715" s="42">
        <f t="shared" si="11"/>
        <v>112.51578079999999</v>
      </c>
      <c r="D715" s="20" t="s">
        <v>42</v>
      </c>
      <c r="E715" s="20">
        <v>1</v>
      </c>
      <c r="F715" s="20" t="s">
        <v>3982</v>
      </c>
      <c r="G715" s="14">
        <f>(VLOOKUP(D715,'[1]BOM Info General'!$A:$L,12,0))*E715</f>
        <v>35.56</v>
      </c>
      <c r="H715" s="21" t="s">
        <v>39</v>
      </c>
      <c r="I715" s="21">
        <v>1</v>
      </c>
      <c r="J715" s="21" t="s">
        <v>46</v>
      </c>
      <c r="K715" s="15">
        <f>(VLOOKUP(H715,'[1]BOM Info General'!$A:$L,12,0))*I715</f>
        <v>24.42</v>
      </c>
      <c r="L715" s="22" t="s">
        <v>78</v>
      </c>
      <c r="M715" s="22">
        <v>1</v>
      </c>
      <c r="N715" s="22" t="s">
        <v>75</v>
      </c>
      <c r="O715" s="9">
        <f>(VLOOKUP(L715,'[1]Simulation pricing per sub assy'!$D:$E,2,0))*M715</f>
        <v>43.608799999999988</v>
      </c>
      <c r="P715" s="23" t="s">
        <v>50</v>
      </c>
      <c r="Q715" s="23">
        <v>2</v>
      </c>
      <c r="R715" s="23" t="s">
        <v>16</v>
      </c>
      <c r="S715" s="40">
        <f>(VLOOKUP(P715,'[1]BOM Info General'!$A:$L,12,0))*Q715</f>
        <v>5.3</v>
      </c>
      <c r="T715" s="24" t="s">
        <v>10</v>
      </c>
      <c r="U715" s="24">
        <v>1</v>
      </c>
      <c r="V715" s="24" t="s">
        <v>11</v>
      </c>
      <c r="W715" s="17">
        <f>(VLOOKUP(T715,'[1]Simulation pricing per sub assy'!$D:$E,2,0))*U715</f>
        <v>2.0499999999999998</v>
      </c>
      <c r="X715" s="18" t="s">
        <v>615</v>
      </c>
      <c r="Y715" s="25">
        <v>1</v>
      </c>
      <c r="Z715" s="25" t="s">
        <v>9</v>
      </c>
      <c r="AA715" s="18">
        <f>(VLOOKUP(X715,'[1]Simulation pricing per sub assy'!$D:$E,2,0))*Y715</f>
        <v>1.5769808000000001</v>
      </c>
    </row>
    <row r="716" spans="1:27" x14ac:dyDescent="0.35">
      <c r="A716" s="13" t="s">
        <v>1681</v>
      </c>
      <c r="B716" s="13" t="s">
        <v>1682</v>
      </c>
      <c r="C716" s="42">
        <f t="shared" si="11"/>
        <v>120.18578079999999</v>
      </c>
      <c r="D716" s="20" t="s">
        <v>42</v>
      </c>
      <c r="E716" s="20">
        <v>1</v>
      </c>
      <c r="F716" s="20" t="s">
        <v>3982</v>
      </c>
      <c r="G716" s="14">
        <f>(VLOOKUP(D716,'[1]BOM Info General'!$A:$L,12,0))*E716</f>
        <v>35.56</v>
      </c>
      <c r="H716" s="21" t="s">
        <v>39</v>
      </c>
      <c r="I716" s="21">
        <v>1</v>
      </c>
      <c r="J716" s="21" t="s">
        <v>46</v>
      </c>
      <c r="K716" s="15">
        <f>(VLOOKUP(H716,'[1]BOM Info General'!$A:$L,12,0))*I716</f>
        <v>24.42</v>
      </c>
      <c r="L716" s="22" t="s">
        <v>74</v>
      </c>
      <c r="M716" s="22">
        <v>1</v>
      </c>
      <c r="N716" s="22" t="s">
        <v>77</v>
      </c>
      <c r="O716" s="9">
        <f>(VLOOKUP(L716,'[1]Simulation pricing per sub assy'!$D:$E,2,0))*M716</f>
        <v>51.27879999999999</v>
      </c>
      <c r="P716" s="23" t="s">
        <v>50</v>
      </c>
      <c r="Q716" s="23">
        <v>2</v>
      </c>
      <c r="R716" s="23" t="s">
        <v>16</v>
      </c>
      <c r="S716" s="40">
        <f>(VLOOKUP(P716,'[1]BOM Info General'!$A:$L,12,0))*Q716</f>
        <v>5.3</v>
      </c>
      <c r="T716" s="24" t="s">
        <v>10</v>
      </c>
      <c r="U716" s="24">
        <v>1</v>
      </c>
      <c r="V716" s="24" t="s">
        <v>11</v>
      </c>
      <c r="W716" s="17">
        <f>(VLOOKUP(T716,'[1]Simulation pricing per sub assy'!$D:$E,2,0))*U716</f>
        <v>2.0499999999999998</v>
      </c>
      <c r="X716" s="18" t="s">
        <v>615</v>
      </c>
      <c r="Y716" s="25">
        <v>1</v>
      </c>
      <c r="Z716" s="25" t="s">
        <v>9</v>
      </c>
      <c r="AA716" s="18">
        <f>(VLOOKUP(X716,'[1]Simulation pricing per sub assy'!$D:$E,2,0))*Y716</f>
        <v>1.5769808000000001</v>
      </c>
    </row>
    <row r="717" spans="1:27" x14ac:dyDescent="0.35">
      <c r="A717" s="13" t="s">
        <v>1701</v>
      </c>
      <c r="B717" s="13" t="s">
        <v>1702</v>
      </c>
      <c r="C717" s="42">
        <f t="shared" si="11"/>
        <v>111.0657808</v>
      </c>
      <c r="D717" s="20" t="s">
        <v>42</v>
      </c>
      <c r="E717" s="20">
        <v>1</v>
      </c>
      <c r="F717" s="20" t="s">
        <v>3982</v>
      </c>
      <c r="G717" s="14">
        <f>(VLOOKUP(D717,'[1]BOM Info General'!$A:$L,12,0))*E717</f>
        <v>35.56</v>
      </c>
      <c r="H717" s="21" t="s">
        <v>39</v>
      </c>
      <c r="I717" s="21">
        <v>1</v>
      </c>
      <c r="J717" s="21" t="s">
        <v>46</v>
      </c>
      <c r="K717" s="15">
        <f>(VLOOKUP(H717,'[1]BOM Info General'!$A:$L,12,0))*I717</f>
        <v>24.42</v>
      </c>
      <c r="L717" s="22" t="s">
        <v>527</v>
      </c>
      <c r="M717" s="22">
        <v>1</v>
      </c>
      <c r="N717" s="22" t="s">
        <v>79</v>
      </c>
      <c r="O717" s="9">
        <f>(VLOOKUP(L717,'[1]Simulation pricing per sub assy'!$D:$E,2,0))*M717</f>
        <v>42.308799999999991</v>
      </c>
      <c r="P717" s="23" t="s">
        <v>50</v>
      </c>
      <c r="Q717" s="23">
        <v>2</v>
      </c>
      <c r="R717" s="23" t="s">
        <v>16</v>
      </c>
      <c r="S717" s="40">
        <f>(VLOOKUP(P717,'[1]BOM Info General'!$A:$L,12,0))*Q717</f>
        <v>5.3</v>
      </c>
      <c r="T717" s="24" t="s">
        <v>12</v>
      </c>
      <c r="U717" s="24">
        <v>1</v>
      </c>
      <c r="V717" s="24" t="s">
        <v>13</v>
      </c>
      <c r="W717" s="17">
        <f>(VLOOKUP(T717,'[1]Simulation pricing per sub assy'!$D:$E,2,0))*U717</f>
        <v>1.9</v>
      </c>
      <c r="X717" s="18" t="s">
        <v>615</v>
      </c>
      <c r="Y717" s="25">
        <v>1</v>
      </c>
      <c r="Z717" s="25" t="s">
        <v>9</v>
      </c>
      <c r="AA717" s="18">
        <f>(VLOOKUP(X717,'[1]Simulation pricing per sub assy'!$D:$E,2,0))*Y717</f>
        <v>1.5769808000000001</v>
      </c>
    </row>
    <row r="718" spans="1:27" x14ac:dyDescent="0.35">
      <c r="A718" s="13" t="s">
        <v>1629</v>
      </c>
      <c r="B718" s="13" t="s">
        <v>1630</v>
      </c>
      <c r="C718" s="42">
        <f t="shared" si="11"/>
        <v>112.0457808</v>
      </c>
      <c r="D718" s="20" t="s">
        <v>42</v>
      </c>
      <c r="E718" s="20">
        <v>1</v>
      </c>
      <c r="F718" s="20" t="s">
        <v>3982</v>
      </c>
      <c r="G718" s="14">
        <f>(VLOOKUP(D718,'[1]BOM Info General'!$A:$L,12,0))*E718</f>
        <v>35.56</v>
      </c>
      <c r="H718" s="21" t="s">
        <v>39</v>
      </c>
      <c r="I718" s="21">
        <v>1</v>
      </c>
      <c r="J718" s="21" t="s">
        <v>46</v>
      </c>
      <c r="K718" s="15">
        <f>(VLOOKUP(H718,'[1]BOM Info General'!$A:$L,12,0))*I718</f>
        <v>24.42</v>
      </c>
      <c r="L718" s="22" t="s">
        <v>76</v>
      </c>
      <c r="M718" s="22">
        <v>1</v>
      </c>
      <c r="N718" s="22" t="s">
        <v>73</v>
      </c>
      <c r="O718" s="9">
        <f>(VLOOKUP(L718,'[1]Simulation pricing per sub assy'!$D:$E,2,0))*M718</f>
        <v>43.288799999999988</v>
      </c>
      <c r="P718" s="23" t="s">
        <v>50</v>
      </c>
      <c r="Q718" s="23">
        <v>2</v>
      </c>
      <c r="R718" s="23" t="s">
        <v>16</v>
      </c>
      <c r="S718" s="40">
        <f>(VLOOKUP(P718,'[1]BOM Info General'!$A:$L,12,0))*Q718</f>
        <v>5.3</v>
      </c>
      <c r="T718" s="24" t="s">
        <v>12</v>
      </c>
      <c r="U718" s="24">
        <v>1</v>
      </c>
      <c r="V718" s="24" t="s">
        <v>13</v>
      </c>
      <c r="W718" s="17">
        <f>(VLOOKUP(T718,'[1]Simulation pricing per sub assy'!$D:$E,2,0))*U718</f>
        <v>1.9</v>
      </c>
      <c r="X718" s="18" t="s">
        <v>615</v>
      </c>
      <c r="Y718" s="25">
        <v>1</v>
      </c>
      <c r="Z718" s="25" t="s">
        <v>9</v>
      </c>
      <c r="AA718" s="18">
        <f>(VLOOKUP(X718,'[1]Simulation pricing per sub assy'!$D:$E,2,0))*Y718</f>
        <v>1.5769808000000001</v>
      </c>
    </row>
    <row r="719" spans="1:27" x14ac:dyDescent="0.35">
      <c r="A719" s="13" t="s">
        <v>1665</v>
      </c>
      <c r="B719" s="13" t="s">
        <v>1666</v>
      </c>
      <c r="C719" s="42">
        <f t="shared" si="11"/>
        <v>112.6257808</v>
      </c>
      <c r="D719" s="20" t="s">
        <v>42</v>
      </c>
      <c r="E719" s="20">
        <v>1</v>
      </c>
      <c r="F719" s="20" t="s">
        <v>3982</v>
      </c>
      <c r="G719" s="14">
        <f>(VLOOKUP(D719,'[1]BOM Info General'!$A:$L,12,0))*E719</f>
        <v>35.56</v>
      </c>
      <c r="H719" s="21" t="s">
        <v>39</v>
      </c>
      <c r="I719" s="21">
        <v>1</v>
      </c>
      <c r="J719" s="21" t="s">
        <v>46</v>
      </c>
      <c r="K719" s="15">
        <f>(VLOOKUP(H719,'[1]BOM Info General'!$A:$L,12,0))*I719</f>
        <v>24.42</v>
      </c>
      <c r="L719" s="22" t="s">
        <v>72</v>
      </c>
      <c r="M719" s="22">
        <v>1</v>
      </c>
      <c r="N719" s="22" t="s">
        <v>71</v>
      </c>
      <c r="O719" s="9">
        <f>(VLOOKUP(L719,'[1]Simulation pricing per sub assy'!$D:$E,2,0))*M719</f>
        <v>43.868799999999993</v>
      </c>
      <c r="P719" s="23" t="s">
        <v>50</v>
      </c>
      <c r="Q719" s="23">
        <v>2</v>
      </c>
      <c r="R719" s="23" t="s">
        <v>16</v>
      </c>
      <c r="S719" s="40">
        <f>(VLOOKUP(P719,'[1]BOM Info General'!$A:$L,12,0))*Q719</f>
        <v>5.3</v>
      </c>
      <c r="T719" s="24" t="s">
        <v>12</v>
      </c>
      <c r="U719" s="24">
        <v>1</v>
      </c>
      <c r="V719" s="24" t="s">
        <v>13</v>
      </c>
      <c r="W719" s="17">
        <f>(VLOOKUP(T719,'[1]Simulation pricing per sub assy'!$D:$E,2,0))*U719</f>
        <v>1.9</v>
      </c>
      <c r="X719" s="18" t="s">
        <v>615</v>
      </c>
      <c r="Y719" s="25">
        <v>1</v>
      </c>
      <c r="Z719" s="25" t="s">
        <v>9</v>
      </c>
      <c r="AA719" s="18">
        <f>(VLOOKUP(X719,'[1]Simulation pricing per sub assy'!$D:$E,2,0))*Y719</f>
        <v>1.5769808000000001</v>
      </c>
    </row>
    <row r="720" spans="1:27" x14ac:dyDescent="0.35">
      <c r="A720" s="13" t="s">
        <v>1647</v>
      </c>
      <c r="B720" s="13" t="s">
        <v>1648</v>
      </c>
      <c r="C720" s="42">
        <f t="shared" si="11"/>
        <v>112.3657808</v>
      </c>
      <c r="D720" s="20" t="s">
        <v>42</v>
      </c>
      <c r="E720" s="20">
        <v>1</v>
      </c>
      <c r="F720" s="20" t="s">
        <v>3982</v>
      </c>
      <c r="G720" s="14">
        <f>(VLOOKUP(D720,'[1]BOM Info General'!$A:$L,12,0))*E720</f>
        <v>35.56</v>
      </c>
      <c r="H720" s="21" t="s">
        <v>39</v>
      </c>
      <c r="I720" s="21">
        <v>1</v>
      </c>
      <c r="J720" s="21" t="s">
        <v>46</v>
      </c>
      <c r="K720" s="15">
        <f>(VLOOKUP(H720,'[1]BOM Info General'!$A:$L,12,0))*I720</f>
        <v>24.42</v>
      </c>
      <c r="L720" s="22" t="s">
        <v>78</v>
      </c>
      <c r="M720" s="22">
        <v>1</v>
      </c>
      <c r="N720" s="22" t="s">
        <v>75</v>
      </c>
      <c r="O720" s="9">
        <f>(VLOOKUP(L720,'[1]Simulation pricing per sub assy'!$D:$E,2,0))*M720</f>
        <v>43.608799999999988</v>
      </c>
      <c r="P720" s="23" t="s">
        <v>50</v>
      </c>
      <c r="Q720" s="23">
        <v>2</v>
      </c>
      <c r="R720" s="23" t="s">
        <v>16</v>
      </c>
      <c r="S720" s="40">
        <f>(VLOOKUP(P720,'[1]BOM Info General'!$A:$L,12,0))*Q720</f>
        <v>5.3</v>
      </c>
      <c r="T720" s="24" t="s">
        <v>12</v>
      </c>
      <c r="U720" s="24">
        <v>1</v>
      </c>
      <c r="V720" s="24" t="s">
        <v>13</v>
      </c>
      <c r="W720" s="17">
        <f>(VLOOKUP(T720,'[1]Simulation pricing per sub assy'!$D:$E,2,0))*U720</f>
        <v>1.9</v>
      </c>
      <c r="X720" s="18" t="s">
        <v>615</v>
      </c>
      <c r="Y720" s="25">
        <v>1</v>
      </c>
      <c r="Z720" s="25" t="s">
        <v>9</v>
      </c>
      <c r="AA720" s="18">
        <f>(VLOOKUP(X720,'[1]Simulation pricing per sub assy'!$D:$E,2,0))*Y720</f>
        <v>1.5769808000000001</v>
      </c>
    </row>
    <row r="721" spans="1:27" x14ac:dyDescent="0.35">
      <c r="A721" s="13" t="s">
        <v>1683</v>
      </c>
      <c r="B721" s="13" t="s">
        <v>1684</v>
      </c>
      <c r="C721" s="42">
        <f t="shared" si="11"/>
        <v>120.0357808</v>
      </c>
      <c r="D721" s="20" t="s">
        <v>42</v>
      </c>
      <c r="E721" s="20">
        <v>1</v>
      </c>
      <c r="F721" s="20" t="s">
        <v>3982</v>
      </c>
      <c r="G721" s="14">
        <f>(VLOOKUP(D721,'[1]BOM Info General'!$A:$L,12,0))*E721</f>
        <v>35.56</v>
      </c>
      <c r="H721" s="21" t="s">
        <v>39</v>
      </c>
      <c r="I721" s="21">
        <v>1</v>
      </c>
      <c r="J721" s="21" t="s">
        <v>46</v>
      </c>
      <c r="K721" s="15">
        <f>(VLOOKUP(H721,'[1]BOM Info General'!$A:$L,12,0))*I721</f>
        <v>24.42</v>
      </c>
      <c r="L721" s="22" t="s">
        <v>74</v>
      </c>
      <c r="M721" s="22">
        <v>1</v>
      </c>
      <c r="N721" s="22" t="s">
        <v>77</v>
      </c>
      <c r="O721" s="9">
        <f>(VLOOKUP(L721,'[1]Simulation pricing per sub assy'!$D:$E,2,0))*M721</f>
        <v>51.27879999999999</v>
      </c>
      <c r="P721" s="23" t="s">
        <v>50</v>
      </c>
      <c r="Q721" s="23">
        <v>2</v>
      </c>
      <c r="R721" s="23" t="s">
        <v>16</v>
      </c>
      <c r="S721" s="40">
        <f>(VLOOKUP(P721,'[1]BOM Info General'!$A:$L,12,0))*Q721</f>
        <v>5.3</v>
      </c>
      <c r="T721" s="24" t="s">
        <v>12</v>
      </c>
      <c r="U721" s="24">
        <v>1</v>
      </c>
      <c r="V721" s="24" t="s">
        <v>13</v>
      </c>
      <c r="W721" s="17">
        <f>(VLOOKUP(T721,'[1]Simulation pricing per sub assy'!$D:$E,2,0))*U721</f>
        <v>1.9</v>
      </c>
      <c r="X721" s="18" t="s">
        <v>615</v>
      </c>
      <c r="Y721" s="25">
        <v>1</v>
      </c>
      <c r="Z721" s="25" t="s">
        <v>9</v>
      </c>
      <c r="AA721" s="18">
        <f>(VLOOKUP(X721,'[1]Simulation pricing per sub assy'!$D:$E,2,0))*Y721</f>
        <v>1.5769808000000001</v>
      </c>
    </row>
    <row r="722" spans="1:27" x14ac:dyDescent="0.35">
      <c r="A722" s="13" t="s">
        <v>1703</v>
      </c>
      <c r="B722" s="13" t="s">
        <v>1704</v>
      </c>
      <c r="C722" s="42">
        <f t="shared" si="11"/>
        <v>111.0657808</v>
      </c>
      <c r="D722" s="20" t="s">
        <v>42</v>
      </c>
      <c r="E722" s="20">
        <v>1</v>
      </c>
      <c r="F722" s="20" t="s">
        <v>3982</v>
      </c>
      <c r="G722" s="14">
        <f>(VLOOKUP(D722,'[1]BOM Info General'!$A:$L,12,0))*E722</f>
        <v>35.56</v>
      </c>
      <c r="H722" s="21" t="s">
        <v>39</v>
      </c>
      <c r="I722" s="21">
        <v>1</v>
      </c>
      <c r="J722" s="21" t="s">
        <v>46</v>
      </c>
      <c r="K722" s="15">
        <f>(VLOOKUP(H722,'[1]BOM Info General'!$A:$L,12,0))*I722</f>
        <v>24.42</v>
      </c>
      <c r="L722" s="22" t="s">
        <v>527</v>
      </c>
      <c r="M722" s="22">
        <v>1</v>
      </c>
      <c r="N722" s="22" t="s">
        <v>79</v>
      </c>
      <c r="O722" s="9">
        <f>(VLOOKUP(L722,'[1]Simulation pricing per sub assy'!$D:$E,2,0))*M722</f>
        <v>42.308799999999991</v>
      </c>
      <c r="P722" s="23" t="s">
        <v>50</v>
      </c>
      <c r="Q722" s="23">
        <v>2</v>
      </c>
      <c r="R722" s="23" t="s">
        <v>16</v>
      </c>
      <c r="S722" s="40">
        <f>(VLOOKUP(P722,'[1]BOM Info General'!$A:$L,12,0))*Q722</f>
        <v>5.3</v>
      </c>
      <c r="T722" s="24" t="s">
        <v>14</v>
      </c>
      <c r="U722" s="24">
        <v>1</v>
      </c>
      <c r="V722" s="24" t="s">
        <v>15</v>
      </c>
      <c r="W722" s="17">
        <f>(VLOOKUP(T722,'[1]Simulation pricing per sub assy'!$D:$E,2,0))*U722</f>
        <v>1.9</v>
      </c>
      <c r="X722" s="18" t="s">
        <v>615</v>
      </c>
      <c r="Y722" s="25">
        <v>1</v>
      </c>
      <c r="Z722" s="25" t="s">
        <v>9</v>
      </c>
      <c r="AA722" s="18">
        <f>(VLOOKUP(X722,'[1]Simulation pricing per sub assy'!$D:$E,2,0))*Y722</f>
        <v>1.5769808000000001</v>
      </c>
    </row>
    <row r="723" spans="1:27" x14ac:dyDescent="0.35">
      <c r="A723" s="13" t="s">
        <v>1631</v>
      </c>
      <c r="B723" s="13" t="s">
        <v>1632</v>
      </c>
      <c r="C723" s="42">
        <f t="shared" si="11"/>
        <v>112.0457808</v>
      </c>
      <c r="D723" s="20" t="s">
        <v>42</v>
      </c>
      <c r="E723" s="20">
        <v>1</v>
      </c>
      <c r="F723" s="20" t="s">
        <v>3982</v>
      </c>
      <c r="G723" s="14">
        <f>(VLOOKUP(D723,'[1]BOM Info General'!$A:$L,12,0))*E723</f>
        <v>35.56</v>
      </c>
      <c r="H723" s="21" t="s">
        <v>39</v>
      </c>
      <c r="I723" s="21">
        <v>1</v>
      </c>
      <c r="J723" s="21" t="s">
        <v>46</v>
      </c>
      <c r="K723" s="15">
        <f>(VLOOKUP(H723,'[1]BOM Info General'!$A:$L,12,0))*I723</f>
        <v>24.42</v>
      </c>
      <c r="L723" s="22" t="s">
        <v>76</v>
      </c>
      <c r="M723" s="22">
        <v>1</v>
      </c>
      <c r="N723" s="22" t="s">
        <v>73</v>
      </c>
      <c r="O723" s="9">
        <f>(VLOOKUP(L723,'[1]Simulation pricing per sub assy'!$D:$E,2,0))*M723</f>
        <v>43.288799999999988</v>
      </c>
      <c r="P723" s="23" t="s">
        <v>50</v>
      </c>
      <c r="Q723" s="23">
        <v>2</v>
      </c>
      <c r="R723" s="23" t="s">
        <v>16</v>
      </c>
      <c r="S723" s="40">
        <f>(VLOOKUP(P723,'[1]BOM Info General'!$A:$L,12,0))*Q723</f>
        <v>5.3</v>
      </c>
      <c r="T723" s="24" t="s">
        <v>14</v>
      </c>
      <c r="U723" s="24">
        <v>1</v>
      </c>
      <c r="V723" s="24" t="s">
        <v>15</v>
      </c>
      <c r="W723" s="17">
        <f>(VLOOKUP(T723,'[1]Simulation pricing per sub assy'!$D:$E,2,0))*U723</f>
        <v>1.9</v>
      </c>
      <c r="X723" s="18" t="s">
        <v>615</v>
      </c>
      <c r="Y723" s="25">
        <v>1</v>
      </c>
      <c r="Z723" s="25" t="s">
        <v>9</v>
      </c>
      <c r="AA723" s="18">
        <f>(VLOOKUP(X723,'[1]Simulation pricing per sub assy'!$D:$E,2,0))*Y723</f>
        <v>1.5769808000000001</v>
      </c>
    </row>
    <row r="724" spans="1:27" x14ac:dyDescent="0.35">
      <c r="A724" s="13" t="s">
        <v>1667</v>
      </c>
      <c r="B724" s="13" t="s">
        <v>1668</v>
      </c>
      <c r="C724" s="42">
        <f t="shared" si="11"/>
        <v>112.6257808</v>
      </c>
      <c r="D724" s="20" t="s">
        <v>42</v>
      </c>
      <c r="E724" s="20">
        <v>1</v>
      </c>
      <c r="F724" s="20" t="s">
        <v>3982</v>
      </c>
      <c r="G724" s="14">
        <f>(VLOOKUP(D724,'[1]BOM Info General'!$A:$L,12,0))*E724</f>
        <v>35.56</v>
      </c>
      <c r="H724" s="21" t="s">
        <v>39</v>
      </c>
      <c r="I724" s="21">
        <v>1</v>
      </c>
      <c r="J724" s="21" t="s">
        <v>46</v>
      </c>
      <c r="K724" s="15">
        <f>(VLOOKUP(H724,'[1]BOM Info General'!$A:$L,12,0))*I724</f>
        <v>24.42</v>
      </c>
      <c r="L724" s="22" t="s">
        <v>72</v>
      </c>
      <c r="M724" s="22">
        <v>1</v>
      </c>
      <c r="N724" s="22" t="s">
        <v>71</v>
      </c>
      <c r="O724" s="9">
        <f>(VLOOKUP(L724,'[1]Simulation pricing per sub assy'!$D:$E,2,0))*M724</f>
        <v>43.868799999999993</v>
      </c>
      <c r="P724" s="23" t="s">
        <v>50</v>
      </c>
      <c r="Q724" s="23">
        <v>2</v>
      </c>
      <c r="R724" s="23" t="s">
        <v>16</v>
      </c>
      <c r="S724" s="40">
        <f>(VLOOKUP(P724,'[1]BOM Info General'!$A:$L,12,0))*Q724</f>
        <v>5.3</v>
      </c>
      <c r="T724" s="24" t="s">
        <v>14</v>
      </c>
      <c r="U724" s="24">
        <v>1</v>
      </c>
      <c r="V724" s="24" t="s">
        <v>15</v>
      </c>
      <c r="W724" s="17">
        <f>(VLOOKUP(T724,'[1]Simulation pricing per sub assy'!$D:$E,2,0))*U724</f>
        <v>1.9</v>
      </c>
      <c r="X724" s="18" t="s">
        <v>615</v>
      </c>
      <c r="Y724" s="25">
        <v>1</v>
      </c>
      <c r="Z724" s="25" t="s">
        <v>9</v>
      </c>
      <c r="AA724" s="18">
        <f>(VLOOKUP(X724,'[1]Simulation pricing per sub assy'!$D:$E,2,0))*Y724</f>
        <v>1.5769808000000001</v>
      </c>
    </row>
    <row r="725" spans="1:27" x14ac:dyDescent="0.35">
      <c r="A725" s="13" t="s">
        <v>1649</v>
      </c>
      <c r="B725" s="13" t="s">
        <v>1650</v>
      </c>
      <c r="C725" s="42">
        <f t="shared" si="11"/>
        <v>112.3657808</v>
      </c>
      <c r="D725" s="20" t="s">
        <v>42</v>
      </c>
      <c r="E725" s="20">
        <v>1</v>
      </c>
      <c r="F725" s="20" t="s">
        <v>3982</v>
      </c>
      <c r="G725" s="14">
        <f>(VLOOKUP(D725,'[1]BOM Info General'!$A:$L,12,0))*E725</f>
        <v>35.56</v>
      </c>
      <c r="H725" s="21" t="s">
        <v>39</v>
      </c>
      <c r="I725" s="21">
        <v>1</v>
      </c>
      <c r="J725" s="21" t="s">
        <v>46</v>
      </c>
      <c r="K725" s="15">
        <f>(VLOOKUP(H725,'[1]BOM Info General'!$A:$L,12,0))*I725</f>
        <v>24.42</v>
      </c>
      <c r="L725" s="22" t="s">
        <v>78</v>
      </c>
      <c r="M725" s="22">
        <v>1</v>
      </c>
      <c r="N725" s="22" t="s">
        <v>75</v>
      </c>
      <c r="O725" s="9">
        <f>(VLOOKUP(L725,'[1]Simulation pricing per sub assy'!$D:$E,2,0))*M725</f>
        <v>43.608799999999988</v>
      </c>
      <c r="P725" s="23" t="s">
        <v>50</v>
      </c>
      <c r="Q725" s="23">
        <v>2</v>
      </c>
      <c r="R725" s="23" t="s">
        <v>16</v>
      </c>
      <c r="S725" s="40">
        <f>(VLOOKUP(P725,'[1]BOM Info General'!$A:$L,12,0))*Q725</f>
        <v>5.3</v>
      </c>
      <c r="T725" s="24" t="s">
        <v>14</v>
      </c>
      <c r="U725" s="24">
        <v>1</v>
      </c>
      <c r="V725" s="24" t="s">
        <v>15</v>
      </c>
      <c r="W725" s="17">
        <f>(VLOOKUP(T725,'[1]Simulation pricing per sub assy'!$D:$E,2,0))*U725</f>
        <v>1.9</v>
      </c>
      <c r="X725" s="18" t="s">
        <v>615</v>
      </c>
      <c r="Y725" s="25">
        <v>1</v>
      </c>
      <c r="Z725" s="25" t="s">
        <v>9</v>
      </c>
      <c r="AA725" s="18">
        <f>(VLOOKUP(X725,'[1]Simulation pricing per sub assy'!$D:$E,2,0))*Y725</f>
        <v>1.5769808000000001</v>
      </c>
    </row>
    <row r="726" spans="1:27" x14ac:dyDescent="0.35">
      <c r="A726" s="13" t="s">
        <v>1685</v>
      </c>
      <c r="B726" s="13" t="s">
        <v>1686</v>
      </c>
      <c r="C726" s="42">
        <f t="shared" si="11"/>
        <v>120.0357808</v>
      </c>
      <c r="D726" s="20" t="s">
        <v>42</v>
      </c>
      <c r="E726" s="20">
        <v>1</v>
      </c>
      <c r="F726" s="20" t="s">
        <v>3982</v>
      </c>
      <c r="G726" s="14">
        <f>(VLOOKUP(D726,'[1]BOM Info General'!$A:$L,12,0))*E726</f>
        <v>35.56</v>
      </c>
      <c r="H726" s="21" t="s">
        <v>39</v>
      </c>
      <c r="I726" s="21">
        <v>1</v>
      </c>
      <c r="J726" s="21" t="s">
        <v>46</v>
      </c>
      <c r="K726" s="15">
        <f>(VLOOKUP(H726,'[1]BOM Info General'!$A:$L,12,0))*I726</f>
        <v>24.42</v>
      </c>
      <c r="L726" s="22" t="s">
        <v>74</v>
      </c>
      <c r="M726" s="22">
        <v>1</v>
      </c>
      <c r="N726" s="22" t="s">
        <v>77</v>
      </c>
      <c r="O726" s="9">
        <f>(VLOOKUP(L726,'[1]Simulation pricing per sub assy'!$D:$E,2,0))*M726</f>
        <v>51.27879999999999</v>
      </c>
      <c r="P726" s="23" t="s">
        <v>50</v>
      </c>
      <c r="Q726" s="23">
        <v>2</v>
      </c>
      <c r="R726" s="23" t="s">
        <v>16</v>
      </c>
      <c r="S726" s="40">
        <f>(VLOOKUP(P726,'[1]BOM Info General'!$A:$L,12,0))*Q726</f>
        <v>5.3</v>
      </c>
      <c r="T726" s="24" t="s">
        <v>14</v>
      </c>
      <c r="U726" s="24">
        <v>1</v>
      </c>
      <c r="V726" s="24" t="s">
        <v>15</v>
      </c>
      <c r="W726" s="17">
        <f>(VLOOKUP(T726,'[1]Simulation pricing per sub assy'!$D:$E,2,0))*U726</f>
        <v>1.9</v>
      </c>
      <c r="X726" s="18" t="s">
        <v>615</v>
      </c>
      <c r="Y726" s="25">
        <v>1</v>
      </c>
      <c r="Z726" s="25" t="s">
        <v>9</v>
      </c>
      <c r="AA726" s="18">
        <f>(VLOOKUP(X726,'[1]Simulation pricing per sub assy'!$D:$E,2,0))*Y726</f>
        <v>1.5769808000000001</v>
      </c>
    </row>
    <row r="727" spans="1:27" x14ac:dyDescent="0.35">
      <c r="A727" s="13" t="s">
        <v>1705</v>
      </c>
      <c r="B727" s="13" t="s">
        <v>1706</v>
      </c>
      <c r="C727" s="42">
        <f t="shared" si="11"/>
        <v>111.21578079999999</v>
      </c>
      <c r="D727" s="20" t="s">
        <v>42</v>
      </c>
      <c r="E727" s="20">
        <v>1</v>
      </c>
      <c r="F727" s="20" t="s">
        <v>3982</v>
      </c>
      <c r="G727" s="14">
        <f>(VLOOKUP(D727,'[1]BOM Info General'!$A:$L,12,0))*E727</f>
        <v>35.56</v>
      </c>
      <c r="H727" s="21" t="s">
        <v>39</v>
      </c>
      <c r="I727" s="21">
        <v>1</v>
      </c>
      <c r="J727" s="21" t="s">
        <v>46</v>
      </c>
      <c r="K727" s="15">
        <f>(VLOOKUP(H727,'[1]BOM Info General'!$A:$L,12,0))*I727</f>
        <v>24.42</v>
      </c>
      <c r="L727" s="22" t="s">
        <v>527</v>
      </c>
      <c r="M727" s="22">
        <v>1</v>
      </c>
      <c r="N727" s="22" t="s">
        <v>79</v>
      </c>
      <c r="O727" s="9">
        <f>(VLOOKUP(L727,'[1]Simulation pricing per sub assy'!$D:$E,2,0))*M727</f>
        <v>42.308799999999991</v>
      </c>
      <c r="P727" s="23" t="s">
        <v>51</v>
      </c>
      <c r="Q727" s="23">
        <v>2</v>
      </c>
      <c r="R727" s="23" t="s">
        <v>17</v>
      </c>
      <c r="S727" s="40">
        <f>(VLOOKUP(P727,'[1]BOM Info General'!$A:$L,12,0))*Q727</f>
        <v>5.3</v>
      </c>
      <c r="T727" s="24" t="s">
        <v>10</v>
      </c>
      <c r="U727" s="24">
        <v>1</v>
      </c>
      <c r="V727" s="24" t="s">
        <v>11</v>
      </c>
      <c r="W727" s="17">
        <f>(VLOOKUP(T727,'[1]Simulation pricing per sub assy'!$D:$E,2,0))*U727</f>
        <v>2.0499999999999998</v>
      </c>
      <c r="X727" s="18" t="s">
        <v>615</v>
      </c>
      <c r="Y727" s="25">
        <v>1</v>
      </c>
      <c r="Z727" s="25" t="s">
        <v>9</v>
      </c>
      <c r="AA727" s="18">
        <f>(VLOOKUP(X727,'[1]Simulation pricing per sub assy'!$D:$E,2,0))*Y727</f>
        <v>1.5769808000000001</v>
      </c>
    </row>
    <row r="728" spans="1:27" x14ac:dyDescent="0.35">
      <c r="A728" s="13" t="s">
        <v>1633</v>
      </c>
      <c r="B728" s="13" t="s">
        <v>1634</v>
      </c>
      <c r="C728" s="42">
        <f t="shared" si="11"/>
        <v>112.19578079999999</v>
      </c>
      <c r="D728" s="20" t="s">
        <v>42</v>
      </c>
      <c r="E728" s="20">
        <v>1</v>
      </c>
      <c r="F728" s="20" t="s">
        <v>3982</v>
      </c>
      <c r="G728" s="14">
        <f>(VLOOKUP(D728,'[1]BOM Info General'!$A:$L,12,0))*E728</f>
        <v>35.56</v>
      </c>
      <c r="H728" s="21" t="s">
        <v>39</v>
      </c>
      <c r="I728" s="21">
        <v>1</v>
      </c>
      <c r="J728" s="21" t="s">
        <v>46</v>
      </c>
      <c r="K728" s="15">
        <f>(VLOOKUP(H728,'[1]BOM Info General'!$A:$L,12,0))*I728</f>
        <v>24.42</v>
      </c>
      <c r="L728" s="22" t="s">
        <v>76</v>
      </c>
      <c r="M728" s="22">
        <v>1</v>
      </c>
      <c r="N728" s="22" t="s">
        <v>73</v>
      </c>
      <c r="O728" s="9">
        <f>(VLOOKUP(L728,'[1]Simulation pricing per sub assy'!$D:$E,2,0))*M728</f>
        <v>43.288799999999988</v>
      </c>
      <c r="P728" s="23" t="s">
        <v>51</v>
      </c>
      <c r="Q728" s="23">
        <v>2</v>
      </c>
      <c r="R728" s="23" t="s">
        <v>17</v>
      </c>
      <c r="S728" s="40">
        <f>(VLOOKUP(P728,'[1]BOM Info General'!$A:$L,12,0))*Q728</f>
        <v>5.3</v>
      </c>
      <c r="T728" s="24" t="s">
        <v>10</v>
      </c>
      <c r="U728" s="24">
        <v>1</v>
      </c>
      <c r="V728" s="24" t="s">
        <v>11</v>
      </c>
      <c r="W728" s="17">
        <f>(VLOOKUP(T728,'[1]Simulation pricing per sub assy'!$D:$E,2,0))*U728</f>
        <v>2.0499999999999998</v>
      </c>
      <c r="X728" s="18" t="s">
        <v>615</v>
      </c>
      <c r="Y728" s="25">
        <v>1</v>
      </c>
      <c r="Z728" s="25" t="s">
        <v>9</v>
      </c>
      <c r="AA728" s="18">
        <f>(VLOOKUP(X728,'[1]Simulation pricing per sub assy'!$D:$E,2,0))*Y728</f>
        <v>1.5769808000000001</v>
      </c>
    </row>
    <row r="729" spans="1:27" x14ac:dyDescent="0.35">
      <c r="A729" s="13" t="s">
        <v>1669</v>
      </c>
      <c r="B729" s="13" t="s">
        <v>1670</v>
      </c>
      <c r="C729" s="42">
        <f t="shared" si="11"/>
        <v>112.77578079999999</v>
      </c>
      <c r="D729" s="20" t="s">
        <v>42</v>
      </c>
      <c r="E729" s="20">
        <v>1</v>
      </c>
      <c r="F729" s="20" t="s">
        <v>3982</v>
      </c>
      <c r="G729" s="14">
        <f>(VLOOKUP(D729,'[1]BOM Info General'!$A:$L,12,0))*E729</f>
        <v>35.56</v>
      </c>
      <c r="H729" s="21" t="s">
        <v>39</v>
      </c>
      <c r="I729" s="21">
        <v>1</v>
      </c>
      <c r="J729" s="21" t="s">
        <v>46</v>
      </c>
      <c r="K729" s="15">
        <f>(VLOOKUP(H729,'[1]BOM Info General'!$A:$L,12,0))*I729</f>
        <v>24.42</v>
      </c>
      <c r="L729" s="22" t="s">
        <v>72</v>
      </c>
      <c r="M729" s="22">
        <v>1</v>
      </c>
      <c r="N729" s="22" t="s">
        <v>71</v>
      </c>
      <c r="O729" s="9">
        <f>(VLOOKUP(L729,'[1]Simulation pricing per sub assy'!$D:$E,2,0))*M729</f>
        <v>43.868799999999993</v>
      </c>
      <c r="P729" s="23" t="s">
        <v>51</v>
      </c>
      <c r="Q729" s="23">
        <v>2</v>
      </c>
      <c r="R729" s="23" t="s">
        <v>17</v>
      </c>
      <c r="S729" s="40">
        <f>(VLOOKUP(P729,'[1]BOM Info General'!$A:$L,12,0))*Q729</f>
        <v>5.3</v>
      </c>
      <c r="T729" s="24" t="s">
        <v>10</v>
      </c>
      <c r="U729" s="24">
        <v>1</v>
      </c>
      <c r="V729" s="24" t="s">
        <v>11</v>
      </c>
      <c r="W729" s="17">
        <f>(VLOOKUP(T729,'[1]Simulation pricing per sub assy'!$D:$E,2,0))*U729</f>
        <v>2.0499999999999998</v>
      </c>
      <c r="X729" s="18" t="s">
        <v>615</v>
      </c>
      <c r="Y729" s="25">
        <v>1</v>
      </c>
      <c r="Z729" s="25" t="s">
        <v>9</v>
      </c>
      <c r="AA729" s="18">
        <f>(VLOOKUP(X729,'[1]Simulation pricing per sub assy'!$D:$E,2,0))*Y729</f>
        <v>1.5769808000000001</v>
      </c>
    </row>
    <row r="730" spans="1:27" x14ac:dyDescent="0.35">
      <c r="A730" s="13" t="s">
        <v>1651</v>
      </c>
      <c r="B730" s="13" t="s">
        <v>1652</v>
      </c>
      <c r="C730" s="42">
        <f t="shared" si="11"/>
        <v>112.51578079999999</v>
      </c>
      <c r="D730" s="20" t="s">
        <v>42</v>
      </c>
      <c r="E730" s="20">
        <v>1</v>
      </c>
      <c r="F730" s="20" t="s">
        <v>3982</v>
      </c>
      <c r="G730" s="14">
        <f>(VLOOKUP(D730,'[1]BOM Info General'!$A:$L,12,0))*E730</f>
        <v>35.56</v>
      </c>
      <c r="H730" s="21" t="s">
        <v>39</v>
      </c>
      <c r="I730" s="21">
        <v>1</v>
      </c>
      <c r="J730" s="21" t="s">
        <v>46</v>
      </c>
      <c r="K730" s="15">
        <f>(VLOOKUP(H730,'[1]BOM Info General'!$A:$L,12,0))*I730</f>
        <v>24.42</v>
      </c>
      <c r="L730" s="22" t="s">
        <v>78</v>
      </c>
      <c r="M730" s="22">
        <v>1</v>
      </c>
      <c r="N730" s="22" t="s">
        <v>75</v>
      </c>
      <c r="O730" s="9">
        <f>(VLOOKUP(L730,'[1]Simulation pricing per sub assy'!$D:$E,2,0))*M730</f>
        <v>43.608799999999988</v>
      </c>
      <c r="P730" s="23" t="s">
        <v>51</v>
      </c>
      <c r="Q730" s="23">
        <v>2</v>
      </c>
      <c r="R730" s="23" t="s">
        <v>17</v>
      </c>
      <c r="S730" s="40">
        <f>(VLOOKUP(P730,'[1]BOM Info General'!$A:$L,12,0))*Q730</f>
        <v>5.3</v>
      </c>
      <c r="T730" s="24" t="s">
        <v>10</v>
      </c>
      <c r="U730" s="24">
        <v>1</v>
      </c>
      <c r="V730" s="24" t="s">
        <v>11</v>
      </c>
      <c r="W730" s="17">
        <f>(VLOOKUP(T730,'[1]Simulation pricing per sub assy'!$D:$E,2,0))*U730</f>
        <v>2.0499999999999998</v>
      </c>
      <c r="X730" s="18" t="s">
        <v>615</v>
      </c>
      <c r="Y730" s="25">
        <v>1</v>
      </c>
      <c r="Z730" s="25" t="s">
        <v>9</v>
      </c>
      <c r="AA730" s="18">
        <f>(VLOOKUP(X730,'[1]Simulation pricing per sub assy'!$D:$E,2,0))*Y730</f>
        <v>1.5769808000000001</v>
      </c>
    </row>
    <row r="731" spans="1:27" x14ac:dyDescent="0.35">
      <c r="A731" s="13" t="s">
        <v>1687</v>
      </c>
      <c r="B731" s="13" t="s">
        <v>1688</v>
      </c>
      <c r="C731" s="42">
        <f t="shared" si="11"/>
        <v>120.18578079999999</v>
      </c>
      <c r="D731" s="20" t="s">
        <v>42</v>
      </c>
      <c r="E731" s="20">
        <v>1</v>
      </c>
      <c r="F731" s="20" t="s">
        <v>3982</v>
      </c>
      <c r="G731" s="14">
        <f>(VLOOKUP(D731,'[1]BOM Info General'!$A:$L,12,0))*E731</f>
        <v>35.56</v>
      </c>
      <c r="H731" s="21" t="s">
        <v>39</v>
      </c>
      <c r="I731" s="21">
        <v>1</v>
      </c>
      <c r="J731" s="21" t="s">
        <v>46</v>
      </c>
      <c r="K731" s="15">
        <f>(VLOOKUP(H731,'[1]BOM Info General'!$A:$L,12,0))*I731</f>
        <v>24.42</v>
      </c>
      <c r="L731" s="22" t="s">
        <v>74</v>
      </c>
      <c r="M731" s="22">
        <v>1</v>
      </c>
      <c r="N731" s="22" t="s">
        <v>77</v>
      </c>
      <c r="O731" s="9">
        <f>(VLOOKUP(L731,'[1]Simulation pricing per sub assy'!$D:$E,2,0))*M731</f>
        <v>51.27879999999999</v>
      </c>
      <c r="P731" s="23" t="s">
        <v>51</v>
      </c>
      <c r="Q731" s="23">
        <v>2</v>
      </c>
      <c r="R731" s="23" t="s">
        <v>17</v>
      </c>
      <c r="S731" s="40">
        <f>(VLOOKUP(P731,'[1]BOM Info General'!$A:$L,12,0))*Q731</f>
        <v>5.3</v>
      </c>
      <c r="T731" s="24" t="s">
        <v>10</v>
      </c>
      <c r="U731" s="24">
        <v>1</v>
      </c>
      <c r="V731" s="24" t="s">
        <v>11</v>
      </c>
      <c r="W731" s="17">
        <f>(VLOOKUP(T731,'[1]Simulation pricing per sub assy'!$D:$E,2,0))*U731</f>
        <v>2.0499999999999998</v>
      </c>
      <c r="X731" s="18" t="s">
        <v>615</v>
      </c>
      <c r="Y731" s="25">
        <v>1</v>
      </c>
      <c r="Z731" s="25" t="s">
        <v>9</v>
      </c>
      <c r="AA731" s="18">
        <f>(VLOOKUP(X731,'[1]Simulation pricing per sub assy'!$D:$E,2,0))*Y731</f>
        <v>1.5769808000000001</v>
      </c>
    </row>
    <row r="732" spans="1:27" x14ac:dyDescent="0.35">
      <c r="A732" s="13" t="s">
        <v>1707</v>
      </c>
      <c r="B732" s="13" t="s">
        <v>1708</v>
      </c>
      <c r="C732" s="42">
        <f t="shared" si="11"/>
        <v>111.0657808</v>
      </c>
      <c r="D732" s="20" t="s">
        <v>42</v>
      </c>
      <c r="E732" s="20">
        <v>1</v>
      </c>
      <c r="F732" s="20" t="s">
        <v>3982</v>
      </c>
      <c r="G732" s="14">
        <f>(VLOOKUP(D732,'[1]BOM Info General'!$A:$L,12,0))*E732</f>
        <v>35.56</v>
      </c>
      <c r="H732" s="21" t="s">
        <v>39</v>
      </c>
      <c r="I732" s="21">
        <v>1</v>
      </c>
      <c r="J732" s="21" t="s">
        <v>46</v>
      </c>
      <c r="K732" s="15">
        <f>(VLOOKUP(H732,'[1]BOM Info General'!$A:$L,12,0))*I732</f>
        <v>24.42</v>
      </c>
      <c r="L732" s="22" t="s">
        <v>527</v>
      </c>
      <c r="M732" s="22">
        <v>1</v>
      </c>
      <c r="N732" s="22" t="s">
        <v>79</v>
      </c>
      <c r="O732" s="9">
        <f>(VLOOKUP(L732,'[1]Simulation pricing per sub assy'!$D:$E,2,0))*M732</f>
        <v>42.308799999999991</v>
      </c>
      <c r="P732" s="23" t="s">
        <v>51</v>
      </c>
      <c r="Q732" s="23">
        <v>2</v>
      </c>
      <c r="R732" s="23" t="s">
        <v>17</v>
      </c>
      <c r="S732" s="40">
        <f>(VLOOKUP(P732,'[1]BOM Info General'!$A:$L,12,0))*Q732</f>
        <v>5.3</v>
      </c>
      <c r="T732" s="24" t="s">
        <v>12</v>
      </c>
      <c r="U732" s="24">
        <v>1</v>
      </c>
      <c r="V732" s="24" t="s">
        <v>13</v>
      </c>
      <c r="W732" s="17">
        <f>(VLOOKUP(T732,'[1]Simulation pricing per sub assy'!$D:$E,2,0))*U732</f>
        <v>1.9</v>
      </c>
      <c r="X732" s="18" t="s">
        <v>615</v>
      </c>
      <c r="Y732" s="25">
        <v>1</v>
      </c>
      <c r="Z732" s="25" t="s">
        <v>9</v>
      </c>
      <c r="AA732" s="18">
        <f>(VLOOKUP(X732,'[1]Simulation pricing per sub assy'!$D:$E,2,0))*Y732</f>
        <v>1.5769808000000001</v>
      </c>
    </row>
    <row r="733" spans="1:27" x14ac:dyDescent="0.35">
      <c r="A733" s="13" t="s">
        <v>1635</v>
      </c>
      <c r="B733" s="13" t="s">
        <v>1636</v>
      </c>
      <c r="C733" s="42">
        <f t="shared" si="11"/>
        <v>112.0457808</v>
      </c>
      <c r="D733" s="20" t="s">
        <v>42</v>
      </c>
      <c r="E733" s="20">
        <v>1</v>
      </c>
      <c r="F733" s="20" t="s">
        <v>3982</v>
      </c>
      <c r="G733" s="14">
        <f>(VLOOKUP(D733,'[1]BOM Info General'!$A:$L,12,0))*E733</f>
        <v>35.56</v>
      </c>
      <c r="H733" s="21" t="s">
        <v>39</v>
      </c>
      <c r="I733" s="21">
        <v>1</v>
      </c>
      <c r="J733" s="21" t="s">
        <v>46</v>
      </c>
      <c r="K733" s="15">
        <f>(VLOOKUP(H733,'[1]BOM Info General'!$A:$L,12,0))*I733</f>
        <v>24.42</v>
      </c>
      <c r="L733" s="22" t="s">
        <v>76</v>
      </c>
      <c r="M733" s="22">
        <v>1</v>
      </c>
      <c r="N733" s="22" t="s">
        <v>73</v>
      </c>
      <c r="O733" s="9">
        <f>(VLOOKUP(L733,'[1]Simulation pricing per sub assy'!$D:$E,2,0))*M733</f>
        <v>43.288799999999988</v>
      </c>
      <c r="P733" s="23" t="s">
        <v>51</v>
      </c>
      <c r="Q733" s="23">
        <v>2</v>
      </c>
      <c r="R733" s="23" t="s">
        <v>17</v>
      </c>
      <c r="S733" s="40">
        <f>(VLOOKUP(P733,'[1]BOM Info General'!$A:$L,12,0))*Q733</f>
        <v>5.3</v>
      </c>
      <c r="T733" s="24" t="s">
        <v>12</v>
      </c>
      <c r="U733" s="24">
        <v>1</v>
      </c>
      <c r="V733" s="24" t="s">
        <v>13</v>
      </c>
      <c r="W733" s="17">
        <f>(VLOOKUP(T733,'[1]Simulation pricing per sub assy'!$D:$E,2,0))*U733</f>
        <v>1.9</v>
      </c>
      <c r="X733" s="18" t="s">
        <v>615</v>
      </c>
      <c r="Y733" s="25">
        <v>1</v>
      </c>
      <c r="Z733" s="25" t="s">
        <v>9</v>
      </c>
      <c r="AA733" s="18">
        <f>(VLOOKUP(X733,'[1]Simulation pricing per sub assy'!$D:$E,2,0))*Y733</f>
        <v>1.5769808000000001</v>
      </c>
    </row>
    <row r="734" spans="1:27" x14ac:dyDescent="0.35">
      <c r="A734" s="13" t="s">
        <v>1671</v>
      </c>
      <c r="B734" s="13" t="s">
        <v>1672</v>
      </c>
      <c r="C734" s="42">
        <f t="shared" si="11"/>
        <v>112.6257808</v>
      </c>
      <c r="D734" s="20" t="s">
        <v>42</v>
      </c>
      <c r="E734" s="20">
        <v>1</v>
      </c>
      <c r="F734" s="20" t="s">
        <v>3982</v>
      </c>
      <c r="G734" s="14">
        <f>(VLOOKUP(D734,'[1]BOM Info General'!$A:$L,12,0))*E734</f>
        <v>35.56</v>
      </c>
      <c r="H734" s="21" t="s">
        <v>39</v>
      </c>
      <c r="I734" s="21">
        <v>1</v>
      </c>
      <c r="J734" s="21" t="s">
        <v>46</v>
      </c>
      <c r="K734" s="15">
        <f>(VLOOKUP(H734,'[1]BOM Info General'!$A:$L,12,0))*I734</f>
        <v>24.42</v>
      </c>
      <c r="L734" s="22" t="s">
        <v>72</v>
      </c>
      <c r="M734" s="22">
        <v>1</v>
      </c>
      <c r="N734" s="22" t="s">
        <v>71</v>
      </c>
      <c r="O734" s="9">
        <f>(VLOOKUP(L734,'[1]Simulation pricing per sub assy'!$D:$E,2,0))*M734</f>
        <v>43.868799999999993</v>
      </c>
      <c r="P734" s="23" t="s">
        <v>51</v>
      </c>
      <c r="Q734" s="23">
        <v>2</v>
      </c>
      <c r="R734" s="23" t="s">
        <v>17</v>
      </c>
      <c r="S734" s="40">
        <f>(VLOOKUP(P734,'[1]BOM Info General'!$A:$L,12,0))*Q734</f>
        <v>5.3</v>
      </c>
      <c r="T734" s="24" t="s">
        <v>12</v>
      </c>
      <c r="U734" s="24">
        <v>1</v>
      </c>
      <c r="V734" s="24" t="s">
        <v>13</v>
      </c>
      <c r="W734" s="17">
        <f>(VLOOKUP(T734,'[1]Simulation pricing per sub assy'!$D:$E,2,0))*U734</f>
        <v>1.9</v>
      </c>
      <c r="X734" s="18" t="s">
        <v>615</v>
      </c>
      <c r="Y734" s="25">
        <v>1</v>
      </c>
      <c r="Z734" s="25" t="s">
        <v>9</v>
      </c>
      <c r="AA734" s="18">
        <f>(VLOOKUP(X734,'[1]Simulation pricing per sub assy'!$D:$E,2,0))*Y734</f>
        <v>1.5769808000000001</v>
      </c>
    </row>
    <row r="735" spans="1:27" x14ac:dyDescent="0.35">
      <c r="A735" s="13" t="s">
        <v>1653</v>
      </c>
      <c r="B735" s="13" t="s">
        <v>1654</v>
      </c>
      <c r="C735" s="42">
        <f t="shared" si="11"/>
        <v>112.3657808</v>
      </c>
      <c r="D735" s="20" t="s">
        <v>42</v>
      </c>
      <c r="E735" s="20">
        <v>1</v>
      </c>
      <c r="F735" s="20" t="s">
        <v>3982</v>
      </c>
      <c r="G735" s="14">
        <f>(VLOOKUP(D735,'[1]BOM Info General'!$A:$L,12,0))*E735</f>
        <v>35.56</v>
      </c>
      <c r="H735" s="21" t="s">
        <v>39</v>
      </c>
      <c r="I735" s="21">
        <v>1</v>
      </c>
      <c r="J735" s="21" t="s">
        <v>46</v>
      </c>
      <c r="K735" s="15">
        <f>(VLOOKUP(H735,'[1]BOM Info General'!$A:$L,12,0))*I735</f>
        <v>24.42</v>
      </c>
      <c r="L735" s="22" t="s">
        <v>78</v>
      </c>
      <c r="M735" s="22">
        <v>1</v>
      </c>
      <c r="N735" s="22" t="s">
        <v>75</v>
      </c>
      <c r="O735" s="9">
        <f>(VLOOKUP(L735,'[1]Simulation pricing per sub assy'!$D:$E,2,0))*M735</f>
        <v>43.608799999999988</v>
      </c>
      <c r="P735" s="23" t="s">
        <v>51</v>
      </c>
      <c r="Q735" s="23">
        <v>2</v>
      </c>
      <c r="R735" s="23" t="s">
        <v>17</v>
      </c>
      <c r="S735" s="40">
        <f>(VLOOKUP(P735,'[1]BOM Info General'!$A:$L,12,0))*Q735</f>
        <v>5.3</v>
      </c>
      <c r="T735" s="24" t="s">
        <v>12</v>
      </c>
      <c r="U735" s="24">
        <v>1</v>
      </c>
      <c r="V735" s="24" t="s">
        <v>13</v>
      </c>
      <c r="W735" s="17">
        <f>(VLOOKUP(T735,'[1]Simulation pricing per sub assy'!$D:$E,2,0))*U735</f>
        <v>1.9</v>
      </c>
      <c r="X735" s="18" t="s">
        <v>615</v>
      </c>
      <c r="Y735" s="25">
        <v>1</v>
      </c>
      <c r="Z735" s="25" t="s">
        <v>9</v>
      </c>
      <c r="AA735" s="18">
        <f>(VLOOKUP(X735,'[1]Simulation pricing per sub assy'!$D:$E,2,0))*Y735</f>
        <v>1.5769808000000001</v>
      </c>
    </row>
    <row r="736" spans="1:27" x14ac:dyDescent="0.35">
      <c r="A736" s="13" t="s">
        <v>1689</v>
      </c>
      <c r="B736" s="13" t="s">
        <v>1690</v>
      </c>
      <c r="C736" s="42">
        <f t="shared" si="11"/>
        <v>120.0357808</v>
      </c>
      <c r="D736" s="20" t="s">
        <v>42</v>
      </c>
      <c r="E736" s="20">
        <v>1</v>
      </c>
      <c r="F736" s="20" t="s">
        <v>3982</v>
      </c>
      <c r="G736" s="14">
        <f>(VLOOKUP(D736,'[1]BOM Info General'!$A:$L,12,0))*E736</f>
        <v>35.56</v>
      </c>
      <c r="H736" s="21" t="s">
        <v>39</v>
      </c>
      <c r="I736" s="21">
        <v>1</v>
      </c>
      <c r="J736" s="21" t="s">
        <v>46</v>
      </c>
      <c r="K736" s="15">
        <f>(VLOOKUP(H736,'[1]BOM Info General'!$A:$L,12,0))*I736</f>
        <v>24.42</v>
      </c>
      <c r="L736" s="22" t="s">
        <v>74</v>
      </c>
      <c r="M736" s="22">
        <v>1</v>
      </c>
      <c r="N736" s="22" t="s">
        <v>77</v>
      </c>
      <c r="O736" s="9">
        <f>(VLOOKUP(L736,'[1]Simulation pricing per sub assy'!$D:$E,2,0))*M736</f>
        <v>51.27879999999999</v>
      </c>
      <c r="P736" s="23" t="s">
        <v>51</v>
      </c>
      <c r="Q736" s="23">
        <v>2</v>
      </c>
      <c r="R736" s="23" t="s">
        <v>17</v>
      </c>
      <c r="S736" s="40">
        <f>(VLOOKUP(P736,'[1]BOM Info General'!$A:$L,12,0))*Q736</f>
        <v>5.3</v>
      </c>
      <c r="T736" s="24" t="s">
        <v>12</v>
      </c>
      <c r="U736" s="24">
        <v>1</v>
      </c>
      <c r="V736" s="24" t="s">
        <v>13</v>
      </c>
      <c r="W736" s="17">
        <f>(VLOOKUP(T736,'[1]Simulation pricing per sub assy'!$D:$E,2,0))*U736</f>
        <v>1.9</v>
      </c>
      <c r="X736" s="18" t="s">
        <v>615</v>
      </c>
      <c r="Y736" s="25">
        <v>1</v>
      </c>
      <c r="Z736" s="25" t="s">
        <v>9</v>
      </c>
      <c r="AA736" s="18">
        <f>(VLOOKUP(X736,'[1]Simulation pricing per sub assy'!$D:$E,2,0))*Y736</f>
        <v>1.5769808000000001</v>
      </c>
    </row>
    <row r="737" spans="1:27" x14ac:dyDescent="0.35">
      <c r="A737" s="13" t="s">
        <v>1709</v>
      </c>
      <c r="B737" s="13" t="s">
        <v>1710</v>
      </c>
      <c r="C737" s="42">
        <f t="shared" si="11"/>
        <v>111.0657808</v>
      </c>
      <c r="D737" s="20" t="s">
        <v>42</v>
      </c>
      <c r="E737" s="20">
        <v>1</v>
      </c>
      <c r="F737" s="20" t="s">
        <v>3982</v>
      </c>
      <c r="G737" s="14">
        <f>(VLOOKUP(D737,'[1]BOM Info General'!$A:$L,12,0))*E737</f>
        <v>35.56</v>
      </c>
      <c r="H737" s="21" t="s">
        <v>39</v>
      </c>
      <c r="I737" s="21">
        <v>1</v>
      </c>
      <c r="J737" s="21" t="s">
        <v>46</v>
      </c>
      <c r="K737" s="15">
        <f>(VLOOKUP(H737,'[1]BOM Info General'!$A:$L,12,0))*I737</f>
        <v>24.42</v>
      </c>
      <c r="L737" s="22" t="s">
        <v>527</v>
      </c>
      <c r="M737" s="22">
        <v>1</v>
      </c>
      <c r="N737" s="22" t="s">
        <v>79</v>
      </c>
      <c r="O737" s="9">
        <f>(VLOOKUP(L737,'[1]Simulation pricing per sub assy'!$D:$E,2,0))*M737</f>
        <v>42.308799999999991</v>
      </c>
      <c r="P737" s="23" t="s">
        <v>51</v>
      </c>
      <c r="Q737" s="23">
        <v>2</v>
      </c>
      <c r="R737" s="23" t="s">
        <v>17</v>
      </c>
      <c r="S737" s="40">
        <f>(VLOOKUP(P737,'[1]BOM Info General'!$A:$L,12,0))*Q737</f>
        <v>5.3</v>
      </c>
      <c r="T737" s="24" t="s">
        <v>14</v>
      </c>
      <c r="U737" s="24">
        <v>1</v>
      </c>
      <c r="V737" s="24" t="s">
        <v>15</v>
      </c>
      <c r="W737" s="17">
        <f>(VLOOKUP(T737,'[1]Simulation pricing per sub assy'!$D:$E,2,0))*U737</f>
        <v>1.9</v>
      </c>
      <c r="X737" s="18" t="s">
        <v>615</v>
      </c>
      <c r="Y737" s="25">
        <v>1</v>
      </c>
      <c r="Z737" s="25" t="s">
        <v>9</v>
      </c>
      <c r="AA737" s="18">
        <f>(VLOOKUP(X737,'[1]Simulation pricing per sub assy'!$D:$E,2,0))*Y737</f>
        <v>1.5769808000000001</v>
      </c>
    </row>
    <row r="738" spans="1:27" x14ac:dyDescent="0.35">
      <c r="A738" s="13" t="s">
        <v>1637</v>
      </c>
      <c r="B738" s="13" t="s">
        <v>1638</v>
      </c>
      <c r="C738" s="42">
        <f t="shared" si="11"/>
        <v>112.0457808</v>
      </c>
      <c r="D738" s="20" t="s">
        <v>42</v>
      </c>
      <c r="E738" s="20">
        <v>1</v>
      </c>
      <c r="F738" s="20" t="s">
        <v>3982</v>
      </c>
      <c r="G738" s="14">
        <f>(VLOOKUP(D738,'[1]BOM Info General'!$A:$L,12,0))*E738</f>
        <v>35.56</v>
      </c>
      <c r="H738" s="21" t="s">
        <v>39</v>
      </c>
      <c r="I738" s="21">
        <v>1</v>
      </c>
      <c r="J738" s="21" t="s">
        <v>46</v>
      </c>
      <c r="K738" s="15">
        <f>(VLOOKUP(H738,'[1]BOM Info General'!$A:$L,12,0))*I738</f>
        <v>24.42</v>
      </c>
      <c r="L738" s="22" t="s">
        <v>76</v>
      </c>
      <c r="M738" s="22">
        <v>1</v>
      </c>
      <c r="N738" s="22" t="s">
        <v>73</v>
      </c>
      <c r="O738" s="9">
        <f>(VLOOKUP(L738,'[1]Simulation pricing per sub assy'!$D:$E,2,0))*M738</f>
        <v>43.288799999999988</v>
      </c>
      <c r="P738" s="23" t="s">
        <v>51</v>
      </c>
      <c r="Q738" s="23">
        <v>2</v>
      </c>
      <c r="R738" s="23" t="s">
        <v>17</v>
      </c>
      <c r="S738" s="40">
        <f>(VLOOKUP(P738,'[1]BOM Info General'!$A:$L,12,0))*Q738</f>
        <v>5.3</v>
      </c>
      <c r="T738" s="24" t="s">
        <v>14</v>
      </c>
      <c r="U738" s="24">
        <v>1</v>
      </c>
      <c r="V738" s="24" t="s">
        <v>15</v>
      </c>
      <c r="W738" s="17">
        <f>(VLOOKUP(T738,'[1]Simulation pricing per sub assy'!$D:$E,2,0))*U738</f>
        <v>1.9</v>
      </c>
      <c r="X738" s="18" t="s">
        <v>615</v>
      </c>
      <c r="Y738" s="25">
        <v>1</v>
      </c>
      <c r="Z738" s="25" t="s">
        <v>9</v>
      </c>
      <c r="AA738" s="18">
        <f>(VLOOKUP(X738,'[1]Simulation pricing per sub assy'!$D:$E,2,0))*Y738</f>
        <v>1.5769808000000001</v>
      </c>
    </row>
    <row r="739" spans="1:27" x14ac:dyDescent="0.35">
      <c r="A739" s="13" t="s">
        <v>1673</v>
      </c>
      <c r="B739" s="13" t="s">
        <v>1674</v>
      </c>
      <c r="C739" s="42">
        <f t="shared" si="11"/>
        <v>112.6257808</v>
      </c>
      <c r="D739" s="20" t="s">
        <v>42</v>
      </c>
      <c r="E739" s="20">
        <v>1</v>
      </c>
      <c r="F739" s="20" t="s">
        <v>3982</v>
      </c>
      <c r="G739" s="14">
        <f>(VLOOKUP(D739,'[1]BOM Info General'!$A:$L,12,0))*E739</f>
        <v>35.56</v>
      </c>
      <c r="H739" s="21" t="s">
        <v>39</v>
      </c>
      <c r="I739" s="21">
        <v>1</v>
      </c>
      <c r="J739" s="21" t="s">
        <v>46</v>
      </c>
      <c r="K739" s="15">
        <f>(VLOOKUP(H739,'[1]BOM Info General'!$A:$L,12,0))*I739</f>
        <v>24.42</v>
      </c>
      <c r="L739" s="22" t="s">
        <v>72</v>
      </c>
      <c r="M739" s="22">
        <v>1</v>
      </c>
      <c r="N739" s="22" t="s">
        <v>71</v>
      </c>
      <c r="O739" s="9">
        <f>(VLOOKUP(L739,'[1]Simulation pricing per sub assy'!$D:$E,2,0))*M739</f>
        <v>43.868799999999993</v>
      </c>
      <c r="P739" s="23" t="s">
        <v>51</v>
      </c>
      <c r="Q739" s="23">
        <v>2</v>
      </c>
      <c r="R739" s="23" t="s">
        <v>17</v>
      </c>
      <c r="S739" s="40">
        <f>(VLOOKUP(P739,'[1]BOM Info General'!$A:$L,12,0))*Q739</f>
        <v>5.3</v>
      </c>
      <c r="T739" s="24" t="s">
        <v>14</v>
      </c>
      <c r="U739" s="24">
        <v>1</v>
      </c>
      <c r="V739" s="24" t="s">
        <v>15</v>
      </c>
      <c r="W739" s="17">
        <f>(VLOOKUP(T739,'[1]Simulation pricing per sub assy'!$D:$E,2,0))*U739</f>
        <v>1.9</v>
      </c>
      <c r="X739" s="18" t="s">
        <v>615</v>
      </c>
      <c r="Y739" s="25">
        <v>1</v>
      </c>
      <c r="Z739" s="25" t="s">
        <v>9</v>
      </c>
      <c r="AA739" s="18">
        <f>(VLOOKUP(X739,'[1]Simulation pricing per sub assy'!$D:$E,2,0))*Y739</f>
        <v>1.5769808000000001</v>
      </c>
    </row>
    <row r="740" spans="1:27" x14ac:dyDescent="0.35">
      <c r="A740" s="13" t="s">
        <v>1655</v>
      </c>
      <c r="B740" s="13" t="s">
        <v>1656</v>
      </c>
      <c r="C740" s="42">
        <f t="shared" si="11"/>
        <v>112.3657808</v>
      </c>
      <c r="D740" s="20" t="s">
        <v>42</v>
      </c>
      <c r="E740" s="20">
        <v>1</v>
      </c>
      <c r="F740" s="20" t="s">
        <v>3982</v>
      </c>
      <c r="G740" s="14">
        <f>(VLOOKUP(D740,'[1]BOM Info General'!$A:$L,12,0))*E740</f>
        <v>35.56</v>
      </c>
      <c r="H740" s="21" t="s">
        <v>39</v>
      </c>
      <c r="I740" s="21">
        <v>1</v>
      </c>
      <c r="J740" s="21" t="s">
        <v>46</v>
      </c>
      <c r="K740" s="15">
        <f>(VLOOKUP(H740,'[1]BOM Info General'!$A:$L,12,0))*I740</f>
        <v>24.42</v>
      </c>
      <c r="L740" s="22" t="s">
        <v>78</v>
      </c>
      <c r="M740" s="22">
        <v>1</v>
      </c>
      <c r="N740" s="22" t="s">
        <v>75</v>
      </c>
      <c r="O740" s="9">
        <f>(VLOOKUP(L740,'[1]Simulation pricing per sub assy'!$D:$E,2,0))*M740</f>
        <v>43.608799999999988</v>
      </c>
      <c r="P740" s="23" t="s">
        <v>51</v>
      </c>
      <c r="Q740" s="23">
        <v>2</v>
      </c>
      <c r="R740" s="23" t="s">
        <v>17</v>
      </c>
      <c r="S740" s="40">
        <f>(VLOOKUP(P740,'[1]BOM Info General'!$A:$L,12,0))*Q740</f>
        <v>5.3</v>
      </c>
      <c r="T740" s="24" t="s">
        <v>14</v>
      </c>
      <c r="U740" s="24">
        <v>1</v>
      </c>
      <c r="V740" s="24" t="s">
        <v>15</v>
      </c>
      <c r="W740" s="17">
        <f>(VLOOKUP(T740,'[1]Simulation pricing per sub assy'!$D:$E,2,0))*U740</f>
        <v>1.9</v>
      </c>
      <c r="X740" s="18" t="s">
        <v>615</v>
      </c>
      <c r="Y740" s="25">
        <v>1</v>
      </c>
      <c r="Z740" s="25" t="s">
        <v>9</v>
      </c>
      <c r="AA740" s="18">
        <f>(VLOOKUP(X740,'[1]Simulation pricing per sub assy'!$D:$E,2,0))*Y740</f>
        <v>1.5769808000000001</v>
      </c>
    </row>
    <row r="741" spans="1:27" x14ac:dyDescent="0.35">
      <c r="A741" s="13" t="s">
        <v>1691</v>
      </c>
      <c r="B741" s="13" t="s">
        <v>1692</v>
      </c>
      <c r="C741" s="42">
        <f t="shared" si="11"/>
        <v>120.0357808</v>
      </c>
      <c r="D741" s="20" t="s">
        <v>42</v>
      </c>
      <c r="E741" s="20">
        <v>1</v>
      </c>
      <c r="F741" s="20" t="s">
        <v>3982</v>
      </c>
      <c r="G741" s="14">
        <f>(VLOOKUP(D741,'[1]BOM Info General'!$A:$L,12,0))*E741</f>
        <v>35.56</v>
      </c>
      <c r="H741" s="21" t="s">
        <v>39</v>
      </c>
      <c r="I741" s="21">
        <v>1</v>
      </c>
      <c r="J741" s="21" t="s">
        <v>46</v>
      </c>
      <c r="K741" s="15">
        <f>(VLOOKUP(H741,'[1]BOM Info General'!$A:$L,12,0))*I741</f>
        <v>24.42</v>
      </c>
      <c r="L741" s="22" t="s">
        <v>74</v>
      </c>
      <c r="M741" s="22">
        <v>1</v>
      </c>
      <c r="N741" s="22" t="s">
        <v>77</v>
      </c>
      <c r="O741" s="9">
        <f>(VLOOKUP(L741,'[1]Simulation pricing per sub assy'!$D:$E,2,0))*M741</f>
        <v>51.27879999999999</v>
      </c>
      <c r="P741" s="23" t="s">
        <v>51</v>
      </c>
      <c r="Q741" s="23">
        <v>2</v>
      </c>
      <c r="R741" s="23" t="s">
        <v>17</v>
      </c>
      <c r="S741" s="40">
        <f>(VLOOKUP(P741,'[1]BOM Info General'!$A:$L,12,0))*Q741</f>
        <v>5.3</v>
      </c>
      <c r="T741" s="24" t="s">
        <v>14</v>
      </c>
      <c r="U741" s="24">
        <v>1</v>
      </c>
      <c r="V741" s="24" t="s">
        <v>15</v>
      </c>
      <c r="W741" s="17">
        <f>(VLOOKUP(T741,'[1]Simulation pricing per sub assy'!$D:$E,2,0))*U741</f>
        <v>1.9</v>
      </c>
      <c r="X741" s="18" t="s">
        <v>615</v>
      </c>
      <c r="Y741" s="25">
        <v>1</v>
      </c>
      <c r="Z741" s="25" t="s">
        <v>9</v>
      </c>
      <c r="AA741" s="18">
        <f>(VLOOKUP(X741,'[1]Simulation pricing per sub assy'!$D:$E,2,0))*Y741</f>
        <v>1.5769808000000001</v>
      </c>
    </row>
    <row r="742" spans="1:27" x14ac:dyDescent="0.35">
      <c r="A742" s="13" t="s">
        <v>1711</v>
      </c>
      <c r="B742" s="13" t="s">
        <v>1712</v>
      </c>
      <c r="C742" s="42">
        <f t="shared" si="11"/>
        <v>111.21578079999999</v>
      </c>
      <c r="D742" s="20" t="s">
        <v>42</v>
      </c>
      <c r="E742" s="20">
        <v>1</v>
      </c>
      <c r="F742" s="20" t="s">
        <v>3982</v>
      </c>
      <c r="G742" s="14">
        <f>(VLOOKUP(D742,'[1]BOM Info General'!$A:$L,12,0))*E742</f>
        <v>35.56</v>
      </c>
      <c r="H742" s="21" t="s">
        <v>39</v>
      </c>
      <c r="I742" s="21">
        <v>1</v>
      </c>
      <c r="J742" s="21" t="s">
        <v>46</v>
      </c>
      <c r="K742" s="15">
        <f>(VLOOKUP(H742,'[1]BOM Info General'!$A:$L,12,0))*I742</f>
        <v>24.42</v>
      </c>
      <c r="L742" s="22" t="s">
        <v>527</v>
      </c>
      <c r="M742" s="22">
        <v>1</v>
      </c>
      <c r="N742" s="22" t="s">
        <v>79</v>
      </c>
      <c r="O742" s="9">
        <f>(VLOOKUP(L742,'[1]Simulation pricing per sub assy'!$D:$E,2,0))*M742</f>
        <v>42.308799999999991</v>
      </c>
      <c r="P742" s="23" t="s">
        <v>52</v>
      </c>
      <c r="Q742" s="23">
        <v>2</v>
      </c>
      <c r="R742" s="23" t="s">
        <v>18</v>
      </c>
      <c r="S742" s="40">
        <f>(VLOOKUP(P742,'[1]BOM Info General'!$A:$L,12,0))*Q742</f>
        <v>5.3</v>
      </c>
      <c r="T742" s="24" t="s">
        <v>10</v>
      </c>
      <c r="U742" s="24">
        <v>1</v>
      </c>
      <c r="V742" s="24" t="s">
        <v>11</v>
      </c>
      <c r="W742" s="17">
        <f>(VLOOKUP(T742,'[1]Simulation pricing per sub assy'!$D:$E,2,0))*U742</f>
        <v>2.0499999999999998</v>
      </c>
      <c r="X742" s="18" t="s">
        <v>615</v>
      </c>
      <c r="Y742" s="25">
        <v>1</v>
      </c>
      <c r="Z742" s="25" t="s">
        <v>9</v>
      </c>
      <c r="AA742" s="18">
        <f>(VLOOKUP(X742,'[1]Simulation pricing per sub assy'!$D:$E,2,0))*Y742</f>
        <v>1.5769808000000001</v>
      </c>
    </row>
    <row r="743" spans="1:27" x14ac:dyDescent="0.35">
      <c r="A743" s="13" t="s">
        <v>1639</v>
      </c>
      <c r="B743" s="13" t="s">
        <v>1640</v>
      </c>
      <c r="C743" s="42">
        <f t="shared" si="11"/>
        <v>112.19578079999999</v>
      </c>
      <c r="D743" s="20" t="s">
        <v>42</v>
      </c>
      <c r="E743" s="20">
        <v>1</v>
      </c>
      <c r="F743" s="20" t="s">
        <v>3982</v>
      </c>
      <c r="G743" s="14">
        <f>(VLOOKUP(D743,'[1]BOM Info General'!$A:$L,12,0))*E743</f>
        <v>35.56</v>
      </c>
      <c r="H743" s="21" t="s">
        <v>39</v>
      </c>
      <c r="I743" s="21">
        <v>1</v>
      </c>
      <c r="J743" s="21" t="s">
        <v>46</v>
      </c>
      <c r="K743" s="15">
        <f>(VLOOKUP(H743,'[1]BOM Info General'!$A:$L,12,0))*I743</f>
        <v>24.42</v>
      </c>
      <c r="L743" s="22" t="s">
        <v>76</v>
      </c>
      <c r="M743" s="22">
        <v>1</v>
      </c>
      <c r="N743" s="22" t="s">
        <v>73</v>
      </c>
      <c r="O743" s="9">
        <f>(VLOOKUP(L743,'[1]Simulation pricing per sub assy'!$D:$E,2,0))*M743</f>
        <v>43.288799999999988</v>
      </c>
      <c r="P743" s="23" t="s">
        <v>52</v>
      </c>
      <c r="Q743" s="23">
        <v>2</v>
      </c>
      <c r="R743" s="23" t="s">
        <v>18</v>
      </c>
      <c r="S743" s="40">
        <f>(VLOOKUP(P743,'[1]BOM Info General'!$A:$L,12,0))*Q743</f>
        <v>5.3</v>
      </c>
      <c r="T743" s="24" t="s">
        <v>10</v>
      </c>
      <c r="U743" s="24">
        <v>1</v>
      </c>
      <c r="V743" s="24" t="s">
        <v>11</v>
      </c>
      <c r="W743" s="17">
        <f>(VLOOKUP(T743,'[1]Simulation pricing per sub assy'!$D:$E,2,0))*U743</f>
        <v>2.0499999999999998</v>
      </c>
      <c r="X743" s="18" t="s">
        <v>615</v>
      </c>
      <c r="Y743" s="25">
        <v>1</v>
      </c>
      <c r="Z743" s="25" t="s">
        <v>9</v>
      </c>
      <c r="AA743" s="18">
        <f>(VLOOKUP(X743,'[1]Simulation pricing per sub assy'!$D:$E,2,0))*Y743</f>
        <v>1.5769808000000001</v>
      </c>
    </row>
    <row r="744" spans="1:27" x14ac:dyDescent="0.35">
      <c r="A744" s="13" t="s">
        <v>1675</v>
      </c>
      <c r="B744" s="13" t="s">
        <v>1676</v>
      </c>
      <c r="C744" s="42">
        <f t="shared" si="11"/>
        <v>112.77578079999999</v>
      </c>
      <c r="D744" s="20" t="s">
        <v>42</v>
      </c>
      <c r="E744" s="20">
        <v>1</v>
      </c>
      <c r="F744" s="20" t="s">
        <v>3982</v>
      </c>
      <c r="G744" s="14">
        <f>(VLOOKUP(D744,'[1]BOM Info General'!$A:$L,12,0))*E744</f>
        <v>35.56</v>
      </c>
      <c r="H744" s="21" t="s">
        <v>39</v>
      </c>
      <c r="I744" s="21">
        <v>1</v>
      </c>
      <c r="J744" s="21" t="s">
        <v>46</v>
      </c>
      <c r="K744" s="15">
        <f>(VLOOKUP(H744,'[1]BOM Info General'!$A:$L,12,0))*I744</f>
        <v>24.42</v>
      </c>
      <c r="L744" s="22" t="s">
        <v>72</v>
      </c>
      <c r="M744" s="22">
        <v>1</v>
      </c>
      <c r="N744" s="22" t="s">
        <v>71</v>
      </c>
      <c r="O744" s="9">
        <f>(VLOOKUP(L744,'[1]Simulation pricing per sub assy'!$D:$E,2,0))*M744</f>
        <v>43.868799999999993</v>
      </c>
      <c r="P744" s="23" t="s">
        <v>52</v>
      </c>
      <c r="Q744" s="23">
        <v>2</v>
      </c>
      <c r="R744" s="23" t="s">
        <v>18</v>
      </c>
      <c r="S744" s="40">
        <f>(VLOOKUP(P744,'[1]BOM Info General'!$A:$L,12,0))*Q744</f>
        <v>5.3</v>
      </c>
      <c r="T744" s="24" t="s">
        <v>10</v>
      </c>
      <c r="U744" s="24">
        <v>1</v>
      </c>
      <c r="V744" s="24" t="s">
        <v>11</v>
      </c>
      <c r="W744" s="17">
        <f>(VLOOKUP(T744,'[1]Simulation pricing per sub assy'!$D:$E,2,0))*U744</f>
        <v>2.0499999999999998</v>
      </c>
      <c r="X744" s="18" t="s">
        <v>615</v>
      </c>
      <c r="Y744" s="25">
        <v>1</v>
      </c>
      <c r="Z744" s="25" t="s">
        <v>9</v>
      </c>
      <c r="AA744" s="18">
        <f>(VLOOKUP(X744,'[1]Simulation pricing per sub assy'!$D:$E,2,0))*Y744</f>
        <v>1.5769808000000001</v>
      </c>
    </row>
    <row r="745" spans="1:27" x14ac:dyDescent="0.35">
      <c r="A745" s="13" t="s">
        <v>1657</v>
      </c>
      <c r="B745" s="13" t="s">
        <v>1658</v>
      </c>
      <c r="C745" s="42">
        <f t="shared" si="11"/>
        <v>112.51578079999999</v>
      </c>
      <c r="D745" s="20" t="s">
        <v>42</v>
      </c>
      <c r="E745" s="20">
        <v>1</v>
      </c>
      <c r="F745" s="20" t="s">
        <v>3982</v>
      </c>
      <c r="G745" s="14">
        <f>(VLOOKUP(D745,'[1]BOM Info General'!$A:$L,12,0))*E745</f>
        <v>35.56</v>
      </c>
      <c r="H745" s="21" t="s">
        <v>39</v>
      </c>
      <c r="I745" s="21">
        <v>1</v>
      </c>
      <c r="J745" s="21" t="s">
        <v>46</v>
      </c>
      <c r="K745" s="15">
        <f>(VLOOKUP(H745,'[1]BOM Info General'!$A:$L,12,0))*I745</f>
        <v>24.42</v>
      </c>
      <c r="L745" s="22" t="s">
        <v>78</v>
      </c>
      <c r="M745" s="22">
        <v>1</v>
      </c>
      <c r="N745" s="22" t="s">
        <v>75</v>
      </c>
      <c r="O745" s="9">
        <f>(VLOOKUP(L745,'[1]Simulation pricing per sub assy'!$D:$E,2,0))*M745</f>
        <v>43.608799999999988</v>
      </c>
      <c r="P745" s="23" t="s">
        <v>52</v>
      </c>
      <c r="Q745" s="23">
        <v>2</v>
      </c>
      <c r="R745" s="23" t="s">
        <v>18</v>
      </c>
      <c r="S745" s="40">
        <f>(VLOOKUP(P745,'[1]BOM Info General'!$A:$L,12,0))*Q745</f>
        <v>5.3</v>
      </c>
      <c r="T745" s="24" t="s">
        <v>10</v>
      </c>
      <c r="U745" s="24">
        <v>1</v>
      </c>
      <c r="V745" s="24" t="s">
        <v>11</v>
      </c>
      <c r="W745" s="17">
        <f>(VLOOKUP(T745,'[1]Simulation pricing per sub assy'!$D:$E,2,0))*U745</f>
        <v>2.0499999999999998</v>
      </c>
      <c r="X745" s="18" t="s">
        <v>615</v>
      </c>
      <c r="Y745" s="25">
        <v>1</v>
      </c>
      <c r="Z745" s="25" t="s">
        <v>9</v>
      </c>
      <c r="AA745" s="18">
        <f>(VLOOKUP(X745,'[1]Simulation pricing per sub assy'!$D:$E,2,0))*Y745</f>
        <v>1.5769808000000001</v>
      </c>
    </row>
    <row r="746" spans="1:27" x14ac:dyDescent="0.35">
      <c r="A746" s="13" t="s">
        <v>1693</v>
      </c>
      <c r="B746" s="13" t="s">
        <v>1694</v>
      </c>
      <c r="C746" s="42">
        <f t="shared" si="11"/>
        <v>120.18578079999999</v>
      </c>
      <c r="D746" s="20" t="s">
        <v>42</v>
      </c>
      <c r="E746" s="20">
        <v>1</v>
      </c>
      <c r="F746" s="20" t="s">
        <v>3982</v>
      </c>
      <c r="G746" s="14">
        <f>(VLOOKUP(D746,'[1]BOM Info General'!$A:$L,12,0))*E746</f>
        <v>35.56</v>
      </c>
      <c r="H746" s="21" t="s">
        <v>39</v>
      </c>
      <c r="I746" s="21">
        <v>1</v>
      </c>
      <c r="J746" s="21" t="s">
        <v>46</v>
      </c>
      <c r="K746" s="15">
        <f>(VLOOKUP(H746,'[1]BOM Info General'!$A:$L,12,0))*I746</f>
        <v>24.42</v>
      </c>
      <c r="L746" s="22" t="s">
        <v>74</v>
      </c>
      <c r="M746" s="22">
        <v>1</v>
      </c>
      <c r="N746" s="22" t="s">
        <v>77</v>
      </c>
      <c r="O746" s="9">
        <f>(VLOOKUP(L746,'[1]Simulation pricing per sub assy'!$D:$E,2,0))*M746</f>
        <v>51.27879999999999</v>
      </c>
      <c r="P746" s="23" t="s">
        <v>52</v>
      </c>
      <c r="Q746" s="23">
        <v>2</v>
      </c>
      <c r="R746" s="23" t="s">
        <v>18</v>
      </c>
      <c r="S746" s="40">
        <f>(VLOOKUP(P746,'[1]BOM Info General'!$A:$L,12,0))*Q746</f>
        <v>5.3</v>
      </c>
      <c r="T746" s="24" t="s">
        <v>10</v>
      </c>
      <c r="U746" s="24">
        <v>1</v>
      </c>
      <c r="V746" s="24" t="s">
        <v>11</v>
      </c>
      <c r="W746" s="17">
        <f>(VLOOKUP(T746,'[1]Simulation pricing per sub assy'!$D:$E,2,0))*U746</f>
        <v>2.0499999999999998</v>
      </c>
      <c r="X746" s="18" t="s">
        <v>615</v>
      </c>
      <c r="Y746" s="25">
        <v>1</v>
      </c>
      <c r="Z746" s="25" t="s">
        <v>9</v>
      </c>
      <c r="AA746" s="18">
        <f>(VLOOKUP(X746,'[1]Simulation pricing per sub assy'!$D:$E,2,0))*Y746</f>
        <v>1.5769808000000001</v>
      </c>
    </row>
    <row r="747" spans="1:27" x14ac:dyDescent="0.35">
      <c r="A747" s="13" t="s">
        <v>1713</v>
      </c>
      <c r="B747" s="13" t="s">
        <v>1714</v>
      </c>
      <c r="C747" s="42">
        <f t="shared" si="11"/>
        <v>111.0657808</v>
      </c>
      <c r="D747" s="20" t="s">
        <v>42</v>
      </c>
      <c r="E747" s="20">
        <v>1</v>
      </c>
      <c r="F747" s="20" t="s">
        <v>3982</v>
      </c>
      <c r="G747" s="14">
        <f>(VLOOKUP(D747,'[1]BOM Info General'!$A:$L,12,0))*E747</f>
        <v>35.56</v>
      </c>
      <c r="H747" s="21" t="s">
        <v>39</v>
      </c>
      <c r="I747" s="21">
        <v>1</v>
      </c>
      <c r="J747" s="21" t="s">
        <v>46</v>
      </c>
      <c r="K747" s="15">
        <f>(VLOOKUP(H747,'[1]BOM Info General'!$A:$L,12,0))*I747</f>
        <v>24.42</v>
      </c>
      <c r="L747" s="22" t="s">
        <v>527</v>
      </c>
      <c r="M747" s="22">
        <v>1</v>
      </c>
      <c r="N747" s="22" t="s">
        <v>79</v>
      </c>
      <c r="O747" s="9">
        <f>(VLOOKUP(L747,'[1]Simulation pricing per sub assy'!$D:$E,2,0))*M747</f>
        <v>42.308799999999991</v>
      </c>
      <c r="P747" s="23" t="s">
        <v>52</v>
      </c>
      <c r="Q747" s="23">
        <v>2</v>
      </c>
      <c r="R747" s="23" t="s">
        <v>18</v>
      </c>
      <c r="S747" s="40">
        <f>(VLOOKUP(P747,'[1]BOM Info General'!$A:$L,12,0))*Q747</f>
        <v>5.3</v>
      </c>
      <c r="T747" s="24" t="s">
        <v>12</v>
      </c>
      <c r="U747" s="24">
        <v>1</v>
      </c>
      <c r="V747" s="24" t="s">
        <v>13</v>
      </c>
      <c r="W747" s="17">
        <f>(VLOOKUP(T747,'[1]Simulation pricing per sub assy'!$D:$E,2,0))*U747</f>
        <v>1.9</v>
      </c>
      <c r="X747" s="18" t="s">
        <v>615</v>
      </c>
      <c r="Y747" s="25">
        <v>1</v>
      </c>
      <c r="Z747" s="25" t="s">
        <v>9</v>
      </c>
      <c r="AA747" s="18">
        <f>(VLOOKUP(X747,'[1]Simulation pricing per sub assy'!$D:$E,2,0))*Y747</f>
        <v>1.5769808000000001</v>
      </c>
    </row>
    <row r="748" spans="1:27" x14ac:dyDescent="0.35">
      <c r="A748" s="13" t="s">
        <v>1641</v>
      </c>
      <c r="B748" s="13" t="s">
        <v>1642</v>
      </c>
      <c r="C748" s="42">
        <f t="shared" si="11"/>
        <v>112.0457808</v>
      </c>
      <c r="D748" s="20" t="s">
        <v>42</v>
      </c>
      <c r="E748" s="20">
        <v>1</v>
      </c>
      <c r="F748" s="20" t="s">
        <v>3982</v>
      </c>
      <c r="G748" s="14">
        <f>(VLOOKUP(D748,'[1]BOM Info General'!$A:$L,12,0))*E748</f>
        <v>35.56</v>
      </c>
      <c r="H748" s="21" t="s">
        <v>39</v>
      </c>
      <c r="I748" s="21">
        <v>1</v>
      </c>
      <c r="J748" s="21" t="s">
        <v>46</v>
      </c>
      <c r="K748" s="15">
        <f>(VLOOKUP(H748,'[1]BOM Info General'!$A:$L,12,0))*I748</f>
        <v>24.42</v>
      </c>
      <c r="L748" s="22" t="s">
        <v>76</v>
      </c>
      <c r="M748" s="22">
        <v>1</v>
      </c>
      <c r="N748" s="22" t="s">
        <v>73</v>
      </c>
      <c r="O748" s="9">
        <f>(VLOOKUP(L748,'[1]Simulation pricing per sub assy'!$D:$E,2,0))*M748</f>
        <v>43.288799999999988</v>
      </c>
      <c r="P748" s="23" t="s">
        <v>52</v>
      </c>
      <c r="Q748" s="23">
        <v>2</v>
      </c>
      <c r="R748" s="23" t="s">
        <v>18</v>
      </c>
      <c r="S748" s="40">
        <f>(VLOOKUP(P748,'[1]BOM Info General'!$A:$L,12,0))*Q748</f>
        <v>5.3</v>
      </c>
      <c r="T748" s="24" t="s">
        <v>12</v>
      </c>
      <c r="U748" s="24">
        <v>1</v>
      </c>
      <c r="V748" s="24" t="s">
        <v>13</v>
      </c>
      <c r="W748" s="17">
        <f>(VLOOKUP(T748,'[1]Simulation pricing per sub assy'!$D:$E,2,0))*U748</f>
        <v>1.9</v>
      </c>
      <c r="X748" s="18" t="s">
        <v>615</v>
      </c>
      <c r="Y748" s="25">
        <v>1</v>
      </c>
      <c r="Z748" s="25" t="s">
        <v>9</v>
      </c>
      <c r="AA748" s="18">
        <f>(VLOOKUP(X748,'[1]Simulation pricing per sub assy'!$D:$E,2,0))*Y748</f>
        <v>1.5769808000000001</v>
      </c>
    </row>
    <row r="749" spans="1:27" x14ac:dyDescent="0.35">
      <c r="A749" s="13" t="s">
        <v>1677</v>
      </c>
      <c r="B749" s="13" t="s">
        <v>1678</v>
      </c>
      <c r="C749" s="42">
        <f t="shared" si="11"/>
        <v>112.6257808</v>
      </c>
      <c r="D749" s="20" t="s">
        <v>42</v>
      </c>
      <c r="E749" s="20">
        <v>1</v>
      </c>
      <c r="F749" s="20" t="s">
        <v>3982</v>
      </c>
      <c r="G749" s="14">
        <f>(VLOOKUP(D749,'[1]BOM Info General'!$A:$L,12,0))*E749</f>
        <v>35.56</v>
      </c>
      <c r="H749" s="21" t="s">
        <v>39</v>
      </c>
      <c r="I749" s="21">
        <v>1</v>
      </c>
      <c r="J749" s="21" t="s">
        <v>46</v>
      </c>
      <c r="K749" s="15">
        <f>(VLOOKUP(H749,'[1]BOM Info General'!$A:$L,12,0))*I749</f>
        <v>24.42</v>
      </c>
      <c r="L749" s="22" t="s">
        <v>72</v>
      </c>
      <c r="M749" s="22">
        <v>1</v>
      </c>
      <c r="N749" s="22" t="s">
        <v>71</v>
      </c>
      <c r="O749" s="9">
        <f>(VLOOKUP(L749,'[1]Simulation pricing per sub assy'!$D:$E,2,0))*M749</f>
        <v>43.868799999999993</v>
      </c>
      <c r="P749" s="23" t="s">
        <v>52</v>
      </c>
      <c r="Q749" s="23">
        <v>2</v>
      </c>
      <c r="R749" s="23" t="s">
        <v>18</v>
      </c>
      <c r="S749" s="40">
        <f>(VLOOKUP(P749,'[1]BOM Info General'!$A:$L,12,0))*Q749</f>
        <v>5.3</v>
      </c>
      <c r="T749" s="24" t="s">
        <v>12</v>
      </c>
      <c r="U749" s="24">
        <v>1</v>
      </c>
      <c r="V749" s="24" t="s">
        <v>13</v>
      </c>
      <c r="W749" s="17">
        <f>(VLOOKUP(T749,'[1]Simulation pricing per sub assy'!$D:$E,2,0))*U749</f>
        <v>1.9</v>
      </c>
      <c r="X749" s="18" t="s">
        <v>615</v>
      </c>
      <c r="Y749" s="25">
        <v>1</v>
      </c>
      <c r="Z749" s="25" t="s">
        <v>9</v>
      </c>
      <c r="AA749" s="18">
        <f>(VLOOKUP(X749,'[1]Simulation pricing per sub assy'!$D:$E,2,0))*Y749</f>
        <v>1.5769808000000001</v>
      </c>
    </row>
    <row r="750" spans="1:27" x14ac:dyDescent="0.35">
      <c r="A750" s="13" t="s">
        <v>1659</v>
      </c>
      <c r="B750" s="13" t="s">
        <v>1660</v>
      </c>
      <c r="C750" s="42">
        <f t="shared" si="11"/>
        <v>112.3657808</v>
      </c>
      <c r="D750" s="20" t="s">
        <v>42</v>
      </c>
      <c r="E750" s="20">
        <v>1</v>
      </c>
      <c r="F750" s="20" t="s">
        <v>3982</v>
      </c>
      <c r="G750" s="14">
        <f>(VLOOKUP(D750,'[1]BOM Info General'!$A:$L,12,0))*E750</f>
        <v>35.56</v>
      </c>
      <c r="H750" s="21" t="s">
        <v>39</v>
      </c>
      <c r="I750" s="21">
        <v>1</v>
      </c>
      <c r="J750" s="21" t="s">
        <v>46</v>
      </c>
      <c r="K750" s="15">
        <f>(VLOOKUP(H750,'[1]BOM Info General'!$A:$L,12,0))*I750</f>
        <v>24.42</v>
      </c>
      <c r="L750" s="22" t="s">
        <v>78</v>
      </c>
      <c r="M750" s="22">
        <v>1</v>
      </c>
      <c r="N750" s="22" t="s">
        <v>75</v>
      </c>
      <c r="O750" s="9">
        <f>(VLOOKUP(L750,'[1]Simulation pricing per sub assy'!$D:$E,2,0))*M750</f>
        <v>43.608799999999988</v>
      </c>
      <c r="P750" s="23" t="s">
        <v>52</v>
      </c>
      <c r="Q750" s="23">
        <v>2</v>
      </c>
      <c r="R750" s="23" t="s">
        <v>18</v>
      </c>
      <c r="S750" s="40">
        <f>(VLOOKUP(P750,'[1]BOM Info General'!$A:$L,12,0))*Q750</f>
        <v>5.3</v>
      </c>
      <c r="T750" s="24" t="s">
        <v>12</v>
      </c>
      <c r="U750" s="24">
        <v>1</v>
      </c>
      <c r="V750" s="24" t="s">
        <v>13</v>
      </c>
      <c r="W750" s="17">
        <f>(VLOOKUP(T750,'[1]Simulation pricing per sub assy'!$D:$E,2,0))*U750</f>
        <v>1.9</v>
      </c>
      <c r="X750" s="18" t="s">
        <v>615</v>
      </c>
      <c r="Y750" s="25">
        <v>1</v>
      </c>
      <c r="Z750" s="25" t="s">
        <v>9</v>
      </c>
      <c r="AA750" s="18">
        <f>(VLOOKUP(X750,'[1]Simulation pricing per sub assy'!$D:$E,2,0))*Y750</f>
        <v>1.5769808000000001</v>
      </c>
    </row>
    <row r="751" spans="1:27" x14ac:dyDescent="0.35">
      <c r="A751" s="13" t="s">
        <v>1695</v>
      </c>
      <c r="B751" s="13" t="s">
        <v>1696</v>
      </c>
      <c r="C751" s="42">
        <f t="shared" si="11"/>
        <v>120.0357808</v>
      </c>
      <c r="D751" s="20" t="s">
        <v>42</v>
      </c>
      <c r="E751" s="20">
        <v>1</v>
      </c>
      <c r="F751" s="20" t="s">
        <v>3982</v>
      </c>
      <c r="G751" s="14">
        <f>(VLOOKUP(D751,'[1]BOM Info General'!$A:$L,12,0))*E751</f>
        <v>35.56</v>
      </c>
      <c r="H751" s="21" t="s">
        <v>39</v>
      </c>
      <c r="I751" s="21">
        <v>1</v>
      </c>
      <c r="J751" s="21" t="s">
        <v>46</v>
      </c>
      <c r="K751" s="15">
        <f>(VLOOKUP(H751,'[1]BOM Info General'!$A:$L,12,0))*I751</f>
        <v>24.42</v>
      </c>
      <c r="L751" s="22" t="s">
        <v>74</v>
      </c>
      <c r="M751" s="22">
        <v>1</v>
      </c>
      <c r="N751" s="22" t="s">
        <v>77</v>
      </c>
      <c r="O751" s="9">
        <f>(VLOOKUP(L751,'[1]Simulation pricing per sub assy'!$D:$E,2,0))*M751</f>
        <v>51.27879999999999</v>
      </c>
      <c r="P751" s="23" t="s">
        <v>52</v>
      </c>
      <c r="Q751" s="23">
        <v>2</v>
      </c>
      <c r="R751" s="23" t="s">
        <v>18</v>
      </c>
      <c r="S751" s="40">
        <f>(VLOOKUP(P751,'[1]BOM Info General'!$A:$L,12,0))*Q751</f>
        <v>5.3</v>
      </c>
      <c r="T751" s="24" t="s">
        <v>12</v>
      </c>
      <c r="U751" s="24">
        <v>1</v>
      </c>
      <c r="V751" s="24" t="s">
        <v>13</v>
      </c>
      <c r="W751" s="17">
        <f>(VLOOKUP(T751,'[1]Simulation pricing per sub assy'!$D:$E,2,0))*U751</f>
        <v>1.9</v>
      </c>
      <c r="X751" s="18" t="s">
        <v>615</v>
      </c>
      <c r="Y751" s="25">
        <v>1</v>
      </c>
      <c r="Z751" s="25" t="s">
        <v>9</v>
      </c>
      <c r="AA751" s="18">
        <f>(VLOOKUP(X751,'[1]Simulation pricing per sub assy'!$D:$E,2,0))*Y751</f>
        <v>1.5769808000000001</v>
      </c>
    </row>
    <row r="752" spans="1:27" x14ac:dyDescent="0.35">
      <c r="A752" s="13" t="s">
        <v>1715</v>
      </c>
      <c r="B752" s="13" t="s">
        <v>1716</v>
      </c>
      <c r="C752" s="42">
        <f t="shared" si="11"/>
        <v>111.0657808</v>
      </c>
      <c r="D752" s="20" t="s">
        <v>42</v>
      </c>
      <c r="E752" s="20">
        <v>1</v>
      </c>
      <c r="F752" s="20" t="s">
        <v>3982</v>
      </c>
      <c r="G752" s="14">
        <f>(VLOOKUP(D752,'[1]BOM Info General'!$A:$L,12,0))*E752</f>
        <v>35.56</v>
      </c>
      <c r="H752" s="21" t="s">
        <v>39</v>
      </c>
      <c r="I752" s="21">
        <v>1</v>
      </c>
      <c r="J752" s="21" t="s">
        <v>46</v>
      </c>
      <c r="K752" s="15">
        <f>(VLOOKUP(H752,'[1]BOM Info General'!$A:$L,12,0))*I752</f>
        <v>24.42</v>
      </c>
      <c r="L752" s="22" t="s">
        <v>527</v>
      </c>
      <c r="M752" s="22">
        <v>1</v>
      </c>
      <c r="N752" s="22" t="s">
        <v>79</v>
      </c>
      <c r="O752" s="9">
        <f>(VLOOKUP(L752,'[1]Simulation pricing per sub assy'!$D:$E,2,0))*M752</f>
        <v>42.308799999999991</v>
      </c>
      <c r="P752" s="23" t="s">
        <v>52</v>
      </c>
      <c r="Q752" s="23">
        <v>2</v>
      </c>
      <c r="R752" s="23" t="s">
        <v>18</v>
      </c>
      <c r="S752" s="40">
        <f>(VLOOKUP(P752,'[1]BOM Info General'!$A:$L,12,0))*Q752</f>
        <v>5.3</v>
      </c>
      <c r="T752" s="24" t="s">
        <v>14</v>
      </c>
      <c r="U752" s="24">
        <v>1</v>
      </c>
      <c r="V752" s="24" t="s">
        <v>15</v>
      </c>
      <c r="W752" s="17">
        <f>(VLOOKUP(T752,'[1]Simulation pricing per sub assy'!$D:$E,2,0))*U752</f>
        <v>1.9</v>
      </c>
      <c r="X752" s="18" t="s">
        <v>615</v>
      </c>
      <c r="Y752" s="25">
        <v>1</v>
      </c>
      <c r="Z752" s="25" t="s">
        <v>9</v>
      </c>
      <c r="AA752" s="18">
        <f>(VLOOKUP(X752,'[1]Simulation pricing per sub assy'!$D:$E,2,0))*Y752</f>
        <v>1.5769808000000001</v>
      </c>
    </row>
    <row r="753" spans="1:27" x14ac:dyDescent="0.35">
      <c r="A753" s="13" t="s">
        <v>1643</v>
      </c>
      <c r="B753" s="13" t="s">
        <v>1644</v>
      </c>
      <c r="C753" s="42">
        <f t="shared" si="11"/>
        <v>112.0457808</v>
      </c>
      <c r="D753" s="20" t="s">
        <v>42</v>
      </c>
      <c r="E753" s="20">
        <v>1</v>
      </c>
      <c r="F753" s="20" t="s">
        <v>3982</v>
      </c>
      <c r="G753" s="14">
        <f>(VLOOKUP(D753,'[1]BOM Info General'!$A:$L,12,0))*E753</f>
        <v>35.56</v>
      </c>
      <c r="H753" s="21" t="s">
        <v>39</v>
      </c>
      <c r="I753" s="21">
        <v>1</v>
      </c>
      <c r="J753" s="21" t="s">
        <v>46</v>
      </c>
      <c r="K753" s="15">
        <f>(VLOOKUP(H753,'[1]BOM Info General'!$A:$L,12,0))*I753</f>
        <v>24.42</v>
      </c>
      <c r="L753" s="22" t="s">
        <v>76</v>
      </c>
      <c r="M753" s="22">
        <v>1</v>
      </c>
      <c r="N753" s="22" t="s">
        <v>73</v>
      </c>
      <c r="O753" s="9">
        <f>(VLOOKUP(L753,'[1]Simulation pricing per sub assy'!$D:$E,2,0))*M753</f>
        <v>43.288799999999988</v>
      </c>
      <c r="P753" s="23" t="s">
        <v>52</v>
      </c>
      <c r="Q753" s="23">
        <v>2</v>
      </c>
      <c r="R753" s="23" t="s">
        <v>18</v>
      </c>
      <c r="S753" s="40">
        <f>(VLOOKUP(P753,'[1]BOM Info General'!$A:$L,12,0))*Q753</f>
        <v>5.3</v>
      </c>
      <c r="T753" s="24" t="s">
        <v>14</v>
      </c>
      <c r="U753" s="24">
        <v>1</v>
      </c>
      <c r="V753" s="24" t="s">
        <v>15</v>
      </c>
      <c r="W753" s="17">
        <f>(VLOOKUP(T753,'[1]Simulation pricing per sub assy'!$D:$E,2,0))*U753</f>
        <v>1.9</v>
      </c>
      <c r="X753" s="18" t="s">
        <v>615</v>
      </c>
      <c r="Y753" s="25">
        <v>1</v>
      </c>
      <c r="Z753" s="25" t="s">
        <v>9</v>
      </c>
      <c r="AA753" s="18">
        <f>(VLOOKUP(X753,'[1]Simulation pricing per sub assy'!$D:$E,2,0))*Y753</f>
        <v>1.5769808000000001</v>
      </c>
    </row>
    <row r="754" spans="1:27" x14ac:dyDescent="0.35">
      <c r="A754" s="13" t="s">
        <v>1679</v>
      </c>
      <c r="B754" s="13" t="s">
        <v>1680</v>
      </c>
      <c r="C754" s="42">
        <f t="shared" si="11"/>
        <v>112.6257808</v>
      </c>
      <c r="D754" s="20" t="s">
        <v>42</v>
      </c>
      <c r="E754" s="20">
        <v>1</v>
      </c>
      <c r="F754" s="20" t="s">
        <v>3982</v>
      </c>
      <c r="G754" s="14">
        <f>(VLOOKUP(D754,'[1]BOM Info General'!$A:$L,12,0))*E754</f>
        <v>35.56</v>
      </c>
      <c r="H754" s="21" t="s">
        <v>39</v>
      </c>
      <c r="I754" s="21">
        <v>1</v>
      </c>
      <c r="J754" s="21" t="s">
        <v>46</v>
      </c>
      <c r="K754" s="15">
        <f>(VLOOKUP(H754,'[1]BOM Info General'!$A:$L,12,0))*I754</f>
        <v>24.42</v>
      </c>
      <c r="L754" s="22" t="s">
        <v>72</v>
      </c>
      <c r="M754" s="22">
        <v>1</v>
      </c>
      <c r="N754" s="22" t="s">
        <v>71</v>
      </c>
      <c r="O754" s="9">
        <f>(VLOOKUP(L754,'[1]Simulation pricing per sub assy'!$D:$E,2,0))*M754</f>
        <v>43.868799999999993</v>
      </c>
      <c r="P754" s="23" t="s">
        <v>52</v>
      </c>
      <c r="Q754" s="23">
        <v>2</v>
      </c>
      <c r="R754" s="23" t="s">
        <v>18</v>
      </c>
      <c r="S754" s="40">
        <f>(VLOOKUP(P754,'[1]BOM Info General'!$A:$L,12,0))*Q754</f>
        <v>5.3</v>
      </c>
      <c r="T754" s="24" t="s">
        <v>14</v>
      </c>
      <c r="U754" s="24">
        <v>1</v>
      </c>
      <c r="V754" s="24" t="s">
        <v>15</v>
      </c>
      <c r="W754" s="17">
        <f>(VLOOKUP(T754,'[1]Simulation pricing per sub assy'!$D:$E,2,0))*U754</f>
        <v>1.9</v>
      </c>
      <c r="X754" s="18" t="s">
        <v>615</v>
      </c>
      <c r="Y754" s="25">
        <v>1</v>
      </c>
      <c r="Z754" s="25" t="s">
        <v>9</v>
      </c>
      <c r="AA754" s="18">
        <f>(VLOOKUP(X754,'[1]Simulation pricing per sub assy'!$D:$E,2,0))*Y754</f>
        <v>1.5769808000000001</v>
      </c>
    </row>
    <row r="755" spans="1:27" x14ac:dyDescent="0.35">
      <c r="A755" s="13" t="s">
        <v>1661</v>
      </c>
      <c r="B755" s="13" t="s">
        <v>1662</v>
      </c>
      <c r="C755" s="42">
        <f t="shared" si="11"/>
        <v>112.3657808</v>
      </c>
      <c r="D755" s="20" t="s">
        <v>42</v>
      </c>
      <c r="E755" s="20">
        <v>1</v>
      </c>
      <c r="F755" s="20" t="s">
        <v>3982</v>
      </c>
      <c r="G755" s="14">
        <f>(VLOOKUP(D755,'[1]BOM Info General'!$A:$L,12,0))*E755</f>
        <v>35.56</v>
      </c>
      <c r="H755" s="21" t="s">
        <v>39</v>
      </c>
      <c r="I755" s="21">
        <v>1</v>
      </c>
      <c r="J755" s="21" t="s">
        <v>46</v>
      </c>
      <c r="K755" s="15">
        <f>(VLOOKUP(H755,'[1]BOM Info General'!$A:$L,12,0))*I755</f>
        <v>24.42</v>
      </c>
      <c r="L755" s="22" t="s">
        <v>78</v>
      </c>
      <c r="M755" s="22">
        <v>1</v>
      </c>
      <c r="N755" s="22" t="s">
        <v>75</v>
      </c>
      <c r="O755" s="9">
        <f>(VLOOKUP(L755,'[1]Simulation pricing per sub assy'!$D:$E,2,0))*M755</f>
        <v>43.608799999999988</v>
      </c>
      <c r="P755" s="23" t="s">
        <v>52</v>
      </c>
      <c r="Q755" s="23">
        <v>2</v>
      </c>
      <c r="R755" s="23" t="s">
        <v>18</v>
      </c>
      <c r="S755" s="40">
        <f>(VLOOKUP(P755,'[1]BOM Info General'!$A:$L,12,0))*Q755</f>
        <v>5.3</v>
      </c>
      <c r="T755" s="24" t="s">
        <v>14</v>
      </c>
      <c r="U755" s="24">
        <v>1</v>
      </c>
      <c r="V755" s="24" t="s">
        <v>15</v>
      </c>
      <c r="W755" s="17">
        <f>(VLOOKUP(T755,'[1]Simulation pricing per sub assy'!$D:$E,2,0))*U755</f>
        <v>1.9</v>
      </c>
      <c r="X755" s="18" t="s">
        <v>615</v>
      </c>
      <c r="Y755" s="25">
        <v>1</v>
      </c>
      <c r="Z755" s="25" t="s">
        <v>9</v>
      </c>
      <c r="AA755" s="18">
        <f>(VLOOKUP(X755,'[1]Simulation pricing per sub assy'!$D:$E,2,0))*Y755</f>
        <v>1.5769808000000001</v>
      </c>
    </row>
    <row r="756" spans="1:27" x14ac:dyDescent="0.35">
      <c r="A756" s="13" t="s">
        <v>1697</v>
      </c>
      <c r="B756" s="13" t="s">
        <v>1698</v>
      </c>
      <c r="C756" s="42">
        <f t="shared" si="11"/>
        <v>120.0357808</v>
      </c>
      <c r="D756" s="20" t="s">
        <v>42</v>
      </c>
      <c r="E756" s="20">
        <v>1</v>
      </c>
      <c r="F756" s="20" t="s">
        <v>3982</v>
      </c>
      <c r="G756" s="14">
        <f>(VLOOKUP(D756,'[1]BOM Info General'!$A:$L,12,0))*E756</f>
        <v>35.56</v>
      </c>
      <c r="H756" s="21" t="s">
        <v>39</v>
      </c>
      <c r="I756" s="21">
        <v>1</v>
      </c>
      <c r="J756" s="21" t="s">
        <v>46</v>
      </c>
      <c r="K756" s="15">
        <f>(VLOOKUP(H756,'[1]BOM Info General'!$A:$L,12,0))*I756</f>
        <v>24.42</v>
      </c>
      <c r="L756" s="22" t="s">
        <v>74</v>
      </c>
      <c r="M756" s="22">
        <v>1</v>
      </c>
      <c r="N756" s="22" t="s">
        <v>77</v>
      </c>
      <c r="O756" s="9">
        <f>(VLOOKUP(L756,'[1]Simulation pricing per sub assy'!$D:$E,2,0))*M756</f>
        <v>51.27879999999999</v>
      </c>
      <c r="P756" s="23" t="s">
        <v>52</v>
      </c>
      <c r="Q756" s="23">
        <v>2</v>
      </c>
      <c r="R756" s="23" t="s">
        <v>18</v>
      </c>
      <c r="S756" s="40">
        <f>(VLOOKUP(P756,'[1]BOM Info General'!$A:$L,12,0))*Q756</f>
        <v>5.3</v>
      </c>
      <c r="T756" s="24" t="s">
        <v>14</v>
      </c>
      <c r="U756" s="24">
        <v>1</v>
      </c>
      <c r="V756" s="24" t="s">
        <v>15</v>
      </c>
      <c r="W756" s="17">
        <f>(VLOOKUP(T756,'[1]Simulation pricing per sub assy'!$D:$E,2,0))*U756</f>
        <v>1.9</v>
      </c>
      <c r="X756" s="18" t="s">
        <v>615</v>
      </c>
      <c r="Y756" s="25">
        <v>1</v>
      </c>
      <c r="Z756" s="25" t="s">
        <v>9</v>
      </c>
      <c r="AA756" s="18">
        <f>(VLOOKUP(X756,'[1]Simulation pricing per sub assy'!$D:$E,2,0))*Y756</f>
        <v>1.5769808000000001</v>
      </c>
    </row>
    <row r="757" spans="1:27" x14ac:dyDescent="0.35">
      <c r="A757" s="13" t="s">
        <v>1625</v>
      </c>
      <c r="B757" s="13" t="s">
        <v>1626</v>
      </c>
      <c r="C757" s="42">
        <f t="shared" si="11"/>
        <v>111.5057808</v>
      </c>
      <c r="D757" s="20" t="s">
        <v>42</v>
      </c>
      <c r="E757" s="20">
        <v>1</v>
      </c>
      <c r="F757" s="20" t="s">
        <v>3982</v>
      </c>
      <c r="G757" s="14">
        <f>(VLOOKUP(D757,'[1]BOM Info General'!$A:$L,12,0))*E757</f>
        <v>35.56</v>
      </c>
      <c r="H757" s="21" t="s">
        <v>39</v>
      </c>
      <c r="I757" s="21">
        <v>1</v>
      </c>
      <c r="J757" s="21" t="s">
        <v>46</v>
      </c>
      <c r="K757" s="15">
        <f>(VLOOKUP(H757,'[1]BOM Info General'!$A:$L,12,0))*I757</f>
        <v>24.42</v>
      </c>
      <c r="L757" s="22" t="s">
        <v>527</v>
      </c>
      <c r="M757" s="22">
        <v>1</v>
      </c>
      <c r="N757" s="22" t="s">
        <v>79</v>
      </c>
      <c r="O757" s="9">
        <f>(VLOOKUP(L757,'[1]Simulation pricing per sub assy'!$D:$E,2,0))*M757</f>
        <v>42.308799999999991</v>
      </c>
      <c r="P757" s="23" t="s">
        <v>50</v>
      </c>
      <c r="Q757" s="23">
        <v>2</v>
      </c>
      <c r="R757" s="23" t="s">
        <v>611</v>
      </c>
      <c r="S757" s="40">
        <f>(VLOOKUP(P757,'[1]BOM Info General'!$A:$L,12,0))*Q757</f>
        <v>5.3</v>
      </c>
      <c r="T757" s="24" t="s">
        <v>19</v>
      </c>
      <c r="U757" s="24">
        <v>1</v>
      </c>
      <c r="V757" s="24" t="s">
        <v>20</v>
      </c>
      <c r="W757" s="17">
        <f>(VLOOKUP(T757,'[1]Simulation pricing per sub assy'!$D:$E,2,0))*U757</f>
        <v>2.3400000000000003</v>
      </c>
      <c r="X757" s="18" t="s">
        <v>615</v>
      </c>
      <c r="Y757" s="25">
        <v>1</v>
      </c>
      <c r="Z757" s="25" t="s">
        <v>9</v>
      </c>
      <c r="AA757" s="18">
        <f>(VLOOKUP(X757,'[1]Simulation pricing per sub assy'!$D:$E,2,0))*Y757</f>
        <v>1.5769808000000001</v>
      </c>
    </row>
    <row r="758" spans="1:27" x14ac:dyDescent="0.35">
      <c r="A758" s="13" t="s">
        <v>1617</v>
      </c>
      <c r="B758" s="13" t="s">
        <v>1618</v>
      </c>
      <c r="C758" s="42">
        <f t="shared" si="11"/>
        <v>112.4857808</v>
      </c>
      <c r="D758" s="20" t="s">
        <v>42</v>
      </c>
      <c r="E758" s="20">
        <v>1</v>
      </c>
      <c r="F758" s="20" t="s">
        <v>3982</v>
      </c>
      <c r="G758" s="14">
        <f>(VLOOKUP(D758,'[1]BOM Info General'!$A:$L,12,0))*E758</f>
        <v>35.56</v>
      </c>
      <c r="H758" s="21" t="s">
        <v>39</v>
      </c>
      <c r="I758" s="21">
        <v>1</v>
      </c>
      <c r="J758" s="21" t="s">
        <v>46</v>
      </c>
      <c r="K758" s="15">
        <f>(VLOOKUP(H758,'[1]BOM Info General'!$A:$L,12,0))*I758</f>
        <v>24.42</v>
      </c>
      <c r="L758" s="22" t="s">
        <v>76</v>
      </c>
      <c r="M758" s="22">
        <v>1</v>
      </c>
      <c r="N758" s="22" t="s">
        <v>73</v>
      </c>
      <c r="O758" s="9">
        <f>(VLOOKUP(L758,'[1]Simulation pricing per sub assy'!$D:$E,2,0))*M758</f>
        <v>43.288799999999988</v>
      </c>
      <c r="P758" s="23" t="s">
        <v>50</v>
      </c>
      <c r="Q758" s="23">
        <v>2</v>
      </c>
      <c r="R758" s="23" t="s">
        <v>611</v>
      </c>
      <c r="S758" s="40">
        <f>(VLOOKUP(P758,'[1]BOM Info General'!$A:$L,12,0))*Q758</f>
        <v>5.3</v>
      </c>
      <c r="T758" s="24" t="s">
        <v>19</v>
      </c>
      <c r="U758" s="24">
        <v>1</v>
      </c>
      <c r="V758" s="24" t="s">
        <v>20</v>
      </c>
      <c r="W758" s="17">
        <f>(VLOOKUP(T758,'[1]Simulation pricing per sub assy'!$D:$E,2,0))*U758</f>
        <v>2.3400000000000003</v>
      </c>
      <c r="X758" s="18" t="s">
        <v>615</v>
      </c>
      <c r="Y758" s="25">
        <v>1</v>
      </c>
      <c r="Z758" s="25" t="s">
        <v>9</v>
      </c>
      <c r="AA758" s="18">
        <f>(VLOOKUP(X758,'[1]Simulation pricing per sub assy'!$D:$E,2,0))*Y758</f>
        <v>1.5769808000000001</v>
      </c>
    </row>
    <row r="759" spans="1:27" x14ac:dyDescent="0.35">
      <c r="A759" s="13" t="s">
        <v>1621</v>
      </c>
      <c r="B759" s="13" t="s">
        <v>1622</v>
      </c>
      <c r="C759" s="42">
        <f t="shared" si="11"/>
        <v>113.0657808</v>
      </c>
      <c r="D759" s="20" t="s">
        <v>42</v>
      </c>
      <c r="E759" s="20">
        <v>1</v>
      </c>
      <c r="F759" s="20" t="s">
        <v>3982</v>
      </c>
      <c r="G759" s="14">
        <f>(VLOOKUP(D759,'[1]BOM Info General'!$A:$L,12,0))*E759</f>
        <v>35.56</v>
      </c>
      <c r="H759" s="21" t="s">
        <v>39</v>
      </c>
      <c r="I759" s="21">
        <v>1</v>
      </c>
      <c r="J759" s="21" t="s">
        <v>46</v>
      </c>
      <c r="K759" s="15">
        <f>(VLOOKUP(H759,'[1]BOM Info General'!$A:$L,12,0))*I759</f>
        <v>24.42</v>
      </c>
      <c r="L759" s="22" t="s">
        <v>72</v>
      </c>
      <c r="M759" s="22">
        <v>1</v>
      </c>
      <c r="N759" s="22" t="s">
        <v>71</v>
      </c>
      <c r="O759" s="9">
        <f>(VLOOKUP(L759,'[1]Simulation pricing per sub assy'!$D:$E,2,0))*M759</f>
        <v>43.868799999999993</v>
      </c>
      <c r="P759" s="23" t="s">
        <v>50</v>
      </c>
      <c r="Q759" s="23">
        <v>2</v>
      </c>
      <c r="R759" s="23" t="s">
        <v>611</v>
      </c>
      <c r="S759" s="40">
        <f>(VLOOKUP(P759,'[1]BOM Info General'!$A:$L,12,0))*Q759</f>
        <v>5.3</v>
      </c>
      <c r="T759" s="24" t="s">
        <v>19</v>
      </c>
      <c r="U759" s="24">
        <v>1</v>
      </c>
      <c r="V759" s="24" t="s">
        <v>20</v>
      </c>
      <c r="W759" s="17">
        <f>(VLOOKUP(T759,'[1]Simulation pricing per sub assy'!$D:$E,2,0))*U759</f>
        <v>2.3400000000000003</v>
      </c>
      <c r="X759" s="18" t="s">
        <v>615</v>
      </c>
      <c r="Y759" s="25">
        <v>1</v>
      </c>
      <c r="Z759" s="25" t="s">
        <v>9</v>
      </c>
      <c r="AA759" s="18">
        <f>(VLOOKUP(X759,'[1]Simulation pricing per sub assy'!$D:$E,2,0))*Y759</f>
        <v>1.5769808000000001</v>
      </c>
    </row>
    <row r="760" spans="1:27" x14ac:dyDescent="0.35">
      <c r="A760" s="13" t="s">
        <v>1619</v>
      </c>
      <c r="B760" s="13" t="s">
        <v>1620</v>
      </c>
      <c r="C760" s="42">
        <f t="shared" si="11"/>
        <v>112.80578079999999</v>
      </c>
      <c r="D760" s="20" t="s">
        <v>42</v>
      </c>
      <c r="E760" s="20">
        <v>1</v>
      </c>
      <c r="F760" s="20" t="s">
        <v>3982</v>
      </c>
      <c r="G760" s="14">
        <f>(VLOOKUP(D760,'[1]BOM Info General'!$A:$L,12,0))*E760</f>
        <v>35.56</v>
      </c>
      <c r="H760" s="21" t="s">
        <v>39</v>
      </c>
      <c r="I760" s="21">
        <v>1</v>
      </c>
      <c r="J760" s="21" t="s">
        <v>46</v>
      </c>
      <c r="K760" s="15">
        <f>(VLOOKUP(H760,'[1]BOM Info General'!$A:$L,12,0))*I760</f>
        <v>24.42</v>
      </c>
      <c r="L760" s="22" t="s">
        <v>78</v>
      </c>
      <c r="M760" s="22">
        <v>1</v>
      </c>
      <c r="N760" s="22" t="s">
        <v>75</v>
      </c>
      <c r="O760" s="9">
        <f>(VLOOKUP(L760,'[1]Simulation pricing per sub assy'!$D:$E,2,0))*M760</f>
        <v>43.608799999999988</v>
      </c>
      <c r="P760" s="23" t="s">
        <v>50</v>
      </c>
      <c r="Q760" s="23">
        <v>2</v>
      </c>
      <c r="R760" s="23" t="s">
        <v>611</v>
      </c>
      <c r="S760" s="40">
        <f>(VLOOKUP(P760,'[1]BOM Info General'!$A:$L,12,0))*Q760</f>
        <v>5.3</v>
      </c>
      <c r="T760" s="24" t="s">
        <v>19</v>
      </c>
      <c r="U760" s="24">
        <v>1</v>
      </c>
      <c r="V760" s="24" t="s">
        <v>20</v>
      </c>
      <c r="W760" s="17">
        <f>(VLOOKUP(T760,'[1]Simulation pricing per sub assy'!$D:$E,2,0))*U760</f>
        <v>2.3400000000000003</v>
      </c>
      <c r="X760" s="18" t="s">
        <v>615</v>
      </c>
      <c r="Y760" s="25">
        <v>1</v>
      </c>
      <c r="Z760" s="25" t="s">
        <v>9</v>
      </c>
      <c r="AA760" s="18">
        <f>(VLOOKUP(X760,'[1]Simulation pricing per sub assy'!$D:$E,2,0))*Y760</f>
        <v>1.5769808000000001</v>
      </c>
    </row>
    <row r="761" spans="1:27" x14ac:dyDescent="0.35">
      <c r="A761" s="13" t="s">
        <v>1623</v>
      </c>
      <c r="B761" s="13" t="s">
        <v>1624</v>
      </c>
      <c r="C761" s="42">
        <f t="shared" si="11"/>
        <v>120.4757808</v>
      </c>
      <c r="D761" s="20" t="s">
        <v>42</v>
      </c>
      <c r="E761" s="20">
        <v>1</v>
      </c>
      <c r="F761" s="20" t="s">
        <v>3982</v>
      </c>
      <c r="G761" s="14">
        <f>(VLOOKUP(D761,'[1]BOM Info General'!$A:$L,12,0))*E761</f>
        <v>35.56</v>
      </c>
      <c r="H761" s="21" t="s">
        <v>39</v>
      </c>
      <c r="I761" s="21">
        <v>1</v>
      </c>
      <c r="J761" s="21" t="s">
        <v>46</v>
      </c>
      <c r="K761" s="15">
        <f>(VLOOKUP(H761,'[1]BOM Info General'!$A:$L,12,0))*I761</f>
        <v>24.42</v>
      </c>
      <c r="L761" s="22" t="s">
        <v>74</v>
      </c>
      <c r="M761" s="22">
        <v>1</v>
      </c>
      <c r="N761" s="22" t="s">
        <v>77</v>
      </c>
      <c r="O761" s="9">
        <f>(VLOOKUP(L761,'[1]Simulation pricing per sub assy'!$D:$E,2,0))*M761</f>
        <v>51.27879999999999</v>
      </c>
      <c r="P761" s="23" t="s">
        <v>50</v>
      </c>
      <c r="Q761" s="23">
        <v>2</v>
      </c>
      <c r="R761" s="23" t="s">
        <v>611</v>
      </c>
      <c r="S761" s="40">
        <f>(VLOOKUP(P761,'[1]BOM Info General'!$A:$L,12,0))*Q761</f>
        <v>5.3</v>
      </c>
      <c r="T761" s="24" t="s">
        <v>19</v>
      </c>
      <c r="U761" s="24">
        <v>1</v>
      </c>
      <c r="V761" s="24" t="s">
        <v>20</v>
      </c>
      <c r="W761" s="17">
        <f>(VLOOKUP(T761,'[1]Simulation pricing per sub assy'!$D:$E,2,0))*U761</f>
        <v>2.3400000000000003</v>
      </c>
      <c r="X761" s="18" t="s">
        <v>615</v>
      </c>
      <c r="Y761" s="25">
        <v>1</v>
      </c>
      <c r="Z761" s="25" t="s">
        <v>9</v>
      </c>
      <c r="AA761" s="18">
        <f>(VLOOKUP(X761,'[1]Simulation pricing per sub assy'!$D:$E,2,0))*Y761</f>
        <v>1.5769808000000001</v>
      </c>
    </row>
    <row r="762" spans="1:27" x14ac:dyDescent="0.35">
      <c r="A762" s="13" t="s">
        <v>1725</v>
      </c>
      <c r="B762" s="13" t="s">
        <v>1726</v>
      </c>
      <c r="C762" s="42">
        <f t="shared" si="11"/>
        <v>111.01578079999999</v>
      </c>
      <c r="D762" s="20" t="s">
        <v>42</v>
      </c>
      <c r="E762" s="20">
        <v>1</v>
      </c>
      <c r="F762" s="20" t="s">
        <v>3982</v>
      </c>
      <c r="G762" s="14">
        <f>(VLOOKUP(D762,'[1]BOM Info General'!$A:$L,12,0))*E762</f>
        <v>35.56</v>
      </c>
      <c r="H762" s="21" t="s">
        <v>39</v>
      </c>
      <c r="I762" s="21">
        <v>1</v>
      </c>
      <c r="J762" s="21" t="s">
        <v>46</v>
      </c>
      <c r="K762" s="15">
        <f>(VLOOKUP(H762,'[1]BOM Info General'!$A:$L,12,0))*I762</f>
        <v>24.42</v>
      </c>
      <c r="L762" s="22" t="s">
        <v>527</v>
      </c>
      <c r="M762" s="22">
        <v>1</v>
      </c>
      <c r="N762" s="22" t="s">
        <v>79</v>
      </c>
      <c r="O762" s="9">
        <f>(VLOOKUP(L762,'[1]Simulation pricing per sub assy'!$D:$E,2,0))*M762</f>
        <v>42.308799999999991</v>
      </c>
      <c r="P762" s="23" t="s">
        <v>50</v>
      </c>
      <c r="Q762" s="23">
        <v>2</v>
      </c>
      <c r="R762" s="23" t="s">
        <v>611</v>
      </c>
      <c r="S762" s="40">
        <f>(VLOOKUP(P762,'[1]BOM Info General'!$A:$L,12,0))*Q762</f>
        <v>5.3</v>
      </c>
      <c r="T762" s="24" t="s">
        <v>7</v>
      </c>
      <c r="U762" s="24">
        <v>1</v>
      </c>
      <c r="V762" s="24" t="s">
        <v>8</v>
      </c>
      <c r="W762" s="17">
        <f>(VLOOKUP(T762,'[1]Simulation pricing per sub assy'!$D:$E,2,0))*U762</f>
        <v>1.85</v>
      </c>
      <c r="X762" s="18" t="s">
        <v>615</v>
      </c>
      <c r="Y762" s="25">
        <v>1</v>
      </c>
      <c r="Z762" s="25" t="s">
        <v>9</v>
      </c>
      <c r="AA762" s="18">
        <f>(VLOOKUP(X762,'[1]Simulation pricing per sub assy'!$D:$E,2,0))*Y762</f>
        <v>1.5769808000000001</v>
      </c>
    </row>
    <row r="763" spans="1:27" x14ac:dyDescent="0.35">
      <c r="A763" s="13" t="s">
        <v>1717</v>
      </c>
      <c r="B763" s="13" t="s">
        <v>1718</v>
      </c>
      <c r="C763" s="42">
        <f t="shared" si="11"/>
        <v>111.99578079999999</v>
      </c>
      <c r="D763" s="20" t="s">
        <v>42</v>
      </c>
      <c r="E763" s="20">
        <v>1</v>
      </c>
      <c r="F763" s="20" t="s">
        <v>3982</v>
      </c>
      <c r="G763" s="14">
        <f>(VLOOKUP(D763,'[1]BOM Info General'!$A:$L,12,0))*E763</f>
        <v>35.56</v>
      </c>
      <c r="H763" s="21" t="s">
        <v>39</v>
      </c>
      <c r="I763" s="21">
        <v>1</v>
      </c>
      <c r="J763" s="21" t="s">
        <v>46</v>
      </c>
      <c r="K763" s="15">
        <f>(VLOOKUP(H763,'[1]BOM Info General'!$A:$L,12,0))*I763</f>
        <v>24.42</v>
      </c>
      <c r="L763" s="22" t="s">
        <v>76</v>
      </c>
      <c r="M763" s="22">
        <v>1</v>
      </c>
      <c r="N763" s="22" t="s">
        <v>73</v>
      </c>
      <c r="O763" s="9">
        <f>(VLOOKUP(L763,'[1]Simulation pricing per sub assy'!$D:$E,2,0))*M763</f>
        <v>43.288799999999988</v>
      </c>
      <c r="P763" s="23" t="s">
        <v>50</v>
      </c>
      <c r="Q763" s="23">
        <v>2</v>
      </c>
      <c r="R763" s="23" t="s">
        <v>611</v>
      </c>
      <c r="S763" s="40">
        <f>(VLOOKUP(P763,'[1]BOM Info General'!$A:$L,12,0))*Q763</f>
        <v>5.3</v>
      </c>
      <c r="T763" s="24" t="s">
        <v>7</v>
      </c>
      <c r="U763" s="24">
        <v>1</v>
      </c>
      <c r="V763" s="24" t="s">
        <v>8</v>
      </c>
      <c r="W763" s="17">
        <f>(VLOOKUP(T763,'[1]Simulation pricing per sub assy'!$D:$E,2,0))*U763</f>
        <v>1.85</v>
      </c>
      <c r="X763" s="18" t="s">
        <v>615</v>
      </c>
      <c r="Y763" s="25">
        <v>1</v>
      </c>
      <c r="Z763" s="25" t="s">
        <v>9</v>
      </c>
      <c r="AA763" s="18">
        <f>(VLOOKUP(X763,'[1]Simulation pricing per sub assy'!$D:$E,2,0))*Y763</f>
        <v>1.5769808000000001</v>
      </c>
    </row>
    <row r="764" spans="1:27" x14ac:dyDescent="0.35">
      <c r="A764" s="13" t="s">
        <v>1721</v>
      </c>
      <c r="B764" s="13" t="s">
        <v>1722</v>
      </c>
      <c r="C764" s="42">
        <f t="shared" si="11"/>
        <v>112.57578079999999</v>
      </c>
      <c r="D764" s="20" t="s">
        <v>42</v>
      </c>
      <c r="E764" s="20">
        <v>1</v>
      </c>
      <c r="F764" s="20" t="s">
        <v>3982</v>
      </c>
      <c r="G764" s="14">
        <f>(VLOOKUP(D764,'[1]BOM Info General'!$A:$L,12,0))*E764</f>
        <v>35.56</v>
      </c>
      <c r="H764" s="21" t="s">
        <v>39</v>
      </c>
      <c r="I764" s="21">
        <v>1</v>
      </c>
      <c r="J764" s="21" t="s">
        <v>46</v>
      </c>
      <c r="K764" s="15">
        <f>(VLOOKUP(H764,'[1]BOM Info General'!$A:$L,12,0))*I764</f>
        <v>24.42</v>
      </c>
      <c r="L764" s="22" t="s">
        <v>72</v>
      </c>
      <c r="M764" s="22">
        <v>1</v>
      </c>
      <c r="N764" s="22" t="s">
        <v>71</v>
      </c>
      <c r="O764" s="9">
        <f>(VLOOKUP(L764,'[1]Simulation pricing per sub assy'!$D:$E,2,0))*M764</f>
        <v>43.868799999999993</v>
      </c>
      <c r="P764" s="23" t="s">
        <v>50</v>
      </c>
      <c r="Q764" s="23">
        <v>2</v>
      </c>
      <c r="R764" s="23" t="s">
        <v>611</v>
      </c>
      <c r="S764" s="40">
        <f>(VLOOKUP(P764,'[1]BOM Info General'!$A:$L,12,0))*Q764</f>
        <v>5.3</v>
      </c>
      <c r="T764" s="24" t="s">
        <v>7</v>
      </c>
      <c r="U764" s="24">
        <v>1</v>
      </c>
      <c r="V764" s="24" t="s">
        <v>8</v>
      </c>
      <c r="W764" s="17">
        <f>(VLOOKUP(T764,'[1]Simulation pricing per sub assy'!$D:$E,2,0))*U764</f>
        <v>1.85</v>
      </c>
      <c r="X764" s="18" t="s">
        <v>615</v>
      </c>
      <c r="Y764" s="25">
        <v>1</v>
      </c>
      <c r="Z764" s="25" t="s">
        <v>9</v>
      </c>
      <c r="AA764" s="18">
        <f>(VLOOKUP(X764,'[1]Simulation pricing per sub assy'!$D:$E,2,0))*Y764</f>
        <v>1.5769808000000001</v>
      </c>
    </row>
    <row r="765" spans="1:27" x14ac:dyDescent="0.35">
      <c r="A765" s="13" t="s">
        <v>1719</v>
      </c>
      <c r="B765" s="13" t="s">
        <v>1720</v>
      </c>
      <c r="C765" s="42">
        <f t="shared" si="11"/>
        <v>112.31578079999998</v>
      </c>
      <c r="D765" s="20" t="s">
        <v>42</v>
      </c>
      <c r="E765" s="20">
        <v>1</v>
      </c>
      <c r="F765" s="20" t="s">
        <v>3982</v>
      </c>
      <c r="G765" s="14">
        <f>(VLOOKUP(D765,'[1]BOM Info General'!$A:$L,12,0))*E765</f>
        <v>35.56</v>
      </c>
      <c r="H765" s="21" t="s">
        <v>39</v>
      </c>
      <c r="I765" s="21">
        <v>1</v>
      </c>
      <c r="J765" s="21" t="s">
        <v>46</v>
      </c>
      <c r="K765" s="15">
        <f>(VLOOKUP(H765,'[1]BOM Info General'!$A:$L,12,0))*I765</f>
        <v>24.42</v>
      </c>
      <c r="L765" s="22" t="s">
        <v>78</v>
      </c>
      <c r="M765" s="22">
        <v>1</v>
      </c>
      <c r="N765" s="22" t="s">
        <v>75</v>
      </c>
      <c r="O765" s="9">
        <f>(VLOOKUP(L765,'[1]Simulation pricing per sub assy'!$D:$E,2,0))*M765</f>
        <v>43.608799999999988</v>
      </c>
      <c r="P765" s="23" t="s">
        <v>50</v>
      </c>
      <c r="Q765" s="23">
        <v>2</v>
      </c>
      <c r="R765" s="23" t="s">
        <v>611</v>
      </c>
      <c r="S765" s="40">
        <f>(VLOOKUP(P765,'[1]BOM Info General'!$A:$L,12,0))*Q765</f>
        <v>5.3</v>
      </c>
      <c r="T765" s="24" t="s">
        <v>7</v>
      </c>
      <c r="U765" s="24">
        <v>1</v>
      </c>
      <c r="V765" s="24" t="s">
        <v>8</v>
      </c>
      <c r="W765" s="17">
        <f>(VLOOKUP(T765,'[1]Simulation pricing per sub assy'!$D:$E,2,0))*U765</f>
        <v>1.85</v>
      </c>
      <c r="X765" s="18" t="s">
        <v>615</v>
      </c>
      <c r="Y765" s="25">
        <v>1</v>
      </c>
      <c r="Z765" s="25" t="s">
        <v>9</v>
      </c>
      <c r="AA765" s="18">
        <f>(VLOOKUP(X765,'[1]Simulation pricing per sub assy'!$D:$E,2,0))*Y765</f>
        <v>1.5769808000000001</v>
      </c>
    </row>
    <row r="766" spans="1:27" x14ac:dyDescent="0.35">
      <c r="A766" s="13" t="s">
        <v>1723</v>
      </c>
      <c r="B766" s="13" t="s">
        <v>1724</v>
      </c>
      <c r="C766" s="42">
        <f t="shared" si="11"/>
        <v>119.98578079999999</v>
      </c>
      <c r="D766" s="20" t="s">
        <v>42</v>
      </c>
      <c r="E766" s="20">
        <v>1</v>
      </c>
      <c r="F766" s="20" t="s">
        <v>3982</v>
      </c>
      <c r="G766" s="14">
        <f>(VLOOKUP(D766,'[1]BOM Info General'!$A:$L,12,0))*E766</f>
        <v>35.56</v>
      </c>
      <c r="H766" s="21" t="s">
        <v>39</v>
      </c>
      <c r="I766" s="21">
        <v>1</v>
      </c>
      <c r="J766" s="21" t="s">
        <v>46</v>
      </c>
      <c r="K766" s="15">
        <f>(VLOOKUP(H766,'[1]BOM Info General'!$A:$L,12,0))*I766</f>
        <v>24.42</v>
      </c>
      <c r="L766" s="22" t="s">
        <v>74</v>
      </c>
      <c r="M766" s="22">
        <v>1</v>
      </c>
      <c r="N766" s="22" t="s">
        <v>77</v>
      </c>
      <c r="O766" s="9">
        <f>(VLOOKUP(L766,'[1]Simulation pricing per sub assy'!$D:$E,2,0))*M766</f>
        <v>51.27879999999999</v>
      </c>
      <c r="P766" s="23" t="s">
        <v>50</v>
      </c>
      <c r="Q766" s="23">
        <v>2</v>
      </c>
      <c r="R766" s="23" t="s">
        <v>611</v>
      </c>
      <c r="S766" s="40">
        <f>(VLOOKUP(P766,'[1]BOM Info General'!$A:$L,12,0))*Q766</f>
        <v>5.3</v>
      </c>
      <c r="T766" s="24" t="s">
        <v>7</v>
      </c>
      <c r="U766" s="24">
        <v>1</v>
      </c>
      <c r="V766" s="24" t="s">
        <v>8</v>
      </c>
      <c r="W766" s="17">
        <f>(VLOOKUP(T766,'[1]Simulation pricing per sub assy'!$D:$E,2,0))*U766</f>
        <v>1.85</v>
      </c>
      <c r="X766" s="18" t="s">
        <v>615</v>
      </c>
      <c r="Y766" s="25">
        <v>1</v>
      </c>
      <c r="Z766" s="25" t="s">
        <v>9</v>
      </c>
      <c r="AA766" s="18">
        <f>(VLOOKUP(X766,'[1]Simulation pricing per sub assy'!$D:$E,2,0))*Y766</f>
        <v>1.5769808000000001</v>
      </c>
    </row>
    <row r="767" spans="1:27" x14ac:dyDescent="0.35">
      <c r="A767" s="13" t="s">
        <v>1809</v>
      </c>
      <c r="B767" s="13" t="s">
        <v>1810</v>
      </c>
      <c r="C767" s="42">
        <f t="shared" si="11"/>
        <v>111.21578079999999</v>
      </c>
      <c r="D767" s="20" t="s">
        <v>42</v>
      </c>
      <c r="E767" s="20">
        <v>1</v>
      </c>
      <c r="F767" s="20" t="s">
        <v>3982</v>
      </c>
      <c r="G767" s="14">
        <f>(VLOOKUP(D767,'[1]BOM Info General'!$A:$L,12,0))*E767</f>
        <v>35.56</v>
      </c>
      <c r="H767" s="21" t="s">
        <v>39</v>
      </c>
      <c r="I767" s="21">
        <v>1</v>
      </c>
      <c r="J767" s="21" t="s">
        <v>46</v>
      </c>
      <c r="K767" s="15">
        <f>(VLOOKUP(H767,'[1]BOM Info General'!$A:$L,12,0))*I767</f>
        <v>24.42</v>
      </c>
      <c r="L767" s="22" t="s">
        <v>527</v>
      </c>
      <c r="M767" s="22">
        <v>1</v>
      </c>
      <c r="N767" s="22" t="s">
        <v>79</v>
      </c>
      <c r="O767" s="9">
        <f>(VLOOKUP(L767,'[1]Simulation pricing per sub assy'!$D:$E,2,0))*M767</f>
        <v>42.308799999999991</v>
      </c>
      <c r="P767" s="23" t="s">
        <v>50</v>
      </c>
      <c r="Q767" s="23">
        <v>2</v>
      </c>
      <c r="R767" s="23" t="s">
        <v>16</v>
      </c>
      <c r="S767" s="40">
        <f>(VLOOKUP(P767,'[1]BOM Info General'!$A:$L,12,0))*Q767</f>
        <v>5.3</v>
      </c>
      <c r="T767" s="24" t="s">
        <v>10</v>
      </c>
      <c r="U767" s="24">
        <v>1</v>
      </c>
      <c r="V767" s="24" t="s">
        <v>11</v>
      </c>
      <c r="W767" s="17">
        <f>(VLOOKUP(T767,'[1]Simulation pricing per sub assy'!$D:$E,2,0))*U767</f>
        <v>2.0499999999999998</v>
      </c>
      <c r="X767" s="18" t="s">
        <v>615</v>
      </c>
      <c r="Y767" s="25">
        <v>1</v>
      </c>
      <c r="Z767" s="25" t="s">
        <v>9</v>
      </c>
      <c r="AA767" s="18">
        <f>(VLOOKUP(X767,'[1]Simulation pricing per sub assy'!$D:$E,2,0))*Y767</f>
        <v>1.5769808000000001</v>
      </c>
    </row>
    <row r="768" spans="1:27" x14ac:dyDescent="0.35">
      <c r="A768" s="13" t="s">
        <v>1737</v>
      </c>
      <c r="B768" s="13" t="s">
        <v>1738</v>
      </c>
      <c r="C768" s="42">
        <f t="shared" si="11"/>
        <v>112.19578079999999</v>
      </c>
      <c r="D768" s="20" t="s">
        <v>42</v>
      </c>
      <c r="E768" s="20">
        <v>1</v>
      </c>
      <c r="F768" s="20" t="s">
        <v>3982</v>
      </c>
      <c r="G768" s="14">
        <f>(VLOOKUP(D768,'[1]BOM Info General'!$A:$L,12,0))*E768</f>
        <v>35.56</v>
      </c>
      <c r="H768" s="21" t="s">
        <v>39</v>
      </c>
      <c r="I768" s="21">
        <v>1</v>
      </c>
      <c r="J768" s="21" t="s">
        <v>46</v>
      </c>
      <c r="K768" s="15">
        <f>(VLOOKUP(H768,'[1]BOM Info General'!$A:$L,12,0))*I768</f>
        <v>24.42</v>
      </c>
      <c r="L768" s="22" t="s">
        <v>76</v>
      </c>
      <c r="M768" s="22">
        <v>1</v>
      </c>
      <c r="N768" s="22" t="s">
        <v>73</v>
      </c>
      <c r="O768" s="9">
        <f>(VLOOKUP(L768,'[1]Simulation pricing per sub assy'!$D:$E,2,0))*M768</f>
        <v>43.288799999999988</v>
      </c>
      <c r="P768" s="23" t="s">
        <v>50</v>
      </c>
      <c r="Q768" s="23">
        <v>2</v>
      </c>
      <c r="R768" s="23" t="s">
        <v>16</v>
      </c>
      <c r="S768" s="40">
        <f>(VLOOKUP(P768,'[1]BOM Info General'!$A:$L,12,0))*Q768</f>
        <v>5.3</v>
      </c>
      <c r="T768" s="24" t="s">
        <v>10</v>
      </c>
      <c r="U768" s="24">
        <v>1</v>
      </c>
      <c r="V768" s="24" t="s">
        <v>11</v>
      </c>
      <c r="W768" s="17">
        <f>(VLOOKUP(T768,'[1]Simulation pricing per sub assy'!$D:$E,2,0))*U768</f>
        <v>2.0499999999999998</v>
      </c>
      <c r="X768" s="18" t="s">
        <v>615</v>
      </c>
      <c r="Y768" s="25">
        <v>1</v>
      </c>
      <c r="Z768" s="25" t="s">
        <v>9</v>
      </c>
      <c r="AA768" s="18">
        <f>(VLOOKUP(X768,'[1]Simulation pricing per sub assy'!$D:$E,2,0))*Y768</f>
        <v>1.5769808000000001</v>
      </c>
    </row>
    <row r="769" spans="1:27" x14ac:dyDescent="0.35">
      <c r="A769" s="13" t="s">
        <v>1773</v>
      </c>
      <c r="B769" s="13" t="s">
        <v>1774</v>
      </c>
      <c r="C769" s="42">
        <f t="shared" si="11"/>
        <v>112.77578079999999</v>
      </c>
      <c r="D769" s="20" t="s">
        <v>42</v>
      </c>
      <c r="E769" s="20">
        <v>1</v>
      </c>
      <c r="F769" s="20" t="s">
        <v>3982</v>
      </c>
      <c r="G769" s="14">
        <f>(VLOOKUP(D769,'[1]BOM Info General'!$A:$L,12,0))*E769</f>
        <v>35.56</v>
      </c>
      <c r="H769" s="21" t="s">
        <v>39</v>
      </c>
      <c r="I769" s="21">
        <v>1</v>
      </c>
      <c r="J769" s="21" t="s">
        <v>46</v>
      </c>
      <c r="K769" s="15">
        <f>(VLOOKUP(H769,'[1]BOM Info General'!$A:$L,12,0))*I769</f>
        <v>24.42</v>
      </c>
      <c r="L769" s="22" t="s">
        <v>72</v>
      </c>
      <c r="M769" s="22">
        <v>1</v>
      </c>
      <c r="N769" s="22" t="s">
        <v>71</v>
      </c>
      <c r="O769" s="9">
        <f>(VLOOKUP(L769,'[1]Simulation pricing per sub assy'!$D:$E,2,0))*M769</f>
        <v>43.868799999999993</v>
      </c>
      <c r="P769" s="23" t="s">
        <v>50</v>
      </c>
      <c r="Q769" s="23">
        <v>2</v>
      </c>
      <c r="R769" s="23" t="s">
        <v>16</v>
      </c>
      <c r="S769" s="40">
        <f>(VLOOKUP(P769,'[1]BOM Info General'!$A:$L,12,0))*Q769</f>
        <v>5.3</v>
      </c>
      <c r="T769" s="24" t="s">
        <v>10</v>
      </c>
      <c r="U769" s="24">
        <v>1</v>
      </c>
      <c r="V769" s="24" t="s">
        <v>11</v>
      </c>
      <c r="W769" s="17">
        <f>(VLOOKUP(T769,'[1]Simulation pricing per sub assy'!$D:$E,2,0))*U769</f>
        <v>2.0499999999999998</v>
      </c>
      <c r="X769" s="18" t="s">
        <v>615</v>
      </c>
      <c r="Y769" s="25">
        <v>1</v>
      </c>
      <c r="Z769" s="25" t="s">
        <v>9</v>
      </c>
      <c r="AA769" s="18">
        <f>(VLOOKUP(X769,'[1]Simulation pricing per sub assy'!$D:$E,2,0))*Y769</f>
        <v>1.5769808000000001</v>
      </c>
    </row>
    <row r="770" spans="1:27" x14ac:dyDescent="0.35">
      <c r="A770" s="13" t="s">
        <v>1755</v>
      </c>
      <c r="B770" s="13" t="s">
        <v>1756</v>
      </c>
      <c r="C770" s="42">
        <f t="shared" si="11"/>
        <v>112.51578079999999</v>
      </c>
      <c r="D770" s="20" t="s">
        <v>42</v>
      </c>
      <c r="E770" s="20">
        <v>1</v>
      </c>
      <c r="F770" s="20" t="s">
        <v>3982</v>
      </c>
      <c r="G770" s="14">
        <f>(VLOOKUP(D770,'[1]BOM Info General'!$A:$L,12,0))*E770</f>
        <v>35.56</v>
      </c>
      <c r="H770" s="21" t="s">
        <v>39</v>
      </c>
      <c r="I770" s="21">
        <v>1</v>
      </c>
      <c r="J770" s="21" t="s">
        <v>46</v>
      </c>
      <c r="K770" s="15">
        <f>(VLOOKUP(H770,'[1]BOM Info General'!$A:$L,12,0))*I770</f>
        <v>24.42</v>
      </c>
      <c r="L770" s="22" t="s">
        <v>78</v>
      </c>
      <c r="M770" s="22">
        <v>1</v>
      </c>
      <c r="N770" s="22" t="s">
        <v>75</v>
      </c>
      <c r="O770" s="9">
        <f>(VLOOKUP(L770,'[1]Simulation pricing per sub assy'!$D:$E,2,0))*M770</f>
        <v>43.608799999999988</v>
      </c>
      <c r="P770" s="23" t="s">
        <v>50</v>
      </c>
      <c r="Q770" s="23">
        <v>2</v>
      </c>
      <c r="R770" s="23" t="s">
        <v>16</v>
      </c>
      <c r="S770" s="40">
        <f>(VLOOKUP(P770,'[1]BOM Info General'!$A:$L,12,0))*Q770</f>
        <v>5.3</v>
      </c>
      <c r="T770" s="24" t="s">
        <v>10</v>
      </c>
      <c r="U770" s="24">
        <v>1</v>
      </c>
      <c r="V770" s="24" t="s">
        <v>11</v>
      </c>
      <c r="W770" s="17">
        <f>(VLOOKUP(T770,'[1]Simulation pricing per sub assy'!$D:$E,2,0))*U770</f>
        <v>2.0499999999999998</v>
      </c>
      <c r="X770" s="18" t="s">
        <v>615</v>
      </c>
      <c r="Y770" s="25">
        <v>1</v>
      </c>
      <c r="Z770" s="25" t="s">
        <v>9</v>
      </c>
      <c r="AA770" s="18">
        <f>(VLOOKUP(X770,'[1]Simulation pricing per sub assy'!$D:$E,2,0))*Y770</f>
        <v>1.5769808000000001</v>
      </c>
    </row>
    <row r="771" spans="1:27" x14ac:dyDescent="0.35">
      <c r="A771" s="13" t="s">
        <v>1791</v>
      </c>
      <c r="B771" s="13" t="s">
        <v>1792</v>
      </c>
      <c r="C771" s="42">
        <f t="shared" ref="C771:C834" si="12">SUM(G771+K771+O771+S771+W771+AA771)</f>
        <v>120.18578079999999</v>
      </c>
      <c r="D771" s="20" t="s">
        <v>42</v>
      </c>
      <c r="E771" s="20">
        <v>1</v>
      </c>
      <c r="F771" s="20" t="s">
        <v>3982</v>
      </c>
      <c r="G771" s="14">
        <f>(VLOOKUP(D771,'[1]BOM Info General'!$A:$L,12,0))*E771</f>
        <v>35.56</v>
      </c>
      <c r="H771" s="21" t="s">
        <v>39</v>
      </c>
      <c r="I771" s="21">
        <v>1</v>
      </c>
      <c r="J771" s="21" t="s">
        <v>46</v>
      </c>
      <c r="K771" s="15">
        <f>(VLOOKUP(H771,'[1]BOM Info General'!$A:$L,12,0))*I771</f>
        <v>24.42</v>
      </c>
      <c r="L771" s="22" t="s">
        <v>74</v>
      </c>
      <c r="M771" s="22">
        <v>1</v>
      </c>
      <c r="N771" s="22" t="s">
        <v>77</v>
      </c>
      <c r="O771" s="9">
        <f>(VLOOKUP(L771,'[1]Simulation pricing per sub assy'!$D:$E,2,0))*M771</f>
        <v>51.27879999999999</v>
      </c>
      <c r="P771" s="23" t="s">
        <v>50</v>
      </c>
      <c r="Q771" s="23">
        <v>2</v>
      </c>
      <c r="R771" s="23" t="s">
        <v>16</v>
      </c>
      <c r="S771" s="40">
        <f>(VLOOKUP(P771,'[1]BOM Info General'!$A:$L,12,0))*Q771</f>
        <v>5.3</v>
      </c>
      <c r="T771" s="24" t="s">
        <v>10</v>
      </c>
      <c r="U771" s="24">
        <v>1</v>
      </c>
      <c r="V771" s="24" t="s">
        <v>11</v>
      </c>
      <c r="W771" s="17">
        <f>(VLOOKUP(T771,'[1]Simulation pricing per sub assy'!$D:$E,2,0))*U771</f>
        <v>2.0499999999999998</v>
      </c>
      <c r="X771" s="18" t="s">
        <v>615</v>
      </c>
      <c r="Y771" s="25">
        <v>1</v>
      </c>
      <c r="Z771" s="25" t="s">
        <v>9</v>
      </c>
      <c r="AA771" s="18">
        <f>(VLOOKUP(X771,'[1]Simulation pricing per sub assy'!$D:$E,2,0))*Y771</f>
        <v>1.5769808000000001</v>
      </c>
    </row>
    <row r="772" spans="1:27" x14ac:dyDescent="0.35">
      <c r="A772" s="13" t="s">
        <v>1811</v>
      </c>
      <c r="B772" s="13" t="s">
        <v>1812</v>
      </c>
      <c r="C772" s="42">
        <f t="shared" si="12"/>
        <v>111.0657808</v>
      </c>
      <c r="D772" s="20" t="s">
        <v>42</v>
      </c>
      <c r="E772" s="20">
        <v>1</v>
      </c>
      <c r="F772" s="20" t="s">
        <v>3982</v>
      </c>
      <c r="G772" s="14">
        <f>(VLOOKUP(D772,'[1]BOM Info General'!$A:$L,12,0))*E772</f>
        <v>35.56</v>
      </c>
      <c r="H772" s="21" t="s">
        <v>39</v>
      </c>
      <c r="I772" s="21">
        <v>1</v>
      </c>
      <c r="J772" s="21" t="s">
        <v>46</v>
      </c>
      <c r="K772" s="15">
        <f>(VLOOKUP(H772,'[1]BOM Info General'!$A:$L,12,0))*I772</f>
        <v>24.42</v>
      </c>
      <c r="L772" s="22" t="s">
        <v>527</v>
      </c>
      <c r="M772" s="22">
        <v>1</v>
      </c>
      <c r="N772" s="22" t="s">
        <v>79</v>
      </c>
      <c r="O772" s="9">
        <f>(VLOOKUP(L772,'[1]Simulation pricing per sub assy'!$D:$E,2,0))*M772</f>
        <v>42.308799999999991</v>
      </c>
      <c r="P772" s="23" t="s">
        <v>50</v>
      </c>
      <c r="Q772" s="23">
        <v>2</v>
      </c>
      <c r="R772" s="23" t="s">
        <v>16</v>
      </c>
      <c r="S772" s="40">
        <f>(VLOOKUP(P772,'[1]BOM Info General'!$A:$L,12,0))*Q772</f>
        <v>5.3</v>
      </c>
      <c r="T772" s="24" t="s">
        <v>12</v>
      </c>
      <c r="U772" s="24">
        <v>1</v>
      </c>
      <c r="V772" s="24" t="s">
        <v>13</v>
      </c>
      <c r="W772" s="17">
        <f>(VLOOKUP(T772,'[1]Simulation pricing per sub assy'!$D:$E,2,0))*U772</f>
        <v>1.9</v>
      </c>
      <c r="X772" s="18" t="s">
        <v>615</v>
      </c>
      <c r="Y772" s="25">
        <v>1</v>
      </c>
      <c r="Z772" s="25" t="s">
        <v>9</v>
      </c>
      <c r="AA772" s="18">
        <f>(VLOOKUP(X772,'[1]Simulation pricing per sub assy'!$D:$E,2,0))*Y772</f>
        <v>1.5769808000000001</v>
      </c>
    </row>
    <row r="773" spans="1:27" x14ac:dyDescent="0.35">
      <c r="A773" s="13" t="s">
        <v>1739</v>
      </c>
      <c r="B773" s="13" t="s">
        <v>1740</v>
      </c>
      <c r="C773" s="42">
        <f t="shared" si="12"/>
        <v>112.0457808</v>
      </c>
      <c r="D773" s="20" t="s">
        <v>42</v>
      </c>
      <c r="E773" s="20">
        <v>1</v>
      </c>
      <c r="F773" s="20" t="s">
        <v>3982</v>
      </c>
      <c r="G773" s="14">
        <f>(VLOOKUP(D773,'[1]BOM Info General'!$A:$L,12,0))*E773</f>
        <v>35.56</v>
      </c>
      <c r="H773" s="21" t="s">
        <v>39</v>
      </c>
      <c r="I773" s="21">
        <v>1</v>
      </c>
      <c r="J773" s="21" t="s">
        <v>46</v>
      </c>
      <c r="K773" s="15">
        <f>(VLOOKUP(H773,'[1]BOM Info General'!$A:$L,12,0))*I773</f>
        <v>24.42</v>
      </c>
      <c r="L773" s="22" t="s">
        <v>76</v>
      </c>
      <c r="M773" s="22">
        <v>1</v>
      </c>
      <c r="N773" s="22" t="s">
        <v>73</v>
      </c>
      <c r="O773" s="9">
        <f>(VLOOKUP(L773,'[1]Simulation pricing per sub assy'!$D:$E,2,0))*M773</f>
        <v>43.288799999999988</v>
      </c>
      <c r="P773" s="23" t="s">
        <v>50</v>
      </c>
      <c r="Q773" s="23">
        <v>2</v>
      </c>
      <c r="R773" s="23" t="s">
        <v>16</v>
      </c>
      <c r="S773" s="40">
        <f>(VLOOKUP(P773,'[1]BOM Info General'!$A:$L,12,0))*Q773</f>
        <v>5.3</v>
      </c>
      <c r="T773" s="24" t="s">
        <v>12</v>
      </c>
      <c r="U773" s="24">
        <v>1</v>
      </c>
      <c r="V773" s="24" t="s">
        <v>13</v>
      </c>
      <c r="W773" s="17">
        <f>(VLOOKUP(T773,'[1]Simulation pricing per sub assy'!$D:$E,2,0))*U773</f>
        <v>1.9</v>
      </c>
      <c r="X773" s="18" t="s">
        <v>615</v>
      </c>
      <c r="Y773" s="25">
        <v>1</v>
      </c>
      <c r="Z773" s="25" t="s">
        <v>9</v>
      </c>
      <c r="AA773" s="18">
        <f>(VLOOKUP(X773,'[1]Simulation pricing per sub assy'!$D:$E,2,0))*Y773</f>
        <v>1.5769808000000001</v>
      </c>
    </row>
    <row r="774" spans="1:27" x14ac:dyDescent="0.35">
      <c r="A774" s="13" t="s">
        <v>1775</v>
      </c>
      <c r="B774" s="13" t="s">
        <v>1776</v>
      </c>
      <c r="C774" s="42">
        <f t="shared" si="12"/>
        <v>112.6257808</v>
      </c>
      <c r="D774" s="20" t="s">
        <v>42</v>
      </c>
      <c r="E774" s="20">
        <v>1</v>
      </c>
      <c r="F774" s="20" t="s">
        <v>3982</v>
      </c>
      <c r="G774" s="14">
        <f>(VLOOKUP(D774,'[1]BOM Info General'!$A:$L,12,0))*E774</f>
        <v>35.56</v>
      </c>
      <c r="H774" s="21" t="s">
        <v>39</v>
      </c>
      <c r="I774" s="21">
        <v>1</v>
      </c>
      <c r="J774" s="21" t="s">
        <v>46</v>
      </c>
      <c r="K774" s="15">
        <f>(VLOOKUP(H774,'[1]BOM Info General'!$A:$L,12,0))*I774</f>
        <v>24.42</v>
      </c>
      <c r="L774" s="22" t="s">
        <v>72</v>
      </c>
      <c r="M774" s="22">
        <v>1</v>
      </c>
      <c r="N774" s="22" t="s">
        <v>71</v>
      </c>
      <c r="O774" s="9">
        <f>(VLOOKUP(L774,'[1]Simulation pricing per sub assy'!$D:$E,2,0))*M774</f>
        <v>43.868799999999993</v>
      </c>
      <c r="P774" s="23" t="s">
        <v>50</v>
      </c>
      <c r="Q774" s="23">
        <v>2</v>
      </c>
      <c r="R774" s="23" t="s">
        <v>16</v>
      </c>
      <c r="S774" s="40">
        <f>(VLOOKUP(P774,'[1]BOM Info General'!$A:$L,12,0))*Q774</f>
        <v>5.3</v>
      </c>
      <c r="T774" s="24" t="s">
        <v>12</v>
      </c>
      <c r="U774" s="24">
        <v>1</v>
      </c>
      <c r="V774" s="24" t="s">
        <v>13</v>
      </c>
      <c r="W774" s="17">
        <f>(VLOOKUP(T774,'[1]Simulation pricing per sub assy'!$D:$E,2,0))*U774</f>
        <v>1.9</v>
      </c>
      <c r="X774" s="18" t="s">
        <v>615</v>
      </c>
      <c r="Y774" s="25">
        <v>1</v>
      </c>
      <c r="Z774" s="25" t="s">
        <v>9</v>
      </c>
      <c r="AA774" s="18">
        <f>(VLOOKUP(X774,'[1]Simulation pricing per sub assy'!$D:$E,2,0))*Y774</f>
        <v>1.5769808000000001</v>
      </c>
    </row>
    <row r="775" spans="1:27" x14ac:dyDescent="0.35">
      <c r="A775" s="13" t="s">
        <v>1757</v>
      </c>
      <c r="B775" s="13" t="s">
        <v>1758</v>
      </c>
      <c r="C775" s="42">
        <f t="shared" si="12"/>
        <v>112.3657808</v>
      </c>
      <c r="D775" s="20" t="s">
        <v>42</v>
      </c>
      <c r="E775" s="20">
        <v>1</v>
      </c>
      <c r="F775" s="20" t="s">
        <v>3982</v>
      </c>
      <c r="G775" s="14">
        <f>(VLOOKUP(D775,'[1]BOM Info General'!$A:$L,12,0))*E775</f>
        <v>35.56</v>
      </c>
      <c r="H775" s="21" t="s">
        <v>39</v>
      </c>
      <c r="I775" s="21">
        <v>1</v>
      </c>
      <c r="J775" s="21" t="s">
        <v>46</v>
      </c>
      <c r="K775" s="15">
        <f>(VLOOKUP(H775,'[1]BOM Info General'!$A:$L,12,0))*I775</f>
        <v>24.42</v>
      </c>
      <c r="L775" s="22" t="s">
        <v>78</v>
      </c>
      <c r="M775" s="22">
        <v>1</v>
      </c>
      <c r="N775" s="22" t="s">
        <v>75</v>
      </c>
      <c r="O775" s="9">
        <f>(VLOOKUP(L775,'[1]Simulation pricing per sub assy'!$D:$E,2,0))*M775</f>
        <v>43.608799999999988</v>
      </c>
      <c r="P775" s="23" t="s">
        <v>50</v>
      </c>
      <c r="Q775" s="23">
        <v>2</v>
      </c>
      <c r="R775" s="23" t="s">
        <v>16</v>
      </c>
      <c r="S775" s="40">
        <f>(VLOOKUP(P775,'[1]BOM Info General'!$A:$L,12,0))*Q775</f>
        <v>5.3</v>
      </c>
      <c r="T775" s="24" t="s">
        <v>12</v>
      </c>
      <c r="U775" s="24">
        <v>1</v>
      </c>
      <c r="V775" s="24" t="s">
        <v>13</v>
      </c>
      <c r="W775" s="17">
        <f>(VLOOKUP(T775,'[1]Simulation pricing per sub assy'!$D:$E,2,0))*U775</f>
        <v>1.9</v>
      </c>
      <c r="X775" s="18" t="s">
        <v>615</v>
      </c>
      <c r="Y775" s="25">
        <v>1</v>
      </c>
      <c r="Z775" s="25" t="s">
        <v>9</v>
      </c>
      <c r="AA775" s="18">
        <f>(VLOOKUP(X775,'[1]Simulation pricing per sub assy'!$D:$E,2,0))*Y775</f>
        <v>1.5769808000000001</v>
      </c>
    </row>
    <row r="776" spans="1:27" x14ac:dyDescent="0.35">
      <c r="A776" s="13" t="s">
        <v>1793</v>
      </c>
      <c r="B776" s="13" t="s">
        <v>1794</v>
      </c>
      <c r="C776" s="42">
        <f t="shared" si="12"/>
        <v>120.0357808</v>
      </c>
      <c r="D776" s="20" t="s">
        <v>42</v>
      </c>
      <c r="E776" s="20">
        <v>1</v>
      </c>
      <c r="F776" s="20" t="s">
        <v>3982</v>
      </c>
      <c r="G776" s="14">
        <f>(VLOOKUP(D776,'[1]BOM Info General'!$A:$L,12,0))*E776</f>
        <v>35.56</v>
      </c>
      <c r="H776" s="21" t="s">
        <v>39</v>
      </c>
      <c r="I776" s="21">
        <v>1</v>
      </c>
      <c r="J776" s="21" t="s">
        <v>46</v>
      </c>
      <c r="K776" s="15">
        <f>(VLOOKUP(H776,'[1]BOM Info General'!$A:$L,12,0))*I776</f>
        <v>24.42</v>
      </c>
      <c r="L776" s="22" t="s">
        <v>74</v>
      </c>
      <c r="M776" s="22">
        <v>1</v>
      </c>
      <c r="N776" s="22" t="s">
        <v>77</v>
      </c>
      <c r="O776" s="9">
        <f>(VLOOKUP(L776,'[1]Simulation pricing per sub assy'!$D:$E,2,0))*M776</f>
        <v>51.27879999999999</v>
      </c>
      <c r="P776" s="23" t="s">
        <v>50</v>
      </c>
      <c r="Q776" s="23">
        <v>2</v>
      </c>
      <c r="R776" s="23" t="s">
        <v>16</v>
      </c>
      <c r="S776" s="40">
        <f>(VLOOKUP(P776,'[1]BOM Info General'!$A:$L,12,0))*Q776</f>
        <v>5.3</v>
      </c>
      <c r="T776" s="24" t="s">
        <v>12</v>
      </c>
      <c r="U776" s="24">
        <v>1</v>
      </c>
      <c r="V776" s="24" t="s">
        <v>13</v>
      </c>
      <c r="W776" s="17">
        <f>(VLOOKUP(T776,'[1]Simulation pricing per sub assy'!$D:$E,2,0))*U776</f>
        <v>1.9</v>
      </c>
      <c r="X776" s="18" t="s">
        <v>615</v>
      </c>
      <c r="Y776" s="25">
        <v>1</v>
      </c>
      <c r="Z776" s="25" t="s">
        <v>9</v>
      </c>
      <c r="AA776" s="18">
        <f>(VLOOKUP(X776,'[1]Simulation pricing per sub assy'!$D:$E,2,0))*Y776</f>
        <v>1.5769808000000001</v>
      </c>
    </row>
    <row r="777" spans="1:27" x14ac:dyDescent="0.35">
      <c r="A777" s="13" t="s">
        <v>1813</v>
      </c>
      <c r="B777" s="13" t="s">
        <v>1814</v>
      </c>
      <c r="C777" s="42">
        <f t="shared" si="12"/>
        <v>111.0657808</v>
      </c>
      <c r="D777" s="20" t="s">
        <v>42</v>
      </c>
      <c r="E777" s="20">
        <v>1</v>
      </c>
      <c r="F777" s="20" t="s">
        <v>3982</v>
      </c>
      <c r="G777" s="14">
        <f>(VLOOKUP(D777,'[1]BOM Info General'!$A:$L,12,0))*E777</f>
        <v>35.56</v>
      </c>
      <c r="H777" s="21" t="s">
        <v>39</v>
      </c>
      <c r="I777" s="21">
        <v>1</v>
      </c>
      <c r="J777" s="21" t="s">
        <v>46</v>
      </c>
      <c r="K777" s="15">
        <f>(VLOOKUP(H777,'[1]BOM Info General'!$A:$L,12,0))*I777</f>
        <v>24.42</v>
      </c>
      <c r="L777" s="22" t="s">
        <v>527</v>
      </c>
      <c r="M777" s="22">
        <v>1</v>
      </c>
      <c r="N777" s="22" t="s">
        <v>79</v>
      </c>
      <c r="O777" s="9">
        <f>(VLOOKUP(L777,'[1]Simulation pricing per sub assy'!$D:$E,2,0))*M777</f>
        <v>42.308799999999991</v>
      </c>
      <c r="P777" s="23" t="s">
        <v>50</v>
      </c>
      <c r="Q777" s="23">
        <v>2</v>
      </c>
      <c r="R777" s="23" t="s">
        <v>16</v>
      </c>
      <c r="S777" s="40">
        <f>(VLOOKUP(P777,'[1]BOM Info General'!$A:$L,12,0))*Q777</f>
        <v>5.3</v>
      </c>
      <c r="T777" s="24" t="s">
        <v>14</v>
      </c>
      <c r="U777" s="24">
        <v>1</v>
      </c>
      <c r="V777" s="24" t="s">
        <v>15</v>
      </c>
      <c r="W777" s="17">
        <f>(VLOOKUP(T777,'[1]Simulation pricing per sub assy'!$D:$E,2,0))*U777</f>
        <v>1.9</v>
      </c>
      <c r="X777" s="18" t="s">
        <v>615</v>
      </c>
      <c r="Y777" s="25">
        <v>1</v>
      </c>
      <c r="Z777" s="25" t="s">
        <v>9</v>
      </c>
      <c r="AA777" s="18">
        <f>(VLOOKUP(X777,'[1]Simulation pricing per sub assy'!$D:$E,2,0))*Y777</f>
        <v>1.5769808000000001</v>
      </c>
    </row>
    <row r="778" spans="1:27" x14ac:dyDescent="0.35">
      <c r="A778" s="13" t="s">
        <v>1741</v>
      </c>
      <c r="B778" s="13" t="s">
        <v>1742</v>
      </c>
      <c r="C778" s="42">
        <f t="shared" si="12"/>
        <v>112.0457808</v>
      </c>
      <c r="D778" s="20" t="s">
        <v>42</v>
      </c>
      <c r="E778" s="20">
        <v>1</v>
      </c>
      <c r="F778" s="20" t="s">
        <v>3982</v>
      </c>
      <c r="G778" s="14">
        <f>(VLOOKUP(D778,'[1]BOM Info General'!$A:$L,12,0))*E778</f>
        <v>35.56</v>
      </c>
      <c r="H778" s="21" t="s">
        <v>39</v>
      </c>
      <c r="I778" s="21">
        <v>1</v>
      </c>
      <c r="J778" s="21" t="s">
        <v>46</v>
      </c>
      <c r="K778" s="15">
        <f>(VLOOKUP(H778,'[1]BOM Info General'!$A:$L,12,0))*I778</f>
        <v>24.42</v>
      </c>
      <c r="L778" s="22" t="s">
        <v>76</v>
      </c>
      <c r="M778" s="22">
        <v>1</v>
      </c>
      <c r="N778" s="22" t="s">
        <v>73</v>
      </c>
      <c r="O778" s="9">
        <f>(VLOOKUP(L778,'[1]Simulation pricing per sub assy'!$D:$E,2,0))*M778</f>
        <v>43.288799999999988</v>
      </c>
      <c r="P778" s="23" t="s">
        <v>50</v>
      </c>
      <c r="Q778" s="23">
        <v>2</v>
      </c>
      <c r="R778" s="23" t="s">
        <v>16</v>
      </c>
      <c r="S778" s="40">
        <f>(VLOOKUP(P778,'[1]BOM Info General'!$A:$L,12,0))*Q778</f>
        <v>5.3</v>
      </c>
      <c r="T778" s="24" t="s">
        <v>14</v>
      </c>
      <c r="U778" s="24">
        <v>1</v>
      </c>
      <c r="V778" s="24" t="s">
        <v>15</v>
      </c>
      <c r="W778" s="17">
        <f>(VLOOKUP(T778,'[1]Simulation pricing per sub assy'!$D:$E,2,0))*U778</f>
        <v>1.9</v>
      </c>
      <c r="X778" s="18" t="s">
        <v>615</v>
      </c>
      <c r="Y778" s="25">
        <v>1</v>
      </c>
      <c r="Z778" s="25" t="s">
        <v>9</v>
      </c>
      <c r="AA778" s="18">
        <f>(VLOOKUP(X778,'[1]Simulation pricing per sub assy'!$D:$E,2,0))*Y778</f>
        <v>1.5769808000000001</v>
      </c>
    </row>
    <row r="779" spans="1:27" x14ac:dyDescent="0.35">
      <c r="A779" s="13" t="s">
        <v>1777</v>
      </c>
      <c r="B779" s="13" t="s">
        <v>1778</v>
      </c>
      <c r="C779" s="42">
        <f t="shared" si="12"/>
        <v>112.6257808</v>
      </c>
      <c r="D779" s="20" t="s">
        <v>42</v>
      </c>
      <c r="E779" s="20">
        <v>1</v>
      </c>
      <c r="F779" s="20" t="s">
        <v>3982</v>
      </c>
      <c r="G779" s="14">
        <f>(VLOOKUP(D779,'[1]BOM Info General'!$A:$L,12,0))*E779</f>
        <v>35.56</v>
      </c>
      <c r="H779" s="21" t="s">
        <v>39</v>
      </c>
      <c r="I779" s="21">
        <v>1</v>
      </c>
      <c r="J779" s="21" t="s">
        <v>46</v>
      </c>
      <c r="K779" s="15">
        <f>(VLOOKUP(H779,'[1]BOM Info General'!$A:$L,12,0))*I779</f>
        <v>24.42</v>
      </c>
      <c r="L779" s="22" t="s">
        <v>72</v>
      </c>
      <c r="M779" s="22">
        <v>1</v>
      </c>
      <c r="N779" s="22" t="s">
        <v>71</v>
      </c>
      <c r="O779" s="9">
        <f>(VLOOKUP(L779,'[1]Simulation pricing per sub assy'!$D:$E,2,0))*M779</f>
        <v>43.868799999999993</v>
      </c>
      <c r="P779" s="23" t="s">
        <v>50</v>
      </c>
      <c r="Q779" s="23">
        <v>2</v>
      </c>
      <c r="R779" s="23" t="s">
        <v>16</v>
      </c>
      <c r="S779" s="40">
        <f>(VLOOKUP(P779,'[1]BOM Info General'!$A:$L,12,0))*Q779</f>
        <v>5.3</v>
      </c>
      <c r="T779" s="24" t="s">
        <v>14</v>
      </c>
      <c r="U779" s="24">
        <v>1</v>
      </c>
      <c r="V779" s="24" t="s">
        <v>15</v>
      </c>
      <c r="W779" s="17">
        <f>(VLOOKUP(T779,'[1]Simulation pricing per sub assy'!$D:$E,2,0))*U779</f>
        <v>1.9</v>
      </c>
      <c r="X779" s="18" t="s">
        <v>615</v>
      </c>
      <c r="Y779" s="25">
        <v>1</v>
      </c>
      <c r="Z779" s="25" t="s">
        <v>9</v>
      </c>
      <c r="AA779" s="18">
        <f>(VLOOKUP(X779,'[1]Simulation pricing per sub assy'!$D:$E,2,0))*Y779</f>
        <v>1.5769808000000001</v>
      </c>
    </row>
    <row r="780" spans="1:27" x14ac:dyDescent="0.35">
      <c r="A780" s="13" t="s">
        <v>1759</v>
      </c>
      <c r="B780" s="13" t="s">
        <v>1760</v>
      </c>
      <c r="C780" s="42">
        <f t="shared" si="12"/>
        <v>112.3657808</v>
      </c>
      <c r="D780" s="20" t="s">
        <v>42</v>
      </c>
      <c r="E780" s="20">
        <v>1</v>
      </c>
      <c r="F780" s="20" t="s">
        <v>3982</v>
      </c>
      <c r="G780" s="14">
        <f>(VLOOKUP(D780,'[1]BOM Info General'!$A:$L,12,0))*E780</f>
        <v>35.56</v>
      </c>
      <c r="H780" s="21" t="s">
        <v>39</v>
      </c>
      <c r="I780" s="21">
        <v>1</v>
      </c>
      <c r="J780" s="21" t="s">
        <v>46</v>
      </c>
      <c r="K780" s="15">
        <f>(VLOOKUP(H780,'[1]BOM Info General'!$A:$L,12,0))*I780</f>
        <v>24.42</v>
      </c>
      <c r="L780" s="22" t="s">
        <v>78</v>
      </c>
      <c r="M780" s="22">
        <v>1</v>
      </c>
      <c r="N780" s="22" t="s">
        <v>75</v>
      </c>
      <c r="O780" s="9">
        <f>(VLOOKUP(L780,'[1]Simulation pricing per sub assy'!$D:$E,2,0))*M780</f>
        <v>43.608799999999988</v>
      </c>
      <c r="P780" s="23" t="s">
        <v>50</v>
      </c>
      <c r="Q780" s="23">
        <v>2</v>
      </c>
      <c r="R780" s="23" t="s">
        <v>16</v>
      </c>
      <c r="S780" s="40">
        <f>(VLOOKUP(P780,'[1]BOM Info General'!$A:$L,12,0))*Q780</f>
        <v>5.3</v>
      </c>
      <c r="T780" s="24" t="s">
        <v>14</v>
      </c>
      <c r="U780" s="24">
        <v>1</v>
      </c>
      <c r="V780" s="24" t="s">
        <v>15</v>
      </c>
      <c r="W780" s="17">
        <f>(VLOOKUP(T780,'[1]Simulation pricing per sub assy'!$D:$E,2,0))*U780</f>
        <v>1.9</v>
      </c>
      <c r="X780" s="18" t="s">
        <v>615</v>
      </c>
      <c r="Y780" s="25">
        <v>1</v>
      </c>
      <c r="Z780" s="25" t="s">
        <v>9</v>
      </c>
      <c r="AA780" s="18">
        <f>(VLOOKUP(X780,'[1]Simulation pricing per sub assy'!$D:$E,2,0))*Y780</f>
        <v>1.5769808000000001</v>
      </c>
    </row>
    <row r="781" spans="1:27" x14ac:dyDescent="0.35">
      <c r="A781" s="13" t="s">
        <v>1795</v>
      </c>
      <c r="B781" s="13" t="s">
        <v>1796</v>
      </c>
      <c r="C781" s="42">
        <f t="shared" si="12"/>
        <v>120.0357808</v>
      </c>
      <c r="D781" s="20" t="s">
        <v>42</v>
      </c>
      <c r="E781" s="20">
        <v>1</v>
      </c>
      <c r="F781" s="20" t="s">
        <v>3982</v>
      </c>
      <c r="G781" s="14">
        <f>(VLOOKUP(D781,'[1]BOM Info General'!$A:$L,12,0))*E781</f>
        <v>35.56</v>
      </c>
      <c r="H781" s="21" t="s">
        <v>39</v>
      </c>
      <c r="I781" s="21">
        <v>1</v>
      </c>
      <c r="J781" s="21" t="s">
        <v>46</v>
      </c>
      <c r="K781" s="15">
        <f>(VLOOKUP(H781,'[1]BOM Info General'!$A:$L,12,0))*I781</f>
        <v>24.42</v>
      </c>
      <c r="L781" s="22" t="s">
        <v>74</v>
      </c>
      <c r="M781" s="22">
        <v>1</v>
      </c>
      <c r="N781" s="22" t="s">
        <v>77</v>
      </c>
      <c r="O781" s="9">
        <f>(VLOOKUP(L781,'[1]Simulation pricing per sub assy'!$D:$E,2,0))*M781</f>
        <v>51.27879999999999</v>
      </c>
      <c r="P781" s="23" t="s">
        <v>50</v>
      </c>
      <c r="Q781" s="23">
        <v>2</v>
      </c>
      <c r="R781" s="23" t="s">
        <v>16</v>
      </c>
      <c r="S781" s="40">
        <f>(VLOOKUP(P781,'[1]BOM Info General'!$A:$L,12,0))*Q781</f>
        <v>5.3</v>
      </c>
      <c r="T781" s="24" t="s">
        <v>14</v>
      </c>
      <c r="U781" s="24">
        <v>1</v>
      </c>
      <c r="V781" s="24" t="s">
        <v>15</v>
      </c>
      <c r="W781" s="17">
        <f>(VLOOKUP(T781,'[1]Simulation pricing per sub assy'!$D:$E,2,0))*U781</f>
        <v>1.9</v>
      </c>
      <c r="X781" s="18" t="s">
        <v>615</v>
      </c>
      <c r="Y781" s="25">
        <v>1</v>
      </c>
      <c r="Z781" s="25" t="s">
        <v>9</v>
      </c>
      <c r="AA781" s="18">
        <f>(VLOOKUP(X781,'[1]Simulation pricing per sub assy'!$D:$E,2,0))*Y781</f>
        <v>1.5769808000000001</v>
      </c>
    </row>
    <row r="782" spans="1:27" x14ac:dyDescent="0.35">
      <c r="A782" s="13" t="s">
        <v>1815</v>
      </c>
      <c r="B782" s="13" t="s">
        <v>1816</v>
      </c>
      <c r="C782" s="42">
        <f t="shared" si="12"/>
        <v>111.21578079999999</v>
      </c>
      <c r="D782" s="20" t="s">
        <v>42</v>
      </c>
      <c r="E782" s="20">
        <v>1</v>
      </c>
      <c r="F782" s="20" t="s">
        <v>3982</v>
      </c>
      <c r="G782" s="14">
        <f>(VLOOKUP(D782,'[1]BOM Info General'!$A:$L,12,0))*E782</f>
        <v>35.56</v>
      </c>
      <c r="H782" s="21" t="s">
        <v>39</v>
      </c>
      <c r="I782" s="21">
        <v>1</v>
      </c>
      <c r="J782" s="21" t="s">
        <v>46</v>
      </c>
      <c r="K782" s="15">
        <f>(VLOOKUP(H782,'[1]BOM Info General'!$A:$L,12,0))*I782</f>
        <v>24.42</v>
      </c>
      <c r="L782" s="22" t="s">
        <v>527</v>
      </c>
      <c r="M782" s="22">
        <v>1</v>
      </c>
      <c r="N782" s="22" t="s">
        <v>79</v>
      </c>
      <c r="O782" s="9">
        <f>(VLOOKUP(L782,'[1]Simulation pricing per sub assy'!$D:$E,2,0))*M782</f>
        <v>42.308799999999991</v>
      </c>
      <c r="P782" s="23" t="s">
        <v>51</v>
      </c>
      <c r="Q782" s="23">
        <v>2</v>
      </c>
      <c r="R782" s="23" t="s">
        <v>17</v>
      </c>
      <c r="S782" s="40">
        <f>(VLOOKUP(P782,'[1]BOM Info General'!$A:$L,12,0))*Q782</f>
        <v>5.3</v>
      </c>
      <c r="T782" s="24" t="s">
        <v>10</v>
      </c>
      <c r="U782" s="24">
        <v>1</v>
      </c>
      <c r="V782" s="24" t="s">
        <v>11</v>
      </c>
      <c r="W782" s="17">
        <f>(VLOOKUP(T782,'[1]Simulation pricing per sub assy'!$D:$E,2,0))*U782</f>
        <v>2.0499999999999998</v>
      </c>
      <c r="X782" s="18" t="s">
        <v>615</v>
      </c>
      <c r="Y782" s="25">
        <v>1</v>
      </c>
      <c r="Z782" s="25" t="s">
        <v>9</v>
      </c>
      <c r="AA782" s="18">
        <f>(VLOOKUP(X782,'[1]Simulation pricing per sub assy'!$D:$E,2,0))*Y782</f>
        <v>1.5769808000000001</v>
      </c>
    </row>
    <row r="783" spans="1:27" x14ac:dyDescent="0.35">
      <c r="A783" s="13" t="s">
        <v>1743</v>
      </c>
      <c r="B783" s="13" t="s">
        <v>1744</v>
      </c>
      <c r="C783" s="42">
        <f t="shared" si="12"/>
        <v>112.19578079999999</v>
      </c>
      <c r="D783" s="20" t="s">
        <v>42</v>
      </c>
      <c r="E783" s="20">
        <v>1</v>
      </c>
      <c r="F783" s="20" t="s">
        <v>3982</v>
      </c>
      <c r="G783" s="14">
        <f>(VLOOKUP(D783,'[1]BOM Info General'!$A:$L,12,0))*E783</f>
        <v>35.56</v>
      </c>
      <c r="H783" s="21" t="s">
        <v>39</v>
      </c>
      <c r="I783" s="21">
        <v>1</v>
      </c>
      <c r="J783" s="21" t="s">
        <v>46</v>
      </c>
      <c r="K783" s="15">
        <f>(VLOOKUP(H783,'[1]BOM Info General'!$A:$L,12,0))*I783</f>
        <v>24.42</v>
      </c>
      <c r="L783" s="22" t="s">
        <v>76</v>
      </c>
      <c r="M783" s="22">
        <v>1</v>
      </c>
      <c r="N783" s="22" t="s">
        <v>73</v>
      </c>
      <c r="O783" s="9">
        <f>(VLOOKUP(L783,'[1]Simulation pricing per sub assy'!$D:$E,2,0))*M783</f>
        <v>43.288799999999988</v>
      </c>
      <c r="P783" s="23" t="s">
        <v>51</v>
      </c>
      <c r="Q783" s="23">
        <v>2</v>
      </c>
      <c r="R783" s="23" t="s">
        <v>17</v>
      </c>
      <c r="S783" s="40">
        <f>(VLOOKUP(P783,'[1]BOM Info General'!$A:$L,12,0))*Q783</f>
        <v>5.3</v>
      </c>
      <c r="T783" s="24" t="s">
        <v>10</v>
      </c>
      <c r="U783" s="24">
        <v>1</v>
      </c>
      <c r="V783" s="24" t="s">
        <v>11</v>
      </c>
      <c r="W783" s="17">
        <f>(VLOOKUP(T783,'[1]Simulation pricing per sub assy'!$D:$E,2,0))*U783</f>
        <v>2.0499999999999998</v>
      </c>
      <c r="X783" s="18" t="s">
        <v>615</v>
      </c>
      <c r="Y783" s="25">
        <v>1</v>
      </c>
      <c r="Z783" s="25" t="s">
        <v>9</v>
      </c>
      <c r="AA783" s="18">
        <f>(VLOOKUP(X783,'[1]Simulation pricing per sub assy'!$D:$E,2,0))*Y783</f>
        <v>1.5769808000000001</v>
      </c>
    </row>
    <row r="784" spans="1:27" x14ac:dyDescent="0.35">
      <c r="A784" s="13" t="s">
        <v>1779</v>
      </c>
      <c r="B784" s="13" t="s">
        <v>1780</v>
      </c>
      <c r="C784" s="42">
        <f t="shared" si="12"/>
        <v>112.77578079999999</v>
      </c>
      <c r="D784" s="20" t="s">
        <v>42</v>
      </c>
      <c r="E784" s="20">
        <v>1</v>
      </c>
      <c r="F784" s="20" t="s">
        <v>3982</v>
      </c>
      <c r="G784" s="14">
        <f>(VLOOKUP(D784,'[1]BOM Info General'!$A:$L,12,0))*E784</f>
        <v>35.56</v>
      </c>
      <c r="H784" s="21" t="s">
        <v>39</v>
      </c>
      <c r="I784" s="21">
        <v>1</v>
      </c>
      <c r="J784" s="21" t="s">
        <v>46</v>
      </c>
      <c r="K784" s="15">
        <f>(VLOOKUP(H784,'[1]BOM Info General'!$A:$L,12,0))*I784</f>
        <v>24.42</v>
      </c>
      <c r="L784" s="22" t="s">
        <v>72</v>
      </c>
      <c r="M784" s="22">
        <v>1</v>
      </c>
      <c r="N784" s="22" t="s">
        <v>71</v>
      </c>
      <c r="O784" s="9">
        <f>(VLOOKUP(L784,'[1]Simulation pricing per sub assy'!$D:$E,2,0))*M784</f>
        <v>43.868799999999993</v>
      </c>
      <c r="P784" s="23" t="s">
        <v>51</v>
      </c>
      <c r="Q784" s="23">
        <v>2</v>
      </c>
      <c r="R784" s="23" t="s">
        <v>17</v>
      </c>
      <c r="S784" s="40">
        <f>(VLOOKUP(P784,'[1]BOM Info General'!$A:$L,12,0))*Q784</f>
        <v>5.3</v>
      </c>
      <c r="T784" s="24" t="s">
        <v>10</v>
      </c>
      <c r="U784" s="24">
        <v>1</v>
      </c>
      <c r="V784" s="24" t="s">
        <v>11</v>
      </c>
      <c r="W784" s="17">
        <f>(VLOOKUP(T784,'[1]Simulation pricing per sub assy'!$D:$E,2,0))*U784</f>
        <v>2.0499999999999998</v>
      </c>
      <c r="X784" s="18" t="s">
        <v>615</v>
      </c>
      <c r="Y784" s="25">
        <v>1</v>
      </c>
      <c r="Z784" s="25" t="s">
        <v>9</v>
      </c>
      <c r="AA784" s="18">
        <f>(VLOOKUP(X784,'[1]Simulation pricing per sub assy'!$D:$E,2,0))*Y784</f>
        <v>1.5769808000000001</v>
      </c>
    </row>
    <row r="785" spans="1:27" x14ac:dyDescent="0.35">
      <c r="A785" s="13" t="s">
        <v>1761</v>
      </c>
      <c r="B785" s="13" t="s">
        <v>1762</v>
      </c>
      <c r="C785" s="42">
        <f t="shared" si="12"/>
        <v>112.51578079999999</v>
      </c>
      <c r="D785" s="20" t="s">
        <v>42</v>
      </c>
      <c r="E785" s="20">
        <v>1</v>
      </c>
      <c r="F785" s="20" t="s">
        <v>3982</v>
      </c>
      <c r="G785" s="14">
        <f>(VLOOKUP(D785,'[1]BOM Info General'!$A:$L,12,0))*E785</f>
        <v>35.56</v>
      </c>
      <c r="H785" s="21" t="s">
        <v>39</v>
      </c>
      <c r="I785" s="21">
        <v>1</v>
      </c>
      <c r="J785" s="21" t="s">
        <v>46</v>
      </c>
      <c r="K785" s="15">
        <f>(VLOOKUP(H785,'[1]BOM Info General'!$A:$L,12,0))*I785</f>
        <v>24.42</v>
      </c>
      <c r="L785" s="22" t="s">
        <v>78</v>
      </c>
      <c r="M785" s="22">
        <v>1</v>
      </c>
      <c r="N785" s="22" t="s">
        <v>75</v>
      </c>
      <c r="O785" s="9">
        <f>(VLOOKUP(L785,'[1]Simulation pricing per sub assy'!$D:$E,2,0))*M785</f>
        <v>43.608799999999988</v>
      </c>
      <c r="P785" s="23" t="s">
        <v>51</v>
      </c>
      <c r="Q785" s="23">
        <v>2</v>
      </c>
      <c r="R785" s="23" t="s">
        <v>17</v>
      </c>
      <c r="S785" s="40">
        <f>(VLOOKUP(P785,'[1]BOM Info General'!$A:$L,12,0))*Q785</f>
        <v>5.3</v>
      </c>
      <c r="T785" s="24" t="s">
        <v>10</v>
      </c>
      <c r="U785" s="24">
        <v>1</v>
      </c>
      <c r="V785" s="24" t="s">
        <v>11</v>
      </c>
      <c r="W785" s="17">
        <f>(VLOOKUP(T785,'[1]Simulation pricing per sub assy'!$D:$E,2,0))*U785</f>
        <v>2.0499999999999998</v>
      </c>
      <c r="X785" s="18" t="s">
        <v>615</v>
      </c>
      <c r="Y785" s="25">
        <v>1</v>
      </c>
      <c r="Z785" s="25" t="s">
        <v>9</v>
      </c>
      <c r="AA785" s="18">
        <f>(VLOOKUP(X785,'[1]Simulation pricing per sub assy'!$D:$E,2,0))*Y785</f>
        <v>1.5769808000000001</v>
      </c>
    </row>
    <row r="786" spans="1:27" x14ac:dyDescent="0.35">
      <c r="A786" s="13" t="s">
        <v>1797</v>
      </c>
      <c r="B786" s="13" t="s">
        <v>1798</v>
      </c>
      <c r="C786" s="42">
        <f t="shared" si="12"/>
        <v>120.18578079999999</v>
      </c>
      <c r="D786" s="20" t="s">
        <v>42</v>
      </c>
      <c r="E786" s="20">
        <v>1</v>
      </c>
      <c r="F786" s="20" t="s">
        <v>3982</v>
      </c>
      <c r="G786" s="14">
        <f>(VLOOKUP(D786,'[1]BOM Info General'!$A:$L,12,0))*E786</f>
        <v>35.56</v>
      </c>
      <c r="H786" s="21" t="s">
        <v>39</v>
      </c>
      <c r="I786" s="21">
        <v>1</v>
      </c>
      <c r="J786" s="21" t="s">
        <v>46</v>
      </c>
      <c r="K786" s="15">
        <f>(VLOOKUP(H786,'[1]BOM Info General'!$A:$L,12,0))*I786</f>
        <v>24.42</v>
      </c>
      <c r="L786" s="22" t="s">
        <v>74</v>
      </c>
      <c r="M786" s="22">
        <v>1</v>
      </c>
      <c r="N786" s="22" t="s">
        <v>77</v>
      </c>
      <c r="O786" s="9">
        <f>(VLOOKUP(L786,'[1]Simulation pricing per sub assy'!$D:$E,2,0))*M786</f>
        <v>51.27879999999999</v>
      </c>
      <c r="P786" s="23" t="s">
        <v>51</v>
      </c>
      <c r="Q786" s="23">
        <v>2</v>
      </c>
      <c r="R786" s="23" t="s">
        <v>17</v>
      </c>
      <c r="S786" s="40">
        <f>(VLOOKUP(P786,'[1]BOM Info General'!$A:$L,12,0))*Q786</f>
        <v>5.3</v>
      </c>
      <c r="T786" s="24" t="s">
        <v>10</v>
      </c>
      <c r="U786" s="24">
        <v>1</v>
      </c>
      <c r="V786" s="24" t="s">
        <v>11</v>
      </c>
      <c r="W786" s="17">
        <f>(VLOOKUP(T786,'[1]Simulation pricing per sub assy'!$D:$E,2,0))*U786</f>
        <v>2.0499999999999998</v>
      </c>
      <c r="X786" s="18" t="s">
        <v>615</v>
      </c>
      <c r="Y786" s="25">
        <v>1</v>
      </c>
      <c r="Z786" s="25" t="s">
        <v>9</v>
      </c>
      <c r="AA786" s="18">
        <f>(VLOOKUP(X786,'[1]Simulation pricing per sub assy'!$D:$E,2,0))*Y786</f>
        <v>1.5769808000000001</v>
      </c>
    </row>
    <row r="787" spans="1:27" x14ac:dyDescent="0.35">
      <c r="A787" s="13" t="s">
        <v>1817</v>
      </c>
      <c r="B787" s="13" t="s">
        <v>1818</v>
      </c>
      <c r="C787" s="42">
        <f t="shared" si="12"/>
        <v>111.0657808</v>
      </c>
      <c r="D787" s="20" t="s">
        <v>42</v>
      </c>
      <c r="E787" s="20">
        <v>1</v>
      </c>
      <c r="F787" s="20" t="s">
        <v>3982</v>
      </c>
      <c r="G787" s="14">
        <f>(VLOOKUP(D787,'[1]BOM Info General'!$A:$L,12,0))*E787</f>
        <v>35.56</v>
      </c>
      <c r="H787" s="21" t="s">
        <v>39</v>
      </c>
      <c r="I787" s="21">
        <v>1</v>
      </c>
      <c r="J787" s="21" t="s">
        <v>46</v>
      </c>
      <c r="K787" s="15">
        <f>(VLOOKUP(H787,'[1]BOM Info General'!$A:$L,12,0))*I787</f>
        <v>24.42</v>
      </c>
      <c r="L787" s="22" t="s">
        <v>527</v>
      </c>
      <c r="M787" s="22">
        <v>1</v>
      </c>
      <c r="N787" s="22" t="s">
        <v>79</v>
      </c>
      <c r="O787" s="9">
        <f>(VLOOKUP(L787,'[1]Simulation pricing per sub assy'!$D:$E,2,0))*M787</f>
        <v>42.308799999999991</v>
      </c>
      <c r="P787" s="23" t="s">
        <v>51</v>
      </c>
      <c r="Q787" s="23">
        <v>2</v>
      </c>
      <c r="R787" s="23" t="s">
        <v>17</v>
      </c>
      <c r="S787" s="40">
        <f>(VLOOKUP(P787,'[1]BOM Info General'!$A:$L,12,0))*Q787</f>
        <v>5.3</v>
      </c>
      <c r="T787" s="24" t="s">
        <v>12</v>
      </c>
      <c r="U787" s="24">
        <v>1</v>
      </c>
      <c r="V787" s="24" t="s">
        <v>13</v>
      </c>
      <c r="W787" s="17">
        <f>(VLOOKUP(T787,'[1]Simulation pricing per sub assy'!$D:$E,2,0))*U787</f>
        <v>1.9</v>
      </c>
      <c r="X787" s="18" t="s">
        <v>615</v>
      </c>
      <c r="Y787" s="25">
        <v>1</v>
      </c>
      <c r="Z787" s="25" t="s">
        <v>9</v>
      </c>
      <c r="AA787" s="18">
        <f>(VLOOKUP(X787,'[1]Simulation pricing per sub assy'!$D:$E,2,0))*Y787</f>
        <v>1.5769808000000001</v>
      </c>
    </row>
    <row r="788" spans="1:27" x14ac:dyDescent="0.35">
      <c r="A788" s="13" t="s">
        <v>1745</v>
      </c>
      <c r="B788" s="13" t="s">
        <v>1746</v>
      </c>
      <c r="C788" s="42">
        <f t="shared" si="12"/>
        <v>112.0457808</v>
      </c>
      <c r="D788" s="20" t="s">
        <v>42</v>
      </c>
      <c r="E788" s="20">
        <v>1</v>
      </c>
      <c r="F788" s="20" t="s">
        <v>3982</v>
      </c>
      <c r="G788" s="14">
        <f>(VLOOKUP(D788,'[1]BOM Info General'!$A:$L,12,0))*E788</f>
        <v>35.56</v>
      </c>
      <c r="H788" s="21" t="s">
        <v>39</v>
      </c>
      <c r="I788" s="21">
        <v>1</v>
      </c>
      <c r="J788" s="21" t="s">
        <v>46</v>
      </c>
      <c r="K788" s="15">
        <f>(VLOOKUP(H788,'[1]BOM Info General'!$A:$L,12,0))*I788</f>
        <v>24.42</v>
      </c>
      <c r="L788" s="22" t="s">
        <v>76</v>
      </c>
      <c r="M788" s="22">
        <v>1</v>
      </c>
      <c r="N788" s="22" t="s">
        <v>73</v>
      </c>
      <c r="O788" s="9">
        <f>(VLOOKUP(L788,'[1]Simulation pricing per sub assy'!$D:$E,2,0))*M788</f>
        <v>43.288799999999988</v>
      </c>
      <c r="P788" s="23" t="s">
        <v>51</v>
      </c>
      <c r="Q788" s="23">
        <v>2</v>
      </c>
      <c r="R788" s="23" t="s">
        <v>17</v>
      </c>
      <c r="S788" s="40">
        <f>(VLOOKUP(P788,'[1]BOM Info General'!$A:$L,12,0))*Q788</f>
        <v>5.3</v>
      </c>
      <c r="T788" s="24" t="s">
        <v>12</v>
      </c>
      <c r="U788" s="24">
        <v>1</v>
      </c>
      <c r="V788" s="24" t="s">
        <v>13</v>
      </c>
      <c r="W788" s="17">
        <f>(VLOOKUP(T788,'[1]Simulation pricing per sub assy'!$D:$E,2,0))*U788</f>
        <v>1.9</v>
      </c>
      <c r="X788" s="18" t="s">
        <v>615</v>
      </c>
      <c r="Y788" s="25">
        <v>1</v>
      </c>
      <c r="Z788" s="25" t="s">
        <v>9</v>
      </c>
      <c r="AA788" s="18">
        <f>(VLOOKUP(X788,'[1]Simulation pricing per sub assy'!$D:$E,2,0))*Y788</f>
        <v>1.5769808000000001</v>
      </c>
    </row>
    <row r="789" spans="1:27" x14ac:dyDescent="0.35">
      <c r="A789" s="13" t="s">
        <v>1781</v>
      </c>
      <c r="B789" s="13" t="s">
        <v>1782</v>
      </c>
      <c r="C789" s="42">
        <f t="shared" si="12"/>
        <v>112.6257808</v>
      </c>
      <c r="D789" s="20" t="s">
        <v>42</v>
      </c>
      <c r="E789" s="20">
        <v>1</v>
      </c>
      <c r="F789" s="20" t="s">
        <v>3982</v>
      </c>
      <c r="G789" s="14">
        <f>(VLOOKUP(D789,'[1]BOM Info General'!$A:$L,12,0))*E789</f>
        <v>35.56</v>
      </c>
      <c r="H789" s="21" t="s">
        <v>39</v>
      </c>
      <c r="I789" s="21">
        <v>1</v>
      </c>
      <c r="J789" s="21" t="s">
        <v>46</v>
      </c>
      <c r="K789" s="15">
        <f>(VLOOKUP(H789,'[1]BOM Info General'!$A:$L,12,0))*I789</f>
        <v>24.42</v>
      </c>
      <c r="L789" s="22" t="s">
        <v>72</v>
      </c>
      <c r="M789" s="22">
        <v>1</v>
      </c>
      <c r="N789" s="22" t="s">
        <v>71</v>
      </c>
      <c r="O789" s="9">
        <f>(VLOOKUP(L789,'[1]Simulation pricing per sub assy'!$D:$E,2,0))*M789</f>
        <v>43.868799999999993</v>
      </c>
      <c r="P789" s="23" t="s">
        <v>51</v>
      </c>
      <c r="Q789" s="23">
        <v>2</v>
      </c>
      <c r="R789" s="23" t="s">
        <v>17</v>
      </c>
      <c r="S789" s="40">
        <f>(VLOOKUP(P789,'[1]BOM Info General'!$A:$L,12,0))*Q789</f>
        <v>5.3</v>
      </c>
      <c r="T789" s="24" t="s">
        <v>12</v>
      </c>
      <c r="U789" s="24">
        <v>1</v>
      </c>
      <c r="V789" s="24" t="s">
        <v>13</v>
      </c>
      <c r="W789" s="17">
        <f>(VLOOKUP(T789,'[1]Simulation pricing per sub assy'!$D:$E,2,0))*U789</f>
        <v>1.9</v>
      </c>
      <c r="X789" s="18" t="s">
        <v>615</v>
      </c>
      <c r="Y789" s="25">
        <v>1</v>
      </c>
      <c r="Z789" s="25" t="s">
        <v>9</v>
      </c>
      <c r="AA789" s="18">
        <f>(VLOOKUP(X789,'[1]Simulation pricing per sub assy'!$D:$E,2,0))*Y789</f>
        <v>1.5769808000000001</v>
      </c>
    </row>
    <row r="790" spans="1:27" x14ac:dyDescent="0.35">
      <c r="A790" s="13" t="s">
        <v>1763</v>
      </c>
      <c r="B790" s="13" t="s">
        <v>1764</v>
      </c>
      <c r="C790" s="42">
        <f t="shared" si="12"/>
        <v>112.3657808</v>
      </c>
      <c r="D790" s="20" t="s">
        <v>42</v>
      </c>
      <c r="E790" s="20">
        <v>1</v>
      </c>
      <c r="F790" s="20" t="s">
        <v>3982</v>
      </c>
      <c r="G790" s="14">
        <f>(VLOOKUP(D790,'[1]BOM Info General'!$A:$L,12,0))*E790</f>
        <v>35.56</v>
      </c>
      <c r="H790" s="21" t="s">
        <v>39</v>
      </c>
      <c r="I790" s="21">
        <v>1</v>
      </c>
      <c r="J790" s="21" t="s">
        <v>46</v>
      </c>
      <c r="K790" s="15">
        <f>(VLOOKUP(H790,'[1]BOM Info General'!$A:$L,12,0))*I790</f>
        <v>24.42</v>
      </c>
      <c r="L790" s="22" t="s">
        <v>78</v>
      </c>
      <c r="M790" s="22">
        <v>1</v>
      </c>
      <c r="N790" s="22" t="s">
        <v>75</v>
      </c>
      <c r="O790" s="9">
        <f>(VLOOKUP(L790,'[1]Simulation pricing per sub assy'!$D:$E,2,0))*M790</f>
        <v>43.608799999999988</v>
      </c>
      <c r="P790" s="23" t="s">
        <v>51</v>
      </c>
      <c r="Q790" s="23">
        <v>2</v>
      </c>
      <c r="R790" s="23" t="s">
        <v>17</v>
      </c>
      <c r="S790" s="40">
        <f>(VLOOKUP(P790,'[1]BOM Info General'!$A:$L,12,0))*Q790</f>
        <v>5.3</v>
      </c>
      <c r="T790" s="24" t="s">
        <v>12</v>
      </c>
      <c r="U790" s="24">
        <v>1</v>
      </c>
      <c r="V790" s="24" t="s">
        <v>13</v>
      </c>
      <c r="W790" s="17">
        <f>(VLOOKUP(T790,'[1]Simulation pricing per sub assy'!$D:$E,2,0))*U790</f>
        <v>1.9</v>
      </c>
      <c r="X790" s="18" t="s">
        <v>615</v>
      </c>
      <c r="Y790" s="25">
        <v>1</v>
      </c>
      <c r="Z790" s="25" t="s">
        <v>9</v>
      </c>
      <c r="AA790" s="18">
        <f>(VLOOKUP(X790,'[1]Simulation pricing per sub assy'!$D:$E,2,0))*Y790</f>
        <v>1.5769808000000001</v>
      </c>
    </row>
    <row r="791" spans="1:27" x14ac:dyDescent="0.35">
      <c r="A791" s="13" t="s">
        <v>1799</v>
      </c>
      <c r="B791" s="13" t="s">
        <v>1800</v>
      </c>
      <c r="C791" s="42">
        <f t="shared" si="12"/>
        <v>120.0357808</v>
      </c>
      <c r="D791" s="20" t="s">
        <v>42</v>
      </c>
      <c r="E791" s="20">
        <v>1</v>
      </c>
      <c r="F791" s="20" t="s">
        <v>3982</v>
      </c>
      <c r="G791" s="14">
        <f>(VLOOKUP(D791,'[1]BOM Info General'!$A:$L,12,0))*E791</f>
        <v>35.56</v>
      </c>
      <c r="H791" s="21" t="s">
        <v>39</v>
      </c>
      <c r="I791" s="21">
        <v>1</v>
      </c>
      <c r="J791" s="21" t="s">
        <v>46</v>
      </c>
      <c r="K791" s="15">
        <f>(VLOOKUP(H791,'[1]BOM Info General'!$A:$L,12,0))*I791</f>
        <v>24.42</v>
      </c>
      <c r="L791" s="22" t="s">
        <v>74</v>
      </c>
      <c r="M791" s="22">
        <v>1</v>
      </c>
      <c r="N791" s="22" t="s">
        <v>77</v>
      </c>
      <c r="O791" s="9">
        <f>(VLOOKUP(L791,'[1]Simulation pricing per sub assy'!$D:$E,2,0))*M791</f>
        <v>51.27879999999999</v>
      </c>
      <c r="P791" s="23" t="s">
        <v>51</v>
      </c>
      <c r="Q791" s="23">
        <v>2</v>
      </c>
      <c r="R791" s="23" t="s">
        <v>17</v>
      </c>
      <c r="S791" s="40">
        <f>(VLOOKUP(P791,'[1]BOM Info General'!$A:$L,12,0))*Q791</f>
        <v>5.3</v>
      </c>
      <c r="T791" s="24" t="s">
        <v>12</v>
      </c>
      <c r="U791" s="24">
        <v>1</v>
      </c>
      <c r="V791" s="24" t="s">
        <v>13</v>
      </c>
      <c r="W791" s="17">
        <f>(VLOOKUP(T791,'[1]Simulation pricing per sub assy'!$D:$E,2,0))*U791</f>
        <v>1.9</v>
      </c>
      <c r="X791" s="18" t="s">
        <v>615</v>
      </c>
      <c r="Y791" s="25">
        <v>1</v>
      </c>
      <c r="Z791" s="25" t="s">
        <v>9</v>
      </c>
      <c r="AA791" s="18">
        <f>(VLOOKUP(X791,'[1]Simulation pricing per sub assy'!$D:$E,2,0))*Y791</f>
        <v>1.5769808000000001</v>
      </c>
    </row>
    <row r="792" spans="1:27" x14ac:dyDescent="0.35">
      <c r="A792" s="13" t="s">
        <v>1819</v>
      </c>
      <c r="B792" s="13" t="s">
        <v>1820</v>
      </c>
      <c r="C792" s="42">
        <f t="shared" si="12"/>
        <v>111.0657808</v>
      </c>
      <c r="D792" s="20" t="s">
        <v>42</v>
      </c>
      <c r="E792" s="20">
        <v>1</v>
      </c>
      <c r="F792" s="20" t="s">
        <v>3982</v>
      </c>
      <c r="G792" s="14">
        <f>(VLOOKUP(D792,'[1]BOM Info General'!$A:$L,12,0))*E792</f>
        <v>35.56</v>
      </c>
      <c r="H792" s="21" t="s">
        <v>39</v>
      </c>
      <c r="I792" s="21">
        <v>1</v>
      </c>
      <c r="J792" s="21" t="s">
        <v>46</v>
      </c>
      <c r="K792" s="15">
        <f>(VLOOKUP(H792,'[1]BOM Info General'!$A:$L,12,0))*I792</f>
        <v>24.42</v>
      </c>
      <c r="L792" s="22" t="s">
        <v>527</v>
      </c>
      <c r="M792" s="22">
        <v>1</v>
      </c>
      <c r="N792" s="22" t="s">
        <v>79</v>
      </c>
      <c r="O792" s="9">
        <f>(VLOOKUP(L792,'[1]Simulation pricing per sub assy'!$D:$E,2,0))*M792</f>
        <v>42.308799999999991</v>
      </c>
      <c r="P792" s="23" t="s">
        <v>51</v>
      </c>
      <c r="Q792" s="23">
        <v>2</v>
      </c>
      <c r="R792" s="23" t="s">
        <v>17</v>
      </c>
      <c r="S792" s="40">
        <f>(VLOOKUP(P792,'[1]BOM Info General'!$A:$L,12,0))*Q792</f>
        <v>5.3</v>
      </c>
      <c r="T792" s="24" t="s">
        <v>14</v>
      </c>
      <c r="U792" s="24">
        <v>1</v>
      </c>
      <c r="V792" s="24" t="s">
        <v>15</v>
      </c>
      <c r="W792" s="17">
        <f>(VLOOKUP(T792,'[1]Simulation pricing per sub assy'!$D:$E,2,0))*U792</f>
        <v>1.9</v>
      </c>
      <c r="X792" s="18" t="s">
        <v>615</v>
      </c>
      <c r="Y792" s="25">
        <v>1</v>
      </c>
      <c r="Z792" s="25" t="s">
        <v>9</v>
      </c>
      <c r="AA792" s="18">
        <f>(VLOOKUP(X792,'[1]Simulation pricing per sub assy'!$D:$E,2,0))*Y792</f>
        <v>1.5769808000000001</v>
      </c>
    </row>
    <row r="793" spans="1:27" x14ac:dyDescent="0.35">
      <c r="A793" s="13" t="s">
        <v>1747</v>
      </c>
      <c r="B793" s="13" t="s">
        <v>1748</v>
      </c>
      <c r="C793" s="42">
        <f t="shared" si="12"/>
        <v>112.0457808</v>
      </c>
      <c r="D793" s="20" t="s">
        <v>42</v>
      </c>
      <c r="E793" s="20">
        <v>1</v>
      </c>
      <c r="F793" s="20" t="s">
        <v>3982</v>
      </c>
      <c r="G793" s="14">
        <f>(VLOOKUP(D793,'[1]BOM Info General'!$A:$L,12,0))*E793</f>
        <v>35.56</v>
      </c>
      <c r="H793" s="21" t="s">
        <v>39</v>
      </c>
      <c r="I793" s="21">
        <v>1</v>
      </c>
      <c r="J793" s="21" t="s">
        <v>46</v>
      </c>
      <c r="K793" s="15">
        <f>(VLOOKUP(H793,'[1]BOM Info General'!$A:$L,12,0))*I793</f>
        <v>24.42</v>
      </c>
      <c r="L793" s="22" t="s">
        <v>76</v>
      </c>
      <c r="M793" s="22">
        <v>1</v>
      </c>
      <c r="N793" s="22" t="s">
        <v>73</v>
      </c>
      <c r="O793" s="9">
        <f>(VLOOKUP(L793,'[1]Simulation pricing per sub assy'!$D:$E,2,0))*M793</f>
        <v>43.288799999999988</v>
      </c>
      <c r="P793" s="23" t="s">
        <v>51</v>
      </c>
      <c r="Q793" s="23">
        <v>2</v>
      </c>
      <c r="R793" s="23" t="s">
        <v>17</v>
      </c>
      <c r="S793" s="40">
        <f>(VLOOKUP(P793,'[1]BOM Info General'!$A:$L,12,0))*Q793</f>
        <v>5.3</v>
      </c>
      <c r="T793" s="24" t="s">
        <v>14</v>
      </c>
      <c r="U793" s="24">
        <v>1</v>
      </c>
      <c r="V793" s="24" t="s">
        <v>15</v>
      </c>
      <c r="W793" s="17">
        <f>(VLOOKUP(T793,'[1]Simulation pricing per sub assy'!$D:$E,2,0))*U793</f>
        <v>1.9</v>
      </c>
      <c r="X793" s="18" t="s">
        <v>615</v>
      </c>
      <c r="Y793" s="25">
        <v>1</v>
      </c>
      <c r="Z793" s="25" t="s">
        <v>9</v>
      </c>
      <c r="AA793" s="18">
        <f>(VLOOKUP(X793,'[1]Simulation pricing per sub assy'!$D:$E,2,0))*Y793</f>
        <v>1.5769808000000001</v>
      </c>
    </row>
    <row r="794" spans="1:27" x14ac:dyDescent="0.35">
      <c r="A794" s="13" t="s">
        <v>1783</v>
      </c>
      <c r="B794" s="13" t="s">
        <v>1784</v>
      </c>
      <c r="C794" s="42">
        <f t="shared" si="12"/>
        <v>112.6257808</v>
      </c>
      <c r="D794" s="20" t="s">
        <v>42</v>
      </c>
      <c r="E794" s="20">
        <v>1</v>
      </c>
      <c r="F794" s="20" t="s">
        <v>3982</v>
      </c>
      <c r="G794" s="14">
        <f>(VLOOKUP(D794,'[1]BOM Info General'!$A:$L,12,0))*E794</f>
        <v>35.56</v>
      </c>
      <c r="H794" s="21" t="s">
        <v>39</v>
      </c>
      <c r="I794" s="21">
        <v>1</v>
      </c>
      <c r="J794" s="21" t="s">
        <v>46</v>
      </c>
      <c r="K794" s="15">
        <f>(VLOOKUP(H794,'[1]BOM Info General'!$A:$L,12,0))*I794</f>
        <v>24.42</v>
      </c>
      <c r="L794" s="22" t="s">
        <v>72</v>
      </c>
      <c r="M794" s="22">
        <v>1</v>
      </c>
      <c r="N794" s="22" t="s">
        <v>71</v>
      </c>
      <c r="O794" s="9">
        <f>(VLOOKUP(L794,'[1]Simulation pricing per sub assy'!$D:$E,2,0))*M794</f>
        <v>43.868799999999993</v>
      </c>
      <c r="P794" s="23" t="s">
        <v>51</v>
      </c>
      <c r="Q794" s="23">
        <v>2</v>
      </c>
      <c r="R794" s="23" t="s">
        <v>17</v>
      </c>
      <c r="S794" s="40">
        <f>(VLOOKUP(P794,'[1]BOM Info General'!$A:$L,12,0))*Q794</f>
        <v>5.3</v>
      </c>
      <c r="T794" s="24" t="s">
        <v>14</v>
      </c>
      <c r="U794" s="24">
        <v>1</v>
      </c>
      <c r="V794" s="24" t="s">
        <v>15</v>
      </c>
      <c r="W794" s="17">
        <f>(VLOOKUP(T794,'[1]Simulation pricing per sub assy'!$D:$E,2,0))*U794</f>
        <v>1.9</v>
      </c>
      <c r="X794" s="18" t="s">
        <v>615</v>
      </c>
      <c r="Y794" s="25">
        <v>1</v>
      </c>
      <c r="Z794" s="25" t="s">
        <v>9</v>
      </c>
      <c r="AA794" s="18">
        <f>(VLOOKUP(X794,'[1]Simulation pricing per sub assy'!$D:$E,2,0))*Y794</f>
        <v>1.5769808000000001</v>
      </c>
    </row>
    <row r="795" spans="1:27" x14ac:dyDescent="0.35">
      <c r="A795" s="13" t="s">
        <v>1765</v>
      </c>
      <c r="B795" s="13" t="s">
        <v>1766</v>
      </c>
      <c r="C795" s="42">
        <f t="shared" si="12"/>
        <v>112.3657808</v>
      </c>
      <c r="D795" s="20" t="s">
        <v>42</v>
      </c>
      <c r="E795" s="20">
        <v>1</v>
      </c>
      <c r="F795" s="20" t="s">
        <v>3982</v>
      </c>
      <c r="G795" s="14">
        <f>(VLOOKUP(D795,'[1]BOM Info General'!$A:$L,12,0))*E795</f>
        <v>35.56</v>
      </c>
      <c r="H795" s="21" t="s">
        <v>39</v>
      </c>
      <c r="I795" s="21">
        <v>1</v>
      </c>
      <c r="J795" s="21" t="s">
        <v>46</v>
      </c>
      <c r="K795" s="15">
        <f>(VLOOKUP(H795,'[1]BOM Info General'!$A:$L,12,0))*I795</f>
        <v>24.42</v>
      </c>
      <c r="L795" s="22" t="s">
        <v>78</v>
      </c>
      <c r="M795" s="22">
        <v>1</v>
      </c>
      <c r="N795" s="22" t="s">
        <v>75</v>
      </c>
      <c r="O795" s="9">
        <f>(VLOOKUP(L795,'[1]Simulation pricing per sub assy'!$D:$E,2,0))*M795</f>
        <v>43.608799999999988</v>
      </c>
      <c r="P795" s="23" t="s">
        <v>51</v>
      </c>
      <c r="Q795" s="23">
        <v>2</v>
      </c>
      <c r="R795" s="23" t="s">
        <v>17</v>
      </c>
      <c r="S795" s="40">
        <f>(VLOOKUP(P795,'[1]BOM Info General'!$A:$L,12,0))*Q795</f>
        <v>5.3</v>
      </c>
      <c r="T795" s="24" t="s">
        <v>14</v>
      </c>
      <c r="U795" s="24">
        <v>1</v>
      </c>
      <c r="V795" s="24" t="s">
        <v>15</v>
      </c>
      <c r="W795" s="17">
        <f>(VLOOKUP(T795,'[1]Simulation pricing per sub assy'!$D:$E,2,0))*U795</f>
        <v>1.9</v>
      </c>
      <c r="X795" s="18" t="s">
        <v>615</v>
      </c>
      <c r="Y795" s="25">
        <v>1</v>
      </c>
      <c r="Z795" s="25" t="s">
        <v>9</v>
      </c>
      <c r="AA795" s="18">
        <f>(VLOOKUP(X795,'[1]Simulation pricing per sub assy'!$D:$E,2,0))*Y795</f>
        <v>1.5769808000000001</v>
      </c>
    </row>
    <row r="796" spans="1:27" x14ac:dyDescent="0.35">
      <c r="A796" s="13" t="s">
        <v>1801</v>
      </c>
      <c r="B796" s="13" t="s">
        <v>1802</v>
      </c>
      <c r="C796" s="42">
        <f t="shared" si="12"/>
        <v>120.0357808</v>
      </c>
      <c r="D796" s="20" t="s">
        <v>42</v>
      </c>
      <c r="E796" s="20">
        <v>1</v>
      </c>
      <c r="F796" s="20" t="s">
        <v>3982</v>
      </c>
      <c r="G796" s="14">
        <f>(VLOOKUP(D796,'[1]BOM Info General'!$A:$L,12,0))*E796</f>
        <v>35.56</v>
      </c>
      <c r="H796" s="21" t="s">
        <v>39</v>
      </c>
      <c r="I796" s="21">
        <v>1</v>
      </c>
      <c r="J796" s="21" t="s">
        <v>46</v>
      </c>
      <c r="K796" s="15">
        <f>(VLOOKUP(H796,'[1]BOM Info General'!$A:$L,12,0))*I796</f>
        <v>24.42</v>
      </c>
      <c r="L796" s="22" t="s">
        <v>74</v>
      </c>
      <c r="M796" s="22">
        <v>1</v>
      </c>
      <c r="N796" s="22" t="s">
        <v>77</v>
      </c>
      <c r="O796" s="9">
        <f>(VLOOKUP(L796,'[1]Simulation pricing per sub assy'!$D:$E,2,0))*M796</f>
        <v>51.27879999999999</v>
      </c>
      <c r="P796" s="23" t="s">
        <v>51</v>
      </c>
      <c r="Q796" s="23">
        <v>2</v>
      </c>
      <c r="R796" s="23" t="s">
        <v>17</v>
      </c>
      <c r="S796" s="40">
        <f>(VLOOKUP(P796,'[1]BOM Info General'!$A:$L,12,0))*Q796</f>
        <v>5.3</v>
      </c>
      <c r="T796" s="24" t="s">
        <v>14</v>
      </c>
      <c r="U796" s="24">
        <v>1</v>
      </c>
      <c r="V796" s="24" t="s">
        <v>15</v>
      </c>
      <c r="W796" s="17">
        <f>(VLOOKUP(T796,'[1]Simulation pricing per sub assy'!$D:$E,2,0))*U796</f>
        <v>1.9</v>
      </c>
      <c r="X796" s="18" t="s">
        <v>615</v>
      </c>
      <c r="Y796" s="25">
        <v>1</v>
      </c>
      <c r="Z796" s="25" t="s">
        <v>9</v>
      </c>
      <c r="AA796" s="18">
        <f>(VLOOKUP(X796,'[1]Simulation pricing per sub assy'!$D:$E,2,0))*Y796</f>
        <v>1.5769808000000001</v>
      </c>
    </row>
    <row r="797" spans="1:27" x14ac:dyDescent="0.35">
      <c r="A797" s="13" t="s">
        <v>1821</v>
      </c>
      <c r="B797" s="13" t="s">
        <v>1822</v>
      </c>
      <c r="C797" s="42">
        <f t="shared" si="12"/>
        <v>111.21578079999999</v>
      </c>
      <c r="D797" s="20" t="s">
        <v>42</v>
      </c>
      <c r="E797" s="20">
        <v>1</v>
      </c>
      <c r="F797" s="20" t="s">
        <v>3982</v>
      </c>
      <c r="G797" s="14">
        <f>(VLOOKUP(D797,'[1]BOM Info General'!$A:$L,12,0))*E797</f>
        <v>35.56</v>
      </c>
      <c r="H797" s="21" t="s">
        <v>39</v>
      </c>
      <c r="I797" s="21">
        <v>1</v>
      </c>
      <c r="J797" s="21" t="s">
        <v>46</v>
      </c>
      <c r="K797" s="15">
        <f>(VLOOKUP(H797,'[1]BOM Info General'!$A:$L,12,0))*I797</f>
        <v>24.42</v>
      </c>
      <c r="L797" s="22" t="s">
        <v>527</v>
      </c>
      <c r="M797" s="22">
        <v>1</v>
      </c>
      <c r="N797" s="22" t="s">
        <v>79</v>
      </c>
      <c r="O797" s="9">
        <f>(VLOOKUP(L797,'[1]Simulation pricing per sub assy'!$D:$E,2,0))*M797</f>
        <v>42.308799999999991</v>
      </c>
      <c r="P797" s="23" t="s">
        <v>52</v>
      </c>
      <c r="Q797" s="23">
        <v>2</v>
      </c>
      <c r="R797" s="23" t="s">
        <v>18</v>
      </c>
      <c r="S797" s="40">
        <f>(VLOOKUP(P797,'[1]BOM Info General'!$A:$L,12,0))*Q797</f>
        <v>5.3</v>
      </c>
      <c r="T797" s="24" t="s">
        <v>10</v>
      </c>
      <c r="U797" s="24">
        <v>1</v>
      </c>
      <c r="V797" s="24" t="s">
        <v>11</v>
      </c>
      <c r="W797" s="17">
        <f>(VLOOKUP(T797,'[1]Simulation pricing per sub assy'!$D:$E,2,0))*U797</f>
        <v>2.0499999999999998</v>
      </c>
      <c r="X797" s="18" t="s">
        <v>615</v>
      </c>
      <c r="Y797" s="25">
        <v>1</v>
      </c>
      <c r="Z797" s="25" t="s">
        <v>9</v>
      </c>
      <c r="AA797" s="18">
        <f>(VLOOKUP(X797,'[1]Simulation pricing per sub assy'!$D:$E,2,0))*Y797</f>
        <v>1.5769808000000001</v>
      </c>
    </row>
    <row r="798" spans="1:27" x14ac:dyDescent="0.35">
      <c r="A798" s="13" t="s">
        <v>1749</v>
      </c>
      <c r="B798" s="13" t="s">
        <v>1750</v>
      </c>
      <c r="C798" s="42">
        <f t="shared" si="12"/>
        <v>112.19578079999999</v>
      </c>
      <c r="D798" s="20" t="s">
        <v>42</v>
      </c>
      <c r="E798" s="20">
        <v>1</v>
      </c>
      <c r="F798" s="20" t="s">
        <v>3982</v>
      </c>
      <c r="G798" s="14">
        <f>(VLOOKUP(D798,'[1]BOM Info General'!$A:$L,12,0))*E798</f>
        <v>35.56</v>
      </c>
      <c r="H798" s="21" t="s">
        <v>39</v>
      </c>
      <c r="I798" s="21">
        <v>1</v>
      </c>
      <c r="J798" s="21" t="s">
        <v>46</v>
      </c>
      <c r="K798" s="15">
        <f>(VLOOKUP(H798,'[1]BOM Info General'!$A:$L,12,0))*I798</f>
        <v>24.42</v>
      </c>
      <c r="L798" s="22" t="s">
        <v>76</v>
      </c>
      <c r="M798" s="22">
        <v>1</v>
      </c>
      <c r="N798" s="22" t="s">
        <v>73</v>
      </c>
      <c r="O798" s="9">
        <f>(VLOOKUP(L798,'[1]Simulation pricing per sub assy'!$D:$E,2,0))*M798</f>
        <v>43.288799999999988</v>
      </c>
      <c r="P798" s="23" t="s">
        <v>52</v>
      </c>
      <c r="Q798" s="23">
        <v>2</v>
      </c>
      <c r="R798" s="23" t="s">
        <v>18</v>
      </c>
      <c r="S798" s="40">
        <f>(VLOOKUP(P798,'[1]BOM Info General'!$A:$L,12,0))*Q798</f>
        <v>5.3</v>
      </c>
      <c r="T798" s="24" t="s">
        <v>10</v>
      </c>
      <c r="U798" s="24">
        <v>1</v>
      </c>
      <c r="V798" s="24" t="s">
        <v>11</v>
      </c>
      <c r="W798" s="17">
        <f>(VLOOKUP(T798,'[1]Simulation pricing per sub assy'!$D:$E,2,0))*U798</f>
        <v>2.0499999999999998</v>
      </c>
      <c r="X798" s="18" t="s">
        <v>615</v>
      </c>
      <c r="Y798" s="25">
        <v>1</v>
      </c>
      <c r="Z798" s="25" t="s">
        <v>9</v>
      </c>
      <c r="AA798" s="18">
        <f>(VLOOKUP(X798,'[1]Simulation pricing per sub assy'!$D:$E,2,0))*Y798</f>
        <v>1.5769808000000001</v>
      </c>
    </row>
    <row r="799" spans="1:27" x14ac:dyDescent="0.35">
      <c r="A799" s="13" t="s">
        <v>1785</v>
      </c>
      <c r="B799" s="13" t="s">
        <v>1786</v>
      </c>
      <c r="C799" s="42">
        <f t="shared" si="12"/>
        <v>112.77578079999999</v>
      </c>
      <c r="D799" s="20" t="s">
        <v>42</v>
      </c>
      <c r="E799" s="20">
        <v>1</v>
      </c>
      <c r="F799" s="20" t="s">
        <v>3982</v>
      </c>
      <c r="G799" s="14">
        <f>(VLOOKUP(D799,'[1]BOM Info General'!$A:$L,12,0))*E799</f>
        <v>35.56</v>
      </c>
      <c r="H799" s="21" t="s">
        <v>39</v>
      </c>
      <c r="I799" s="21">
        <v>1</v>
      </c>
      <c r="J799" s="21" t="s">
        <v>46</v>
      </c>
      <c r="K799" s="15">
        <f>(VLOOKUP(H799,'[1]BOM Info General'!$A:$L,12,0))*I799</f>
        <v>24.42</v>
      </c>
      <c r="L799" s="22" t="s">
        <v>72</v>
      </c>
      <c r="M799" s="22">
        <v>1</v>
      </c>
      <c r="N799" s="22" t="s">
        <v>71</v>
      </c>
      <c r="O799" s="9">
        <f>(VLOOKUP(L799,'[1]Simulation pricing per sub assy'!$D:$E,2,0))*M799</f>
        <v>43.868799999999993</v>
      </c>
      <c r="P799" s="23" t="s">
        <v>52</v>
      </c>
      <c r="Q799" s="23">
        <v>2</v>
      </c>
      <c r="R799" s="23" t="s">
        <v>18</v>
      </c>
      <c r="S799" s="40">
        <f>(VLOOKUP(P799,'[1]BOM Info General'!$A:$L,12,0))*Q799</f>
        <v>5.3</v>
      </c>
      <c r="T799" s="24" t="s">
        <v>10</v>
      </c>
      <c r="U799" s="24">
        <v>1</v>
      </c>
      <c r="V799" s="24" t="s">
        <v>11</v>
      </c>
      <c r="W799" s="17">
        <f>(VLOOKUP(T799,'[1]Simulation pricing per sub assy'!$D:$E,2,0))*U799</f>
        <v>2.0499999999999998</v>
      </c>
      <c r="X799" s="18" t="s">
        <v>615</v>
      </c>
      <c r="Y799" s="25">
        <v>1</v>
      </c>
      <c r="Z799" s="25" t="s">
        <v>9</v>
      </c>
      <c r="AA799" s="18">
        <f>(VLOOKUP(X799,'[1]Simulation pricing per sub assy'!$D:$E,2,0))*Y799</f>
        <v>1.5769808000000001</v>
      </c>
    </row>
    <row r="800" spans="1:27" x14ac:dyDescent="0.35">
      <c r="A800" s="13" t="s">
        <v>1767</v>
      </c>
      <c r="B800" s="13" t="s">
        <v>1768</v>
      </c>
      <c r="C800" s="42">
        <f t="shared" si="12"/>
        <v>112.51578079999999</v>
      </c>
      <c r="D800" s="20" t="s">
        <v>42</v>
      </c>
      <c r="E800" s="20">
        <v>1</v>
      </c>
      <c r="F800" s="20" t="s">
        <v>3982</v>
      </c>
      <c r="G800" s="14">
        <f>(VLOOKUP(D800,'[1]BOM Info General'!$A:$L,12,0))*E800</f>
        <v>35.56</v>
      </c>
      <c r="H800" s="21" t="s">
        <v>39</v>
      </c>
      <c r="I800" s="21">
        <v>1</v>
      </c>
      <c r="J800" s="21" t="s">
        <v>46</v>
      </c>
      <c r="K800" s="15">
        <f>(VLOOKUP(H800,'[1]BOM Info General'!$A:$L,12,0))*I800</f>
        <v>24.42</v>
      </c>
      <c r="L800" s="22" t="s">
        <v>78</v>
      </c>
      <c r="M800" s="22">
        <v>1</v>
      </c>
      <c r="N800" s="22" t="s">
        <v>75</v>
      </c>
      <c r="O800" s="9">
        <f>(VLOOKUP(L800,'[1]Simulation pricing per sub assy'!$D:$E,2,0))*M800</f>
        <v>43.608799999999988</v>
      </c>
      <c r="P800" s="23" t="s">
        <v>52</v>
      </c>
      <c r="Q800" s="23">
        <v>2</v>
      </c>
      <c r="R800" s="23" t="s">
        <v>18</v>
      </c>
      <c r="S800" s="40">
        <f>(VLOOKUP(P800,'[1]BOM Info General'!$A:$L,12,0))*Q800</f>
        <v>5.3</v>
      </c>
      <c r="T800" s="24" t="s">
        <v>10</v>
      </c>
      <c r="U800" s="24">
        <v>1</v>
      </c>
      <c r="V800" s="24" t="s">
        <v>11</v>
      </c>
      <c r="W800" s="17">
        <f>(VLOOKUP(T800,'[1]Simulation pricing per sub assy'!$D:$E,2,0))*U800</f>
        <v>2.0499999999999998</v>
      </c>
      <c r="X800" s="18" t="s">
        <v>615</v>
      </c>
      <c r="Y800" s="25">
        <v>1</v>
      </c>
      <c r="Z800" s="25" t="s">
        <v>9</v>
      </c>
      <c r="AA800" s="18">
        <f>(VLOOKUP(X800,'[1]Simulation pricing per sub assy'!$D:$E,2,0))*Y800</f>
        <v>1.5769808000000001</v>
      </c>
    </row>
    <row r="801" spans="1:27" x14ac:dyDescent="0.35">
      <c r="A801" s="13" t="s">
        <v>1803</v>
      </c>
      <c r="B801" s="13" t="s">
        <v>1804</v>
      </c>
      <c r="C801" s="42">
        <f t="shared" si="12"/>
        <v>120.18578079999999</v>
      </c>
      <c r="D801" s="20" t="s">
        <v>42</v>
      </c>
      <c r="E801" s="20">
        <v>1</v>
      </c>
      <c r="F801" s="20" t="s">
        <v>3982</v>
      </c>
      <c r="G801" s="14">
        <f>(VLOOKUP(D801,'[1]BOM Info General'!$A:$L,12,0))*E801</f>
        <v>35.56</v>
      </c>
      <c r="H801" s="21" t="s">
        <v>39</v>
      </c>
      <c r="I801" s="21">
        <v>1</v>
      </c>
      <c r="J801" s="21" t="s">
        <v>46</v>
      </c>
      <c r="K801" s="15">
        <f>(VLOOKUP(H801,'[1]BOM Info General'!$A:$L,12,0))*I801</f>
        <v>24.42</v>
      </c>
      <c r="L801" s="22" t="s">
        <v>74</v>
      </c>
      <c r="M801" s="22">
        <v>1</v>
      </c>
      <c r="N801" s="22" t="s">
        <v>77</v>
      </c>
      <c r="O801" s="9">
        <f>(VLOOKUP(L801,'[1]Simulation pricing per sub assy'!$D:$E,2,0))*M801</f>
        <v>51.27879999999999</v>
      </c>
      <c r="P801" s="23" t="s">
        <v>52</v>
      </c>
      <c r="Q801" s="23">
        <v>2</v>
      </c>
      <c r="R801" s="23" t="s">
        <v>18</v>
      </c>
      <c r="S801" s="40">
        <f>(VLOOKUP(P801,'[1]BOM Info General'!$A:$L,12,0))*Q801</f>
        <v>5.3</v>
      </c>
      <c r="T801" s="24" t="s">
        <v>10</v>
      </c>
      <c r="U801" s="24">
        <v>1</v>
      </c>
      <c r="V801" s="24" t="s">
        <v>11</v>
      </c>
      <c r="W801" s="17">
        <f>(VLOOKUP(T801,'[1]Simulation pricing per sub assy'!$D:$E,2,0))*U801</f>
        <v>2.0499999999999998</v>
      </c>
      <c r="X801" s="18" t="s">
        <v>615</v>
      </c>
      <c r="Y801" s="25">
        <v>1</v>
      </c>
      <c r="Z801" s="25" t="s">
        <v>9</v>
      </c>
      <c r="AA801" s="18">
        <f>(VLOOKUP(X801,'[1]Simulation pricing per sub assy'!$D:$E,2,0))*Y801</f>
        <v>1.5769808000000001</v>
      </c>
    </row>
    <row r="802" spans="1:27" x14ac:dyDescent="0.35">
      <c r="A802" s="13" t="s">
        <v>1823</v>
      </c>
      <c r="B802" s="13" t="s">
        <v>1824</v>
      </c>
      <c r="C802" s="42">
        <f t="shared" si="12"/>
        <v>111.0657808</v>
      </c>
      <c r="D802" s="20" t="s">
        <v>42</v>
      </c>
      <c r="E802" s="20">
        <v>1</v>
      </c>
      <c r="F802" s="20" t="s">
        <v>3982</v>
      </c>
      <c r="G802" s="14">
        <f>(VLOOKUP(D802,'[1]BOM Info General'!$A:$L,12,0))*E802</f>
        <v>35.56</v>
      </c>
      <c r="H802" s="21" t="s">
        <v>39</v>
      </c>
      <c r="I802" s="21">
        <v>1</v>
      </c>
      <c r="J802" s="21" t="s">
        <v>46</v>
      </c>
      <c r="K802" s="15">
        <f>(VLOOKUP(H802,'[1]BOM Info General'!$A:$L,12,0))*I802</f>
        <v>24.42</v>
      </c>
      <c r="L802" s="22" t="s">
        <v>527</v>
      </c>
      <c r="M802" s="22">
        <v>1</v>
      </c>
      <c r="N802" s="22" t="s">
        <v>79</v>
      </c>
      <c r="O802" s="9">
        <f>(VLOOKUP(L802,'[1]Simulation pricing per sub assy'!$D:$E,2,0))*M802</f>
        <v>42.308799999999991</v>
      </c>
      <c r="P802" s="23" t="s">
        <v>52</v>
      </c>
      <c r="Q802" s="23">
        <v>2</v>
      </c>
      <c r="R802" s="23" t="s">
        <v>18</v>
      </c>
      <c r="S802" s="40">
        <f>(VLOOKUP(P802,'[1]BOM Info General'!$A:$L,12,0))*Q802</f>
        <v>5.3</v>
      </c>
      <c r="T802" s="24" t="s">
        <v>12</v>
      </c>
      <c r="U802" s="24">
        <v>1</v>
      </c>
      <c r="V802" s="24" t="s">
        <v>13</v>
      </c>
      <c r="W802" s="17">
        <f>(VLOOKUP(T802,'[1]Simulation pricing per sub assy'!$D:$E,2,0))*U802</f>
        <v>1.9</v>
      </c>
      <c r="X802" s="18" t="s">
        <v>615</v>
      </c>
      <c r="Y802" s="25">
        <v>1</v>
      </c>
      <c r="Z802" s="25" t="s">
        <v>9</v>
      </c>
      <c r="AA802" s="18">
        <f>(VLOOKUP(X802,'[1]Simulation pricing per sub assy'!$D:$E,2,0))*Y802</f>
        <v>1.5769808000000001</v>
      </c>
    </row>
    <row r="803" spans="1:27" x14ac:dyDescent="0.35">
      <c r="A803" s="13" t="s">
        <v>1751</v>
      </c>
      <c r="B803" s="13" t="s">
        <v>1752</v>
      </c>
      <c r="C803" s="42">
        <f t="shared" si="12"/>
        <v>112.0457808</v>
      </c>
      <c r="D803" s="20" t="s">
        <v>42</v>
      </c>
      <c r="E803" s="20">
        <v>1</v>
      </c>
      <c r="F803" s="20" t="s">
        <v>3982</v>
      </c>
      <c r="G803" s="14">
        <f>(VLOOKUP(D803,'[1]BOM Info General'!$A:$L,12,0))*E803</f>
        <v>35.56</v>
      </c>
      <c r="H803" s="21" t="s">
        <v>39</v>
      </c>
      <c r="I803" s="21">
        <v>1</v>
      </c>
      <c r="J803" s="21" t="s">
        <v>46</v>
      </c>
      <c r="K803" s="15">
        <f>(VLOOKUP(H803,'[1]BOM Info General'!$A:$L,12,0))*I803</f>
        <v>24.42</v>
      </c>
      <c r="L803" s="22" t="s">
        <v>76</v>
      </c>
      <c r="M803" s="22">
        <v>1</v>
      </c>
      <c r="N803" s="22" t="s">
        <v>73</v>
      </c>
      <c r="O803" s="9">
        <f>(VLOOKUP(L803,'[1]Simulation pricing per sub assy'!$D:$E,2,0))*M803</f>
        <v>43.288799999999988</v>
      </c>
      <c r="P803" s="23" t="s">
        <v>52</v>
      </c>
      <c r="Q803" s="23">
        <v>2</v>
      </c>
      <c r="R803" s="23" t="s">
        <v>18</v>
      </c>
      <c r="S803" s="40">
        <f>(VLOOKUP(P803,'[1]BOM Info General'!$A:$L,12,0))*Q803</f>
        <v>5.3</v>
      </c>
      <c r="T803" s="24" t="s">
        <v>12</v>
      </c>
      <c r="U803" s="24">
        <v>1</v>
      </c>
      <c r="V803" s="24" t="s">
        <v>13</v>
      </c>
      <c r="W803" s="17">
        <f>(VLOOKUP(T803,'[1]Simulation pricing per sub assy'!$D:$E,2,0))*U803</f>
        <v>1.9</v>
      </c>
      <c r="X803" s="18" t="s">
        <v>615</v>
      </c>
      <c r="Y803" s="25">
        <v>1</v>
      </c>
      <c r="Z803" s="25" t="s">
        <v>9</v>
      </c>
      <c r="AA803" s="18">
        <f>(VLOOKUP(X803,'[1]Simulation pricing per sub assy'!$D:$E,2,0))*Y803</f>
        <v>1.5769808000000001</v>
      </c>
    </row>
    <row r="804" spans="1:27" x14ac:dyDescent="0.35">
      <c r="A804" s="13" t="s">
        <v>1787</v>
      </c>
      <c r="B804" s="13" t="s">
        <v>1788</v>
      </c>
      <c r="C804" s="42">
        <f t="shared" si="12"/>
        <v>112.6257808</v>
      </c>
      <c r="D804" s="20" t="s">
        <v>42</v>
      </c>
      <c r="E804" s="20">
        <v>1</v>
      </c>
      <c r="F804" s="20" t="s">
        <v>3982</v>
      </c>
      <c r="G804" s="14">
        <f>(VLOOKUP(D804,'[1]BOM Info General'!$A:$L,12,0))*E804</f>
        <v>35.56</v>
      </c>
      <c r="H804" s="21" t="s">
        <v>39</v>
      </c>
      <c r="I804" s="21">
        <v>1</v>
      </c>
      <c r="J804" s="21" t="s">
        <v>46</v>
      </c>
      <c r="K804" s="15">
        <f>(VLOOKUP(H804,'[1]BOM Info General'!$A:$L,12,0))*I804</f>
        <v>24.42</v>
      </c>
      <c r="L804" s="22" t="s">
        <v>72</v>
      </c>
      <c r="M804" s="22">
        <v>1</v>
      </c>
      <c r="N804" s="22" t="s">
        <v>71</v>
      </c>
      <c r="O804" s="9">
        <f>(VLOOKUP(L804,'[1]Simulation pricing per sub assy'!$D:$E,2,0))*M804</f>
        <v>43.868799999999993</v>
      </c>
      <c r="P804" s="23" t="s">
        <v>52</v>
      </c>
      <c r="Q804" s="23">
        <v>2</v>
      </c>
      <c r="R804" s="23" t="s">
        <v>18</v>
      </c>
      <c r="S804" s="40">
        <f>(VLOOKUP(P804,'[1]BOM Info General'!$A:$L,12,0))*Q804</f>
        <v>5.3</v>
      </c>
      <c r="T804" s="24" t="s">
        <v>12</v>
      </c>
      <c r="U804" s="24">
        <v>1</v>
      </c>
      <c r="V804" s="24" t="s">
        <v>13</v>
      </c>
      <c r="W804" s="17">
        <f>(VLOOKUP(T804,'[1]Simulation pricing per sub assy'!$D:$E,2,0))*U804</f>
        <v>1.9</v>
      </c>
      <c r="X804" s="18" t="s">
        <v>615</v>
      </c>
      <c r="Y804" s="25">
        <v>1</v>
      </c>
      <c r="Z804" s="25" t="s">
        <v>9</v>
      </c>
      <c r="AA804" s="18">
        <f>(VLOOKUP(X804,'[1]Simulation pricing per sub assy'!$D:$E,2,0))*Y804</f>
        <v>1.5769808000000001</v>
      </c>
    </row>
    <row r="805" spans="1:27" x14ac:dyDescent="0.35">
      <c r="A805" s="13" t="s">
        <v>1769</v>
      </c>
      <c r="B805" s="13" t="s">
        <v>1770</v>
      </c>
      <c r="C805" s="42">
        <f t="shared" si="12"/>
        <v>112.3657808</v>
      </c>
      <c r="D805" s="20" t="s">
        <v>42</v>
      </c>
      <c r="E805" s="20">
        <v>1</v>
      </c>
      <c r="F805" s="20" t="s">
        <v>3982</v>
      </c>
      <c r="G805" s="14">
        <f>(VLOOKUP(D805,'[1]BOM Info General'!$A:$L,12,0))*E805</f>
        <v>35.56</v>
      </c>
      <c r="H805" s="21" t="s">
        <v>39</v>
      </c>
      <c r="I805" s="21">
        <v>1</v>
      </c>
      <c r="J805" s="21" t="s">
        <v>46</v>
      </c>
      <c r="K805" s="15">
        <f>(VLOOKUP(H805,'[1]BOM Info General'!$A:$L,12,0))*I805</f>
        <v>24.42</v>
      </c>
      <c r="L805" s="22" t="s">
        <v>78</v>
      </c>
      <c r="M805" s="22">
        <v>1</v>
      </c>
      <c r="N805" s="22" t="s">
        <v>75</v>
      </c>
      <c r="O805" s="9">
        <f>(VLOOKUP(L805,'[1]Simulation pricing per sub assy'!$D:$E,2,0))*M805</f>
        <v>43.608799999999988</v>
      </c>
      <c r="P805" s="23" t="s">
        <v>52</v>
      </c>
      <c r="Q805" s="23">
        <v>2</v>
      </c>
      <c r="R805" s="23" t="s">
        <v>18</v>
      </c>
      <c r="S805" s="40">
        <f>(VLOOKUP(P805,'[1]BOM Info General'!$A:$L,12,0))*Q805</f>
        <v>5.3</v>
      </c>
      <c r="T805" s="24" t="s">
        <v>12</v>
      </c>
      <c r="U805" s="24">
        <v>1</v>
      </c>
      <c r="V805" s="24" t="s">
        <v>13</v>
      </c>
      <c r="W805" s="17">
        <f>(VLOOKUP(T805,'[1]Simulation pricing per sub assy'!$D:$E,2,0))*U805</f>
        <v>1.9</v>
      </c>
      <c r="X805" s="18" t="s">
        <v>615</v>
      </c>
      <c r="Y805" s="25">
        <v>1</v>
      </c>
      <c r="Z805" s="25" t="s">
        <v>9</v>
      </c>
      <c r="AA805" s="18">
        <f>(VLOOKUP(X805,'[1]Simulation pricing per sub assy'!$D:$E,2,0))*Y805</f>
        <v>1.5769808000000001</v>
      </c>
    </row>
    <row r="806" spans="1:27" x14ac:dyDescent="0.35">
      <c r="A806" s="13" t="s">
        <v>1805</v>
      </c>
      <c r="B806" s="13" t="s">
        <v>1806</v>
      </c>
      <c r="C806" s="42">
        <f t="shared" si="12"/>
        <v>120.0357808</v>
      </c>
      <c r="D806" s="20" t="s">
        <v>42</v>
      </c>
      <c r="E806" s="20">
        <v>1</v>
      </c>
      <c r="F806" s="20" t="s">
        <v>3982</v>
      </c>
      <c r="G806" s="14">
        <f>(VLOOKUP(D806,'[1]BOM Info General'!$A:$L,12,0))*E806</f>
        <v>35.56</v>
      </c>
      <c r="H806" s="21" t="s">
        <v>39</v>
      </c>
      <c r="I806" s="21">
        <v>1</v>
      </c>
      <c r="J806" s="21" t="s">
        <v>46</v>
      </c>
      <c r="K806" s="15">
        <f>(VLOOKUP(H806,'[1]BOM Info General'!$A:$L,12,0))*I806</f>
        <v>24.42</v>
      </c>
      <c r="L806" s="22" t="s">
        <v>74</v>
      </c>
      <c r="M806" s="22">
        <v>1</v>
      </c>
      <c r="N806" s="22" t="s">
        <v>77</v>
      </c>
      <c r="O806" s="9">
        <f>(VLOOKUP(L806,'[1]Simulation pricing per sub assy'!$D:$E,2,0))*M806</f>
        <v>51.27879999999999</v>
      </c>
      <c r="P806" s="23" t="s">
        <v>52</v>
      </c>
      <c r="Q806" s="23">
        <v>2</v>
      </c>
      <c r="R806" s="23" t="s">
        <v>18</v>
      </c>
      <c r="S806" s="40">
        <f>(VLOOKUP(P806,'[1]BOM Info General'!$A:$L,12,0))*Q806</f>
        <v>5.3</v>
      </c>
      <c r="T806" s="24" t="s">
        <v>12</v>
      </c>
      <c r="U806" s="24">
        <v>1</v>
      </c>
      <c r="V806" s="24" t="s">
        <v>13</v>
      </c>
      <c r="W806" s="17">
        <f>(VLOOKUP(T806,'[1]Simulation pricing per sub assy'!$D:$E,2,0))*U806</f>
        <v>1.9</v>
      </c>
      <c r="X806" s="18" t="s">
        <v>615</v>
      </c>
      <c r="Y806" s="25">
        <v>1</v>
      </c>
      <c r="Z806" s="25" t="s">
        <v>9</v>
      </c>
      <c r="AA806" s="18">
        <f>(VLOOKUP(X806,'[1]Simulation pricing per sub assy'!$D:$E,2,0))*Y806</f>
        <v>1.5769808000000001</v>
      </c>
    </row>
    <row r="807" spans="1:27" x14ac:dyDescent="0.35">
      <c r="A807" s="13" t="s">
        <v>1825</v>
      </c>
      <c r="B807" s="13" t="s">
        <v>1826</v>
      </c>
      <c r="C807" s="42">
        <f t="shared" si="12"/>
        <v>111.0657808</v>
      </c>
      <c r="D807" s="20" t="s">
        <v>42</v>
      </c>
      <c r="E807" s="20">
        <v>1</v>
      </c>
      <c r="F807" s="20" t="s">
        <v>3982</v>
      </c>
      <c r="G807" s="14">
        <f>(VLOOKUP(D807,'[1]BOM Info General'!$A:$L,12,0))*E807</f>
        <v>35.56</v>
      </c>
      <c r="H807" s="21" t="s">
        <v>39</v>
      </c>
      <c r="I807" s="21">
        <v>1</v>
      </c>
      <c r="J807" s="21" t="s">
        <v>46</v>
      </c>
      <c r="K807" s="15">
        <f>(VLOOKUP(H807,'[1]BOM Info General'!$A:$L,12,0))*I807</f>
        <v>24.42</v>
      </c>
      <c r="L807" s="22" t="s">
        <v>527</v>
      </c>
      <c r="M807" s="22">
        <v>1</v>
      </c>
      <c r="N807" s="22" t="s">
        <v>79</v>
      </c>
      <c r="O807" s="9">
        <f>(VLOOKUP(L807,'[1]Simulation pricing per sub assy'!$D:$E,2,0))*M807</f>
        <v>42.308799999999991</v>
      </c>
      <c r="P807" s="23" t="s">
        <v>52</v>
      </c>
      <c r="Q807" s="23">
        <v>2</v>
      </c>
      <c r="R807" s="23" t="s">
        <v>18</v>
      </c>
      <c r="S807" s="40">
        <f>(VLOOKUP(P807,'[1]BOM Info General'!$A:$L,12,0))*Q807</f>
        <v>5.3</v>
      </c>
      <c r="T807" s="24" t="s">
        <v>14</v>
      </c>
      <c r="U807" s="24">
        <v>1</v>
      </c>
      <c r="V807" s="24" t="s">
        <v>15</v>
      </c>
      <c r="W807" s="17">
        <f>(VLOOKUP(T807,'[1]Simulation pricing per sub assy'!$D:$E,2,0))*U807</f>
        <v>1.9</v>
      </c>
      <c r="X807" s="18" t="s">
        <v>615</v>
      </c>
      <c r="Y807" s="25">
        <v>1</v>
      </c>
      <c r="Z807" s="25" t="s">
        <v>9</v>
      </c>
      <c r="AA807" s="18">
        <f>(VLOOKUP(X807,'[1]Simulation pricing per sub assy'!$D:$E,2,0))*Y807</f>
        <v>1.5769808000000001</v>
      </c>
    </row>
    <row r="808" spans="1:27" x14ac:dyDescent="0.35">
      <c r="A808" s="13" t="s">
        <v>1753</v>
      </c>
      <c r="B808" s="13" t="s">
        <v>1754</v>
      </c>
      <c r="C808" s="42">
        <f t="shared" si="12"/>
        <v>112.0457808</v>
      </c>
      <c r="D808" s="20" t="s">
        <v>42</v>
      </c>
      <c r="E808" s="20">
        <v>1</v>
      </c>
      <c r="F808" s="20" t="s">
        <v>3982</v>
      </c>
      <c r="G808" s="14">
        <f>(VLOOKUP(D808,'[1]BOM Info General'!$A:$L,12,0))*E808</f>
        <v>35.56</v>
      </c>
      <c r="H808" s="21" t="s">
        <v>39</v>
      </c>
      <c r="I808" s="21">
        <v>1</v>
      </c>
      <c r="J808" s="21" t="s">
        <v>46</v>
      </c>
      <c r="K808" s="15">
        <f>(VLOOKUP(H808,'[1]BOM Info General'!$A:$L,12,0))*I808</f>
        <v>24.42</v>
      </c>
      <c r="L808" s="22" t="s">
        <v>76</v>
      </c>
      <c r="M808" s="22">
        <v>1</v>
      </c>
      <c r="N808" s="22" t="s">
        <v>73</v>
      </c>
      <c r="O808" s="9">
        <f>(VLOOKUP(L808,'[1]Simulation pricing per sub assy'!$D:$E,2,0))*M808</f>
        <v>43.288799999999988</v>
      </c>
      <c r="P808" s="23" t="s">
        <v>52</v>
      </c>
      <c r="Q808" s="23">
        <v>2</v>
      </c>
      <c r="R808" s="23" t="s">
        <v>18</v>
      </c>
      <c r="S808" s="40">
        <f>(VLOOKUP(P808,'[1]BOM Info General'!$A:$L,12,0))*Q808</f>
        <v>5.3</v>
      </c>
      <c r="T808" s="24" t="s">
        <v>14</v>
      </c>
      <c r="U808" s="24">
        <v>1</v>
      </c>
      <c r="V808" s="24" t="s">
        <v>15</v>
      </c>
      <c r="W808" s="17">
        <f>(VLOOKUP(T808,'[1]Simulation pricing per sub assy'!$D:$E,2,0))*U808</f>
        <v>1.9</v>
      </c>
      <c r="X808" s="18" t="s">
        <v>615</v>
      </c>
      <c r="Y808" s="25">
        <v>1</v>
      </c>
      <c r="Z808" s="25" t="s">
        <v>9</v>
      </c>
      <c r="AA808" s="18">
        <f>(VLOOKUP(X808,'[1]Simulation pricing per sub assy'!$D:$E,2,0))*Y808</f>
        <v>1.5769808000000001</v>
      </c>
    </row>
    <row r="809" spans="1:27" x14ac:dyDescent="0.35">
      <c r="A809" s="13" t="s">
        <v>1789</v>
      </c>
      <c r="B809" s="13" t="s">
        <v>1790</v>
      </c>
      <c r="C809" s="42">
        <f t="shared" si="12"/>
        <v>112.6257808</v>
      </c>
      <c r="D809" s="20" t="s">
        <v>42</v>
      </c>
      <c r="E809" s="20">
        <v>1</v>
      </c>
      <c r="F809" s="20" t="s">
        <v>3982</v>
      </c>
      <c r="G809" s="14">
        <f>(VLOOKUP(D809,'[1]BOM Info General'!$A:$L,12,0))*E809</f>
        <v>35.56</v>
      </c>
      <c r="H809" s="21" t="s">
        <v>39</v>
      </c>
      <c r="I809" s="21">
        <v>1</v>
      </c>
      <c r="J809" s="21" t="s">
        <v>46</v>
      </c>
      <c r="K809" s="15">
        <f>(VLOOKUP(H809,'[1]BOM Info General'!$A:$L,12,0))*I809</f>
        <v>24.42</v>
      </c>
      <c r="L809" s="22" t="s">
        <v>72</v>
      </c>
      <c r="M809" s="22">
        <v>1</v>
      </c>
      <c r="N809" s="22" t="s">
        <v>71</v>
      </c>
      <c r="O809" s="9">
        <f>(VLOOKUP(L809,'[1]Simulation pricing per sub assy'!$D:$E,2,0))*M809</f>
        <v>43.868799999999993</v>
      </c>
      <c r="P809" s="23" t="s">
        <v>52</v>
      </c>
      <c r="Q809" s="23">
        <v>2</v>
      </c>
      <c r="R809" s="23" t="s">
        <v>18</v>
      </c>
      <c r="S809" s="40">
        <f>(VLOOKUP(P809,'[1]BOM Info General'!$A:$L,12,0))*Q809</f>
        <v>5.3</v>
      </c>
      <c r="T809" s="24" t="s">
        <v>14</v>
      </c>
      <c r="U809" s="24">
        <v>1</v>
      </c>
      <c r="V809" s="24" t="s">
        <v>15</v>
      </c>
      <c r="W809" s="17">
        <f>(VLOOKUP(T809,'[1]Simulation pricing per sub assy'!$D:$E,2,0))*U809</f>
        <v>1.9</v>
      </c>
      <c r="X809" s="18" t="s">
        <v>615</v>
      </c>
      <c r="Y809" s="25">
        <v>1</v>
      </c>
      <c r="Z809" s="25" t="s">
        <v>9</v>
      </c>
      <c r="AA809" s="18">
        <f>(VLOOKUP(X809,'[1]Simulation pricing per sub assy'!$D:$E,2,0))*Y809</f>
        <v>1.5769808000000001</v>
      </c>
    </row>
    <row r="810" spans="1:27" x14ac:dyDescent="0.35">
      <c r="A810" s="13" t="s">
        <v>1771</v>
      </c>
      <c r="B810" s="13" t="s">
        <v>1772</v>
      </c>
      <c r="C810" s="42">
        <f t="shared" si="12"/>
        <v>112.3657808</v>
      </c>
      <c r="D810" s="20" t="s">
        <v>42</v>
      </c>
      <c r="E810" s="20">
        <v>1</v>
      </c>
      <c r="F810" s="20" t="s">
        <v>3982</v>
      </c>
      <c r="G810" s="14">
        <f>(VLOOKUP(D810,'[1]BOM Info General'!$A:$L,12,0))*E810</f>
        <v>35.56</v>
      </c>
      <c r="H810" s="21" t="s">
        <v>39</v>
      </c>
      <c r="I810" s="21">
        <v>1</v>
      </c>
      <c r="J810" s="21" t="s">
        <v>46</v>
      </c>
      <c r="K810" s="15">
        <f>(VLOOKUP(H810,'[1]BOM Info General'!$A:$L,12,0))*I810</f>
        <v>24.42</v>
      </c>
      <c r="L810" s="22" t="s">
        <v>78</v>
      </c>
      <c r="M810" s="22">
        <v>1</v>
      </c>
      <c r="N810" s="22" t="s">
        <v>75</v>
      </c>
      <c r="O810" s="9">
        <f>(VLOOKUP(L810,'[1]Simulation pricing per sub assy'!$D:$E,2,0))*M810</f>
        <v>43.608799999999988</v>
      </c>
      <c r="P810" s="23" t="s">
        <v>52</v>
      </c>
      <c r="Q810" s="23">
        <v>2</v>
      </c>
      <c r="R810" s="23" t="s">
        <v>18</v>
      </c>
      <c r="S810" s="40">
        <f>(VLOOKUP(P810,'[1]BOM Info General'!$A:$L,12,0))*Q810</f>
        <v>5.3</v>
      </c>
      <c r="T810" s="24" t="s">
        <v>14</v>
      </c>
      <c r="U810" s="24">
        <v>1</v>
      </c>
      <c r="V810" s="24" t="s">
        <v>15</v>
      </c>
      <c r="W810" s="17">
        <f>(VLOOKUP(T810,'[1]Simulation pricing per sub assy'!$D:$E,2,0))*U810</f>
        <v>1.9</v>
      </c>
      <c r="X810" s="18" t="s">
        <v>615</v>
      </c>
      <c r="Y810" s="25">
        <v>1</v>
      </c>
      <c r="Z810" s="25" t="s">
        <v>9</v>
      </c>
      <c r="AA810" s="18">
        <f>(VLOOKUP(X810,'[1]Simulation pricing per sub assy'!$D:$E,2,0))*Y810</f>
        <v>1.5769808000000001</v>
      </c>
    </row>
    <row r="811" spans="1:27" x14ac:dyDescent="0.35">
      <c r="A811" s="13" t="s">
        <v>1807</v>
      </c>
      <c r="B811" s="13" t="s">
        <v>1808</v>
      </c>
      <c r="C811" s="42">
        <f t="shared" si="12"/>
        <v>120.0357808</v>
      </c>
      <c r="D811" s="20" t="s">
        <v>42</v>
      </c>
      <c r="E811" s="20">
        <v>1</v>
      </c>
      <c r="F811" s="20" t="s">
        <v>3982</v>
      </c>
      <c r="G811" s="14">
        <f>(VLOOKUP(D811,'[1]BOM Info General'!$A:$L,12,0))*E811</f>
        <v>35.56</v>
      </c>
      <c r="H811" s="21" t="s">
        <v>39</v>
      </c>
      <c r="I811" s="21">
        <v>1</v>
      </c>
      <c r="J811" s="21" t="s">
        <v>46</v>
      </c>
      <c r="K811" s="15">
        <f>(VLOOKUP(H811,'[1]BOM Info General'!$A:$L,12,0))*I811</f>
        <v>24.42</v>
      </c>
      <c r="L811" s="22" t="s">
        <v>74</v>
      </c>
      <c r="M811" s="22">
        <v>1</v>
      </c>
      <c r="N811" s="22" t="s">
        <v>77</v>
      </c>
      <c r="O811" s="9">
        <f>(VLOOKUP(L811,'[1]Simulation pricing per sub assy'!$D:$E,2,0))*M811</f>
        <v>51.27879999999999</v>
      </c>
      <c r="P811" s="23" t="s">
        <v>52</v>
      </c>
      <c r="Q811" s="23">
        <v>2</v>
      </c>
      <c r="R811" s="23" t="s">
        <v>18</v>
      </c>
      <c r="S811" s="40">
        <f>(VLOOKUP(P811,'[1]BOM Info General'!$A:$L,12,0))*Q811</f>
        <v>5.3</v>
      </c>
      <c r="T811" s="24" t="s">
        <v>14</v>
      </c>
      <c r="U811" s="24">
        <v>1</v>
      </c>
      <c r="V811" s="24" t="s">
        <v>15</v>
      </c>
      <c r="W811" s="17">
        <f>(VLOOKUP(T811,'[1]Simulation pricing per sub assy'!$D:$E,2,0))*U811</f>
        <v>1.9</v>
      </c>
      <c r="X811" s="18" t="s">
        <v>615</v>
      </c>
      <c r="Y811" s="25">
        <v>1</v>
      </c>
      <c r="Z811" s="25" t="s">
        <v>9</v>
      </c>
      <c r="AA811" s="18">
        <f>(VLOOKUP(X811,'[1]Simulation pricing per sub assy'!$D:$E,2,0))*Y811</f>
        <v>1.5769808000000001</v>
      </c>
    </row>
    <row r="812" spans="1:27" x14ac:dyDescent="0.35">
      <c r="A812" s="13" t="s">
        <v>1735</v>
      </c>
      <c r="B812" s="13" t="s">
        <v>1736</v>
      </c>
      <c r="C812" s="42">
        <f t="shared" si="12"/>
        <v>111.5057808</v>
      </c>
      <c r="D812" s="20" t="s">
        <v>42</v>
      </c>
      <c r="E812" s="20">
        <v>1</v>
      </c>
      <c r="F812" s="20" t="s">
        <v>3982</v>
      </c>
      <c r="G812" s="14">
        <f>(VLOOKUP(D812,'[1]BOM Info General'!$A:$L,12,0))*E812</f>
        <v>35.56</v>
      </c>
      <c r="H812" s="21" t="s">
        <v>39</v>
      </c>
      <c r="I812" s="21">
        <v>1</v>
      </c>
      <c r="J812" s="21" t="s">
        <v>46</v>
      </c>
      <c r="K812" s="15">
        <f>(VLOOKUP(H812,'[1]BOM Info General'!$A:$L,12,0))*I812</f>
        <v>24.42</v>
      </c>
      <c r="L812" s="22" t="s">
        <v>527</v>
      </c>
      <c r="M812" s="22">
        <v>1</v>
      </c>
      <c r="N812" s="22" t="s">
        <v>79</v>
      </c>
      <c r="O812" s="9">
        <f>(VLOOKUP(L812,'[1]Simulation pricing per sub assy'!$D:$E,2,0))*M812</f>
        <v>42.308799999999991</v>
      </c>
      <c r="P812" s="23" t="s">
        <v>50</v>
      </c>
      <c r="Q812" s="23">
        <v>2</v>
      </c>
      <c r="R812" s="23" t="s">
        <v>611</v>
      </c>
      <c r="S812" s="40">
        <f>(VLOOKUP(P812,'[1]BOM Info General'!$A:$L,12,0))*Q812</f>
        <v>5.3</v>
      </c>
      <c r="T812" s="24" t="s">
        <v>19</v>
      </c>
      <c r="U812" s="24">
        <v>1</v>
      </c>
      <c r="V812" s="24" t="s">
        <v>20</v>
      </c>
      <c r="W812" s="17">
        <f>(VLOOKUP(T812,'[1]Simulation pricing per sub assy'!$D:$E,2,0))*U812</f>
        <v>2.3400000000000003</v>
      </c>
      <c r="X812" s="18" t="s">
        <v>615</v>
      </c>
      <c r="Y812" s="25">
        <v>1</v>
      </c>
      <c r="Z812" s="25" t="s">
        <v>9</v>
      </c>
      <c r="AA812" s="18">
        <f>(VLOOKUP(X812,'[1]Simulation pricing per sub assy'!$D:$E,2,0))*Y812</f>
        <v>1.5769808000000001</v>
      </c>
    </row>
    <row r="813" spans="1:27" x14ac:dyDescent="0.35">
      <c r="A813" s="13" t="s">
        <v>1727</v>
      </c>
      <c r="B813" s="13" t="s">
        <v>1728</v>
      </c>
      <c r="C813" s="42">
        <f t="shared" si="12"/>
        <v>112.4857808</v>
      </c>
      <c r="D813" s="20" t="s">
        <v>42</v>
      </c>
      <c r="E813" s="20">
        <v>1</v>
      </c>
      <c r="F813" s="20" t="s">
        <v>3982</v>
      </c>
      <c r="G813" s="14">
        <f>(VLOOKUP(D813,'[1]BOM Info General'!$A:$L,12,0))*E813</f>
        <v>35.56</v>
      </c>
      <c r="H813" s="21" t="s">
        <v>39</v>
      </c>
      <c r="I813" s="21">
        <v>1</v>
      </c>
      <c r="J813" s="21" t="s">
        <v>46</v>
      </c>
      <c r="K813" s="15">
        <f>(VLOOKUP(H813,'[1]BOM Info General'!$A:$L,12,0))*I813</f>
        <v>24.42</v>
      </c>
      <c r="L813" s="22" t="s">
        <v>76</v>
      </c>
      <c r="M813" s="22">
        <v>1</v>
      </c>
      <c r="N813" s="22" t="s">
        <v>73</v>
      </c>
      <c r="O813" s="9">
        <f>(VLOOKUP(L813,'[1]Simulation pricing per sub assy'!$D:$E,2,0))*M813</f>
        <v>43.288799999999988</v>
      </c>
      <c r="P813" s="23" t="s">
        <v>50</v>
      </c>
      <c r="Q813" s="23">
        <v>2</v>
      </c>
      <c r="R813" s="23" t="s">
        <v>611</v>
      </c>
      <c r="S813" s="40">
        <f>(VLOOKUP(P813,'[1]BOM Info General'!$A:$L,12,0))*Q813</f>
        <v>5.3</v>
      </c>
      <c r="T813" s="24" t="s">
        <v>19</v>
      </c>
      <c r="U813" s="24">
        <v>1</v>
      </c>
      <c r="V813" s="24" t="s">
        <v>20</v>
      </c>
      <c r="W813" s="17">
        <f>(VLOOKUP(T813,'[1]Simulation pricing per sub assy'!$D:$E,2,0))*U813</f>
        <v>2.3400000000000003</v>
      </c>
      <c r="X813" s="18" t="s">
        <v>615</v>
      </c>
      <c r="Y813" s="25">
        <v>1</v>
      </c>
      <c r="Z813" s="25" t="s">
        <v>9</v>
      </c>
      <c r="AA813" s="18">
        <f>(VLOOKUP(X813,'[1]Simulation pricing per sub assy'!$D:$E,2,0))*Y813</f>
        <v>1.5769808000000001</v>
      </c>
    </row>
    <row r="814" spans="1:27" x14ac:dyDescent="0.35">
      <c r="A814" s="13" t="s">
        <v>1731</v>
      </c>
      <c r="B814" s="13" t="s">
        <v>1732</v>
      </c>
      <c r="C814" s="42">
        <f t="shared" si="12"/>
        <v>113.0657808</v>
      </c>
      <c r="D814" s="20" t="s">
        <v>42</v>
      </c>
      <c r="E814" s="20">
        <v>1</v>
      </c>
      <c r="F814" s="20" t="s">
        <v>3982</v>
      </c>
      <c r="G814" s="14">
        <f>(VLOOKUP(D814,'[1]BOM Info General'!$A:$L,12,0))*E814</f>
        <v>35.56</v>
      </c>
      <c r="H814" s="21" t="s">
        <v>39</v>
      </c>
      <c r="I814" s="21">
        <v>1</v>
      </c>
      <c r="J814" s="21" t="s">
        <v>46</v>
      </c>
      <c r="K814" s="15">
        <f>(VLOOKUP(H814,'[1]BOM Info General'!$A:$L,12,0))*I814</f>
        <v>24.42</v>
      </c>
      <c r="L814" s="22" t="s">
        <v>72</v>
      </c>
      <c r="M814" s="22">
        <v>1</v>
      </c>
      <c r="N814" s="22" t="s">
        <v>71</v>
      </c>
      <c r="O814" s="9">
        <f>(VLOOKUP(L814,'[1]Simulation pricing per sub assy'!$D:$E,2,0))*M814</f>
        <v>43.868799999999993</v>
      </c>
      <c r="P814" s="23" t="s">
        <v>50</v>
      </c>
      <c r="Q814" s="23">
        <v>2</v>
      </c>
      <c r="R814" s="23" t="s">
        <v>611</v>
      </c>
      <c r="S814" s="40">
        <f>(VLOOKUP(P814,'[1]BOM Info General'!$A:$L,12,0))*Q814</f>
        <v>5.3</v>
      </c>
      <c r="T814" s="24" t="s">
        <v>19</v>
      </c>
      <c r="U814" s="24">
        <v>1</v>
      </c>
      <c r="V814" s="24" t="s">
        <v>20</v>
      </c>
      <c r="W814" s="17">
        <f>(VLOOKUP(T814,'[1]Simulation pricing per sub assy'!$D:$E,2,0))*U814</f>
        <v>2.3400000000000003</v>
      </c>
      <c r="X814" s="18" t="s">
        <v>615</v>
      </c>
      <c r="Y814" s="25">
        <v>1</v>
      </c>
      <c r="Z814" s="25" t="s">
        <v>9</v>
      </c>
      <c r="AA814" s="18">
        <f>(VLOOKUP(X814,'[1]Simulation pricing per sub assy'!$D:$E,2,0))*Y814</f>
        <v>1.5769808000000001</v>
      </c>
    </row>
    <row r="815" spans="1:27" x14ac:dyDescent="0.35">
      <c r="A815" s="13" t="s">
        <v>1729</v>
      </c>
      <c r="B815" s="13" t="s">
        <v>1730</v>
      </c>
      <c r="C815" s="42">
        <f t="shared" si="12"/>
        <v>112.80578079999999</v>
      </c>
      <c r="D815" s="20" t="s">
        <v>42</v>
      </c>
      <c r="E815" s="20">
        <v>1</v>
      </c>
      <c r="F815" s="20" t="s">
        <v>3982</v>
      </c>
      <c r="G815" s="14">
        <f>(VLOOKUP(D815,'[1]BOM Info General'!$A:$L,12,0))*E815</f>
        <v>35.56</v>
      </c>
      <c r="H815" s="21" t="s">
        <v>39</v>
      </c>
      <c r="I815" s="21">
        <v>1</v>
      </c>
      <c r="J815" s="21" t="s">
        <v>46</v>
      </c>
      <c r="K815" s="15">
        <f>(VLOOKUP(H815,'[1]BOM Info General'!$A:$L,12,0))*I815</f>
        <v>24.42</v>
      </c>
      <c r="L815" s="22" t="s">
        <v>78</v>
      </c>
      <c r="M815" s="22">
        <v>1</v>
      </c>
      <c r="N815" s="22" t="s">
        <v>75</v>
      </c>
      <c r="O815" s="9">
        <f>(VLOOKUP(L815,'[1]Simulation pricing per sub assy'!$D:$E,2,0))*M815</f>
        <v>43.608799999999988</v>
      </c>
      <c r="P815" s="23" t="s">
        <v>50</v>
      </c>
      <c r="Q815" s="23">
        <v>2</v>
      </c>
      <c r="R815" s="23" t="s">
        <v>611</v>
      </c>
      <c r="S815" s="40">
        <f>(VLOOKUP(P815,'[1]BOM Info General'!$A:$L,12,0))*Q815</f>
        <v>5.3</v>
      </c>
      <c r="T815" s="24" t="s">
        <v>19</v>
      </c>
      <c r="U815" s="24">
        <v>1</v>
      </c>
      <c r="V815" s="24" t="s">
        <v>20</v>
      </c>
      <c r="W815" s="17">
        <f>(VLOOKUP(T815,'[1]Simulation pricing per sub assy'!$D:$E,2,0))*U815</f>
        <v>2.3400000000000003</v>
      </c>
      <c r="X815" s="18" t="s">
        <v>615</v>
      </c>
      <c r="Y815" s="25">
        <v>1</v>
      </c>
      <c r="Z815" s="25" t="s">
        <v>9</v>
      </c>
      <c r="AA815" s="18">
        <f>(VLOOKUP(X815,'[1]Simulation pricing per sub assy'!$D:$E,2,0))*Y815</f>
        <v>1.5769808000000001</v>
      </c>
    </row>
    <row r="816" spans="1:27" x14ac:dyDescent="0.35">
      <c r="A816" s="13" t="s">
        <v>1733</v>
      </c>
      <c r="B816" s="13" t="s">
        <v>1734</v>
      </c>
      <c r="C816" s="42">
        <f t="shared" si="12"/>
        <v>120.4757808</v>
      </c>
      <c r="D816" s="20" t="s">
        <v>42</v>
      </c>
      <c r="E816" s="20">
        <v>1</v>
      </c>
      <c r="F816" s="20" t="s">
        <v>3982</v>
      </c>
      <c r="G816" s="14">
        <f>(VLOOKUP(D816,'[1]BOM Info General'!$A:$L,12,0))*E816</f>
        <v>35.56</v>
      </c>
      <c r="H816" s="21" t="s">
        <v>39</v>
      </c>
      <c r="I816" s="21">
        <v>1</v>
      </c>
      <c r="J816" s="21" t="s">
        <v>46</v>
      </c>
      <c r="K816" s="15">
        <f>(VLOOKUP(H816,'[1]BOM Info General'!$A:$L,12,0))*I816</f>
        <v>24.42</v>
      </c>
      <c r="L816" s="22" t="s">
        <v>74</v>
      </c>
      <c r="M816" s="22">
        <v>1</v>
      </c>
      <c r="N816" s="22" t="s">
        <v>77</v>
      </c>
      <c r="O816" s="9">
        <f>(VLOOKUP(L816,'[1]Simulation pricing per sub assy'!$D:$E,2,0))*M816</f>
        <v>51.27879999999999</v>
      </c>
      <c r="P816" s="23" t="s">
        <v>50</v>
      </c>
      <c r="Q816" s="23">
        <v>2</v>
      </c>
      <c r="R816" s="23" t="s">
        <v>611</v>
      </c>
      <c r="S816" s="40">
        <f>(VLOOKUP(P816,'[1]BOM Info General'!$A:$L,12,0))*Q816</f>
        <v>5.3</v>
      </c>
      <c r="T816" s="24" t="s">
        <v>19</v>
      </c>
      <c r="U816" s="24">
        <v>1</v>
      </c>
      <c r="V816" s="24" t="s">
        <v>20</v>
      </c>
      <c r="W816" s="17">
        <f>(VLOOKUP(T816,'[1]Simulation pricing per sub assy'!$D:$E,2,0))*U816</f>
        <v>2.3400000000000003</v>
      </c>
      <c r="X816" s="18" t="s">
        <v>615</v>
      </c>
      <c r="Y816" s="25">
        <v>1</v>
      </c>
      <c r="Z816" s="25" t="s">
        <v>9</v>
      </c>
      <c r="AA816" s="18">
        <f>(VLOOKUP(X816,'[1]Simulation pricing per sub assy'!$D:$E,2,0))*Y816</f>
        <v>1.5769808000000001</v>
      </c>
    </row>
    <row r="817" spans="1:27" x14ac:dyDescent="0.35">
      <c r="A817" s="13" t="s">
        <v>1835</v>
      </c>
      <c r="B817" s="13" t="s">
        <v>1836</v>
      </c>
      <c r="C817" s="42">
        <f t="shared" si="12"/>
        <v>111.01578079999999</v>
      </c>
      <c r="D817" s="20" t="s">
        <v>42</v>
      </c>
      <c r="E817" s="20">
        <v>1</v>
      </c>
      <c r="F817" s="20" t="s">
        <v>3982</v>
      </c>
      <c r="G817" s="14">
        <f>(VLOOKUP(D817,'[1]BOM Info General'!$A:$L,12,0))*E817</f>
        <v>35.56</v>
      </c>
      <c r="H817" s="21" t="s">
        <v>39</v>
      </c>
      <c r="I817" s="21">
        <v>1</v>
      </c>
      <c r="J817" s="21" t="s">
        <v>46</v>
      </c>
      <c r="K817" s="15">
        <f>(VLOOKUP(H817,'[1]BOM Info General'!$A:$L,12,0))*I817</f>
        <v>24.42</v>
      </c>
      <c r="L817" s="22" t="s">
        <v>527</v>
      </c>
      <c r="M817" s="22">
        <v>1</v>
      </c>
      <c r="N817" s="22" t="s">
        <v>79</v>
      </c>
      <c r="O817" s="9">
        <f>(VLOOKUP(L817,'[1]Simulation pricing per sub assy'!$D:$E,2,0))*M817</f>
        <v>42.308799999999991</v>
      </c>
      <c r="P817" s="23" t="s">
        <v>50</v>
      </c>
      <c r="Q817" s="23">
        <v>2</v>
      </c>
      <c r="R817" s="23" t="s">
        <v>611</v>
      </c>
      <c r="S817" s="40">
        <f>(VLOOKUP(P817,'[1]BOM Info General'!$A:$L,12,0))*Q817</f>
        <v>5.3</v>
      </c>
      <c r="T817" s="24" t="s">
        <v>7</v>
      </c>
      <c r="U817" s="24">
        <v>1</v>
      </c>
      <c r="V817" s="24" t="s">
        <v>8</v>
      </c>
      <c r="W817" s="17">
        <f>(VLOOKUP(T817,'[1]Simulation pricing per sub assy'!$D:$E,2,0))*U817</f>
        <v>1.85</v>
      </c>
      <c r="X817" s="18" t="s">
        <v>615</v>
      </c>
      <c r="Y817" s="25">
        <v>1</v>
      </c>
      <c r="Z817" s="25" t="s">
        <v>9</v>
      </c>
      <c r="AA817" s="18">
        <f>(VLOOKUP(X817,'[1]Simulation pricing per sub assy'!$D:$E,2,0))*Y817</f>
        <v>1.5769808000000001</v>
      </c>
    </row>
    <row r="818" spans="1:27" x14ac:dyDescent="0.35">
      <c r="A818" s="13" t="s">
        <v>1827</v>
      </c>
      <c r="B818" s="13" t="s">
        <v>1828</v>
      </c>
      <c r="C818" s="42">
        <f t="shared" si="12"/>
        <v>111.99578079999999</v>
      </c>
      <c r="D818" s="20" t="s">
        <v>42</v>
      </c>
      <c r="E818" s="20">
        <v>1</v>
      </c>
      <c r="F818" s="20" t="s">
        <v>3982</v>
      </c>
      <c r="G818" s="14">
        <f>(VLOOKUP(D818,'[1]BOM Info General'!$A:$L,12,0))*E818</f>
        <v>35.56</v>
      </c>
      <c r="H818" s="21" t="s">
        <v>39</v>
      </c>
      <c r="I818" s="21">
        <v>1</v>
      </c>
      <c r="J818" s="21" t="s">
        <v>46</v>
      </c>
      <c r="K818" s="15">
        <f>(VLOOKUP(H818,'[1]BOM Info General'!$A:$L,12,0))*I818</f>
        <v>24.42</v>
      </c>
      <c r="L818" s="22" t="s">
        <v>76</v>
      </c>
      <c r="M818" s="22">
        <v>1</v>
      </c>
      <c r="N818" s="22" t="s">
        <v>73</v>
      </c>
      <c r="O818" s="9">
        <f>(VLOOKUP(L818,'[1]Simulation pricing per sub assy'!$D:$E,2,0))*M818</f>
        <v>43.288799999999988</v>
      </c>
      <c r="P818" s="23" t="s">
        <v>50</v>
      </c>
      <c r="Q818" s="23">
        <v>2</v>
      </c>
      <c r="R818" s="23" t="s">
        <v>611</v>
      </c>
      <c r="S818" s="40">
        <f>(VLOOKUP(P818,'[1]BOM Info General'!$A:$L,12,0))*Q818</f>
        <v>5.3</v>
      </c>
      <c r="T818" s="24" t="s">
        <v>7</v>
      </c>
      <c r="U818" s="24">
        <v>1</v>
      </c>
      <c r="V818" s="24" t="s">
        <v>8</v>
      </c>
      <c r="W818" s="17">
        <f>(VLOOKUP(T818,'[1]Simulation pricing per sub assy'!$D:$E,2,0))*U818</f>
        <v>1.85</v>
      </c>
      <c r="X818" s="18" t="s">
        <v>615</v>
      </c>
      <c r="Y818" s="25">
        <v>1</v>
      </c>
      <c r="Z818" s="25" t="s">
        <v>9</v>
      </c>
      <c r="AA818" s="18">
        <f>(VLOOKUP(X818,'[1]Simulation pricing per sub assy'!$D:$E,2,0))*Y818</f>
        <v>1.5769808000000001</v>
      </c>
    </row>
    <row r="819" spans="1:27" x14ac:dyDescent="0.35">
      <c r="A819" s="13" t="s">
        <v>1831</v>
      </c>
      <c r="B819" s="13" t="s">
        <v>1832</v>
      </c>
      <c r="C819" s="42">
        <f t="shared" si="12"/>
        <v>112.57578079999999</v>
      </c>
      <c r="D819" s="20" t="s">
        <v>42</v>
      </c>
      <c r="E819" s="20">
        <v>1</v>
      </c>
      <c r="F819" s="20" t="s">
        <v>3982</v>
      </c>
      <c r="G819" s="14">
        <f>(VLOOKUP(D819,'[1]BOM Info General'!$A:$L,12,0))*E819</f>
        <v>35.56</v>
      </c>
      <c r="H819" s="21" t="s">
        <v>39</v>
      </c>
      <c r="I819" s="21">
        <v>1</v>
      </c>
      <c r="J819" s="21" t="s">
        <v>46</v>
      </c>
      <c r="K819" s="15">
        <f>(VLOOKUP(H819,'[1]BOM Info General'!$A:$L,12,0))*I819</f>
        <v>24.42</v>
      </c>
      <c r="L819" s="22" t="s">
        <v>72</v>
      </c>
      <c r="M819" s="22">
        <v>1</v>
      </c>
      <c r="N819" s="22" t="s">
        <v>71</v>
      </c>
      <c r="O819" s="9">
        <f>(VLOOKUP(L819,'[1]Simulation pricing per sub assy'!$D:$E,2,0))*M819</f>
        <v>43.868799999999993</v>
      </c>
      <c r="P819" s="23" t="s">
        <v>50</v>
      </c>
      <c r="Q819" s="23">
        <v>2</v>
      </c>
      <c r="R819" s="23" t="s">
        <v>611</v>
      </c>
      <c r="S819" s="40">
        <f>(VLOOKUP(P819,'[1]BOM Info General'!$A:$L,12,0))*Q819</f>
        <v>5.3</v>
      </c>
      <c r="T819" s="24" t="s">
        <v>7</v>
      </c>
      <c r="U819" s="24">
        <v>1</v>
      </c>
      <c r="V819" s="24" t="s">
        <v>8</v>
      </c>
      <c r="W819" s="17">
        <f>(VLOOKUP(T819,'[1]Simulation pricing per sub assy'!$D:$E,2,0))*U819</f>
        <v>1.85</v>
      </c>
      <c r="X819" s="18" t="s">
        <v>615</v>
      </c>
      <c r="Y819" s="25">
        <v>1</v>
      </c>
      <c r="Z819" s="25" t="s">
        <v>9</v>
      </c>
      <c r="AA819" s="18">
        <f>(VLOOKUP(X819,'[1]Simulation pricing per sub assy'!$D:$E,2,0))*Y819</f>
        <v>1.5769808000000001</v>
      </c>
    </row>
    <row r="820" spans="1:27" x14ac:dyDescent="0.35">
      <c r="A820" s="13" t="s">
        <v>1829</v>
      </c>
      <c r="B820" s="13" t="s">
        <v>1830</v>
      </c>
      <c r="C820" s="42">
        <f t="shared" si="12"/>
        <v>112.31578079999998</v>
      </c>
      <c r="D820" s="20" t="s">
        <v>42</v>
      </c>
      <c r="E820" s="20">
        <v>1</v>
      </c>
      <c r="F820" s="20" t="s">
        <v>3982</v>
      </c>
      <c r="G820" s="14">
        <f>(VLOOKUP(D820,'[1]BOM Info General'!$A:$L,12,0))*E820</f>
        <v>35.56</v>
      </c>
      <c r="H820" s="21" t="s">
        <v>39</v>
      </c>
      <c r="I820" s="21">
        <v>1</v>
      </c>
      <c r="J820" s="21" t="s">
        <v>46</v>
      </c>
      <c r="K820" s="15">
        <f>(VLOOKUP(H820,'[1]BOM Info General'!$A:$L,12,0))*I820</f>
        <v>24.42</v>
      </c>
      <c r="L820" s="22" t="s">
        <v>78</v>
      </c>
      <c r="M820" s="22">
        <v>1</v>
      </c>
      <c r="N820" s="22" t="s">
        <v>75</v>
      </c>
      <c r="O820" s="9">
        <f>(VLOOKUP(L820,'[1]Simulation pricing per sub assy'!$D:$E,2,0))*M820</f>
        <v>43.608799999999988</v>
      </c>
      <c r="P820" s="23" t="s">
        <v>50</v>
      </c>
      <c r="Q820" s="23">
        <v>2</v>
      </c>
      <c r="R820" s="23" t="s">
        <v>611</v>
      </c>
      <c r="S820" s="40">
        <f>(VLOOKUP(P820,'[1]BOM Info General'!$A:$L,12,0))*Q820</f>
        <v>5.3</v>
      </c>
      <c r="T820" s="24" t="s">
        <v>7</v>
      </c>
      <c r="U820" s="24">
        <v>1</v>
      </c>
      <c r="V820" s="24" t="s">
        <v>8</v>
      </c>
      <c r="W820" s="17">
        <f>(VLOOKUP(T820,'[1]Simulation pricing per sub assy'!$D:$E,2,0))*U820</f>
        <v>1.85</v>
      </c>
      <c r="X820" s="18" t="s">
        <v>615</v>
      </c>
      <c r="Y820" s="25">
        <v>1</v>
      </c>
      <c r="Z820" s="25" t="s">
        <v>9</v>
      </c>
      <c r="AA820" s="18">
        <f>(VLOOKUP(X820,'[1]Simulation pricing per sub assy'!$D:$E,2,0))*Y820</f>
        <v>1.5769808000000001</v>
      </c>
    </row>
    <row r="821" spans="1:27" x14ac:dyDescent="0.35">
      <c r="A821" s="13" t="s">
        <v>1833</v>
      </c>
      <c r="B821" s="13" t="s">
        <v>1834</v>
      </c>
      <c r="C821" s="42">
        <f t="shared" si="12"/>
        <v>119.98578079999999</v>
      </c>
      <c r="D821" s="20" t="s">
        <v>42</v>
      </c>
      <c r="E821" s="20">
        <v>1</v>
      </c>
      <c r="F821" s="20" t="s">
        <v>3982</v>
      </c>
      <c r="G821" s="14">
        <f>(VLOOKUP(D821,'[1]BOM Info General'!$A:$L,12,0))*E821</f>
        <v>35.56</v>
      </c>
      <c r="H821" s="21" t="s">
        <v>39</v>
      </c>
      <c r="I821" s="21">
        <v>1</v>
      </c>
      <c r="J821" s="21" t="s">
        <v>46</v>
      </c>
      <c r="K821" s="15">
        <f>(VLOOKUP(H821,'[1]BOM Info General'!$A:$L,12,0))*I821</f>
        <v>24.42</v>
      </c>
      <c r="L821" s="22" t="s">
        <v>74</v>
      </c>
      <c r="M821" s="22">
        <v>1</v>
      </c>
      <c r="N821" s="22" t="s">
        <v>77</v>
      </c>
      <c r="O821" s="9">
        <f>(VLOOKUP(L821,'[1]Simulation pricing per sub assy'!$D:$E,2,0))*M821</f>
        <v>51.27879999999999</v>
      </c>
      <c r="P821" s="23" t="s">
        <v>50</v>
      </c>
      <c r="Q821" s="23">
        <v>2</v>
      </c>
      <c r="R821" s="23" t="s">
        <v>611</v>
      </c>
      <c r="S821" s="40">
        <f>(VLOOKUP(P821,'[1]BOM Info General'!$A:$L,12,0))*Q821</f>
        <v>5.3</v>
      </c>
      <c r="T821" s="24" t="s">
        <v>7</v>
      </c>
      <c r="U821" s="24">
        <v>1</v>
      </c>
      <c r="V821" s="24" t="s">
        <v>8</v>
      </c>
      <c r="W821" s="17">
        <f>(VLOOKUP(T821,'[1]Simulation pricing per sub assy'!$D:$E,2,0))*U821</f>
        <v>1.85</v>
      </c>
      <c r="X821" s="18" t="s">
        <v>615</v>
      </c>
      <c r="Y821" s="25">
        <v>1</v>
      </c>
      <c r="Z821" s="25" t="s">
        <v>9</v>
      </c>
      <c r="AA821" s="18">
        <f>(VLOOKUP(X821,'[1]Simulation pricing per sub assy'!$D:$E,2,0))*Y821</f>
        <v>1.5769808000000001</v>
      </c>
    </row>
    <row r="822" spans="1:27" x14ac:dyDescent="0.35">
      <c r="A822" s="13" t="s">
        <v>1919</v>
      </c>
      <c r="B822" s="13" t="s">
        <v>1920</v>
      </c>
      <c r="C822" s="42">
        <f t="shared" si="12"/>
        <v>111.21578079999999</v>
      </c>
      <c r="D822" s="20" t="s">
        <v>42</v>
      </c>
      <c r="E822" s="20">
        <v>1</v>
      </c>
      <c r="F822" s="20" t="s">
        <v>3982</v>
      </c>
      <c r="G822" s="14">
        <f>(VLOOKUP(D822,'[1]BOM Info General'!$A:$L,12,0))*E822</f>
        <v>35.56</v>
      </c>
      <c r="H822" s="21" t="s">
        <v>39</v>
      </c>
      <c r="I822" s="21">
        <v>1</v>
      </c>
      <c r="J822" s="21" t="s">
        <v>46</v>
      </c>
      <c r="K822" s="15">
        <f>(VLOOKUP(H822,'[1]BOM Info General'!$A:$L,12,0))*I822</f>
        <v>24.42</v>
      </c>
      <c r="L822" s="22" t="s">
        <v>527</v>
      </c>
      <c r="M822" s="22">
        <v>1</v>
      </c>
      <c r="N822" s="22" t="s">
        <v>79</v>
      </c>
      <c r="O822" s="9">
        <f>(VLOOKUP(L822,'[1]Simulation pricing per sub assy'!$D:$E,2,0))*M822</f>
        <v>42.308799999999991</v>
      </c>
      <c r="P822" s="23" t="s">
        <v>50</v>
      </c>
      <c r="Q822" s="23">
        <v>2</v>
      </c>
      <c r="R822" s="23" t="s">
        <v>16</v>
      </c>
      <c r="S822" s="40">
        <f>(VLOOKUP(P822,'[1]BOM Info General'!$A:$L,12,0))*Q822</f>
        <v>5.3</v>
      </c>
      <c r="T822" s="24" t="s">
        <v>10</v>
      </c>
      <c r="U822" s="24">
        <v>1</v>
      </c>
      <c r="V822" s="24" t="s">
        <v>11</v>
      </c>
      <c r="W822" s="17">
        <f>(VLOOKUP(T822,'[1]Simulation pricing per sub assy'!$D:$E,2,0))*U822</f>
        <v>2.0499999999999998</v>
      </c>
      <c r="X822" s="18" t="s">
        <v>615</v>
      </c>
      <c r="Y822" s="25">
        <v>1</v>
      </c>
      <c r="Z822" s="25" t="s">
        <v>9</v>
      </c>
      <c r="AA822" s="18">
        <f>(VLOOKUP(X822,'[1]Simulation pricing per sub assy'!$D:$E,2,0))*Y822</f>
        <v>1.5769808000000001</v>
      </c>
    </row>
    <row r="823" spans="1:27" x14ac:dyDescent="0.35">
      <c r="A823" s="13" t="s">
        <v>1847</v>
      </c>
      <c r="B823" s="13" t="s">
        <v>1848</v>
      </c>
      <c r="C823" s="42">
        <f t="shared" si="12"/>
        <v>112.19578079999999</v>
      </c>
      <c r="D823" s="20" t="s">
        <v>42</v>
      </c>
      <c r="E823" s="20">
        <v>1</v>
      </c>
      <c r="F823" s="20" t="s">
        <v>3982</v>
      </c>
      <c r="G823" s="14">
        <f>(VLOOKUP(D823,'[1]BOM Info General'!$A:$L,12,0))*E823</f>
        <v>35.56</v>
      </c>
      <c r="H823" s="21" t="s">
        <v>39</v>
      </c>
      <c r="I823" s="21">
        <v>1</v>
      </c>
      <c r="J823" s="21" t="s">
        <v>46</v>
      </c>
      <c r="K823" s="15">
        <f>(VLOOKUP(H823,'[1]BOM Info General'!$A:$L,12,0))*I823</f>
        <v>24.42</v>
      </c>
      <c r="L823" s="22" t="s">
        <v>76</v>
      </c>
      <c r="M823" s="22">
        <v>1</v>
      </c>
      <c r="N823" s="22" t="s">
        <v>73</v>
      </c>
      <c r="O823" s="9">
        <f>(VLOOKUP(L823,'[1]Simulation pricing per sub assy'!$D:$E,2,0))*M823</f>
        <v>43.288799999999988</v>
      </c>
      <c r="P823" s="23" t="s">
        <v>50</v>
      </c>
      <c r="Q823" s="23">
        <v>2</v>
      </c>
      <c r="R823" s="23" t="s">
        <v>16</v>
      </c>
      <c r="S823" s="40">
        <f>(VLOOKUP(P823,'[1]BOM Info General'!$A:$L,12,0))*Q823</f>
        <v>5.3</v>
      </c>
      <c r="T823" s="24" t="s">
        <v>10</v>
      </c>
      <c r="U823" s="24">
        <v>1</v>
      </c>
      <c r="V823" s="24" t="s">
        <v>11</v>
      </c>
      <c r="W823" s="17">
        <f>(VLOOKUP(T823,'[1]Simulation pricing per sub assy'!$D:$E,2,0))*U823</f>
        <v>2.0499999999999998</v>
      </c>
      <c r="X823" s="18" t="s">
        <v>615</v>
      </c>
      <c r="Y823" s="25">
        <v>1</v>
      </c>
      <c r="Z823" s="25" t="s">
        <v>9</v>
      </c>
      <c r="AA823" s="18">
        <f>(VLOOKUP(X823,'[1]Simulation pricing per sub assy'!$D:$E,2,0))*Y823</f>
        <v>1.5769808000000001</v>
      </c>
    </row>
    <row r="824" spans="1:27" x14ac:dyDescent="0.35">
      <c r="A824" s="13" t="s">
        <v>1883</v>
      </c>
      <c r="B824" s="13" t="s">
        <v>1884</v>
      </c>
      <c r="C824" s="42">
        <f t="shared" si="12"/>
        <v>112.77578079999999</v>
      </c>
      <c r="D824" s="20" t="s">
        <v>42</v>
      </c>
      <c r="E824" s="20">
        <v>1</v>
      </c>
      <c r="F824" s="20" t="s">
        <v>3982</v>
      </c>
      <c r="G824" s="14">
        <f>(VLOOKUP(D824,'[1]BOM Info General'!$A:$L,12,0))*E824</f>
        <v>35.56</v>
      </c>
      <c r="H824" s="21" t="s">
        <v>39</v>
      </c>
      <c r="I824" s="21">
        <v>1</v>
      </c>
      <c r="J824" s="21" t="s">
        <v>46</v>
      </c>
      <c r="K824" s="15">
        <f>(VLOOKUP(H824,'[1]BOM Info General'!$A:$L,12,0))*I824</f>
        <v>24.42</v>
      </c>
      <c r="L824" s="22" t="s">
        <v>72</v>
      </c>
      <c r="M824" s="22">
        <v>1</v>
      </c>
      <c r="N824" s="22" t="s">
        <v>71</v>
      </c>
      <c r="O824" s="9">
        <f>(VLOOKUP(L824,'[1]Simulation pricing per sub assy'!$D:$E,2,0))*M824</f>
        <v>43.868799999999993</v>
      </c>
      <c r="P824" s="23" t="s">
        <v>50</v>
      </c>
      <c r="Q824" s="23">
        <v>2</v>
      </c>
      <c r="R824" s="23" t="s">
        <v>16</v>
      </c>
      <c r="S824" s="40">
        <f>(VLOOKUP(P824,'[1]BOM Info General'!$A:$L,12,0))*Q824</f>
        <v>5.3</v>
      </c>
      <c r="T824" s="24" t="s">
        <v>10</v>
      </c>
      <c r="U824" s="24">
        <v>1</v>
      </c>
      <c r="V824" s="24" t="s">
        <v>11</v>
      </c>
      <c r="W824" s="17">
        <f>(VLOOKUP(T824,'[1]Simulation pricing per sub assy'!$D:$E,2,0))*U824</f>
        <v>2.0499999999999998</v>
      </c>
      <c r="X824" s="18" t="s">
        <v>615</v>
      </c>
      <c r="Y824" s="25">
        <v>1</v>
      </c>
      <c r="Z824" s="25" t="s">
        <v>9</v>
      </c>
      <c r="AA824" s="18">
        <f>(VLOOKUP(X824,'[1]Simulation pricing per sub assy'!$D:$E,2,0))*Y824</f>
        <v>1.5769808000000001</v>
      </c>
    </row>
    <row r="825" spans="1:27" x14ac:dyDescent="0.35">
      <c r="A825" s="13" t="s">
        <v>1865</v>
      </c>
      <c r="B825" s="13" t="s">
        <v>1866</v>
      </c>
      <c r="C825" s="42">
        <f t="shared" si="12"/>
        <v>112.51578079999999</v>
      </c>
      <c r="D825" s="20" t="s">
        <v>42</v>
      </c>
      <c r="E825" s="20">
        <v>1</v>
      </c>
      <c r="F825" s="20" t="s">
        <v>3982</v>
      </c>
      <c r="G825" s="14">
        <f>(VLOOKUP(D825,'[1]BOM Info General'!$A:$L,12,0))*E825</f>
        <v>35.56</v>
      </c>
      <c r="H825" s="21" t="s">
        <v>39</v>
      </c>
      <c r="I825" s="21">
        <v>1</v>
      </c>
      <c r="J825" s="21" t="s">
        <v>46</v>
      </c>
      <c r="K825" s="15">
        <f>(VLOOKUP(H825,'[1]BOM Info General'!$A:$L,12,0))*I825</f>
        <v>24.42</v>
      </c>
      <c r="L825" s="22" t="s">
        <v>78</v>
      </c>
      <c r="M825" s="22">
        <v>1</v>
      </c>
      <c r="N825" s="22" t="s">
        <v>75</v>
      </c>
      <c r="O825" s="9">
        <f>(VLOOKUP(L825,'[1]Simulation pricing per sub assy'!$D:$E,2,0))*M825</f>
        <v>43.608799999999988</v>
      </c>
      <c r="P825" s="23" t="s">
        <v>50</v>
      </c>
      <c r="Q825" s="23">
        <v>2</v>
      </c>
      <c r="R825" s="23" t="s">
        <v>16</v>
      </c>
      <c r="S825" s="40">
        <f>(VLOOKUP(P825,'[1]BOM Info General'!$A:$L,12,0))*Q825</f>
        <v>5.3</v>
      </c>
      <c r="T825" s="24" t="s">
        <v>10</v>
      </c>
      <c r="U825" s="24">
        <v>1</v>
      </c>
      <c r="V825" s="24" t="s">
        <v>11</v>
      </c>
      <c r="W825" s="17">
        <f>(VLOOKUP(T825,'[1]Simulation pricing per sub assy'!$D:$E,2,0))*U825</f>
        <v>2.0499999999999998</v>
      </c>
      <c r="X825" s="18" t="s">
        <v>615</v>
      </c>
      <c r="Y825" s="25">
        <v>1</v>
      </c>
      <c r="Z825" s="25" t="s">
        <v>9</v>
      </c>
      <c r="AA825" s="18">
        <f>(VLOOKUP(X825,'[1]Simulation pricing per sub assy'!$D:$E,2,0))*Y825</f>
        <v>1.5769808000000001</v>
      </c>
    </row>
    <row r="826" spans="1:27" x14ac:dyDescent="0.35">
      <c r="A826" s="13" t="s">
        <v>1901</v>
      </c>
      <c r="B826" s="13" t="s">
        <v>1902</v>
      </c>
      <c r="C826" s="42">
        <f t="shared" si="12"/>
        <v>120.18578079999999</v>
      </c>
      <c r="D826" s="20" t="s">
        <v>42</v>
      </c>
      <c r="E826" s="20">
        <v>1</v>
      </c>
      <c r="F826" s="20" t="s">
        <v>3982</v>
      </c>
      <c r="G826" s="14">
        <f>(VLOOKUP(D826,'[1]BOM Info General'!$A:$L,12,0))*E826</f>
        <v>35.56</v>
      </c>
      <c r="H826" s="21" t="s">
        <v>39</v>
      </c>
      <c r="I826" s="21">
        <v>1</v>
      </c>
      <c r="J826" s="21" t="s">
        <v>46</v>
      </c>
      <c r="K826" s="15">
        <f>(VLOOKUP(H826,'[1]BOM Info General'!$A:$L,12,0))*I826</f>
        <v>24.42</v>
      </c>
      <c r="L826" s="22" t="s">
        <v>74</v>
      </c>
      <c r="M826" s="22">
        <v>1</v>
      </c>
      <c r="N826" s="22" t="s">
        <v>77</v>
      </c>
      <c r="O826" s="9">
        <f>(VLOOKUP(L826,'[1]Simulation pricing per sub assy'!$D:$E,2,0))*M826</f>
        <v>51.27879999999999</v>
      </c>
      <c r="P826" s="23" t="s">
        <v>50</v>
      </c>
      <c r="Q826" s="23">
        <v>2</v>
      </c>
      <c r="R826" s="23" t="s">
        <v>16</v>
      </c>
      <c r="S826" s="40">
        <f>(VLOOKUP(P826,'[1]BOM Info General'!$A:$L,12,0))*Q826</f>
        <v>5.3</v>
      </c>
      <c r="T826" s="24" t="s">
        <v>10</v>
      </c>
      <c r="U826" s="24">
        <v>1</v>
      </c>
      <c r="V826" s="24" t="s">
        <v>11</v>
      </c>
      <c r="W826" s="17">
        <f>(VLOOKUP(T826,'[1]Simulation pricing per sub assy'!$D:$E,2,0))*U826</f>
        <v>2.0499999999999998</v>
      </c>
      <c r="X826" s="18" t="s">
        <v>615</v>
      </c>
      <c r="Y826" s="25">
        <v>1</v>
      </c>
      <c r="Z826" s="25" t="s">
        <v>9</v>
      </c>
      <c r="AA826" s="18">
        <f>(VLOOKUP(X826,'[1]Simulation pricing per sub assy'!$D:$E,2,0))*Y826</f>
        <v>1.5769808000000001</v>
      </c>
    </row>
    <row r="827" spans="1:27" x14ac:dyDescent="0.35">
      <c r="A827" s="13" t="s">
        <v>1921</v>
      </c>
      <c r="B827" s="13" t="s">
        <v>1922</v>
      </c>
      <c r="C827" s="42">
        <f t="shared" si="12"/>
        <v>111.0657808</v>
      </c>
      <c r="D827" s="20" t="s">
        <v>42</v>
      </c>
      <c r="E827" s="20">
        <v>1</v>
      </c>
      <c r="F827" s="20" t="s">
        <v>3982</v>
      </c>
      <c r="G827" s="14">
        <f>(VLOOKUP(D827,'[1]BOM Info General'!$A:$L,12,0))*E827</f>
        <v>35.56</v>
      </c>
      <c r="H827" s="21" t="s">
        <v>39</v>
      </c>
      <c r="I827" s="21">
        <v>1</v>
      </c>
      <c r="J827" s="21" t="s">
        <v>46</v>
      </c>
      <c r="K827" s="15">
        <f>(VLOOKUP(H827,'[1]BOM Info General'!$A:$L,12,0))*I827</f>
        <v>24.42</v>
      </c>
      <c r="L827" s="22" t="s">
        <v>527</v>
      </c>
      <c r="M827" s="22">
        <v>1</v>
      </c>
      <c r="N827" s="22" t="s">
        <v>79</v>
      </c>
      <c r="O827" s="9">
        <f>(VLOOKUP(L827,'[1]Simulation pricing per sub assy'!$D:$E,2,0))*M827</f>
        <v>42.308799999999991</v>
      </c>
      <c r="P827" s="23" t="s">
        <v>50</v>
      </c>
      <c r="Q827" s="23">
        <v>2</v>
      </c>
      <c r="R827" s="23" t="s">
        <v>16</v>
      </c>
      <c r="S827" s="40">
        <f>(VLOOKUP(P827,'[1]BOM Info General'!$A:$L,12,0))*Q827</f>
        <v>5.3</v>
      </c>
      <c r="T827" s="24" t="s">
        <v>12</v>
      </c>
      <c r="U827" s="24">
        <v>1</v>
      </c>
      <c r="V827" s="24" t="s">
        <v>13</v>
      </c>
      <c r="W827" s="17">
        <f>(VLOOKUP(T827,'[1]Simulation pricing per sub assy'!$D:$E,2,0))*U827</f>
        <v>1.9</v>
      </c>
      <c r="X827" s="18" t="s">
        <v>615</v>
      </c>
      <c r="Y827" s="25">
        <v>1</v>
      </c>
      <c r="Z827" s="25" t="s">
        <v>9</v>
      </c>
      <c r="AA827" s="18">
        <f>(VLOOKUP(X827,'[1]Simulation pricing per sub assy'!$D:$E,2,0))*Y827</f>
        <v>1.5769808000000001</v>
      </c>
    </row>
    <row r="828" spans="1:27" x14ac:dyDescent="0.35">
      <c r="A828" s="13" t="s">
        <v>1849</v>
      </c>
      <c r="B828" s="13" t="s">
        <v>1850</v>
      </c>
      <c r="C828" s="42">
        <f t="shared" si="12"/>
        <v>112.0457808</v>
      </c>
      <c r="D828" s="20" t="s">
        <v>42</v>
      </c>
      <c r="E828" s="20">
        <v>1</v>
      </c>
      <c r="F828" s="20" t="s">
        <v>3982</v>
      </c>
      <c r="G828" s="14">
        <f>(VLOOKUP(D828,'[1]BOM Info General'!$A:$L,12,0))*E828</f>
        <v>35.56</v>
      </c>
      <c r="H828" s="21" t="s">
        <v>39</v>
      </c>
      <c r="I828" s="21">
        <v>1</v>
      </c>
      <c r="J828" s="21" t="s">
        <v>46</v>
      </c>
      <c r="K828" s="15">
        <f>(VLOOKUP(H828,'[1]BOM Info General'!$A:$L,12,0))*I828</f>
        <v>24.42</v>
      </c>
      <c r="L828" s="22" t="s">
        <v>76</v>
      </c>
      <c r="M828" s="22">
        <v>1</v>
      </c>
      <c r="N828" s="22" t="s">
        <v>73</v>
      </c>
      <c r="O828" s="9">
        <f>(VLOOKUP(L828,'[1]Simulation pricing per sub assy'!$D:$E,2,0))*M828</f>
        <v>43.288799999999988</v>
      </c>
      <c r="P828" s="23" t="s">
        <v>50</v>
      </c>
      <c r="Q828" s="23">
        <v>2</v>
      </c>
      <c r="R828" s="23" t="s">
        <v>16</v>
      </c>
      <c r="S828" s="40">
        <f>(VLOOKUP(P828,'[1]BOM Info General'!$A:$L,12,0))*Q828</f>
        <v>5.3</v>
      </c>
      <c r="T828" s="24" t="s">
        <v>12</v>
      </c>
      <c r="U828" s="24">
        <v>1</v>
      </c>
      <c r="V828" s="24" t="s">
        <v>13</v>
      </c>
      <c r="W828" s="17">
        <f>(VLOOKUP(T828,'[1]Simulation pricing per sub assy'!$D:$E,2,0))*U828</f>
        <v>1.9</v>
      </c>
      <c r="X828" s="18" t="s">
        <v>615</v>
      </c>
      <c r="Y828" s="25">
        <v>1</v>
      </c>
      <c r="Z828" s="25" t="s">
        <v>9</v>
      </c>
      <c r="AA828" s="18">
        <f>(VLOOKUP(X828,'[1]Simulation pricing per sub assy'!$D:$E,2,0))*Y828</f>
        <v>1.5769808000000001</v>
      </c>
    </row>
    <row r="829" spans="1:27" x14ac:dyDescent="0.35">
      <c r="A829" s="13" t="s">
        <v>1885</v>
      </c>
      <c r="B829" s="13" t="s">
        <v>1886</v>
      </c>
      <c r="C829" s="42">
        <f t="shared" si="12"/>
        <v>112.6257808</v>
      </c>
      <c r="D829" s="20" t="s">
        <v>42</v>
      </c>
      <c r="E829" s="20">
        <v>1</v>
      </c>
      <c r="F829" s="20" t="s">
        <v>3982</v>
      </c>
      <c r="G829" s="14">
        <f>(VLOOKUP(D829,'[1]BOM Info General'!$A:$L,12,0))*E829</f>
        <v>35.56</v>
      </c>
      <c r="H829" s="21" t="s">
        <v>39</v>
      </c>
      <c r="I829" s="21">
        <v>1</v>
      </c>
      <c r="J829" s="21" t="s">
        <v>46</v>
      </c>
      <c r="K829" s="15">
        <f>(VLOOKUP(H829,'[1]BOM Info General'!$A:$L,12,0))*I829</f>
        <v>24.42</v>
      </c>
      <c r="L829" s="22" t="s">
        <v>72</v>
      </c>
      <c r="M829" s="22">
        <v>1</v>
      </c>
      <c r="N829" s="22" t="s">
        <v>71</v>
      </c>
      <c r="O829" s="9">
        <f>(VLOOKUP(L829,'[1]Simulation pricing per sub assy'!$D:$E,2,0))*M829</f>
        <v>43.868799999999993</v>
      </c>
      <c r="P829" s="23" t="s">
        <v>50</v>
      </c>
      <c r="Q829" s="23">
        <v>2</v>
      </c>
      <c r="R829" s="23" t="s">
        <v>16</v>
      </c>
      <c r="S829" s="40">
        <f>(VLOOKUP(P829,'[1]BOM Info General'!$A:$L,12,0))*Q829</f>
        <v>5.3</v>
      </c>
      <c r="T829" s="24" t="s">
        <v>12</v>
      </c>
      <c r="U829" s="24">
        <v>1</v>
      </c>
      <c r="V829" s="24" t="s">
        <v>13</v>
      </c>
      <c r="W829" s="17">
        <f>(VLOOKUP(T829,'[1]Simulation pricing per sub assy'!$D:$E,2,0))*U829</f>
        <v>1.9</v>
      </c>
      <c r="X829" s="18" t="s">
        <v>615</v>
      </c>
      <c r="Y829" s="25">
        <v>1</v>
      </c>
      <c r="Z829" s="25" t="s">
        <v>9</v>
      </c>
      <c r="AA829" s="18">
        <f>(VLOOKUP(X829,'[1]Simulation pricing per sub assy'!$D:$E,2,0))*Y829</f>
        <v>1.5769808000000001</v>
      </c>
    </row>
    <row r="830" spans="1:27" x14ac:dyDescent="0.35">
      <c r="A830" s="13" t="s">
        <v>1867</v>
      </c>
      <c r="B830" s="13" t="s">
        <v>1868</v>
      </c>
      <c r="C830" s="42">
        <f t="shared" si="12"/>
        <v>112.3657808</v>
      </c>
      <c r="D830" s="20" t="s">
        <v>42</v>
      </c>
      <c r="E830" s="20">
        <v>1</v>
      </c>
      <c r="F830" s="20" t="s">
        <v>3982</v>
      </c>
      <c r="G830" s="14">
        <f>(VLOOKUP(D830,'[1]BOM Info General'!$A:$L,12,0))*E830</f>
        <v>35.56</v>
      </c>
      <c r="H830" s="21" t="s">
        <v>39</v>
      </c>
      <c r="I830" s="21">
        <v>1</v>
      </c>
      <c r="J830" s="21" t="s">
        <v>46</v>
      </c>
      <c r="K830" s="15">
        <f>(VLOOKUP(H830,'[1]BOM Info General'!$A:$L,12,0))*I830</f>
        <v>24.42</v>
      </c>
      <c r="L830" s="22" t="s">
        <v>78</v>
      </c>
      <c r="M830" s="22">
        <v>1</v>
      </c>
      <c r="N830" s="22" t="s">
        <v>75</v>
      </c>
      <c r="O830" s="9">
        <f>(VLOOKUP(L830,'[1]Simulation pricing per sub assy'!$D:$E,2,0))*M830</f>
        <v>43.608799999999988</v>
      </c>
      <c r="P830" s="23" t="s">
        <v>50</v>
      </c>
      <c r="Q830" s="23">
        <v>2</v>
      </c>
      <c r="R830" s="23" t="s">
        <v>16</v>
      </c>
      <c r="S830" s="40">
        <f>(VLOOKUP(P830,'[1]BOM Info General'!$A:$L,12,0))*Q830</f>
        <v>5.3</v>
      </c>
      <c r="T830" s="24" t="s">
        <v>12</v>
      </c>
      <c r="U830" s="24">
        <v>1</v>
      </c>
      <c r="V830" s="24" t="s">
        <v>13</v>
      </c>
      <c r="W830" s="17">
        <f>(VLOOKUP(T830,'[1]Simulation pricing per sub assy'!$D:$E,2,0))*U830</f>
        <v>1.9</v>
      </c>
      <c r="X830" s="18" t="s">
        <v>615</v>
      </c>
      <c r="Y830" s="25">
        <v>1</v>
      </c>
      <c r="Z830" s="25" t="s">
        <v>9</v>
      </c>
      <c r="AA830" s="18">
        <f>(VLOOKUP(X830,'[1]Simulation pricing per sub assy'!$D:$E,2,0))*Y830</f>
        <v>1.5769808000000001</v>
      </c>
    </row>
    <row r="831" spans="1:27" x14ac:dyDescent="0.35">
      <c r="A831" s="13" t="s">
        <v>1903</v>
      </c>
      <c r="B831" s="13" t="s">
        <v>1904</v>
      </c>
      <c r="C831" s="42">
        <f t="shared" si="12"/>
        <v>120.0357808</v>
      </c>
      <c r="D831" s="20" t="s">
        <v>42</v>
      </c>
      <c r="E831" s="20">
        <v>1</v>
      </c>
      <c r="F831" s="20" t="s">
        <v>3982</v>
      </c>
      <c r="G831" s="14">
        <f>(VLOOKUP(D831,'[1]BOM Info General'!$A:$L,12,0))*E831</f>
        <v>35.56</v>
      </c>
      <c r="H831" s="21" t="s">
        <v>39</v>
      </c>
      <c r="I831" s="21">
        <v>1</v>
      </c>
      <c r="J831" s="21" t="s">
        <v>46</v>
      </c>
      <c r="K831" s="15">
        <f>(VLOOKUP(H831,'[1]BOM Info General'!$A:$L,12,0))*I831</f>
        <v>24.42</v>
      </c>
      <c r="L831" s="22" t="s">
        <v>74</v>
      </c>
      <c r="M831" s="22">
        <v>1</v>
      </c>
      <c r="N831" s="22" t="s">
        <v>77</v>
      </c>
      <c r="O831" s="9">
        <f>(VLOOKUP(L831,'[1]Simulation pricing per sub assy'!$D:$E,2,0))*M831</f>
        <v>51.27879999999999</v>
      </c>
      <c r="P831" s="23" t="s">
        <v>50</v>
      </c>
      <c r="Q831" s="23">
        <v>2</v>
      </c>
      <c r="R831" s="23" t="s">
        <v>16</v>
      </c>
      <c r="S831" s="40">
        <f>(VLOOKUP(P831,'[1]BOM Info General'!$A:$L,12,0))*Q831</f>
        <v>5.3</v>
      </c>
      <c r="T831" s="24" t="s">
        <v>12</v>
      </c>
      <c r="U831" s="24">
        <v>1</v>
      </c>
      <c r="V831" s="24" t="s">
        <v>13</v>
      </c>
      <c r="W831" s="17">
        <f>(VLOOKUP(T831,'[1]Simulation pricing per sub assy'!$D:$E,2,0))*U831</f>
        <v>1.9</v>
      </c>
      <c r="X831" s="18" t="s">
        <v>615</v>
      </c>
      <c r="Y831" s="25">
        <v>1</v>
      </c>
      <c r="Z831" s="25" t="s">
        <v>9</v>
      </c>
      <c r="AA831" s="18">
        <f>(VLOOKUP(X831,'[1]Simulation pricing per sub assy'!$D:$E,2,0))*Y831</f>
        <v>1.5769808000000001</v>
      </c>
    </row>
    <row r="832" spans="1:27" x14ac:dyDescent="0.35">
      <c r="A832" s="13" t="s">
        <v>1923</v>
      </c>
      <c r="B832" s="13" t="s">
        <v>1924</v>
      </c>
      <c r="C832" s="42">
        <f t="shared" si="12"/>
        <v>111.0657808</v>
      </c>
      <c r="D832" s="20" t="s">
        <v>42</v>
      </c>
      <c r="E832" s="20">
        <v>1</v>
      </c>
      <c r="F832" s="20" t="s">
        <v>3982</v>
      </c>
      <c r="G832" s="14">
        <f>(VLOOKUP(D832,'[1]BOM Info General'!$A:$L,12,0))*E832</f>
        <v>35.56</v>
      </c>
      <c r="H832" s="21" t="s">
        <v>39</v>
      </c>
      <c r="I832" s="21">
        <v>1</v>
      </c>
      <c r="J832" s="21" t="s">
        <v>46</v>
      </c>
      <c r="K832" s="15">
        <f>(VLOOKUP(H832,'[1]BOM Info General'!$A:$L,12,0))*I832</f>
        <v>24.42</v>
      </c>
      <c r="L832" s="22" t="s">
        <v>527</v>
      </c>
      <c r="M832" s="22">
        <v>1</v>
      </c>
      <c r="N832" s="22" t="s">
        <v>79</v>
      </c>
      <c r="O832" s="9">
        <f>(VLOOKUP(L832,'[1]Simulation pricing per sub assy'!$D:$E,2,0))*M832</f>
        <v>42.308799999999991</v>
      </c>
      <c r="P832" s="23" t="s">
        <v>50</v>
      </c>
      <c r="Q832" s="23">
        <v>2</v>
      </c>
      <c r="R832" s="23" t="s">
        <v>16</v>
      </c>
      <c r="S832" s="40">
        <f>(VLOOKUP(P832,'[1]BOM Info General'!$A:$L,12,0))*Q832</f>
        <v>5.3</v>
      </c>
      <c r="T832" s="24" t="s">
        <v>14</v>
      </c>
      <c r="U832" s="24">
        <v>1</v>
      </c>
      <c r="V832" s="24" t="s">
        <v>15</v>
      </c>
      <c r="W832" s="17">
        <f>(VLOOKUP(T832,'[1]Simulation pricing per sub assy'!$D:$E,2,0))*U832</f>
        <v>1.9</v>
      </c>
      <c r="X832" s="18" t="s">
        <v>615</v>
      </c>
      <c r="Y832" s="25">
        <v>1</v>
      </c>
      <c r="Z832" s="25" t="s">
        <v>9</v>
      </c>
      <c r="AA832" s="18">
        <f>(VLOOKUP(X832,'[1]Simulation pricing per sub assy'!$D:$E,2,0))*Y832</f>
        <v>1.5769808000000001</v>
      </c>
    </row>
    <row r="833" spans="1:27" x14ac:dyDescent="0.35">
      <c r="A833" s="13" t="s">
        <v>1851</v>
      </c>
      <c r="B833" s="13" t="s">
        <v>1852</v>
      </c>
      <c r="C833" s="42">
        <f t="shared" si="12"/>
        <v>112.0457808</v>
      </c>
      <c r="D833" s="20" t="s">
        <v>42</v>
      </c>
      <c r="E833" s="20">
        <v>1</v>
      </c>
      <c r="F833" s="20" t="s">
        <v>3982</v>
      </c>
      <c r="G833" s="14">
        <f>(VLOOKUP(D833,'[1]BOM Info General'!$A:$L,12,0))*E833</f>
        <v>35.56</v>
      </c>
      <c r="H833" s="21" t="s">
        <v>39</v>
      </c>
      <c r="I833" s="21">
        <v>1</v>
      </c>
      <c r="J833" s="21" t="s">
        <v>46</v>
      </c>
      <c r="K833" s="15">
        <f>(VLOOKUP(H833,'[1]BOM Info General'!$A:$L,12,0))*I833</f>
        <v>24.42</v>
      </c>
      <c r="L833" s="22" t="s">
        <v>76</v>
      </c>
      <c r="M833" s="22">
        <v>1</v>
      </c>
      <c r="N833" s="22" t="s">
        <v>73</v>
      </c>
      <c r="O833" s="9">
        <f>(VLOOKUP(L833,'[1]Simulation pricing per sub assy'!$D:$E,2,0))*M833</f>
        <v>43.288799999999988</v>
      </c>
      <c r="P833" s="23" t="s">
        <v>50</v>
      </c>
      <c r="Q833" s="23">
        <v>2</v>
      </c>
      <c r="R833" s="23" t="s">
        <v>16</v>
      </c>
      <c r="S833" s="40">
        <f>(VLOOKUP(P833,'[1]BOM Info General'!$A:$L,12,0))*Q833</f>
        <v>5.3</v>
      </c>
      <c r="T833" s="24" t="s">
        <v>14</v>
      </c>
      <c r="U833" s="24">
        <v>1</v>
      </c>
      <c r="V833" s="24" t="s">
        <v>15</v>
      </c>
      <c r="W833" s="17">
        <f>(VLOOKUP(T833,'[1]Simulation pricing per sub assy'!$D:$E,2,0))*U833</f>
        <v>1.9</v>
      </c>
      <c r="X833" s="18" t="s">
        <v>615</v>
      </c>
      <c r="Y833" s="25">
        <v>1</v>
      </c>
      <c r="Z833" s="25" t="s">
        <v>9</v>
      </c>
      <c r="AA833" s="18">
        <f>(VLOOKUP(X833,'[1]Simulation pricing per sub assy'!$D:$E,2,0))*Y833</f>
        <v>1.5769808000000001</v>
      </c>
    </row>
    <row r="834" spans="1:27" x14ac:dyDescent="0.35">
      <c r="A834" s="13" t="s">
        <v>1887</v>
      </c>
      <c r="B834" s="13" t="s">
        <v>1888</v>
      </c>
      <c r="C834" s="42">
        <f t="shared" si="12"/>
        <v>112.6257808</v>
      </c>
      <c r="D834" s="20" t="s">
        <v>42</v>
      </c>
      <c r="E834" s="20">
        <v>1</v>
      </c>
      <c r="F834" s="20" t="s">
        <v>3982</v>
      </c>
      <c r="G834" s="14">
        <f>(VLOOKUP(D834,'[1]BOM Info General'!$A:$L,12,0))*E834</f>
        <v>35.56</v>
      </c>
      <c r="H834" s="21" t="s">
        <v>39</v>
      </c>
      <c r="I834" s="21">
        <v>1</v>
      </c>
      <c r="J834" s="21" t="s">
        <v>46</v>
      </c>
      <c r="K834" s="15">
        <f>(VLOOKUP(H834,'[1]BOM Info General'!$A:$L,12,0))*I834</f>
        <v>24.42</v>
      </c>
      <c r="L834" s="22" t="s">
        <v>72</v>
      </c>
      <c r="M834" s="22">
        <v>1</v>
      </c>
      <c r="N834" s="22" t="s">
        <v>71</v>
      </c>
      <c r="O834" s="9">
        <f>(VLOOKUP(L834,'[1]Simulation pricing per sub assy'!$D:$E,2,0))*M834</f>
        <v>43.868799999999993</v>
      </c>
      <c r="P834" s="23" t="s">
        <v>50</v>
      </c>
      <c r="Q834" s="23">
        <v>2</v>
      </c>
      <c r="R834" s="23" t="s">
        <v>16</v>
      </c>
      <c r="S834" s="40">
        <f>(VLOOKUP(P834,'[1]BOM Info General'!$A:$L,12,0))*Q834</f>
        <v>5.3</v>
      </c>
      <c r="T834" s="24" t="s">
        <v>14</v>
      </c>
      <c r="U834" s="24">
        <v>1</v>
      </c>
      <c r="V834" s="24" t="s">
        <v>15</v>
      </c>
      <c r="W834" s="17">
        <f>(VLOOKUP(T834,'[1]Simulation pricing per sub assy'!$D:$E,2,0))*U834</f>
        <v>1.9</v>
      </c>
      <c r="X834" s="18" t="s">
        <v>615</v>
      </c>
      <c r="Y834" s="25">
        <v>1</v>
      </c>
      <c r="Z834" s="25" t="s">
        <v>9</v>
      </c>
      <c r="AA834" s="18">
        <f>(VLOOKUP(X834,'[1]Simulation pricing per sub assy'!$D:$E,2,0))*Y834</f>
        <v>1.5769808000000001</v>
      </c>
    </row>
    <row r="835" spans="1:27" x14ac:dyDescent="0.35">
      <c r="A835" s="13" t="s">
        <v>1869</v>
      </c>
      <c r="B835" s="13" t="s">
        <v>1870</v>
      </c>
      <c r="C835" s="42">
        <f t="shared" ref="C835:C898" si="13">SUM(G835+K835+O835+S835+W835+AA835)</f>
        <v>112.3657808</v>
      </c>
      <c r="D835" s="20" t="s">
        <v>42</v>
      </c>
      <c r="E835" s="20">
        <v>1</v>
      </c>
      <c r="F835" s="20" t="s">
        <v>3982</v>
      </c>
      <c r="G835" s="14">
        <f>(VLOOKUP(D835,'[1]BOM Info General'!$A:$L,12,0))*E835</f>
        <v>35.56</v>
      </c>
      <c r="H835" s="21" t="s">
        <v>39</v>
      </c>
      <c r="I835" s="21">
        <v>1</v>
      </c>
      <c r="J835" s="21" t="s">
        <v>46</v>
      </c>
      <c r="K835" s="15">
        <f>(VLOOKUP(H835,'[1]BOM Info General'!$A:$L,12,0))*I835</f>
        <v>24.42</v>
      </c>
      <c r="L835" s="22" t="s">
        <v>78</v>
      </c>
      <c r="M835" s="22">
        <v>1</v>
      </c>
      <c r="N835" s="22" t="s">
        <v>75</v>
      </c>
      <c r="O835" s="9">
        <f>(VLOOKUP(L835,'[1]Simulation pricing per sub assy'!$D:$E,2,0))*M835</f>
        <v>43.608799999999988</v>
      </c>
      <c r="P835" s="23" t="s">
        <v>50</v>
      </c>
      <c r="Q835" s="23">
        <v>2</v>
      </c>
      <c r="R835" s="23" t="s">
        <v>16</v>
      </c>
      <c r="S835" s="40">
        <f>(VLOOKUP(P835,'[1]BOM Info General'!$A:$L,12,0))*Q835</f>
        <v>5.3</v>
      </c>
      <c r="T835" s="24" t="s">
        <v>14</v>
      </c>
      <c r="U835" s="24">
        <v>1</v>
      </c>
      <c r="V835" s="24" t="s">
        <v>15</v>
      </c>
      <c r="W835" s="17">
        <f>(VLOOKUP(T835,'[1]Simulation pricing per sub assy'!$D:$E,2,0))*U835</f>
        <v>1.9</v>
      </c>
      <c r="X835" s="18" t="s">
        <v>615</v>
      </c>
      <c r="Y835" s="25">
        <v>1</v>
      </c>
      <c r="Z835" s="25" t="s">
        <v>9</v>
      </c>
      <c r="AA835" s="18">
        <f>(VLOOKUP(X835,'[1]Simulation pricing per sub assy'!$D:$E,2,0))*Y835</f>
        <v>1.5769808000000001</v>
      </c>
    </row>
    <row r="836" spans="1:27" x14ac:dyDescent="0.35">
      <c r="A836" s="13" t="s">
        <v>1905</v>
      </c>
      <c r="B836" s="13" t="s">
        <v>1906</v>
      </c>
      <c r="C836" s="42">
        <f t="shared" si="13"/>
        <v>120.0357808</v>
      </c>
      <c r="D836" s="20" t="s">
        <v>42</v>
      </c>
      <c r="E836" s="20">
        <v>1</v>
      </c>
      <c r="F836" s="20" t="s">
        <v>3982</v>
      </c>
      <c r="G836" s="14">
        <f>(VLOOKUP(D836,'[1]BOM Info General'!$A:$L,12,0))*E836</f>
        <v>35.56</v>
      </c>
      <c r="H836" s="21" t="s">
        <v>39</v>
      </c>
      <c r="I836" s="21">
        <v>1</v>
      </c>
      <c r="J836" s="21" t="s">
        <v>46</v>
      </c>
      <c r="K836" s="15">
        <f>(VLOOKUP(H836,'[1]BOM Info General'!$A:$L,12,0))*I836</f>
        <v>24.42</v>
      </c>
      <c r="L836" s="22" t="s">
        <v>74</v>
      </c>
      <c r="M836" s="22">
        <v>1</v>
      </c>
      <c r="N836" s="22" t="s">
        <v>77</v>
      </c>
      <c r="O836" s="9">
        <f>(VLOOKUP(L836,'[1]Simulation pricing per sub assy'!$D:$E,2,0))*M836</f>
        <v>51.27879999999999</v>
      </c>
      <c r="P836" s="23" t="s">
        <v>50</v>
      </c>
      <c r="Q836" s="23">
        <v>2</v>
      </c>
      <c r="R836" s="23" t="s">
        <v>16</v>
      </c>
      <c r="S836" s="40">
        <f>(VLOOKUP(P836,'[1]BOM Info General'!$A:$L,12,0))*Q836</f>
        <v>5.3</v>
      </c>
      <c r="T836" s="24" t="s">
        <v>14</v>
      </c>
      <c r="U836" s="24">
        <v>1</v>
      </c>
      <c r="V836" s="24" t="s">
        <v>15</v>
      </c>
      <c r="W836" s="17">
        <f>(VLOOKUP(T836,'[1]Simulation pricing per sub assy'!$D:$E,2,0))*U836</f>
        <v>1.9</v>
      </c>
      <c r="X836" s="18" t="s">
        <v>615</v>
      </c>
      <c r="Y836" s="25">
        <v>1</v>
      </c>
      <c r="Z836" s="25" t="s">
        <v>9</v>
      </c>
      <c r="AA836" s="18">
        <f>(VLOOKUP(X836,'[1]Simulation pricing per sub assy'!$D:$E,2,0))*Y836</f>
        <v>1.5769808000000001</v>
      </c>
    </row>
    <row r="837" spans="1:27" x14ac:dyDescent="0.35">
      <c r="A837" s="13" t="s">
        <v>1925</v>
      </c>
      <c r="B837" s="13" t="s">
        <v>1926</v>
      </c>
      <c r="C837" s="42">
        <f t="shared" si="13"/>
        <v>111.21578079999999</v>
      </c>
      <c r="D837" s="20" t="s">
        <v>42</v>
      </c>
      <c r="E837" s="20">
        <v>1</v>
      </c>
      <c r="F837" s="20" t="s">
        <v>3982</v>
      </c>
      <c r="G837" s="14">
        <f>(VLOOKUP(D837,'[1]BOM Info General'!$A:$L,12,0))*E837</f>
        <v>35.56</v>
      </c>
      <c r="H837" s="21" t="s">
        <v>39</v>
      </c>
      <c r="I837" s="21">
        <v>1</v>
      </c>
      <c r="J837" s="21" t="s">
        <v>46</v>
      </c>
      <c r="K837" s="15">
        <f>(VLOOKUP(H837,'[1]BOM Info General'!$A:$L,12,0))*I837</f>
        <v>24.42</v>
      </c>
      <c r="L837" s="22" t="s">
        <v>527</v>
      </c>
      <c r="M837" s="22">
        <v>1</v>
      </c>
      <c r="N837" s="22" t="s">
        <v>79</v>
      </c>
      <c r="O837" s="9">
        <f>(VLOOKUP(L837,'[1]Simulation pricing per sub assy'!$D:$E,2,0))*M837</f>
        <v>42.308799999999991</v>
      </c>
      <c r="P837" s="23" t="s">
        <v>51</v>
      </c>
      <c r="Q837" s="23">
        <v>2</v>
      </c>
      <c r="R837" s="23" t="s">
        <v>17</v>
      </c>
      <c r="S837" s="40">
        <f>(VLOOKUP(P837,'[1]BOM Info General'!$A:$L,12,0))*Q837</f>
        <v>5.3</v>
      </c>
      <c r="T837" s="24" t="s">
        <v>10</v>
      </c>
      <c r="U837" s="24">
        <v>1</v>
      </c>
      <c r="V837" s="24" t="s">
        <v>11</v>
      </c>
      <c r="W837" s="17">
        <f>(VLOOKUP(T837,'[1]Simulation pricing per sub assy'!$D:$E,2,0))*U837</f>
        <v>2.0499999999999998</v>
      </c>
      <c r="X837" s="18" t="s">
        <v>615</v>
      </c>
      <c r="Y837" s="25">
        <v>1</v>
      </c>
      <c r="Z837" s="25" t="s">
        <v>9</v>
      </c>
      <c r="AA837" s="18">
        <f>(VLOOKUP(X837,'[1]Simulation pricing per sub assy'!$D:$E,2,0))*Y837</f>
        <v>1.5769808000000001</v>
      </c>
    </row>
    <row r="838" spans="1:27" x14ac:dyDescent="0.35">
      <c r="A838" s="13" t="s">
        <v>1853</v>
      </c>
      <c r="B838" s="13" t="s">
        <v>1854</v>
      </c>
      <c r="C838" s="42">
        <f t="shared" si="13"/>
        <v>112.19578079999999</v>
      </c>
      <c r="D838" s="20" t="s">
        <v>42</v>
      </c>
      <c r="E838" s="20">
        <v>1</v>
      </c>
      <c r="F838" s="20" t="s">
        <v>3982</v>
      </c>
      <c r="G838" s="14">
        <f>(VLOOKUP(D838,'[1]BOM Info General'!$A:$L,12,0))*E838</f>
        <v>35.56</v>
      </c>
      <c r="H838" s="21" t="s">
        <v>39</v>
      </c>
      <c r="I838" s="21">
        <v>1</v>
      </c>
      <c r="J838" s="21" t="s">
        <v>46</v>
      </c>
      <c r="K838" s="15">
        <f>(VLOOKUP(H838,'[1]BOM Info General'!$A:$L,12,0))*I838</f>
        <v>24.42</v>
      </c>
      <c r="L838" s="22" t="s">
        <v>76</v>
      </c>
      <c r="M838" s="22">
        <v>1</v>
      </c>
      <c r="N838" s="22" t="s">
        <v>73</v>
      </c>
      <c r="O838" s="9">
        <f>(VLOOKUP(L838,'[1]Simulation pricing per sub assy'!$D:$E,2,0))*M838</f>
        <v>43.288799999999988</v>
      </c>
      <c r="P838" s="23" t="s">
        <v>51</v>
      </c>
      <c r="Q838" s="23">
        <v>2</v>
      </c>
      <c r="R838" s="23" t="s">
        <v>17</v>
      </c>
      <c r="S838" s="40">
        <f>(VLOOKUP(P838,'[1]BOM Info General'!$A:$L,12,0))*Q838</f>
        <v>5.3</v>
      </c>
      <c r="T838" s="24" t="s">
        <v>10</v>
      </c>
      <c r="U838" s="24">
        <v>1</v>
      </c>
      <c r="V838" s="24" t="s">
        <v>11</v>
      </c>
      <c r="W838" s="17">
        <f>(VLOOKUP(T838,'[1]Simulation pricing per sub assy'!$D:$E,2,0))*U838</f>
        <v>2.0499999999999998</v>
      </c>
      <c r="X838" s="18" t="s">
        <v>615</v>
      </c>
      <c r="Y838" s="25">
        <v>1</v>
      </c>
      <c r="Z838" s="25" t="s">
        <v>9</v>
      </c>
      <c r="AA838" s="18">
        <f>(VLOOKUP(X838,'[1]Simulation pricing per sub assy'!$D:$E,2,0))*Y838</f>
        <v>1.5769808000000001</v>
      </c>
    </row>
    <row r="839" spans="1:27" x14ac:dyDescent="0.35">
      <c r="A839" s="13" t="s">
        <v>1889</v>
      </c>
      <c r="B839" s="13" t="s">
        <v>1890</v>
      </c>
      <c r="C839" s="42">
        <f t="shared" si="13"/>
        <v>112.77578079999999</v>
      </c>
      <c r="D839" s="20" t="s">
        <v>42</v>
      </c>
      <c r="E839" s="20">
        <v>1</v>
      </c>
      <c r="F839" s="20" t="s">
        <v>3982</v>
      </c>
      <c r="G839" s="14">
        <f>(VLOOKUP(D839,'[1]BOM Info General'!$A:$L,12,0))*E839</f>
        <v>35.56</v>
      </c>
      <c r="H839" s="21" t="s">
        <v>39</v>
      </c>
      <c r="I839" s="21">
        <v>1</v>
      </c>
      <c r="J839" s="21" t="s">
        <v>46</v>
      </c>
      <c r="K839" s="15">
        <f>(VLOOKUP(H839,'[1]BOM Info General'!$A:$L,12,0))*I839</f>
        <v>24.42</v>
      </c>
      <c r="L839" s="22" t="s">
        <v>72</v>
      </c>
      <c r="M839" s="22">
        <v>1</v>
      </c>
      <c r="N839" s="22" t="s">
        <v>71</v>
      </c>
      <c r="O839" s="9">
        <f>(VLOOKUP(L839,'[1]Simulation pricing per sub assy'!$D:$E,2,0))*M839</f>
        <v>43.868799999999993</v>
      </c>
      <c r="P839" s="23" t="s">
        <v>51</v>
      </c>
      <c r="Q839" s="23">
        <v>2</v>
      </c>
      <c r="R839" s="23" t="s">
        <v>17</v>
      </c>
      <c r="S839" s="40">
        <f>(VLOOKUP(P839,'[1]BOM Info General'!$A:$L,12,0))*Q839</f>
        <v>5.3</v>
      </c>
      <c r="T839" s="24" t="s">
        <v>10</v>
      </c>
      <c r="U839" s="24">
        <v>1</v>
      </c>
      <c r="V839" s="24" t="s">
        <v>11</v>
      </c>
      <c r="W839" s="17">
        <f>(VLOOKUP(T839,'[1]Simulation pricing per sub assy'!$D:$E,2,0))*U839</f>
        <v>2.0499999999999998</v>
      </c>
      <c r="X839" s="18" t="s">
        <v>615</v>
      </c>
      <c r="Y839" s="25">
        <v>1</v>
      </c>
      <c r="Z839" s="25" t="s">
        <v>9</v>
      </c>
      <c r="AA839" s="18">
        <f>(VLOOKUP(X839,'[1]Simulation pricing per sub assy'!$D:$E,2,0))*Y839</f>
        <v>1.5769808000000001</v>
      </c>
    </row>
    <row r="840" spans="1:27" x14ac:dyDescent="0.35">
      <c r="A840" s="13" t="s">
        <v>1871</v>
      </c>
      <c r="B840" s="13" t="s">
        <v>1872</v>
      </c>
      <c r="C840" s="42">
        <f t="shared" si="13"/>
        <v>112.51578079999999</v>
      </c>
      <c r="D840" s="20" t="s">
        <v>42</v>
      </c>
      <c r="E840" s="20">
        <v>1</v>
      </c>
      <c r="F840" s="20" t="s">
        <v>3982</v>
      </c>
      <c r="G840" s="14">
        <f>(VLOOKUP(D840,'[1]BOM Info General'!$A:$L,12,0))*E840</f>
        <v>35.56</v>
      </c>
      <c r="H840" s="21" t="s">
        <v>39</v>
      </c>
      <c r="I840" s="21">
        <v>1</v>
      </c>
      <c r="J840" s="21" t="s">
        <v>46</v>
      </c>
      <c r="K840" s="15">
        <f>(VLOOKUP(H840,'[1]BOM Info General'!$A:$L,12,0))*I840</f>
        <v>24.42</v>
      </c>
      <c r="L840" s="22" t="s">
        <v>78</v>
      </c>
      <c r="M840" s="22">
        <v>1</v>
      </c>
      <c r="N840" s="22" t="s">
        <v>75</v>
      </c>
      <c r="O840" s="9">
        <f>(VLOOKUP(L840,'[1]Simulation pricing per sub assy'!$D:$E,2,0))*M840</f>
        <v>43.608799999999988</v>
      </c>
      <c r="P840" s="23" t="s">
        <v>51</v>
      </c>
      <c r="Q840" s="23">
        <v>2</v>
      </c>
      <c r="R840" s="23" t="s">
        <v>17</v>
      </c>
      <c r="S840" s="40">
        <f>(VLOOKUP(P840,'[1]BOM Info General'!$A:$L,12,0))*Q840</f>
        <v>5.3</v>
      </c>
      <c r="T840" s="24" t="s">
        <v>10</v>
      </c>
      <c r="U840" s="24">
        <v>1</v>
      </c>
      <c r="V840" s="24" t="s">
        <v>11</v>
      </c>
      <c r="W840" s="17">
        <f>(VLOOKUP(T840,'[1]Simulation pricing per sub assy'!$D:$E,2,0))*U840</f>
        <v>2.0499999999999998</v>
      </c>
      <c r="X840" s="18" t="s">
        <v>615</v>
      </c>
      <c r="Y840" s="25">
        <v>1</v>
      </c>
      <c r="Z840" s="25" t="s">
        <v>9</v>
      </c>
      <c r="AA840" s="18">
        <f>(VLOOKUP(X840,'[1]Simulation pricing per sub assy'!$D:$E,2,0))*Y840</f>
        <v>1.5769808000000001</v>
      </c>
    </row>
    <row r="841" spans="1:27" x14ac:dyDescent="0.35">
      <c r="A841" s="13" t="s">
        <v>1907</v>
      </c>
      <c r="B841" s="13" t="s">
        <v>1908</v>
      </c>
      <c r="C841" s="42">
        <f t="shared" si="13"/>
        <v>120.18578079999999</v>
      </c>
      <c r="D841" s="20" t="s">
        <v>42</v>
      </c>
      <c r="E841" s="20">
        <v>1</v>
      </c>
      <c r="F841" s="20" t="s">
        <v>3982</v>
      </c>
      <c r="G841" s="14">
        <f>(VLOOKUP(D841,'[1]BOM Info General'!$A:$L,12,0))*E841</f>
        <v>35.56</v>
      </c>
      <c r="H841" s="21" t="s">
        <v>39</v>
      </c>
      <c r="I841" s="21">
        <v>1</v>
      </c>
      <c r="J841" s="21" t="s">
        <v>46</v>
      </c>
      <c r="K841" s="15">
        <f>(VLOOKUP(H841,'[1]BOM Info General'!$A:$L,12,0))*I841</f>
        <v>24.42</v>
      </c>
      <c r="L841" s="22" t="s">
        <v>74</v>
      </c>
      <c r="M841" s="22">
        <v>1</v>
      </c>
      <c r="N841" s="22" t="s">
        <v>77</v>
      </c>
      <c r="O841" s="9">
        <f>(VLOOKUP(L841,'[1]Simulation pricing per sub assy'!$D:$E,2,0))*M841</f>
        <v>51.27879999999999</v>
      </c>
      <c r="P841" s="23" t="s">
        <v>51</v>
      </c>
      <c r="Q841" s="23">
        <v>2</v>
      </c>
      <c r="R841" s="23" t="s">
        <v>17</v>
      </c>
      <c r="S841" s="40">
        <f>(VLOOKUP(P841,'[1]BOM Info General'!$A:$L,12,0))*Q841</f>
        <v>5.3</v>
      </c>
      <c r="T841" s="24" t="s">
        <v>10</v>
      </c>
      <c r="U841" s="24">
        <v>1</v>
      </c>
      <c r="V841" s="24" t="s">
        <v>11</v>
      </c>
      <c r="W841" s="17">
        <f>(VLOOKUP(T841,'[1]Simulation pricing per sub assy'!$D:$E,2,0))*U841</f>
        <v>2.0499999999999998</v>
      </c>
      <c r="X841" s="18" t="s">
        <v>615</v>
      </c>
      <c r="Y841" s="25">
        <v>1</v>
      </c>
      <c r="Z841" s="25" t="s">
        <v>9</v>
      </c>
      <c r="AA841" s="18">
        <f>(VLOOKUP(X841,'[1]Simulation pricing per sub assy'!$D:$E,2,0))*Y841</f>
        <v>1.5769808000000001</v>
      </c>
    </row>
    <row r="842" spans="1:27" x14ac:dyDescent="0.35">
      <c r="A842" s="13" t="s">
        <v>1927</v>
      </c>
      <c r="B842" s="13" t="s">
        <v>1928</v>
      </c>
      <c r="C842" s="42">
        <f t="shared" si="13"/>
        <v>111.0657808</v>
      </c>
      <c r="D842" s="20" t="s">
        <v>42</v>
      </c>
      <c r="E842" s="20">
        <v>1</v>
      </c>
      <c r="F842" s="20" t="s">
        <v>3982</v>
      </c>
      <c r="G842" s="14">
        <f>(VLOOKUP(D842,'[1]BOM Info General'!$A:$L,12,0))*E842</f>
        <v>35.56</v>
      </c>
      <c r="H842" s="21" t="s">
        <v>39</v>
      </c>
      <c r="I842" s="21">
        <v>1</v>
      </c>
      <c r="J842" s="21" t="s">
        <v>46</v>
      </c>
      <c r="K842" s="15">
        <f>(VLOOKUP(H842,'[1]BOM Info General'!$A:$L,12,0))*I842</f>
        <v>24.42</v>
      </c>
      <c r="L842" s="22" t="s">
        <v>527</v>
      </c>
      <c r="M842" s="22">
        <v>1</v>
      </c>
      <c r="N842" s="22" t="s">
        <v>79</v>
      </c>
      <c r="O842" s="9">
        <f>(VLOOKUP(L842,'[1]Simulation pricing per sub assy'!$D:$E,2,0))*M842</f>
        <v>42.308799999999991</v>
      </c>
      <c r="P842" s="23" t="s">
        <v>51</v>
      </c>
      <c r="Q842" s="23">
        <v>2</v>
      </c>
      <c r="R842" s="23" t="s">
        <v>17</v>
      </c>
      <c r="S842" s="40">
        <f>(VLOOKUP(P842,'[1]BOM Info General'!$A:$L,12,0))*Q842</f>
        <v>5.3</v>
      </c>
      <c r="T842" s="24" t="s">
        <v>12</v>
      </c>
      <c r="U842" s="24">
        <v>1</v>
      </c>
      <c r="V842" s="24" t="s">
        <v>13</v>
      </c>
      <c r="W842" s="17">
        <f>(VLOOKUP(T842,'[1]Simulation pricing per sub assy'!$D:$E,2,0))*U842</f>
        <v>1.9</v>
      </c>
      <c r="X842" s="18" t="s">
        <v>615</v>
      </c>
      <c r="Y842" s="25">
        <v>1</v>
      </c>
      <c r="Z842" s="25" t="s">
        <v>9</v>
      </c>
      <c r="AA842" s="18">
        <f>(VLOOKUP(X842,'[1]Simulation pricing per sub assy'!$D:$E,2,0))*Y842</f>
        <v>1.5769808000000001</v>
      </c>
    </row>
    <row r="843" spans="1:27" x14ac:dyDescent="0.35">
      <c r="A843" s="13" t="s">
        <v>1855</v>
      </c>
      <c r="B843" s="13" t="s">
        <v>1856</v>
      </c>
      <c r="C843" s="42">
        <f t="shared" si="13"/>
        <v>112.0457808</v>
      </c>
      <c r="D843" s="20" t="s">
        <v>42</v>
      </c>
      <c r="E843" s="20">
        <v>1</v>
      </c>
      <c r="F843" s="20" t="s">
        <v>3982</v>
      </c>
      <c r="G843" s="14">
        <f>(VLOOKUP(D843,'[1]BOM Info General'!$A:$L,12,0))*E843</f>
        <v>35.56</v>
      </c>
      <c r="H843" s="21" t="s">
        <v>39</v>
      </c>
      <c r="I843" s="21">
        <v>1</v>
      </c>
      <c r="J843" s="21" t="s">
        <v>46</v>
      </c>
      <c r="K843" s="15">
        <f>(VLOOKUP(H843,'[1]BOM Info General'!$A:$L,12,0))*I843</f>
        <v>24.42</v>
      </c>
      <c r="L843" s="22" t="s">
        <v>76</v>
      </c>
      <c r="M843" s="22">
        <v>1</v>
      </c>
      <c r="N843" s="22" t="s">
        <v>73</v>
      </c>
      <c r="O843" s="9">
        <f>(VLOOKUP(L843,'[1]Simulation pricing per sub assy'!$D:$E,2,0))*M843</f>
        <v>43.288799999999988</v>
      </c>
      <c r="P843" s="23" t="s">
        <v>51</v>
      </c>
      <c r="Q843" s="23">
        <v>2</v>
      </c>
      <c r="R843" s="23" t="s">
        <v>17</v>
      </c>
      <c r="S843" s="40">
        <f>(VLOOKUP(P843,'[1]BOM Info General'!$A:$L,12,0))*Q843</f>
        <v>5.3</v>
      </c>
      <c r="T843" s="24" t="s">
        <v>12</v>
      </c>
      <c r="U843" s="24">
        <v>1</v>
      </c>
      <c r="V843" s="24" t="s">
        <v>13</v>
      </c>
      <c r="W843" s="17">
        <f>(VLOOKUP(T843,'[1]Simulation pricing per sub assy'!$D:$E,2,0))*U843</f>
        <v>1.9</v>
      </c>
      <c r="X843" s="18" t="s">
        <v>615</v>
      </c>
      <c r="Y843" s="25">
        <v>1</v>
      </c>
      <c r="Z843" s="25" t="s">
        <v>9</v>
      </c>
      <c r="AA843" s="18">
        <f>(VLOOKUP(X843,'[1]Simulation pricing per sub assy'!$D:$E,2,0))*Y843</f>
        <v>1.5769808000000001</v>
      </c>
    </row>
    <row r="844" spans="1:27" x14ac:dyDescent="0.35">
      <c r="A844" s="13" t="s">
        <v>1891</v>
      </c>
      <c r="B844" s="13" t="s">
        <v>1892</v>
      </c>
      <c r="C844" s="42">
        <f t="shared" si="13"/>
        <v>112.6257808</v>
      </c>
      <c r="D844" s="20" t="s">
        <v>42</v>
      </c>
      <c r="E844" s="20">
        <v>1</v>
      </c>
      <c r="F844" s="20" t="s">
        <v>3982</v>
      </c>
      <c r="G844" s="14">
        <f>(VLOOKUP(D844,'[1]BOM Info General'!$A:$L,12,0))*E844</f>
        <v>35.56</v>
      </c>
      <c r="H844" s="21" t="s">
        <v>39</v>
      </c>
      <c r="I844" s="21">
        <v>1</v>
      </c>
      <c r="J844" s="21" t="s">
        <v>46</v>
      </c>
      <c r="K844" s="15">
        <f>(VLOOKUP(H844,'[1]BOM Info General'!$A:$L,12,0))*I844</f>
        <v>24.42</v>
      </c>
      <c r="L844" s="22" t="s">
        <v>72</v>
      </c>
      <c r="M844" s="22">
        <v>1</v>
      </c>
      <c r="N844" s="22" t="s">
        <v>71</v>
      </c>
      <c r="O844" s="9">
        <f>(VLOOKUP(L844,'[1]Simulation pricing per sub assy'!$D:$E,2,0))*M844</f>
        <v>43.868799999999993</v>
      </c>
      <c r="P844" s="23" t="s">
        <v>51</v>
      </c>
      <c r="Q844" s="23">
        <v>2</v>
      </c>
      <c r="R844" s="23" t="s">
        <v>17</v>
      </c>
      <c r="S844" s="40">
        <f>(VLOOKUP(P844,'[1]BOM Info General'!$A:$L,12,0))*Q844</f>
        <v>5.3</v>
      </c>
      <c r="T844" s="24" t="s">
        <v>12</v>
      </c>
      <c r="U844" s="24">
        <v>1</v>
      </c>
      <c r="V844" s="24" t="s">
        <v>13</v>
      </c>
      <c r="W844" s="17">
        <f>(VLOOKUP(T844,'[1]Simulation pricing per sub assy'!$D:$E,2,0))*U844</f>
        <v>1.9</v>
      </c>
      <c r="X844" s="18" t="s">
        <v>615</v>
      </c>
      <c r="Y844" s="25">
        <v>1</v>
      </c>
      <c r="Z844" s="25" t="s">
        <v>9</v>
      </c>
      <c r="AA844" s="18">
        <f>(VLOOKUP(X844,'[1]Simulation pricing per sub assy'!$D:$E,2,0))*Y844</f>
        <v>1.5769808000000001</v>
      </c>
    </row>
    <row r="845" spans="1:27" x14ac:dyDescent="0.35">
      <c r="A845" s="13" t="s">
        <v>1873</v>
      </c>
      <c r="B845" s="13" t="s">
        <v>1874</v>
      </c>
      <c r="C845" s="42">
        <f t="shared" si="13"/>
        <v>112.3657808</v>
      </c>
      <c r="D845" s="20" t="s">
        <v>42</v>
      </c>
      <c r="E845" s="20">
        <v>1</v>
      </c>
      <c r="F845" s="20" t="s">
        <v>3982</v>
      </c>
      <c r="G845" s="14">
        <f>(VLOOKUP(D845,'[1]BOM Info General'!$A:$L,12,0))*E845</f>
        <v>35.56</v>
      </c>
      <c r="H845" s="21" t="s">
        <v>39</v>
      </c>
      <c r="I845" s="21">
        <v>1</v>
      </c>
      <c r="J845" s="21" t="s">
        <v>46</v>
      </c>
      <c r="K845" s="15">
        <f>(VLOOKUP(H845,'[1]BOM Info General'!$A:$L,12,0))*I845</f>
        <v>24.42</v>
      </c>
      <c r="L845" s="22" t="s">
        <v>78</v>
      </c>
      <c r="M845" s="22">
        <v>1</v>
      </c>
      <c r="N845" s="22" t="s">
        <v>75</v>
      </c>
      <c r="O845" s="9">
        <f>(VLOOKUP(L845,'[1]Simulation pricing per sub assy'!$D:$E,2,0))*M845</f>
        <v>43.608799999999988</v>
      </c>
      <c r="P845" s="23" t="s">
        <v>51</v>
      </c>
      <c r="Q845" s="23">
        <v>2</v>
      </c>
      <c r="R845" s="23" t="s">
        <v>17</v>
      </c>
      <c r="S845" s="40">
        <f>(VLOOKUP(P845,'[1]BOM Info General'!$A:$L,12,0))*Q845</f>
        <v>5.3</v>
      </c>
      <c r="T845" s="24" t="s">
        <v>12</v>
      </c>
      <c r="U845" s="24">
        <v>1</v>
      </c>
      <c r="V845" s="24" t="s">
        <v>13</v>
      </c>
      <c r="W845" s="17">
        <f>(VLOOKUP(T845,'[1]Simulation pricing per sub assy'!$D:$E,2,0))*U845</f>
        <v>1.9</v>
      </c>
      <c r="X845" s="18" t="s">
        <v>615</v>
      </c>
      <c r="Y845" s="25">
        <v>1</v>
      </c>
      <c r="Z845" s="25" t="s">
        <v>9</v>
      </c>
      <c r="AA845" s="18">
        <f>(VLOOKUP(X845,'[1]Simulation pricing per sub assy'!$D:$E,2,0))*Y845</f>
        <v>1.5769808000000001</v>
      </c>
    </row>
    <row r="846" spans="1:27" x14ac:dyDescent="0.35">
      <c r="A846" s="13" t="s">
        <v>1909</v>
      </c>
      <c r="B846" s="13" t="s">
        <v>1910</v>
      </c>
      <c r="C846" s="42">
        <f t="shared" si="13"/>
        <v>120.0357808</v>
      </c>
      <c r="D846" s="20" t="s">
        <v>42</v>
      </c>
      <c r="E846" s="20">
        <v>1</v>
      </c>
      <c r="F846" s="20" t="s">
        <v>3982</v>
      </c>
      <c r="G846" s="14">
        <f>(VLOOKUP(D846,'[1]BOM Info General'!$A:$L,12,0))*E846</f>
        <v>35.56</v>
      </c>
      <c r="H846" s="21" t="s">
        <v>39</v>
      </c>
      <c r="I846" s="21">
        <v>1</v>
      </c>
      <c r="J846" s="21" t="s">
        <v>46</v>
      </c>
      <c r="K846" s="15">
        <f>(VLOOKUP(H846,'[1]BOM Info General'!$A:$L,12,0))*I846</f>
        <v>24.42</v>
      </c>
      <c r="L846" s="22" t="s">
        <v>74</v>
      </c>
      <c r="M846" s="22">
        <v>1</v>
      </c>
      <c r="N846" s="22" t="s">
        <v>77</v>
      </c>
      <c r="O846" s="9">
        <f>(VLOOKUP(L846,'[1]Simulation pricing per sub assy'!$D:$E,2,0))*M846</f>
        <v>51.27879999999999</v>
      </c>
      <c r="P846" s="23" t="s">
        <v>51</v>
      </c>
      <c r="Q846" s="23">
        <v>2</v>
      </c>
      <c r="R846" s="23" t="s">
        <v>17</v>
      </c>
      <c r="S846" s="40">
        <f>(VLOOKUP(P846,'[1]BOM Info General'!$A:$L,12,0))*Q846</f>
        <v>5.3</v>
      </c>
      <c r="T846" s="24" t="s">
        <v>12</v>
      </c>
      <c r="U846" s="24">
        <v>1</v>
      </c>
      <c r="V846" s="24" t="s">
        <v>13</v>
      </c>
      <c r="W846" s="17">
        <f>(VLOOKUP(T846,'[1]Simulation pricing per sub assy'!$D:$E,2,0))*U846</f>
        <v>1.9</v>
      </c>
      <c r="X846" s="18" t="s">
        <v>615</v>
      </c>
      <c r="Y846" s="25">
        <v>1</v>
      </c>
      <c r="Z846" s="25" t="s">
        <v>9</v>
      </c>
      <c r="AA846" s="18">
        <f>(VLOOKUP(X846,'[1]Simulation pricing per sub assy'!$D:$E,2,0))*Y846</f>
        <v>1.5769808000000001</v>
      </c>
    </row>
    <row r="847" spans="1:27" x14ac:dyDescent="0.35">
      <c r="A847" s="13" t="s">
        <v>1929</v>
      </c>
      <c r="B847" s="13" t="s">
        <v>1930</v>
      </c>
      <c r="C847" s="42">
        <f t="shared" si="13"/>
        <v>111.0657808</v>
      </c>
      <c r="D847" s="20" t="s">
        <v>42</v>
      </c>
      <c r="E847" s="20">
        <v>1</v>
      </c>
      <c r="F847" s="20" t="s">
        <v>3982</v>
      </c>
      <c r="G847" s="14">
        <f>(VLOOKUP(D847,'[1]BOM Info General'!$A:$L,12,0))*E847</f>
        <v>35.56</v>
      </c>
      <c r="H847" s="21" t="s">
        <v>39</v>
      </c>
      <c r="I847" s="21">
        <v>1</v>
      </c>
      <c r="J847" s="21" t="s">
        <v>46</v>
      </c>
      <c r="K847" s="15">
        <f>(VLOOKUP(H847,'[1]BOM Info General'!$A:$L,12,0))*I847</f>
        <v>24.42</v>
      </c>
      <c r="L847" s="22" t="s">
        <v>527</v>
      </c>
      <c r="M847" s="22">
        <v>1</v>
      </c>
      <c r="N847" s="22" t="s">
        <v>79</v>
      </c>
      <c r="O847" s="9">
        <f>(VLOOKUP(L847,'[1]Simulation pricing per sub assy'!$D:$E,2,0))*M847</f>
        <v>42.308799999999991</v>
      </c>
      <c r="P847" s="23" t="s">
        <v>51</v>
      </c>
      <c r="Q847" s="23">
        <v>2</v>
      </c>
      <c r="R847" s="23" t="s">
        <v>17</v>
      </c>
      <c r="S847" s="40">
        <f>(VLOOKUP(P847,'[1]BOM Info General'!$A:$L,12,0))*Q847</f>
        <v>5.3</v>
      </c>
      <c r="T847" s="24" t="s">
        <v>14</v>
      </c>
      <c r="U847" s="24">
        <v>1</v>
      </c>
      <c r="V847" s="24" t="s">
        <v>15</v>
      </c>
      <c r="W847" s="17">
        <f>(VLOOKUP(T847,'[1]Simulation pricing per sub assy'!$D:$E,2,0))*U847</f>
        <v>1.9</v>
      </c>
      <c r="X847" s="18" t="s">
        <v>615</v>
      </c>
      <c r="Y847" s="25">
        <v>1</v>
      </c>
      <c r="Z847" s="25" t="s">
        <v>9</v>
      </c>
      <c r="AA847" s="18">
        <f>(VLOOKUP(X847,'[1]Simulation pricing per sub assy'!$D:$E,2,0))*Y847</f>
        <v>1.5769808000000001</v>
      </c>
    </row>
    <row r="848" spans="1:27" x14ac:dyDescent="0.35">
      <c r="A848" s="13" t="s">
        <v>1857</v>
      </c>
      <c r="B848" s="13" t="s">
        <v>1858</v>
      </c>
      <c r="C848" s="42">
        <f t="shared" si="13"/>
        <v>112.0457808</v>
      </c>
      <c r="D848" s="20" t="s">
        <v>42</v>
      </c>
      <c r="E848" s="20">
        <v>1</v>
      </c>
      <c r="F848" s="20" t="s">
        <v>3982</v>
      </c>
      <c r="G848" s="14">
        <f>(VLOOKUP(D848,'[1]BOM Info General'!$A:$L,12,0))*E848</f>
        <v>35.56</v>
      </c>
      <c r="H848" s="21" t="s">
        <v>39</v>
      </c>
      <c r="I848" s="21">
        <v>1</v>
      </c>
      <c r="J848" s="21" t="s">
        <v>46</v>
      </c>
      <c r="K848" s="15">
        <f>(VLOOKUP(H848,'[1]BOM Info General'!$A:$L,12,0))*I848</f>
        <v>24.42</v>
      </c>
      <c r="L848" s="22" t="s">
        <v>76</v>
      </c>
      <c r="M848" s="22">
        <v>1</v>
      </c>
      <c r="N848" s="22" t="s">
        <v>73</v>
      </c>
      <c r="O848" s="9">
        <f>(VLOOKUP(L848,'[1]Simulation pricing per sub assy'!$D:$E,2,0))*M848</f>
        <v>43.288799999999988</v>
      </c>
      <c r="P848" s="23" t="s">
        <v>51</v>
      </c>
      <c r="Q848" s="23">
        <v>2</v>
      </c>
      <c r="R848" s="23" t="s">
        <v>17</v>
      </c>
      <c r="S848" s="40">
        <f>(VLOOKUP(P848,'[1]BOM Info General'!$A:$L,12,0))*Q848</f>
        <v>5.3</v>
      </c>
      <c r="T848" s="24" t="s">
        <v>14</v>
      </c>
      <c r="U848" s="24">
        <v>1</v>
      </c>
      <c r="V848" s="24" t="s">
        <v>15</v>
      </c>
      <c r="W848" s="17">
        <f>(VLOOKUP(T848,'[1]Simulation pricing per sub assy'!$D:$E,2,0))*U848</f>
        <v>1.9</v>
      </c>
      <c r="X848" s="18" t="s">
        <v>615</v>
      </c>
      <c r="Y848" s="25">
        <v>1</v>
      </c>
      <c r="Z848" s="25" t="s">
        <v>9</v>
      </c>
      <c r="AA848" s="18">
        <f>(VLOOKUP(X848,'[1]Simulation pricing per sub assy'!$D:$E,2,0))*Y848</f>
        <v>1.5769808000000001</v>
      </c>
    </row>
    <row r="849" spans="1:27" x14ac:dyDescent="0.35">
      <c r="A849" s="13" t="s">
        <v>1893</v>
      </c>
      <c r="B849" s="13" t="s">
        <v>1894</v>
      </c>
      <c r="C849" s="42">
        <f t="shared" si="13"/>
        <v>112.6257808</v>
      </c>
      <c r="D849" s="20" t="s">
        <v>42</v>
      </c>
      <c r="E849" s="20">
        <v>1</v>
      </c>
      <c r="F849" s="20" t="s">
        <v>3982</v>
      </c>
      <c r="G849" s="14">
        <f>(VLOOKUP(D849,'[1]BOM Info General'!$A:$L,12,0))*E849</f>
        <v>35.56</v>
      </c>
      <c r="H849" s="21" t="s">
        <v>39</v>
      </c>
      <c r="I849" s="21">
        <v>1</v>
      </c>
      <c r="J849" s="21" t="s">
        <v>46</v>
      </c>
      <c r="K849" s="15">
        <f>(VLOOKUP(H849,'[1]BOM Info General'!$A:$L,12,0))*I849</f>
        <v>24.42</v>
      </c>
      <c r="L849" s="22" t="s">
        <v>72</v>
      </c>
      <c r="M849" s="22">
        <v>1</v>
      </c>
      <c r="N849" s="22" t="s">
        <v>71</v>
      </c>
      <c r="O849" s="9">
        <f>(VLOOKUP(L849,'[1]Simulation pricing per sub assy'!$D:$E,2,0))*M849</f>
        <v>43.868799999999993</v>
      </c>
      <c r="P849" s="23" t="s">
        <v>51</v>
      </c>
      <c r="Q849" s="23">
        <v>2</v>
      </c>
      <c r="R849" s="23" t="s">
        <v>17</v>
      </c>
      <c r="S849" s="40">
        <f>(VLOOKUP(P849,'[1]BOM Info General'!$A:$L,12,0))*Q849</f>
        <v>5.3</v>
      </c>
      <c r="T849" s="24" t="s">
        <v>14</v>
      </c>
      <c r="U849" s="24">
        <v>1</v>
      </c>
      <c r="V849" s="24" t="s">
        <v>15</v>
      </c>
      <c r="W849" s="17">
        <f>(VLOOKUP(T849,'[1]Simulation pricing per sub assy'!$D:$E,2,0))*U849</f>
        <v>1.9</v>
      </c>
      <c r="X849" s="18" t="s">
        <v>615</v>
      </c>
      <c r="Y849" s="25">
        <v>1</v>
      </c>
      <c r="Z849" s="25" t="s">
        <v>9</v>
      </c>
      <c r="AA849" s="18">
        <f>(VLOOKUP(X849,'[1]Simulation pricing per sub assy'!$D:$E,2,0))*Y849</f>
        <v>1.5769808000000001</v>
      </c>
    </row>
    <row r="850" spans="1:27" x14ac:dyDescent="0.35">
      <c r="A850" s="13" t="s">
        <v>1875</v>
      </c>
      <c r="B850" s="13" t="s">
        <v>1876</v>
      </c>
      <c r="C850" s="42">
        <f t="shared" si="13"/>
        <v>112.3657808</v>
      </c>
      <c r="D850" s="20" t="s">
        <v>42</v>
      </c>
      <c r="E850" s="20">
        <v>1</v>
      </c>
      <c r="F850" s="20" t="s">
        <v>3982</v>
      </c>
      <c r="G850" s="14">
        <f>(VLOOKUP(D850,'[1]BOM Info General'!$A:$L,12,0))*E850</f>
        <v>35.56</v>
      </c>
      <c r="H850" s="21" t="s">
        <v>39</v>
      </c>
      <c r="I850" s="21">
        <v>1</v>
      </c>
      <c r="J850" s="21" t="s">
        <v>46</v>
      </c>
      <c r="K850" s="15">
        <f>(VLOOKUP(H850,'[1]BOM Info General'!$A:$L,12,0))*I850</f>
        <v>24.42</v>
      </c>
      <c r="L850" s="22" t="s">
        <v>78</v>
      </c>
      <c r="M850" s="22">
        <v>1</v>
      </c>
      <c r="N850" s="22" t="s">
        <v>75</v>
      </c>
      <c r="O850" s="9">
        <f>(VLOOKUP(L850,'[1]Simulation pricing per sub assy'!$D:$E,2,0))*M850</f>
        <v>43.608799999999988</v>
      </c>
      <c r="P850" s="23" t="s">
        <v>51</v>
      </c>
      <c r="Q850" s="23">
        <v>2</v>
      </c>
      <c r="R850" s="23" t="s">
        <v>17</v>
      </c>
      <c r="S850" s="40">
        <f>(VLOOKUP(P850,'[1]BOM Info General'!$A:$L,12,0))*Q850</f>
        <v>5.3</v>
      </c>
      <c r="T850" s="24" t="s">
        <v>14</v>
      </c>
      <c r="U850" s="24">
        <v>1</v>
      </c>
      <c r="V850" s="24" t="s">
        <v>15</v>
      </c>
      <c r="W850" s="17">
        <f>(VLOOKUP(T850,'[1]Simulation pricing per sub assy'!$D:$E,2,0))*U850</f>
        <v>1.9</v>
      </c>
      <c r="X850" s="18" t="s">
        <v>615</v>
      </c>
      <c r="Y850" s="25">
        <v>1</v>
      </c>
      <c r="Z850" s="25" t="s">
        <v>9</v>
      </c>
      <c r="AA850" s="18">
        <f>(VLOOKUP(X850,'[1]Simulation pricing per sub assy'!$D:$E,2,0))*Y850</f>
        <v>1.5769808000000001</v>
      </c>
    </row>
    <row r="851" spans="1:27" x14ac:dyDescent="0.35">
      <c r="A851" s="13" t="s">
        <v>1911</v>
      </c>
      <c r="B851" s="13" t="s">
        <v>1912</v>
      </c>
      <c r="C851" s="42">
        <f t="shared" si="13"/>
        <v>120.0357808</v>
      </c>
      <c r="D851" s="20" t="s">
        <v>42</v>
      </c>
      <c r="E851" s="20">
        <v>1</v>
      </c>
      <c r="F851" s="20" t="s">
        <v>3982</v>
      </c>
      <c r="G851" s="14">
        <f>(VLOOKUP(D851,'[1]BOM Info General'!$A:$L,12,0))*E851</f>
        <v>35.56</v>
      </c>
      <c r="H851" s="21" t="s">
        <v>39</v>
      </c>
      <c r="I851" s="21">
        <v>1</v>
      </c>
      <c r="J851" s="21" t="s">
        <v>46</v>
      </c>
      <c r="K851" s="15">
        <f>(VLOOKUP(H851,'[1]BOM Info General'!$A:$L,12,0))*I851</f>
        <v>24.42</v>
      </c>
      <c r="L851" s="22" t="s">
        <v>74</v>
      </c>
      <c r="M851" s="22">
        <v>1</v>
      </c>
      <c r="N851" s="22" t="s">
        <v>77</v>
      </c>
      <c r="O851" s="9">
        <f>(VLOOKUP(L851,'[1]Simulation pricing per sub assy'!$D:$E,2,0))*M851</f>
        <v>51.27879999999999</v>
      </c>
      <c r="P851" s="23" t="s">
        <v>51</v>
      </c>
      <c r="Q851" s="23">
        <v>2</v>
      </c>
      <c r="R851" s="23" t="s">
        <v>17</v>
      </c>
      <c r="S851" s="40">
        <f>(VLOOKUP(P851,'[1]BOM Info General'!$A:$L,12,0))*Q851</f>
        <v>5.3</v>
      </c>
      <c r="T851" s="24" t="s">
        <v>14</v>
      </c>
      <c r="U851" s="24">
        <v>1</v>
      </c>
      <c r="V851" s="24" t="s">
        <v>15</v>
      </c>
      <c r="W851" s="17">
        <f>(VLOOKUP(T851,'[1]Simulation pricing per sub assy'!$D:$E,2,0))*U851</f>
        <v>1.9</v>
      </c>
      <c r="X851" s="18" t="s">
        <v>615</v>
      </c>
      <c r="Y851" s="25">
        <v>1</v>
      </c>
      <c r="Z851" s="25" t="s">
        <v>9</v>
      </c>
      <c r="AA851" s="18">
        <f>(VLOOKUP(X851,'[1]Simulation pricing per sub assy'!$D:$E,2,0))*Y851</f>
        <v>1.5769808000000001</v>
      </c>
    </row>
    <row r="852" spans="1:27" x14ac:dyDescent="0.35">
      <c r="A852" s="13" t="s">
        <v>1931</v>
      </c>
      <c r="B852" s="13" t="s">
        <v>1932</v>
      </c>
      <c r="C852" s="42">
        <f t="shared" si="13"/>
        <v>111.21578079999999</v>
      </c>
      <c r="D852" s="20" t="s">
        <v>42</v>
      </c>
      <c r="E852" s="20">
        <v>1</v>
      </c>
      <c r="F852" s="20" t="s">
        <v>3982</v>
      </c>
      <c r="G852" s="14">
        <f>(VLOOKUP(D852,'[1]BOM Info General'!$A:$L,12,0))*E852</f>
        <v>35.56</v>
      </c>
      <c r="H852" s="21" t="s">
        <v>39</v>
      </c>
      <c r="I852" s="21">
        <v>1</v>
      </c>
      <c r="J852" s="21" t="s">
        <v>46</v>
      </c>
      <c r="K852" s="15">
        <f>(VLOOKUP(H852,'[1]BOM Info General'!$A:$L,12,0))*I852</f>
        <v>24.42</v>
      </c>
      <c r="L852" s="22" t="s">
        <v>527</v>
      </c>
      <c r="M852" s="22">
        <v>1</v>
      </c>
      <c r="N852" s="22" t="s">
        <v>79</v>
      </c>
      <c r="O852" s="9">
        <f>(VLOOKUP(L852,'[1]Simulation pricing per sub assy'!$D:$E,2,0))*M852</f>
        <v>42.308799999999991</v>
      </c>
      <c r="P852" s="23" t="s">
        <v>52</v>
      </c>
      <c r="Q852" s="23">
        <v>2</v>
      </c>
      <c r="R852" s="23" t="s">
        <v>18</v>
      </c>
      <c r="S852" s="40">
        <f>(VLOOKUP(P852,'[1]BOM Info General'!$A:$L,12,0))*Q852</f>
        <v>5.3</v>
      </c>
      <c r="T852" s="24" t="s">
        <v>10</v>
      </c>
      <c r="U852" s="24">
        <v>1</v>
      </c>
      <c r="V852" s="24" t="s">
        <v>11</v>
      </c>
      <c r="W852" s="17">
        <f>(VLOOKUP(T852,'[1]Simulation pricing per sub assy'!$D:$E,2,0))*U852</f>
        <v>2.0499999999999998</v>
      </c>
      <c r="X852" s="18" t="s">
        <v>615</v>
      </c>
      <c r="Y852" s="25">
        <v>1</v>
      </c>
      <c r="Z852" s="25" t="s">
        <v>9</v>
      </c>
      <c r="AA852" s="18">
        <f>(VLOOKUP(X852,'[1]Simulation pricing per sub assy'!$D:$E,2,0))*Y852</f>
        <v>1.5769808000000001</v>
      </c>
    </row>
    <row r="853" spans="1:27" x14ac:dyDescent="0.35">
      <c r="A853" s="13" t="s">
        <v>1859</v>
      </c>
      <c r="B853" s="13" t="s">
        <v>1860</v>
      </c>
      <c r="C853" s="42">
        <f t="shared" si="13"/>
        <v>112.19578079999999</v>
      </c>
      <c r="D853" s="20" t="s">
        <v>42</v>
      </c>
      <c r="E853" s="20">
        <v>1</v>
      </c>
      <c r="F853" s="20" t="s">
        <v>3982</v>
      </c>
      <c r="G853" s="14">
        <f>(VLOOKUP(D853,'[1]BOM Info General'!$A:$L,12,0))*E853</f>
        <v>35.56</v>
      </c>
      <c r="H853" s="21" t="s">
        <v>39</v>
      </c>
      <c r="I853" s="21">
        <v>1</v>
      </c>
      <c r="J853" s="21" t="s">
        <v>46</v>
      </c>
      <c r="K853" s="15">
        <f>(VLOOKUP(H853,'[1]BOM Info General'!$A:$L,12,0))*I853</f>
        <v>24.42</v>
      </c>
      <c r="L853" s="22" t="s">
        <v>76</v>
      </c>
      <c r="M853" s="22">
        <v>1</v>
      </c>
      <c r="N853" s="22" t="s">
        <v>73</v>
      </c>
      <c r="O853" s="9">
        <f>(VLOOKUP(L853,'[1]Simulation pricing per sub assy'!$D:$E,2,0))*M853</f>
        <v>43.288799999999988</v>
      </c>
      <c r="P853" s="23" t="s">
        <v>52</v>
      </c>
      <c r="Q853" s="23">
        <v>2</v>
      </c>
      <c r="R853" s="23" t="s">
        <v>18</v>
      </c>
      <c r="S853" s="40">
        <f>(VLOOKUP(P853,'[1]BOM Info General'!$A:$L,12,0))*Q853</f>
        <v>5.3</v>
      </c>
      <c r="T853" s="24" t="s">
        <v>10</v>
      </c>
      <c r="U853" s="24">
        <v>1</v>
      </c>
      <c r="V853" s="24" t="s">
        <v>11</v>
      </c>
      <c r="W853" s="17">
        <f>(VLOOKUP(T853,'[1]Simulation pricing per sub assy'!$D:$E,2,0))*U853</f>
        <v>2.0499999999999998</v>
      </c>
      <c r="X853" s="18" t="s">
        <v>615</v>
      </c>
      <c r="Y853" s="25">
        <v>1</v>
      </c>
      <c r="Z853" s="25" t="s">
        <v>9</v>
      </c>
      <c r="AA853" s="18">
        <f>(VLOOKUP(X853,'[1]Simulation pricing per sub assy'!$D:$E,2,0))*Y853</f>
        <v>1.5769808000000001</v>
      </c>
    </row>
    <row r="854" spans="1:27" x14ac:dyDescent="0.35">
      <c r="A854" s="13" t="s">
        <v>1895</v>
      </c>
      <c r="B854" s="13" t="s">
        <v>1896</v>
      </c>
      <c r="C854" s="42">
        <f t="shared" si="13"/>
        <v>112.77578079999999</v>
      </c>
      <c r="D854" s="20" t="s">
        <v>42</v>
      </c>
      <c r="E854" s="20">
        <v>1</v>
      </c>
      <c r="F854" s="20" t="s">
        <v>3982</v>
      </c>
      <c r="G854" s="14">
        <f>(VLOOKUP(D854,'[1]BOM Info General'!$A:$L,12,0))*E854</f>
        <v>35.56</v>
      </c>
      <c r="H854" s="21" t="s">
        <v>39</v>
      </c>
      <c r="I854" s="21">
        <v>1</v>
      </c>
      <c r="J854" s="21" t="s">
        <v>46</v>
      </c>
      <c r="K854" s="15">
        <f>(VLOOKUP(H854,'[1]BOM Info General'!$A:$L,12,0))*I854</f>
        <v>24.42</v>
      </c>
      <c r="L854" s="22" t="s">
        <v>72</v>
      </c>
      <c r="M854" s="22">
        <v>1</v>
      </c>
      <c r="N854" s="22" t="s">
        <v>71</v>
      </c>
      <c r="O854" s="9">
        <f>(VLOOKUP(L854,'[1]Simulation pricing per sub assy'!$D:$E,2,0))*M854</f>
        <v>43.868799999999993</v>
      </c>
      <c r="P854" s="23" t="s">
        <v>52</v>
      </c>
      <c r="Q854" s="23">
        <v>2</v>
      </c>
      <c r="R854" s="23" t="s">
        <v>18</v>
      </c>
      <c r="S854" s="40">
        <f>(VLOOKUP(P854,'[1]BOM Info General'!$A:$L,12,0))*Q854</f>
        <v>5.3</v>
      </c>
      <c r="T854" s="24" t="s">
        <v>10</v>
      </c>
      <c r="U854" s="24">
        <v>1</v>
      </c>
      <c r="V854" s="24" t="s">
        <v>11</v>
      </c>
      <c r="W854" s="17">
        <f>(VLOOKUP(T854,'[1]Simulation pricing per sub assy'!$D:$E,2,0))*U854</f>
        <v>2.0499999999999998</v>
      </c>
      <c r="X854" s="18" t="s">
        <v>615</v>
      </c>
      <c r="Y854" s="25">
        <v>1</v>
      </c>
      <c r="Z854" s="25" t="s">
        <v>9</v>
      </c>
      <c r="AA854" s="18">
        <f>(VLOOKUP(X854,'[1]Simulation pricing per sub assy'!$D:$E,2,0))*Y854</f>
        <v>1.5769808000000001</v>
      </c>
    </row>
    <row r="855" spans="1:27" x14ac:dyDescent="0.35">
      <c r="A855" s="13" t="s">
        <v>1877</v>
      </c>
      <c r="B855" s="13" t="s">
        <v>1878</v>
      </c>
      <c r="C855" s="42">
        <f t="shared" si="13"/>
        <v>112.51578079999999</v>
      </c>
      <c r="D855" s="20" t="s">
        <v>42</v>
      </c>
      <c r="E855" s="20">
        <v>1</v>
      </c>
      <c r="F855" s="20" t="s">
        <v>3982</v>
      </c>
      <c r="G855" s="14">
        <f>(VLOOKUP(D855,'[1]BOM Info General'!$A:$L,12,0))*E855</f>
        <v>35.56</v>
      </c>
      <c r="H855" s="21" t="s">
        <v>39</v>
      </c>
      <c r="I855" s="21">
        <v>1</v>
      </c>
      <c r="J855" s="21" t="s">
        <v>46</v>
      </c>
      <c r="K855" s="15">
        <f>(VLOOKUP(H855,'[1]BOM Info General'!$A:$L,12,0))*I855</f>
        <v>24.42</v>
      </c>
      <c r="L855" s="22" t="s">
        <v>78</v>
      </c>
      <c r="M855" s="22">
        <v>1</v>
      </c>
      <c r="N855" s="22" t="s">
        <v>75</v>
      </c>
      <c r="O855" s="9">
        <f>(VLOOKUP(L855,'[1]Simulation pricing per sub assy'!$D:$E,2,0))*M855</f>
        <v>43.608799999999988</v>
      </c>
      <c r="P855" s="23" t="s">
        <v>52</v>
      </c>
      <c r="Q855" s="23">
        <v>2</v>
      </c>
      <c r="R855" s="23" t="s">
        <v>18</v>
      </c>
      <c r="S855" s="40">
        <f>(VLOOKUP(P855,'[1]BOM Info General'!$A:$L,12,0))*Q855</f>
        <v>5.3</v>
      </c>
      <c r="T855" s="24" t="s">
        <v>10</v>
      </c>
      <c r="U855" s="24">
        <v>1</v>
      </c>
      <c r="V855" s="24" t="s">
        <v>11</v>
      </c>
      <c r="W855" s="17">
        <f>(VLOOKUP(T855,'[1]Simulation pricing per sub assy'!$D:$E,2,0))*U855</f>
        <v>2.0499999999999998</v>
      </c>
      <c r="X855" s="18" t="s">
        <v>615</v>
      </c>
      <c r="Y855" s="25">
        <v>1</v>
      </c>
      <c r="Z855" s="25" t="s">
        <v>9</v>
      </c>
      <c r="AA855" s="18">
        <f>(VLOOKUP(X855,'[1]Simulation pricing per sub assy'!$D:$E,2,0))*Y855</f>
        <v>1.5769808000000001</v>
      </c>
    </row>
    <row r="856" spans="1:27" x14ac:dyDescent="0.35">
      <c r="A856" s="13" t="s">
        <v>1913</v>
      </c>
      <c r="B856" s="13" t="s">
        <v>1914</v>
      </c>
      <c r="C856" s="42">
        <f t="shared" si="13"/>
        <v>120.18578079999999</v>
      </c>
      <c r="D856" s="20" t="s">
        <v>42</v>
      </c>
      <c r="E856" s="20">
        <v>1</v>
      </c>
      <c r="F856" s="20" t="s">
        <v>3982</v>
      </c>
      <c r="G856" s="14">
        <f>(VLOOKUP(D856,'[1]BOM Info General'!$A:$L,12,0))*E856</f>
        <v>35.56</v>
      </c>
      <c r="H856" s="21" t="s">
        <v>39</v>
      </c>
      <c r="I856" s="21">
        <v>1</v>
      </c>
      <c r="J856" s="21" t="s">
        <v>46</v>
      </c>
      <c r="K856" s="15">
        <f>(VLOOKUP(H856,'[1]BOM Info General'!$A:$L,12,0))*I856</f>
        <v>24.42</v>
      </c>
      <c r="L856" s="22" t="s">
        <v>74</v>
      </c>
      <c r="M856" s="22">
        <v>1</v>
      </c>
      <c r="N856" s="22" t="s">
        <v>77</v>
      </c>
      <c r="O856" s="9">
        <f>(VLOOKUP(L856,'[1]Simulation pricing per sub assy'!$D:$E,2,0))*M856</f>
        <v>51.27879999999999</v>
      </c>
      <c r="P856" s="23" t="s">
        <v>52</v>
      </c>
      <c r="Q856" s="23">
        <v>2</v>
      </c>
      <c r="R856" s="23" t="s">
        <v>18</v>
      </c>
      <c r="S856" s="40">
        <f>(VLOOKUP(P856,'[1]BOM Info General'!$A:$L,12,0))*Q856</f>
        <v>5.3</v>
      </c>
      <c r="T856" s="24" t="s">
        <v>10</v>
      </c>
      <c r="U856" s="24">
        <v>1</v>
      </c>
      <c r="V856" s="24" t="s">
        <v>11</v>
      </c>
      <c r="W856" s="17">
        <f>(VLOOKUP(T856,'[1]Simulation pricing per sub assy'!$D:$E,2,0))*U856</f>
        <v>2.0499999999999998</v>
      </c>
      <c r="X856" s="18" t="s">
        <v>615</v>
      </c>
      <c r="Y856" s="25">
        <v>1</v>
      </c>
      <c r="Z856" s="25" t="s">
        <v>9</v>
      </c>
      <c r="AA856" s="18">
        <f>(VLOOKUP(X856,'[1]Simulation pricing per sub assy'!$D:$E,2,0))*Y856</f>
        <v>1.5769808000000001</v>
      </c>
    </row>
    <row r="857" spans="1:27" x14ac:dyDescent="0.35">
      <c r="A857" s="13" t="s">
        <v>1933</v>
      </c>
      <c r="B857" s="13" t="s">
        <v>1934</v>
      </c>
      <c r="C857" s="42">
        <f t="shared" si="13"/>
        <v>111.0657808</v>
      </c>
      <c r="D857" s="20" t="s">
        <v>42</v>
      </c>
      <c r="E857" s="20">
        <v>1</v>
      </c>
      <c r="F857" s="20" t="s">
        <v>3982</v>
      </c>
      <c r="G857" s="14">
        <f>(VLOOKUP(D857,'[1]BOM Info General'!$A:$L,12,0))*E857</f>
        <v>35.56</v>
      </c>
      <c r="H857" s="21" t="s">
        <v>39</v>
      </c>
      <c r="I857" s="21">
        <v>1</v>
      </c>
      <c r="J857" s="21" t="s">
        <v>46</v>
      </c>
      <c r="K857" s="15">
        <f>(VLOOKUP(H857,'[1]BOM Info General'!$A:$L,12,0))*I857</f>
        <v>24.42</v>
      </c>
      <c r="L857" s="22" t="s">
        <v>527</v>
      </c>
      <c r="M857" s="22">
        <v>1</v>
      </c>
      <c r="N857" s="22" t="s">
        <v>79</v>
      </c>
      <c r="O857" s="9">
        <f>(VLOOKUP(L857,'[1]Simulation pricing per sub assy'!$D:$E,2,0))*M857</f>
        <v>42.308799999999991</v>
      </c>
      <c r="P857" s="23" t="s">
        <v>52</v>
      </c>
      <c r="Q857" s="23">
        <v>2</v>
      </c>
      <c r="R857" s="23" t="s">
        <v>18</v>
      </c>
      <c r="S857" s="40">
        <f>(VLOOKUP(P857,'[1]BOM Info General'!$A:$L,12,0))*Q857</f>
        <v>5.3</v>
      </c>
      <c r="T857" s="24" t="s">
        <v>12</v>
      </c>
      <c r="U857" s="24">
        <v>1</v>
      </c>
      <c r="V857" s="24" t="s">
        <v>13</v>
      </c>
      <c r="W857" s="17">
        <f>(VLOOKUP(T857,'[1]Simulation pricing per sub assy'!$D:$E,2,0))*U857</f>
        <v>1.9</v>
      </c>
      <c r="X857" s="18" t="s">
        <v>615</v>
      </c>
      <c r="Y857" s="25">
        <v>1</v>
      </c>
      <c r="Z857" s="25" t="s">
        <v>9</v>
      </c>
      <c r="AA857" s="18">
        <f>(VLOOKUP(X857,'[1]Simulation pricing per sub assy'!$D:$E,2,0))*Y857</f>
        <v>1.5769808000000001</v>
      </c>
    </row>
    <row r="858" spans="1:27" x14ac:dyDescent="0.35">
      <c r="A858" s="13" t="s">
        <v>1861</v>
      </c>
      <c r="B858" s="13" t="s">
        <v>1862</v>
      </c>
      <c r="C858" s="42">
        <f t="shared" si="13"/>
        <v>112.0457808</v>
      </c>
      <c r="D858" s="20" t="s">
        <v>42</v>
      </c>
      <c r="E858" s="20">
        <v>1</v>
      </c>
      <c r="F858" s="20" t="s">
        <v>3982</v>
      </c>
      <c r="G858" s="14">
        <f>(VLOOKUP(D858,'[1]BOM Info General'!$A:$L,12,0))*E858</f>
        <v>35.56</v>
      </c>
      <c r="H858" s="21" t="s">
        <v>39</v>
      </c>
      <c r="I858" s="21">
        <v>1</v>
      </c>
      <c r="J858" s="21" t="s">
        <v>46</v>
      </c>
      <c r="K858" s="15">
        <f>(VLOOKUP(H858,'[1]BOM Info General'!$A:$L,12,0))*I858</f>
        <v>24.42</v>
      </c>
      <c r="L858" s="22" t="s">
        <v>76</v>
      </c>
      <c r="M858" s="22">
        <v>1</v>
      </c>
      <c r="N858" s="22" t="s">
        <v>73</v>
      </c>
      <c r="O858" s="9">
        <f>(VLOOKUP(L858,'[1]Simulation pricing per sub assy'!$D:$E,2,0))*M858</f>
        <v>43.288799999999988</v>
      </c>
      <c r="P858" s="23" t="s">
        <v>52</v>
      </c>
      <c r="Q858" s="23">
        <v>2</v>
      </c>
      <c r="R858" s="23" t="s">
        <v>18</v>
      </c>
      <c r="S858" s="40">
        <f>(VLOOKUP(P858,'[1]BOM Info General'!$A:$L,12,0))*Q858</f>
        <v>5.3</v>
      </c>
      <c r="T858" s="24" t="s">
        <v>12</v>
      </c>
      <c r="U858" s="24">
        <v>1</v>
      </c>
      <c r="V858" s="24" t="s">
        <v>13</v>
      </c>
      <c r="W858" s="17">
        <f>(VLOOKUP(T858,'[1]Simulation pricing per sub assy'!$D:$E,2,0))*U858</f>
        <v>1.9</v>
      </c>
      <c r="X858" s="18" t="s">
        <v>615</v>
      </c>
      <c r="Y858" s="25">
        <v>1</v>
      </c>
      <c r="Z858" s="25" t="s">
        <v>9</v>
      </c>
      <c r="AA858" s="18">
        <f>(VLOOKUP(X858,'[1]Simulation pricing per sub assy'!$D:$E,2,0))*Y858</f>
        <v>1.5769808000000001</v>
      </c>
    </row>
    <row r="859" spans="1:27" x14ac:dyDescent="0.35">
      <c r="A859" s="13" t="s">
        <v>1897</v>
      </c>
      <c r="B859" s="13" t="s">
        <v>1898</v>
      </c>
      <c r="C859" s="42">
        <f t="shared" si="13"/>
        <v>112.6257808</v>
      </c>
      <c r="D859" s="20" t="s">
        <v>42</v>
      </c>
      <c r="E859" s="20">
        <v>1</v>
      </c>
      <c r="F859" s="20" t="s">
        <v>3982</v>
      </c>
      <c r="G859" s="14">
        <f>(VLOOKUP(D859,'[1]BOM Info General'!$A:$L,12,0))*E859</f>
        <v>35.56</v>
      </c>
      <c r="H859" s="21" t="s">
        <v>39</v>
      </c>
      <c r="I859" s="21">
        <v>1</v>
      </c>
      <c r="J859" s="21" t="s">
        <v>46</v>
      </c>
      <c r="K859" s="15">
        <f>(VLOOKUP(H859,'[1]BOM Info General'!$A:$L,12,0))*I859</f>
        <v>24.42</v>
      </c>
      <c r="L859" s="22" t="s">
        <v>72</v>
      </c>
      <c r="M859" s="22">
        <v>1</v>
      </c>
      <c r="N859" s="22" t="s">
        <v>71</v>
      </c>
      <c r="O859" s="9">
        <f>(VLOOKUP(L859,'[1]Simulation pricing per sub assy'!$D:$E,2,0))*M859</f>
        <v>43.868799999999993</v>
      </c>
      <c r="P859" s="23" t="s">
        <v>52</v>
      </c>
      <c r="Q859" s="23">
        <v>2</v>
      </c>
      <c r="R859" s="23" t="s">
        <v>18</v>
      </c>
      <c r="S859" s="40">
        <f>(VLOOKUP(P859,'[1]BOM Info General'!$A:$L,12,0))*Q859</f>
        <v>5.3</v>
      </c>
      <c r="T859" s="24" t="s">
        <v>12</v>
      </c>
      <c r="U859" s="24">
        <v>1</v>
      </c>
      <c r="V859" s="24" t="s">
        <v>13</v>
      </c>
      <c r="W859" s="17">
        <f>(VLOOKUP(T859,'[1]Simulation pricing per sub assy'!$D:$E,2,0))*U859</f>
        <v>1.9</v>
      </c>
      <c r="X859" s="18" t="s">
        <v>615</v>
      </c>
      <c r="Y859" s="25">
        <v>1</v>
      </c>
      <c r="Z859" s="25" t="s">
        <v>9</v>
      </c>
      <c r="AA859" s="18">
        <f>(VLOOKUP(X859,'[1]Simulation pricing per sub assy'!$D:$E,2,0))*Y859</f>
        <v>1.5769808000000001</v>
      </c>
    </row>
    <row r="860" spans="1:27" x14ac:dyDescent="0.35">
      <c r="A860" s="13" t="s">
        <v>1879</v>
      </c>
      <c r="B860" s="13" t="s">
        <v>1880</v>
      </c>
      <c r="C860" s="42">
        <f t="shared" si="13"/>
        <v>112.3657808</v>
      </c>
      <c r="D860" s="20" t="s">
        <v>42</v>
      </c>
      <c r="E860" s="20">
        <v>1</v>
      </c>
      <c r="F860" s="20" t="s">
        <v>3982</v>
      </c>
      <c r="G860" s="14">
        <f>(VLOOKUP(D860,'[1]BOM Info General'!$A:$L,12,0))*E860</f>
        <v>35.56</v>
      </c>
      <c r="H860" s="21" t="s">
        <v>39</v>
      </c>
      <c r="I860" s="21">
        <v>1</v>
      </c>
      <c r="J860" s="21" t="s">
        <v>46</v>
      </c>
      <c r="K860" s="15">
        <f>(VLOOKUP(H860,'[1]BOM Info General'!$A:$L,12,0))*I860</f>
        <v>24.42</v>
      </c>
      <c r="L860" s="22" t="s">
        <v>78</v>
      </c>
      <c r="M860" s="22">
        <v>1</v>
      </c>
      <c r="N860" s="22" t="s">
        <v>75</v>
      </c>
      <c r="O860" s="9">
        <f>(VLOOKUP(L860,'[1]Simulation pricing per sub assy'!$D:$E,2,0))*M860</f>
        <v>43.608799999999988</v>
      </c>
      <c r="P860" s="23" t="s">
        <v>52</v>
      </c>
      <c r="Q860" s="23">
        <v>2</v>
      </c>
      <c r="R860" s="23" t="s">
        <v>18</v>
      </c>
      <c r="S860" s="40">
        <f>(VLOOKUP(P860,'[1]BOM Info General'!$A:$L,12,0))*Q860</f>
        <v>5.3</v>
      </c>
      <c r="T860" s="24" t="s">
        <v>12</v>
      </c>
      <c r="U860" s="24">
        <v>1</v>
      </c>
      <c r="V860" s="24" t="s">
        <v>13</v>
      </c>
      <c r="W860" s="17">
        <f>(VLOOKUP(T860,'[1]Simulation pricing per sub assy'!$D:$E,2,0))*U860</f>
        <v>1.9</v>
      </c>
      <c r="X860" s="18" t="s">
        <v>615</v>
      </c>
      <c r="Y860" s="25">
        <v>1</v>
      </c>
      <c r="Z860" s="25" t="s">
        <v>9</v>
      </c>
      <c r="AA860" s="18">
        <f>(VLOOKUP(X860,'[1]Simulation pricing per sub assy'!$D:$E,2,0))*Y860</f>
        <v>1.5769808000000001</v>
      </c>
    </row>
    <row r="861" spans="1:27" x14ac:dyDescent="0.35">
      <c r="A861" s="13" t="s">
        <v>1915</v>
      </c>
      <c r="B861" s="13" t="s">
        <v>1916</v>
      </c>
      <c r="C861" s="42">
        <f t="shared" si="13"/>
        <v>120.0357808</v>
      </c>
      <c r="D861" s="20" t="s">
        <v>42</v>
      </c>
      <c r="E861" s="20">
        <v>1</v>
      </c>
      <c r="F861" s="20" t="s">
        <v>3982</v>
      </c>
      <c r="G861" s="14">
        <f>(VLOOKUP(D861,'[1]BOM Info General'!$A:$L,12,0))*E861</f>
        <v>35.56</v>
      </c>
      <c r="H861" s="21" t="s">
        <v>39</v>
      </c>
      <c r="I861" s="21">
        <v>1</v>
      </c>
      <c r="J861" s="21" t="s">
        <v>46</v>
      </c>
      <c r="K861" s="15">
        <f>(VLOOKUP(H861,'[1]BOM Info General'!$A:$L,12,0))*I861</f>
        <v>24.42</v>
      </c>
      <c r="L861" s="22" t="s">
        <v>74</v>
      </c>
      <c r="M861" s="22">
        <v>1</v>
      </c>
      <c r="N861" s="22" t="s">
        <v>77</v>
      </c>
      <c r="O861" s="9">
        <f>(VLOOKUP(L861,'[1]Simulation pricing per sub assy'!$D:$E,2,0))*M861</f>
        <v>51.27879999999999</v>
      </c>
      <c r="P861" s="23" t="s">
        <v>52</v>
      </c>
      <c r="Q861" s="23">
        <v>2</v>
      </c>
      <c r="R861" s="23" t="s">
        <v>18</v>
      </c>
      <c r="S861" s="40">
        <f>(VLOOKUP(P861,'[1]BOM Info General'!$A:$L,12,0))*Q861</f>
        <v>5.3</v>
      </c>
      <c r="T861" s="24" t="s">
        <v>12</v>
      </c>
      <c r="U861" s="24">
        <v>1</v>
      </c>
      <c r="V861" s="24" t="s">
        <v>13</v>
      </c>
      <c r="W861" s="17">
        <f>(VLOOKUP(T861,'[1]Simulation pricing per sub assy'!$D:$E,2,0))*U861</f>
        <v>1.9</v>
      </c>
      <c r="X861" s="18" t="s">
        <v>615</v>
      </c>
      <c r="Y861" s="25">
        <v>1</v>
      </c>
      <c r="Z861" s="25" t="s">
        <v>9</v>
      </c>
      <c r="AA861" s="18">
        <f>(VLOOKUP(X861,'[1]Simulation pricing per sub assy'!$D:$E,2,0))*Y861</f>
        <v>1.5769808000000001</v>
      </c>
    </row>
    <row r="862" spans="1:27" x14ac:dyDescent="0.35">
      <c r="A862" s="13" t="s">
        <v>1935</v>
      </c>
      <c r="B862" s="13" t="s">
        <v>1936</v>
      </c>
      <c r="C862" s="42">
        <f t="shared" si="13"/>
        <v>111.0657808</v>
      </c>
      <c r="D862" s="20" t="s">
        <v>42</v>
      </c>
      <c r="E862" s="20">
        <v>1</v>
      </c>
      <c r="F862" s="20" t="s">
        <v>3982</v>
      </c>
      <c r="G862" s="14">
        <f>(VLOOKUP(D862,'[1]BOM Info General'!$A:$L,12,0))*E862</f>
        <v>35.56</v>
      </c>
      <c r="H862" s="21" t="s">
        <v>39</v>
      </c>
      <c r="I862" s="21">
        <v>1</v>
      </c>
      <c r="J862" s="21" t="s">
        <v>46</v>
      </c>
      <c r="K862" s="15">
        <f>(VLOOKUP(H862,'[1]BOM Info General'!$A:$L,12,0))*I862</f>
        <v>24.42</v>
      </c>
      <c r="L862" s="22" t="s">
        <v>527</v>
      </c>
      <c r="M862" s="22">
        <v>1</v>
      </c>
      <c r="N862" s="22" t="s">
        <v>79</v>
      </c>
      <c r="O862" s="9">
        <f>(VLOOKUP(L862,'[1]Simulation pricing per sub assy'!$D:$E,2,0))*M862</f>
        <v>42.308799999999991</v>
      </c>
      <c r="P862" s="23" t="s">
        <v>52</v>
      </c>
      <c r="Q862" s="23">
        <v>2</v>
      </c>
      <c r="R862" s="23" t="s">
        <v>18</v>
      </c>
      <c r="S862" s="40">
        <f>(VLOOKUP(P862,'[1]BOM Info General'!$A:$L,12,0))*Q862</f>
        <v>5.3</v>
      </c>
      <c r="T862" s="24" t="s">
        <v>14</v>
      </c>
      <c r="U862" s="24">
        <v>1</v>
      </c>
      <c r="V862" s="24" t="s">
        <v>15</v>
      </c>
      <c r="W862" s="17">
        <f>(VLOOKUP(T862,'[1]Simulation pricing per sub assy'!$D:$E,2,0))*U862</f>
        <v>1.9</v>
      </c>
      <c r="X862" s="18" t="s">
        <v>615</v>
      </c>
      <c r="Y862" s="25">
        <v>1</v>
      </c>
      <c r="Z862" s="25" t="s">
        <v>9</v>
      </c>
      <c r="AA862" s="18">
        <f>(VLOOKUP(X862,'[1]Simulation pricing per sub assy'!$D:$E,2,0))*Y862</f>
        <v>1.5769808000000001</v>
      </c>
    </row>
    <row r="863" spans="1:27" x14ac:dyDescent="0.35">
      <c r="A863" s="13" t="s">
        <v>1863</v>
      </c>
      <c r="B863" s="13" t="s">
        <v>1864</v>
      </c>
      <c r="C863" s="42">
        <f t="shared" si="13"/>
        <v>112.0457808</v>
      </c>
      <c r="D863" s="20" t="s">
        <v>42</v>
      </c>
      <c r="E863" s="20">
        <v>1</v>
      </c>
      <c r="F863" s="20" t="s">
        <v>3982</v>
      </c>
      <c r="G863" s="14">
        <f>(VLOOKUP(D863,'[1]BOM Info General'!$A:$L,12,0))*E863</f>
        <v>35.56</v>
      </c>
      <c r="H863" s="21" t="s">
        <v>39</v>
      </c>
      <c r="I863" s="21">
        <v>1</v>
      </c>
      <c r="J863" s="21" t="s">
        <v>46</v>
      </c>
      <c r="K863" s="15">
        <f>(VLOOKUP(H863,'[1]BOM Info General'!$A:$L,12,0))*I863</f>
        <v>24.42</v>
      </c>
      <c r="L863" s="22" t="s">
        <v>76</v>
      </c>
      <c r="M863" s="22">
        <v>1</v>
      </c>
      <c r="N863" s="22" t="s">
        <v>73</v>
      </c>
      <c r="O863" s="9">
        <f>(VLOOKUP(L863,'[1]Simulation pricing per sub assy'!$D:$E,2,0))*M863</f>
        <v>43.288799999999988</v>
      </c>
      <c r="P863" s="23" t="s">
        <v>52</v>
      </c>
      <c r="Q863" s="23">
        <v>2</v>
      </c>
      <c r="R863" s="23" t="s">
        <v>18</v>
      </c>
      <c r="S863" s="40">
        <f>(VLOOKUP(P863,'[1]BOM Info General'!$A:$L,12,0))*Q863</f>
        <v>5.3</v>
      </c>
      <c r="T863" s="24" t="s">
        <v>14</v>
      </c>
      <c r="U863" s="24">
        <v>1</v>
      </c>
      <c r="V863" s="24" t="s">
        <v>15</v>
      </c>
      <c r="W863" s="17">
        <f>(VLOOKUP(T863,'[1]Simulation pricing per sub assy'!$D:$E,2,0))*U863</f>
        <v>1.9</v>
      </c>
      <c r="X863" s="18" t="s">
        <v>615</v>
      </c>
      <c r="Y863" s="25">
        <v>1</v>
      </c>
      <c r="Z863" s="25" t="s">
        <v>9</v>
      </c>
      <c r="AA863" s="18">
        <f>(VLOOKUP(X863,'[1]Simulation pricing per sub assy'!$D:$E,2,0))*Y863</f>
        <v>1.5769808000000001</v>
      </c>
    </row>
    <row r="864" spans="1:27" x14ac:dyDescent="0.35">
      <c r="A864" s="13" t="s">
        <v>1899</v>
      </c>
      <c r="B864" s="13" t="s">
        <v>1900</v>
      </c>
      <c r="C864" s="42">
        <f t="shared" si="13"/>
        <v>112.6257808</v>
      </c>
      <c r="D864" s="20" t="s">
        <v>42</v>
      </c>
      <c r="E864" s="20">
        <v>1</v>
      </c>
      <c r="F864" s="20" t="s">
        <v>3982</v>
      </c>
      <c r="G864" s="14">
        <f>(VLOOKUP(D864,'[1]BOM Info General'!$A:$L,12,0))*E864</f>
        <v>35.56</v>
      </c>
      <c r="H864" s="21" t="s">
        <v>39</v>
      </c>
      <c r="I864" s="21">
        <v>1</v>
      </c>
      <c r="J864" s="21" t="s">
        <v>46</v>
      </c>
      <c r="K864" s="15">
        <f>(VLOOKUP(H864,'[1]BOM Info General'!$A:$L,12,0))*I864</f>
        <v>24.42</v>
      </c>
      <c r="L864" s="22" t="s">
        <v>72</v>
      </c>
      <c r="M864" s="22">
        <v>1</v>
      </c>
      <c r="N864" s="22" t="s">
        <v>71</v>
      </c>
      <c r="O864" s="9">
        <f>(VLOOKUP(L864,'[1]Simulation pricing per sub assy'!$D:$E,2,0))*M864</f>
        <v>43.868799999999993</v>
      </c>
      <c r="P864" s="23" t="s">
        <v>52</v>
      </c>
      <c r="Q864" s="23">
        <v>2</v>
      </c>
      <c r="R864" s="23" t="s">
        <v>18</v>
      </c>
      <c r="S864" s="40">
        <f>(VLOOKUP(P864,'[1]BOM Info General'!$A:$L,12,0))*Q864</f>
        <v>5.3</v>
      </c>
      <c r="T864" s="24" t="s">
        <v>14</v>
      </c>
      <c r="U864" s="24">
        <v>1</v>
      </c>
      <c r="V864" s="24" t="s">
        <v>15</v>
      </c>
      <c r="W864" s="17">
        <f>(VLOOKUP(T864,'[1]Simulation pricing per sub assy'!$D:$E,2,0))*U864</f>
        <v>1.9</v>
      </c>
      <c r="X864" s="18" t="s">
        <v>615</v>
      </c>
      <c r="Y864" s="25">
        <v>1</v>
      </c>
      <c r="Z864" s="25" t="s">
        <v>9</v>
      </c>
      <c r="AA864" s="18">
        <f>(VLOOKUP(X864,'[1]Simulation pricing per sub assy'!$D:$E,2,0))*Y864</f>
        <v>1.5769808000000001</v>
      </c>
    </row>
    <row r="865" spans="1:27" x14ac:dyDescent="0.35">
      <c r="A865" s="13" t="s">
        <v>1881</v>
      </c>
      <c r="B865" s="13" t="s">
        <v>1882</v>
      </c>
      <c r="C865" s="42">
        <f t="shared" si="13"/>
        <v>112.3657808</v>
      </c>
      <c r="D865" s="20" t="s">
        <v>42</v>
      </c>
      <c r="E865" s="20">
        <v>1</v>
      </c>
      <c r="F865" s="20" t="s">
        <v>3982</v>
      </c>
      <c r="G865" s="14">
        <f>(VLOOKUP(D865,'[1]BOM Info General'!$A:$L,12,0))*E865</f>
        <v>35.56</v>
      </c>
      <c r="H865" s="21" t="s">
        <v>39</v>
      </c>
      <c r="I865" s="21">
        <v>1</v>
      </c>
      <c r="J865" s="21" t="s">
        <v>46</v>
      </c>
      <c r="K865" s="15">
        <f>(VLOOKUP(H865,'[1]BOM Info General'!$A:$L,12,0))*I865</f>
        <v>24.42</v>
      </c>
      <c r="L865" s="22" t="s">
        <v>78</v>
      </c>
      <c r="M865" s="22">
        <v>1</v>
      </c>
      <c r="N865" s="22" t="s">
        <v>75</v>
      </c>
      <c r="O865" s="9">
        <f>(VLOOKUP(L865,'[1]Simulation pricing per sub assy'!$D:$E,2,0))*M865</f>
        <v>43.608799999999988</v>
      </c>
      <c r="P865" s="23" t="s">
        <v>52</v>
      </c>
      <c r="Q865" s="23">
        <v>2</v>
      </c>
      <c r="R865" s="23" t="s">
        <v>18</v>
      </c>
      <c r="S865" s="40">
        <f>(VLOOKUP(P865,'[1]BOM Info General'!$A:$L,12,0))*Q865</f>
        <v>5.3</v>
      </c>
      <c r="T865" s="24" t="s">
        <v>14</v>
      </c>
      <c r="U865" s="24">
        <v>1</v>
      </c>
      <c r="V865" s="24" t="s">
        <v>15</v>
      </c>
      <c r="W865" s="17">
        <f>(VLOOKUP(T865,'[1]Simulation pricing per sub assy'!$D:$E,2,0))*U865</f>
        <v>1.9</v>
      </c>
      <c r="X865" s="18" t="s">
        <v>615</v>
      </c>
      <c r="Y865" s="25">
        <v>1</v>
      </c>
      <c r="Z865" s="25" t="s">
        <v>9</v>
      </c>
      <c r="AA865" s="18">
        <f>(VLOOKUP(X865,'[1]Simulation pricing per sub assy'!$D:$E,2,0))*Y865</f>
        <v>1.5769808000000001</v>
      </c>
    </row>
    <row r="866" spans="1:27" x14ac:dyDescent="0.35">
      <c r="A866" s="13" t="s">
        <v>1917</v>
      </c>
      <c r="B866" s="13" t="s">
        <v>1918</v>
      </c>
      <c r="C866" s="42">
        <f t="shared" si="13"/>
        <v>120.0357808</v>
      </c>
      <c r="D866" s="20" t="s">
        <v>42</v>
      </c>
      <c r="E866" s="20">
        <v>1</v>
      </c>
      <c r="F866" s="20" t="s">
        <v>3982</v>
      </c>
      <c r="G866" s="14">
        <f>(VLOOKUP(D866,'[1]BOM Info General'!$A:$L,12,0))*E866</f>
        <v>35.56</v>
      </c>
      <c r="H866" s="21" t="s">
        <v>39</v>
      </c>
      <c r="I866" s="21">
        <v>1</v>
      </c>
      <c r="J866" s="21" t="s">
        <v>46</v>
      </c>
      <c r="K866" s="15">
        <f>(VLOOKUP(H866,'[1]BOM Info General'!$A:$L,12,0))*I866</f>
        <v>24.42</v>
      </c>
      <c r="L866" s="22" t="s">
        <v>74</v>
      </c>
      <c r="M866" s="22">
        <v>1</v>
      </c>
      <c r="N866" s="22" t="s">
        <v>77</v>
      </c>
      <c r="O866" s="9">
        <f>(VLOOKUP(L866,'[1]Simulation pricing per sub assy'!$D:$E,2,0))*M866</f>
        <v>51.27879999999999</v>
      </c>
      <c r="P866" s="23" t="s">
        <v>52</v>
      </c>
      <c r="Q866" s="23">
        <v>2</v>
      </c>
      <c r="R866" s="23" t="s">
        <v>18</v>
      </c>
      <c r="S866" s="40">
        <f>(VLOOKUP(P866,'[1]BOM Info General'!$A:$L,12,0))*Q866</f>
        <v>5.3</v>
      </c>
      <c r="T866" s="24" t="s">
        <v>14</v>
      </c>
      <c r="U866" s="24">
        <v>1</v>
      </c>
      <c r="V866" s="24" t="s">
        <v>15</v>
      </c>
      <c r="W866" s="17">
        <f>(VLOOKUP(T866,'[1]Simulation pricing per sub assy'!$D:$E,2,0))*U866</f>
        <v>1.9</v>
      </c>
      <c r="X866" s="18" t="s">
        <v>615</v>
      </c>
      <c r="Y866" s="25">
        <v>1</v>
      </c>
      <c r="Z866" s="25" t="s">
        <v>9</v>
      </c>
      <c r="AA866" s="18">
        <f>(VLOOKUP(X866,'[1]Simulation pricing per sub assy'!$D:$E,2,0))*Y866</f>
        <v>1.5769808000000001</v>
      </c>
    </row>
    <row r="867" spans="1:27" x14ac:dyDescent="0.35">
      <c r="A867" s="13" t="s">
        <v>1845</v>
      </c>
      <c r="B867" s="13" t="s">
        <v>1846</v>
      </c>
      <c r="C867" s="42">
        <f t="shared" si="13"/>
        <v>111.5057808</v>
      </c>
      <c r="D867" s="20" t="s">
        <v>42</v>
      </c>
      <c r="E867" s="20">
        <v>1</v>
      </c>
      <c r="F867" s="20" t="s">
        <v>3982</v>
      </c>
      <c r="G867" s="14">
        <f>(VLOOKUP(D867,'[1]BOM Info General'!$A:$L,12,0))*E867</f>
        <v>35.56</v>
      </c>
      <c r="H867" s="21" t="s">
        <v>39</v>
      </c>
      <c r="I867" s="21">
        <v>1</v>
      </c>
      <c r="J867" s="21" t="s">
        <v>46</v>
      </c>
      <c r="K867" s="15">
        <f>(VLOOKUP(H867,'[1]BOM Info General'!$A:$L,12,0))*I867</f>
        <v>24.42</v>
      </c>
      <c r="L867" s="22" t="s">
        <v>527</v>
      </c>
      <c r="M867" s="22">
        <v>1</v>
      </c>
      <c r="N867" s="22" t="s">
        <v>79</v>
      </c>
      <c r="O867" s="9">
        <f>(VLOOKUP(L867,'[1]Simulation pricing per sub assy'!$D:$E,2,0))*M867</f>
        <v>42.308799999999991</v>
      </c>
      <c r="P867" s="23" t="s">
        <v>50</v>
      </c>
      <c r="Q867" s="23">
        <v>2</v>
      </c>
      <c r="R867" s="23" t="s">
        <v>611</v>
      </c>
      <c r="S867" s="40">
        <f>(VLOOKUP(P867,'[1]BOM Info General'!$A:$L,12,0))*Q867</f>
        <v>5.3</v>
      </c>
      <c r="T867" s="24" t="s">
        <v>19</v>
      </c>
      <c r="U867" s="24">
        <v>1</v>
      </c>
      <c r="V867" s="24" t="s">
        <v>20</v>
      </c>
      <c r="W867" s="17">
        <f>(VLOOKUP(T867,'[1]Simulation pricing per sub assy'!$D:$E,2,0))*U867</f>
        <v>2.3400000000000003</v>
      </c>
      <c r="X867" s="18" t="s">
        <v>615</v>
      </c>
      <c r="Y867" s="25">
        <v>1</v>
      </c>
      <c r="Z867" s="25" t="s">
        <v>9</v>
      </c>
      <c r="AA867" s="18">
        <f>(VLOOKUP(X867,'[1]Simulation pricing per sub assy'!$D:$E,2,0))*Y867</f>
        <v>1.5769808000000001</v>
      </c>
    </row>
    <row r="868" spans="1:27" x14ac:dyDescent="0.35">
      <c r="A868" s="13" t="s">
        <v>1837</v>
      </c>
      <c r="B868" s="13" t="s">
        <v>1838</v>
      </c>
      <c r="C868" s="42">
        <f t="shared" si="13"/>
        <v>112.4857808</v>
      </c>
      <c r="D868" s="20" t="s">
        <v>42</v>
      </c>
      <c r="E868" s="20">
        <v>1</v>
      </c>
      <c r="F868" s="20" t="s">
        <v>3982</v>
      </c>
      <c r="G868" s="14">
        <f>(VLOOKUP(D868,'[1]BOM Info General'!$A:$L,12,0))*E868</f>
        <v>35.56</v>
      </c>
      <c r="H868" s="21" t="s">
        <v>39</v>
      </c>
      <c r="I868" s="21">
        <v>1</v>
      </c>
      <c r="J868" s="21" t="s">
        <v>46</v>
      </c>
      <c r="K868" s="15">
        <f>(VLOOKUP(H868,'[1]BOM Info General'!$A:$L,12,0))*I868</f>
        <v>24.42</v>
      </c>
      <c r="L868" s="22" t="s">
        <v>76</v>
      </c>
      <c r="M868" s="22">
        <v>1</v>
      </c>
      <c r="N868" s="22" t="s">
        <v>73</v>
      </c>
      <c r="O868" s="9">
        <f>(VLOOKUP(L868,'[1]Simulation pricing per sub assy'!$D:$E,2,0))*M868</f>
        <v>43.288799999999988</v>
      </c>
      <c r="P868" s="23" t="s">
        <v>50</v>
      </c>
      <c r="Q868" s="23">
        <v>2</v>
      </c>
      <c r="R868" s="23" t="s">
        <v>611</v>
      </c>
      <c r="S868" s="40">
        <f>(VLOOKUP(P868,'[1]BOM Info General'!$A:$L,12,0))*Q868</f>
        <v>5.3</v>
      </c>
      <c r="T868" s="24" t="s">
        <v>19</v>
      </c>
      <c r="U868" s="24">
        <v>1</v>
      </c>
      <c r="V868" s="24" t="s">
        <v>20</v>
      </c>
      <c r="W868" s="17">
        <f>(VLOOKUP(T868,'[1]Simulation pricing per sub assy'!$D:$E,2,0))*U868</f>
        <v>2.3400000000000003</v>
      </c>
      <c r="X868" s="18" t="s">
        <v>615</v>
      </c>
      <c r="Y868" s="25">
        <v>1</v>
      </c>
      <c r="Z868" s="25" t="s">
        <v>9</v>
      </c>
      <c r="AA868" s="18">
        <f>(VLOOKUP(X868,'[1]Simulation pricing per sub assy'!$D:$E,2,0))*Y868</f>
        <v>1.5769808000000001</v>
      </c>
    </row>
    <row r="869" spans="1:27" x14ac:dyDescent="0.35">
      <c r="A869" s="13" t="s">
        <v>1841</v>
      </c>
      <c r="B869" s="13" t="s">
        <v>1842</v>
      </c>
      <c r="C869" s="42">
        <f t="shared" si="13"/>
        <v>113.0657808</v>
      </c>
      <c r="D869" s="20" t="s">
        <v>42</v>
      </c>
      <c r="E869" s="20">
        <v>1</v>
      </c>
      <c r="F869" s="20" t="s">
        <v>3982</v>
      </c>
      <c r="G869" s="14">
        <f>(VLOOKUP(D869,'[1]BOM Info General'!$A:$L,12,0))*E869</f>
        <v>35.56</v>
      </c>
      <c r="H869" s="21" t="s">
        <v>39</v>
      </c>
      <c r="I869" s="21">
        <v>1</v>
      </c>
      <c r="J869" s="21" t="s">
        <v>46</v>
      </c>
      <c r="K869" s="15">
        <f>(VLOOKUP(H869,'[1]BOM Info General'!$A:$L,12,0))*I869</f>
        <v>24.42</v>
      </c>
      <c r="L869" s="22" t="s">
        <v>72</v>
      </c>
      <c r="M869" s="22">
        <v>1</v>
      </c>
      <c r="N869" s="22" t="s">
        <v>71</v>
      </c>
      <c r="O869" s="9">
        <f>(VLOOKUP(L869,'[1]Simulation pricing per sub assy'!$D:$E,2,0))*M869</f>
        <v>43.868799999999993</v>
      </c>
      <c r="P869" s="23" t="s">
        <v>50</v>
      </c>
      <c r="Q869" s="23">
        <v>2</v>
      </c>
      <c r="R869" s="23" t="s">
        <v>611</v>
      </c>
      <c r="S869" s="40">
        <f>(VLOOKUP(P869,'[1]BOM Info General'!$A:$L,12,0))*Q869</f>
        <v>5.3</v>
      </c>
      <c r="T869" s="24" t="s">
        <v>19</v>
      </c>
      <c r="U869" s="24">
        <v>1</v>
      </c>
      <c r="V869" s="24" t="s">
        <v>20</v>
      </c>
      <c r="W869" s="17">
        <f>(VLOOKUP(T869,'[1]Simulation pricing per sub assy'!$D:$E,2,0))*U869</f>
        <v>2.3400000000000003</v>
      </c>
      <c r="X869" s="18" t="s">
        <v>615</v>
      </c>
      <c r="Y869" s="25">
        <v>1</v>
      </c>
      <c r="Z869" s="25" t="s">
        <v>9</v>
      </c>
      <c r="AA869" s="18">
        <f>(VLOOKUP(X869,'[1]Simulation pricing per sub assy'!$D:$E,2,0))*Y869</f>
        <v>1.5769808000000001</v>
      </c>
    </row>
    <row r="870" spans="1:27" x14ac:dyDescent="0.35">
      <c r="A870" s="13" t="s">
        <v>1839</v>
      </c>
      <c r="B870" s="13" t="s">
        <v>1840</v>
      </c>
      <c r="C870" s="42">
        <f t="shared" si="13"/>
        <v>112.80578079999999</v>
      </c>
      <c r="D870" s="20" t="s">
        <v>42</v>
      </c>
      <c r="E870" s="20">
        <v>1</v>
      </c>
      <c r="F870" s="20" t="s">
        <v>3982</v>
      </c>
      <c r="G870" s="14">
        <f>(VLOOKUP(D870,'[1]BOM Info General'!$A:$L,12,0))*E870</f>
        <v>35.56</v>
      </c>
      <c r="H870" s="21" t="s">
        <v>39</v>
      </c>
      <c r="I870" s="21">
        <v>1</v>
      </c>
      <c r="J870" s="21" t="s">
        <v>46</v>
      </c>
      <c r="K870" s="15">
        <f>(VLOOKUP(H870,'[1]BOM Info General'!$A:$L,12,0))*I870</f>
        <v>24.42</v>
      </c>
      <c r="L870" s="22" t="s">
        <v>78</v>
      </c>
      <c r="M870" s="22">
        <v>1</v>
      </c>
      <c r="N870" s="22" t="s">
        <v>75</v>
      </c>
      <c r="O870" s="9">
        <f>(VLOOKUP(L870,'[1]Simulation pricing per sub assy'!$D:$E,2,0))*M870</f>
        <v>43.608799999999988</v>
      </c>
      <c r="P870" s="23" t="s">
        <v>50</v>
      </c>
      <c r="Q870" s="23">
        <v>2</v>
      </c>
      <c r="R870" s="23" t="s">
        <v>611</v>
      </c>
      <c r="S870" s="40">
        <f>(VLOOKUP(P870,'[1]BOM Info General'!$A:$L,12,0))*Q870</f>
        <v>5.3</v>
      </c>
      <c r="T870" s="24" t="s">
        <v>19</v>
      </c>
      <c r="U870" s="24">
        <v>1</v>
      </c>
      <c r="V870" s="24" t="s">
        <v>20</v>
      </c>
      <c r="W870" s="17">
        <f>(VLOOKUP(T870,'[1]Simulation pricing per sub assy'!$D:$E,2,0))*U870</f>
        <v>2.3400000000000003</v>
      </c>
      <c r="X870" s="18" t="s">
        <v>615</v>
      </c>
      <c r="Y870" s="25">
        <v>1</v>
      </c>
      <c r="Z870" s="25" t="s">
        <v>9</v>
      </c>
      <c r="AA870" s="18">
        <f>(VLOOKUP(X870,'[1]Simulation pricing per sub assy'!$D:$E,2,0))*Y870</f>
        <v>1.5769808000000001</v>
      </c>
    </row>
    <row r="871" spans="1:27" x14ac:dyDescent="0.35">
      <c r="A871" s="13" t="s">
        <v>1843</v>
      </c>
      <c r="B871" s="13" t="s">
        <v>1844</v>
      </c>
      <c r="C871" s="42">
        <f t="shared" si="13"/>
        <v>120.4757808</v>
      </c>
      <c r="D871" s="20" t="s">
        <v>42</v>
      </c>
      <c r="E871" s="20">
        <v>1</v>
      </c>
      <c r="F871" s="20" t="s">
        <v>3982</v>
      </c>
      <c r="G871" s="14">
        <f>(VLOOKUP(D871,'[1]BOM Info General'!$A:$L,12,0))*E871</f>
        <v>35.56</v>
      </c>
      <c r="H871" s="21" t="s">
        <v>39</v>
      </c>
      <c r="I871" s="21">
        <v>1</v>
      </c>
      <c r="J871" s="21" t="s">
        <v>46</v>
      </c>
      <c r="K871" s="15">
        <f>(VLOOKUP(H871,'[1]BOM Info General'!$A:$L,12,0))*I871</f>
        <v>24.42</v>
      </c>
      <c r="L871" s="22" t="s">
        <v>74</v>
      </c>
      <c r="M871" s="22">
        <v>1</v>
      </c>
      <c r="N871" s="22" t="s">
        <v>77</v>
      </c>
      <c r="O871" s="9">
        <f>(VLOOKUP(L871,'[1]Simulation pricing per sub assy'!$D:$E,2,0))*M871</f>
        <v>51.27879999999999</v>
      </c>
      <c r="P871" s="23" t="s">
        <v>50</v>
      </c>
      <c r="Q871" s="23">
        <v>2</v>
      </c>
      <c r="R871" s="23" t="s">
        <v>611</v>
      </c>
      <c r="S871" s="40">
        <f>(VLOOKUP(P871,'[1]BOM Info General'!$A:$L,12,0))*Q871</f>
        <v>5.3</v>
      </c>
      <c r="T871" s="24" t="s">
        <v>19</v>
      </c>
      <c r="U871" s="24">
        <v>1</v>
      </c>
      <c r="V871" s="24" t="s">
        <v>20</v>
      </c>
      <c r="W871" s="17">
        <f>(VLOOKUP(T871,'[1]Simulation pricing per sub assy'!$D:$E,2,0))*U871</f>
        <v>2.3400000000000003</v>
      </c>
      <c r="X871" s="18" t="s">
        <v>615</v>
      </c>
      <c r="Y871" s="25">
        <v>1</v>
      </c>
      <c r="Z871" s="25" t="s">
        <v>9</v>
      </c>
      <c r="AA871" s="18">
        <f>(VLOOKUP(X871,'[1]Simulation pricing per sub assy'!$D:$E,2,0))*Y871</f>
        <v>1.5769808000000001</v>
      </c>
    </row>
    <row r="872" spans="1:27" x14ac:dyDescent="0.35">
      <c r="A872" s="13" t="s">
        <v>585</v>
      </c>
      <c r="B872" s="13" t="s">
        <v>4299</v>
      </c>
      <c r="C872" s="42">
        <f t="shared" si="13"/>
        <v>111.01578079999999</v>
      </c>
      <c r="D872" s="14" t="s">
        <v>42</v>
      </c>
      <c r="E872" s="14">
        <v>1</v>
      </c>
      <c r="F872" s="14" t="s">
        <v>3982</v>
      </c>
      <c r="G872" s="14">
        <f>(VLOOKUP(D872,'[1]BOM Info General'!$A:$L,12,0))*E872</f>
        <v>35.56</v>
      </c>
      <c r="H872" s="15" t="s">
        <v>39</v>
      </c>
      <c r="I872" s="15">
        <v>1</v>
      </c>
      <c r="J872" s="15" t="s">
        <v>46</v>
      </c>
      <c r="K872" s="15">
        <f>(VLOOKUP(H872,'[1]BOM Info General'!$A:$L,12,0))*I872</f>
        <v>24.42</v>
      </c>
      <c r="L872" s="9" t="s">
        <v>527</v>
      </c>
      <c r="M872" s="9">
        <v>1</v>
      </c>
      <c r="N872" s="9" t="s">
        <v>79</v>
      </c>
      <c r="O872" s="9">
        <f>(VLOOKUP(L872,'[1]Simulation pricing per sub assy'!$D:$E,2,0))*M872</f>
        <v>42.308799999999991</v>
      </c>
      <c r="P872" s="16" t="s">
        <v>50</v>
      </c>
      <c r="Q872" s="16">
        <v>2</v>
      </c>
      <c r="R872" s="16" t="s">
        <v>611</v>
      </c>
      <c r="S872" s="40">
        <f>(VLOOKUP(P872,'[1]BOM Info General'!$A:$L,12,0))*Q872</f>
        <v>5.3</v>
      </c>
      <c r="T872" s="17" t="s">
        <v>7</v>
      </c>
      <c r="U872" s="17">
        <v>1</v>
      </c>
      <c r="V872" s="17" t="s">
        <v>8</v>
      </c>
      <c r="W872" s="17">
        <f>(VLOOKUP(T872,'[1]Simulation pricing per sub assy'!$D:$E,2,0))*U872</f>
        <v>1.85</v>
      </c>
      <c r="X872" s="18" t="s">
        <v>615</v>
      </c>
      <c r="Y872" s="18">
        <v>1</v>
      </c>
      <c r="Z872" s="18" t="s">
        <v>9</v>
      </c>
      <c r="AA872" s="18">
        <f>(VLOOKUP(X872,'[1]Simulation pricing per sub assy'!$D:$E,2,0))*Y872</f>
        <v>1.5769808000000001</v>
      </c>
    </row>
    <row r="873" spans="1:27" x14ac:dyDescent="0.35">
      <c r="A873" s="13" t="s">
        <v>581</v>
      </c>
      <c r="B873" s="13" t="s">
        <v>4300</v>
      </c>
      <c r="C873" s="42">
        <f t="shared" si="13"/>
        <v>111.99578079999999</v>
      </c>
      <c r="D873" s="14" t="s">
        <v>42</v>
      </c>
      <c r="E873" s="14">
        <v>1</v>
      </c>
      <c r="F873" s="14" t="s">
        <v>3982</v>
      </c>
      <c r="G873" s="14">
        <f>(VLOOKUP(D873,'[1]BOM Info General'!$A:$L,12,0))*E873</f>
        <v>35.56</v>
      </c>
      <c r="H873" s="15" t="s">
        <v>39</v>
      </c>
      <c r="I873" s="15">
        <v>1</v>
      </c>
      <c r="J873" s="15" t="s">
        <v>46</v>
      </c>
      <c r="K873" s="15">
        <f>(VLOOKUP(H873,'[1]BOM Info General'!$A:$L,12,0))*I873</f>
        <v>24.42</v>
      </c>
      <c r="L873" s="9" t="s">
        <v>76</v>
      </c>
      <c r="M873" s="9">
        <v>1</v>
      </c>
      <c r="N873" s="9" t="s">
        <v>73</v>
      </c>
      <c r="O873" s="9">
        <f>(VLOOKUP(L873,'[1]Simulation pricing per sub assy'!$D:$E,2,0))*M873</f>
        <v>43.288799999999988</v>
      </c>
      <c r="P873" s="16" t="s">
        <v>50</v>
      </c>
      <c r="Q873" s="16">
        <v>2</v>
      </c>
      <c r="R873" s="16" t="s">
        <v>611</v>
      </c>
      <c r="S873" s="40">
        <f>(VLOOKUP(P873,'[1]BOM Info General'!$A:$L,12,0))*Q873</f>
        <v>5.3</v>
      </c>
      <c r="T873" s="17" t="s">
        <v>7</v>
      </c>
      <c r="U873" s="17">
        <v>1</v>
      </c>
      <c r="V873" s="17" t="s">
        <v>8</v>
      </c>
      <c r="W873" s="17">
        <f>(VLOOKUP(T873,'[1]Simulation pricing per sub assy'!$D:$E,2,0))*U873</f>
        <v>1.85</v>
      </c>
      <c r="X873" s="18" t="s">
        <v>615</v>
      </c>
      <c r="Y873" s="18">
        <v>1</v>
      </c>
      <c r="Z873" s="18" t="s">
        <v>9</v>
      </c>
      <c r="AA873" s="18">
        <f>(VLOOKUP(X873,'[1]Simulation pricing per sub assy'!$D:$E,2,0))*Y873</f>
        <v>1.5769808000000001</v>
      </c>
    </row>
    <row r="874" spans="1:27" x14ac:dyDescent="0.35">
      <c r="A874" s="13" t="s">
        <v>583</v>
      </c>
      <c r="B874" s="13" t="s">
        <v>4301</v>
      </c>
      <c r="C874" s="42">
        <f t="shared" si="13"/>
        <v>112.57578079999999</v>
      </c>
      <c r="D874" s="14" t="s">
        <v>42</v>
      </c>
      <c r="E874" s="14">
        <v>1</v>
      </c>
      <c r="F874" s="14" t="s">
        <v>3982</v>
      </c>
      <c r="G874" s="14">
        <f>(VLOOKUP(D874,'[1]BOM Info General'!$A:$L,12,0))*E874</f>
        <v>35.56</v>
      </c>
      <c r="H874" s="15" t="s">
        <v>39</v>
      </c>
      <c r="I874" s="15">
        <v>1</v>
      </c>
      <c r="J874" s="15" t="s">
        <v>46</v>
      </c>
      <c r="K874" s="15">
        <f>(VLOOKUP(H874,'[1]BOM Info General'!$A:$L,12,0))*I874</f>
        <v>24.42</v>
      </c>
      <c r="L874" s="9" t="s">
        <v>72</v>
      </c>
      <c r="M874" s="9">
        <v>1</v>
      </c>
      <c r="N874" s="9" t="s">
        <v>71</v>
      </c>
      <c r="O874" s="9">
        <f>(VLOOKUP(L874,'[1]Simulation pricing per sub assy'!$D:$E,2,0))*M874</f>
        <v>43.868799999999993</v>
      </c>
      <c r="P874" s="16" t="s">
        <v>50</v>
      </c>
      <c r="Q874" s="16">
        <v>2</v>
      </c>
      <c r="R874" s="16" t="s">
        <v>611</v>
      </c>
      <c r="S874" s="40">
        <f>(VLOOKUP(P874,'[1]BOM Info General'!$A:$L,12,0))*Q874</f>
        <v>5.3</v>
      </c>
      <c r="T874" s="17" t="s">
        <v>7</v>
      </c>
      <c r="U874" s="17">
        <v>1</v>
      </c>
      <c r="V874" s="17" t="s">
        <v>8</v>
      </c>
      <c r="W874" s="17">
        <f>(VLOOKUP(T874,'[1]Simulation pricing per sub assy'!$D:$E,2,0))*U874</f>
        <v>1.85</v>
      </c>
      <c r="X874" s="18" t="s">
        <v>615</v>
      </c>
      <c r="Y874" s="18">
        <v>1</v>
      </c>
      <c r="Z874" s="18" t="s">
        <v>9</v>
      </c>
      <c r="AA874" s="18">
        <f>(VLOOKUP(X874,'[1]Simulation pricing per sub assy'!$D:$E,2,0))*Y874</f>
        <v>1.5769808000000001</v>
      </c>
    </row>
    <row r="875" spans="1:27" x14ac:dyDescent="0.35">
      <c r="A875" s="13" t="s">
        <v>582</v>
      </c>
      <c r="B875" s="13" t="s">
        <v>4302</v>
      </c>
      <c r="C875" s="42">
        <f t="shared" si="13"/>
        <v>112.31578079999998</v>
      </c>
      <c r="D875" s="14" t="s">
        <v>42</v>
      </c>
      <c r="E875" s="14">
        <v>1</v>
      </c>
      <c r="F875" s="14" t="s">
        <v>3982</v>
      </c>
      <c r="G875" s="14">
        <f>(VLOOKUP(D875,'[1]BOM Info General'!$A:$L,12,0))*E875</f>
        <v>35.56</v>
      </c>
      <c r="H875" s="15" t="s">
        <v>39</v>
      </c>
      <c r="I875" s="15">
        <v>1</v>
      </c>
      <c r="J875" s="15" t="s">
        <v>46</v>
      </c>
      <c r="K875" s="15">
        <f>(VLOOKUP(H875,'[1]BOM Info General'!$A:$L,12,0))*I875</f>
        <v>24.42</v>
      </c>
      <c r="L875" s="9" t="s">
        <v>78</v>
      </c>
      <c r="M875" s="9">
        <v>1</v>
      </c>
      <c r="N875" s="9" t="s">
        <v>75</v>
      </c>
      <c r="O875" s="9">
        <f>(VLOOKUP(L875,'[1]Simulation pricing per sub assy'!$D:$E,2,0))*M875</f>
        <v>43.608799999999988</v>
      </c>
      <c r="P875" s="16" t="s">
        <v>50</v>
      </c>
      <c r="Q875" s="16">
        <v>2</v>
      </c>
      <c r="R875" s="16" t="s">
        <v>611</v>
      </c>
      <c r="S875" s="40">
        <f>(VLOOKUP(P875,'[1]BOM Info General'!$A:$L,12,0))*Q875</f>
        <v>5.3</v>
      </c>
      <c r="T875" s="17" t="s">
        <v>7</v>
      </c>
      <c r="U875" s="17">
        <v>1</v>
      </c>
      <c r="V875" s="17" t="s">
        <v>8</v>
      </c>
      <c r="W875" s="17">
        <f>(VLOOKUP(T875,'[1]Simulation pricing per sub assy'!$D:$E,2,0))*U875</f>
        <v>1.85</v>
      </c>
      <c r="X875" s="18" t="s">
        <v>615</v>
      </c>
      <c r="Y875" s="18">
        <v>1</v>
      </c>
      <c r="Z875" s="18" t="s">
        <v>9</v>
      </c>
      <c r="AA875" s="18">
        <f>(VLOOKUP(X875,'[1]Simulation pricing per sub assy'!$D:$E,2,0))*Y875</f>
        <v>1.5769808000000001</v>
      </c>
    </row>
    <row r="876" spans="1:27" x14ac:dyDescent="0.35">
      <c r="A876" s="13" t="s">
        <v>584</v>
      </c>
      <c r="B876" s="13" t="s">
        <v>4303</v>
      </c>
      <c r="C876" s="42">
        <f t="shared" si="13"/>
        <v>119.98578079999999</v>
      </c>
      <c r="D876" s="14" t="s">
        <v>42</v>
      </c>
      <c r="E876" s="14">
        <v>1</v>
      </c>
      <c r="F876" s="14" t="s">
        <v>3982</v>
      </c>
      <c r="G876" s="14">
        <f>(VLOOKUP(D876,'[1]BOM Info General'!$A:$L,12,0))*E876</f>
        <v>35.56</v>
      </c>
      <c r="H876" s="15" t="s">
        <v>39</v>
      </c>
      <c r="I876" s="15">
        <v>1</v>
      </c>
      <c r="J876" s="15" t="s">
        <v>46</v>
      </c>
      <c r="K876" s="15">
        <f>(VLOOKUP(H876,'[1]BOM Info General'!$A:$L,12,0))*I876</f>
        <v>24.42</v>
      </c>
      <c r="L876" s="9" t="s">
        <v>74</v>
      </c>
      <c r="M876" s="9">
        <v>1</v>
      </c>
      <c r="N876" s="9" t="s">
        <v>77</v>
      </c>
      <c r="O876" s="9">
        <f>(VLOOKUP(L876,'[1]Simulation pricing per sub assy'!$D:$E,2,0))*M876</f>
        <v>51.27879999999999</v>
      </c>
      <c r="P876" s="16" t="s">
        <v>50</v>
      </c>
      <c r="Q876" s="16">
        <v>2</v>
      </c>
      <c r="R876" s="16" t="s">
        <v>611</v>
      </c>
      <c r="S876" s="40">
        <f>(VLOOKUP(P876,'[1]BOM Info General'!$A:$L,12,0))*Q876</f>
        <v>5.3</v>
      </c>
      <c r="T876" s="17" t="s">
        <v>7</v>
      </c>
      <c r="U876" s="17">
        <v>1</v>
      </c>
      <c r="V876" s="17" t="s">
        <v>8</v>
      </c>
      <c r="W876" s="17">
        <f>(VLOOKUP(T876,'[1]Simulation pricing per sub assy'!$D:$E,2,0))*U876</f>
        <v>1.85</v>
      </c>
      <c r="X876" s="18" t="s">
        <v>615</v>
      </c>
      <c r="Y876" s="18">
        <v>1</v>
      </c>
      <c r="Z876" s="18" t="s">
        <v>9</v>
      </c>
      <c r="AA876" s="18">
        <f>(VLOOKUP(X876,'[1]Simulation pricing per sub assy'!$D:$E,2,0))*Y876</f>
        <v>1.5769808000000001</v>
      </c>
    </row>
    <row r="877" spans="1:27" x14ac:dyDescent="0.35">
      <c r="A877" s="13" t="s">
        <v>474</v>
      </c>
      <c r="B877" s="13" t="s">
        <v>4304</v>
      </c>
      <c r="C877" s="42">
        <f t="shared" si="13"/>
        <v>111.21578079999999</v>
      </c>
      <c r="D877" s="14" t="s">
        <v>42</v>
      </c>
      <c r="E877" s="14">
        <v>1</v>
      </c>
      <c r="F877" s="14" t="s">
        <v>3982</v>
      </c>
      <c r="G877" s="14">
        <f>(VLOOKUP(D877,'[1]BOM Info General'!$A:$L,12,0))*E877</f>
        <v>35.56</v>
      </c>
      <c r="H877" s="15" t="s">
        <v>39</v>
      </c>
      <c r="I877" s="15">
        <v>1</v>
      </c>
      <c r="J877" s="15" t="s">
        <v>46</v>
      </c>
      <c r="K877" s="15">
        <f>(VLOOKUP(H877,'[1]BOM Info General'!$A:$L,12,0))*I877</f>
        <v>24.42</v>
      </c>
      <c r="L877" s="9" t="s">
        <v>527</v>
      </c>
      <c r="M877" s="9">
        <v>1</v>
      </c>
      <c r="N877" s="9" t="s">
        <v>79</v>
      </c>
      <c r="O877" s="9">
        <f>(VLOOKUP(L877,'[1]Simulation pricing per sub assy'!$D:$E,2,0))*M877</f>
        <v>42.308799999999991</v>
      </c>
      <c r="P877" s="16" t="s">
        <v>50</v>
      </c>
      <c r="Q877" s="16">
        <v>2</v>
      </c>
      <c r="R877" s="16" t="s">
        <v>16</v>
      </c>
      <c r="S877" s="40">
        <f>(VLOOKUP(P877,'[1]BOM Info General'!$A:$L,12,0))*Q877</f>
        <v>5.3</v>
      </c>
      <c r="T877" s="17" t="s">
        <v>10</v>
      </c>
      <c r="U877" s="17">
        <v>1</v>
      </c>
      <c r="V877" s="17" t="s">
        <v>11</v>
      </c>
      <c r="W877" s="17">
        <f>(VLOOKUP(T877,'[1]Simulation pricing per sub assy'!$D:$E,2,0))*U877</f>
        <v>2.0499999999999998</v>
      </c>
      <c r="X877" s="18" t="s">
        <v>615</v>
      </c>
      <c r="Y877" s="18">
        <v>1</v>
      </c>
      <c r="Z877" s="18" t="s">
        <v>9</v>
      </c>
      <c r="AA877" s="18">
        <f>(VLOOKUP(X877,'[1]Simulation pricing per sub assy'!$D:$E,2,0))*Y877</f>
        <v>1.5769808000000001</v>
      </c>
    </row>
    <row r="878" spans="1:27" x14ac:dyDescent="0.35">
      <c r="A878" s="13" t="s">
        <v>330</v>
      </c>
      <c r="B878" s="13" t="s">
        <v>4305</v>
      </c>
      <c r="C878" s="42">
        <f t="shared" si="13"/>
        <v>112.19578079999999</v>
      </c>
      <c r="D878" s="14" t="s">
        <v>42</v>
      </c>
      <c r="E878" s="14">
        <v>1</v>
      </c>
      <c r="F878" s="14" t="s">
        <v>3982</v>
      </c>
      <c r="G878" s="14">
        <f>(VLOOKUP(D878,'[1]BOM Info General'!$A:$L,12,0))*E878</f>
        <v>35.56</v>
      </c>
      <c r="H878" s="15" t="s">
        <v>39</v>
      </c>
      <c r="I878" s="15">
        <v>1</v>
      </c>
      <c r="J878" s="15" t="s">
        <v>46</v>
      </c>
      <c r="K878" s="15">
        <f>(VLOOKUP(H878,'[1]BOM Info General'!$A:$L,12,0))*I878</f>
        <v>24.42</v>
      </c>
      <c r="L878" s="9" t="s">
        <v>76</v>
      </c>
      <c r="M878" s="9">
        <v>1</v>
      </c>
      <c r="N878" s="9" t="s">
        <v>73</v>
      </c>
      <c r="O878" s="9">
        <f>(VLOOKUP(L878,'[1]Simulation pricing per sub assy'!$D:$E,2,0))*M878</f>
        <v>43.288799999999988</v>
      </c>
      <c r="P878" s="16" t="s">
        <v>50</v>
      </c>
      <c r="Q878" s="16">
        <v>2</v>
      </c>
      <c r="R878" s="16" t="s">
        <v>16</v>
      </c>
      <c r="S878" s="40">
        <f>(VLOOKUP(P878,'[1]BOM Info General'!$A:$L,12,0))*Q878</f>
        <v>5.3</v>
      </c>
      <c r="T878" s="17" t="s">
        <v>10</v>
      </c>
      <c r="U878" s="17">
        <v>1</v>
      </c>
      <c r="V878" s="17" t="s">
        <v>11</v>
      </c>
      <c r="W878" s="17">
        <f>(VLOOKUP(T878,'[1]Simulation pricing per sub assy'!$D:$E,2,0))*U878</f>
        <v>2.0499999999999998</v>
      </c>
      <c r="X878" s="18" t="s">
        <v>615</v>
      </c>
      <c r="Y878" s="18">
        <v>1</v>
      </c>
      <c r="Z878" s="18" t="s">
        <v>9</v>
      </c>
      <c r="AA878" s="18">
        <f>(VLOOKUP(X878,'[1]Simulation pricing per sub assy'!$D:$E,2,0))*Y878</f>
        <v>1.5769808000000001</v>
      </c>
    </row>
    <row r="879" spans="1:27" x14ac:dyDescent="0.35">
      <c r="A879" s="13" t="s">
        <v>402</v>
      </c>
      <c r="B879" s="13" t="s">
        <v>4306</v>
      </c>
      <c r="C879" s="42">
        <f t="shared" si="13"/>
        <v>112.77578079999999</v>
      </c>
      <c r="D879" s="14" t="s">
        <v>42</v>
      </c>
      <c r="E879" s="14">
        <v>1</v>
      </c>
      <c r="F879" s="14" t="s">
        <v>3982</v>
      </c>
      <c r="G879" s="14">
        <f>(VLOOKUP(D879,'[1]BOM Info General'!$A:$L,12,0))*E879</f>
        <v>35.56</v>
      </c>
      <c r="H879" s="15" t="s">
        <v>39</v>
      </c>
      <c r="I879" s="15">
        <v>1</v>
      </c>
      <c r="J879" s="15" t="s">
        <v>46</v>
      </c>
      <c r="K879" s="15">
        <f>(VLOOKUP(H879,'[1]BOM Info General'!$A:$L,12,0))*I879</f>
        <v>24.42</v>
      </c>
      <c r="L879" s="9" t="s">
        <v>72</v>
      </c>
      <c r="M879" s="9">
        <v>1</v>
      </c>
      <c r="N879" s="9" t="s">
        <v>71</v>
      </c>
      <c r="O879" s="9">
        <f>(VLOOKUP(L879,'[1]Simulation pricing per sub assy'!$D:$E,2,0))*M879</f>
        <v>43.868799999999993</v>
      </c>
      <c r="P879" s="16" t="s">
        <v>50</v>
      </c>
      <c r="Q879" s="16">
        <v>2</v>
      </c>
      <c r="R879" s="16" t="s">
        <v>16</v>
      </c>
      <c r="S879" s="40">
        <f>(VLOOKUP(P879,'[1]BOM Info General'!$A:$L,12,0))*Q879</f>
        <v>5.3</v>
      </c>
      <c r="T879" s="17" t="s">
        <v>10</v>
      </c>
      <c r="U879" s="17">
        <v>1</v>
      </c>
      <c r="V879" s="17" t="s">
        <v>11</v>
      </c>
      <c r="W879" s="17">
        <f>(VLOOKUP(T879,'[1]Simulation pricing per sub assy'!$D:$E,2,0))*U879</f>
        <v>2.0499999999999998</v>
      </c>
      <c r="X879" s="18" t="s">
        <v>615</v>
      </c>
      <c r="Y879" s="18">
        <v>1</v>
      </c>
      <c r="Z879" s="18" t="s">
        <v>9</v>
      </c>
      <c r="AA879" s="18">
        <f>(VLOOKUP(X879,'[1]Simulation pricing per sub assy'!$D:$E,2,0))*Y879</f>
        <v>1.5769808000000001</v>
      </c>
    </row>
    <row r="880" spans="1:27" x14ac:dyDescent="0.35">
      <c r="A880" s="13" t="s">
        <v>366</v>
      </c>
      <c r="B880" s="13" t="s">
        <v>4307</v>
      </c>
      <c r="C880" s="42">
        <f t="shared" si="13"/>
        <v>112.51578079999999</v>
      </c>
      <c r="D880" s="14" t="s">
        <v>42</v>
      </c>
      <c r="E880" s="14">
        <v>1</v>
      </c>
      <c r="F880" s="14" t="s">
        <v>3982</v>
      </c>
      <c r="G880" s="14">
        <f>(VLOOKUP(D880,'[1]BOM Info General'!$A:$L,12,0))*E880</f>
        <v>35.56</v>
      </c>
      <c r="H880" s="15" t="s">
        <v>39</v>
      </c>
      <c r="I880" s="15">
        <v>1</v>
      </c>
      <c r="J880" s="15" t="s">
        <v>46</v>
      </c>
      <c r="K880" s="15">
        <f>(VLOOKUP(H880,'[1]BOM Info General'!$A:$L,12,0))*I880</f>
        <v>24.42</v>
      </c>
      <c r="L880" s="9" t="s">
        <v>78</v>
      </c>
      <c r="M880" s="9">
        <v>1</v>
      </c>
      <c r="N880" s="9" t="s">
        <v>75</v>
      </c>
      <c r="O880" s="9">
        <f>(VLOOKUP(L880,'[1]Simulation pricing per sub assy'!$D:$E,2,0))*M880</f>
        <v>43.608799999999988</v>
      </c>
      <c r="P880" s="16" t="s">
        <v>50</v>
      </c>
      <c r="Q880" s="16">
        <v>2</v>
      </c>
      <c r="R880" s="16" t="s">
        <v>16</v>
      </c>
      <c r="S880" s="40">
        <f>(VLOOKUP(P880,'[1]BOM Info General'!$A:$L,12,0))*Q880</f>
        <v>5.3</v>
      </c>
      <c r="T880" s="17" t="s">
        <v>10</v>
      </c>
      <c r="U880" s="17">
        <v>1</v>
      </c>
      <c r="V880" s="17" t="s">
        <v>11</v>
      </c>
      <c r="W880" s="17">
        <f>(VLOOKUP(T880,'[1]Simulation pricing per sub assy'!$D:$E,2,0))*U880</f>
        <v>2.0499999999999998</v>
      </c>
      <c r="X880" s="18" t="s">
        <v>615</v>
      </c>
      <c r="Y880" s="18">
        <v>1</v>
      </c>
      <c r="Z880" s="18" t="s">
        <v>9</v>
      </c>
      <c r="AA880" s="18">
        <f>(VLOOKUP(X880,'[1]Simulation pricing per sub assy'!$D:$E,2,0))*Y880</f>
        <v>1.5769808000000001</v>
      </c>
    </row>
    <row r="881" spans="1:27" x14ac:dyDescent="0.35">
      <c r="A881" s="13" t="s">
        <v>438</v>
      </c>
      <c r="B881" s="13" t="s">
        <v>4308</v>
      </c>
      <c r="C881" s="42">
        <f t="shared" si="13"/>
        <v>120.18578079999999</v>
      </c>
      <c r="D881" s="14" t="s">
        <v>42</v>
      </c>
      <c r="E881" s="14">
        <v>1</v>
      </c>
      <c r="F881" s="14" t="s">
        <v>3982</v>
      </c>
      <c r="G881" s="14">
        <f>(VLOOKUP(D881,'[1]BOM Info General'!$A:$L,12,0))*E881</f>
        <v>35.56</v>
      </c>
      <c r="H881" s="15" t="s">
        <v>39</v>
      </c>
      <c r="I881" s="15">
        <v>1</v>
      </c>
      <c r="J881" s="15" t="s">
        <v>46</v>
      </c>
      <c r="K881" s="15">
        <f>(VLOOKUP(H881,'[1]BOM Info General'!$A:$L,12,0))*I881</f>
        <v>24.42</v>
      </c>
      <c r="L881" s="9" t="s">
        <v>74</v>
      </c>
      <c r="M881" s="9">
        <v>1</v>
      </c>
      <c r="N881" s="9" t="s">
        <v>77</v>
      </c>
      <c r="O881" s="9">
        <f>(VLOOKUP(L881,'[1]Simulation pricing per sub assy'!$D:$E,2,0))*M881</f>
        <v>51.27879999999999</v>
      </c>
      <c r="P881" s="16" t="s">
        <v>50</v>
      </c>
      <c r="Q881" s="16">
        <v>2</v>
      </c>
      <c r="R881" s="16" t="s">
        <v>16</v>
      </c>
      <c r="S881" s="40">
        <f>(VLOOKUP(P881,'[1]BOM Info General'!$A:$L,12,0))*Q881</f>
        <v>5.3</v>
      </c>
      <c r="T881" s="17" t="s">
        <v>10</v>
      </c>
      <c r="U881" s="17">
        <v>1</v>
      </c>
      <c r="V881" s="17" t="s">
        <v>11</v>
      </c>
      <c r="W881" s="17">
        <f>(VLOOKUP(T881,'[1]Simulation pricing per sub assy'!$D:$E,2,0))*U881</f>
        <v>2.0499999999999998</v>
      </c>
      <c r="X881" s="18" t="s">
        <v>615</v>
      </c>
      <c r="Y881" s="18">
        <v>1</v>
      </c>
      <c r="Z881" s="18" t="s">
        <v>9</v>
      </c>
      <c r="AA881" s="18">
        <f>(VLOOKUP(X881,'[1]Simulation pricing per sub assy'!$D:$E,2,0))*Y881</f>
        <v>1.5769808000000001</v>
      </c>
    </row>
    <row r="882" spans="1:27" x14ac:dyDescent="0.35">
      <c r="A882" s="13" t="s">
        <v>475</v>
      </c>
      <c r="B882" s="13" t="s">
        <v>4309</v>
      </c>
      <c r="C882" s="42">
        <f t="shared" si="13"/>
        <v>111.0657808</v>
      </c>
      <c r="D882" s="14" t="s">
        <v>42</v>
      </c>
      <c r="E882" s="14">
        <v>1</v>
      </c>
      <c r="F882" s="14" t="s">
        <v>3982</v>
      </c>
      <c r="G882" s="14">
        <f>(VLOOKUP(D882,'[1]BOM Info General'!$A:$L,12,0))*E882</f>
        <v>35.56</v>
      </c>
      <c r="H882" s="15" t="s">
        <v>39</v>
      </c>
      <c r="I882" s="15">
        <v>1</v>
      </c>
      <c r="J882" s="15" t="s">
        <v>46</v>
      </c>
      <c r="K882" s="15">
        <f>(VLOOKUP(H882,'[1]BOM Info General'!$A:$L,12,0))*I882</f>
        <v>24.42</v>
      </c>
      <c r="L882" s="9" t="s">
        <v>527</v>
      </c>
      <c r="M882" s="9">
        <v>1</v>
      </c>
      <c r="N882" s="9" t="s">
        <v>79</v>
      </c>
      <c r="O882" s="9">
        <f>(VLOOKUP(L882,'[1]Simulation pricing per sub assy'!$D:$E,2,0))*M882</f>
        <v>42.308799999999991</v>
      </c>
      <c r="P882" s="16" t="s">
        <v>50</v>
      </c>
      <c r="Q882" s="16">
        <v>2</v>
      </c>
      <c r="R882" s="16" t="s">
        <v>16</v>
      </c>
      <c r="S882" s="40">
        <f>(VLOOKUP(P882,'[1]BOM Info General'!$A:$L,12,0))*Q882</f>
        <v>5.3</v>
      </c>
      <c r="T882" s="17" t="s">
        <v>12</v>
      </c>
      <c r="U882" s="17">
        <v>1</v>
      </c>
      <c r="V882" s="17" t="s">
        <v>13</v>
      </c>
      <c r="W882" s="17">
        <f>(VLOOKUP(T882,'[1]Simulation pricing per sub assy'!$D:$E,2,0))*U882</f>
        <v>1.9</v>
      </c>
      <c r="X882" s="18" t="s">
        <v>615</v>
      </c>
      <c r="Y882" s="18">
        <v>1</v>
      </c>
      <c r="Z882" s="18" t="s">
        <v>9</v>
      </c>
      <c r="AA882" s="18">
        <f>(VLOOKUP(X882,'[1]Simulation pricing per sub assy'!$D:$E,2,0))*Y882</f>
        <v>1.5769808000000001</v>
      </c>
    </row>
    <row r="883" spans="1:27" x14ac:dyDescent="0.35">
      <c r="A883" s="13" t="s">
        <v>331</v>
      </c>
      <c r="B883" s="13" t="s">
        <v>4310</v>
      </c>
      <c r="C883" s="42">
        <f t="shared" si="13"/>
        <v>112.0457808</v>
      </c>
      <c r="D883" s="14" t="s">
        <v>42</v>
      </c>
      <c r="E883" s="14">
        <v>1</v>
      </c>
      <c r="F883" s="14" t="s">
        <v>3982</v>
      </c>
      <c r="G883" s="14">
        <f>(VLOOKUP(D883,'[1]BOM Info General'!$A:$L,12,0))*E883</f>
        <v>35.56</v>
      </c>
      <c r="H883" s="15" t="s">
        <v>39</v>
      </c>
      <c r="I883" s="15">
        <v>1</v>
      </c>
      <c r="J883" s="15" t="s">
        <v>46</v>
      </c>
      <c r="K883" s="15">
        <f>(VLOOKUP(H883,'[1]BOM Info General'!$A:$L,12,0))*I883</f>
        <v>24.42</v>
      </c>
      <c r="L883" s="9" t="s">
        <v>76</v>
      </c>
      <c r="M883" s="9">
        <v>1</v>
      </c>
      <c r="N883" s="9" t="s">
        <v>73</v>
      </c>
      <c r="O883" s="9">
        <f>(VLOOKUP(L883,'[1]Simulation pricing per sub assy'!$D:$E,2,0))*M883</f>
        <v>43.288799999999988</v>
      </c>
      <c r="P883" s="16" t="s">
        <v>50</v>
      </c>
      <c r="Q883" s="16">
        <v>2</v>
      </c>
      <c r="R883" s="16" t="s">
        <v>16</v>
      </c>
      <c r="S883" s="40">
        <f>(VLOOKUP(P883,'[1]BOM Info General'!$A:$L,12,0))*Q883</f>
        <v>5.3</v>
      </c>
      <c r="T883" s="17" t="s">
        <v>12</v>
      </c>
      <c r="U883" s="17">
        <v>1</v>
      </c>
      <c r="V883" s="17" t="s">
        <v>13</v>
      </c>
      <c r="W883" s="17">
        <f>(VLOOKUP(T883,'[1]Simulation pricing per sub assy'!$D:$E,2,0))*U883</f>
        <v>1.9</v>
      </c>
      <c r="X883" s="18" t="s">
        <v>615</v>
      </c>
      <c r="Y883" s="18">
        <v>1</v>
      </c>
      <c r="Z883" s="18" t="s">
        <v>9</v>
      </c>
      <c r="AA883" s="18">
        <f>(VLOOKUP(X883,'[1]Simulation pricing per sub assy'!$D:$E,2,0))*Y883</f>
        <v>1.5769808000000001</v>
      </c>
    </row>
    <row r="884" spans="1:27" x14ac:dyDescent="0.35">
      <c r="A884" s="13" t="s">
        <v>403</v>
      </c>
      <c r="B884" s="13" t="s">
        <v>4311</v>
      </c>
      <c r="C884" s="42">
        <f t="shared" si="13"/>
        <v>112.6257808</v>
      </c>
      <c r="D884" s="14" t="s">
        <v>42</v>
      </c>
      <c r="E884" s="14">
        <v>1</v>
      </c>
      <c r="F884" s="14" t="s">
        <v>3982</v>
      </c>
      <c r="G884" s="14">
        <f>(VLOOKUP(D884,'[1]BOM Info General'!$A:$L,12,0))*E884</f>
        <v>35.56</v>
      </c>
      <c r="H884" s="15" t="s">
        <v>39</v>
      </c>
      <c r="I884" s="15">
        <v>1</v>
      </c>
      <c r="J884" s="15" t="s">
        <v>46</v>
      </c>
      <c r="K884" s="15">
        <f>(VLOOKUP(H884,'[1]BOM Info General'!$A:$L,12,0))*I884</f>
        <v>24.42</v>
      </c>
      <c r="L884" s="9" t="s">
        <v>72</v>
      </c>
      <c r="M884" s="9">
        <v>1</v>
      </c>
      <c r="N884" s="9" t="s">
        <v>71</v>
      </c>
      <c r="O884" s="9">
        <f>(VLOOKUP(L884,'[1]Simulation pricing per sub assy'!$D:$E,2,0))*M884</f>
        <v>43.868799999999993</v>
      </c>
      <c r="P884" s="16" t="s">
        <v>50</v>
      </c>
      <c r="Q884" s="16">
        <v>2</v>
      </c>
      <c r="R884" s="16" t="s">
        <v>16</v>
      </c>
      <c r="S884" s="40">
        <f>(VLOOKUP(P884,'[1]BOM Info General'!$A:$L,12,0))*Q884</f>
        <v>5.3</v>
      </c>
      <c r="T884" s="17" t="s">
        <v>12</v>
      </c>
      <c r="U884" s="17">
        <v>1</v>
      </c>
      <c r="V884" s="17" t="s">
        <v>13</v>
      </c>
      <c r="W884" s="17">
        <f>(VLOOKUP(T884,'[1]Simulation pricing per sub assy'!$D:$E,2,0))*U884</f>
        <v>1.9</v>
      </c>
      <c r="X884" s="18" t="s">
        <v>615</v>
      </c>
      <c r="Y884" s="18">
        <v>1</v>
      </c>
      <c r="Z884" s="18" t="s">
        <v>9</v>
      </c>
      <c r="AA884" s="18">
        <f>(VLOOKUP(X884,'[1]Simulation pricing per sub assy'!$D:$E,2,0))*Y884</f>
        <v>1.5769808000000001</v>
      </c>
    </row>
    <row r="885" spans="1:27" x14ac:dyDescent="0.35">
      <c r="A885" s="13" t="s">
        <v>367</v>
      </c>
      <c r="B885" s="13" t="s">
        <v>4312</v>
      </c>
      <c r="C885" s="42">
        <f t="shared" si="13"/>
        <v>112.3657808</v>
      </c>
      <c r="D885" s="14" t="s">
        <v>42</v>
      </c>
      <c r="E885" s="14">
        <v>1</v>
      </c>
      <c r="F885" s="14" t="s">
        <v>3982</v>
      </c>
      <c r="G885" s="14">
        <f>(VLOOKUP(D885,'[1]BOM Info General'!$A:$L,12,0))*E885</f>
        <v>35.56</v>
      </c>
      <c r="H885" s="15" t="s">
        <v>39</v>
      </c>
      <c r="I885" s="15">
        <v>1</v>
      </c>
      <c r="J885" s="15" t="s">
        <v>46</v>
      </c>
      <c r="K885" s="15">
        <f>(VLOOKUP(H885,'[1]BOM Info General'!$A:$L,12,0))*I885</f>
        <v>24.42</v>
      </c>
      <c r="L885" s="9" t="s">
        <v>78</v>
      </c>
      <c r="M885" s="9">
        <v>1</v>
      </c>
      <c r="N885" s="9" t="s">
        <v>75</v>
      </c>
      <c r="O885" s="9">
        <f>(VLOOKUP(L885,'[1]Simulation pricing per sub assy'!$D:$E,2,0))*M885</f>
        <v>43.608799999999988</v>
      </c>
      <c r="P885" s="16" t="s">
        <v>50</v>
      </c>
      <c r="Q885" s="16">
        <v>2</v>
      </c>
      <c r="R885" s="16" t="s">
        <v>16</v>
      </c>
      <c r="S885" s="40">
        <f>(VLOOKUP(P885,'[1]BOM Info General'!$A:$L,12,0))*Q885</f>
        <v>5.3</v>
      </c>
      <c r="T885" s="17" t="s">
        <v>12</v>
      </c>
      <c r="U885" s="17">
        <v>1</v>
      </c>
      <c r="V885" s="17" t="s">
        <v>13</v>
      </c>
      <c r="W885" s="17">
        <f>(VLOOKUP(T885,'[1]Simulation pricing per sub assy'!$D:$E,2,0))*U885</f>
        <v>1.9</v>
      </c>
      <c r="X885" s="18" t="s">
        <v>615</v>
      </c>
      <c r="Y885" s="18">
        <v>1</v>
      </c>
      <c r="Z885" s="18" t="s">
        <v>9</v>
      </c>
      <c r="AA885" s="18">
        <f>(VLOOKUP(X885,'[1]Simulation pricing per sub assy'!$D:$E,2,0))*Y885</f>
        <v>1.5769808000000001</v>
      </c>
    </row>
    <row r="886" spans="1:27" x14ac:dyDescent="0.35">
      <c r="A886" s="13" t="s">
        <v>439</v>
      </c>
      <c r="B886" s="13" t="s">
        <v>4313</v>
      </c>
      <c r="C886" s="42">
        <f t="shared" si="13"/>
        <v>120.0357808</v>
      </c>
      <c r="D886" s="14" t="s">
        <v>42</v>
      </c>
      <c r="E886" s="14">
        <v>1</v>
      </c>
      <c r="F886" s="14" t="s">
        <v>3982</v>
      </c>
      <c r="G886" s="14">
        <f>(VLOOKUP(D886,'[1]BOM Info General'!$A:$L,12,0))*E886</f>
        <v>35.56</v>
      </c>
      <c r="H886" s="15" t="s">
        <v>39</v>
      </c>
      <c r="I886" s="15">
        <v>1</v>
      </c>
      <c r="J886" s="15" t="s">
        <v>46</v>
      </c>
      <c r="K886" s="15">
        <f>(VLOOKUP(H886,'[1]BOM Info General'!$A:$L,12,0))*I886</f>
        <v>24.42</v>
      </c>
      <c r="L886" s="9" t="s">
        <v>74</v>
      </c>
      <c r="M886" s="9">
        <v>1</v>
      </c>
      <c r="N886" s="9" t="s">
        <v>77</v>
      </c>
      <c r="O886" s="9">
        <f>(VLOOKUP(L886,'[1]Simulation pricing per sub assy'!$D:$E,2,0))*M886</f>
        <v>51.27879999999999</v>
      </c>
      <c r="P886" s="16" t="s">
        <v>50</v>
      </c>
      <c r="Q886" s="16">
        <v>2</v>
      </c>
      <c r="R886" s="16" t="s">
        <v>16</v>
      </c>
      <c r="S886" s="40">
        <f>(VLOOKUP(P886,'[1]BOM Info General'!$A:$L,12,0))*Q886</f>
        <v>5.3</v>
      </c>
      <c r="T886" s="17" t="s">
        <v>12</v>
      </c>
      <c r="U886" s="17">
        <v>1</v>
      </c>
      <c r="V886" s="17" t="s">
        <v>13</v>
      </c>
      <c r="W886" s="17">
        <f>(VLOOKUP(T886,'[1]Simulation pricing per sub assy'!$D:$E,2,0))*U886</f>
        <v>1.9</v>
      </c>
      <c r="X886" s="18" t="s">
        <v>615</v>
      </c>
      <c r="Y886" s="18">
        <v>1</v>
      </c>
      <c r="Z886" s="18" t="s">
        <v>9</v>
      </c>
      <c r="AA886" s="18">
        <f>(VLOOKUP(X886,'[1]Simulation pricing per sub assy'!$D:$E,2,0))*Y886</f>
        <v>1.5769808000000001</v>
      </c>
    </row>
    <row r="887" spans="1:27" x14ac:dyDescent="0.35">
      <c r="A887" s="13" t="s">
        <v>476</v>
      </c>
      <c r="B887" s="13" t="s">
        <v>4314</v>
      </c>
      <c r="C887" s="42">
        <f t="shared" si="13"/>
        <v>111.0657808</v>
      </c>
      <c r="D887" s="14" t="s">
        <v>42</v>
      </c>
      <c r="E887" s="14">
        <v>1</v>
      </c>
      <c r="F887" s="14" t="s">
        <v>3982</v>
      </c>
      <c r="G887" s="14">
        <f>(VLOOKUP(D887,'[1]BOM Info General'!$A:$L,12,0))*E887</f>
        <v>35.56</v>
      </c>
      <c r="H887" s="15" t="s">
        <v>39</v>
      </c>
      <c r="I887" s="15">
        <v>1</v>
      </c>
      <c r="J887" s="15" t="s">
        <v>46</v>
      </c>
      <c r="K887" s="15">
        <f>(VLOOKUP(H887,'[1]BOM Info General'!$A:$L,12,0))*I887</f>
        <v>24.42</v>
      </c>
      <c r="L887" s="9" t="s">
        <v>527</v>
      </c>
      <c r="M887" s="9">
        <v>1</v>
      </c>
      <c r="N887" s="9" t="s">
        <v>79</v>
      </c>
      <c r="O887" s="9">
        <f>(VLOOKUP(L887,'[1]Simulation pricing per sub assy'!$D:$E,2,0))*M887</f>
        <v>42.308799999999991</v>
      </c>
      <c r="P887" s="16" t="s">
        <v>50</v>
      </c>
      <c r="Q887" s="16">
        <v>2</v>
      </c>
      <c r="R887" s="16" t="s">
        <v>16</v>
      </c>
      <c r="S887" s="40">
        <f>(VLOOKUP(P887,'[1]BOM Info General'!$A:$L,12,0))*Q887</f>
        <v>5.3</v>
      </c>
      <c r="T887" s="17" t="s">
        <v>14</v>
      </c>
      <c r="U887" s="17">
        <v>1</v>
      </c>
      <c r="V887" s="17" t="s">
        <v>15</v>
      </c>
      <c r="W887" s="17">
        <f>(VLOOKUP(T887,'[1]Simulation pricing per sub assy'!$D:$E,2,0))*U887</f>
        <v>1.9</v>
      </c>
      <c r="X887" s="18" t="s">
        <v>615</v>
      </c>
      <c r="Y887" s="18">
        <v>1</v>
      </c>
      <c r="Z887" s="18" t="s">
        <v>9</v>
      </c>
      <c r="AA887" s="18">
        <f>(VLOOKUP(X887,'[1]Simulation pricing per sub assy'!$D:$E,2,0))*Y887</f>
        <v>1.5769808000000001</v>
      </c>
    </row>
    <row r="888" spans="1:27" x14ac:dyDescent="0.35">
      <c r="A888" s="13" t="s">
        <v>332</v>
      </c>
      <c r="B888" s="13" t="s">
        <v>4315</v>
      </c>
      <c r="C888" s="42">
        <f t="shared" si="13"/>
        <v>112.0457808</v>
      </c>
      <c r="D888" s="14" t="s">
        <v>42</v>
      </c>
      <c r="E888" s="14">
        <v>1</v>
      </c>
      <c r="F888" s="14" t="s">
        <v>3982</v>
      </c>
      <c r="G888" s="14">
        <f>(VLOOKUP(D888,'[1]BOM Info General'!$A:$L,12,0))*E888</f>
        <v>35.56</v>
      </c>
      <c r="H888" s="15" t="s">
        <v>39</v>
      </c>
      <c r="I888" s="15">
        <v>1</v>
      </c>
      <c r="J888" s="15" t="s">
        <v>46</v>
      </c>
      <c r="K888" s="15">
        <f>(VLOOKUP(H888,'[1]BOM Info General'!$A:$L,12,0))*I888</f>
        <v>24.42</v>
      </c>
      <c r="L888" s="9" t="s">
        <v>76</v>
      </c>
      <c r="M888" s="9">
        <v>1</v>
      </c>
      <c r="N888" s="9" t="s">
        <v>73</v>
      </c>
      <c r="O888" s="9">
        <f>(VLOOKUP(L888,'[1]Simulation pricing per sub assy'!$D:$E,2,0))*M888</f>
        <v>43.288799999999988</v>
      </c>
      <c r="P888" s="16" t="s">
        <v>50</v>
      </c>
      <c r="Q888" s="16">
        <v>2</v>
      </c>
      <c r="R888" s="16" t="s">
        <v>16</v>
      </c>
      <c r="S888" s="40">
        <f>(VLOOKUP(P888,'[1]BOM Info General'!$A:$L,12,0))*Q888</f>
        <v>5.3</v>
      </c>
      <c r="T888" s="17" t="s">
        <v>14</v>
      </c>
      <c r="U888" s="17">
        <v>1</v>
      </c>
      <c r="V888" s="17" t="s">
        <v>15</v>
      </c>
      <c r="W888" s="17">
        <f>(VLOOKUP(T888,'[1]Simulation pricing per sub assy'!$D:$E,2,0))*U888</f>
        <v>1.9</v>
      </c>
      <c r="X888" s="18" t="s">
        <v>615</v>
      </c>
      <c r="Y888" s="18">
        <v>1</v>
      </c>
      <c r="Z888" s="18" t="s">
        <v>9</v>
      </c>
      <c r="AA888" s="18">
        <f>(VLOOKUP(X888,'[1]Simulation pricing per sub assy'!$D:$E,2,0))*Y888</f>
        <v>1.5769808000000001</v>
      </c>
    </row>
    <row r="889" spans="1:27" x14ac:dyDescent="0.35">
      <c r="A889" s="13" t="s">
        <v>404</v>
      </c>
      <c r="B889" s="13" t="s">
        <v>4316</v>
      </c>
      <c r="C889" s="42">
        <f t="shared" si="13"/>
        <v>112.6257808</v>
      </c>
      <c r="D889" s="14" t="s">
        <v>42</v>
      </c>
      <c r="E889" s="14">
        <v>1</v>
      </c>
      <c r="F889" s="14" t="s">
        <v>3982</v>
      </c>
      <c r="G889" s="14">
        <f>(VLOOKUP(D889,'[1]BOM Info General'!$A:$L,12,0))*E889</f>
        <v>35.56</v>
      </c>
      <c r="H889" s="15" t="s">
        <v>39</v>
      </c>
      <c r="I889" s="15">
        <v>1</v>
      </c>
      <c r="J889" s="15" t="s">
        <v>46</v>
      </c>
      <c r="K889" s="15">
        <f>(VLOOKUP(H889,'[1]BOM Info General'!$A:$L,12,0))*I889</f>
        <v>24.42</v>
      </c>
      <c r="L889" s="9" t="s">
        <v>72</v>
      </c>
      <c r="M889" s="9">
        <v>1</v>
      </c>
      <c r="N889" s="9" t="s">
        <v>71</v>
      </c>
      <c r="O889" s="9">
        <f>(VLOOKUP(L889,'[1]Simulation pricing per sub assy'!$D:$E,2,0))*M889</f>
        <v>43.868799999999993</v>
      </c>
      <c r="P889" s="16" t="s">
        <v>50</v>
      </c>
      <c r="Q889" s="16">
        <v>2</v>
      </c>
      <c r="R889" s="16" t="s">
        <v>16</v>
      </c>
      <c r="S889" s="40">
        <f>(VLOOKUP(P889,'[1]BOM Info General'!$A:$L,12,0))*Q889</f>
        <v>5.3</v>
      </c>
      <c r="T889" s="17" t="s">
        <v>14</v>
      </c>
      <c r="U889" s="17">
        <v>1</v>
      </c>
      <c r="V889" s="17" t="s">
        <v>15</v>
      </c>
      <c r="W889" s="17">
        <f>(VLOOKUP(T889,'[1]Simulation pricing per sub assy'!$D:$E,2,0))*U889</f>
        <v>1.9</v>
      </c>
      <c r="X889" s="18" t="s">
        <v>615</v>
      </c>
      <c r="Y889" s="18">
        <v>1</v>
      </c>
      <c r="Z889" s="18" t="s">
        <v>9</v>
      </c>
      <c r="AA889" s="18">
        <f>(VLOOKUP(X889,'[1]Simulation pricing per sub assy'!$D:$E,2,0))*Y889</f>
        <v>1.5769808000000001</v>
      </c>
    </row>
    <row r="890" spans="1:27" x14ac:dyDescent="0.35">
      <c r="A890" s="13" t="s">
        <v>368</v>
      </c>
      <c r="B890" s="13" t="s">
        <v>4317</v>
      </c>
      <c r="C890" s="42">
        <f t="shared" si="13"/>
        <v>112.3657808</v>
      </c>
      <c r="D890" s="14" t="s">
        <v>42</v>
      </c>
      <c r="E890" s="14">
        <v>1</v>
      </c>
      <c r="F890" s="14" t="s">
        <v>3982</v>
      </c>
      <c r="G890" s="14">
        <f>(VLOOKUP(D890,'[1]BOM Info General'!$A:$L,12,0))*E890</f>
        <v>35.56</v>
      </c>
      <c r="H890" s="15" t="s">
        <v>39</v>
      </c>
      <c r="I890" s="15">
        <v>1</v>
      </c>
      <c r="J890" s="15" t="s">
        <v>46</v>
      </c>
      <c r="K890" s="15">
        <f>(VLOOKUP(H890,'[1]BOM Info General'!$A:$L,12,0))*I890</f>
        <v>24.42</v>
      </c>
      <c r="L890" s="9" t="s">
        <v>78</v>
      </c>
      <c r="M890" s="9">
        <v>1</v>
      </c>
      <c r="N890" s="9" t="s">
        <v>75</v>
      </c>
      <c r="O890" s="9">
        <f>(VLOOKUP(L890,'[1]Simulation pricing per sub assy'!$D:$E,2,0))*M890</f>
        <v>43.608799999999988</v>
      </c>
      <c r="P890" s="16" t="s">
        <v>50</v>
      </c>
      <c r="Q890" s="16">
        <v>2</v>
      </c>
      <c r="R890" s="16" t="s">
        <v>16</v>
      </c>
      <c r="S890" s="40">
        <f>(VLOOKUP(P890,'[1]BOM Info General'!$A:$L,12,0))*Q890</f>
        <v>5.3</v>
      </c>
      <c r="T890" s="17" t="s">
        <v>14</v>
      </c>
      <c r="U890" s="17">
        <v>1</v>
      </c>
      <c r="V890" s="17" t="s">
        <v>15</v>
      </c>
      <c r="W890" s="17">
        <f>(VLOOKUP(T890,'[1]Simulation pricing per sub assy'!$D:$E,2,0))*U890</f>
        <v>1.9</v>
      </c>
      <c r="X890" s="18" t="s">
        <v>615</v>
      </c>
      <c r="Y890" s="18">
        <v>1</v>
      </c>
      <c r="Z890" s="18" t="s">
        <v>9</v>
      </c>
      <c r="AA890" s="18">
        <f>(VLOOKUP(X890,'[1]Simulation pricing per sub assy'!$D:$E,2,0))*Y890</f>
        <v>1.5769808000000001</v>
      </c>
    </row>
    <row r="891" spans="1:27" x14ac:dyDescent="0.35">
      <c r="A891" s="13" t="s">
        <v>440</v>
      </c>
      <c r="B891" s="13" t="s">
        <v>4318</v>
      </c>
      <c r="C891" s="42">
        <f t="shared" si="13"/>
        <v>120.0357808</v>
      </c>
      <c r="D891" s="14" t="s">
        <v>42</v>
      </c>
      <c r="E891" s="14">
        <v>1</v>
      </c>
      <c r="F891" s="14" t="s">
        <v>3982</v>
      </c>
      <c r="G891" s="14">
        <f>(VLOOKUP(D891,'[1]BOM Info General'!$A:$L,12,0))*E891</f>
        <v>35.56</v>
      </c>
      <c r="H891" s="15" t="s">
        <v>39</v>
      </c>
      <c r="I891" s="15">
        <v>1</v>
      </c>
      <c r="J891" s="15" t="s">
        <v>46</v>
      </c>
      <c r="K891" s="15">
        <f>(VLOOKUP(H891,'[1]BOM Info General'!$A:$L,12,0))*I891</f>
        <v>24.42</v>
      </c>
      <c r="L891" s="9" t="s">
        <v>74</v>
      </c>
      <c r="M891" s="9">
        <v>1</v>
      </c>
      <c r="N891" s="9" t="s">
        <v>77</v>
      </c>
      <c r="O891" s="9">
        <f>(VLOOKUP(L891,'[1]Simulation pricing per sub assy'!$D:$E,2,0))*M891</f>
        <v>51.27879999999999</v>
      </c>
      <c r="P891" s="16" t="s">
        <v>50</v>
      </c>
      <c r="Q891" s="16">
        <v>2</v>
      </c>
      <c r="R891" s="16" t="s">
        <v>16</v>
      </c>
      <c r="S891" s="40">
        <f>(VLOOKUP(P891,'[1]BOM Info General'!$A:$L,12,0))*Q891</f>
        <v>5.3</v>
      </c>
      <c r="T891" s="17" t="s">
        <v>14</v>
      </c>
      <c r="U891" s="17">
        <v>1</v>
      </c>
      <c r="V891" s="17" t="s">
        <v>15</v>
      </c>
      <c r="W891" s="17">
        <f>(VLOOKUP(T891,'[1]Simulation pricing per sub assy'!$D:$E,2,0))*U891</f>
        <v>1.9</v>
      </c>
      <c r="X891" s="18" t="s">
        <v>615</v>
      </c>
      <c r="Y891" s="18">
        <v>1</v>
      </c>
      <c r="Z891" s="18" t="s">
        <v>9</v>
      </c>
      <c r="AA891" s="18">
        <f>(VLOOKUP(X891,'[1]Simulation pricing per sub assy'!$D:$E,2,0))*Y891</f>
        <v>1.5769808000000001</v>
      </c>
    </row>
    <row r="892" spans="1:27" x14ac:dyDescent="0.35">
      <c r="A892" s="13" t="s">
        <v>477</v>
      </c>
      <c r="B892" s="13" t="s">
        <v>4319</v>
      </c>
      <c r="C892" s="42">
        <f t="shared" si="13"/>
        <v>111.21578079999999</v>
      </c>
      <c r="D892" s="14" t="s">
        <v>42</v>
      </c>
      <c r="E892" s="14">
        <v>1</v>
      </c>
      <c r="F892" s="14" t="s">
        <v>3982</v>
      </c>
      <c r="G892" s="14">
        <f>(VLOOKUP(D892,'[1]BOM Info General'!$A:$L,12,0))*E892</f>
        <v>35.56</v>
      </c>
      <c r="H892" s="15" t="s">
        <v>39</v>
      </c>
      <c r="I892" s="15">
        <v>1</v>
      </c>
      <c r="J892" s="15" t="s">
        <v>46</v>
      </c>
      <c r="K892" s="15">
        <f>(VLOOKUP(H892,'[1]BOM Info General'!$A:$L,12,0))*I892</f>
        <v>24.42</v>
      </c>
      <c r="L892" s="9" t="s">
        <v>527</v>
      </c>
      <c r="M892" s="9">
        <v>1</v>
      </c>
      <c r="N892" s="9" t="s">
        <v>79</v>
      </c>
      <c r="O892" s="9">
        <f>(VLOOKUP(L892,'[1]Simulation pricing per sub assy'!$D:$E,2,0))*M892</f>
        <v>42.308799999999991</v>
      </c>
      <c r="P892" s="16" t="s">
        <v>51</v>
      </c>
      <c r="Q892" s="16">
        <v>2</v>
      </c>
      <c r="R892" s="16" t="s">
        <v>17</v>
      </c>
      <c r="S892" s="40">
        <f>(VLOOKUP(P892,'[1]BOM Info General'!$A:$L,12,0))*Q892</f>
        <v>5.3</v>
      </c>
      <c r="T892" s="17" t="s">
        <v>10</v>
      </c>
      <c r="U892" s="17">
        <v>1</v>
      </c>
      <c r="V892" s="17" t="s">
        <v>11</v>
      </c>
      <c r="W892" s="17">
        <f>(VLOOKUP(T892,'[1]Simulation pricing per sub assy'!$D:$E,2,0))*U892</f>
        <v>2.0499999999999998</v>
      </c>
      <c r="X892" s="18" t="s">
        <v>615</v>
      </c>
      <c r="Y892" s="18">
        <v>1</v>
      </c>
      <c r="Z892" s="18" t="s">
        <v>9</v>
      </c>
      <c r="AA892" s="18">
        <f>(VLOOKUP(X892,'[1]Simulation pricing per sub assy'!$D:$E,2,0))*Y892</f>
        <v>1.5769808000000001</v>
      </c>
    </row>
    <row r="893" spans="1:27" x14ac:dyDescent="0.35">
      <c r="A893" s="13" t="s">
        <v>333</v>
      </c>
      <c r="B893" s="13" t="s">
        <v>4320</v>
      </c>
      <c r="C893" s="42">
        <f t="shared" si="13"/>
        <v>112.19578079999999</v>
      </c>
      <c r="D893" s="14" t="s">
        <v>42</v>
      </c>
      <c r="E893" s="14">
        <v>1</v>
      </c>
      <c r="F893" s="14" t="s">
        <v>3982</v>
      </c>
      <c r="G893" s="14">
        <f>(VLOOKUP(D893,'[1]BOM Info General'!$A:$L,12,0))*E893</f>
        <v>35.56</v>
      </c>
      <c r="H893" s="15" t="s">
        <v>39</v>
      </c>
      <c r="I893" s="15">
        <v>1</v>
      </c>
      <c r="J893" s="15" t="s">
        <v>46</v>
      </c>
      <c r="K893" s="15">
        <f>(VLOOKUP(H893,'[1]BOM Info General'!$A:$L,12,0))*I893</f>
        <v>24.42</v>
      </c>
      <c r="L893" s="9" t="s">
        <v>76</v>
      </c>
      <c r="M893" s="9">
        <v>1</v>
      </c>
      <c r="N893" s="9" t="s">
        <v>73</v>
      </c>
      <c r="O893" s="9">
        <f>(VLOOKUP(L893,'[1]Simulation pricing per sub assy'!$D:$E,2,0))*M893</f>
        <v>43.288799999999988</v>
      </c>
      <c r="P893" s="16" t="s">
        <v>51</v>
      </c>
      <c r="Q893" s="16">
        <v>2</v>
      </c>
      <c r="R893" s="16" t="s">
        <v>17</v>
      </c>
      <c r="S893" s="40">
        <f>(VLOOKUP(P893,'[1]BOM Info General'!$A:$L,12,0))*Q893</f>
        <v>5.3</v>
      </c>
      <c r="T893" s="17" t="s">
        <v>10</v>
      </c>
      <c r="U893" s="17">
        <v>1</v>
      </c>
      <c r="V893" s="17" t="s">
        <v>11</v>
      </c>
      <c r="W893" s="17">
        <f>(VLOOKUP(T893,'[1]Simulation pricing per sub assy'!$D:$E,2,0))*U893</f>
        <v>2.0499999999999998</v>
      </c>
      <c r="X893" s="18" t="s">
        <v>615</v>
      </c>
      <c r="Y893" s="18">
        <v>1</v>
      </c>
      <c r="Z893" s="18" t="s">
        <v>9</v>
      </c>
      <c r="AA893" s="18">
        <f>(VLOOKUP(X893,'[1]Simulation pricing per sub assy'!$D:$E,2,0))*Y893</f>
        <v>1.5769808000000001</v>
      </c>
    </row>
    <row r="894" spans="1:27" x14ac:dyDescent="0.35">
      <c r="A894" s="13" t="s">
        <v>405</v>
      </c>
      <c r="B894" s="13" t="s">
        <v>4321</v>
      </c>
      <c r="C894" s="42">
        <f t="shared" si="13"/>
        <v>112.77578079999999</v>
      </c>
      <c r="D894" s="14" t="s">
        <v>42</v>
      </c>
      <c r="E894" s="14">
        <v>1</v>
      </c>
      <c r="F894" s="14" t="s">
        <v>3982</v>
      </c>
      <c r="G894" s="14">
        <f>(VLOOKUP(D894,'[1]BOM Info General'!$A:$L,12,0))*E894</f>
        <v>35.56</v>
      </c>
      <c r="H894" s="15" t="s">
        <v>39</v>
      </c>
      <c r="I894" s="15">
        <v>1</v>
      </c>
      <c r="J894" s="15" t="s">
        <v>46</v>
      </c>
      <c r="K894" s="15">
        <f>(VLOOKUP(H894,'[1]BOM Info General'!$A:$L,12,0))*I894</f>
        <v>24.42</v>
      </c>
      <c r="L894" s="9" t="s">
        <v>72</v>
      </c>
      <c r="M894" s="9">
        <v>1</v>
      </c>
      <c r="N894" s="9" t="s">
        <v>71</v>
      </c>
      <c r="O894" s="9">
        <f>(VLOOKUP(L894,'[1]Simulation pricing per sub assy'!$D:$E,2,0))*M894</f>
        <v>43.868799999999993</v>
      </c>
      <c r="P894" s="16" t="s">
        <v>51</v>
      </c>
      <c r="Q894" s="16">
        <v>2</v>
      </c>
      <c r="R894" s="16" t="s">
        <v>17</v>
      </c>
      <c r="S894" s="40">
        <f>(VLOOKUP(P894,'[1]BOM Info General'!$A:$L,12,0))*Q894</f>
        <v>5.3</v>
      </c>
      <c r="T894" s="17" t="s">
        <v>10</v>
      </c>
      <c r="U894" s="17">
        <v>1</v>
      </c>
      <c r="V894" s="17" t="s">
        <v>11</v>
      </c>
      <c r="W894" s="17">
        <f>(VLOOKUP(T894,'[1]Simulation pricing per sub assy'!$D:$E,2,0))*U894</f>
        <v>2.0499999999999998</v>
      </c>
      <c r="X894" s="18" t="s">
        <v>615</v>
      </c>
      <c r="Y894" s="18">
        <v>1</v>
      </c>
      <c r="Z894" s="18" t="s">
        <v>9</v>
      </c>
      <c r="AA894" s="18">
        <f>(VLOOKUP(X894,'[1]Simulation pricing per sub assy'!$D:$E,2,0))*Y894</f>
        <v>1.5769808000000001</v>
      </c>
    </row>
    <row r="895" spans="1:27" x14ac:dyDescent="0.35">
      <c r="A895" s="13" t="s">
        <v>369</v>
      </c>
      <c r="B895" s="13" t="s">
        <v>4322</v>
      </c>
      <c r="C895" s="42">
        <f t="shared" si="13"/>
        <v>112.51578079999999</v>
      </c>
      <c r="D895" s="14" t="s">
        <v>42</v>
      </c>
      <c r="E895" s="14">
        <v>1</v>
      </c>
      <c r="F895" s="14" t="s">
        <v>3982</v>
      </c>
      <c r="G895" s="14">
        <f>(VLOOKUP(D895,'[1]BOM Info General'!$A:$L,12,0))*E895</f>
        <v>35.56</v>
      </c>
      <c r="H895" s="15" t="s">
        <v>39</v>
      </c>
      <c r="I895" s="15">
        <v>1</v>
      </c>
      <c r="J895" s="15" t="s">
        <v>46</v>
      </c>
      <c r="K895" s="15">
        <f>(VLOOKUP(H895,'[1]BOM Info General'!$A:$L,12,0))*I895</f>
        <v>24.42</v>
      </c>
      <c r="L895" s="9" t="s">
        <v>78</v>
      </c>
      <c r="M895" s="9">
        <v>1</v>
      </c>
      <c r="N895" s="9" t="s">
        <v>75</v>
      </c>
      <c r="O895" s="9">
        <f>(VLOOKUP(L895,'[1]Simulation pricing per sub assy'!$D:$E,2,0))*M895</f>
        <v>43.608799999999988</v>
      </c>
      <c r="P895" s="16" t="s">
        <v>51</v>
      </c>
      <c r="Q895" s="16">
        <v>2</v>
      </c>
      <c r="R895" s="16" t="s">
        <v>17</v>
      </c>
      <c r="S895" s="40">
        <f>(VLOOKUP(P895,'[1]BOM Info General'!$A:$L,12,0))*Q895</f>
        <v>5.3</v>
      </c>
      <c r="T895" s="17" t="s">
        <v>10</v>
      </c>
      <c r="U895" s="17">
        <v>1</v>
      </c>
      <c r="V895" s="17" t="s">
        <v>11</v>
      </c>
      <c r="W895" s="17">
        <f>(VLOOKUP(T895,'[1]Simulation pricing per sub assy'!$D:$E,2,0))*U895</f>
        <v>2.0499999999999998</v>
      </c>
      <c r="X895" s="18" t="s">
        <v>615</v>
      </c>
      <c r="Y895" s="18">
        <v>1</v>
      </c>
      <c r="Z895" s="18" t="s">
        <v>9</v>
      </c>
      <c r="AA895" s="18">
        <f>(VLOOKUP(X895,'[1]Simulation pricing per sub assy'!$D:$E,2,0))*Y895</f>
        <v>1.5769808000000001</v>
      </c>
    </row>
    <row r="896" spans="1:27" x14ac:dyDescent="0.35">
      <c r="A896" s="13" t="s">
        <v>441</v>
      </c>
      <c r="B896" s="13" t="s">
        <v>4323</v>
      </c>
      <c r="C896" s="42">
        <f t="shared" si="13"/>
        <v>120.18578079999999</v>
      </c>
      <c r="D896" s="14" t="s">
        <v>42</v>
      </c>
      <c r="E896" s="14">
        <v>1</v>
      </c>
      <c r="F896" s="14" t="s">
        <v>3982</v>
      </c>
      <c r="G896" s="14">
        <f>(VLOOKUP(D896,'[1]BOM Info General'!$A:$L,12,0))*E896</f>
        <v>35.56</v>
      </c>
      <c r="H896" s="15" t="s">
        <v>39</v>
      </c>
      <c r="I896" s="15">
        <v>1</v>
      </c>
      <c r="J896" s="15" t="s">
        <v>46</v>
      </c>
      <c r="K896" s="15">
        <f>(VLOOKUP(H896,'[1]BOM Info General'!$A:$L,12,0))*I896</f>
        <v>24.42</v>
      </c>
      <c r="L896" s="9" t="s">
        <v>74</v>
      </c>
      <c r="M896" s="9">
        <v>1</v>
      </c>
      <c r="N896" s="9" t="s">
        <v>77</v>
      </c>
      <c r="O896" s="9">
        <f>(VLOOKUP(L896,'[1]Simulation pricing per sub assy'!$D:$E,2,0))*M896</f>
        <v>51.27879999999999</v>
      </c>
      <c r="P896" s="16" t="s">
        <v>51</v>
      </c>
      <c r="Q896" s="16">
        <v>2</v>
      </c>
      <c r="R896" s="16" t="s">
        <v>17</v>
      </c>
      <c r="S896" s="40">
        <f>(VLOOKUP(P896,'[1]BOM Info General'!$A:$L,12,0))*Q896</f>
        <v>5.3</v>
      </c>
      <c r="T896" s="17" t="s">
        <v>10</v>
      </c>
      <c r="U896" s="17">
        <v>1</v>
      </c>
      <c r="V896" s="17" t="s">
        <v>11</v>
      </c>
      <c r="W896" s="17">
        <f>(VLOOKUP(T896,'[1]Simulation pricing per sub assy'!$D:$E,2,0))*U896</f>
        <v>2.0499999999999998</v>
      </c>
      <c r="X896" s="18" t="s">
        <v>615</v>
      </c>
      <c r="Y896" s="18">
        <v>1</v>
      </c>
      <c r="Z896" s="18" t="s">
        <v>9</v>
      </c>
      <c r="AA896" s="18">
        <f>(VLOOKUP(X896,'[1]Simulation pricing per sub assy'!$D:$E,2,0))*Y896</f>
        <v>1.5769808000000001</v>
      </c>
    </row>
    <row r="897" spans="1:27" x14ac:dyDescent="0.35">
      <c r="A897" s="13" t="s">
        <v>478</v>
      </c>
      <c r="B897" s="13" t="s">
        <v>4324</v>
      </c>
      <c r="C897" s="42">
        <f t="shared" si="13"/>
        <v>111.0657808</v>
      </c>
      <c r="D897" s="14" t="s">
        <v>42</v>
      </c>
      <c r="E897" s="14">
        <v>1</v>
      </c>
      <c r="F897" s="14" t="s">
        <v>3982</v>
      </c>
      <c r="G897" s="14">
        <f>(VLOOKUP(D897,'[1]BOM Info General'!$A:$L,12,0))*E897</f>
        <v>35.56</v>
      </c>
      <c r="H897" s="15" t="s">
        <v>39</v>
      </c>
      <c r="I897" s="15">
        <v>1</v>
      </c>
      <c r="J897" s="15" t="s">
        <v>46</v>
      </c>
      <c r="K897" s="15">
        <f>(VLOOKUP(H897,'[1]BOM Info General'!$A:$L,12,0))*I897</f>
        <v>24.42</v>
      </c>
      <c r="L897" s="9" t="s">
        <v>527</v>
      </c>
      <c r="M897" s="9">
        <v>1</v>
      </c>
      <c r="N897" s="9" t="s">
        <v>79</v>
      </c>
      <c r="O897" s="9">
        <f>(VLOOKUP(L897,'[1]Simulation pricing per sub assy'!$D:$E,2,0))*M897</f>
        <v>42.308799999999991</v>
      </c>
      <c r="P897" s="16" t="s">
        <v>51</v>
      </c>
      <c r="Q897" s="16">
        <v>2</v>
      </c>
      <c r="R897" s="16" t="s">
        <v>17</v>
      </c>
      <c r="S897" s="40">
        <f>(VLOOKUP(P897,'[1]BOM Info General'!$A:$L,12,0))*Q897</f>
        <v>5.3</v>
      </c>
      <c r="T897" s="17" t="s">
        <v>12</v>
      </c>
      <c r="U897" s="17">
        <v>1</v>
      </c>
      <c r="V897" s="17" t="s">
        <v>13</v>
      </c>
      <c r="W897" s="17">
        <f>(VLOOKUP(T897,'[1]Simulation pricing per sub assy'!$D:$E,2,0))*U897</f>
        <v>1.9</v>
      </c>
      <c r="X897" s="18" t="s">
        <v>615</v>
      </c>
      <c r="Y897" s="18">
        <v>1</v>
      </c>
      <c r="Z897" s="18" t="s">
        <v>9</v>
      </c>
      <c r="AA897" s="18">
        <f>(VLOOKUP(X897,'[1]Simulation pricing per sub assy'!$D:$E,2,0))*Y897</f>
        <v>1.5769808000000001</v>
      </c>
    </row>
    <row r="898" spans="1:27" x14ac:dyDescent="0.35">
      <c r="A898" s="13" t="s">
        <v>334</v>
      </c>
      <c r="B898" s="13" t="s">
        <v>4325</v>
      </c>
      <c r="C898" s="42">
        <f t="shared" si="13"/>
        <v>112.0457808</v>
      </c>
      <c r="D898" s="14" t="s">
        <v>42</v>
      </c>
      <c r="E898" s="14">
        <v>1</v>
      </c>
      <c r="F898" s="14" t="s">
        <v>3982</v>
      </c>
      <c r="G898" s="14">
        <f>(VLOOKUP(D898,'[1]BOM Info General'!$A:$L,12,0))*E898</f>
        <v>35.56</v>
      </c>
      <c r="H898" s="15" t="s">
        <v>39</v>
      </c>
      <c r="I898" s="15">
        <v>1</v>
      </c>
      <c r="J898" s="15" t="s">
        <v>46</v>
      </c>
      <c r="K898" s="15">
        <f>(VLOOKUP(H898,'[1]BOM Info General'!$A:$L,12,0))*I898</f>
        <v>24.42</v>
      </c>
      <c r="L898" s="9" t="s">
        <v>76</v>
      </c>
      <c r="M898" s="9">
        <v>1</v>
      </c>
      <c r="N898" s="9" t="s">
        <v>73</v>
      </c>
      <c r="O898" s="9">
        <f>(VLOOKUP(L898,'[1]Simulation pricing per sub assy'!$D:$E,2,0))*M898</f>
        <v>43.288799999999988</v>
      </c>
      <c r="P898" s="16" t="s">
        <v>51</v>
      </c>
      <c r="Q898" s="16">
        <v>2</v>
      </c>
      <c r="R898" s="16" t="s">
        <v>17</v>
      </c>
      <c r="S898" s="40">
        <f>(VLOOKUP(P898,'[1]BOM Info General'!$A:$L,12,0))*Q898</f>
        <v>5.3</v>
      </c>
      <c r="T898" s="17" t="s">
        <v>12</v>
      </c>
      <c r="U898" s="17">
        <v>1</v>
      </c>
      <c r="V898" s="17" t="s">
        <v>13</v>
      </c>
      <c r="W898" s="17">
        <f>(VLOOKUP(T898,'[1]Simulation pricing per sub assy'!$D:$E,2,0))*U898</f>
        <v>1.9</v>
      </c>
      <c r="X898" s="18" t="s">
        <v>615</v>
      </c>
      <c r="Y898" s="18">
        <v>1</v>
      </c>
      <c r="Z898" s="18" t="s">
        <v>9</v>
      </c>
      <c r="AA898" s="18">
        <f>(VLOOKUP(X898,'[1]Simulation pricing per sub assy'!$D:$E,2,0))*Y898</f>
        <v>1.5769808000000001</v>
      </c>
    </row>
    <row r="899" spans="1:27" x14ac:dyDescent="0.35">
      <c r="A899" s="13" t="s">
        <v>406</v>
      </c>
      <c r="B899" s="13" t="s">
        <v>4326</v>
      </c>
      <c r="C899" s="42">
        <f t="shared" ref="C899:C962" si="14">SUM(G899+K899+O899+S899+W899+AA899)</f>
        <v>112.6257808</v>
      </c>
      <c r="D899" s="14" t="s">
        <v>42</v>
      </c>
      <c r="E899" s="14">
        <v>1</v>
      </c>
      <c r="F899" s="14" t="s">
        <v>3982</v>
      </c>
      <c r="G899" s="14">
        <f>(VLOOKUP(D899,'[1]BOM Info General'!$A:$L,12,0))*E899</f>
        <v>35.56</v>
      </c>
      <c r="H899" s="15" t="s">
        <v>39</v>
      </c>
      <c r="I899" s="15">
        <v>1</v>
      </c>
      <c r="J899" s="15" t="s">
        <v>46</v>
      </c>
      <c r="K899" s="15">
        <f>(VLOOKUP(H899,'[1]BOM Info General'!$A:$L,12,0))*I899</f>
        <v>24.42</v>
      </c>
      <c r="L899" s="9" t="s">
        <v>72</v>
      </c>
      <c r="M899" s="9">
        <v>1</v>
      </c>
      <c r="N899" s="9" t="s">
        <v>71</v>
      </c>
      <c r="O899" s="9">
        <f>(VLOOKUP(L899,'[1]Simulation pricing per sub assy'!$D:$E,2,0))*M899</f>
        <v>43.868799999999993</v>
      </c>
      <c r="P899" s="16" t="s">
        <v>51</v>
      </c>
      <c r="Q899" s="16">
        <v>2</v>
      </c>
      <c r="R899" s="16" t="s">
        <v>17</v>
      </c>
      <c r="S899" s="40">
        <f>(VLOOKUP(P899,'[1]BOM Info General'!$A:$L,12,0))*Q899</f>
        <v>5.3</v>
      </c>
      <c r="T899" s="17" t="s">
        <v>12</v>
      </c>
      <c r="U899" s="17">
        <v>1</v>
      </c>
      <c r="V899" s="17" t="s">
        <v>13</v>
      </c>
      <c r="W899" s="17">
        <f>(VLOOKUP(T899,'[1]Simulation pricing per sub assy'!$D:$E,2,0))*U899</f>
        <v>1.9</v>
      </c>
      <c r="X899" s="18" t="s">
        <v>615</v>
      </c>
      <c r="Y899" s="18">
        <v>1</v>
      </c>
      <c r="Z899" s="18" t="s">
        <v>9</v>
      </c>
      <c r="AA899" s="18">
        <f>(VLOOKUP(X899,'[1]Simulation pricing per sub assy'!$D:$E,2,0))*Y899</f>
        <v>1.5769808000000001</v>
      </c>
    </row>
    <row r="900" spans="1:27" x14ac:dyDescent="0.35">
      <c r="A900" s="13" t="s">
        <v>370</v>
      </c>
      <c r="B900" s="13" t="s">
        <v>4327</v>
      </c>
      <c r="C900" s="42">
        <f t="shared" si="14"/>
        <v>112.3657808</v>
      </c>
      <c r="D900" s="14" t="s">
        <v>42</v>
      </c>
      <c r="E900" s="14">
        <v>1</v>
      </c>
      <c r="F900" s="14" t="s">
        <v>3982</v>
      </c>
      <c r="G900" s="14">
        <f>(VLOOKUP(D900,'[1]BOM Info General'!$A:$L,12,0))*E900</f>
        <v>35.56</v>
      </c>
      <c r="H900" s="15" t="s">
        <v>39</v>
      </c>
      <c r="I900" s="15">
        <v>1</v>
      </c>
      <c r="J900" s="15" t="s">
        <v>46</v>
      </c>
      <c r="K900" s="15">
        <f>(VLOOKUP(H900,'[1]BOM Info General'!$A:$L,12,0))*I900</f>
        <v>24.42</v>
      </c>
      <c r="L900" s="9" t="s">
        <v>78</v>
      </c>
      <c r="M900" s="9">
        <v>1</v>
      </c>
      <c r="N900" s="9" t="s">
        <v>75</v>
      </c>
      <c r="O900" s="9">
        <f>(VLOOKUP(L900,'[1]Simulation pricing per sub assy'!$D:$E,2,0))*M900</f>
        <v>43.608799999999988</v>
      </c>
      <c r="P900" s="16" t="s">
        <v>51</v>
      </c>
      <c r="Q900" s="16">
        <v>2</v>
      </c>
      <c r="R900" s="16" t="s">
        <v>17</v>
      </c>
      <c r="S900" s="40">
        <f>(VLOOKUP(P900,'[1]BOM Info General'!$A:$L,12,0))*Q900</f>
        <v>5.3</v>
      </c>
      <c r="T900" s="17" t="s">
        <v>12</v>
      </c>
      <c r="U900" s="17">
        <v>1</v>
      </c>
      <c r="V900" s="17" t="s">
        <v>13</v>
      </c>
      <c r="W900" s="17">
        <f>(VLOOKUP(T900,'[1]Simulation pricing per sub assy'!$D:$E,2,0))*U900</f>
        <v>1.9</v>
      </c>
      <c r="X900" s="18" t="s">
        <v>615</v>
      </c>
      <c r="Y900" s="18">
        <v>1</v>
      </c>
      <c r="Z900" s="18" t="s">
        <v>9</v>
      </c>
      <c r="AA900" s="18">
        <f>(VLOOKUP(X900,'[1]Simulation pricing per sub assy'!$D:$E,2,0))*Y900</f>
        <v>1.5769808000000001</v>
      </c>
    </row>
    <row r="901" spans="1:27" x14ac:dyDescent="0.35">
      <c r="A901" s="13" t="s">
        <v>442</v>
      </c>
      <c r="B901" s="13" t="s">
        <v>4328</v>
      </c>
      <c r="C901" s="42">
        <f t="shared" si="14"/>
        <v>120.0357808</v>
      </c>
      <c r="D901" s="14" t="s">
        <v>42</v>
      </c>
      <c r="E901" s="14">
        <v>1</v>
      </c>
      <c r="F901" s="14" t="s">
        <v>3982</v>
      </c>
      <c r="G901" s="14">
        <f>(VLOOKUP(D901,'[1]BOM Info General'!$A:$L,12,0))*E901</f>
        <v>35.56</v>
      </c>
      <c r="H901" s="15" t="s">
        <v>39</v>
      </c>
      <c r="I901" s="15">
        <v>1</v>
      </c>
      <c r="J901" s="15" t="s">
        <v>46</v>
      </c>
      <c r="K901" s="15">
        <f>(VLOOKUP(H901,'[1]BOM Info General'!$A:$L,12,0))*I901</f>
        <v>24.42</v>
      </c>
      <c r="L901" s="9" t="s">
        <v>74</v>
      </c>
      <c r="M901" s="9">
        <v>1</v>
      </c>
      <c r="N901" s="9" t="s">
        <v>77</v>
      </c>
      <c r="O901" s="9">
        <f>(VLOOKUP(L901,'[1]Simulation pricing per sub assy'!$D:$E,2,0))*M901</f>
        <v>51.27879999999999</v>
      </c>
      <c r="P901" s="16" t="s">
        <v>51</v>
      </c>
      <c r="Q901" s="16">
        <v>2</v>
      </c>
      <c r="R901" s="16" t="s">
        <v>17</v>
      </c>
      <c r="S901" s="40">
        <f>(VLOOKUP(P901,'[1]BOM Info General'!$A:$L,12,0))*Q901</f>
        <v>5.3</v>
      </c>
      <c r="T901" s="17" t="s">
        <v>12</v>
      </c>
      <c r="U901" s="17">
        <v>1</v>
      </c>
      <c r="V901" s="17" t="s">
        <v>13</v>
      </c>
      <c r="W901" s="17">
        <f>(VLOOKUP(T901,'[1]Simulation pricing per sub assy'!$D:$E,2,0))*U901</f>
        <v>1.9</v>
      </c>
      <c r="X901" s="18" t="s">
        <v>615</v>
      </c>
      <c r="Y901" s="18">
        <v>1</v>
      </c>
      <c r="Z901" s="18" t="s">
        <v>9</v>
      </c>
      <c r="AA901" s="18">
        <f>(VLOOKUP(X901,'[1]Simulation pricing per sub assy'!$D:$E,2,0))*Y901</f>
        <v>1.5769808000000001</v>
      </c>
    </row>
    <row r="902" spans="1:27" x14ac:dyDescent="0.35">
      <c r="A902" s="13" t="s">
        <v>479</v>
      </c>
      <c r="B902" s="13" t="s">
        <v>4329</v>
      </c>
      <c r="C902" s="42">
        <f t="shared" si="14"/>
        <v>111.0657808</v>
      </c>
      <c r="D902" s="14" t="s">
        <v>42</v>
      </c>
      <c r="E902" s="14">
        <v>1</v>
      </c>
      <c r="F902" s="14" t="s">
        <v>3982</v>
      </c>
      <c r="G902" s="14">
        <f>(VLOOKUP(D902,'[1]BOM Info General'!$A:$L,12,0))*E902</f>
        <v>35.56</v>
      </c>
      <c r="H902" s="15" t="s">
        <v>39</v>
      </c>
      <c r="I902" s="15">
        <v>1</v>
      </c>
      <c r="J902" s="15" t="s">
        <v>46</v>
      </c>
      <c r="K902" s="15">
        <f>(VLOOKUP(H902,'[1]BOM Info General'!$A:$L,12,0))*I902</f>
        <v>24.42</v>
      </c>
      <c r="L902" s="9" t="s">
        <v>527</v>
      </c>
      <c r="M902" s="9">
        <v>1</v>
      </c>
      <c r="N902" s="9" t="s">
        <v>79</v>
      </c>
      <c r="O902" s="9">
        <f>(VLOOKUP(L902,'[1]Simulation pricing per sub assy'!$D:$E,2,0))*M902</f>
        <v>42.308799999999991</v>
      </c>
      <c r="P902" s="16" t="s">
        <v>51</v>
      </c>
      <c r="Q902" s="16">
        <v>2</v>
      </c>
      <c r="R902" s="16" t="s">
        <v>17</v>
      </c>
      <c r="S902" s="40">
        <f>(VLOOKUP(P902,'[1]BOM Info General'!$A:$L,12,0))*Q902</f>
        <v>5.3</v>
      </c>
      <c r="T902" s="17" t="s">
        <v>14</v>
      </c>
      <c r="U902" s="17">
        <v>1</v>
      </c>
      <c r="V902" s="17" t="s">
        <v>15</v>
      </c>
      <c r="W902" s="17">
        <f>(VLOOKUP(T902,'[1]Simulation pricing per sub assy'!$D:$E,2,0))*U902</f>
        <v>1.9</v>
      </c>
      <c r="X902" s="18" t="s">
        <v>615</v>
      </c>
      <c r="Y902" s="18">
        <v>1</v>
      </c>
      <c r="Z902" s="18" t="s">
        <v>9</v>
      </c>
      <c r="AA902" s="18">
        <f>(VLOOKUP(X902,'[1]Simulation pricing per sub assy'!$D:$E,2,0))*Y902</f>
        <v>1.5769808000000001</v>
      </c>
    </row>
    <row r="903" spans="1:27" x14ac:dyDescent="0.35">
      <c r="A903" s="13" t="s">
        <v>335</v>
      </c>
      <c r="B903" s="13" t="s">
        <v>4330</v>
      </c>
      <c r="C903" s="42">
        <f t="shared" si="14"/>
        <v>112.0457808</v>
      </c>
      <c r="D903" s="14" t="s">
        <v>42</v>
      </c>
      <c r="E903" s="14">
        <v>1</v>
      </c>
      <c r="F903" s="14" t="s">
        <v>3982</v>
      </c>
      <c r="G903" s="14">
        <f>(VLOOKUP(D903,'[1]BOM Info General'!$A:$L,12,0))*E903</f>
        <v>35.56</v>
      </c>
      <c r="H903" s="15" t="s">
        <v>39</v>
      </c>
      <c r="I903" s="15">
        <v>1</v>
      </c>
      <c r="J903" s="15" t="s">
        <v>46</v>
      </c>
      <c r="K903" s="15">
        <f>(VLOOKUP(H903,'[1]BOM Info General'!$A:$L,12,0))*I903</f>
        <v>24.42</v>
      </c>
      <c r="L903" s="9" t="s">
        <v>76</v>
      </c>
      <c r="M903" s="9">
        <v>1</v>
      </c>
      <c r="N903" s="9" t="s">
        <v>73</v>
      </c>
      <c r="O903" s="9">
        <f>(VLOOKUP(L903,'[1]Simulation pricing per sub assy'!$D:$E,2,0))*M903</f>
        <v>43.288799999999988</v>
      </c>
      <c r="P903" s="16" t="s">
        <v>51</v>
      </c>
      <c r="Q903" s="16">
        <v>2</v>
      </c>
      <c r="R903" s="16" t="s">
        <v>17</v>
      </c>
      <c r="S903" s="40">
        <f>(VLOOKUP(P903,'[1]BOM Info General'!$A:$L,12,0))*Q903</f>
        <v>5.3</v>
      </c>
      <c r="T903" s="17" t="s">
        <v>14</v>
      </c>
      <c r="U903" s="17">
        <v>1</v>
      </c>
      <c r="V903" s="17" t="s">
        <v>15</v>
      </c>
      <c r="W903" s="17">
        <f>(VLOOKUP(T903,'[1]Simulation pricing per sub assy'!$D:$E,2,0))*U903</f>
        <v>1.9</v>
      </c>
      <c r="X903" s="18" t="s">
        <v>615</v>
      </c>
      <c r="Y903" s="18">
        <v>1</v>
      </c>
      <c r="Z903" s="18" t="s">
        <v>9</v>
      </c>
      <c r="AA903" s="18">
        <f>(VLOOKUP(X903,'[1]Simulation pricing per sub assy'!$D:$E,2,0))*Y903</f>
        <v>1.5769808000000001</v>
      </c>
    </row>
    <row r="904" spans="1:27" x14ac:dyDescent="0.35">
      <c r="A904" s="13" t="s">
        <v>407</v>
      </c>
      <c r="B904" s="13" t="s">
        <v>4331</v>
      </c>
      <c r="C904" s="42">
        <f t="shared" si="14"/>
        <v>112.6257808</v>
      </c>
      <c r="D904" s="14" t="s">
        <v>42</v>
      </c>
      <c r="E904" s="14">
        <v>1</v>
      </c>
      <c r="F904" s="14" t="s">
        <v>3982</v>
      </c>
      <c r="G904" s="14">
        <f>(VLOOKUP(D904,'[1]BOM Info General'!$A:$L,12,0))*E904</f>
        <v>35.56</v>
      </c>
      <c r="H904" s="15" t="s">
        <v>39</v>
      </c>
      <c r="I904" s="15">
        <v>1</v>
      </c>
      <c r="J904" s="15" t="s">
        <v>46</v>
      </c>
      <c r="K904" s="15">
        <f>(VLOOKUP(H904,'[1]BOM Info General'!$A:$L,12,0))*I904</f>
        <v>24.42</v>
      </c>
      <c r="L904" s="9" t="s">
        <v>72</v>
      </c>
      <c r="M904" s="9">
        <v>1</v>
      </c>
      <c r="N904" s="9" t="s">
        <v>71</v>
      </c>
      <c r="O904" s="9">
        <f>(VLOOKUP(L904,'[1]Simulation pricing per sub assy'!$D:$E,2,0))*M904</f>
        <v>43.868799999999993</v>
      </c>
      <c r="P904" s="16" t="s">
        <v>51</v>
      </c>
      <c r="Q904" s="16">
        <v>2</v>
      </c>
      <c r="R904" s="16" t="s">
        <v>17</v>
      </c>
      <c r="S904" s="40">
        <f>(VLOOKUP(P904,'[1]BOM Info General'!$A:$L,12,0))*Q904</f>
        <v>5.3</v>
      </c>
      <c r="T904" s="17" t="s">
        <v>14</v>
      </c>
      <c r="U904" s="17">
        <v>1</v>
      </c>
      <c r="V904" s="17" t="s">
        <v>15</v>
      </c>
      <c r="W904" s="17">
        <f>(VLOOKUP(T904,'[1]Simulation pricing per sub assy'!$D:$E,2,0))*U904</f>
        <v>1.9</v>
      </c>
      <c r="X904" s="18" t="s">
        <v>615</v>
      </c>
      <c r="Y904" s="18">
        <v>1</v>
      </c>
      <c r="Z904" s="18" t="s">
        <v>9</v>
      </c>
      <c r="AA904" s="18">
        <f>(VLOOKUP(X904,'[1]Simulation pricing per sub assy'!$D:$E,2,0))*Y904</f>
        <v>1.5769808000000001</v>
      </c>
    </row>
    <row r="905" spans="1:27" x14ac:dyDescent="0.35">
      <c r="A905" s="13" t="s">
        <v>371</v>
      </c>
      <c r="B905" s="13" t="s">
        <v>4332</v>
      </c>
      <c r="C905" s="42">
        <f t="shared" si="14"/>
        <v>112.3657808</v>
      </c>
      <c r="D905" s="14" t="s">
        <v>42</v>
      </c>
      <c r="E905" s="14">
        <v>1</v>
      </c>
      <c r="F905" s="14" t="s">
        <v>3982</v>
      </c>
      <c r="G905" s="14">
        <f>(VLOOKUP(D905,'[1]BOM Info General'!$A:$L,12,0))*E905</f>
        <v>35.56</v>
      </c>
      <c r="H905" s="15" t="s">
        <v>39</v>
      </c>
      <c r="I905" s="15">
        <v>1</v>
      </c>
      <c r="J905" s="15" t="s">
        <v>46</v>
      </c>
      <c r="K905" s="15">
        <f>(VLOOKUP(H905,'[1]BOM Info General'!$A:$L,12,0))*I905</f>
        <v>24.42</v>
      </c>
      <c r="L905" s="9" t="s">
        <v>78</v>
      </c>
      <c r="M905" s="9">
        <v>1</v>
      </c>
      <c r="N905" s="9" t="s">
        <v>75</v>
      </c>
      <c r="O905" s="9">
        <f>(VLOOKUP(L905,'[1]Simulation pricing per sub assy'!$D:$E,2,0))*M905</f>
        <v>43.608799999999988</v>
      </c>
      <c r="P905" s="16" t="s">
        <v>51</v>
      </c>
      <c r="Q905" s="16">
        <v>2</v>
      </c>
      <c r="R905" s="16" t="s">
        <v>17</v>
      </c>
      <c r="S905" s="40">
        <f>(VLOOKUP(P905,'[1]BOM Info General'!$A:$L,12,0))*Q905</f>
        <v>5.3</v>
      </c>
      <c r="T905" s="17" t="s">
        <v>14</v>
      </c>
      <c r="U905" s="17">
        <v>1</v>
      </c>
      <c r="V905" s="17" t="s">
        <v>15</v>
      </c>
      <c r="W905" s="17">
        <f>(VLOOKUP(T905,'[1]Simulation pricing per sub assy'!$D:$E,2,0))*U905</f>
        <v>1.9</v>
      </c>
      <c r="X905" s="18" t="s">
        <v>615</v>
      </c>
      <c r="Y905" s="18">
        <v>1</v>
      </c>
      <c r="Z905" s="18" t="s">
        <v>9</v>
      </c>
      <c r="AA905" s="18">
        <f>(VLOOKUP(X905,'[1]Simulation pricing per sub assy'!$D:$E,2,0))*Y905</f>
        <v>1.5769808000000001</v>
      </c>
    </row>
    <row r="906" spans="1:27" x14ac:dyDescent="0.35">
      <c r="A906" s="13" t="s">
        <v>443</v>
      </c>
      <c r="B906" s="13" t="s">
        <v>4333</v>
      </c>
      <c r="C906" s="42">
        <f t="shared" si="14"/>
        <v>120.0357808</v>
      </c>
      <c r="D906" s="14" t="s">
        <v>42</v>
      </c>
      <c r="E906" s="14">
        <v>1</v>
      </c>
      <c r="F906" s="14" t="s">
        <v>3982</v>
      </c>
      <c r="G906" s="14">
        <f>(VLOOKUP(D906,'[1]BOM Info General'!$A:$L,12,0))*E906</f>
        <v>35.56</v>
      </c>
      <c r="H906" s="15" t="s">
        <v>39</v>
      </c>
      <c r="I906" s="15">
        <v>1</v>
      </c>
      <c r="J906" s="15" t="s">
        <v>46</v>
      </c>
      <c r="K906" s="15">
        <f>(VLOOKUP(H906,'[1]BOM Info General'!$A:$L,12,0))*I906</f>
        <v>24.42</v>
      </c>
      <c r="L906" s="9" t="s">
        <v>74</v>
      </c>
      <c r="M906" s="9">
        <v>1</v>
      </c>
      <c r="N906" s="9" t="s">
        <v>77</v>
      </c>
      <c r="O906" s="9">
        <f>(VLOOKUP(L906,'[1]Simulation pricing per sub assy'!$D:$E,2,0))*M906</f>
        <v>51.27879999999999</v>
      </c>
      <c r="P906" s="16" t="s">
        <v>51</v>
      </c>
      <c r="Q906" s="16">
        <v>2</v>
      </c>
      <c r="R906" s="16" t="s">
        <v>17</v>
      </c>
      <c r="S906" s="40">
        <f>(VLOOKUP(P906,'[1]BOM Info General'!$A:$L,12,0))*Q906</f>
        <v>5.3</v>
      </c>
      <c r="T906" s="17" t="s">
        <v>14</v>
      </c>
      <c r="U906" s="17">
        <v>1</v>
      </c>
      <c r="V906" s="17" t="s">
        <v>15</v>
      </c>
      <c r="W906" s="17">
        <f>(VLOOKUP(T906,'[1]Simulation pricing per sub assy'!$D:$E,2,0))*U906</f>
        <v>1.9</v>
      </c>
      <c r="X906" s="18" t="s">
        <v>615</v>
      </c>
      <c r="Y906" s="18">
        <v>1</v>
      </c>
      <c r="Z906" s="18" t="s">
        <v>9</v>
      </c>
      <c r="AA906" s="18">
        <f>(VLOOKUP(X906,'[1]Simulation pricing per sub assy'!$D:$E,2,0))*Y906</f>
        <v>1.5769808000000001</v>
      </c>
    </row>
    <row r="907" spans="1:27" x14ac:dyDescent="0.35">
      <c r="A907" s="13" t="s">
        <v>480</v>
      </c>
      <c r="B907" s="13" t="s">
        <v>4334</v>
      </c>
      <c r="C907" s="42">
        <f t="shared" si="14"/>
        <v>111.21578079999999</v>
      </c>
      <c r="D907" s="14" t="s">
        <v>42</v>
      </c>
      <c r="E907" s="14">
        <v>1</v>
      </c>
      <c r="F907" s="14" t="s">
        <v>3982</v>
      </c>
      <c r="G907" s="14">
        <f>(VLOOKUP(D907,'[1]BOM Info General'!$A:$L,12,0))*E907</f>
        <v>35.56</v>
      </c>
      <c r="H907" s="15" t="s">
        <v>39</v>
      </c>
      <c r="I907" s="15">
        <v>1</v>
      </c>
      <c r="J907" s="15" t="s">
        <v>46</v>
      </c>
      <c r="K907" s="15">
        <f>(VLOOKUP(H907,'[1]BOM Info General'!$A:$L,12,0))*I907</f>
        <v>24.42</v>
      </c>
      <c r="L907" s="9" t="s">
        <v>527</v>
      </c>
      <c r="M907" s="9">
        <v>1</v>
      </c>
      <c r="N907" s="9" t="s">
        <v>79</v>
      </c>
      <c r="O907" s="9">
        <f>(VLOOKUP(L907,'[1]Simulation pricing per sub assy'!$D:$E,2,0))*M907</f>
        <v>42.308799999999991</v>
      </c>
      <c r="P907" s="16" t="s">
        <v>52</v>
      </c>
      <c r="Q907" s="16">
        <v>2</v>
      </c>
      <c r="R907" s="16" t="s">
        <v>18</v>
      </c>
      <c r="S907" s="40">
        <f>(VLOOKUP(P907,'[1]BOM Info General'!$A:$L,12,0))*Q907</f>
        <v>5.3</v>
      </c>
      <c r="T907" s="17" t="s">
        <v>10</v>
      </c>
      <c r="U907" s="17">
        <v>1</v>
      </c>
      <c r="V907" s="17" t="s">
        <v>11</v>
      </c>
      <c r="W907" s="17">
        <f>(VLOOKUP(T907,'[1]Simulation pricing per sub assy'!$D:$E,2,0))*U907</f>
        <v>2.0499999999999998</v>
      </c>
      <c r="X907" s="18" t="s">
        <v>615</v>
      </c>
      <c r="Y907" s="18">
        <v>1</v>
      </c>
      <c r="Z907" s="18" t="s">
        <v>9</v>
      </c>
      <c r="AA907" s="18">
        <f>(VLOOKUP(X907,'[1]Simulation pricing per sub assy'!$D:$E,2,0))*Y907</f>
        <v>1.5769808000000001</v>
      </c>
    </row>
    <row r="908" spans="1:27" x14ac:dyDescent="0.35">
      <c r="A908" s="13" t="s">
        <v>336</v>
      </c>
      <c r="B908" s="13" t="s">
        <v>4335</v>
      </c>
      <c r="C908" s="42">
        <f t="shared" si="14"/>
        <v>112.19578079999999</v>
      </c>
      <c r="D908" s="14" t="s">
        <v>42</v>
      </c>
      <c r="E908" s="14">
        <v>1</v>
      </c>
      <c r="F908" s="14" t="s">
        <v>3982</v>
      </c>
      <c r="G908" s="14">
        <f>(VLOOKUP(D908,'[1]BOM Info General'!$A:$L,12,0))*E908</f>
        <v>35.56</v>
      </c>
      <c r="H908" s="15" t="s">
        <v>39</v>
      </c>
      <c r="I908" s="15">
        <v>1</v>
      </c>
      <c r="J908" s="15" t="s">
        <v>46</v>
      </c>
      <c r="K908" s="15">
        <f>(VLOOKUP(H908,'[1]BOM Info General'!$A:$L,12,0))*I908</f>
        <v>24.42</v>
      </c>
      <c r="L908" s="9" t="s">
        <v>76</v>
      </c>
      <c r="M908" s="9">
        <v>1</v>
      </c>
      <c r="N908" s="9" t="s">
        <v>73</v>
      </c>
      <c r="O908" s="9">
        <f>(VLOOKUP(L908,'[1]Simulation pricing per sub assy'!$D:$E,2,0))*M908</f>
        <v>43.288799999999988</v>
      </c>
      <c r="P908" s="16" t="s">
        <v>52</v>
      </c>
      <c r="Q908" s="16">
        <v>2</v>
      </c>
      <c r="R908" s="16" t="s">
        <v>18</v>
      </c>
      <c r="S908" s="40">
        <f>(VLOOKUP(P908,'[1]BOM Info General'!$A:$L,12,0))*Q908</f>
        <v>5.3</v>
      </c>
      <c r="T908" s="17" t="s">
        <v>10</v>
      </c>
      <c r="U908" s="17">
        <v>1</v>
      </c>
      <c r="V908" s="17" t="s">
        <v>11</v>
      </c>
      <c r="W908" s="17">
        <f>(VLOOKUP(T908,'[1]Simulation pricing per sub assy'!$D:$E,2,0))*U908</f>
        <v>2.0499999999999998</v>
      </c>
      <c r="X908" s="18" t="s">
        <v>615</v>
      </c>
      <c r="Y908" s="18">
        <v>1</v>
      </c>
      <c r="Z908" s="18" t="s">
        <v>9</v>
      </c>
      <c r="AA908" s="18">
        <f>(VLOOKUP(X908,'[1]Simulation pricing per sub assy'!$D:$E,2,0))*Y908</f>
        <v>1.5769808000000001</v>
      </c>
    </row>
    <row r="909" spans="1:27" x14ac:dyDescent="0.35">
      <c r="A909" s="13" t="s">
        <v>408</v>
      </c>
      <c r="B909" s="13" t="s">
        <v>4336</v>
      </c>
      <c r="C909" s="42">
        <f t="shared" si="14"/>
        <v>112.77578079999999</v>
      </c>
      <c r="D909" s="14" t="s">
        <v>42</v>
      </c>
      <c r="E909" s="14">
        <v>1</v>
      </c>
      <c r="F909" s="14" t="s">
        <v>3982</v>
      </c>
      <c r="G909" s="14">
        <f>(VLOOKUP(D909,'[1]BOM Info General'!$A:$L,12,0))*E909</f>
        <v>35.56</v>
      </c>
      <c r="H909" s="15" t="s">
        <v>39</v>
      </c>
      <c r="I909" s="15">
        <v>1</v>
      </c>
      <c r="J909" s="15" t="s">
        <v>46</v>
      </c>
      <c r="K909" s="15">
        <f>(VLOOKUP(H909,'[1]BOM Info General'!$A:$L,12,0))*I909</f>
        <v>24.42</v>
      </c>
      <c r="L909" s="9" t="s">
        <v>72</v>
      </c>
      <c r="M909" s="9">
        <v>1</v>
      </c>
      <c r="N909" s="9" t="s">
        <v>71</v>
      </c>
      <c r="O909" s="9">
        <f>(VLOOKUP(L909,'[1]Simulation pricing per sub assy'!$D:$E,2,0))*M909</f>
        <v>43.868799999999993</v>
      </c>
      <c r="P909" s="16" t="s">
        <v>52</v>
      </c>
      <c r="Q909" s="16">
        <v>2</v>
      </c>
      <c r="R909" s="16" t="s">
        <v>18</v>
      </c>
      <c r="S909" s="40">
        <f>(VLOOKUP(P909,'[1]BOM Info General'!$A:$L,12,0))*Q909</f>
        <v>5.3</v>
      </c>
      <c r="T909" s="17" t="s">
        <v>10</v>
      </c>
      <c r="U909" s="17">
        <v>1</v>
      </c>
      <c r="V909" s="17" t="s">
        <v>11</v>
      </c>
      <c r="W909" s="17">
        <f>(VLOOKUP(T909,'[1]Simulation pricing per sub assy'!$D:$E,2,0))*U909</f>
        <v>2.0499999999999998</v>
      </c>
      <c r="X909" s="18" t="s">
        <v>615</v>
      </c>
      <c r="Y909" s="18">
        <v>1</v>
      </c>
      <c r="Z909" s="18" t="s">
        <v>9</v>
      </c>
      <c r="AA909" s="18">
        <f>(VLOOKUP(X909,'[1]Simulation pricing per sub assy'!$D:$E,2,0))*Y909</f>
        <v>1.5769808000000001</v>
      </c>
    </row>
    <row r="910" spans="1:27" x14ac:dyDescent="0.35">
      <c r="A910" s="13" t="s">
        <v>372</v>
      </c>
      <c r="B910" s="13" t="s">
        <v>4337</v>
      </c>
      <c r="C910" s="42">
        <f t="shared" si="14"/>
        <v>112.51578079999999</v>
      </c>
      <c r="D910" s="14" t="s">
        <v>42</v>
      </c>
      <c r="E910" s="14">
        <v>1</v>
      </c>
      <c r="F910" s="14" t="s">
        <v>3982</v>
      </c>
      <c r="G910" s="14">
        <f>(VLOOKUP(D910,'[1]BOM Info General'!$A:$L,12,0))*E910</f>
        <v>35.56</v>
      </c>
      <c r="H910" s="15" t="s">
        <v>39</v>
      </c>
      <c r="I910" s="15">
        <v>1</v>
      </c>
      <c r="J910" s="15" t="s">
        <v>46</v>
      </c>
      <c r="K910" s="15">
        <f>(VLOOKUP(H910,'[1]BOM Info General'!$A:$L,12,0))*I910</f>
        <v>24.42</v>
      </c>
      <c r="L910" s="9" t="s">
        <v>78</v>
      </c>
      <c r="M910" s="9">
        <v>1</v>
      </c>
      <c r="N910" s="9" t="s">
        <v>75</v>
      </c>
      <c r="O910" s="9">
        <f>(VLOOKUP(L910,'[1]Simulation pricing per sub assy'!$D:$E,2,0))*M910</f>
        <v>43.608799999999988</v>
      </c>
      <c r="P910" s="16" t="s">
        <v>52</v>
      </c>
      <c r="Q910" s="16">
        <v>2</v>
      </c>
      <c r="R910" s="16" t="s">
        <v>18</v>
      </c>
      <c r="S910" s="40">
        <f>(VLOOKUP(P910,'[1]BOM Info General'!$A:$L,12,0))*Q910</f>
        <v>5.3</v>
      </c>
      <c r="T910" s="17" t="s">
        <v>10</v>
      </c>
      <c r="U910" s="17">
        <v>1</v>
      </c>
      <c r="V910" s="17" t="s">
        <v>11</v>
      </c>
      <c r="W910" s="17">
        <f>(VLOOKUP(T910,'[1]Simulation pricing per sub assy'!$D:$E,2,0))*U910</f>
        <v>2.0499999999999998</v>
      </c>
      <c r="X910" s="18" t="s">
        <v>615</v>
      </c>
      <c r="Y910" s="18">
        <v>1</v>
      </c>
      <c r="Z910" s="18" t="s">
        <v>9</v>
      </c>
      <c r="AA910" s="18">
        <f>(VLOOKUP(X910,'[1]Simulation pricing per sub assy'!$D:$E,2,0))*Y910</f>
        <v>1.5769808000000001</v>
      </c>
    </row>
    <row r="911" spans="1:27" x14ac:dyDescent="0.35">
      <c r="A911" s="13" t="s">
        <v>444</v>
      </c>
      <c r="B911" s="13" t="s">
        <v>4338</v>
      </c>
      <c r="C911" s="42">
        <f t="shared" si="14"/>
        <v>120.18578079999999</v>
      </c>
      <c r="D911" s="14" t="s">
        <v>42</v>
      </c>
      <c r="E911" s="14">
        <v>1</v>
      </c>
      <c r="F911" s="14" t="s">
        <v>3982</v>
      </c>
      <c r="G911" s="14">
        <f>(VLOOKUP(D911,'[1]BOM Info General'!$A:$L,12,0))*E911</f>
        <v>35.56</v>
      </c>
      <c r="H911" s="15" t="s">
        <v>39</v>
      </c>
      <c r="I911" s="15">
        <v>1</v>
      </c>
      <c r="J911" s="15" t="s">
        <v>46</v>
      </c>
      <c r="K911" s="15">
        <f>(VLOOKUP(H911,'[1]BOM Info General'!$A:$L,12,0))*I911</f>
        <v>24.42</v>
      </c>
      <c r="L911" s="9" t="s">
        <v>74</v>
      </c>
      <c r="M911" s="9">
        <v>1</v>
      </c>
      <c r="N911" s="9" t="s">
        <v>77</v>
      </c>
      <c r="O911" s="9">
        <f>(VLOOKUP(L911,'[1]Simulation pricing per sub assy'!$D:$E,2,0))*M911</f>
        <v>51.27879999999999</v>
      </c>
      <c r="P911" s="16" t="s">
        <v>52</v>
      </c>
      <c r="Q911" s="16">
        <v>2</v>
      </c>
      <c r="R911" s="16" t="s">
        <v>18</v>
      </c>
      <c r="S911" s="40">
        <f>(VLOOKUP(P911,'[1]BOM Info General'!$A:$L,12,0))*Q911</f>
        <v>5.3</v>
      </c>
      <c r="T911" s="17" t="s">
        <v>10</v>
      </c>
      <c r="U911" s="17">
        <v>1</v>
      </c>
      <c r="V911" s="17" t="s">
        <v>11</v>
      </c>
      <c r="W911" s="17">
        <f>(VLOOKUP(T911,'[1]Simulation pricing per sub assy'!$D:$E,2,0))*U911</f>
        <v>2.0499999999999998</v>
      </c>
      <c r="X911" s="18" t="s">
        <v>615</v>
      </c>
      <c r="Y911" s="18">
        <v>1</v>
      </c>
      <c r="Z911" s="18" t="s">
        <v>9</v>
      </c>
      <c r="AA911" s="18">
        <f>(VLOOKUP(X911,'[1]Simulation pricing per sub assy'!$D:$E,2,0))*Y911</f>
        <v>1.5769808000000001</v>
      </c>
    </row>
    <row r="912" spans="1:27" x14ac:dyDescent="0.35">
      <c r="A912" s="13" t="s">
        <v>481</v>
      </c>
      <c r="B912" s="13" t="s">
        <v>4339</v>
      </c>
      <c r="C912" s="42">
        <f t="shared" si="14"/>
        <v>111.0657808</v>
      </c>
      <c r="D912" s="14" t="s">
        <v>42</v>
      </c>
      <c r="E912" s="14">
        <v>1</v>
      </c>
      <c r="F912" s="14" t="s">
        <v>3982</v>
      </c>
      <c r="G912" s="14">
        <f>(VLOOKUP(D912,'[1]BOM Info General'!$A:$L,12,0))*E912</f>
        <v>35.56</v>
      </c>
      <c r="H912" s="15" t="s">
        <v>39</v>
      </c>
      <c r="I912" s="15">
        <v>1</v>
      </c>
      <c r="J912" s="15" t="s">
        <v>46</v>
      </c>
      <c r="K912" s="15">
        <f>(VLOOKUP(H912,'[1]BOM Info General'!$A:$L,12,0))*I912</f>
        <v>24.42</v>
      </c>
      <c r="L912" s="9" t="s">
        <v>527</v>
      </c>
      <c r="M912" s="9">
        <v>1</v>
      </c>
      <c r="N912" s="9" t="s">
        <v>79</v>
      </c>
      <c r="O912" s="9">
        <f>(VLOOKUP(L912,'[1]Simulation pricing per sub assy'!$D:$E,2,0))*M912</f>
        <v>42.308799999999991</v>
      </c>
      <c r="P912" s="16" t="s">
        <v>52</v>
      </c>
      <c r="Q912" s="16">
        <v>2</v>
      </c>
      <c r="R912" s="16" t="s">
        <v>18</v>
      </c>
      <c r="S912" s="40">
        <f>(VLOOKUP(P912,'[1]BOM Info General'!$A:$L,12,0))*Q912</f>
        <v>5.3</v>
      </c>
      <c r="T912" s="17" t="s">
        <v>12</v>
      </c>
      <c r="U912" s="17">
        <v>1</v>
      </c>
      <c r="V912" s="17" t="s">
        <v>13</v>
      </c>
      <c r="W912" s="17">
        <f>(VLOOKUP(T912,'[1]Simulation pricing per sub assy'!$D:$E,2,0))*U912</f>
        <v>1.9</v>
      </c>
      <c r="X912" s="18" t="s">
        <v>615</v>
      </c>
      <c r="Y912" s="18">
        <v>1</v>
      </c>
      <c r="Z912" s="18" t="s">
        <v>9</v>
      </c>
      <c r="AA912" s="18">
        <f>(VLOOKUP(X912,'[1]Simulation pricing per sub assy'!$D:$E,2,0))*Y912</f>
        <v>1.5769808000000001</v>
      </c>
    </row>
    <row r="913" spans="1:27" x14ac:dyDescent="0.35">
      <c r="A913" s="13" t="s">
        <v>337</v>
      </c>
      <c r="B913" s="13" t="s">
        <v>4340</v>
      </c>
      <c r="C913" s="42">
        <f t="shared" si="14"/>
        <v>112.0457808</v>
      </c>
      <c r="D913" s="14" t="s">
        <v>42</v>
      </c>
      <c r="E913" s="14">
        <v>1</v>
      </c>
      <c r="F913" s="14" t="s">
        <v>3982</v>
      </c>
      <c r="G913" s="14">
        <f>(VLOOKUP(D913,'[1]BOM Info General'!$A:$L,12,0))*E913</f>
        <v>35.56</v>
      </c>
      <c r="H913" s="15" t="s">
        <v>39</v>
      </c>
      <c r="I913" s="15">
        <v>1</v>
      </c>
      <c r="J913" s="15" t="s">
        <v>46</v>
      </c>
      <c r="K913" s="15">
        <f>(VLOOKUP(H913,'[1]BOM Info General'!$A:$L,12,0))*I913</f>
        <v>24.42</v>
      </c>
      <c r="L913" s="9" t="s">
        <v>76</v>
      </c>
      <c r="M913" s="9">
        <v>1</v>
      </c>
      <c r="N913" s="9" t="s">
        <v>73</v>
      </c>
      <c r="O913" s="9">
        <f>(VLOOKUP(L913,'[1]Simulation pricing per sub assy'!$D:$E,2,0))*M913</f>
        <v>43.288799999999988</v>
      </c>
      <c r="P913" s="16" t="s">
        <v>52</v>
      </c>
      <c r="Q913" s="16">
        <v>2</v>
      </c>
      <c r="R913" s="16" t="s">
        <v>18</v>
      </c>
      <c r="S913" s="40">
        <f>(VLOOKUP(P913,'[1]BOM Info General'!$A:$L,12,0))*Q913</f>
        <v>5.3</v>
      </c>
      <c r="T913" s="17" t="s">
        <v>12</v>
      </c>
      <c r="U913" s="17">
        <v>1</v>
      </c>
      <c r="V913" s="17" t="s">
        <v>13</v>
      </c>
      <c r="W913" s="17">
        <f>(VLOOKUP(T913,'[1]Simulation pricing per sub assy'!$D:$E,2,0))*U913</f>
        <v>1.9</v>
      </c>
      <c r="X913" s="18" t="s">
        <v>615</v>
      </c>
      <c r="Y913" s="18">
        <v>1</v>
      </c>
      <c r="Z913" s="18" t="s">
        <v>9</v>
      </c>
      <c r="AA913" s="18">
        <f>(VLOOKUP(X913,'[1]Simulation pricing per sub assy'!$D:$E,2,0))*Y913</f>
        <v>1.5769808000000001</v>
      </c>
    </row>
    <row r="914" spans="1:27" x14ac:dyDescent="0.35">
      <c r="A914" s="13" t="s">
        <v>409</v>
      </c>
      <c r="B914" s="13" t="s">
        <v>4341</v>
      </c>
      <c r="C914" s="42">
        <f t="shared" si="14"/>
        <v>112.6257808</v>
      </c>
      <c r="D914" s="14" t="s">
        <v>42</v>
      </c>
      <c r="E914" s="14">
        <v>1</v>
      </c>
      <c r="F914" s="14" t="s">
        <v>3982</v>
      </c>
      <c r="G914" s="14">
        <f>(VLOOKUP(D914,'[1]BOM Info General'!$A:$L,12,0))*E914</f>
        <v>35.56</v>
      </c>
      <c r="H914" s="15" t="s">
        <v>39</v>
      </c>
      <c r="I914" s="15">
        <v>1</v>
      </c>
      <c r="J914" s="15" t="s">
        <v>46</v>
      </c>
      <c r="K914" s="15">
        <f>(VLOOKUP(H914,'[1]BOM Info General'!$A:$L,12,0))*I914</f>
        <v>24.42</v>
      </c>
      <c r="L914" s="9" t="s">
        <v>72</v>
      </c>
      <c r="M914" s="9">
        <v>1</v>
      </c>
      <c r="N914" s="9" t="s">
        <v>71</v>
      </c>
      <c r="O914" s="9">
        <f>(VLOOKUP(L914,'[1]Simulation pricing per sub assy'!$D:$E,2,0))*M914</f>
        <v>43.868799999999993</v>
      </c>
      <c r="P914" s="16" t="s">
        <v>52</v>
      </c>
      <c r="Q914" s="16">
        <v>2</v>
      </c>
      <c r="R914" s="16" t="s">
        <v>18</v>
      </c>
      <c r="S914" s="40">
        <f>(VLOOKUP(P914,'[1]BOM Info General'!$A:$L,12,0))*Q914</f>
        <v>5.3</v>
      </c>
      <c r="T914" s="17" t="s">
        <v>12</v>
      </c>
      <c r="U914" s="17">
        <v>1</v>
      </c>
      <c r="V914" s="17" t="s">
        <v>13</v>
      </c>
      <c r="W914" s="17">
        <f>(VLOOKUP(T914,'[1]Simulation pricing per sub assy'!$D:$E,2,0))*U914</f>
        <v>1.9</v>
      </c>
      <c r="X914" s="18" t="s">
        <v>615</v>
      </c>
      <c r="Y914" s="18">
        <v>1</v>
      </c>
      <c r="Z914" s="18" t="s">
        <v>9</v>
      </c>
      <c r="AA914" s="18">
        <f>(VLOOKUP(X914,'[1]Simulation pricing per sub assy'!$D:$E,2,0))*Y914</f>
        <v>1.5769808000000001</v>
      </c>
    </row>
    <row r="915" spans="1:27" x14ac:dyDescent="0.35">
      <c r="A915" s="13" t="s">
        <v>373</v>
      </c>
      <c r="B915" s="13" t="s">
        <v>4342</v>
      </c>
      <c r="C915" s="42">
        <f t="shared" si="14"/>
        <v>112.3657808</v>
      </c>
      <c r="D915" s="14" t="s">
        <v>42</v>
      </c>
      <c r="E915" s="14">
        <v>1</v>
      </c>
      <c r="F915" s="14" t="s">
        <v>3982</v>
      </c>
      <c r="G915" s="14">
        <f>(VLOOKUP(D915,'[1]BOM Info General'!$A:$L,12,0))*E915</f>
        <v>35.56</v>
      </c>
      <c r="H915" s="15" t="s">
        <v>39</v>
      </c>
      <c r="I915" s="15">
        <v>1</v>
      </c>
      <c r="J915" s="15" t="s">
        <v>46</v>
      </c>
      <c r="K915" s="15">
        <f>(VLOOKUP(H915,'[1]BOM Info General'!$A:$L,12,0))*I915</f>
        <v>24.42</v>
      </c>
      <c r="L915" s="9" t="s">
        <v>78</v>
      </c>
      <c r="M915" s="9">
        <v>1</v>
      </c>
      <c r="N915" s="9" t="s">
        <v>75</v>
      </c>
      <c r="O915" s="9">
        <f>(VLOOKUP(L915,'[1]Simulation pricing per sub assy'!$D:$E,2,0))*M915</f>
        <v>43.608799999999988</v>
      </c>
      <c r="P915" s="16" t="s">
        <v>52</v>
      </c>
      <c r="Q915" s="16">
        <v>2</v>
      </c>
      <c r="R915" s="16" t="s">
        <v>18</v>
      </c>
      <c r="S915" s="40">
        <f>(VLOOKUP(P915,'[1]BOM Info General'!$A:$L,12,0))*Q915</f>
        <v>5.3</v>
      </c>
      <c r="T915" s="17" t="s">
        <v>12</v>
      </c>
      <c r="U915" s="17">
        <v>1</v>
      </c>
      <c r="V915" s="17" t="s">
        <v>13</v>
      </c>
      <c r="W915" s="17">
        <f>(VLOOKUP(T915,'[1]Simulation pricing per sub assy'!$D:$E,2,0))*U915</f>
        <v>1.9</v>
      </c>
      <c r="X915" s="18" t="s">
        <v>615</v>
      </c>
      <c r="Y915" s="18">
        <v>1</v>
      </c>
      <c r="Z915" s="18" t="s">
        <v>9</v>
      </c>
      <c r="AA915" s="18">
        <f>(VLOOKUP(X915,'[1]Simulation pricing per sub assy'!$D:$E,2,0))*Y915</f>
        <v>1.5769808000000001</v>
      </c>
    </row>
    <row r="916" spans="1:27" x14ac:dyDescent="0.35">
      <c r="A916" s="13" t="s">
        <v>445</v>
      </c>
      <c r="B916" s="13" t="s">
        <v>4343</v>
      </c>
      <c r="C916" s="42">
        <f t="shared" si="14"/>
        <v>120.0357808</v>
      </c>
      <c r="D916" s="14" t="s">
        <v>42</v>
      </c>
      <c r="E916" s="14">
        <v>1</v>
      </c>
      <c r="F916" s="14" t="s">
        <v>3982</v>
      </c>
      <c r="G916" s="14">
        <f>(VLOOKUP(D916,'[1]BOM Info General'!$A:$L,12,0))*E916</f>
        <v>35.56</v>
      </c>
      <c r="H916" s="15" t="s">
        <v>39</v>
      </c>
      <c r="I916" s="15">
        <v>1</v>
      </c>
      <c r="J916" s="15" t="s">
        <v>46</v>
      </c>
      <c r="K916" s="15">
        <f>(VLOOKUP(H916,'[1]BOM Info General'!$A:$L,12,0))*I916</f>
        <v>24.42</v>
      </c>
      <c r="L916" s="9" t="s">
        <v>74</v>
      </c>
      <c r="M916" s="9">
        <v>1</v>
      </c>
      <c r="N916" s="9" t="s">
        <v>77</v>
      </c>
      <c r="O916" s="9">
        <f>(VLOOKUP(L916,'[1]Simulation pricing per sub assy'!$D:$E,2,0))*M916</f>
        <v>51.27879999999999</v>
      </c>
      <c r="P916" s="16" t="s">
        <v>52</v>
      </c>
      <c r="Q916" s="16">
        <v>2</v>
      </c>
      <c r="R916" s="16" t="s">
        <v>18</v>
      </c>
      <c r="S916" s="40">
        <f>(VLOOKUP(P916,'[1]BOM Info General'!$A:$L,12,0))*Q916</f>
        <v>5.3</v>
      </c>
      <c r="T916" s="17" t="s">
        <v>12</v>
      </c>
      <c r="U916" s="17">
        <v>1</v>
      </c>
      <c r="V916" s="17" t="s">
        <v>13</v>
      </c>
      <c r="W916" s="17">
        <f>(VLOOKUP(T916,'[1]Simulation pricing per sub assy'!$D:$E,2,0))*U916</f>
        <v>1.9</v>
      </c>
      <c r="X916" s="18" t="s">
        <v>615</v>
      </c>
      <c r="Y916" s="18">
        <v>1</v>
      </c>
      <c r="Z916" s="18" t="s">
        <v>9</v>
      </c>
      <c r="AA916" s="18">
        <f>(VLOOKUP(X916,'[1]Simulation pricing per sub assy'!$D:$E,2,0))*Y916</f>
        <v>1.5769808000000001</v>
      </c>
    </row>
    <row r="917" spans="1:27" x14ac:dyDescent="0.35">
      <c r="A917" s="13" t="s">
        <v>482</v>
      </c>
      <c r="B917" s="13" t="s">
        <v>4344</v>
      </c>
      <c r="C917" s="42">
        <f t="shared" si="14"/>
        <v>111.0657808</v>
      </c>
      <c r="D917" s="14" t="s">
        <v>42</v>
      </c>
      <c r="E917" s="14">
        <v>1</v>
      </c>
      <c r="F917" s="14" t="s">
        <v>3982</v>
      </c>
      <c r="G917" s="14">
        <f>(VLOOKUP(D917,'[1]BOM Info General'!$A:$L,12,0))*E917</f>
        <v>35.56</v>
      </c>
      <c r="H917" s="15" t="s">
        <v>39</v>
      </c>
      <c r="I917" s="15">
        <v>1</v>
      </c>
      <c r="J917" s="15" t="s">
        <v>46</v>
      </c>
      <c r="K917" s="15">
        <f>(VLOOKUP(H917,'[1]BOM Info General'!$A:$L,12,0))*I917</f>
        <v>24.42</v>
      </c>
      <c r="L917" s="9" t="s">
        <v>527</v>
      </c>
      <c r="M917" s="9">
        <v>1</v>
      </c>
      <c r="N917" s="9" t="s">
        <v>79</v>
      </c>
      <c r="O917" s="9">
        <f>(VLOOKUP(L917,'[1]Simulation pricing per sub assy'!$D:$E,2,0))*M917</f>
        <v>42.308799999999991</v>
      </c>
      <c r="P917" s="16" t="s">
        <v>52</v>
      </c>
      <c r="Q917" s="16">
        <v>2</v>
      </c>
      <c r="R917" s="16" t="s">
        <v>18</v>
      </c>
      <c r="S917" s="40">
        <f>(VLOOKUP(P917,'[1]BOM Info General'!$A:$L,12,0))*Q917</f>
        <v>5.3</v>
      </c>
      <c r="T917" s="17" t="s">
        <v>14</v>
      </c>
      <c r="U917" s="17">
        <v>1</v>
      </c>
      <c r="V917" s="17" t="s">
        <v>15</v>
      </c>
      <c r="W917" s="17">
        <f>(VLOOKUP(T917,'[1]Simulation pricing per sub assy'!$D:$E,2,0))*U917</f>
        <v>1.9</v>
      </c>
      <c r="X917" s="18" t="s">
        <v>615</v>
      </c>
      <c r="Y917" s="18">
        <v>1</v>
      </c>
      <c r="Z917" s="18" t="s">
        <v>9</v>
      </c>
      <c r="AA917" s="18">
        <f>(VLOOKUP(X917,'[1]Simulation pricing per sub assy'!$D:$E,2,0))*Y917</f>
        <v>1.5769808000000001</v>
      </c>
    </row>
    <row r="918" spans="1:27" x14ac:dyDescent="0.35">
      <c r="A918" s="13" t="s">
        <v>338</v>
      </c>
      <c r="B918" s="13" t="s">
        <v>4345</v>
      </c>
      <c r="C918" s="42">
        <f t="shared" si="14"/>
        <v>112.0457808</v>
      </c>
      <c r="D918" s="14" t="s">
        <v>42</v>
      </c>
      <c r="E918" s="14">
        <v>1</v>
      </c>
      <c r="F918" s="14" t="s">
        <v>3982</v>
      </c>
      <c r="G918" s="14">
        <f>(VLOOKUP(D918,'[1]BOM Info General'!$A:$L,12,0))*E918</f>
        <v>35.56</v>
      </c>
      <c r="H918" s="15" t="s">
        <v>39</v>
      </c>
      <c r="I918" s="15">
        <v>1</v>
      </c>
      <c r="J918" s="15" t="s">
        <v>46</v>
      </c>
      <c r="K918" s="15">
        <f>(VLOOKUP(H918,'[1]BOM Info General'!$A:$L,12,0))*I918</f>
        <v>24.42</v>
      </c>
      <c r="L918" s="9" t="s">
        <v>76</v>
      </c>
      <c r="M918" s="9">
        <v>1</v>
      </c>
      <c r="N918" s="9" t="s">
        <v>73</v>
      </c>
      <c r="O918" s="9">
        <f>(VLOOKUP(L918,'[1]Simulation pricing per sub assy'!$D:$E,2,0))*M918</f>
        <v>43.288799999999988</v>
      </c>
      <c r="P918" s="16" t="s">
        <v>52</v>
      </c>
      <c r="Q918" s="16">
        <v>2</v>
      </c>
      <c r="R918" s="16" t="s">
        <v>18</v>
      </c>
      <c r="S918" s="40">
        <f>(VLOOKUP(P918,'[1]BOM Info General'!$A:$L,12,0))*Q918</f>
        <v>5.3</v>
      </c>
      <c r="T918" s="17" t="s">
        <v>14</v>
      </c>
      <c r="U918" s="17">
        <v>1</v>
      </c>
      <c r="V918" s="17" t="s">
        <v>15</v>
      </c>
      <c r="W918" s="17">
        <f>(VLOOKUP(T918,'[1]Simulation pricing per sub assy'!$D:$E,2,0))*U918</f>
        <v>1.9</v>
      </c>
      <c r="X918" s="18" t="s">
        <v>615</v>
      </c>
      <c r="Y918" s="18">
        <v>1</v>
      </c>
      <c r="Z918" s="18" t="s">
        <v>9</v>
      </c>
      <c r="AA918" s="18">
        <f>(VLOOKUP(X918,'[1]Simulation pricing per sub assy'!$D:$E,2,0))*Y918</f>
        <v>1.5769808000000001</v>
      </c>
    </row>
    <row r="919" spans="1:27" x14ac:dyDescent="0.35">
      <c r="A919" s="13" t="s">
        <v>410</v>
      </c>
      <c r="B919" s="13" t="s">
        <v>4346</v>
      </c>
      <c r="C919" s="42">
        <f t="shared" si="14"/>
        <v>112.6257808</v>
      </c>
      <c r="D919" s="14" t="s">
        <v>42</v>
      </c>
      <c r="E919" s="14">
        <v>1</v>
      </c>
      <c r="F919" s="14" t="s">
        <v>3982</v>
      </c>
      <c r="G919" s="14">
        <f>(VLOOKUP(D919,'[1]BOM Info General'!$A:$L,12,0))*E919</f>
        <v>35.56</v>
      </c>
      <c r="H919" s="15" t="s">
        <v>39</v>
      </c>
      <c r="I919" s="15">
        <v>1</v>
      </c>
      <c r="J919" s="15" t="s">
        <v>46</v>
      </c>
      <c r="K919" s="15">
        <f>(VLOOKUP(H919,'[1]BOM Info General'!$A:$L,12,0))*I919</f>
        <v>24.42</v>
      </c>
      <c r="L919" s="9" t="s">
        <v>72</v>
      </c>
      <c r="M919" s="9">
        <v>1</v>
      </c>
      <c r="N919" s="9" t="s">
        <v>71</v>
      </c>
      <c r="O919" s="9">
        <f>(VLOOKUP(L919,'[1]Simulation pricing per sub assy'!$D:$E,2,0))*M919</f>
        <v>43.868799999999993</v>
      </c>
      <c r="P919" s="16" t="s">
        <v>52</v>
      </c>
      <c r="Q919" s="16">
        <v>2</v>
      </c>
      <c r="R919" s="16" t="s">
        <v>18</v>
      </c>
      <c r="S919" s="40">
        <f>(VLOOKUP(P919,'[1]BOM Info General'!$A:$L,12,0))*Q919</f>
        <v>5.3</v>
      </c>
      <c r="T919" s="17" t="s">
        <v>14</v>
      </c>
      <c r="U919" s="17">
        <v>1</v>
      </c>
      <c r="V919" s="17" t="s">
        <v>15</v>
      </c>
      <c r="W919" s="17">
        <f>(VLOOKUP(T919,'[1]Simulation pricing per sub assy'!$D:$E,2,0))*U919</f>
        <v>1.9</v>
      </c>
      <c r="X919" s="18" t="s">
        <v>615</v>
      </c>
      <c r="Y919" s="18">
        <v>1</v>
      </c>
      <c r="Z919" s="18" t="s">
        <v>9</v>
      </c>
      <c r="AA919" s="18">
        <f>(VLOOKUP(X919,'[1]Simulation pricing per sub assy'!$D:$E,2,0))*Y919</f>
        <v>1.5769808000000001</v>
      </c>
    </row>
    <row r="920" spans="1:27" x14ac:dyDescent="0.35">
      <c r="A920" s="13" t="s">
        <v>374</v>
      </c>
      <c r="B920" s="13" t="s">
        <v>4347</v>
      </c>
      <c r="C920" s="42">
        <f t="shared" si="14"/>
        <v>112.3657808</v>
      </c>
      <c r="D920" s="14" t="s">
        <v>42</v>
      </c>
      <c r="E920" s="14">
        <v>1</v>
      </c>
      <c r="F920" s="14" t="s">
        <v>3982</v>
      </c>
      <c r="G920" s="14">
        <f>(VLOOKUP(D920,'[1]BOM Info General'!$A:$L,12,0))*E920</f>
        <v>35.56</v>
      </c>
      <c r="H920" s="15" t="s">
        <v>39</v>
      </c>
      <c r="I920" s="15">
        <v>1</v>
      </c>
      <c r="J920" s="15" t="s">
        <v>46</v>
      </c>
      <c r="K920" s="15">
        <f>(VLOOKUP(H920,'[1]BOM Info General'!$A:$L,12,0))*I920</f>
        <v>24.42</v>
      </c>
      <c r="L920" s="9" t="s">
        <v>78</v>
      </c>
      <c r="M920" s="9">
        <v>1</v>
      </c>
      <c r="N920" s="9" t="s">
        <v>75</v>
      </c>
      <c r="O920" s="9">
        <f>(VLOOKUP(L920,'[1]Simulation pricing per sub assy'!$D:$E,2,0))*M920</f>
        <v>43.608799999999988</v>
      </c>
      <c r="P920" s="16" t="s">
        <v>52</v>
      </c>
      <c r="Q920" s="16">
        <v>2</v>
      </c>
      <c r="R920" s="16" t="s">
        <v>18</v>
      </c>
      <c r="S920" s="40">
        <f>(VLOOKUP(P920,'[1]BOM Info General'!$A:$L,12,0))*Q920</f>
        <v>5.3</v>
      </c>
      <c r="T920" s="17" t="s">
        <v>14</v>
      </c>
      <c r="U920" s="17">
        <v>1</v>
      </c>
      <c r="V920" s="17" t="s">
        <v>15</v>
      </c>
      <c r="W920" s="17">
        <f>(VLOOKUP(T920,'[1]Simulation pricing per sub assy'!$D:$E,2,0))*U920</f>
        <v>1.9</v>
      </c>
      <c r="X920" s="18" t="s">
        <v>615</v>
      </c>
      <c r="Y920" s="18">
        <v>1</v>
      </c>
      <c r="Z920" s="18" t="s">
        <v>9</v>
      </c>
      <c r="AA920" s="18">
        <f>(VLOOKUP(X920,'[1]Simulation pricing per sub assy'!$D:$E,2,0))*Y920</f>
        <v>1.5769808000000001</v>
      </c>
    </row>
    <row r="921" spans="1:27" x14ac:dyDescent="0.35">
      <c r="A921" s="13" t="s">
        <v>446</v>
      </c>
      <c r="B921" s="13" t="s">
        <v>4348</v>
      </c>
      <c r="C921" s="42">
        <f t="shared" si="14"/>
        <v>120.0357808</v>
      </c>
      <c r="D921" s="14" t="s">
        <v>42</v>
      </c>
      <c r="E921" s="14">
        <v>1</v>
      </c>
      <c r="F921" s="14" t="s">
        <v>3982</v>
      </c>
      <c r="G921" s="14">
        <f>(VLOOKUP(D921,'[1]BOM Info General'!$A:$L,12,0))*E921</f>
        <v>35.56</v>
      </c>
      <c r="H921" s="15" t="s">
        <v>39</v>
      </c>
      <c r="I921" s="15">
        <v>1</v>
      </c>
      <c r="J921" s="15" t="s">
        <v>46</v>
      </c>
      <c r="K921" s="15">
        <f>(VLOOKUP(H921,'[1]BOM Info General'!$A:$L,12,0))*I921</f>
        <v>24.42</v>
      </c>
      <c r="L921" s="9" t="s">
        <v>74</v>
      </c>
      <c r="M921" s="9">
        <v>1</v>
      </c>
      <c r="N921" s="9" t="s">
        <v>77</v>
      </c>
      <c r="O921" s="9">
        <f>(VLOOKUP(L921,'[1]Simulation pricing per sub assy'!$D:$E,2,0))*M921</f>
        <v>51.27879999999999</v>
      </c>
      <c r="P921" s="16" t="s">
        <v>52</v>
      </c>
      <c r="Q921" s="16">
        <v>2</v>
      </c>
      <c r="R921" s="16" t="s">
        <v>18</v>
      </c>
      <c r="S921" s="40">
        <f>(VLOOKUP(P921,'[1]BOM Info General'!$A:$L,12,0))*Q921</f>
        <v>5.3</v>
      </c>
      <c r="T921" s="17" t="s">
        <v>14</v>
      </c>
      <c r="U921" s="17">
        <v>1</v>
      </c>
      <c r="V921" s="17" t="s">
        <v>15</v>
      </c>
      <c r="W921" s="17">
        <f>(VLOOKUP(T921,'[1]Simulation pricing per sub assy'!$D:$E,2,0))*U921</f>
        <v>1.9</v>
      </c>
      <c r="X921" s="18" t="s">
        <v>615</v>
      </c>
      <c r="Y921" s="18">
        <v>1</v>
      </c>
      <c r="Z921" s="18" t="s">
        <v>9</v>
      </c>
      <c r="AA921" s="18">
        <f>(VLOOKUP(X921,'[1]Simulation pricing per sub assy'!$D:$E,2,0))*Y921</f>
        <v>1.5769808000000001</v>
      </c>
    </row>
    <row r="922" spans="1:27" x14ac:dyDescent="0.35">
      <c r="A922" s="13" t="s">
        <v>590</v>
      </c>
      <c r="B922" s="13" t="s">
        <v>4349</v>
      </c>
      <c r="C922" s="42">
        <f t="shared" si="14"/>
        <v>111.5057808</v>
      </c>
      <c r="D922" s="14" t="s">
        <v>42</v>
      </c>
      <c r="E922" s="14">
        <v>1</v>
      </c>
      <c r="F922" s="14" t="s">
        <v>3982</v>
      </c>
      <c r="G922" s="14">
        <f>(VLOOKUP(D922,'[1]BOM Info General'!$A:$L,12,0))*E922</f>
        <v>35.56</v>
      </c>
      <c r="H922" s="15" t="s">
        <v>39</v>
      </c>
      <c r="I922" s="15">
        <v>1</v>
      </c>
      <c r="J922" s="15" t="s">
        <v>46</v>
      </c>
      <c r="K922" s="15">
        <f>(VLOOKUP(H922,'[1]BOM Info General'!$A:$L,12,0))*I922</f>
        <v>24.42</v>
      </c>
      <c r="L922" s="9" t="s">
        <v>527</v>
      </c>
      <c r="M922" s="9">
        <v>1</v>
      </c>
      <c r="N922" s="9" t="s">
        <v>79</v>
      </c>
      <c r="O922" s="9">
        <f>(VLOOKUP(L922,'[1]Simulation pricing per sub assy'!$D:$E,2,0))*M922</f>
        <v>42.308799999999991</v>
      </c>
      <c r="P922" s="16" t="s">
        <v>50</v>
      </c>
      <c r="Q922" s="16">
        <v>2</v>
      </c>
      <c r="R922" s="16" t="s">
        <v>611</v>
      </c>
      <c r="S922" s="40">
        <f>(VLOOKUP(P922,'[1]BOM Info General'!$A:$L,12,0))*Q922</f>
        <v>5.3</v>
      </c>
      <c r="T922" s="17" t="s">
        <v>19</v>
      </c>
      <c r="U922" s="17">
        <v>1</v>
      </c>
      <c r="V922" s="17" t="s">
        <v>20</v>
      </c>
      <c r="W922" s="17">
        <f>(VLOOKUP(T922,'[1]Simulation pricing per sub assy'!$D:$E,2,0))*U922</f>
        <v>2.3400000000000003</v>
      </c>
      <c r="X922" s="18" t="s">
        <v>615</v>
      </c>
      <c r="Y922" s="18">
        <v>1</v>
      </c>
      <c r="Z922" s="18" t="s">
        <v>9</v>
      </c>
      <c r="AA922" s="18">
        <f>(VLOOKUP(X922,'[1]Simulation pricing per sub assy'!$D:$E,2,0))*Y922</f>
        <v>1.5769808000000001</v>
      </c>
    </row>
    <row r="923" spans="1:27" x14ac:dyDescent="0.35">
      <c r="A923" s="13" t="s">
        <v>586</v>
      </c>
      <c r="B923" s="13" t="s">
        <v>4350</v>
      </c>
      <c r="C923" s="42">
        <f t="shared" si="14"/>
        <v>112.4857808</v>
      </c>
      <c r="D923" s="14" t="s">
        <v>42</v>
      </c>
      <c r="E923" s="14">
        <v>1</v>
      </c>
      <c r="F923" s="14" t="s">
        <v>3982</v>
      </c>
      <c r="G923" s="14">
        <f>(VLOOKUP(D923,'[1]BOM Info General'!$A:$L,12,0))*E923</f>
        <v>35.56</v>
      </c>
      <c r="H923" s="15" t="s">
        <v>39</v>
      </c>
      <c r="I923" s="15">
        <v>1</v>
      </c>
      <c r="J923" s="15" t="s">
        <v>46</v>
      </c>
      <c r="K923" s="15">
        <f>(VLOOKUP(H923,'[1]BOM Info General'!$A:$L,12,0))*I923</f>
        <v>24.42</v>
      </c>
      <c r="L923" s="9" t="s">
        <v>76</v>
      </c>
      <c r="M923" s="9">
        <v>1</v>
      </c>
      <c r="N923" s="9" t="s">
        <v>73</v>
      </c>
      <c r="O923" s="9">
        <f>(VLOOKUP(L923,'[1]Simulation pricing per sub assy'!$D:$E,2,0))*M923</f>
        <v>43.288799999999988</v>
      </c>
      <c r="P923" s="16" t="s">
        <v>50</v>
      </c>
      <c r="Q923" s="16">
        <v>2</v>
      </c>
      <c r="R923" s="16" t="s">
        <v>611</v>
      </c>
      <c r="S923" s="40">
        <f>(VLOOKUP(P923,'[1]BOM Info General'!$A:$L,12,0))*Q923</f>
        <v>5.3</v>
      </c>
      <c r="T923" s="17" t="s">
        <v>19</v>
      </c>
      <c r="U923" s="17">
        <v>1</v>
      </c>
      <c r="V923" s="17" t="s">
        <v>20</v>
      </c>
      <c r="W923" s="17">
        <f>(VLOOKUP(T923,'[1]Simulation pricing per sub assy'!$D:$E,2,0))*U923</f>
        <v>2.3400000000000003</v>
      </c>
      <c r="X923" s="18" t="s">
        <v>615</v>
      </c>
      <c r="Y923" s="18">
        <v>1</v>
      </c>
      <c r="Z923" s="18" t="s">
        <v>9</v>
      </c>
      <c r="AA923" s="18">
        <f>(VLOOKUP(X923,'[1]Simulation pricing per sub assy'!$D:$E,2,0))*Y923</f>
        <v>1.5769808000000001</v>
      </c>
    </row>
    <row r="924" spans="1:27" x14ac:dyDescent="0.35">
      <c r="A924" s="13" t="s">
        <v>588</v>
      </c>
      <c r="B924" s="13" t="s">
        <v>4351</v>
      </c>
      <c r="C924" s="42">
        <f t="shared" si="14"/>
        <v>113.0657808</v>
      </c>
      <c r="D924" s="14" t="s">
        <v>42</v>
      </c>
      <c r="E924" s="14">
        <v>1</v>
      </c>
      <c r="F924" s="14" t="s">
        <v>3982</v>
      </c>
      <c r="G924" s="14">
        <f>(VLOOKUP(D924,'[1]BOM Info General'!$A:$L,12,0))*E924</f>
        <v>35.56</v>
      </c>
      <c r="H924" s="15" t="s">
        <v>39</v>
      </c>
      <c r="I924" s="15">
        <v>1</v>
      </c>
      <c r="J924" s="15" t="s">
        <v>46</v>
      </c>
      <c r="K924" s="15">
        <f>(VLOOKUP(H924,'[1]BOM Info General'!$A:$L,12,0))*I924</f>
        <v>24.42</v>
      </c>
      <c r="L924" s="9" t="s">
        <v>72</v>
      </c>
      <c r="M924" s="9">
        <v>1</v>
      </c>
      <c r="N924" s="9" t="s">
        <v>71</v>
      </c>
      <c r="O924" s="9">
        <f>(VLOOKUP(L924,'[1]Simulation pricing per sub assy'!$D:$E,2,0))*M924</f>
        <v>43.868799999999993</v>
      </c>
      <c r="P924" s="16" t="s">
        <v>50</v>
      </c>
      <c r="Q924" s="16">
        <v>2</v>
      </c>
      <c r="R924" s="16" t="s">
        <v>611</v>
      </c>
      <c r="S924" s="40">
        <f>(VLOOKUP(P924,'[1]BOM Info General'!$A:$L,12,0))*Q924</f>
        <v>5.3</v>
      </c>
      <c r="T924" s="17" t="s">
        <v>19</v>
      </c>
      <c r="U924" s="17">
        <v>1</v>
      </c>
      <c r="V924" s="17" t="s">
        <v>20</v>
      </c>
      <c r="W924" s="17">
        <f>(VLOOKUP(T924,'[1]Simulation pricing per sub assy'!$D:$E,2,0))*U924</f>
        <v>2.3400000000000003</v>
      </c>
      <c r="X924" s="18" t="s">
        <v>615</v>
      </c>
      <c r="Y924" s="18">
        <v>1</v>
      </c>
      <c r="Z924" s="18" t="s">
        <v>9</v>
      </c>
      <c r="AA924" s="18">
        <f>(VLOOKUP(X924,'[1]Simulation pricing per sub assy'!$D:$E,2,0))*Y924</f>
        <v>1.5769808000000001</v>
      </c>
    </row>
    <row r="925" spans="1:27" x14ac:dyDescent="0.35">
      <c r="A925" s="13" t="s">
        <v>587</v>
      </c>
      <c r="B925" s="13" t="s">
        <v>4352</v>
      </c>
      <c r="C925" s="42">
        <f t="shared" si="14"/>
        <v>112.80578079999999</v>
      </c>
      <c r="D925" s="14" t="s">
        <v>42</v>
      </c>
      <c r="E925" s="14">
        <v>1</v>
      </c>
      <c r="F925" s="14" t="s">
        <v>3982</v>
      </c>
      <c r="G925" s="14">
        <f>(VLOOKUP(D925,'[1]BOM Info General'!$A:$L,12,0))*E925</f>
        <v>35.56</v>
      </c>
      <c r="H925" s="15" t="s">
        <v>39</v>
      </c>
      <c r="I925" s="15">
        <v>1</v>
      </c>
      <c r="J925" s="15" t="s">
        <v>46</v>
      </c>
      <c r="K925" s="15">
        <f>(VLOOKUP(H925,'[1]BOM Info General'!$A:$L,12,0))*I925</f>
        <v>24.42</v>
      </c>
      <c r="L925" s="9" t="s">
        <v>78</v>
      </c>
      <c r="M925" s="9">
        <v>1</v>
      </c>
      <c r="N925" s="9" t="s">
        <v>75</v>
      </c>
      <c r="O925" s="9">
        <f>(VLOOKUP(L925,'[1]Simulation pricing per sub assy'!$D:$E,2,0))*M925</f>
        <v>43.608799999999988</v>
      </c>
      <c r="P925" s="16" t="s">
        <v>50</v>
      </c>
      <c r="Q925" s="16">
        <v>2</v>
      </c>
      <c r="R925" s="16" t="s">
        <v>611</v>
      </c>
      <c r="S925" s="40">
        <f>(VLOOKUP(P925,'[1]BOM Info General'!$A:$L,12,0))*Q925</f>
        <v>5.3</v>
      </c>
      <c r="T925" s="17" t="s">
        <v>19</v>
      </c>
      <c r="U925" s="17">
        <v>1</v>
      </c>
      <c r="V925" s="17" t="s">
        <v>20</v>
      </c>
      <c r="W925" s="17">
        <f>(VLOOKUP(T925,'[1]Simulation pricing per sub assy'!$D:$E,2,0))*U925</f>
        <v>2.3400000000000003</v>
      </c>
      <c r="X925" s="18" t="s">
        <v>615</v>
      </c>
      <c r="Y925" s="18">
        <v>1</v>
      </c>
      <c r="Z925" s="18" t="s">
        <v>9</v>
      </c>
      <c r="AA925" s="18">
        <f>(VLOOKUP(X925,'[1]Simulation pricing per sub assy'!$D:$E,2,0))*Y925</f>
        <v>1.5769808000000001</v>
      </c>
    </row>
    <row r="926" spans="1:27" x14ac:dyDescent="0.35">
      <c r="A926" s="13" t="s">
        <v>589</v>
      </c>
      <c r="B926" s="13" t="s">
        <v>4353</v>
      </c>
      <c r="C926" s="42">
        <f t="shared" si="14"/>
        <v>120.4757808</v>
      </c>
      <c r="D926" s="14" t="s">
        <v>42</v>
      </c>
      <c r="E926" s="14">
        <v>1</v>
      </c>
      <c r="F926" s="14" t="s">
        <v>3982</v>
      </c>
      <c r="G926" s="14">
        <f>(VLOOKUP(D926,'[1]BOM Info General'!$A:$L,12,0))*E926</f>
        <v>35.56</v>
      </c>
      <c r="H926" s="15" t="s">
        <v>39</v>
      </c>
      <c r="I926" s="15">
        <v>1</v>
      </c>
      <c r="J926" s="15" t="s">
        <v>46</v>
      </c>
      <c r="K926" s="15">
        <f>(VLOOKUP(H926,'[1]BOM Info General'!$A:$L,12,0))*I926</f>
        <v>24.42</v>
      </c>
      <c r="L926" s="9" t="s">
        <v>74</v>
      </c>
      <c r="M926" s="9">
        <v>1</v>
      </c>
      <c r="N926" s="9" t="s">
        <v>77</v>
      </c>
      <c r="O926" s="9">
        <f>(VLOOKUP(L926,'[1]Simulation pricing per sub assy'!$D:$E,2,0))*M926</f>
        <v>51.27879999999999</v>
      </c>
      <c r="P926" s="16" t="s">
        <v>50</v>
      </c>
      <c r="Q926" s="16">
        <v>2</v>
      </c>
      <c r="R926" s="16" t="s">
        <v>611</v>
      </c>
      <c r="S926" s="40">
        <f>(VLOOKUP(P926,'[1]BOM Info General'!$A:$L,12,0))*Q926</f>
        <v>5.3</v>
      </c>
      <c r="T926" s="17" t="s">
        <v>19</v>
      </c>
      <c r="U926" s="17">
        <v>1</v>
      </c>
      <c r="V926" s="17" t="s">
        <v>20</v>
      </c>
      <c r="W926" s="17">
        <f>(VLOOKUP(T926,'[1]Simulation pricing per sub assy'!$D:$E,2,0))*U926</f>
        <v>2.3400000000000003</v>
      </c>
      <c r="X926" s="18" t="s">
        <v>615</v>
      </c>
      <c r="Y926" s="18">
        <v>1</v>
      </c>
      <c r="Z926" s="18" t="s">
        <v>9</v>
      </c>
      <c r="AA926" s="18">
        <f>(VLOOKUP(X926,'[1]Simulation pricing per sub assy'!$D:$E,2,0))*Y926</f>
        <v>1.5769808000000001</v>
      </c>
    </row>
    <row r="927" spans="1:27" x14ac:dyDescent="0.35">
      <c r="A927" s="13" t="s">
        <v>595</v>
      </c>
      <c r="B927" s="13" t="s">
        <v>4354</v>
      </c>
      <c r="C927" s="42">
        <f t="shared" si="14"/>
        <v>283.24669080000001</v>
      </c>
      <c r="D927" s="14" t="s">
        <v>43</v>
      </c>
      <c r="E927" s="14">
        <v>2</v>
      </c>
      <c r="F927" s="14" t="s">
        <v>3983</v>
      </c>
      <c r="G927" s="14">
        <f>(VLOOKUP(D927,'[1]BOM Info General'!$A:$L,12,0))*E927</f>
        <v>130.12</v>
      </c>
      <c r="H927" s="15" t="s">
        <v>40</v>
      </c>
      <c r="I927" s="15">
        <v>1</v>
      </c>
      <c r="J927" s="15" t="s">
        <v>45</v>
      </c>
      <c r="K927" s="15">
        <f>(VLOOKUP(H927,'[1]BOM Info General'!$A:$L,12,0))*I927</f>
        <v>25.59</v>
      </c>
      <c r="L927" s="9" t="s">
        <v>528</v>
      </c>
      <c r="M927" s="9">
        <v>1</v>
      </c>
      <c r="N927" s="9" t="s">
        <v>88</v>
      </c>
      <c r="O927" s="9">
        <f>(VLOOKUP(L927,'[1]Simulation pricing per sub assy'!$D:$E,2,0))*M927</f>
        <v>94.656400000000033</v>
      </c>
      <c r="P927" s="16" t="s">
        <v>50</v>
      </c>
      <c r="Q927" s="16">
        <v>8</v>
      </c>
      <c r="R927" s="16" t="s">
        <v>611</v>
      </c>
      <c r="S927" s="40">
        <f>(VLOOKUP(P927,'[1]BOM Info General'!$A:$L,12,0))*Q927</f>
        <v>21.2</v>
      </c>
      <c r="T927" s="17" t="s">
        <v>21</v>
      </c>
      <c r="U927" s="17">
        <v>1</v>
      </c>
      <c r="V927" s="17" t="s">
        <v>22</v>
      </c>
      <c r="W927" s="17">
        <f>(VLOOKUP(T927,'[1]Simulation pricing per sub assy'!$D:$E,2,0))*U927</f>
        <v>7.2</v>
      </c>
      <c r="X927" s="18" t="s">
        <v>616</v>
      </c>
      <c r="Y927" s="18">
        <v>1</v>
      </c>
      <c r="Z927" s="18" t="s">
        <v>23</v>
      </c>
      <c r="AA927" s="18">
        <f>(VLOOKUP(X927,'[1]Simulation pricing per sub assy'!$D:$E,2,0))*Y927</f>
        <v>4.4802908000000006</v>
      </c>
    </row>
    <row r="928" spans="1:27" x14ac:dyDescent="0.35">
      <c r="A928" s="13" t="s">
        <v>591</v>
      </c>
      <c r="B928" s="13" t="s">
        <v>4355</v>
      </c>
      <c r="C928" s="42">
        <f t="shared" si="14"/>
        <v>284.34669080000003</v>
      </c>
      <c r="D928" s="14" t="s">
        <v>43</v>
      </c>
      <c r="E928" s="14">
        <v>2</v>
      </c>
      <c r="F928" s="14" t="s">
        <v>3983</v>
      </c>
      <c r="G928" s="14">
        <f>(VLOOKUP(D928,'[1]BOM Info General'!$A:$L,12,0))*E928</f>
        <v>130.12</v>
      </c>
      <c r="H928" s="15" t="s">
        <v>40</v>
      </c>
      <c r="I928" s="15">
        <v>1</v>
      </c>
      <c r="J928" s="15" t="s">
        <v>45</v>
      </c>
      <c r="K928" s="15">
        <f>(VLOOKUP(H928,'[1]BOM Info General'!$A:$L,12,0))*I928</f>
        <v>25.59</v>
      </c>
      <c r="L928" s="9" t="s">
        <v>85</v>
      </c>
      <c r="M928" s="9">
        <v>1</v>
      </c>
      <c r="N928" s="9" t="s">
        <v>82</v>
      </c>
      <c r="O928" s="9">
        <f>(VLOOKUP(L928,'[1]Simulation pricing per sub assy'!$D:$E,2,0))*M928</f>
        <v>95.756400000000042</v>
      </c>
      <c r="P928" s="16" t="s">
        <v>50</v>
      </c>
      <c r="Q928" s="16">
        <v>8</v>
      </c>
      <c r="R928" s="16" t="s">
        <v>611</v>
      </c>
      <c r="S928" s="40">
        <f>(VLOOKUP(P928,'[1]BOM Info General'!$A:$L,12,0))*Q928</f>
        <v>21.2</v>
      </c>
      <c r="T928" s="17" t="s">
        <v>21</v>
      </c>
      <c r="U928" s="17">
        <v>1</v>
      </c>
      <c r="V928" s="17" t="s">
        <v>22</v>
      </c>
      <c r="W928" s="17">
        <f>(VLOOKUP(T928,'[1]Simulation pricing per sub assy'!$D:$E,2,0))*U928</f>
        <v>7.2</v>
      </c>
      <c r="X928" s="18" t="s">
        <v>616</v>
      </c>
      <c r="Y928" s="18">
        <v>1</v>
      </c>
      <c r="Z928" s="18" t="s">
        <v>23</v>
      </c>
      <c r="AA928" s="18">
        <f>(VLOOKUP(X928,'[1]Simulation pricing per sub assy'!$D:$E,2,0))*Y928</f>
        <v>4.4802908000000006</v>
      </c>
    </row>
    <row r="929" spans="1:27" x14ac:dyDescent="0.35">
      <c r="A929" s="13" t="s">
        <v>593</v>
      </c>
      <c r="B929" s="13" t="s">
        <v>4356</v>
      </c>
      <c r="C929" s="42">
        <f t="shared" si="14"/>
        <v>284.34669080000003</v>
      </c>
      <c r="D929" s="14" t="s">
        <v>43</v>
      </c>
      <c r="E929" s="14">
        <v>2</v>
      </c>
      <c r="F929" s="14" t="s">
        <v>3983</v>
      </c>
      <c r="G929" s="14">
        <f>(VLOOKUP(D929,'[1]BOM Info General'!$A:$L,12,0))*E929</f>
        <v>130.12</v>
      </c>
      <c r="H929" s="15" t="s">
        <v>40</v>
      </c>
      <c r="I929" s="15">
        <v>1</v>
      </c>
      <c r="J929" s="15" t="s">
        <v>45</v>
      </c>
      <c r="K929" s="15">
        <f>(VLOOKUP(H929,'[1]BOM Info General'!$A:$L,12,0))*I929</f>
        <v>25.59</v>
      </c>
      <c r="L929" s="9" t="s">
        <v>81</v>
      </c>
      <c r="M929" s="9">
        <v>1</v>
      </c>
      <c r="N929" s="9" t="s">
        <v>80</v>
      </c>
      <c r="O929" s="9">
        <f>(VLOOKUP(L929,'[1]Simulation pricing per sub assy'!$D:$E,2,0))*M929</f>
        <v>95.756400000000042</v>
      </c>
      <c r="P929" s="16" t="s">
        <v>50</v>
      </c>
      <c r="Q929" s="16">
        <v>8</v>
      </c>
      <c r="R929" s="16" t="s">
        <v>611</v>
      </c>
      <c r="S929" s="40">
        <f>(VLOOKUP(P929,'[1]BOM Info General'!$A:$L,12,0))*Q929</f>
        <v>21.2</v>
      </c>
      <c r="T929" s="17" t="s">
        <v>21</v>
      </c>
      <c r="U929" s="17">
        <v>1</v>
      </c>
      <c r="V929" s="17" t="s">
        <v>22</v>
      </c>
      <c r="W929" s="17">
        <f>(VLOOKUP(T929,'[1]Simulation pricing per sub assy'!$D:$E,2,0))*U929</f>
        <v>7.2</v>
      </c>
      <c r="X929" s="18" t="s">
        <v>616</v>
      </c>
      <c r="Y929" s="18">
        <v>1</v>
      </c>
      <c r="Z929" s="18" t="s">
        <v>23</v>
      </c>
      <c r="AA929" s="18">
        <f>(VLOOKUP(X929,'[1]Simulation pricing per sub assy'!$D:$E,2,0))*Y929</f>
        <v>4.4802908000000006</v>
      </c>
    </row>
    <row r="930" spans="1:27" x14ac:dyDescent="0.35">
      <c r="A930" s="13" t="s">
        <v>592</v>
      </c>
      <c r="B930" s="13" t="s">
        <v>4357</v>
      </c>
      <c r="C930" s="42">
        <f t="shared" si="14"/>
        <v>283.79669080000002</v>
      </c>
      <c r="D930" s="14" t="s">
        <v>43</v>
      </c>
      <c r="E930" s="14">
        <v>2</v>
      </c>
      <c r="F930" s="14" t="s">
        <v>3983</v>
      </c>
      <c r="G930" s="14">
        <f>(VLOOKUP(D930,'[1]BOM Info General'!$A:$L,12,0))*E930</f>
        <v>130.12</v>
      </c>
      <c r="H930" s="15" t="s">
        <v>40</v>
      </c>
      <c r="I930" s="15">
        <v>1</v>
      </c>
      <c r="J930" s="15" t="s">
        <v>45</v>
      </c>
      <c r="K930" s="15">
        <f>(VLOOKUP(H930,'[1]BOM Info General'!$A:$L,12,0))*I930</f>
        <v>25.59</v>
      </c>
      <c r="L930" s="9" t="s">
        <v>87</v>
      </c>
      <c r="M930" s="9">
        <v>1</v>
      </c>
      <c r="N930" s="9" t="s">
        <v>84</v>
      </c>
      <c r="O930" s="9">
        <f>(VLOOKUP(L930,'[1]Simulation pricing per sub assy'!$D:$E,2,0))*M930</f>
        <v>95.206400000000031</v>
      </c>
      <c r="P930" s="16" t="s">
        <v>50</v>
      </c>
      <c r="Q930" s="16">
        <v>8</v>
      </c>
      <c r="R930" s="16" t="s">
        <v>611</v>
      </c>
      <c r="S930" s="40">
        <f>(VLOOKUP(P930,'[1]BOM Info General'!$A:$L,12,0))*Q930</f>
        <v>21.2</v>
      </c>
      <c r="T930" s="17" t="s">
        <v>21</v>
      </c>
      <c r="U930" s="17">
        <v>1</v>
      </c>
      <c r="V930" s="17" t="s">
        <v>22</v>
      </c>
      <c r="W930" s="17">
        <f>(VLOOKUP(T930,'[1]Simulation pricing per sub assy'!$D:$E,2,0))*U930</f>
        <v>7.2</v>
      </c>
      <c r="X930" s="18" t="s">
        <v>616</v>
      </c>
      <c r="Y930" s="18">
        <v>1</v>
      </c>
      <c r="Z930" s="18" t="s">
        <v>23</v>
      </c>
      <c r="AA930" s="18">
        <f>(VLOOKUP(X930,'[1]Simulation pricing per sub assy'!$D:$E,2,0))*Y930</f>
        <v>4.4802908000000006</v>
      </c>
    </row>
    <row r="931" spans="1:27" x14ac:dyDescent="0.35">
      <c r="A931" s="13" t="s">
        <v>594</v>
      </c>
      <c r="B931" s="13" t="s">
        <v>4358</v>
      </c>
      <c r="C931" s="42">
        <f t="shared" si="14"/>
        <v>291.7566908</v>
      </c>
      <c r="D931" s="14" t="s">
        <v>43</v>
      </c>
      <c r="E931" s="14">
        <v>2</v>
      </c>
      <c r="F931" s="14" t="s">
        <v>3983</v>
      </c>
      <c r="G931" s="14">
        <f>(VLOOKUP(D931,'[1]BOM Info General'!$A:$L,12,0))*E931</f>
        <v>130.12</v>
      </c>
      <c r="H931" s="15" t="s">
        <v>40</v>
      </c>
      <c r="I931" s="15">
        <v>1</v>
      </c>
      <c r="J931" s="15" t="s">
        <v>45</v>
      </c>
      <c r="K931" s="15">
        <f>(VLOOKUP(H931,'[1]BOM Info General'!$A:$L,12,0))*I931</f>
        <v>25.59</v>
      </c>
      <c r="L931" s="9" t="s">
        <v>83</v>
      </c>
      <c r="M931" s="9">
        <v>1</v>
      </c>
      <c r="N931" s="9" t="s">
        <v>86</v>
      </c>
      <c r="O931" s="9">
        <f>(VLOOKUP(L931,'[1]Simulation pricing per sub assy'!$D:$E,2,0))*M931</f>
        <v>103.16640000000004</v>
      </c>
      <c r="P931" s="16" t="s">
        <v>50</v>
      </c>
      <c r="Q931" s="16">
        <v>8</v>
      </c>
      <c r="R931" s="16" t="s">
        <v>611</v>
      </c>
      <c r="S931" s="40">
        <f>(VLOOKUP(P931,'[1]BOM Info General'!$A:$L,12,0))*Q931</f>
        <v>21.2</v>
      </c>
      <c r="T931" s="17" t="s">
        <v>21</v>
      </c>
      <c r="U931" s="17">
        <v>1</v>
      </c>
      <c r="V931" s="17" t="s">
        <v>22</v>
      </c>
      <c r="W931" s="17">
        <f>(VLOOKUP(T931,'[1]Simulation pricing per sub assy'!$D:$E,2,0))*U931</f>
        <v>7.2</v>
      </c>
      <c r="X931" s="18" t="s">
        <v>616</v>
      </c>
      <c r="Y931" s="18">
        <v>1</v>
      </c>
      <c r="Z931" s="18" t="s">
        <v>23</v>
      </c>
      <c r="AA931" s="18">
        <f>(VLOOKUP(X931,'[1]Simulation pricing per sub assy'!$D:$E,2,0))*Y931</f>
        <v>4.4802908000000006</v>
      </c>
    </row>
    <row r="932" spans="1:27" x14ac:dyDescent="0.35">
      <c r="A932" s="13" t="s">
        <v>447</v>
      </c>
      <c r="B932" s="13" t="s">
        <v>4359</v>
      </c>
      <c r="C932" s="42">
        <f t="shared" si="14"/>
        <v>282.48669080000002</v>
      </c>
      <c r="D932" s="14" t="s">
        <v>43</v>
      </c>
      <c r="E932" s="14">
        <v>2</v>
      </c>
      <c r="F932" s="14" t="s">
        <v>3983</v>
      </c>
      <c r="G932" s="14">
        <f>(VLOOKUP(D932,'[1]BOM Info General'!$A:$L,12,0))*E932</f>
        <v>130.12</v>
      </c>
      <c r="H932" s="15" t="s">
        <v>40</v>
      </c>
      <c r="I932" s="15">
        <v>1</v>
      </c>
      <c r="J932" s="15" t="s">
        <v>45</v>
      </c>
      <c r="K932" s="15">
        <f>(VLOOKUP(H932,'[1]BOM Info General'!$A:$L,12,0))*I932</f>
        <v>25.59</v>
      </c>
      <c r="L932" s="9" t="s">
        <v>528</v>
      </c>
      <c r="M932" s="9">
        <v>1</v>
      </c>
      <c r="N932" s="9" t="s">
        <v>88</v>
      </c>
      <c r="O932" s="9">
        <f>(VLOOKUP(L932,'[1]Simulation pricing per sub assy'!$D:$E,2,0))*M932</f>
        <v>94.656400000000033</v>
      </c>
      <c r="P932" s="16" t="s">
        <v>50</v>
      </c>
      <c r="Q932" s="16">
        <v>8</v>
      </c>
      <c r="R932" s="16" t="s">
        <v>16</v>
      </c>
      <c r="S932" s="40">
        <f>(VLOOKUP(P932,'[1]BOM Info General'!$A:$L,12,0))*Q932</f>
        <v>21.2</v>
      </c>
      <c r="T932" s="17" t="s">
        <v>24</v>
      </c>
      <c r="U932" s="17">
        <v>1</v>
      </c>
      <c r="V932" s="17" t="s">
        <v>25</v>
      </c>
      <c r="W932" s="17">
        <f>(VLOOKUP(T932,'[1]Simulation pricing per sub assy'!$D:$E,2,0))*U932</f>
        <v>6.44</v>
      </c>
      <c r="X932" s="18" t="s">
        <v>616</v>
      </c>
      <c r="Y932" s="18">
        <v>1</v>
      </c>
      <c r="Z932" s="18" t="s">
        <v>23</v>
      </c>
      <c r="AA932" s="18">
        <f>(VLOOKUP(X932,'[1]Simulation pricing per sub assy'!$D:$E,2,0))*Y932</f>
        <v>4.4802908000000006</v>
      </c>
    </row>
    <row r="933" spans="1:27" x14ac:dyDescent="0.35">
      <c r="A933" s="13" t="s">
        <v>44</v>
      </c>
      <c r="B933" s="13" t="s">
        <v>4360</v>
      </c>
      <c r="C933" s="42">
        <f t="shared" si="14"/>
        <v>283.58669080000004</v>
      </c>
      <c r="D933" s="14" t="s">
        <v>43</v>
      </c>
      <c r="E933" s="14">
        <v>2</v>
      </c>
      <c r="F933" s="14" t="s">
        <v>3983</v>
      </c>
      <c r="G933" s="14">
        <f>(VLOOKUP(D933,'[1]BOM Info General'!$A:$L,12,0))*E933</f>
        <v>130.12</v>
      </c>
      <c r="H933" s="15" t="s">
        <v>40</v>
      </c>
      <c r="I933" s="15">
        <v>1</v>
      </c>
      <c r="J933" s="15" t="s">
        <v>45</v>
      </c>
      <c r="K933" s="15">
        <f>(VLOOKUP(H933,'[1]BOM Info General'!$A:$L,12,0))*I933</f>
        <v>25.59</v>
      </c>
      <c r="L933" s="9" t="s">
        <v>85</v>
      </c>
      <c r="M933" s="9">
        <v>1</v>
      </c>
      <c r="N933" s="9" t="s">
        <v>82</v>
      </c>
      <c r="O933" s="9">
        <f>(VLOOKUP(L933,'[1]Simulation pricing per sub assy'!$D:$E,2,0))*M933</f>
        <v>95.756400000000042</v>
      </c>
      <c r="P933" s="16" t="s">
        <v>50</v>
      </c>
      <c r="Q933" s="16">
        <v>8</v>
      </c>
      <c r="R933" s="16" t="s">
        <v>16</v>
      </c>
      <c r="S933" s="40">
        <f>(VLOOKUP(P933,'[1]BOM Info General'!$A:$L,12,0))*Q933</f>
        <v>21.2</v>
      </c>
      <c r="T933" s="17" t="s">
        <v>24</v>
      </c>
      <c r="U933" s="17">
        <v>1</v>
      </c>
      <c r="V933" s="17" t="s">
        <v>25</v>
      </c>
      <c r="W933" s="17">
        <f>(VLOOKUP(T933,'[1]Simulation pricing per sub assy'!$D:$E,2,0))*U933</f>
        <v>6.44</v>
      </c>
      <c r="X933" s="18" t="s">
        <v>616</v>
      </c>
      <c r="Y933" s="18">
        <v>1</v>
      </c>
      <c r="Z933" s="18" t="s">
        <v>23</v>
      </c>
      <c r="AA933" s="18">
        <f>(VLOOKUP(X933,'[1]Simulation pricing per sub assy'!$D:$E,2,0))*Y933</f>
        <v>4.4802908000000006</v>
      </c>
    </row>
    <row r="934" spans="1:27" x14ac:dyDescent="0.35">
      <c r="A934" s="13" t="s">
        <v>375</v>
      </c>
      <c r="B934" s="13" t="s">
        <v>4361</v>
      </c>
      <c r="C934" s="42">
        <f t="shared" si="14"/>
        <v>283.58669080000004</v>
      </c>
      <c r="D934" s="14" t="s">
        <v>43</v>
      </c>
      <c r="E934" s="14">
        <v>2</v>
      </c>
      <c r="F934" s="14" t="s">
        <v>3983</v>
      </c>
      <c r="G934" s="14">
        <f>(VLOOKUP(D934,'[1]BOM Info General'!$A:$L,12,0))*E934</f>
        <v>130.12</v>
      </c>
      <c r="H934" s="15" t="s">
        <v>40</v>
      </c>
      <c r="I934" s="15">
        <v>1</v>
      </c>
      <c r="J934" s="15" t="s">
        <v>45</v>
      </c>
      <c r="K934" s="15">
        <f>(VLOOKUP(H934,'[1]BOM Info General'!$A:$L,12,0))*I934</f>
        <v>25.59</v>
      </c>
      <c r="L934" s="9" t="s">
        <v>81</v>
      </c>
      <c r="M934" s="9">
        <v>1</v>
      </c>
      <c r="N934" s="9" t="s">
        <v>80</v>
      </c>
      <c r="O934" s="9">
        <f>(VLOOKUP(L934,'[1]Simulation pricing per sub assy'!$D:$E,2,0))*M934</f>
        <v>95.756400000000042</v>
      </c>
      <c r="P934" s="16" t="s">
        <v>50</v>
      </c>
      <c r="Q934" s="16">
        <v>8</v>
      </c>
      <c r="R934" s="16" t="s">
        <v>16</v>
      </c>
      <c r="S934" s="40">
        <f>(VLOOKUP(P934,'[1]BOM Info General'!$A:$L,12,0))*Q934</f>
        <v>21.2</v>
      </c>
      <c r="T934" s="17" t="s">
        <v>24</v>
      </c>
      <c r="U934" s="17">
        <v>1</v>
      </c>
      <c r="V934" s="17" t="s">
        <v>25</v>
      </c>
      <c r="W934" s="17">
        <f>(VLOOKUP(T934,'[1]Simulation pricing per sub assy'!$D:$E,2,0))*U934</f>
        <v>6.44</v>
      </c>
      <c r="X934" s="18" t="s">
        <v>616</v>
      </c>
      <c r="Y934" s="18">
        <v>1</v>
      </c>
      <c r="Z934" s="18" t="s">
        <v>23</v>
      </c>
      <c r="AA934" s="18">
        <f>(VLOOKUP(X934,'[1]Simulation pricing per sub assy'!$D:$E,2,0))*Y934</f>
        <v>4.4802908000000006</v>
      </c>
    </row>
    <row r="935" spans="1:27" x14ac:dyDescent="0.35">
      <c r="A935" s="13" t="s">
        <v>339</v>
      </c>
      <c r="B935" s="13" t="s">
        <v>4362</v>
      </c>
      <c r="C935" s="42">
        <f t="shared" si="14"/>
        <v>283.03669080000003</v>
      </c>
      <c r="D935" s="14" t="s">
        <v>43</v>
      </c>
      <c r="E935" s="14">
        <v>2</v>
      </c>
      <c r="F935" s="14" t="s">
        <v>3983</v>
      </c>
      <c r="G935" s="14">
        <f>(VLOOKUP(D935,'[1]BOM Info General'!$A:$L,12,0))*E935</f>
        <v>130.12</v>
      </c>
      <c r="H935" s="15" t="s">
        <v>40</v>
      </c>
      <c r="I935" s="15">
        <v>1</v>
      </c>
      <c r="J935" s="15" t="s">
        <v>45</v>
      </c>
      <c r="K935" s="15">
        <f>(VLOOKUP(H935,'[1]BOM Info General'!$A:$L,12,0))*I935</f>
        <v>25.59</v>
      </c>
      <c r="L935" s="9" t="s">
        <v>87</v>
      </c>
      <c r="M935" s="9">
        <v>1</v>
      </c>
      <c r="N935" s="9" t="s">
        <v>84</v>
      </c>
      <c r="O935" s="9">
        <f>(VLOOKUP(L935,'[1]Simulation pricing per sub assy'!$D:$E,2,0))*M935</f>
        <v>95.206400000000031</v>
      </c>
      <c r="P935" s="16" t="s">
        <v>50</v>
      </c>
      <c r="Q935" s="16">
        <v>8</v>
      </c>
      <c r="R935" s="16" t="s">
        <v>16</v>
      </c>
      <c r="S935" s="40">
        <f>(VLOOKUP(P935,'[1]BOM Info General'!$A:$L,12,0))*Q935</f>
        <v>21.2</v>
      </c>
      <c r="T935" s="17" t="s">
        <v>24</v>
      </c>
      <c r="U935" s="17">
        <v>1</v>
      </c>
      <c r="V935" s="17" t="s">
        <v>25</v>
      </c>
      <c r="W935" s="17">
        <f>(VLOOKUP(T935,'[1]Simulation pricing per sub assy'!$D:$E,2,0))*U935</f>
        <v>6.44</v>
      </c>
      <c r="X935" s="18" t="s">
        <v>616</v>
      </c>
      <c r="Y935" s="18">
        <v>1</v>
      </c>
      <c r="Z935" s="18" t="s">
        <v>23</v>
      </c>
      <c r="AA935" s="18">
        <f>(VLOOKUP(X935,'[1]Simulation pricing per sub assy'!$D:$E,2,0))*Y935</f>
        <v>4.4802908000000006</v>
      </c>
    </row>
    <row r="936" spans="1:27" x14ac:dyDescent="0.35">
      <c r="A936" s="13" t="s">
        <v>411</v>
      </c>
      <c r="B936" s="13" t="s">
        <v>4363</v>
      </c>
      <c r="C936" s="42">
        <f t="shared" si="14"/>
        <v>290.99669080000001</v>
      </c>
      <c r="D936" s="14" t="s">
        <v>43</v>
      </c>
      <c r="E936" s="14">
        <v>2</v>
      </c>
      <c r="F936" s="14" t="s">
        <v>3983</v>
      </c>
      <c r="G936" s="14">
        <f>(VLOOKUP(D936,'[1]BOM Info General'!$A:$L,12,0))*E936</f>
        <v>130.12</v>
      </c>
      <c r="H936" s="15" t="s">
        <v>40</v>
      </c>
      <c r="I936" s="15">
        <v>1</v>
      </c>
      <c r="J936" s="15" t="s">
        <v>45</v>
      </c>
      <c r="K936" s="15">
        <f>(VLOOKUP(H936,'[1]BOM Info General'!$A:$L,12,0))*I936</f>
        <v>25.59</v>
      </c>
      <c r="L936" s="9" t="s">
        <v>83</v>
      </c>
      <c r="M936" s="9">
        <v>1</v>
      </c>
      <c r="N936" s="9" t="s">
        <v>86</v>
      </c>
      <c r="O936" s="9">
        <f>(VLOOKUP(L936,'[1]Simulation pricing per sub assy'!$D:$E,2,0))*M936</f>
        <v>103.16640000000004</v>
      </c>
      <c r="P936" s="16" t="s">
        <v>50</v>
      </c>
      <c r="Q936" s="16">
        <v>8</v>
      </c>
      <c r="R936" s="16" t="s">
        <v>16</v>
      </c>
      <c r="S936" s="40">
        <f>(VLOOKUP(P936,'[1]BOM Info General'!$A:$L,12,0))*Q936</f>
        <v>21.2</v>
      </c>
      <c r="T936" s="17" t="s">
        <v>24</v>
      </c>
      <c r="U936" s="17">
        <v>1</v>
      </c>
      <c r="V936" s="17" t="s">
        <v>25</v>
      </c>
      <c r="W936" s="17">
        <f>(VLOOKUP(T936,'[1]Simulation pricing per sub assy'!$D:$E,2,0))*U936</f>
        <v>6.44</v>
      </c>
      <c r="X936" s="18" t="s">
        <v>616</v>
      </c>
      <c r="Y936" s="18">
        <v>1</v>
      </c>
      <c r="Z936" s="18" t="s">
        <v>23</v>
      </c>
      <c r="AA936" s="18">
        <f>(VLOOKUP(X936,'[1]Simulation pricing per sub assy'!$D:$E,2,0))*Y936</f>
        <v>4.4802908000000006</v>
      </c>
    </row>
    <row r="937" spans="1:27" x14ac:dyDescent="0.35">
      <c r="A937" s="13" t="s">
        <v>448</v>
      </c>
      <c r="B937" s="13" t="s">
        <v>4364</v>
      </c>
      <c r="C937" s="42">
        <f t="shared" si="14"/>
        <v>283.08669080000004</v>
      </c>
      <c r="D937" s="14" t="s">
        <v>43</v>
      </c>
      <c r="E937" s="14">
        <v>2</v>
      </c>
      <c r="F937" s="14" t="s">
        <v>3983</v>
      </c>
      <c r="G937" s="14">
        <f>(VLOOKUP(D937,'[1]BOM Info General'!$A:$L,12,0))*E937</f>
        <v>130.12</v>
      </c>
      <c r="H937" s="15" t="s">
        <v>40</v>
      </c>
      <c r="I937" s="15">
        <v>1</v>
      </c>
      <c r="J937" s="15" t="s">
        <v>45</v>
      </c>
      <c r="K937" s="15">
        <f>(VLOOKUP(H937,'[1]BOM Info General'!$A:$L,12,0))*I937</f>
        <v>25.59</v>
      </c>
      <c r="L937" s="9" t="s">
        <v>528</v>
      </c>
      <c r="M937" s="9">
        <v>1</v>
      </c>
      <c r="N937" s="9" t="s">
        <v>88</v>
      </c>
      <c r="O937" s="9">
        <f>(VLOOKUP(L937,'[1]Simulation pricing per sub assy'!$D:$E,2,0))*M937</f>
        <v>94.656400000000033</v>
      </c>
      <c r="P937" s="16" t="s">
        <v>50</v>
      </c>
      <c r="Q937" s="16">
        <v>8</v>
      </c>
      <c r="R937" s="16" t="s">
        <v>16</v>
      </c>
      <c r="S937" s="40">
        <f>(VLOOKUP(P937,'[1]BOM Info General'!$A:$L,12,0))*Q937</f>
        <v>21.2</v>
      </c>
      <c r="T937" s="17" t="s">
        <v>26</v>
      </c>
      <c r="U937" s="17">
        <v>1</v>
      </c>
      <c r="V937" s="17" t="s">
        <v>27</v>
      </c>
      <c r="W937" s="17">
        <f>(VLOOKUP(T937,'[1]Simulation pricing per sub assy'!$D:$E,2,0))*U937</f>
        <v>7.04</v>
      </c>
      <c r="X937" s="18" t="s">
        <v>616</v>
      </c>
      <c r="Y937" s="18">
        <v>1</v>
      </c>
      <c r="Z937" s="18" t="s">
        <v>23</v>
      </c>
      <c r="AA937" s="18">
        <f>(VLOOKUP(X937,'[1]Simulation pricing per sub assy'!$D:$E,2,0))*Y937</f>
        <v>4.4802908000000006</v>
      </c>
    </row>
    <row r="938" spans="1:27" x14ac:dyDescent="0.35">
      <c r="A938" s="13" t="s">
        <v>304</v>
      </c>
      <c r="B938" s="13" t="s">
        <v>4365</v>
      </c>
      <c r="C938" s="42">
        <f t="shared" si="14"/>
        <v>284.18669080000006</v>
      </c>
      <c r="D938" s="14" t="s">
        <v>43</v>
      </c>
      <c r="E938" s="14">
        <v>2</v>
      </c>
      <c r="F938" s="14" t="s">
        <v>3983</v>
      </c>
      <c r="G938" s="14">
        <f>(VLOOKUP(D938,'[1]BOM Info General'!$A:$L,12,0))*E938</f>
        <v>130.12</v>
      </c>
      <c r="H938" s="15" t="s">
        <v>40</v>
      </c>
      <c r="I938" s="15">
        <v>1</v>
      </c>
      <c r="J938" s="15" t="s">
        <v>45</v>
      </c>
      <c r="K938" s="15">
        <f>(VLOOKUP(H938,'[1]BOM Info General'!$A:$L,12,0))*I938</f>
        <v>25.59</v>
      </c>
      <c r="L938" s="9" t="s">
        <v>85</v>
      </c>
      <c r="M938" s="9">
        <v>1</v>
      </c>
      <c r="N938" s="9" t="s">
        <v>82</v>
      </c>
      <c r="O938" s="9">
        <f>(VLOOKUP(L938,'[1]Simulation pricing per sub assy'!$D:$E,2,0))*M938</f>
        <v>95.756400000000042</v>
      </c>
      <c r="P938" s="16" t="s">
        <v>50</v>
      </c>
      <c r="Q938" s="16">
        <v>8</v>
      </c>
      <c r="R938" s="16" t="s">
        <v>16</v>
      </c>
      <c r="S938" s="40">
        <f>(VLOOKUP(P938,'[1]BOM Info General'!$A:$L,12,0))*Q938</f>
        <v>21.2</v>
      </c>
      <c r="T938" s="17" t="s">
        <v>26</v>
      </c>
      <c r="U938" s="17">
        <v>1</v>
      </c>
      <c r="V938" s="17" t="s">
        <v>27</v>
      </c>
      <c r="W938" s="17">
        <f>(VLOOKUP(T938,'[1]Simulation pricing per sub assy'!$D:$E,2,0))*U938</f>
        <v>7.04</v>
      </c>
      <c r="X938" s="18" t="s">
        <v>616</v>
      </c>
      <c r="Y938" s="18">
        <v>1</v>
      </c>
      <c r="Z938" s="18" t="s">
        <v>23</v>
      </c>
      <c r="AA938" s="18">
        <f>(VLOOKUP(X938,'[1]Simulation pricing per sub assy'!$D:$E,2,0))*Y938</f>
        <v>4.4802908000000006</v>
      </c>
    </row>
    <row r="939" spans="1:27" x14ac:dyDescent="0.35">
      <c r="A939" s="13" t="s">
        <v>376</v>
      </c>
      <c r="B939" s="13" t="s">
        <v>4366</v>
      </c>
      <c r="C939" s="42">
        <f t="shared" si="14"/>
        <v>284.18669080000006</v>
      </c>
      <c r="D939" s="14" t="s">
        <v>43</v>
      </c>
      <c r="E939" s="14">
        <v>2</v>
      </c>
      <c r="F939" s="14" t="s">
        <v>3983</v>
      </c>
      <c r="G939" s="14">
        <f>(VLOOKUP(D939,'[1]BOM Info General'!$A:$L,12,0))*E939</f>
        <v>130.12</v>
      </c>
      <c r="H939" s="15" t="s">
        <v>40</v>
      </c>
      <c r="I939" s="15">
        <v>1</v>
      </c>
      <c r="J939" s="15" t="s">
        <v>45</v>
      </c>
      <c r="K939" s="15">
        <f>(VLOOKUP(H939,'[1]BOM Info General'!$A:$L,12,0))*I939</f>
        <v>25.59</v>
      </c>
      <c r="L939" s="9" t="s">
        <v>81</v>
      </c>
      <c r="M939" s="9">
        <v>1</v>
      </c>
      <c r="N939" s="9" t="s">
        <v>80</v>
      </c>
      <c r="O939" s="9">
        <f>(VLOOKUP(L939,'[1]Simulation pricing per sub assy'!$D:$E,2,0))*M939</f>
        <v>95.756400000000042</v>
      </c>
      <c r="P939" s="16" t="s">
        <v>50</v>
      </c>
      <c r="Q939" s="16">
        <v>8</v>
      </c>
      <c r="R939" s="16" t="s">
        <v>16</v>
      </c>
      <c r="S939" s="40">
        <f>(VLOOKUP(P939,'[1]BOM Info General'!$A:$L,12,0))*Q939</f>
        <v>21.2</v>
      </c>
      <c r="T939" s="17" t="s">
        <v>26</v>
      </c>
      <c r="U939" s="17">
        <v>1</v>
      </c>
      <c r="V939" s="17" t="s">
        <v>27</v>
      </c>
      <c r="W939" s="17">
        <f>(VLOOKUP(T939,'[1]Simulation pricing per sub assy'!$D:$E,2,0))*U939</f>
        <v>7.04</v>
      </c>
      <c r="X939" s="18" t="s">
        <v>616</v>
      </c>
      <c r="Y939" s="18">
        <v>1</v>
      </c>
      <c r="Z939" s="18" t="s">
        <v>23</v>
      </c>
      <c r="AA939" s="18">
        <f>(VLOOKUP(X939,'[1]Simulation pricing per sub assy'!$D:$E,2,0))*Y939</f>
        <v>4.4802908000000006</v>
      </c>
    </row>
    <row r="940" spans="1:27" x14ac:dyDescent="0.35">
      <c r="A940" s="13" t="s">
        <v>340</v>
      </c>
      <c r="B940" s="13" t="s">
        <v>4367</v>
      </c>
      <c r="C940" s="42">
        <f t="shared" si="14"/>
        <v>283.63669080000005</v>
      </c>
      <c r="D940" s="14" t="s">
        <v>43</v>
      </c>
      <c r="E940" s="14">
        <v>2</v>
      </c>
      <c r="F940" s="14" t="s">
        <v>3983</v>
      </c>
      <c r="G940" s="14">
        <f>(VLOOKUP(D940,'[1]BOM Info General'!$A:$L,12,0))*E940</f>
        <v>130.12</v>
      </c>
      <c r="H940" s="15" t="s">
        <v>40</v>
      </c>
      <c r="I940" s="15">
        <v>1</v>
      </c>
      <c r="J940" s="15" t="s">
        <v>45</v>
      </c>
      <c r="K940" s="15">
        <f>(VLOOKUP(H940,'[1]BOM Info General'!$A:$L,12,0))*I940</f>
        <v>25.59</v>
      </c>
      <c r="L940" s="9" t="s">
        <v>87</v>
      </c>
      <c r="M940" s="9">
        <v>1</v>
      </c>
      <c r="N940" s="9" t="s">
        <v>84</v>
      </c>
      <c r="O940" s="9">
        <f>(VLOOKUP(L940,'[1]Simulation pricing per sub assy'!$D:$E,2,0))*M940</f>
        <v>95.206400000000031</v>
      </c>
      <c r="P940" s="16" t="s">
        <v>50</v>
      </c>
      <c r="Q940" s="16">
        <v>8</v>
      </c>
      <c r="R940" s="16" t="s">
        <v>16</v>
      </c>
      <c r="S940" s="40">
        <f>(VLOOKUP(P940,'[1]BOM Info General'!$A:$L,12,0))*Q940</f>
        <v>21.2</v>
      </c>
      <c r="T940" s="17" t="s">
        <v>26</v>
      </c>
      <c r="U940" s="17">
        <v>1</v>
      </c>
      <c r="V940" s="17" t="s">
        <v>27</v>
      </c>
      <c r="W940" s="17">
        <f>(VLOOKUP(T940,'[1]Simulation pricing per sub assy'!$D:$E,2,0))*U940</f>
        <v>7.04</v>
      </c>
      <c r="X940" s="18" t="s">
        <v>616</v>
      </c>
      <c r="Y940" s="18">
        <v>1</v>
      </c>
      <c r="Z940" s="18" t="s">
        <v>23</v>
      </c>
      <c r="AA940" s="18">
        <f>(VLOOKUP(X940,'[1]Simulation pricing per sub assy'!$D:$E,2,0))*Y940</f>
        <v>4.4802908000000006</v>
      </c>
    </row>
    <row r="941" spans="1:27" x14ac:dyDescent="0.35">
      <c r="A941" s="13" t="s">
        <v>412</v>
      </c>
      <c r="B941" s="13" t="s">
        <v>4368</v>
      </c>
      <c r="C941" s="42">
        <f t="shared" si="14"/>
        <v>291.59669080000003</v>
      </c>
      <c r="D941" s="14" t="s">
        <v>43</v>
      </c>
      <c r="E941" s="14">
        <v>2</v>
      </c>
      <c r="F941" s="14" t="s">
        <v>3983</v>
      </c>
      <c r="G941" s="14">
        <f>(VLOOKUP(D941,'[1]BOM Info General'!$A:$L,12,0))*E941</f>
        <v>130.12</v>
      </c>
      <c r="H941" s="15" t="s">
        <v>40</v>
      </c>
      <c r="I941" s="15">
        <v>1</v>
      </c>
      <c r="J941" s="15" t="s">
        <v>45</v>
      </c>
      <c r="K941" s="15">
        <f>(VLOOKUP(H941,'[1]BOM Info General'!$A:$L,12,0))*I941</f>
        <v>25.59</v>
      </c>
      <c r="L941" s="9" t="s">
        <v>83</v>
      </c>
      <c r="M941" s="9">
        <v>1</v>
      </c>
      <c r="N941" s="9" t="s">
        <v>86</v>
      </c>
      <c r="O941" s="9">
        <f>(VLOOKUP(L941,'[1]Simulation pricing per sub assy'!$D:$E,2,0))*M941</f>
        <v>103.16640000000004</v>
      </c>
      <c r="P941" s="16" t="s">
        <v>50</v>
      </c>
      <c r="Q941" s="16">
        <v>8</v>
      </c>
      <c r="R941" s="16" t="s">
        <v>16</v>
      </c>
      <c r="S941" s="40">
        <f>(VLOOKUP(P941,'[1]BOM Info General'!$A:$L,12,0))*Q941</f>
        <v>21.2</v>
      </c>
      <c r="T941" s="17" t="s">
        <v>26</v>
      </c>
      <c r="U941" s="17">
        <v>1</v>
      </c>
      <c r="V941" s="17" t="s">
        <v>27</v>
      </c>
      <c r="W941" s="17">
        <f>(VLOOKUP(T941,'[1]Simulation pricing per sub assy'!$D:$E,2,0))*U941</f>
        <v>7.04</v>
      </c>
      <c r="X941" s="18" t="s">
        <v>616</v>
      </c>
      <c r="Y941" s="18">
        <v>1</v>
      </c>
      <c r="Z941" s="18" t="s">
        <v>23</v>
      </c>
      <c r="AA941" s="18">
        <f>(VLOOKUP(X941,'[1]Simulation pricing per sub assy'!$D:$E,2,0))*Y941</f>
        <v>4.4802908000000006</v>
      </c>
    </row>
    <row r="942" spans="1:27" x14ac:dyDescent="0.35">
      <c r="A942" s="13" t="s">
        <v>449</v>
      </c>
      <c r="B942" s="13" t="s">
        <v>4369</v>
      </c>
      <c r="C942" s="42">
        <f t="shared" si="14"/>
        <v>283.04669080000002</v>
      </c>
      <c r="D942" s="14" t="s">
        <v>43</v>
      </c>
      <c r="E942" s="14">
        <v>2</v>
      </c>
      <c r="F942" s="14" t="s">
        <v>3983</v>
      </c>
      <c r="G942" s="14">
        <f>(VLOOKUP(D942,'[1]BOM Info General'!$A:$L,12,0))*E942</f>
        <v>130.12</v>
      </c>
      <c r="H942" s="15" t="s">
        <v>40</v>
      </c>
      <c r="I942" s="15">
        <v>1</v>
      </c>
      <c r="J942" s="15" t="s">
        <v>45</v>
      </c>
      <c r="K942" s="15">
        <f>(VLOOKUP(H942,'[1]BOM Info General'!$A:$L,12,0))*I942</f>
        <v>25.59</v>
      </c>
      <c r="L942" s="9" t="s">
        <v>528</v>
      </c>
      <c r="M942" s="9">
        <v>1</v>
      </c>
      <c r="N942" s="9" t="s">
        <v>88</v>
      </c>
      <c r="O942" s="9">
        <f>(VLOOKUP(L942,'[1]Simulation pricing per sub assy'!$D:$E,2,0))*M942</f>
        <v>94.656400000000033</v>
      </c>
      <c r="P942" s="16" t="s">
        <v>50</v>
      </c>
      <c r="Q942" s="16">
        <v>8</v>
      </c>
      <c r="R942" s="16" t="s">
        <v>16</v>
      </c>
      <c r="S942" s="40">
        <f>(VLOOKUP(P942,'[1]BOM Info General'!$A:$L,12,0))*Q942</f>
        <v>21.2</v>
      </c>
      <c r="T942" s="17" t="s">
        <v>28</v>
      </c>
      <c r="U942" s="17">
        <v>1</v>
      </c>
      <c r="V942" s="17" t="s">
        <v>29</v>
      </c>
      <c r="W942" s="17">
        <f>(VLOOKUP(T942,'[1]Simulation pricing per sub assy'!$D:$E,2,0))*U942</f>
        <v>7</v>
      </c>
      <c r="X942" s="18" t="s">
        <v>616</v>
      </c>
      <c r="Y942" s="18">
        <v>1</v>
      </c>
      <c r="Z942" s="18" t="s">
        <v>23</v>
      </c>
      <c r="AA942" s="18">
        <f>(VLOOKUP(X942,'[1]Simulation pricing per sub assy'!$D:$E,2,0))*Y942</f>
        <v>4.4802908000000006</v>
      </c>
    </row>
    <row r="943" spans="1:27" x14ac:dyDescent="0.35">
      <c r="A943" s="13" t="s">
        <v>305</v>
      </c>
      <c r="B943" s="13" t="s">
        <v>4370</v>
      </c>
      <c r="C943" s="42">
        <f t="shared" si="14"/>
        <v>284.14669080000004</v>
      </c>
      <c r="D943" s="14" t="s">
        <v>43</v>
      </c>
      <c r="E943" s="14">
        <v>2</v>
      </c>
      <c r="F943" s="14" t="s">
        <v>3983</v>
      </c>
      <c r="G943" s="14">
        <f>(VLOOKUP(D943,'[1]BOM Info General'!$A:$L,12,0))*E943</f>
        <v>130.12</v>
      </c>
      <c r="H943" s="15" t="s">
        <v>40</v>
      </c>
      <c r="I943" s="15">
        <v>1</v>
      </c>
      <c r="J943" s="15" t="s">
        <v>45</v>
      </c>
      <c r="K943" s="15">
        <f>(VLOOKUP(H943,'[1]BOM Info General'!$A:$L,12,0))*I943</f>
        <v>25.59</v>
      </c>
      <c r="L943" s="9" t="s">
        <v>85</v>
      </c>
      <c r="M943" s="9">
        <v>1</v>
      </c>
      <c r="N943" s="9" t="s">
        <v>82</v>
      </c>
      <c r="O943" s="9">
        <f>(VLOOKUP(L943,'[1]Simulation pricing per sub assy'!$D:$E,2,0))*M943</f>
        <v>95.756400000000042</v>
      </c>
      <c r="P943" s="16" t="s">
        <v>50</v>
      </c>
      <c r="Q943" s="16">
        <v>8</v>
      </c>
      <c r="R943" s="16" t="s">
        <v>16</v>
      </c>
      <c r="S943" s="40">
        <f>(VLOOKUP(P943,'[1]BOM Info General'!$A:$L,12,0))*Q943</f>
        <v>21.2</v>
      </c>
      <c r="T943" s="17" t="s">
        <v>28</v>
      </c>
      <c r="U943" s="17">
        <v>1</v>
      </c>
      <c r="V943" s="17" t="s">
        <v>29</v>
      </c>
      <c r="W943" s="17">
        <f>(VLOOKUP(T943,'[1]Simulation pricing per sub assy'!$D:$E,2,0))*U943</f>
        <v>7</v>
      </c>
      <c r="X943" s="18" t="s">
        <v>616</v>
      </c>
      <c r="Y943" s="18">
        <v>1</v>
      </c>
      <c r="Z943" s="18" t="s">
        <v>23</v>
      </c>
      <c r="AA943" s="18">
        <f>(VLOOKUP(X943,'[1]Simulation pricing per sub assy'!$D:$E,2,0))*Y943</f>
        <v>4.4802908000000006</v>
      </c>
    </row>
    <row r="944" spans="1:27" x14ac:dyDescent="0.35">
      <c r="A944" s="13" t="s">
        <v>377</v>
      </c>
      <c r="B944" s="13" t="s">
        <v>4371</v>
      </c>
      <c r="C944" s="42">
        <f t="shared" si="14"/>
        <v>284.14669080000004</v>
      </c>
      <c r="D944" s="14" t="s">
        <v>43</v>
      </c>
      <c r="E944" s="14">
        <v>2</v>
      </c>
      <c r="F944" s="14" t="s">
        <v>3983</v>
      </c>
      <c r="G944" s="14">
        <f>(VLOOKUP(D944,'[1]BOM Info General'!$A:$L,12,0))*E944</f>
        <v>130.12</v>
      </c>
      <c r="H944" s="15" t="s">
        <v>40</v>
      </c>
      <c r="I944" s="15">
        <v>1</v>
      </c>
      <c r="J944" s="15" t="s">
        <v>45</v>
      </c>
      <c r="K944" s="15">
        <f>(VLOOKUP(H944,'[1]BOM Info General'!$A:$L,12,0))*I944</f>
        <v>25.59</v>
      </c>
      <c r="L944" s="9" t="s">
        <v>81</v>
      </c>
      <c r="M944" s="9">
        <v>1</v>
      </c>
      <c r="N944" s="9" t="s">
        <v>80</v>
      </c>
      <c r="O944" s="9">
        <f>(VLOOKUP(L944,'[1]Simulation pricing per sub assy'!$D:$E,2,0))*M944</f>
        <v>95.756400000000042</v>
      </c>
      <c r="P944" s="16" t="s">
        <v>50</v>
      </c>
      <c r="Q944" s="16">
        <v>8</v>
      </c>
      <c r="R944" s="16" t="s">
        <v>16</v>
      </c>
      <c r="S944" s="40">
        <f>(VLOOKUP(P944,'[1]BOM Info General'!$A:$L,12,0))*Q944</f>
        <v>21.2</v>
      </c>
      <c r="T944" s="17" t="s">
        <v>28</v>
      </c>
      <c r="U944" s="17">
        <v>1</v>
      </c>
      <c r="V944" s="17" t="s">
        <v>29</v>
      </c>
      <c r="W944" s="17">
        <f>(VLOOKUP(T944,'[1]Simulation pricing per sub assy'!$D:$E,2,0))*U944</f>
        <v>7</v>
      </c>
      <c r="X944" s="18" t="s">
        <v>616</v>
      </c>
      <c r="Y944" s="18">
        <v>1</v>
      </c>
      <c r="Z944" s="18" t="s">
        <v>23</v>
      </c>
      <c r="AA944" s="18">
        <f>(VLOOKUP(X944,'[1]Simulation pricing per sub assy'!$D:$E,2,0))*Y944</f>
        <v>4.4802908000000006</v>
      </c>
    </row>
    <row r="945" spans="1:27" x14ac:dyDescent="0.35">
      <c r="A945" s="13" t="s">
        <v>341</v>
      </c>
      <c r="B945" s="13" t="s">
        <v>4372</v>
      </c>
      <c r="C945" s="42">
        <f t="shared" si="14"/>
        <v>283.59669080000003</v>
      </c>
      <c r="D945" s="14" t="s">
        <v>43</v>
      </c>
      <c r="E945" s="14">
        <v>2</v>
      </c>
      <c r="F945" s="14" t="s">
        <v>3983</v>
      </c>
      <c r="G945" s="14">
        <f>(VLOOKUP(D945,'[1]BOM Info General'!$A:$L,12,0))*E945</f>
        <v>130.12</v>
      </c>
      <c r="H945" s="15" t="s">
        <v>40</v>
      </c>
      <c r="I945" s="15">
        <v>1</v>
      </c>
      <c r="J945" s="15" t="s">
        <v>45</v>
      </c>
      <c r="K945" s="15">
        <f>(VLOOKUP(H945,'[1]BOM Info General'!$A:$L,12,0))*I945</f>
        <v>25.59</v>
      </c>
      <c r="L945" s="9" t="s">
        <v>87</v>
      </c>
      <c r="M945" s="9">
        <v>1</v>
      </c>
      <c r="N945" s="9" t="s">
        <v>84</v>
      </c>
      <c r="O945" s="9">
        <f>(VLOOKUP(L945,'[1]Simulation pricing per sub assy'!$D:$E,2,0))*M945</f>
        <v>95.206400000000031</v>
      </c>
      <c r="P945" s="16" t="s">
        <v>50</v>
      </c>
      <c r="Q945" s="16">
        <v>8</v>
      </c>
      <c r="R945" s="16" t="s">
        <v>16</v>
      </c>
      <c r="S945" s="40">
        <f>(VLOOKUP(P945,'[1]BOM Info General'!$A:$L,12,0))*Q945</f>
        <v>21.2</v>
      </c>
      <c r="T945" s="17" t="s">
        <v>28</v>
      </c>
      <c r="U945" s="17">
        <v>1</v>
      </c>
      <c r="V945" s="17" t="s">
        <v>29</v>
      </c>
      <c r="W945" s="17">
        <f>(VLOOKUP(T945,'[1]Simulation pricing per sub assy'!$D:$E,2,0))*U945</f>
        <v>7</v>
      </c>
      <c r="X945" s="18" t="s">
        <v>616</v>
      </c>
      <c r="Y945" s="18">
        <v>1</v>
      </c>
      <c r="Z945" s="18" t="s">
        <v>23</v>
      </c>
      <c r="AA945" s="18">
        <f>(VLOOKUP(X945,'[1]Simulation pricing per sub assy'!$D:$E,2,0))*Y945</f>
        <v>4.4802908000000006</v>
      </c>
    </row>
    <row r="946" spans="1:27" x14ac:dyDescent="0.35">
      <c r="A946" s="13" t="s">
        <v>413</v>
      </c>
      <c r="B946" s="13" t="s">
        <v>4373</v>
      </c>
      <c r="C946" s="42">
        <f t="shared" si="14"/>
        <v>291.55669080000001</v>
      </c>
      <c r="D946" s="14" t="s">
        <v>43</v>
      </c>
      <c r="E946" s="14">
        <v>2</v>
      </c>
      <c r="F946" s="14" t="s">
        <v>3983</v>
      </c>
      <c r="G946" s="14">
        <f>(VLOOKUP(D946,'[1]BOM Info General'!$A:$L,12,0))*E946</f>
        <v>130.12</v>
      </c>
      <c r="H946" s="15" t="s">
        <v>40</v>
      </c>
      <c r="I946" s="15">
        <v>1</v>
      </c>
      <c r="J946" s="15" t="s">
        <v>45</v>
      </c>
      <c r="K946" s="15">
        <f>(VLOOKUP(H946,'[1]BOM Info General'!$A:$L,12,0))*I946</f>
        <v>25.59</v>
      </c>
      <c r="L946" s="9" t="s">
        <v>83</v>
      </c>
      <c r="M946" s="9">
        <v>1</v>
      </c>
      <c r="N946" s="9" t="s">
        <v>86</v>
      </c>
      <c r="O946" s="9">
        <f>(VLOOKUP(L946,'[1]Simulation pricing per sub assy'!$D:$E,2,0))*M946</f>
        <v>103.16640000000004</v>
      </c>
      <c r="P946" s="16" t="s">
        <v>50</v>
      </c>
      <c r="Q946" s="16">
        <v>8</v>
      </c>
      <c r="R946" s="16" t="s">
        <v>16</v>
      </c>
      <c r="S946" s="40">
        <f>(VLOOKUP(P946,'[1]BOM Info General'!$A:$L,12,0))*Q946</f>
        <v>21.2</v>
      </c>
      <c r="T946" s="17" t="s">
        <v>28</v>
      </c>
      <c r="U946" s="17">
        <v>1</v>
      </c>
      <c r="V946" s="17" t="s">
        <v>29</v>
      </c>
      <c r="W946" s="17">
        <f>(VLOOKUP(T946,'[1]Simulation pricing per sub assy'!$D:$E,2,0))*U946</f>
        <v>7</v>
      </c>
      <c r="X946" s="18" t="s">
        <v>616</v>
      </c>
      <c r="Y946" s="18">
        <v>1</v>
      </c>
      <c r="Z946" s="18" t="s">
        <v>23</v>
      </c>
      <c r="AA946" s="18">
        <f>(VLOOKUP(X946,'[1]Simulation pricing per sub assy'!$D:$E,2,0))*Y946</f>
        <v>4.4802908000000006</v>
      </c>
    </row>
    <row r="947" spans="1:27" x14ac:dyDescent="0.35">
      <c r="A947" s="13" t="s">
        <v>450</v>
      </c>
      <c r="B947" s="13" t="s">
        <v>4374</v>
      </c>
      <c r="C947" s="42">
        <f t="shared" si="14"/>
        <v>282.48669080000002</v>
      </c>
      <c r="D947" s="14" t="s">
        <v>43</v>
      </c>
      <c r="E947" s="14">
        <v>2</v>
      </c>
      <c r="F947" s="14" t="s">
        <v>3983</v>
      </c>
      <c r="G947" s="14">
        <f>(VLOOKUP(D947,'[1]BOM Info General'!$A:$L,12,0))*E947</f>
        <v>130.12</v>
      </c>
      <c r="H947" s="15" t="s">
        <v>40</v>
      </c>
      <c r="I947" s="15">
        <v>1</v>
      </c>
      <c r="J947" s="15" t="s">
        <v>45</v>
      </c>
      <c r="K947" s="15">
        <f>(VLOOKUP(H947,'[1]BOM Info General'!$A:$L,12,0))*I947</f>
        <v>25.59</v>
      </c>
      <c r="L947" s="9" t="s">
        <v>528</v>
      </c>
      <c r="M947" s="9">
        <v>1</v>
      </c>
      <c r="N947" s="9" t="s">
        <v>88</v>
      </c>
      <c r="O947" s="9">
        <f>(VLOOKUP(L947,'[1]Simulation pricing per sub assy'!$D:$E,2,0))*M947</f>
        <v>94.656400000000033</v>
      </c>
      <c r="P947" s="16" t="s">
        <v>51</v>
      </c>
      <c r="Q947" s="16">
        <v>8</v>
      </c>
      <c r="R947" s="16" t="s">
        <v>17</v>
      </c>
      <c r="S947" s="40">
        <f>(VLOOKUP(P947,'[1]BOM Info General'!$A:$L,12,0))*Q947</f>
        <v>21.2</v>
      </c>
      <c r="T947" s="17" t="s">
        <v>24</v>
      </c>
      <c r="U947" s="17">
        <v>1</v>
      </c>
      <c r="V947" s="17" t="s">
        <v>25</v>
      </c>
      <c r="W947" s="17">
        <f>(VLOOKUP(T947,'[1]Simulation pricing per sub assy'!$D:$E,2,0))*U947</f>
        <v>6.44</v>
      </c>
      <c r="X947" s="18" t="s">
        <v>616</v>
      </c>
      <c r="Y947" s="18">
        <v>1</v>
      </c>
      <c r="Z947" s="18" t="s">
        <v>23</v>
      </c>
      <c r="AA947" s="18">
        <f>(VLOOKUP(X947,'[1]Simulation pricing per sub assy'!$D:$E,2,0))*Y947</f>
        <v>4.4802908000000006</v>
      </c>
    </row>
    <row r="948" spans="1:27" x14ac:dyDescent="0.35">
      <c r="A948" s="13" t="s">
        <v>306</v>
      </c>
      <c r="B948" s="13" t="s">
        <v>4375</v>
      </c>
      <c r="C948" s="42">
        <f t="shared" si="14"/>
        <v>283.58669080000004</v>
      </c>
      <c r="D948" s="14" t="s">
        <v>43</v>
      </c>
      <c r="E948" s="14">
        <v>2</v>
      </c>
      <c r="F948" s="14" t="s">
        <v>3983</v>
      </c>
      <c r="G948" s="14">
        <f>(VLOOKUP(D948,'[1]BOM Info General'!$A:$L,12,0))*E948</f>
        <v>130.12</v>
      </c>
      <c r="H948" s="15" t="s">
        <v>40</v>
      </c>
      <c r="I948" s="15">
        <v>1</v>
      </c>
      <c r="J948" s="15" t="s">
        <v>45</v>
      </c>
      <c r="K948" s="15">
        <f>(VLOOKUP(H948,'[1]BOM Info General'!$A:$L,12,0))*I948</f>
        <v>25.59</v>
      </c>
      <c r="L948" s="9" t="s">
        <v>85</v>
      </c>
      <c r="M948" s="9">
        <v>1</v>
      </c>
      <c r="N948" s="9" t="s">
        <v>82</v>
      </c>
      <c r="O948" s="9">
        <f>(VLOOKUP(L948,'[1]Simulation pricing per sub assy'!$D:$E,2,0))*M948</f>
        <v>95.756400000000042</v>
      </c>
      <c r="P948" s="16" t="s">
        <v>51</v>
      </c>
      <c r="Q948" s="16">
        <v>8</v>
      </c>
      <c r="R948" s="16" t="s">
        <v>17</v>
      </c>
      <c r="S948" s="40">
        <f>(VLOOKUP(P948,'[1]BOM Info General'!$A:$L,12,0))*Q948</f>
        <v>21.2</v>
      </c>
      <c r="T948" s="17" t="s">
        <v>24</v>
      </c>
      <c r="U948" s="17">
        <v>1</v>
      </c>
      <c r="V948" s="17" t="s">
        <v>25</v>
      </c>
      <c r="W948" s="17">
        <f>(VLOOKUP(T948,'[1]Simulation pricing per sub assy'!$D:$E,2,0))*U948</f>
        <v>6.44</v>
      </c>
      <c r="X948" s="18" t="s">
        <v>616</v>
      </c>
      <c r="Y948" s="18">
        <v>1</v>
      </c>
      <c r="Z948" s="18" t="s">
        <v>23</v>
      </c>
      <c r="AA948" s="18">
        <f>(VLOOKUP(X948,'[1]Simulation pricing per sub assy'!$D:$E,2,0))*Y948</f>
        <v>4.4802908000000006</v>
      </c>
    </row>
    <row r="949" spans="1:27" x14ac:dyDescent="0.35">
      <c r="A949" s="13" t="s">
        <v>378</v>
      </c>
      <c r="B949" s="13" t="s">
        <v>4376</v>
      </c>
      <c r="C949" s="42">
        <f t="shared" si="14"/>
        <v>283.58669080000004</v>
      </c>
      <c r="D949" s="14" t="s">
        <v>43</v>
      </c>
      <c r="E949" s="14">
        <v>2</v>
      </c>
      <c r="F949" s="14" t="s">
        <v>3983</v>
      </c>
      <c r="G949" s="14">
        <f>(VLOOKUP(D949,'[1]BOM Info General'!$A:$L,12,0))*E949</f>
        <v>130.12</v>
      </c>
      <c r="H949" s="15" t="s">
        <v>40</v>
      </c>
      <c r="I949" s="15">
        <v>1</v>
      </c>
      <c r="J949" s="15" t="s">
        <v>45</v>
      </c>
      <c r="K949" s="15">
        <f>(VLOOKUP(H949,'[1]BOM Info General'!$A:$L,12,0))*I949</f>
        <v>25.59</v>
      </c>
      <c r="L949" s="9" t="s">
        <v>81</v>
      </c>
      <c r="M949" s="9">
        <v>1</v>
      </c>
      <c r="N949" s="9" t="s">
        <v>80</v>
      </c>
      <c r="O949" s="9">
        <f>(VLOOKUP(L949,'[1]Simulation pricing per sub assy'!$D:$E,2,0))*M949</f>
        <v>95.756400000000042</v>
      </c>
      <c r="P949" s="16" t="s">
        <v>51</v>
      </c>
      <c r="Q949" s="16">
        <v>8</v>
      </c>
      <c r="R949" s="16" t="s">
        <v>17</v>
      </c>
      <c r="S949" s="40">
        <f>(VLOOKUP(P949,'[1]BOM Info General'!$A:$L,12,0))*Q949</f>
        <v>21.2</v>
      </c>
      <c r="T949" s="17" t="s">
        <v>24</v>
      </c>
      <c r="U949" s="17">
        <v>1</v>
      </c>
      <c r="V949" s="17" t="s">
        <v>25</v>
      </c>
      <c r="W949" s="17">
        <f>(VLOOKUP(T949,'[1]Simulation pricing per sub assy'!$D:$E,2,0))*U949</f>
        <v>6.44</v>
      </c>
      <c r="X949" s="18" t="s">
        <v>616</v>
      </c>
      <c r="Y949" s="18">
        <v>1</v>
      </c>
      <c r="Z949" s="18" t="s">
        <v>23</v>
      </c>
      <c r="AA949" s="18">
        <f>(VLOOKUP(X949,'[1]Simulation pricing per sub assy'!$D:$E,2,0))*Y949</f>
        <v>4.4802908000000006</v>
      </c>
    </row>
    <row r="950" spans="1:27" x14ac:dyDescent="0.35">
      <c r="A950" s="13" t="s">
        <v>342</v>
      </c>
      <c r="B950" s="13" t="s">
        <v>4377</v>
      </c>
      <c r="C950" s="42">
        <f t="shared" si="14"/>
        <v>283.03669080000003</v>
      </c>
      <c r="D950" s="14" t="s">
        <v>43</v>
      </c>
      <c r="E950" s="14">
        <v>2</v>
      </c>
      <c r="F950" s="14" t="s">
        <v>3983</v>
      </c>
      <c r="G950" s="14">
        <f>(VLOOKUP(D950,'[1]BOM Info General'!$A:$L,12,0))*E950</f>
        <v>130.12</v>
      </c>
      <c r="H950" s="15" t="s">
        <v>40</v>
      </c>
      <c r="I950" s="15">
        <v>1</v>
      </c>
      <c r="J950" s="15" t="s">
        <v>45</v>
      </c>
      <c r="K950" s="15">
        <f>(VLOOKUP(H950,'[1]BOM Info General'!$A:$L,12,0))*I950</f>
        <v>25.59</v>
      </c>
      <c r="L950" s="9" t="s">
        <v>87</v>
      </c>
      <c r="M950" s="9">
        <v>1</v>
      </c>
      <c r="N950" s="9" t="s">
        <v>84</v>
      </c>
      <c r="O950" s="9">
        <f>(VLOOKUP(L950,'[1]Simulation pricing per sub assy'!$D:$E,2,0))*M950</f>
        <v>95.206400000000031</v>
      </c>
      <c r="P950" s="16" t="s">
        <v>51</v>
      </c>
      <c r="Q950" s="16">
        <v>8</v>
      </c>
      <c r="R950" s="16" t="s">
        <v>17</v>
      </c>
      <c r="S950" s="40">
        <f>(VLOOKUP(P950,'[1]BOM Info General'!$A:$L,12,0))*Q950</f>
        <v>21.2</v>
      </c>
      <c r="T950" s="17" t="s">
        <v>24</v>
      </c>
      <c r="U950" s="17">
        <v>1</v>
      </c>
      <c r="V950" s="17" t="s">
        <v>25</v>
      </c>
      <c r="W950" s="17">
        <f>(VLOOKUP(T950,'[1]Simulation pricing per sub assy'!$D:$E,2,0))*U950</f>
        <v>6.44</v>
      </c>
      <c r="X950" s="18" t="s">
        <v>616</v>
      </c>
      <c r="Y950" s="18">
        <v>1</v>
      </c>
      <c r="Z950" s="18" t="s">
        <v>23</v>
      </c>
      <c r="AA950" s="18">
        <f>(VLOOKUP(X950,'[1]Simulation pricing per sub assy'!$D:$E,2,0))*Y950</f>
        <v>4.4802908000000006</v>
      </c>
    </row>
    <row r="951" spans="1:27" x14ac:dyDescent="0.35">
      <c r="A951" s="13" t="s">
        <v>414</v>
      </c>
      <c r="B951" s="13" t="s">
        <v>4378</v>
      </c>
      <c r="C951" s="42">
        <f t="shared" si="14"/>
        <v>290.99669080000001</v>
      </c>
      <c r="D951" s="14" t="s">
        <v>43</v>
      </c>
      <c r="E951" s="14">
        <v>2</v>
      </c>
      <c r="F951" s="14" t="s">
        <v>3983</v>
      </c>
      <c r="G951" s="14">
        <f>(VLOOKUP(D951,'[1]BOM Info General'!$A:$L,12,0))*E951</f>
        <v>130.12</v>
      </c>
      <c r="H951" s="15" t="s">
        <v>40</v>
      </c>
      <c r="I951" s="15">
        <v>1</v>
      </c>
      <c r="J951" s="15" t="s">
        <v>45</v>
      </c>
      <c r="K951" s="15">
        <f>(VLOOKUP(H951,'[1]BOM Info General'!$A:$L,12,0))*I951</f>
        <v>25.59</v>
      </c>
      <c r="L951" s="9" t="s">
        <v>83</v>
      </c>
      <c r="M951" s="9">
        <v>1</v>
      </c>
      <c r="N951" s="9" t="s">
        <v>86</v>
      </c>
      <c r="O951" s="9">
        <f>(VLOOKUP(L951,'[1]Simulation pricing per sub assy'!$D:$E,2,0))*M951</f>
        <v>103.16640000000004</v>
      </c>
      <c r="P951" s="16" t="s">
        <v>51</v>
      </c>
      <c r="Q951" s="16">
        <v>8</v>
      </c>
      <c r="R951" s="16" t="s">
        <v>17</v>
      </c>
      <c r="S951" s="40">
        <f>(VLOOKUP(P951,'[1]BOM Info General'!$A:$L,12,0))*Q951</f>
        <v>21.2</v>
      </c>
      <c r="T951" s="17" t="s">
        <v>24</v>
      </c>
      <c r="U951" s="17">
        <v>1</v>
      </c>
      <c r="V951" s="17" t="s">
        <v>25</v>
      </c>
      <c r="W951" s="17">
        <f>(VLOOKUP(T951,'[1]Simulation pricing per sub assy'!$D:$E,2,0))*U951</f>
        <v>6.44</v>
      </c>
      <c r="X951" s="18" t="s">
        <v>616</v>
      </c>
      <c r="Y951" s="18">
        <v>1</v>
      </c>
      <c r="Z951" s="18" t="s">
        <v>23</v>
      </c>
      <c r="AA951" s="18">
        <f>(VLOOKUP(X951,'[1]Simulation pricing per sub assy'!$D:$E,2,0))*Y951</f>
        <v>4.4802908000000006</v>
      </c>
    </row>
    <row r="952" spans="1:27" x14ac:dyDescent="0.35">
      <c r="A952" s="13" t="s">
        <v>451</v>
      </c>
      <c r="B952" s="13" t="s">
        <v>4379</v>
      </c>
      <c r="C952" s="42">
        <f t="shared" si="14"/>
        <v>283.08669080000004</v>
      </c>
      <c r="D952" s="14" t="s">
        <v>43</v>
      </c>
      <c r="E952" s="14">
        <v>2</v>
      </c>
      <c r="F952" s="14" t="s">
        <v>3983</v>
      </c>
      <c r="G952" s="14">
        <f>(VLOOKUP(D952,'[1]BOM Info General'!$A:$L,12,0))*E952</f>
        <v>130.12</v>
      </c>
      <c r="H952" s="15" t="s">
        <v>40</v>
      </c>
      <c r="I952" s="15">
        <v>1</v>
      </c>
      <c r="J952" s="15" t="s">
        <v>45</v>
      </c>
      <c r="K952" s="15">
        <f>(VLOOKUP(H952,'[1]BOM Info General'!$A:$L,12,0))*I952</f>
        <v>25.59</v>
      </c>
      <c r="L952" s="9" t="s">
        <v>528</v>
      </c>
      <c r="M952" s="9">
        <v>1</v>
      </c>
      <c r="N952" s="9" t="s">
        <v>88</v>
      </c>
      <c r="O952" s="9">
        <f>(VLOOKUP(L952,'[1]Simulation pricing per sub assy'!$D:$E,2,0))*M952</f>
        <v>94.656400000000033</v>
      </c>
      <c r="P952" s="16" t="s">
        <v>51</v>
      </c>
      <c r="Q952" s="16">
        <v>8</v>
      </c>
      <c r="R952" s="16" t="s">
        <v>17</v>
      </c>
      <c r="S952" s="40">
        <f>(VLOOKUP(P952,'[1]BOM Info General'!$A:$L,12,0))*Q952</f>
        <v>21.2</v>
      </c>
      <c r="T952" s="17" t="s">
        <v>26</v>
      </c>
      <c r="U952" s="17">
        <v>1</v>
      </c>
      <c r="V952" s="17" t="s">
        <v>27</v>
      </c>
      <c r="W952" s="17">
        <f>(VLOOKUP(T952,'[1]Simulation pricing per sub assy'!$D:$E,2,0))*U952</f>
        <v>7.04</v>
      </c>
      <c r="X952" s="18" t="s">
        <v>616</v>
      </c>
      <c r="Y952" s="18">
        <v>1</v>
      </c>
      <c r="Z952" s="18" t="s">
        <v>23</v>
      </c>
      <c r="AA952" s="18">
        <f>(VLOOKUP(X952,'[1]Simulation pricing per sub assy'!$D:$E,2,0))*Y952</f>
        <v>4.4802908000000006</v>
      </c>
    </row>
    <row r="953" spans="1:27" x14ac:dyDescent="0.35">
      <c r="A953" s="13" t="s">
        <v>307</v>
      </c>
      <c r="B953" s="13" t="s">
        <v>4380</v>
      </c>
      <c r="C953" s="42">
        <f t="shared" si="14"/>
        <v>284.18669080000006</v>
      </c>
      <c r="D953" s="14" t="s">
        <v>43</v>
      </c>
      <c r="E953" s="14">
        <v>2</v>
      </c>
      <c r="F953" s="14" t="s">
        <v>3983</v>
      </c>
      <c r="G953" s="14">
        <f>(VLOOKUP(D953,'[1]BOM Info General'!$A:$L,12,0))*E953</f>
        <v>130.12</v>
      </c>
      <c r="H953" s="15" t="s">
        <v>40</v>
      </c>
      <c r="I953" s="15">
        <v>1</v>
      </c>
      <c r="J953" s="15" t="s">
        <v>45</v>
      </c>
      <c r="K953" s="15">
        <f>(VLOOKUP(H953,'[1]BOM Info General'!$A:$L,12,0))*I953</f>
        <v>25.59</v>
      </c>
      <c r="L953" s="9" t="s">
        <v>85</v>
      </c>
      <c r="M953" s="9">
        <v>1</v>
      </c>
      <c r="N953" s="9" t="s">
        <v>82</v>
      </c>
      <c r="O953" s="9">
        <f>(VLOOKUP(L953,'[1]Simulation pricing per sub assy'!$D:$E,2,0))*M953</f>
        <v>95.756400000000042</v>
      </c>
      <c r="P953" s="16" t="s">
        <v>51</v>
      </c>
      <c r="Q953" s="16">
        <v>8</v>
      </c>
      <c r="R953" s="16" t="s">
        <v>17</v>
      </c>
      <c r="S953" s="40">
        <f>(VLOOKUP(P953,'[1]BOM Info General'!$A:$L,12,0))*Q953</f>
        <v>21.2</v>
      </c>
      <c r="T953" s="17" t="s">
        <v>26</v>
      </c>
      <c r="U953" s="17">
        <v>1</v>
      </c>
      <c r="V953" s="17" t="s">
        <v>27</v>
      </c>
      <c r="W953" s="17">
        <f>(VLOOKUP(T953,'[1]Simulation pricing per sub assy'!$D:$E,2,0))*U953</f>
        <v>7.04</v>
      </c>
      <c r="X953" s="18" t="s">
        <v>616</v>
      </c>
      <c r="Y953" s="18">
        <v>1</v>
      </c>
      <c r="Z953" s="18" t="s">
        <v>23</v>
      </c>
      <c r="AA953" s="18">
        <f>(VLOOKUP(X953,'[1]Simulation pricing per sub assy'!$D:$E,2,0))*Y953</f>
        <v>4.4802908000000006</v>
      </c>
    </row>
    <row r="954" spans="1:27" x14ac:dyDescent="0.35">
      <c r="A954" s="13" t="s">
        <v>379</v>
      </c>
      <c r="B954" s="13" t="s">
        <v>4381</v>
      </c>
      <c r="C954" s="42">
        <f t="shared" si="14"/>
        <v>284.18669080000006</v>
      </c>
      <c r="D954" s="14" t="s">
        <v>43</v>
      </c>
      <c r="E954" s="14">
        <v>2</v>
      </c>
      <c r="F954" s="14" t="s">
        <v>3983</v>
      </c>
      <c r="G954" s="14">
        <f>(VLOOKUP(D954,'[1]BOM Info General'!$A:$L,12,0))*E954</f>
        <v>130.12</v>
      </c>
      <c r="H954" s="15" t="s">
        <v>40</v>
      </c>
      <c r="I954" s="15">
        <v>1</v>
      </c>
      <c r="J954" s="15" t="s">
        <v>45</v>
      </c>
      <c r="K954" s="15">
        <f>(VLOOKUP(H954,'[1]BOM Info General'!$A:$L,12,0))*I954</f>
        <v>25.59</v>
      </c>
      <c r="L954" s="9" t="s">
        <v>81</v>
      </c>
      <c r="M954" s="9">
        <v>1</v>
      </c>
      <c r="N954" s="9" t="s">
        <v>80</v>
      </c>
      <c r="O954" s="9">
        <f>(VLOOKUP(L954,'[1]Simulation pricing per sub assy'!$D:$E,2,0))*M954</f>
        <v>95.756400000000042</v>
      </c>
      <c r="P954" s="16" t="s">
        <v>51</v>
      </c>
      <c r="Q954" s="16">
        <v>8</v>
      </c>
      <c r="R954" s="16" t="s">
        <v>17</v>
      </c>
      <c r="S954" s="40">
        <f>(VLOOKUP(P954,'[1]BOM Info General'!$A:$L,12,0))*Q954</f>
        <v>21.2</v>
      </c>
      <c r="T954" s="17" t="s">
        <v>26</v>
      </c>
      <c r="U954" s="17">
        <v>1</v>
      </c>
      <c r="V954" s="17" t="s">
        <v>27</v>
      </c>
      <c r="W954" s="17">
        <f>(VLOOKUP(T954,'[1]Simulation pricing per sub assy'!$D:$E,2,0))*U954</f>
        <v>7.04</v>
      </c>
      <c r="X954" s="18" t="s">
        <v>616</v>
      </c>
      <c r="Y954" s="18">
        <v>1</v>
      </c>
      <c r="Z954" s="18" t="s">
        <v>23</v>
      </c>
      <c r="AA954" s="18">
        <f>(VLOOKUP(X954,'[1]Simulation pricing per sub assy'!$D:$E,2,0))*Y954</f>
        <v>4.4802908000000006</v>
      </c>
    </row>
    <row r="955" spans="1:27" x14ac:dyDescent="0.35">
      <c r="A955" s="13" t="s">
        <v>343</v>
      </c>
      <c r="B955" s="13" t="s">
        <v>4382</v>
      </c>
      <c r="C955" s="42">
        <f t="shared" si="14"/>
        <v>283.63669080000005</v>
      </c>
      <c r="D955" s="14" t="s">
        <v>43</v>
      </c>
      <c r="E955" s="14">
        <v>2</v>
      </c>
      <c r="F955" s="14" t="s">
        <v>3983</v>
      </c>
      <c r="G955" s="14">
        <f>(VLOOKUP(D955,'[1]BOM Info General'!$A:$L,12,0))*E955</f>
        <v>130.12</v>
      </c>
      <c r="H955" s="15" t="s">
        <v>40</v>
      </c>
      <c r="I955" s="15">
        <v>1</v>
      </c>
      <c r="J955" s="15" t="s">
        <v>45</v>
      </c>
      <c r="K955" s="15">
        <f>(VLOOKUP(H955,'[1]BOM Info General'!$A:$L,12,0))*I955</f>
        <v>25.59</v>
      </c>
      <c r="L955" s="9" t="s">
        <v>87</v>
      </c>
      <c r="M955" s="9">
        <v>1</v>
      </c>
      <c r="N955" s="9" t="s">
        <v>84</v>
      </c>
      <c r="O955" s="9">
        <f>(VLOOKUP(L955,'[1]Simulation pricing per sub assy'!$D:$E,2,0))*M955</f>
        <v>95.206400000000031</v>
      </c>
      <c r="P955" s="16" t="s">
        <v>51</v>
      </c>
      <c r="Q955" s="16">
        <v>8</v>
      </c>
      <c r="R955" s="16" t="s">
        <v>17</v>
      </c>
      <c r="S955" s="40">
        <f>(VLOOKUP(P955,'[1]BOM Info General'!$A:$L,12,0))*Q955</f>
        <v>21.2</v>
      </c>
      <c r="T955" s="17" t="s">
        <v>26</v>
      </c>
      <c r="U955" s="17">
        <v>1</v>
      </c>
      <c r="V955" s="17" t="s">
        <v>27</v>
      </c>
      <c r="W955" s="17">
        <f>(VLOOKUP(T955,'[1]Simulation pricing per sub assy'!$D:$E,2,0))*U955</f>
        <v>7.04</v>
      </c>
      <c r="X955" s="18" t="s">
        <v>616</v>
      </c>
      <c r="Y955" s="18">
        <v>1</v>
      </c>
      <c r="Z955" s="18" t="s">
        <v>23</v>
      </c>
      <c r="AA955" s="18">
        <f>(VLOOKUP(X955,'[1]Simulation pricing per sub assy'!$D:$E,2,0))*Y955</f>
        <v>4.4802908000000006</v>
      </c>
    </row>
    <row r="956" spans="1:27" x14ac:dyDescent="0.35">
      <c r="A956" s="13" t="s">
        <v>415</v>
      </c>
      <c r="B956" s="13" t="s">
        <v>4383</v>
      </c>
      <c r="C956" s="42">
        <f t="shared" si="14"/>
        <v>291.59669080000003</v>
      </c>
      <c r="D956" s="14" t="s">
        <v>43</v>
      </c>
      <c r="E956" s="14">
        <v>2</v>
      </c>
      <c r="F956" s="14" t="s">
        <v>3983</v>
      </c>
      <c r="G956" s="14">
        <f>(VLOOKUP(D956,'[1]BOM Info General'!$A:$L,12,0))*E956</f>
        <v>130.12</v>
      </c>
      <c r="H956" s="15" t="s">
        <v>40</v>
      </c>
      <c r="I956" s="15">
        <v>1</v>
      </c>
      <c r="J956" s="15" t="s">
        <v>45</v>
      </c>
      <c r="K956" s="15">
        <f>(VLOOKUP(H956,'[1]BOM Info General'!$A:$L,12,0))*I956</f>
        <v>25.59</v>
      </c>
      <c r="L956" s="9" t="s">
        <v>83</v>
      </c>
      <c r="M956" s="9">
        <v>1</v>
      </c>
      <c r="N956" s="9" t="s">
        <v>86</v>
      </c>
      <c r="O956" s="9">
        <f>(VLOOKUP(L956,'[1]Simulation pricing per sub assy'!$D:$E,2,0))*M956</f>
        <v>103.16640000000004</v>
      </c>
      <c r="P956" s="16" t="s">
        <v>51</v>
      </c>
      <c r="Q956" s="16">
        <v>8</v>
      </c>
      <c r="R956" s="16" t="s">
        <v>17</v>
      </c>
      <c r="S956" s="40">
        <f>(VLOOKUP(P956,'[1]BOM Info General'!$A:$L,12,0))*Q956</f>
        <v>21.2</v>
      </c>
      <c r="T956" s="17" t="s">
        <v>26</v>
      </c>
      <c r="U956" s="17">
        <v>1</v>
      </c>
      <c r="V956" s="17" t="s">
        <v>27</v>
      </c>
      <c r="W956" s="17">
        <f>(VLOOKUP(T956,'[1]Simulation pricing per sub assy'!$D:$E,2,0))*U956</f>
        <v>7.04</v>
      </c>
      <c r="X956" s="18" t="s">
        <v>616</v>
      </c>
      <c r="Y956" s="18">
        <v>1</v>
      </c>
      <c r="Z956" s="18" t="s">
        <v>23</v>
      </c>
      <c r="AA956" s="18">
        <f>(VLOOKUP(X956,'[1]Simulation pricing per sub assy'!$D:$E,2,0))*Y956</f>
        <v>4.4802908000000006</v>
      </c>
    </row>
    <row r="957" spans="1:27" x14ac:dyDescent="0.35">
      <c r="A957" s="13" t="s">
        <v>452</v>
      </c>
      <c r="B957" s="13" t="s">
        <v>4384</v>
      </c>
      <c r="C957" s="42">
        <f t="shared" si="14"/>
        <v>283.04669080000002</v>
      </c>
      <c r="D957" s="14" t="s">
        <v>43</v>
      </c>
      <c r="E957" s="14">
        <v>2</v>
      </c>
      <c r="F957" s="14" t="s">
        <v>3983</v>
      </c>
      <c r="G957" s="14">
        <f>(VLOOKUP(D957,'[1]BOM Info General'!$A:$L,12,0))*E957</f>
        <v>130.12</v>
      </c>
      <c r="H957" s="15" t="s">
        <v>40</v>
      </c>
      <c r="I957" s="15">
        <v>1</v>
      </c>
      <c r="J957" s="15" t="s">
        <v>45</v>
      </c>
      <c r="K957" s="15">
        <f>(VLOOKUP(H957,'[1]BOM Info General'!$A:$L,12,0))*I957</f>
        <v>25.59</v>
      </c>
      <c r="L957" s="9" t="s">
        <v>528</v>
      </c>
      <c r="M957" s="9">
        <v>1</v>
      </c>
      <c r="N957" s="9" t="s">
        <v>88</v>
      </c>
      <c r="O957" s="9">
        <f>(VLOOKUP(L957,'[1]Simulation pricing per sub assy'!$D:$E,2,0))*M957</f>
        <v>94.656400000000033</v>
      </c>
      <c r="P957" s="16" t="s">
        <v>51</v>
      </c>
      <c r="Q957" s="16">
        <v>8</v>
      </c>
      <c r="R957" s="16" t="s">
        <v>17</v>
      </c>
      <c r="S957" s="40">
        <f>(VLOOKUP(P957,'[1]BOM Info General'!$A:$L,12,0))*Q957</f>
        <v>21.2</v>
      </c>
      <c r="T957" s="17" t="s">
        <v>28</v>
      </c>
      <c r="U957" s="17">
        <v>1</v>
      </c>
      <c r="V957" s="17" t="s">
        <v>29</v>
      </c>
      <c r="W957" s="17">
        <f>(VLOOKUP(T957,'[1]Simulation pricing per sub assy'!$D:$E,2,0))*U957</f>
        <v>7</v>
      </c>
      <c r="X957" s="18" t="s">
        <v>616</v>
      </c>
      <c r="Y957" s="18">
        <v>1</v>
      </c>
      <c r="Z957" s="18" t="s">
        <v>23</v>
      </c>
      <c r="AA957" s="18">
        <f>(VLOOKUP(X957,'[1]Simulation pricing per sub assy'!$D:$E,2,0))*Y957</f>
        <v>4.4802908000000006</v>
      </c>
    </row>
    <row r="958" spans="1:27" x14ac:dyDescent="0.35">
      <c r="A958" s="13" t="s">
        <v>308</v>
      </c>
      <c r="B958" s="13" t="s">
        <v>4385</v>
      </c>
      <c r="C958" s="42">
        <f t="shared" si="14"/>
        <v>284.14669080000004</v>
      </c>
      <c r="D958" s="14" t="s">
        <v>43</v>
      </c>
      <c r="E958" s="14">
        <v>2</v>
      </c>
      <c r="F958" s="14" t="s">
        <v>3983</v>
      </c>
      <c r="G958" s="14">
        <f>(VLOOKUP(D958,'[1]BOM Info General'!$A:$L,12,0))*E958</f>
        <v>130.12</v>
      </c>
      <c r="H958" s="15" t="s">
        <v>40</v>
      </c>
      <c r="I958" s="15">
        <v>1</v>
      </c>
      <c r="J958" s="15" t="s">
        <v>45</v>
      </c>
      <c r="K958" s="15">
        <f>(VLOOKUP(H958,'[1]BOM Info General'!$A:$L,12,0))*I958</f>
        <v>25.59</v>
      </c>
      <c r="L958" s="9" t="s">
        <v>85</v>
      </c>
      <c r="M958" s="9">
        <v>1</v>
      </c>
      <c r="N958" s="9" t="s">
        <v>82</v>
      </c>
      <c r="O958" s="9">
        <f>(VLOOKUP(L958,'[1]Simulation pricing per sub assy'!$D:$E,2,0))*M958</f>
        <v>95.756400000000042</v>
      </c>
      <c r="P958" s="16" t="s">
        <v>51</v>
      </c>
      <c r="Q958" s="16">
        <v>8</v>
      </c>
      <c r="R958" s="16" t="s">
        <v>17</v>
      </c>
      <c r="S958" s="40">
        <f>(VLOOKUP(P958,'[1]BOM Info General'!$A:$L,12,0))*Q958</f>
        <v>21.2</v>
      </c>
      <c r="T958" s="17" t="s">
        <v>28</v>
      </c>
      <c r="U958" s="17">
        <v>1</v>
      </c>
      <c r="V958" s="17" t="s">
        <v>29</v>
      </c>
      <c r="W958" s="17">
        <f>(VLOOKUP(T958,'[1]Simulation pricing per sub assy'!$D:$E,2,0))*U958</f>
        <v>7</v>
      </c>
      <c r="X958" s="18" t="s">
        <v>616</v>
      </c>
      <c r="Y958" s="18">
        <v>1</v>
      </c>
      <c r="Z958" s="18" t="s">
        <v>23</v>
      </c>
      <c r="AA958" s="18">
        <f>(VLOOKUP(X958,'[1]Simulation pricing per sub assy'!$D:$E,2,0))*Y958</f>
        <v>4.4802908000000006</v>
      </c>
    </row>
    <row r="959" spans="1:27" x14ac:dyDescent="0.35">
      <c r="A959" s="13" t="s">
        <v>380</v>
      </c>
      <c r="B959" s="13" t="s">
        <v>4386</v>
      </c>
      <c r="C959" s="42">
        <f t="shared" si="14"/>
        <v>284.14669080000004</v>
      </c>
      <c r="D959" s="14" t="s">
        <v>43</v>
      </c>
      <c r="E959" s="14">
        <v>2</v>
      </c>
      <c r="F959" s="14" t="s">
        <v>3983</v>
      </c>
      <c r="G959" s="14">
        <f>(VLOOKUP(D959,'[1]BOM Info General'!$A:$L,12,0))*E959</f>
        <v>130.12</v>
      </c>
      <c r="H959" s="15" t="s">
        <v>40</v>
      </c>
      <c r="I959" s="15">
        <v>1</v>
      </c>
      <c r="J959" s="15" t="s">
        <v>45</v>
      </c>
      <c r="K959" s="15">
        <f>(VLOOKUP(H959,'[1]BOM Info General'!$A:$L,12,0))*I959</f>
        <v>25.59</v>
      </c>
      <c r="L959" s="9" t="s">
        <v>81</v>
      </c>
      <c r="M959" s="9">
        <v>1</v>
      </c>
      <c r="N959" s="9" t="s">
        <v>80</v>
      </c>
      <c r="O959" s="9">
        <f>(VLOOKUP(L959,'[1]Simulation pricing per sub assy'!$D:$E,2,0))*M959</f>
        <v>95.756400000000042</v>
      </c>
      <c r="P959" s="16" t="s">
        <v>51</v>
      </c>
      <c r="Q959" s="16">
        <v>8</v>
      </c>
      <c r="R959" s="16" t="s">
        <v>17</v>
      </c>
      <c r="S959" s="40">
        <f>(VLOOKUP(P959,'[1]BOM Info General'!$A:$L,12,0))*Q959</f>
        <v>21.2</v>
      </c>
      <c r="T959" s="17" t="s">
        <v>28</v>
      </c>
      <c r="U959" s="17">
        <v>1</v>
      </c>
      <c r="V959" s="17" t="s">
        <v>29</v>
      </c>
      <c r="W959" s="17">
        <f>(VLOOKUP(T959,'[1]Simulation pricing per sub assy'!$D:$E,2,0))*U959</f>
        <v>7</v>
      </c>
      <c r="X959" s="18" t="s">
        <v>616</v>
      </c>
      <c r="Y959" s="18">
        <v>1</v>
      </c>
      <c r="Z959" s="18" t="s">
        <v>23</v>
      </c>
      <c r="AA959" s="18">
        <f>(VLOOKUP(X959,'[1]Simulation pricing per sub assy'!$D:$E,2,0))*Y959</f>
        <v>4.4802908000000006</v>
      </c>
    </row>
    <row r="960" spans="1:27" x14ac:dyDescent="0.35">
      <c r="A960" s="13" t="s">
        <v>344</v>
      </c>
      <c r="B960" s="13" t="s">
        <v>4387</v>
      </c>
      <c r="C960" s="42">
        <f t="shared" si="14"/>
        <v>283.59669080000003</v>
      </c>
      <c r="D960" s="14" t="s">
        <v>43</v>
      </c>
      <c r="E960" s="14">
        <v>2</v>
      </c>
      <c r="F960" s="14" t="s">
        <v>3983</v>
      </c>
      <c r="G960" s="14">
        <f>(VLOOKUP(D960,'[1]BOM Info General'!$A:$L,12,0))*E960</f>
        <v>130.12</v>
      </c>
      <c r="H960" s="15" t="s">
        <v>40</v>
      </c>
      <c r="I960" s="15">
        <v>1</v>
      </c>
      <c r="J960" s="15" t="s">
        <v>45</v>
      </c>
      <c r="K960" s="15">
        <f>(VLOOKUP(H960,'[1]BOM Info General'!$A:$L,12,0))*I960</f>
        <v>25.59</v>
      </c>
      <c r="L960" s="9" t="s">
        <v>87</v>
      </c>
      <c r="M960" s="9">
        <v>1</v>
      </c>
      <c r="N960" s="9" t="s">
        <v>84</v>
      </c>
      <c r="O960" s="9">
        <f>(VLOOKUP(L960,'[1]Simulation pricing per sub assy'!$D:$E,2,0))*M960</f>
        <v>95.206400000000031</v>
      </c>
      <c r="P960" s="16" t="s">
        <v>51</v>
      </c>
      <c r="Q960" s="16">
        <v>8</v>
      </c>
      <c r="R960" s="16" t="s">
        <v>17</v>
      </c>
      <c r="S960" s="40">
        <f>(VLOOKUP(P960,'[1]BOM Info General'!$A:$L,12,0))*Q960</f>
        <v>21.2</v>
      </c>
      <c r="T960" s="17" t="s">
        <v>28</v>
      </c>
      <c r="U960" s="17">
        <v>1</v>
      </c>
      <c r="V960" s="17" t="s">
        <v>29</v>
      </c>
      <c r="W960" s="17">
        <f>(VLOOKUP(T960,'[1]Simulation pricing per sub assy'!$D:$E,2,0))*U960</f>
        <v>7</v>
      </c>
      <c r="X960" s="18" t="s">
        <v>616</v>
      </c>
      <c r="Y960" s="18">
        <v>1</v>
      </c>
      <c r="Z960" s="18" t="s">
        <v>23</v>
      </c>
      <c r="AA960" s="18">
        <f>(VLOOKUP(X960,'[1]Simulation pricing per sub assy'!$D:$E,2,0))*Y960</f>
        <v>4.4802908000000006</v>
      </c>
    </row>
    <row r="961" spans="1:27" x14ac:dyDescent="0.35">
      <c r="A961" s="13" t="s">
        <v>416</v>
      </c>
      <c r="B961" s="13" t="s">
        <v>4388</v>
      </c>
      <c r="C961" s="42">
        <f t="shared" si="14"/>
        <v>291.55669080000001</v>
      </c>
      <c r="D961" s="14" t="s">
        <v>43</v>
      </c>
      <c r="E961" s="14">
        <v>2</v>
      </c>
      <c r="F961" s="14" t="s">
        <v>3983</v>
      </c>
      <c r="G961" s="14">
        <f>(VLOOKUP(D961,'[1]BOM Info General'!$A:$L,12,0))*E961</f>
        <v>130.12</v>
      </c>
      <c r="H961" s="15" t="s">
        <v>40</v>
      </c>
      <c r="I961" s="15">
        <v>1</v>
      </c>
      <c r="J961" s="15" t="s">
        <v>45</v>
      </c>
      <c r="K961" s="15">
        <f>(VLOOKUP(H961,'[1]BOM Info General'!$A:$L,12,0))*I961</f>
        <v>25.59</v>
      </c>
      <c r="L961" s="9" t="s">
        <v>83</v>
      </c>
      <c r="M961" s="9">
        <v>1</v>
      </c>
      <c r="N961" s="9" t="s">
        <v>86</v>
      </c>
      <c r="O961" s="9">
        <f>(VLOOKUP(L961,'[1]Simulation pricing per sub assy'!$D:$E,2,0))*M961</f>
        <v>103.16640000000004</v>
      </c>
      <c r="P961" s="16" t="s">
        <v>51</v>
      </c>
      <c r="Q961" s="16">
        <v>8</v>
      </c>
      <c r="R961" s="16" t="s">
        <v>17</v>
      </c>
      <c r="S961" s="40">
        <f>(VLOOKUP(P961,'[1]BOM Info General'!$A:$L,12,0))*Q961</f>
        <v>21.2</v>
      </c>
      <c r="T961" s="17" t="s">
        <v>28</v>
      </c>
      <c r="U961" s="17">
        <v>1</v>
      </c>
      <c r="V961" s="17" t="s">
        <v>29</v>
      </c>
      <c r="W961" s="17">
        <f>(VLOOKUP(T961,'[1]Simulation pricing per sub assy'!$D:$E,2,0))*U961</f>
        <v>7</v>
      </c>
      <c r="X961" s="18" t="s">
        <v>616</v>
      </c>
      <c r="Y961" s="18">
        <v>1</v>
      </c>
      <c r="Z961" s="18" t="s">
        <v>23</v>
      </c>
      <c r="AA961" s="18">
        <f>(VLOOKUP(X961,'[1]Simulation pricing per sub assy'!$D:$E,2,0))*Y961</f>
        <v>4.4802908000000006</v>
      </c>
    </row>
    <row r="962" spans="1:27" x14ac:dyDescent="0.35">
      <c r="A962" s="13" t="s">
        <v>453</v>
      </c>
      <c r="B962" s="13" t="s">
        <v>4389</v>
      </c>
      <c r="C962" s="42">
        <f t="shared" si="14"/>
        <v>282.48669080000002</v>
      </c>
      <c r="D962" s="14" t="s">
        <v>43</v>
      </c>
      <c r="E962" s="14">
        <v>2</v>
      </c>
      <c r="F962" s="14" t="s">
        <v>3983</v>
      </c>
      <c r="G962" s="14">
        <f>(VLOOKUP(D962,'[1]BOM Info General'!$A:$L,12,0))*E962</f>
        <v>130.12</v>
      </c>
      <c r="H962" s="15" t="s">
        <v>40</v>
      </c>
      <c r="I962" s="15">
        <v>1</v>
      </c>
      <c r="J962" s="15" t="s">
        <v>45</v>
      </c>
      <c r="K962" s="15">
        <f>(VLOOKUP(H962,'[1]BOM Info General'!$A:$L,12,0))*I962</f>
        <v>25.59</v>
      </c>
      <c r="L962" s="9" t="s">
        <v>528</v>
      </c>
      <c r="M962" s="9">
        <v>1</v>
      </c>
      <c r="N962" s="9" t="s">
        <v>88</v>
      </c>
      <c r="O962" s="9">
        <f>(VLOOKUP(L962,'[1]Simulation pricing per sub assy'!$D:$E,2,0))*M962</f>
        <v>94.656400000000033</v>
      </c>
      <c r="P962" s="16" t="s">
        <v>52</v>
      </c>
      <c r="Q962" s="16">
        <v>8</v>
      </c>
      <c r="R962" s="16" t="s">
        <v>18</v>
      </c>
      <c r="S962" s="40">
        <f>(VLOOKUP(P962,'[1]BOM Info General'!$A:$L,12,0))*Q962</f>
        <v>21.2</v>
      </c>
      <c r="T962" s="17" t="s">
        <v>24</v>
      </c>
      <c r="U962" s="17">
        <v>1</v>
      </c>
      <c r="V962" s="17" t="s">
        <v>25</v>
      </c>
      <c r="W962" s="17">
        <f>(VLOOKUP(T962,'[1]Simulation pricing per sub assy'!$D:$E,2,0))*U962</f>
        <v>6.44</v>
      </c>
      <c r="X962" s="18" t="s">
        <v>616</v>
      </c>
      <c r="Y962" s="18">
        <v>1</v>
      </c>
      <c r="Z962" s="18" t="s">
        <v>23</v>
      </c>
      <c r="AA962" s="18">
        <f>(VLOOKUP(X962,'[1]Simulation pricing per sub assy'!$D:$E,2,0))*Y962</f>
        <v>4.4802908000000006</v>
      </c>
    </row>
    <row r="963" spans="1:27" x14ac:dyDescent="0.35">
      <c r="A963" s="13" t="s">
        <v>309</v>
      </c>
      <c r="B963" s="13" t="s">
        <v>4390</v>
      </c>
      <c r="C963" s="42">
        <f t="shared" ref="C963:C1026" si="15">SUM(G963+K963+O963+S963+W963+AA963)</f>
        <v>283.58669080000004</v>
      </c>
      <c r="D963" s="14" t="s">
        <v>43</v>
      </c>
      <c r="E963" s="14">
        <v>2</v>
      </c>
      <c r="F963" s="14" t="s">
        <v>3983</v>
      </c>
      <c r="G963" s="14">
        <f>(VLOOKUP(D963,'[1]BOM Info General'!$A:$L,12,0))*E963</f>
        <v>130.12</v>
      </c>
      <c r="H963" s="15" t="s">
        <v>40</v>
      </c>
      <c r="I963" s="15">
        <v>1</v>
      </c>
      <c r="J963" s="15" t="s">
        <v>45</v>
      </c>
      <c r="K963" s="15">
        <f>(VLOOKUP(H963,'[1]BOM Info General'!$A:$L,12,0))*I963</f>
        <v>25.59</v>
      </c>
      <c r="L963" s="9" t="s">
        <v>85</v>
      </c>
      <c r="M963" s="9">
        <v>1</v>
      </c>
      <c r="N963" s="9" t="s">
        <v>82</v>
      </c>
      <c r="O963" s="9">
        <f>(VLOOKUP(L963,'[1]Simulation pricing per sub assy'!$D:$E,2,0))*M963</f>
        <v>95.756400000000042</v>
      </c>
      <c r="P963" s="16" t="s">
        <v>52</v>
      </c>
      <c r="Q963" s="16">
        <v>8</v>
      </c>
      <c r="R963" s="16" t="s">
        <v>18</v>
      </c>
      <c r="S963" s="40">
        <f>(VLOOKUP(P963,'[1]BOM Info General'!$A:$L,12,0))*Q963</f>
        <v>21.2</v>
      </c>
      <c r="T963" s="17" t="s">
        <v>24</v>
      </c>
      <c r="U963" s="17">
        <v>1</v>
      </c>
      <c r="V963" s="17" t="s">
        <v>25</v>
      </c>
      <c r="W963" s="17">
        <f>(VLOOKUP(T963,'[1]Simulation pricing per sub assy'!$D:$E,2,0))*U963</f>
        <v>6.44</v>
      </c>
      <c r="X963" s="18" t="s">
        <v>616</v>
      </c>
      <c r="Y963" s="18">
        <v>1</v>
      </c>
      <c r="Z963" s="18" t="s">
        <v>23</v>
      </c>
      <c r="AA963" s="18">
        <f>(VLOOKUP(X963,'[1]Simulation pricing per sub assy'!$D:$E,2,0))*Y963</f>
        <v>4.4802908000000006</v>
      </c>
    </row>
    <row r="964" spans="1:27" x14ac:dyDescent="0.35">
      <c r="A964" s="13" t="s">
        <v>381</v>
      </c>
      <c r="B964" s="13" t="s">
        <v>4391</v>
      </c>
      <c r="C964" s="42">
        <f t="shared" si="15"/>
        <v>283.58669080000004</v>
      </c>
      <c r="D964" s="14" t="s">
        <v>43</v>
      </c>
      <c r="E964" s="14">
        <v>2</v>
      </c>
      <c r="F964" s="14" t="s">
        <v>3983</v>
      </c>
      <c r="G964" s="14">
        <f>(VLOOKUP(D964,'[1]BOM Info General'!$A:$L,12,0))*E964</f>
        <v>130.12</v>
      </c>
      <c r="H964" s="15" t="s">
        <v>40</v>
      </c>
      <c r="I964" s="15">
        <v>1</v>
      </c>
      <c r="J964" s="15" t="s">
        <v>45</v>
      </c>
      <c r="K964" s="15">
        <f>(VLOOKUP(H964,'[1]BOM Info General'!$A:$L,12,0))*I964</f>
        <v>25.59</v>
      </c>
      <c r="L964" s="9" t="s">
        <v>81</v>
      </c>
      <c r="M964" s="9">
        <v>1</v>
      </c>
      <c r="N964" s="9" t="s">
        <v>80</v>
      </c>
      <c r="O964" s="9">
        <f>(VLOOKUP(L964,'[1]Simulation pricing per sub assy'!$D:$E,2,0))*M964</f>
        <v>95.756400000000042</v>
      </c>
      <c r="P964" s="16" t="s">
        <v>52</v>
      </c>
      <c r="Q964" s="16">
        <v>8</v>
      </c>
      <c r="R964" s="16" t="s">
        <v>18</v>
      </c>
      <c r="S964" s="40">
        <f>(VLOOKUP(P964,'[1]BOM Info General'!$A:$L,12,0))*Q964</f>
        <v>21.2</v>
      </c>
      <c r="T964" s="17" t="s">
        <v>24</v>
      </c>
      <c r="U964" s="17">
        <v>1</v>
      </c>
      <c r="V964" s="17" t="s">
        <v>25</v>
      </c>
      <c r="W964" s="17">
        <f>(VLOOKUP(T964,'[1]Simulation pricing per sub assy'!$D:$E,2,0))*U964</f>
        <v>6.44</v>
      </c>
      <c r="X964" s="18" t="s">
        <v>616</v>
      </c>
      <c r="Y964" s="18">
        <v>1</v>
      </c>
      <c r="Z964" s="18" t="s">
        <v>23</v>
      </c>
      <c r="AA964" s="18">
        <f>(VLOOKUP(X964,'[1]Simulation pricing per sub assy'!$D:$E,2,0))*Y964</f>
        <v>4.4802908000000006</v>
      </c>
    </row>
    <row r="965" spans="1:27" x14ac:dyDescent="0.35">
      <c r="A965" s="13" t="s">
        <v>345</v>
      </c>
      <c r="B965" s="13" t="s">
        <v>4392</v>
      </c>
      <c r="C965" s="42">
        <f t="shared" si="15"/>
        <v>283.03669080000003</v>
      </c>
      <c r="D965" s="14" t="s">
        <v>43</v>
      </c>
      <c r="E965" s="14">
        <v>2</v>
      </c>
      <c r="F965" s="14" t="s">
        <v>3983</v>
      </c>
      <c r="G965" s="14">
        <f>(VLOOKUP(D965,'[1]BOM Info General'!$A:$L,12,0))*E965</f>
        <v>130.12</v>
      </c>
      <c r="H965" s="15" t="s">
        <v>40</v>
      </c>
      <c r="I965" s="15">
        <v>1</v>
      </c>
      <c r="J965" s="15" t="s">
        <v>45</v>
      </c>
      <c r="K965" s="15">
        <f>(VLOOKUP(H965,'[1]BOM Info General'!$A:$L,12,0))*I965</f>
        <v>25.59</v>
      </c>
      <c r="L965" s="9" t="s">
        <v>87</v>
      </c>
      <c r="M965" s="9">
        <v>1</v>
      </c>
      <c r="N965" s="9" t="s">
        <v>84</v>
      </c>
      <c r="O965" s="9">
        <f>(VLOOKUP(L965,'[1]Simulation pricing per sub assy'!$D:$E,2,0))*M965</f>
        <v>95.206400000000031</v>
      </c>
      <c r="P965" s="16" t="s">
        <v>52</v>
      </c>
      <c r="Q965" s="16">
        <v>8</v>
      </c>
      <c r="R965" s="16" t="s">
        <v>18</v>
      </c>
      <c r="S965" s="40">
        <f>(VLOOKUP(P965,'[1]BOM Info General'!$A:$L,12,0))*Q965</f>
        <v>21.2</v>
      </c>
      <c r="T965" s="17" t="s">
        <v>24</v>
      </c>
      <c r="U965" s="17">
        <v>1</v>
      </c>
      <c r="V965" s="17" t="s">
        <v>25</v>
      </c>
      <c r="W965" s="17">
        <f>(VLOOKUP(T965,'[1]Simulation pricing per sub assy'!$D:$E,2,0))*U965</f>
        <v>6.44</v>
      </c>
      <c r="X965" s="18" t="s">
        <v>616</v>
      </c>
      <c r="Y965" s="18">
        <v>1</v>
      </c>
      <c r="Z965" s="18" t="s">
        <v>23</v>
      </c>
      <c r="AA965" s="18">
        <f>(VLOOKUP(X965,'[1]Simulation pricing per sub assy'!$D:$E,2,0))*Y965</f>
        <v>4.4802908000000006</v>
      </c>
    </row>
    <row r="966" spans="1:27" x14ac:dyDescent="0.35">
      <c r="A966" s="13" t="s">
        <v>417</v>
      </c>
      <c r="B966" s="13" t="s">
        <v>4393</v>
      </c>
      <c r="C966" s="42">
        <f t="shared" si="15"/>
        <v>290.99669080000001</v>
      </c>
      <c r="D966" s="14" t="s">
        <v>43</v>
      </c>
      <c r="E966" s="14">
        <v>2</v>
      </c>
      <c r="F966" s="14" t="s">
        <v>3983</v>
      </c>
      <c r="G966" s="14">
        <f>(VLOOKUP(D966,'[1]BOM Info General'!$A:$L,12,0))*E966</f>
        <v>130.12</v>
      </c>
      <c r="H966" s="15" t="s">
        <v>40</v>
      </c>
      <c r="I966" s="15">
        <v>1</v>
      </c>
      <c r="J966" s="15" t="s">
        <v>45</v>
      </c>
      <c r="K966" s="15">
        <f>(VLOOKUP(H966,'[1]BOM Info General'!$A:$L,12,0))*I966</f>
        <v>25.59</v>
      </c>
      <c r="L966" s="9" t="s">
        <v>83</v>
      </c>
      <c r="M966" s="9">
        <v>1</v>
      </c>
      <c r="N966" s="9" t="s">
        <v>86</v>
      </c>
      <c r="O966" s="9">
        <f>(VLOOKUP(L966,'[1]Simulation pricing per sub assy'!$D:$E,2,0))*M966</f>
        <v>103.16640000000004</v>
      </c>
      <c r="P966" s="16" t="s">
        <v>52</v>
      </c>
      <c r="Q966" s="16">
        <v>8</v>
      </c>
      <c r="R966" s="16" t="s">
        <v>18</v>
      </c>
      <c r="S966" s="40">
        <f>(VLOOKUP(P966,'[1]BOM Info General'!$A:$L,12,0))*Q966</f>
        <v>21.2</v>
      </c>
      <c r="T966" s="17" t="s">
        <v>24</v>
      </c>
      <c r="U966" s="17">
        <v>1</v>
      </c>
      <c r="V966" s="17" t="s">
        <v>25</v>
      </c>
      <c r="W966" s="17">
        <f>(VLOOKUP(T966,'[1]Simulation pricing per sub assy'!$D:$E,2,0))*U966</f>
        <v>6.44</v>
      </c>
      <c r="X966" s="18" t="s">
        <v>616</v>
      </c>
      <c r="Y966" s="18">
        <v>1</v>
      </c>
      <c r="Z966" s="18" t="s">
        <v>23</v>
      </c>
      <c r="AA966" s="18">
        <f>(VLOOKUP(X966,'[1]Simulation pricing per sub assy'!$D:$E,2,0))*Y966</f>
        <v>4.4802908000000006</v>
      </c>
    </row>
    <row r="967" spans="1:27" x14ac:dyDescent="0.35">
      <c r="A967" s="13" t="s">
        <v>454</v>
      </c>
      <c r="B967" s="13" t="s">
        <v>4394</v>
      </c>
      <c r="C967" s="42">
        <f t="shared" si="15"/>
        <v>283.08669080000004</v>
      </c>
      <c r="D967" s="14" t="s">
        <v>43</v>
      </c>
      <c r="E967" s="14">
        <v>2</v>
      </c>
      <c r="F967" s="14" t="s">
        <v>3983</v>
      </c>
      <c r="G967" s="14">
        <f>(VLOOKUP(D967,'[1]BOM Info General'!$A:$L,12,0))*E967</f>
        <v>130.12</v>
      </c>
      <c r="H967" s="15" t="s">
        <v>40</v>
      </c>
      <c r="I967" s="15">
        <v>1</v>
      </c>
      <c r="J967" s="15" t="s">
        <v>45</v>
      </c>
      <c r="K967" s="15">
        <f>(VLOOKUP(H967,'[1]BOM Info General'!$A:$L,12,0))*I967</f>
        <v>25.59</v>
      </c>
      <c r="L967" s="9" t="s">
        <v>528</v>
      </c>
      <c r="M967" s="9">
        <v>1</v>
      </c>
      <c r="N967" s="9" t="s">
        <v>88</v>
      </c>
      <c r="O967" s="9">
        <f>(VLOOKUP(L967,'[1]Simulation pricing per sub assy'!$D:$E,2,0))*M967</f>
        <v>94.656400000000033</v>
      </c>
      <c r="P967" s="16" t="s">
        <v>52</v>
      </c>
      <c r="Q967" s="16">
        <v>8</v>
      </c>
      <c r="R967" s="16" t="s">
        <v>18</v>
      </c>
      <c r="S967" s="40">
        <f>(VLOOKUP(P967,'[1]BOM Info General'!$A:$L,12,0))*Q967</f>
        <v>21.2</v>
      </c>
      <c r="T967" s="17" t="s">
        <v>26</v>
      </c>
      <c r="U967" s="17">
        <v>1</v>
      </c>
      <c r="V967" s="17" t="s">
        <v>27</v>
      </c>
      <c r="W967" s="17">
        <f>(VLOOKUP(T967,'[1]Simulation pricing per sub assy'!$D:$E,2,0))*U967</f>
        <v>7.04</v>
      </c>
      <c r="X967" s="18" t="s">
        <v>616</v>
      </c>
      <c r="Y967" s="18">
        <v>1</v>
      </c>
      <c r="Z967" s="18" t="s">
        <v>23</v>
      </c>
      <c r="AA967" s="18">
        <f>(VLOOKUP(X967,'[1]Simulation pricing per sub assy'!$D:$E,2,0))*Y967</f>
        <v>4.4802908000000006</v>
      </c>
    </row>
    <row r="968" spans="1:27" x14ac:dyDescent="0.35">
      <c r="A968" s="13" t="s">
        <v>310</v>
      </c>
      <c r="B968" s="13" t="s">
        <v>4395</v>
      </c>
      <c r="C968" s="42">
        <f t="shared" si="15"/>
        <v>284.18669080000006</v>
      </c>
      <c r="D968" s="14" t="s">
        <v>43</v>
      </c>
      <c r="E968" s="14">
        <v>2</v>
      </c>
      <c r="F968" s="14" t="s">
        <v>3983</v>
      </c>
      <c r="G968" s="14">
        <f>(VLOOKUP(D968,'[1]BOM Info General'!$A:$L,12,0))*E968</f>
        <v>130.12</v>
      </c>
      <c r="H968" s="15" t="s">
        <v>40</v>
      </c>
      <c r="I968" s="15">
        <v>1</v>
      </c>
      <c r="J968" s="15" t="s">
        <v>45</v>
      </c>
      <c r="K968" s="15">
        <f>(VLOOKUP(H968,'[1]BOM Info General'!$A:$L,12,0))*I968</f>
        <v>25.59</v>
      </c>
      <c r="L968" s="9" t="s">
        <v>85</v>
      </c>
      <c r="M968" s="9">
        <v>1</v>
      </c>
      <c r="N968" s="9" t="s">
        <v>82</v>
      </c>
      <c r="O968" s="9">
        <f>(VLOOKUP(L968,'[1]Simulation pricing per sub assy'!$D:$E,2,0))*M968</f>
        <v>95.756400000000042</v>
      </c>
      <c r="P968" s="16" t="s">
        <v>52</v>
      </c>
      <c r="Q968" s="16">
        <v>8</v>
      </c>
      <c r="R968" s="16" t="s">
        <v>18</v>
      </c>
      <c r="S968" s="40">
        <f>(VLOOKUP(P968,'[1]BOM Info General'!$A:$L,12,0))*Q968</f>
        <v>21.2</v>
      </c>
      <c r="T968" s="17" t="s">
        <v>26</v>
      </c>
      <c r="U968" s="17">
        <v>1</v>
      </c>
      <c r="V968" s="17" t="s">
        <v>27</v>
      </c>
      <c r="W968" s="17">
        <f>(VLOOKUP(T968,'[1]Simulation pricing per sub assy'!$D:$E,2,0))*U968</f>
        <v>7.04</v>
      </c>
      <c r="X968" s="18" t="s">
        <v>616</v>
      </c>
      <c r="Y968" s="18">
        <v>1</v>
      </c>
      <c r="Z968" s="18" t="s">
        <v>23</v>
      </c>
      <c r="AA968" s="18">
        <f>(VLOOKUP(X968,'[1]Simulation pricing per sub assy'!$D:$E,2,0))*Y968</f>
        <v>4.4802908000000006</v>
      </c>
    </row>
    <row r="969" spans="1:27" x14ac:dyDescent="0.35">
      <c r="A969" s="13" t="s">
        <v>382</v>
      </c>
      <c r="B969" s="13" t="s">
        <v>4396</v>
      </c>
      <c r="C969" s="42">
        <f t="shared" si="15"/>
        <v>284.18669080000006</v>
      </c>
      <c r="D969" s="14" t="s">
        <v>43</v>
      </c>
      <c r="E969" s="14">
        <v>2</v>
      </c>
      <c r="F969" s="14" t="s">
        <v>3983</v>
      </c>
      <c r="G969" s="14">
        <f>(VLOOKUP(D969,'[1]BOM Info General'!$A:$L,12,0))*E969</f>
        <v>130.12</v>
      </c>
      <c r="H969" s="15" t="s">
        <v>40</v>
      </c>
      <c r="I969" s="15">
        <v>1</v>
      </c>
      <c r="J969" s="15" t="s">
        <v>45</v>
      </c>
      <c r="K969" s="15">
        <f>(VLOOKUP(H969,'[1]BOM Info General'!$A:$L,12,0))*I969</f>
        <v>25.59</v>
      </c>
      <c r="L969" s="9" t="s">
        <v>81</v>
      </c>
      <c r="M969" s="9">
        <v>1</v>
      </c>
      <c r="N969" s="9" t="s">
        <v>80</v>
      </c>
      <c r="O969" s="9">
        <f>(VLOOKUP(L969,'[1]Simulation pricing per sub assy'!$D:$E,2,0))*M969</f>
        <v>95.756400000000042</v>
      </c>
      <c r="P969" s="16" t="s">
        <v>52</v>
      </c>
      <c r="Q969" s="16">
        <v>8</v>
      </c>
      <c r="R969" s="16" t="s">
        <v>18</v>
      </c>
      <c r="S969" s="40">
        <f>(VLOOKUP(P969,'[1]BOM Info General'!$A:$L,12,0))*Q969</f>
        <v>21.2</v>
      </c>
      <c r="T969" s="17" t="s">
        <v>26</v>
      </c>
      <c r="U969" s="17">
        <v>1</v>
      </c>
      <c r="V969" s="17" t="s">
        <v>27</v>
      </c>
      <c r="W969" s="17">
        <f>(VLOOKUP(T969,'[1]Simulation pricing per sub assy'!$D:$E,2,0))*U969</f>
        <v>7.04</v>
      </c>
      <c r="X969" s="18" t="s">
        <v>616</v>
      </c>
      <c r="Y969" s="18">
        <v>1</v>
      </c>
      <c r="Z969" s="18" t="s">
        <v>23</v>
      </c>
      <c r="AA969" s="18">
        <f>(VLOOKUP(X969,'[1]Simulation pricing per sub assy'!$D:$E,2,0))*Y969</f>
        <v>4.4802908000000006</v>
      </c>
    </row>
    <row r="970" spans="1:27" x14ac:dyDescent="0.35">
      <c r="A970" s="13" t="s">
        <v>346</v>
      </c>
      <c r="B970" s="13" t="s">
        <v>4397</v>
      </c>
      <c r="C970" s="42">
        <f t="shared" si="15"/>
        <v>283.63669080000005</v>
      </c>
      <c r="D970" s="14" t="s">
        <v>43</v>
      </c>
      <c r="E970" s="14">
        <v>2</v>
      </c>
      <c r="F970" s="14" t="s">
        <v>3983</v>
      </c>
      <c r="G970" s="14">
        <f>(VLOOKUP(D970,'[1]BOM Info General'!$A:$L,12,0))*E970</f>
        <v>130.12</v>
      </c>
      <c r="H970" s="15" t="s">
        <v>40</v>
      </c>
      <c r="I970" s="15">
        <v>1</v>
      </c>
      <c r="J970" s="15" t="s">
        <v>45</v>
      </c>
      <c r="K970" s="15">
        <f>(VLOOKUP(H970,'[1]BOM Info General'!$A:$L,12,0))*I970</f>
        <v>25.59</v>
      </c>
      <c r="L970" s="9" t="s">
        <v>87</v>
      </c>
      <c r="M970" s="9">
        <v>1</v>
      </c>
      <c r="N970" s="9" t="s">
        <v>84</v>
      </c>
      <c r="O970" s="9">
        <f>(VLOOKUP(L970,'[1]Simulation pricing per sub assy'!$D:$E,2,0))*M970</f>
        <v>95.206400000000031</v>
      </c>
      <c r="P970" s="16" t="s">
        <v>52</v>
      </c>
      <c r="Q970" s="16">
        <v>8</v>
      </c>
      <c r="R970" s="16" t="s">
        <v>18</v>
      </c>
      <c r="S970" s="40">
        <f>(VLOOKUP(P970,'[1]BOM Info General'!$A:$L,12,0))*Q970</f>
        <v>21.2</v>
      </c>
      <c r="T970" s="17" t="s">
        <v>26</v>
      </c>
      <c r="U970" s="17">
        <v>1</v>
      </c>
      <c r="V970" s="17" t="s">
        <v>27</v>
      </c>
      <c r="W970" s="17">
        <f>(VLOOKUP(T970,'[1]Simulation pricing per sub assy'!$D:$E,2,0))*U970</f>
        <v>7.04</v>
      </c>
      <c r="X970" s="18" t="s">
        <v>616</v>
      </c>
      <c r="Y970" s="18">
        <v>1</v>
      </c>
      <c r="Z970" s="18" t="s">
        <v>23</v>
      </c>
      <c r="AA970" s="18">
        <f>(VLOOKUP(X970,'[1]Simulation pricing per sub assy'!$D:$E,2,0))*Y970</f>
        <v>4.4802908000000006</v>
      </c>
    </row>
    <row r="971" spans="1:27" x14ac:dyDescent="0.35">
      <c r="A971" s="13" t="s">
        <v>418</v>
      </c>
      <c r="B971" s="13" t="s">
        <v>4398</v>
      </c>
      <c r="C971" s="42">
        <f t="shared" si="15"/>
        <v>291.59669080000003</v>
      </c>
      <c r="D971" s="14" t="s">
        <v>43</v>
      </c>
      <c r="E971" s="14">
        <v>2</v>
      </c>
      <c r="F971" s="14" t="s">
        <v>3983</v>
      </c>
      <c r="G971" s="14">
        <f>(VLOOKUP(D971,'[1]BOM Info General'!$A:$L,12,0))*E971</f>
        <v>130.12</v>
      </c>
      <c r="H971" s="15" t="s">
        <v>40</v>
      </c>
      <c r="I971" s="15">
        <v>1</v>
      </c>
      <c r="J971" s="15" t="s">
        <v>45</v>
      </c>
      <c r="K971" s="15">
        <f>(VLOOKUP(H971,'[1]BOM Info General'!$A:$L,12,0))*I971</f>
        <v>25.59</v>
      </c>
      <c r="L971" s="9" t="s">
        <v>83</v>
      </c>
      <c r="M971" s="9">
        <v>1</v>
      </c>
      <c r="N971" s="9" t="s">
        <v>86</v>
      </c>
      <c r="O971" s="9">
        <f>(VLOOKUP(L971,'[1]Simulation pricing per sub assy'!$D:$E,2,0))*M971</f>
        <v>103.16640000000004</v>
      </c>
      <c r="P971" s="16" t="s">
        <v>52</v>
      </c>
      <c r="Q971" s="16">
        <v>8</v>
      </c>
      <c r="R971" s="16" t="s">
        <v>18</v>
      </c>
      <c r="S971" s="40">
        <f>(VLOOKUP(P971,'[1]BOM Info General'!$A:$L,12,0))*Q971</f>
        <v>21.2</v>
      </c>
      <c r="T971" s="17" t="s">
        <v>26</v>
      </c>
      <c r="U971" s="17">
        <v>1</v>
      </c>
      <c r="V971" s="17" t="s">
        <v>27</v>
      </c>
      <c r="W971" s="17">
        <f>(VLOOKUP(T971,'[1]Simulation pricing per sub assy'!$D:$E,2,0))*U971</f>
        <v>7.04</v>
      </c>
      <c r="X971" s="18" t="s">
        <v>616</v>
      </c>
      <c r="Y971" s="18">
        <v>1</v>
      </c>
      <c r="Z971" s="18" t="s">
        <v>23</v>
      </c>
      <c r="AA971" s="18">
        <f>(VLOOKUP(X971,'[1]Simulation pricing per sub assy'!$D:$E,2,0))*Y971</f>
        <v>4.4802908000000006</v>
      </c>
    </row>
    <row r="972" spans="1:27" x14ac:dyDescent="0.35">
      <c r="A972" s="13" t="s">
        <v>455</v>
      </c>
      <c r="B972" s="13" t="s">
        <v>4399</v>
      </c>
      <c r="C972" s="42">
        <f t="shared" si="15"/>
        <v>283.04669080000002</v>
      </c>
      <c r="D972" s="14" t="s">
        <v>43</v>
      </c>
      <c r="E972" s="14">
        <v>2</v>
      </c>
      <c r="F972" s="14" t="s">
        <v>3983</v>
      </c>
      <c r="G972" s="14">
        <f>(VLOOKUP(D972,'[1]BOM Info General'!$A:$L,12,0))*E972</f>
        <v>130.12</v>
      </c>
      <c r="H972" s="15" t="s">
        <v>40</v>
      </c>
      <c r="I972" s="15">
        <v>1</v>
      </c>
      <c r="J972" s="15" t="s">
        <v>45</v>
      </c>
      <c r="K972" s="15">
        <f>(VLOOKUP(H972,'[1]BOM Info General'!$A:$L,12,0))*I972</f>
        <v>25.59</v>
      </c>
      <c r="L972" s="9" t="s">
        <v>528</v>
      </c>
      <c r="M972" s="9">
        <v>1</v>
      </c>
      <c r="N972" s="9" t="s">
        <v>88</v>
      </c>
      <c r="O972" s="9">
        <f>(VLOOKUP(L972,'[1]Simulation pricing per sub assy'!$D:$E,2,0))*M972</f>
        <v>94.656400000000033</v>
      </c>
      <c r="P972" s="16" t="s">
        <v>52</v>
      </c>
      <c r="Q972" s="16">
        <v>8</v>
      </c>
      <c r="R972" s="16" t="s">
        <v>18</v>
      </c>
      <c r="S972" s="40">
        <f>(VLOOKUP(P972,'[1]BOM Info General'!$A:$L,12,0))*Q972</f>
        <v>21.2</v>
      </c>
      <c r="T972" s="17" t="s">
        <v>28</v>
      </c>
      <c r="U972" s="17">
        <v>1</v>
      </c>
      <c r="V972" s="17" t="s">
        <v>29</v>
      </c>
      <c r="W972" s="17">
        <f>(VLOOKUP(T972,'[1]Simulation pricing per sub assy'!$D:$E,2,0))*U972</f>
        <v>7</v>
      </c>
      <c r="X972" s="18" t="s">
        <v>616</v>
      </c>
      <c r="Y972" s="18">
        <v>1</v>
      </c>
      <c r="Z972" s="18" t="s">
        <v>23</v>
      </c>
      <c r="AA972" s="18">
        <f>(VLOOKUP(X972,'[1]Simulation pricing per sub assy'!$D:$E,2,0))*Y972</f>
        <v>4.4802908000000006</v>
      </c>
    </row>
    <row r="973" spans="1:27" x14ac:dyDescent="0.35">
      <c r="A973" s="13" t="s">
        <v>311</v>
      </c>
      <c r="B973" s="13" t="s">
        <v>4400</v>
      </c>
      <c r="C973" s="42">
        <f t="shared" si="15"/>
        <v>284.14669080000004</v>
      </c>
      <c r="D973" s="14" t="s">
        <v>43</v>
      </c>
      <c r="E973" s="14">
        <v>2</v>
      </c>
      <c r="F973" s="14" t="s">
        <v>3983</v>
      </c>
      <c r="G973" s="14">
        <f>(VLOOKUP(D973,'[1]BOM Info General'!$A:$L,12,0))*E973</f>
        <v>130.12</v>
      </c>
      <c r="H973" s="15" t="s">
        <v>40</v>
      </c>
      <c r="I973" s="15">
        <v>1</v>
      </c>
      <c r="J973" s="15" t="s">
        <v>45</v>
      </c>
      <c r="K973" s="15">
        <f>(VLOOKUP(H973,'[1]BOM Info General'!$A:$L,12,0))*I973</f>
        <v>25.59</v>
      </c>
      <c r="L973" s="9" t="s">
        <v>85</v>
      </c>
      <c r="M973" s="9">
        <v>1</v>
      </c>
      <c r="N973" s="9" t="s">
        <v>82</v>
      </c>
      <c r="O973" s="9">
        <f>(VLOOKUP(L973,'[1]Simulation pricing per sub assy'!$D:$E,2,0))*M973</f>
        <v>95.756400000000042</v>
      </c>
      <c r="P973" s="16" t="s">
        <v>52</v>
      </c>
      <c r="Q973" s="16">
        <v>8</v>
      </c>
      <c r="R973" s="16" t="s">
        <v>18</v>
      </c>
      <c r="S973" s="40">
        <f>(VLOOKUP(P973,'[1]BOM Info General'!$A:$L,12,0))*Q973</f>
        <v>21.2</v>
      </c>
      <c r="T973" s="17" t="s">
        <v>28</v>
      </c>
      <c r="U973" s="17">
        <v>1</v>
      </c>
      <c r="V973" s="17" t="s">
        <v>29</v>
      </c>
      <c r="W973" s="17">
        <f>(VLOOKUP(T973,'[1]Simulation pricing per sub assy'!$D:$E,2,0))*U973</f>
        <v>7</v>
      </c>
      <c r="X973" s="18" t="s">
        <v>616</v>
      </c>
      <c r="Y973" s="18">
        <v>1</v>
      </c>
      <c r="Z973" s="18" t="s">
        <v>23</v>
      </c>
      <c r="AA973" s="18">
        <f>(VLOOKUP(X973,'[1]Simulation pricing per sub assy'!$D:$E,2,0))*Y973</f>
        <v>4.4802908000000006</v>
      </c>
    </row>
    <row r="974" spans="1:27" x14ac:dyDescent="0.35">
      <c r="A974" s="13" t="s">
        <v>383</v>
      </c>
      <c r="B974" s="13" t="s">
        <v>4401</v>
      </c>
      <c r="C974" s="42">
        <f t="shared" si="15"/>
        <v>284.14669080000004</v>
      </c>
      <c r="D974" s="14" t="s">
        <v>43</v>
      </c>
      <c r="E974" s="14">
        <v>2</v>
      </c>
      <c r="F974" s="14" t="s">
        <v>3983</v>
      </c>
      <c r="G974" s="14">
        <f>(VLOOKUP(D974,'[1]BOM Info General'!$A:$L,12,0))*E974</f>
        <v>130.12</v>
      </c>
      <c r="H974" s="15" t="s">
        <v>40</v>
      </c>
      <c r="I974" s="15">
        <v>1</v>
      </c>
      <c r="J974" s="15" t="s">
        <v>45</v>
      </c>
      <c r="K974" s="15">
        <f>(VLOOKUP(H974,'[1]BOM Info General'!$A:$L,12,0))*I974</f>
        <v>25.59</v>
      </c>
      <c r="L974" s="9" t="s">
        <v>81</v>
      </c>
      <c r="M974" s="9">
        <v>1</v>
      </c>
      <c r="N974" s="9" t="s">
        <v>80</v>
      </c>
      <c r="O974" s="9">
        <f>(VLOOKUP(L974,'[1]Simulation pricing per sub assy'!$D:$E,2,0))*M974</f>
        <v>95.756400000000042</v>
      </c>
      <c r="P974" s="16" t="s">
        <v>52</v>
      </c>
      <c r="Q974" s="16">
        <v>8</v>
      </c>
      <c r="R974" s="16" t="s">
        <v>18</v>
      </c>
      <c r="S974" s="40">
        <f>(VLOOKUP(P974,'[1]BOM Info General'!$A:$L,12,0))*Q974</f>
        <v>21.2</v>
      </c>
      <c r="T974" s="17" t="s">
        <v>28</v>
      </c>
      <c r="U974" s="17">
        <v>1</v>
      </c>
      <c r="V974" s="17" t="s">
        <v>29</v>
      </c>
      <c r="W974" s="17">
        <f>(VLOOKUP(T974,'[1]Simulation pricing per sub assy'!$D:$E,2,0))*U974</f>
        <v>7</v>
      </c>
      <c r="X974" s="18" t="s">
        <v>616</v>
      </c>
      <c r="Y974" s="18">
        <v>1</v>
      </c>
      <c r="Z974" s="18" t="s">
        <v>23</v>
      </c>
      <c r="AA974" s="18">
        <f>(VLOOKUP(X974,'[1]Simulation pricing per sub assy'!$D:$E,2,0))*Y974</f>
        <v>4.4802908000000006</v>
      </c>
    </row>
    <row r="975" spans="1:27" x14ac:dyDescent="0.35">
      <c r="A975" s="13" t="s">
        <v>347</v>
      </c>
      <c r="B975" s="13" t="s">
        <v>4402</v>
      </c>
      <c r="C975" s="42">
        <f t="shared" si="15"/>
        <v>283.59669080000003</v>
      </c>
      <c r="D975" s="14" t="s">
        <v>43</v>
      </c>
      <c r="E975" s="14">
        <v>2</v>
      </c>
      <c r="F975" s="14" t="s">
        <v>3983</v>
      </c>
      <c r="G975" s="14">
        <f>(VLOOKUP(D975,'[1]BOM Info General'!$A:$L,12,0))*E975</f>
        <v>130.12</v>
      </c>
      <c r="H975" s="15" t="s">
        <v>40</v>
      </c>
      <c r="I975" s="15">
        <v>1</v>
      </c>
      <c r="J975" s="15" t="s">
        <v>45</v>
      </c>
      <c r="K975" s="15">
        <f>(VLOOKUP(H975,'[1]BOM Info General'!$A:$L,12,0))*I975</f>
        <v>25.59</v>
      </c>
      <c r="L975" s="9" t="s">
        <v>87</v>
      </c>
      <c r="M975" s="9">
        <v>1</v>
      </c>
      <c r="N975" s="9" t="s">
        <v>84</v>
      </c>
      <c r="O975" s="9">
        <f>(VLOOKUP(L975,'[1]Simulation pricing per sub assy'!$D:$E,2,0))*M975</f>
        <v>95.206400000000031</v>
      </c>
      <c r="P975" s="16" t="s">
        <v>52</v>
      </c>
      <c r="Q975" s="16">
        <v>8</v>
      </c>
      <c r="R975" s="16" t="s">
        <v>18</v>
      </c>
      <c r="S975" s="40">
        <f>(VLOOKUP(P975,'[1]BOM Info General'!$A:$L,12,0))*Q975</f>
        <v>21.2</v>
      </c>
      <c r="T975" s="17" t="s">
        <v>28</v>
      </c>
      <c r="U975" s="17">
        <v>1</v>
      </c>
      <c r="V975" s="17" t="s">
        <v>29</v>
      </c>
      <c r="W975" s="17">
        <f>(VLOOKUP(T975,'[1]Simulation pricing per sub assy'!$D:$E,2,0))*U975</f>
        <v>7</v>
      </c>
      <c r="X975" s="18" t="s">
        <v>616</v>
      </c>
      <c r="Y975" s="18">
        <v>1</v>
      </c>
      <c r="Z975" s="18" t="s">
        <v>23</v>
      </c>
      <c r="AA975" s="18">
        <f>(VLOOKUP(X975,'[1]Simulation pricing per sub assy'!$D:$E,2,0))*Y975</f>
        <v>4.4802908000000006</v>
      </c>
    </row>
    <row r="976" spans="1:27" x14ac:dyDescent="0.35">
      <c r="A976" s="13" t="s">
        <v>419</v>
      </c>
      <c r="B976" s="13" t="s">
        <v>4403</v>
      </c>
      <c r="C976" s="42">
        <f t="shared" si="15"/>
        <v>291.55669080000001</v>
      </c>
      <c r="D976" s="14" t="s">
        <v>43</v>
      </c>
      <c r="E976" s="14">
        <v>2</v>
      </c>
      <c r="F976" s="14" t="s">
        <v>3983</v>
      </c>
      <c r="G976" s="14">
        <f>(VLOOKUP(D976,'[1]BOM Info General'!$A:$L,12,0))*E976</f>
        <v>130.12</v>
      </c>
      <c r="H976" s="15" t="s">
        <v>40</v>
      </c>
      <c r="I976" s="15">
        <v>1</v>
      </c>
      <c r="J976" s="15" t="s">
        <v>45</v>
      </c>
      <c r="K976" s="15">
        <f>(VLOOKUP(H976,'[1]BOM Info General'!$A:$L,12,0))*I976</f>
        <v>25.59</v>
      </c>
      <c r="L976" s="9" t="s">
        <v>83</v>
      </c>
      <c r="M976" s="9">
        <v>1</v>
      </c>
      <c r="N976" s="9" t="s">
        <v>86</v>
      </c>
      <c r="O976" s="9">
        <f>(VLOOKUP(L976,'[1]Simulation pricing per sub assy'!$D:$E,2,0))*M976</f>
        <v>103.16640000000004</v>
      </c>
      <c r="P976" s="16" t="s">
        <v>52</v>
      </c>
      <c r="Q976" s="16">
        <v>8</v>
      </c>
      <c r="R976" s="16" t="s">
        <v>18</v>
      </c>
      <c r="S976" s="40">
        <f>(VLOOKUP(P976,'[1]BOM Info General'!$A:$L,12,0))*Q976</f>
        <v>21.2</v>
      </c>
      <c r="T976" s="17" t="s">
        <v>28</v>
      </c>
      <c r="U976" s="17">
        <v>1</v>
      </c>
      <c r="V976" s="17" t="s">
        <v>29</v>
      </c>
      <c r="W976" s="17">
        <f>(VLOOKUP(T976,'[1]Simulation pricing per sub assy'!$D:$E,2,0))*U976</f>
        <v>7</v>
      </c>
      <c r="X976" s="18" t="s">
        <v>616</v>
      </c>
      <c r="Y976" s="18">
        <v>1</v>
      </c>
      <c r="Z976" s="18" t="s">
        <v>23</v>
      </c>
      <c r="AA976" s="18">
        <f>(VLOOKUP(X976,'[1]Simulation pricing per sub assy'!$D:$E,2,0))*Y976</f>
        <v>4.4802908000000006</v>
      </c>
    </row>
    <row r="977" spans="1:27" x14ac:dyDescent="0.35">
      <c r="A977" s="13" t="s">
        <v>600</v>
      </c>
      <c r="B977" s="13" t="s">
        <v>4404</v>
      </c>
      <c r="C977" s="42">
        <f t="shared" si="15"/>
        <v>284.60669080000002</v>
      </c>
      <c r="D977" s="14" t="s">
        <v>43</v>
      </c>
      <c r="E977" s="14">
        <v>2</v>
      </c>
      <c r="F977" s="14" t="s">
        <v>3983</v>
      </c>
      <c r="G977" s="14">
        <f>(VLOOKUP(D977,'[1]BOM Info General'!$A:$L,12,0))*E977</f>
        <v>130.12</v>
      </c>
      <c r="H977" s="15" t="s">
        <v>40</v>
      </c>
      <c r="I977" s="15">
        <v>1</v>
      </c>
      <c r="J977" s="15" t="s">
        <v>45</v>
      </c>
      <c r="K977" s="15">
        <f>(VLOOKUP(H977,'[1]BOM Info General'!$A:$L,12,0))*I977</f>
        <v>25.59</v>
      </c>
      <c r="L977" s="9" t="s">
        <v>528</v>
      </c>
      <c r="M977" s="9">
        <v>1</v>
      </c>
      <c r="N977" s="9" t="s">
        <v>88</v>
      </c>
      <c r="O977" s="9">
        <f>(VLOOKUP(L977,'[1]Simulation pricing per sub assy'!$D:$E,2,0))*M977</f>
        <v>94.656400000000033</v>
      </c>
      <c r="P977" s="16" t="s">
        <v>50</v>
      </c>
      <c r="Q977" s="16">
        <v>8</v>
      </c>
      <c r="R977" s="16" t="s">
        <v>611</v>
      </c>
      <c r="S977" s="40">
        <f>(VLOOKUP(P977,'[1]BOM Info General'!$A:$L,12,0))*Q977</f>
        <v>21.2</v>
      </c>
      <c r="T977" s="17" t="s">
        <v>30</v>
      </c>
      <c r="U977" s="17">
        <v>1</v>
      </c>
      <c r="V977" s="17" t="s">
        <v>31</v>
      </c>
      <c r="W977" s="17">
        <f>(VLOOKUP(T977,'[1]Simulation pricing per sub assy'!$D:$E,2,0))*U977</f>
        <v>8.5599999999999987</v>
      </c>
      <c r="X977" s="18" t="s">
        <v>616</v>
      </c>
      <c r="Y977" s="18">
        <v>1</v>
      </c>
      <c r="Z977" s="18" t="s">
        <v>23</v>
      </c>
      <c r="AA977" s="18">
        <f>(VLOOKUP(X977,'[1]Simulation pricing per sub assy'!$D:$E,2,0))*Y977</f>
        <v>4.4802908000000006</v>
      </c>
    </row>
    <row r="978" spans="1:27" x14ac:dyDescent="0.35">
      <c r="A978" s="13" t="s">
        <v>596</v>
      </c>
      <c r="B978" s="13" t="s">
        <v>4405</v>
      </c>
      <c r="C978" s="42">
        <f t="shared" si="15"/>
        <v>285.70669080000005</v>
      </c>
      <c r="D978" s="14" t="s">
        <v>43</v>
      </c>
      <c r="E978" s="14">
        <v>2</v>
      </c>
      <c r="F978" s="14" t="s">
        <v>3983</v>
      </c>
      <c r="G978" s="14">
        <f>(VLOOKUP(D978,'[1]BOM Info General'!$A:$L,12,0))*E978</f>
        <v>130.12</v>
      </c>
      <c r="H978" s="15" t="s">
        <v>40</v>
      </c>
      <c r="I978" s="15">
        <v>1</v>
      </c>
      <c r="J978" s="15" t="s">
        <v>45</v>
      </c>
      <c r="K978" s="15">
        <f>(VLOOKUP(H978,'[1]BOM Info General'!$A:$L,12,0))*I978</f>
        <v>25.59</v>
      </c>
      <c r="L978" s="9" t="s">
        <v>85</v>
      </c>
      <c r="M978" s="9">
        <v>1</v>
      </c>
      <c r="N978" s="9" t="s">
        <v>82</v>
      </c>
      <c r="O978" s="9">
        <f>(VLOOKUP(L978,'[1]Simulation pricing per sub assy'!$D:$E,2,0))*M978</f>
        <v>95.756400000000042</v>
      </c>
      <c r="P978" s="16" t="s">
        <v>50</v>
      </c>
      <c r="Q978" s="16">
        <v>8</v>
      </c>
      <c r="R978" s="16" t="s">
        <v>611</v>
      </c>
      <c r="S978" s="40">
        <f>(VLOOKUP(P978,'[1]BOM Info General'!$A:$L,12,0))*Q978</f>
        <v>21.2</v>
      </c>
      <c r="T978" s="17" t="s">
        <v>30</v>
      </c>
      <c r="U978" s="17">
        <v>1</v>
      </c>
      <c r="V978" s="17" t="s">
        <v>31</v>
      </c>
      <c r="W978" s="17">
        <f>(VLOOKUP(T978,'[1]Simulation pricing per sub assy'!$D:$E,2,0))*U978</f>
        <v>8.5599999999999987</v>
      </c>
      <c r="X978" s="18" t="s">
        <v>616</v>
      </c>
      <c r="Y978" s="18">
        <v>1</v>
      </c>
      <c r="Z978" s="18" t="s">
        <v>23</v>
      </c>
      <c r="AA978" s="18">
        <f>(VLOOKUP(X978,'[1]Simulation pricing per sub assy'!$D:$E,2,0))*Y978</f>
        <v>4.4802908000000006</v>
      </c>
    </row>
    <row r="979" spans="1:27" x14ac:dyDescent="0.35">
      <c r="A979" s="13" t="s">
        <v>598</v>
      </c>
      <c r="B979" s="13" t="s">
        <v>4406</v>
      </c>
      <c r="C979" s="42">
        <f t="shared" si="15"/>
        <v>285.70669080000005</v>
      </c>
      <c r="D979" s="14" t="s">
        <v>43</v>
      </c>
      <c r="E979" s="14">
        <v>2</v>
      </c>
      <c r="F979" s="14" t="s">
        <v>3983</v>
      </c>
      <c r="G979" s="14">
        <f>(VLOOKUP(D979,'[1]BOM Info General'!$A:$L,12,0))*E979</f>
        <v>130.12</v>
      </c>
      <c r="H979" s="15" t="s">
        <v>40</v>
      </c>
      <c r="I979" s="15">
        <v>1</v>
      </c>
      <c r="J979" s="15" t="s">
        <v>45</v>
      </c>
      <c r="K979" s="15">
        <f>(VLOOKUP(H979,'[1]BOM Info General'!$A:$L,12,0))*I979</f>
        <v>25.59</v>
      </c>
      <c r="L979" s="9" t="s">
        <v>81</v>
      </c>
      <c r="M979" s="9">
        <v>1</v>
      </c>
      <c r="N979" s="9" t="s">
        <v>80</v>
      </c>
      <c r="O979" s="9">
        <f>(VLOOKUP(L979,'[1]Simulation pricing per sub assy'!$D:$E,2,0))*M979</f>
        <v>95.756400000000042</v>
      </c>
      <c r="P979" s="16" t="s">
        <v>50</v>
      </c>
      <c r="Q979" s="16">
        <v>8</v>
      </c>
      <c r="R979" s="16" t="s">
        <v>611</v>
      </c>
      <c r="S979" s="40">
        <f>(VLOOKUP(P979,'[1]BOM Info General'!$A:$L,12,0))*Q979</f>
        <v>21.2</v>
      </c>
      <c r="T979" s="17" t="s">
        <v>30</v>
      </c>
      <c r="U979" s="17">
        <v>1</v>
      </c>
      <c r="V979" s="17" t="s">
        <v>31</v>
      </c>
      <c r="W979" s="17">
        <f>(VLOOKUP(T979,'[1]Simulation pricing per sub assy'!$D:$E,2,0))*U979</f>
        <v>8.5599999999999987</v>
      </c>
      <c r="X979" s="18" t="s">
        <v>616</v>
      </c>
      <c r="Y979" s="18">
        <v>1</v>
      </c>
      <c r="Z979" s="18" t="s">
        <v>23</v>
      </c>
      <c r="AA979" s="18">
        <f>(VLOOKUP(X979,'[1]Simulation pricing per sub assy'!$D:$E,2,0))*Y979</f>
        <v>4.4802908000000006</v>
      </c>
    </row>
    <row r="980" spans="1:27" x14ac:dyDescent="0.35">
      <c r="A980" s="13" t="s">
        <v>597</v>
      </c>
      <c r="B980" s="13" t="s">
        <v>4407</v>
      </c>
      <c r="C980" s="42">
        <f t="shared" si="15"/>
        <v>285.15669080000004</v>
      </c>
      <c r="D980" s="14" t="s">
        <v>43</v>
      </c>
      <c r="E980" s="14">
        <v>2</v>
      </c>
      <c r="F980" s="14" t="s">
        <v>3983</v>
      </c>
      <c r="G980" s="14">
        <f>(VLOOKUP(D980,'[1]BOM Info General'!$A:$L,12,0))*E980</f>
        <v>130.12</v>
      </c>
      <c r="H980" s="15" t="s">
        <v>40</v>
      </c>
      <c r="I980" s="15">
        <v>1</v>
      </c>
      <c r="J980" s="15" t="s">
        <v>45</v>
      </c>
      <c r="K980" s="15">
        <f>(VLOOKUP(H980,'[1]BOM Info General'!$A:$L,12,0))*I980</f>
        <v>25.59</v>
      </c>
      <c r="L980" s="9" t="s">
        <v>87</v>
      </c>
      <c r="M980" s="9">
        <v>1</v>
      </c>
      <c r="N980" s="9" t="s">
        <v>84</v>
      </c>
      <c r="O980" s="9">
        <f>(VLOOKUP(L980,'[1]Simulation pricing per sub assy'!$D:$E,2,0))*M980</f>
        <v>95.206400000000031</v>
      </c>
      <c r="P980" s="16" t="s">
        <v>50</v>
      </c>
      <c r="Q980" s="16">
        <v>8</v>
      </c>
      <c r="R980" s="16" t="s">
        <v>611</v>
      </c>
      <c r="S980" s="40">
        <f>(VLOOKUP(P980,'[1]BOM Info General'!$A:$L,12,0))*Q980</f>
        <v>21.2</v>
      </c>
      <c r="T980" s="17" t="s">
        <v>30</v>
      </c>
      <c r="U980" s="17">
        <v>1</v>
      </c>
      <c r="V980" s="17" t="s">
        <v>31</v>
      </c>
      <c r="W980" s="17">
        <f>(VLOOKUP(T980,'[1]Simulation pricing per sub assy'!$D:$E,2,0))*U980</f>
        <v>8.5599999999999987</v>
      </c>
      <c r="X980" s="18" t="s">
        <v>616</v>
      </c>
      <c r="Y980" s="18">
        <v>1</v>
      </c>
      <c r="Z980" s="18" t="s">
        <v>23</v>
      </c>
      <c r="AA980" s="18">
        <f>(VLOOKUP(X980,'[1]Simulation pricing per sub assy'!$D:$E,2,0))*Y980</f>
        <v>4.4802908000000006</v>
      </c>
    </row>
    <row r="981" spans="1:27" x14ac:dyDescent="0.35">
      <c r="A981" s="13" t="s">
        <v>599</v>
      </c>
      <c r="B981" s="13" t="s">
        <v>4408</v>
      </c>
      <c r="C981" s="42">
        <f t="shared" si="15"/>
        <v>293.11669080000001</v>
      </c>
      <c r="D981" s="14" t="s">
        <v>43</v>
      </c>
      <c r="E981" s="14">
        <v>2</v>
      </c>
      <c r="F981" s="14" t="s">
        <v>3983</v>
      </c>
      <c r="G981" s="14">
        <f>(VLOOKUP(D981,'[1]BOM Info General'!$A:$L,12,0))*E981</f>
        <v>130.12</v>
      </c>
      <c r="H981" s="15" t="s">
        <v>40</v>
      </c>
      <c r="I981" s="15">
        <v>1</v>
      </c>
      <c r="J981" s="15" t="s">
        <v>45</v>
      </c>
      <c r="K981" s="15">
        <f>(VLOOKUP(H981,'[1]BOM Info General'!$A:$L,12,0))*I981</f>
        <v>25.59</v>
      </c>
      <c r="L981" s="9" t="s">
        <v>83</v>
      </c>
      <c r="M981" s="9">
        <v>1</v>
      </c>
      <c r="N981" s="9" t="s">
        <v>86</v>
      </c>
      <c r="O981" s="9">
        <f>(VLOOKUP(L981,'[1]Simulation pricing per sub assy'!$D:$E,2,0))*M981</f>
        <v>103.16640000000004</v>
      </c>
      <c r="P981" s="16" t="s">
        <v>50</v>
      </c>
      <c r="Q981" s="16">
        <v>8</v>
      </c>
      <c r="R981" s="16" t="s">
        <v>611</v>
      </c>
      <c r="S981" s="40">
        <f>(VLOOKUP(P981,'[1]BOM Info General'!$A:$L,12,0))*Q981</f>
        <v>21.2</v>
      </c>
      <c r="T981" s="17" t="s">
        <v>30</v>
      </c>
      <c r="U981" s="17">
        <v>1</v>
      </c>
      <c r="V981" s="17" t="s">
        <v>31</v>
      </c>
      <c r="W981" s="17">
        <f>(VLOOKUP(T981,'[1]Simulation pricing per sub assy'!$D:$E,2,0))*U981</f>
        <v>8.5599999999999987</v>
      </c>
      <c r="X981" s="18" t="s">
        <v>616</v>
      </c>
      <c r="Y981" s="18">
        <v>1</v>
      </c>
      <c r="Z981" s="18" t="s">
        <v>23</v>
      </c>
      <c r="AA981" s="18">
        <f>(VLOOKUP(X981,'[1]Simulation pricing per sub assy'!$D:$E,2,0))*Y981</f>
        <v>4.4802908000000006</v>
      </c>
    </row>
    <row r="982" spans="1:27" x14ac:dyDescent="0.35">
      <c r="A982" s="13" t="s">
        <v>1285</v>
      </c>
      <c r="B982" s="13" t="s">
        <v>1286</v>
      </c>
      <c r="C982" s="42">
        <f t="shared" si="15"/>
        <v>283.24669080000001</v>
      </c>
      <c r="D982" s="20" t="s">
        <v>43</v>
      </c>
      <c r="E982" s="20">
        <v>2</v>
      </c>
      <c r="F982" s="20" t="s">
        <v>3983</v>
      </c>
      <c r="G982" s="14">
        <f>(VLOOKUP(D982,'[1]BOM Info General'!$A:$L,12,0))*E982</f>
        <v>130.12</v>
      </c>
      <c r="H982" s="21" t="s">
        <v>40</v>
      </c>
      <c r="I982" s="21">
        <v>1</v>
      </c>
      <c r="J982" s="21" t="s">
        <v>45</v>
      </c>
      <c r="K982" s="15">
        <f>(VLOOKUP(H982,'[1]BOM Info General'!$A:$L,12,0))*I982</f>
        <v>25.59</v>
      </c>
      <c r="L982" s="22" t="s">
        <v>528</v>
      </c>
      <c r="M982" s="22">
        <v>1</v>
      </c>
      <c r="N982" s="22" t="s">
        <v>88</v>
      </c>
      <c r="O982" s="9">
        <f>(VLOOKUP(L982,'[1]Simulation pricing per sub assy'!$D:$E,2,0))*M982</f>
        <v>94.656400000000033</v>
      </c>
      <c r="P982" s="23" t="s">
        <v>50</v>
      </c>
      <c r="Q982" s="23">
        <v>8</v>
      </c>
      <c r="R982" s="23" t="s">
        <v>611</v>
      </c>
      <c r="S982" s="40">
        <f>(VLOOKUP(P982,'[1]BOM Info General'!$A:$L,12,0))*Q982</f>
        <v>21.2</v>
      </c>
      <c r="T982" s="24" t="s">
        <v>21</v>
      </c>
      <c r="U982" s="24">
        <v>1</v>
      </c>
      <c r="V982" s="24" t="s">
        <v>22</v>
      </c>
      <c r="W982" s="17">
        <f>(VLOOKUP(T982,'[1]Simulation pricing per sub assy'!$D:$E,2,0))*U982</f>
        <v>7.2</v>
      </c>
      <c r="X982" s="18" t="s">
        <v>616</v>
      </c>
      <c r="Y982" s="25">
        <v>1</v>
      </c>
      <c r="Z982" s="25" t="s">
        <v>23</v>
      </c>
      <c r="AA982" s="18">
        <f>(VLOOKUP(X982,'[1]Simulation pricing per sub assy'!$D:$E,2,0))*Y982</f>
        <v>4.4802908000000006</v>
      </c>
    </row>
    <row r="983" spans="1:27" x14ac:dyDescent="0.35">
      <c r="A983" s="13" t="s">
        <v>1277</v>
      </c>
      <c r="B983" s="13" t="s">
        <v>1278</v>
      </c>
      <c r="C983" s="42">
        <f t="shared" si="15"/>
        <v>284.34669080000003</v>
      </c>
      <c r="D983" s="20" t="s">
        <v>43</v>
      </c>
      <c r="E983" s="20">
        <v>2</v>
      </c>
      <c r="F983" s="20" t="s">
        <v>3983</v>
      </c>
      <c r="G983" s="14">
        <f>(VLOOKUP(D983,'[1]BOM Info General'!$A:$L,12,0))*E983</f>
        <v>130.12</v>
      </c>
      <c r="H983" s="21" t="s">
        <v>40</v>
      </c>
      <c r="I983" s="21">
        <v>1</v>
      </c>
      <c r="J983" s="21" t="s">
        <v>45</v>
      </c>
      <c r="K983" s="15">
        <f>(VLOOKUP(H983,'[1]BOM Info General'!$A:$L,12,0))*I983</f>
        <v>25.59</v>
      </c>
      <c r="L983" s="22" t="s">
        <v>85</v>
      </c>
      <c r="M983" s="22">
        <v>1</v>
      </c>
      <c r="N983" s="22" t="s">
        <v>82</v>
      </c>
      <c r="O983" s="9">
        <f>(VLOOKUP(L983,'[1]Simulation pricing per sub assy'!$D:$E,2,0))*M983</f>
        <v>95.756400000000042</v>
      </c>
      <c r="P983" s="23" t="s">
        <v>50</v>
      </c>
      <c r="Q983" s="23">
        <v>8</v>
      </c>
      <c r="R983" s="23" t="s">
        <v>611</v>
      </c>
      <c r="S983" s="40">
        <f>(VLOOKUP(P983,'[1]BOM Info General'!$A:$L,12,0))*Q983</f>
        <v>21.2</v>
      </c>
      <c r="T983" s="24" t="s">
        <v>21</v>
      </c>
      <c r="U983" s="24">
        <v>1</v>
      </c>
      <c r="V983" s="24" t="s">
        <v>22</v>
      </c>
      <c r="W983" s="17">
        <f>(VLOOKUP(T983,'[1]Simulation pricing per sub assy'!$D:$E,2,0))*U983</f>
        <v>7.2</v>
      </c>
      <c r="X983" s="18" t="s">
        <v>616</v>
      </c>
      <c r="Y983" s="25">
        <v>1</v>
      </c>
      <c r="Z983" s="25" t="s">
        <v>23</v>
      </c>
      <c r="AA983" s="18">
        <f>(VLOOKUP(X983,'[1]Simulation pricing per sub assy'!$D:$E,2,0))*Y983</f>
        <v>4.4802908000000006</v>
      </c>
    </row>
    <row r="984" spans="1:27" x14ac:dyDescent="0.35">
      <c r="A984" s="13" t="s">
        <v>1281</v>
      </c>
      <c r="B984" s="13" t="s">
        <v>1282</v>
      </c>
      <c r="C984" s="42">
        <f t="shared" si="15"/>
        <v>284.34669080000003</v>
      </c>
      <c r="D984" s="20" t="s">
        <v>43</v>
      </c>
      <c r="E984" s="20">
        <v>2</v>
      </c>
      <c r="F984" s="20" t="s">
        <v>3983</v>
      </c>
      <c r="G984" s="14">
        <f>(VLOOKUP(D984,'[1]BOM Info General'!$A:$L,12,0))*E984</f>
        <v>130.12</v>
      </c>
      <c r="H984" s="21" t="s">
        <v>40</v>
      </c>
      <c r="I984" s="21">
        <v>1</v>
      </c>
      <c r="J984" s="21" t="s">
        <v>45</v>
      </c>
      <c r="K984" s="15">
        <f>(VLOOKUP(H984,'[1]BOM Info General'!$A:$L,12,0))*I984</f>
        <v>25.59</v>
      </c>
      <c r="L984" s="22" t="s">
        <v>81</v>
      </c>
      <c r="M984" s="22">
        <v>1</v>
      </c>
      <c r="N984" s="22" t="s">
        <v>80</v>
      </c>
      <c r="O984" s="9">
        <f>(VLOOKUP(L984,'[1]Simulation pricing per sub assy'!$D:$E,2,0))*M984</f>
        <v>95.756400000000042</v>
      </c>
      <c r="P984" s="23" t="s">
        <v>50</v>
      </c>
      <c r="Q984" s="23">
        <v>8</v>
      </c>
      <c r="R984" s="23" t="s">
        <v>611</v>
      </c>
      <c r="S984" s="40">
        <f>(VLOOKUP(P984,'[1]BOM Info General'!$A:$L,12,0))*Q984</f>
        <v>21.2</v>
      </c>
      <c r="T984" s="24" t="s">
        <v>21</v>
      </c>
      <c r="U984" s="24">
        <v>1</v>
      </c>
      <c r="V984" s="24" t="s">
        <v>22</v>
      </c>
      <c r="W984" s="17">
        <f>(VLOOKUP(T984,'[1]Simulation pricing per sub assy'!$D:$E,2,0))*U984</f>
        <v>7.2</v>
      </c>
      <c r="X984" s="18" t="s">
        <v>616</v>
      </c>
      <c r="Y984" s="25">
        <v>1</v>
      </c>
      <c r="Z984" s="25" t="s">
        <v>23</v>
      </c>
      <c r="AA984" s="18">
        <f>(VLOOKUP(X984,'[1]Simulation pricing per sub assy'!$D:$E,2,0))*Y984</f>
        <v>4.4802908000000006</v>
      </c>
    </row>
    <row r="985" spans="1:27" x14ac:dyDescent="0.35">
      <c r="A985" s="13" t="s">
        <v>1279</v>
      </c>
      <c r="B985" s="13" t="s">
        <v>1280</v>
      </c>
      <c r="C985" s="42">
        <f t="shared" si="15"/>
        <v>283.79669080000002</v>
      </c>
      <c r="D985" s="20" t="s">
        <v>43</v>
      </c>
      <c r="E985" s="20">
        <v>2</v>
      </c>
      <c r="F985" s="20" t="s">
        <v>3983</v>
      </c>
      <c r="G985" s="14">
        <f>(VLOOKUP(D985,'[1]BOM Info General'!$A:$L,12,0))*E985</f>
        <v>130.12</v>
      </c>
      <c r="H985" s="21" t="s">
        <v>40</v>
      </c>
      <c r="I985" s="21">
        <v>1</v>
      </c>
      <c r="J985" s="21" t="s">
        <v>45</v>
      </c>
      <c r="K985" s="15">
        <f>(VLOOKUP(H985,'[1]BOM Info General'!$A:$L,12,0))*I985</f>
        <v>25.59</v>
      </c>
      <c r="L985" s="22" t="s">
        <v>87</v>
      </c>
      <c r="M985" s="22">
        <v>1</v>
      </c>
      <c r="N985" s="22" t="s">
        <v>84</v>
      </c>
      <c r="O985" s="9">
        <f>(VLOOKUP(L985,'[1]Simulation pricing per sub assy'!$D:$E,2,0))*M985</f>
        <v>95.206400000000031</v>
      </c>
      <c r="P985" s="23" t="s">
        <v>50</v>
      </c>
      <c r="Q985" s="23">
        <v>8</v>
      </c>
      <c r="R985" s="23" t="s">
        <v>611</v>
      </c>
      <c r="S985" s="40">
        <f>(VLOOKUP(P985,'[1]BOM Info General'!$A:$L,12,0))*Q985</f>
        <v>21.2</v>
      </c>
      <c r="T985" s="24" t="s">
        <v>21</v>
      </c>
      <c r="U985" s="24">
        <v>1</v>
      </c>
      <c r="V985" s="24" t="s">
        <v>22</v>
      </c>
      <c r="W985" s="17">
        <f>(VLOOKUP(T985,'[1]Simulation pricing per sub assy'!$D:$E,2,0))*U985</f>
        <v>7.2</v>
      </c>
      <c r="X985" s="18" t="s">
        <v>616</v>
      </c>
      <c r="Y985" s="25">
        <v>1</v>
      </c>
      <c r="Z985" s="25" t="s">
        <v>23</v>
      </c>
      <c r="AA985" s="18">
        <f>(VLOOKUP(X985,'[1]Simulation pricing per sub assy'!$D:$E,2,0))*Y985</f>
        <v>4.4802908000000006</v>
      </c>
    </row>
    <row r="986" spans="1:27" x14ac:dyDescent="0.35">
      <c r="A986" s="13" t="s">
        <v>1283</v>
      </c>
      <c r="B986" s="13" t="s">
        <v>1284</v>
      </c>
      <c r="C986" s="42">
        <f t="shared" si="15"/>
        <v>291.7566908</v>
      </c>
      <c r="D986" s="20" t="s">
        <v>43</v>
      </c>
      <c r="E986" s="20">
        <v>2</v>
      </c>
      <c r="F986" s="20" t="s">
        <v>3983</v>
      </c>
      <c r="G986" s="14">
        <f>(VLOOKUP(D986,'[1]BOM Info General'!$A:$L,12,0))*E986</f>
        <v>130.12</v>
      </c>
      <c r="H986" s="21" t="s">
        <v>40</v>
      </c>
      <c r="I986" s="21">
        <v>1</v>
      </c>
      <c r="J986" s="21" t="s">
        <v>45</v>
      </c>
      <c r="K986" s="15">
        <f>(VLOOKUP(H986,'[1]BOM Info General'!$A:$L,12,0))*I986</f>
        <v>25.59</v>
      </c>
      <c r="L986" s="22" t="s">
        <v>83</v>
      </c>
      <c r="M986" s="22">
        <v>1</v>
      </c>
      <c r="N986" s="22" t="s">
        <v>86</v>
      </c>
      <c r="O986" s="9">
        <f>(VLOOKUP(L986,'[1]Simulation pricing per sub assy'!$D:$E,2,0))*M986</f>
        <v>103.16640000000004</v>
      </c>
      <c r="P986" s="23" t="s">
        <v>50</v>
      </c>
      <c r="Q986" s="23">
        <v>8</v>
      </c>
      <c r="R986" s="23" t="s">
        <v>611</v>
      </c>
      <c r="S986" s="40">
        <f>(VLOOKUP(P986,'[1]BOM Info General'!$A:$L,12,0))*Q986</f>
        <v>21.2</v>
      </c>
      <c r="T986" s="24" t="s">
        <v>21</v>
      </c>
      <c r="U986" s="24">
        <v>1</v>
      </c>
      <c r="V986" s="24" t="s">
        <v>22</v>
      </c>
      <c r="W986" s="17">
        <f>(VLOOKUP(T986,'[1]Simulation pricing per sub assy'!$D:$E,2,0))*U986</f>
        <v>7.2</v>
      </c>
      <c r="X986" s="18" t="s">
        <v>616</v>
      </c>
      <c r="Y986" s="25">
        <v>1</v>
      </c>
      <c r="Z986" s="25" t="s">
        <v>23</v>
      </c>
      <c r="AA986" s="18">
        <f>(VLOOKUP(X986,'[1]Simulation pricing per sub assy'!$D:$E,2,0))*Y986</f>
        <v>4.4802908000000006</v>
      </c>
    </row>
    <row r="987" spans="1:27" x14ac:dyDescent="0.35">
      <c r="A987" s="13" t="s">
        <v>1369</v>
      </c>
      <c r="B987" s="13" t="s">
        <v>1370</v>
      </c>
      <c r="C987" s="42">
        <f t="shared" si="15"/>
        <v>282.48669080000002</v>
      </c>
      <c r="D987" s="20" t="s">
        <v>43</v>
      </c>
      <c r="E987" s="20">
        <v>2</v>
      </c>
      <c r="F987" s="20" t="s">
        <v>3983</v>
      </c>
      <c r="G987" s="14">
        <f>(VLOOKUP(D987,'[1]BOM Info General'!$A:$L,12,0))*E987</f>
        <v>130.12</v>
      </c>
      <c r="H987" s="21" t="s">
        <v>40</v>
      </c>
      <c r="I987" s="21">
        <v>1</v>
      </c>
      <c r="J987" s="21" t="s">
        <v>45</v>
      </c>
      <c r="K987" s="15">
        <f>(VLOOKUP(H987,'[1]BOM Info General'!$A:$L,12,0))*I987</f>
        <v>25.59</v>
      </c>
      <c r="L987" s="22" t="s">
        <v>528</v>
      </c>
      <c r="M987" s="22">
        <v>1</v>
      </c>
      <c r="N987" s="22" t="s">
        <v>88</v>
      </c>
      <c r="O987" s="9">
        <f>(VLOOKUP(L987,'[1]Simulation pricing per sub assy'!$D:$E,2,0))*M987</f>
        <v>94.656400000000033</v>
      </c>
      <c r="P987" s="23" t="s">
        <v>50</v>
      </c>
      <c r="Q987" s="23">
        <v>8</v>
      </c>
      <c r="R987" s="23" t="s">
        <v>16</v>
      </c>
      <c r="S987" s="40">
        <f>(VLOOKUP(P987,'[1]BOM Info General'!$A:$L,12,0))*Q987</f>
        <v>21.2</v>
      </c>
      <c r="T987" s="24" t="s">
        <v>24</v>
      </c>
      <c r="U987" s="24">
        <v>1</v>
      </c>
      <c r="V987" s="24" t="s">
        <v>25</v>
      </c>
      <c r="W987" s="17">
        <f>(VLOOKUP(T987,'[1]Simulation pricing per sub assy'!$D:$E,2,0))*U987</f>
        <v>6.44</v>
      </c>
      <c r="X987" s="18" t="s">
        <v>616</v>
      </c>
      <c r="Y987" s="25">
        <v>1</v>
      </c>
      <c r="Z987" s="25" t="s">
        <v>23</v>
      </c>
      <c r="AA987" s="18">
        <f>(VLOOKUP(X987,'[1]Simulation pricing per sub assy'!$D:$E,2,0))*Y987</f>
        <v>4.4802908000000006</v>
      </c>
    </row>
    <row r="988" spans="1:27" x14ac:dyDescent="0.35">
      <c r="A988" s="13" t="s">
        <v>1297</v>
      </c>
      <c r="B988" s="13" t="s">
        <v>1298</v>
      </c>
      <c r="C988" s="42">
        <f t="shared" si="15"/>
        <v>283.58669080000004</v>
      </c>
      <c r="D988" s="20" t="s">
        <v>43</v>
      </c>
      <c r="E988" s="20">
        <v>2</v>
      </c>
      <c r="F988" s="20" t="s">
        <v>3983</v>
      </c>
      <c r="G988" s="14">
        <f>(VLOOKUP(D988,'[1]BOM Info General'!$A:$L,12,0))*E988</f>
        <v>130.12</v>
      </c>
      <c r="H988" s="21" t="s">
        <v>40</v>
      </c>
      <c r="I988" s="21">
        <v>1</v>
      </c>
      <c r="J988" s="21" t="s">
        <v>45</v>
      </c>
      <c r="K988" s="15">
        <f>(VLOOKUP(H988,'[1]BOM Info General'!$A:$L,12,0))*I988</f>
        <v>25.59</v>
      </c>
      <c r="L988" s="22" t="s">
        <v>85</v>
      </c>
      <c r="M988" s="22">
        <v>1</v>
      </c>
      <c r="N988" s="22" t="s">
        <v>82</v>
      </c>
      <c r="O988" s="9">
        <f>(VLOOKUP(L988,'[1]Simulation pricing per sub assy'!$D:$E,2,0))*M988</f>
        <v>95.756400000000042</v>
      </c>
      <c r="P988" s="23" t="s">
        <v>50</v>
      </c>
      <c r="Q988" s="23">
        <v>8</v>
      </c>
      <c r="R988" s="23" t="s">
        <v>16</v>
      </c>
      <c r="S988" s="40">
        <f>(VLOOKUP(P988,'[1]BOM Info General'!$A:$L,12,0))*Q988</f>
        <v>21.2</v>
      </c>
      <c r="T988" s="24" t="s">
        <v>24</v>
      </c>
      <c r="U988" s="24">
        <v>1</v>
      </c>
      <c r="V988" s="24" t="s">
        <v>25</v>
      </c>
      <c r="W988" s="17">
        <f>(VLOOKUP(T988,'[1]Simulation pricing per sub assy'!$D:$E,2,0))*U988</f>
        <v>6.44</v>
      </c>
      <c r="X988" s="18" t="s">
        <v>616</v>
      </c>
      <c r="Y988" s="25">
        <v>1</v>
      </c>
      <c r="Z988" s="25" t="s">
        <v>23</v>
      </c>
      <c r="AA988" s="18">
        <f>(VLOOKUP(X988,'[1]Simulation pricing per sub assy'!$D:$E,2,0))*Y988</f>
        <v>4.4802908000000006</v>
      </c>
    </row>
    <row r="989" spans="1:27" x14ac:dyDescent="0.35">
      <c r="A989" s="13" t="s">
        <v>1333</v>
      </c>
      <c r="B989" s="13" t="s">
        <v>1334</v>
      </c>
      <c r="C989" s="42">
        <f t="shared" si="15"/>
        <v>283.58669080000004</v>
      </c>
      <c r="D989" s="20" t="s">
        <v>43</v>
      </c>
      <c r="E989" s="20">
        <v>2</v>
      </c>
      <c r="F989" s="20" t="s">
        <v>3983</v>
      </c>
      <c r="G989" s="14">
        <f>(VLOOKUP(D989,'[1]BOM Info General'!$A:$L,12,0))*E989</f>
        <v>130.12</v>
      </c>
      <c r="H989" s="21" t="s">
        <v>40</v>
      </c>
      <c r="I989" s="21">
        <v>1</v>
      </c>
      <c r="J989" s="21" t="s">
        <v>45</v>
      </c>
      <c r="K989" s="15">
        <f>(VLOOKUP(H989,'[1]BOM Info General'!$A:$L,12,0))*I989</f>
        <v>25.59</v>
      </c>
      <c r="L989" s="22" t="s">
        <v>81</v>
      </c>
      <c r="M989" s="22">
        <v>1</v>
      </c>
      <c r="N989" s="22" t="s">
        <v>80</v>
      </c>
      <c r="O989" s="9">
        <f>(VLOOKUP(L989,'[1]Simulation pricing per sub assy'!$D:$E,2,0))*M989</f>
        <v>95.756400000000042</v>
      </c>
      <c r="P989" s="23" t="s">
        <v>50</v>
      </c>
      <c r="Q989" s="23">
        <v>8</v>
      </c>
      <c r="R989" s="23" t="s">
        <v>16</v>
      </c>
      <c r="S989" s="40">
        <f>(VLOOKUP(P989,'[1]BOM Info General'!$A:$L,12,0))*Q989</f>
        <v>21.2</v>
      </c>
      <c r="T989" s="24" t="s">
        <v>24</v>
      </c>
      <c r="U989" s="24">
        <v>1</v>
      </c>
      <c r="V989" s="24" t="s">
        <v>25</v>
      </c>
      <c r="W989" s="17">
        <f>(VLOOKUP(T989,'[1]Simulation pricing per sub assy'!$D:$E,2,0))*U989</f>
        <v>6.44</v>
      </c>
      <c r="X989" s="18" t="s">
        <v>616</v>
      </c>
      <c r="Y989" s="25">
        <v>1</v>
      </c>
      <c r="Z989" s="25" t="s">
        <v>23</v>
      </c>
      <c r="AA989" s="18">
        <f>(VLOOKUP(X989,'[1]Simulation pricing per sub assy'!$D:$E,2,0))*Y989</f>
        <v>4.4802908000000006</v>
      </c>
    </row>
    <row r="990" spans="1:27" x14ac:dyDescent="0.35">
      <c r="A990" s="13" t="s">
        <v>1315</v>
      </c>
      <c r="B990" s="13" t="s">
        <v>1316</v>
      </c>
      <c r="C990" s="42">
        <f t="shared" si="15"/>
        <v>283.03669080000003</v>
      </c>
      <c r="D990" s="20" t="s">
        <v>43</v>
      </c>
      <c r="E990" s="20">
        <v>2</v>
      </c>
      <c r="F990" s="20" t="s">
        <v>3983</v>
      </c>
      <c r="G990" s="14">
        <f>(VLOOKUP(D990,'[1]BOM Info General'!$A:$L,12,0))*E990</f>
        <v>130.12</v>
      </c>
      <c r="H990" s="21" t="s">
        <v>40</v>
      </c>
      <c r="I990" s="21">
        <v>1</v>
      </c>
      <c r="J990" s="21" t="s">
        <v>45</v>
      </c>
      <c r="K990" s="15">
        <f>(VLOOKUP(H990,'[1]BOM Info General'!$A:$L,12,0))*I990</f>
        <v>25.59</v>
      </c>
      <c r="L990" s="22" t="s">
        <v>87</v>
      </c>
      <c r="M990" s="22">
        <v>1</v>
      </c>
      <c r="N990" s="22" t="s">
        <v>84</v>
      </c>
      <c r="O990" s="9">
        <f>(VLOOKUP(L990,'[1]Simulation pricing per sub assy'!$D:$E,2,0))*M990</f>
        <v>95.206400000000031</v>
      </c>
      <c r="P990" s="23" t="s">
        <v>50</v>
      </c>
      <c r="Q990" s="23">
        <v>8</v>
      </c>
      <c r="R990" s="23" t="s">
        <v>16</v>
      </c>
      <c r="S990" s="40">
        <f>(VLOOKUP(P990,'[1]BOM Info General'!$A:$L,12,0))*Q990</f>
        <v>21.2</v>
      </c>
      <c r="T990" s="24" t="s">
        <v>24</v>
      </c>
      <c r="U990" s="24">
        <v>1</v>
      </c>
      <c r="V990" s="24" t="s">
        <v>25</v>
      </c>
      <c r="W990" s="17">
        <f>(VLOOKUP(T990,'[1]Simulation pricing per sub assy'!$D:$E,2,0))*U990</f>
        <v>6.44</v>
      </c>
      <c r="X990" s="18" t="s">
        <v>616</v>
      </c>
      <c r="Y990" s="25">
        <v>1</v>
      </c>
      <c r="Z990" s="25" t="s">
        <v>23</v>
      </c>
      <c r="AA990" s="18">
        <f>(VLOOKUP(X990,'[1]Simulation pricing per sub assy'!$D:$E,2,0))*Y990</f>
        <v>4.4802908000000006</v>
      </c>
    </row>
    <row r="991" spans="1:27" x14ac:dyDescent="0.35">
      <c r="A991" s="13" t="s">
        <v>1351</v>
      </c>
      <c r="B991" s="13" t="s">
        <v>1352</v>
      </c>
      <c r="C991" s="42">
        <f t="shared" si="15"/>
        <v>290.99669080000001</v>
      </c>
      <c r="D991" s="20" t="s">
        <v>43</v>
      </c>
      <c r="E991" s="20">
        <v>2</v>
      </c>
      <c r="F991" s="20" t="s">
        <v>3983</v>
      </c>
      <c r="G991" s="14">
        <f>(VLOOKUP(D991,'[1]BOM Info General'!$A:$L,12,0))*E991</f>
        <v>130.12</v>
      </c>
      <c r="H991" s="21" t="s">
        <v>40</v>
      </c>
      <c r="I991" s="21">
        <v>1</v>
      </c>
      <c r="J991" s="21" t="s">
        <v>45</v>
      </c>
      <c r="K991" s="15">
        <f>(VLOOKUP(H991,'[1]BOM Info General'!$A:$L,12,0))*I991</f>
        <v>25.59</v>
      </c>
      <c r="L991" s="22" t="s">
        <v>83</v>
      </c>
      <c r="M991" s="22">
        <v>1</v>
      </c>
      <c r="N991" s="22" t="s">
        <v>86</v>
      </c>
      <c r="O991" s="9">
        <f>(VLOOKUP(L991,'[1]Simulation pricing per sub assy'!$D:$E,2,0))*M991</f>
        <v>103.16640000000004</v>
      </c>
      <c r="P991" s="23" t="s">
        <v>50</v>
      </c>
      <c r="Q991" s="23">
        <v>8</v>
      </c>
      <c r="R991" s="23" t="s">
        <v>16</v>
      </c>
      <c r="S991" s="40">
        <f>(VLOOKUP(P991,'[1]BOM Info General'!$A:$L,12,0))*Q991</f>
        <v>21.2</v>
      </c>
      <c r="T991" s="24" t="s">
        <v>24</v>
      </c>
      <c r="U991" s="24">
        <v>1</v>
      </c>
      <c r="V991" s="24" t="s">
        <v>25</v>
      </c>
      <c r="W991" s="17">
        <f>(VLOOKUP(T991,'[1]Simulation pricing per sub assy'!$D:$E,2,0))*U991</f>
        <v>6.44</v>
      </c>
      <c r="X991" s="18" t="s">
        <v>616</v>
      </c>
      <c r="Y991" s="25">
        <v>1</v>
      </c>
      <c r="Z991" s="25" t="s">
        <v>23</v>
      </c>
      <c r="AA991" s="18">
        <f>(VLOOKUP(X991,'[1]Simulation pricing per sub assy'!$D:$E,2,0))*Y991</f>
        <v>4.4802908000000006</v>
      </c>
    </row>
    <row r="992" spans="1:27" x14ac:dyDescent="0.35">
      <c r="A992" s="13" t="s">
        <v>1371</v>
      </c>
      <c r="B992" s="13" t="s">
        <v>1372</v>
      </c>
      <c r="C992" s="42">
        <f t="shared" si="15"/>
        <v>283.08669080000004</v>
      </c>
      <c r="D992" s="20" t="s">
        <v>43</v>
      </c>
      <c r="E992" s="20">
        <v>2</v>
      </c>
      <c r="F992" s="20" t="s">
        <v>3983</v>
      </c>
      <c r="G992" s="14">
        <f>(VLOOKUP(D992,'[1]BOM Info General'!$A:$L,12,0))*E992</f>
        <v>130.12</v>
      </c>
      <c r="H992" s="21" t="s">
        <v>40</v>
      </c>
      <c r="I992" s="21">
        <v>1</v>
      </c>
      <c r="J992" s="21" t="s">
        <v>45</v>
      </c>
      <c r="K992" s="15">
        <f>(VLOOKUP(H992,'[1]BOM Info General'!$A:$L,12,0))*I992</f>
        <v>25.59</v>
      </c>
      <c r="L992" s="22" t="s">
        <v>528</v>
      </c>
      <c r="M992" s="22">
        <v>1</v>
      </c>
      <c r="N992" s="22" t="s">
        <v>88</v>
      </c>
      <c r="O992" s="9">
        <f>(VLOOKUP(L992,'[1]Simulation pricing per sub assy'!$D:$E,2,0))*M992</f>
        <v>94.656400000000033</v>
      </c>
      <c r="P992" s="23" t="s">
        <v>50</v>
      </c>
      <c r="Q992" s="23">
        <v>8</v>
      </c>
      <c r="R992" s="23" t="s">
        <v>16</v>
      </c>
      <c r="S992" s="40">
        <f>(VLOOKUP(P992,'[1]BOM Info General'!$A:$L,12,0))*Q992</f>
        <v>21.2</v>
      </c>
      <c r="T992" s="24" t="s">
        <v>26</v>
      </c>
      <c r="U992" s="24">
        <v>1</v>
      </c>
      <c r="V992" s="24" t="s">
        <v>27</v>
      </c>
      <c r="W992" s="17">
        <f>(VLOOKUP(T992,'[1]Simulation pricing per sub assy'!$D:$E,2,0))*U992</f>
        <v>7.04</v>
      </c>
      <c r="X992" s="18" t="s">
        <v>616</v>
      </c>
      <c r="Y992" s="25">
        <v>1</v>
      </c>
      <c r="Z992" s="25" t="s">
        <v>23</v>
      </c>
      <c r="AA992" s="18">
        <f>(VLOOKUP(X992,'[1]Simulation pricing per sub assy'!$D:$E,2,0))*Y992</f>
        <v>4.4802908000000006</v>
      </c>
    </row>
    <row r="993" spans="1:27" x14ac:dyDescent="0.35">
      <c r="A993" s="13" t="s">
        <v>1299</v>
      </c>
      <c r="B993" s="13" t="s">
        <v>1300</v>
      </c>
      <c r="C993" s="42">
        <f t="shared" si="15"/>
        <v>284.18669080000006</v>
      </c>
      <c r="D993" s="20" t="s">
        <v>43</v>
      </c>
      <c r="E993" s="20">
        <v>2</v>
      </c>
      <c r="F993" s="20" t="s">
        <v>3983</v>
      </c>
      <c r="G993" s="14">
        <f>(VLOOKUP(D993,'[1]BOM Info General'!$A:$L,12,0))*E993</f>
        <v>130.12</v>
      </c>
      <c r="H993" s="21" t="s">
        <v>40</v>
      </c>
      <c r="I993" s="21">
        <v>1</v>
      </c>
      <c r="J993" s="21" t="s">
        <v>45</v>
      </c>
      <c r="K993" s="15">
        <f>(VLOOKUP(H993,'[1]BOM Info General'!$A:$L,12,0))*I993</f>
        <v>25.59</v>
      </c>
      <c r="L993" s="22" t="s">
        <v>85</v>
      </c>
      <c r="M993" s="22">
        <v>1</v>
      </c>
      <c r="N993" s="22" t="s">
        <v>82</v>
      </c>
      <c r="O993" s="9">
        <f>(VLOOKUP(L993,'[1]Simulation pricing per sub assy'!$D:$E,2,0))*M993</f>
        <v>95.756400000000042</v>
      </c>
      <c r="P993" s="23" t="s">
        <v>50</v>
      </c>
      <c r="Q993" s="23">
        <v>8</v>
      </c>
      <c r="R993" s="23" t="s">
        <v>16</v>
      </c>
      <c r="S993" s="40">
        <f>(VLOOKUP(P993,'[1]BOM Info General'!$A:$L,12,0))*Q993</f>
        <v>21.2</v>
      </c>
      <c r="T993" s="24" t="s">
        <v>26</v>
      </c>
      <c r="U993" s="24">
        <v>1</v>
      </c>
      <c r="V993" s="24" t="s">
        <v>27</v>
      </c>
      <c r="W993" s="17">
        <f>(VLOOKUP(T993,'[1]Simulation pricing per sub assy'!$D:$E,2,0))*U993</f>
        <v>7.04</v>
      </c>
      <c r="X993" s="18" t="s">
        <v>616</v>
      </c>
      <c r="Y993" s="25">
        <v>1</v>
      </c>
      <c r="Z993" s="25" t="s">
        <v>23</v>
      </c>
      <c r="AA993" s="18">
        <f>(VLOOKUP(X993,'[1]Simulation pricing per sub assy'!$D:$E,2,0))*Y993</f>
        <v>4.4802908000000006</v>
      </c>
    </row>
    <row r="994" spans="1:27" x14ac:dyDescent="0.35">
      <c r="A994" s="13" t="s">
        <v>1335</v>
      </c>
      <c r="B994" s="13" t="s">
        <v>1336</v>
      </c>
      <c r="C994" s="42">
        <f t="shared" si="15"/>
        <v>284.18669080000006</v>
      </c>
      <c r="D994" s="20" t="s">
        <v>43</v>
      </c>
      <c r="E994" s="20">
        <v>2</v>
      </c>
      <c r="F994" s="20" t="s">
        <v>3983</v>
      </c>
      <c r="G994" s="14">
        <f>(VLOOKUP(D994,'[1]BOM Info General'!$A:$L,12,0))*E994</f>
        <v>130.12</v>
      </c>
      <c r="H994" s="21" t="s">
        <v>40</v>
      </c>
      <c r="I994" s="21">
        <v>1</v>
      </c>
      <c r="J994" s="21" t="s">
        <v>45</v>
      </c>
      <c r="K994" s="15">
        <f>(VLOOKUP(H994,'[1]BOM Info General'!$A:$L,12,0))*I994</f>
        <v>25.59</v>
      </c>
      <c r="L994" s="22" t="s">
        <v>81</v>
      </c>
      <c r="M994" s="22">
        <v>1</v>
      </c>
      <c r="N994" s="22" t="s">
        <v>80</v>
      </c>
      <c r="O994" s="9">
        <f>(VLOOKUP(L994,'[1]Simulation pricing per sub assy'!$D:$E,2,0))*M994</f>
        <v>95.756400000000042</v>
      </c>
      <c r="P994" s="23" t="s">
        <v>50</v>
      </c>
      <c r="Q994" s="23">
        <v>8</v>
      </c>
      <c r="R994" s="23" t="s">
        <v>16</v>
      </c>
      <c r="S994" s="40">
        <f>(VLOOKUP(P994,'[1]BOM Info General'!$A:$L,12,0))*Q994</f>
        <v>21.2</v>
      </c>
      <c r="T994" s="24" t="s">
        <v>26</v>
      </c>
      <c r="U994" s="24">
        <v>1</v>
      </c>
      <c r="V994" s="24" t="s">
        <v>27</v>
      </c>
      <c r="W994" s="17">
        <f>(VLOOKUP(T994,'[1]Simulation pricing per sub assy'!$D:$E,2,0))*U994</f>
        <v>7.04</v>
      </c>
      <c r="X994" s="18" t="s">
        <v>616</v>
      </c>
      <c r="Y994" s="25">
        <v>1</v>
      </c>
      <c r="Z994" s="25" t="s">
        <v>23</v>
      </c>
      <c r="AA994" s="18">
        <f>(VLOOKUP(X994,'[1]Simulation pricing per sub assy'!$D:$E,2,0))*Y994</f>
        <v>4.4802908000000006</v>
      </c>
    </row>
    <row r="995" spans="1:27" x14ac:dyDescent="0.35">
      <c r="A995" s="13" t="s">
        <v>1317</v>
      </c>
      <c r="B995" s="13" t="s">
        <v>1318</v>
      </c>
      <c r="C995" s="42">
        <f t="shared" si="15"/>
        <v>283.63669080000005</v>
      </c>
      <c r="D995" s="20" t="s">
        <v>43</v>
      </c>
      <c r="E995" s="20">
        <v>2</v>
      </c>
      <c r="F995" s="20" t="s">
        <v>3983</v>
      </c>
      <c r="G995" s="14">
        <f>(VLOOKUP(D995,'[1]BOM Info General'!$A:$L,12,0))*E995</f>
        <v>130.12</v>
      </c>
      <c r="H995" s="21" t="s">
        <v>40</v>
      </c>
      <c r="I995" s="21">
        <v>1</v>
      </c>
      <c r="J995" s="21" t="s">
        <v>45</v>
      </c>
      <c r="K995" s="15">
        <f>(VLOOKUP(H995,'[1]BOM Info General'!$A:$L,12,0))*I995</f>
        <v>25.59</v>
      </c>
      <c r="L995" s="22" t="s">
        <v>87</v>
      </c>
      <c r="M995" s="22">
        <v>1</v>
      </c>
      <c r="N995" s="22" t="s">
        <v>84</v>
      </c>
      <c r="O995" s="9">
        <f>(VLOOKUP(L995,'[1]Simulation pricing per sub assy'!$D:$E,2,0))*M995</f>
        <v>95.206400000000031</v>
      </c>
      <c r="P995" s="23" t="s">
        <v>50</v>
      </c>
      <c r="Q995" s="23">
        <v>8</v>
      </c>
      <c r="R995" s="23" t="s">
        <v>16</v>
      </c>
      <c r="S995" s="40">
        <f>(VLOOKUP(P995,'[1]BOM Info General'!$A:$L,12,0))*Q995</f>
        <v>21.2</v>
      </c>
      <c r="T995" s="24" t="s">
        <v>26</v>
      </c>
      <c r="U995" s="24">
        <v>1</v>
      </c>
      <c r="V995" s="24" t="s">
        <v>27</v>
      </c>
      <c r="W995" s="17">
        <f>(VLOOKUP(T995,'[1]Simulation pricing per sub assy'!$D:$E,2,0))*U995</f>
        <v>7.04</v>
      </c>
      <c r="X995" s="18" t="s">
        <v>616</v>
      </c>
      <c r="Y995" s="25">
        <v>1</v>
      </c>
      <c r="Z995" s="25" t="s">
        <v>23</v>
      </c>
      <c r="AA995" s="18">
        <f>(VLOOKUP(X995,'[1]Simulation pricing per sub assy'!$D:$E,2,0))*Y995</f>
        <v>4.4802908000000006</v>
      </c>
    </row>
    <row r="996" spans="1:27" x14ac:dyDescent="0.35">
      <c r="A996" s="13" t="s">
        <v>1353</v>
      </c>
      <c r="B996" s="13" t="s">
        <v>1354</v>
      </c>
      <c r="C996" s="42">
        <f t="shared" si="15"/>
        <v>291.59669080000003</v>
      </c>
      <c r="D996" s="20" t="s">
        <v>43</v>
      </c>
      <c r="E996" s="20">
        <v>2</v>
      </c>
      <c r="F996" s="20" t="s">
        <v>3983</v>
      </c>
      <c r="G996" s="14">
        <f>(VLOOKUP(D996,'[1]BOM Info General'!$A:$L,12,0))*E996</f>
        <v>130.12</v>
      </c>
      <c r="H996" s="21" t="s">
        <v>40</v>
      </c>
      <c r="I996" s="21">
        <v>1</v>
      </c>
      <c r="J996" s="21" t="s">
        <v>45</v>
      </c>
      <c r="K996" s="15">
        <f>(VLOOKUP(H996,'[1]BOM Info General'!$A:$L,12,0))*I996</f>
        <v>25.59</v>
      </c>
      <c r="L996" s="22" t="s">
        <v>83</v>
      </c>
      <c r="M996" s="22">
        <v>1</v>
      </c>
      <c r="N996" s="22" t="s">
        <v>86</v>
      </c>
      <c r="O996" s="9">
        <f>(VLOOKUP(L996,'[1]Simulation pricing per sub assy'!$D:$E,2,0))*M996</f>
        <v>103.16640000000004</v>
      </c>
      <c r="P996" s="23" t="s">
        <v>50</v>
      </c>
      <c r="Q996" s="23">
        <v>8</v>
      </c>
      <c r="R996" s="23" t="s">
        <v>16</v>
      </c>
      <c r="S996" s="40">
        <f>(VLOOKUP(P996,'[1]BOM Info General'!$A:$L,12,0))*Q996</f>
        <v>21.2</v>
      </c>
      <c r="T996" s="24" t="s">
        <v>26</v>
      </c>
      <c r="U996" s="24">
        <v>1</v>
      </c>
      <c r="V996" s="24" t="s">
        <v>27</v>
      </c>
      <c r="W996" s="17">
        <f>(VLOOKUP(T996,'[1]Simulation pricing per sub assy'!$D:$E,2,0))*U996</f>
        <v>7.04</v>
      </c>
      <c r="X996" s="18" t="s">
        <v>616</v>
      </c>
      <c r="Y996" s="25">
        <v>1</v>
      </c>
      <c r="Z996" s="25" t="s">
        <v>23</v>
      </c>
      <c r="AA996" s="18">
        <f>(VLOOKUP(X996,'[1]Simulation pricing per sub assy'!$D:$E,2,0))*Y996</f>
        <v>4.4802908000000006</v>
      </c>
    </row>
    <row r="997" spans="1:27" x14ac:dyDescent="0.35">
      <c r="A997" s="13" t="s">
        <v>1373</v>
      </c>
      <c r="B997" s="13" t="s">
        <v>1374</v>
      </c>
      <c r="C997" s="42">
        <f t="shared" si="15"/>
        <v>283.04669080000002</v>
      </c>
      <c r="D997" s="20" t="s">
        <v>43</v>
      </c>
      <c r="E997" s="20">
        <v>2</v>
      </c>
      <c r="F997" s="20" t="s">
        <v>3983</v>
      </c>
      <c r="G997" s="14">
        <f>(VLOOKUP(D997,'[1]BOM Info General'!$A:$L,12,0))*E997</f>
        <v>130.12</v>
      </c>
      <c r="H997" s="21" t="s">
        <v>40</v>
      </c>
      <c r="I997" s="21">
        <v>1</v>
      </c>
      <c r="J997" s="21" t="s">
        <v>45</v>
      </c>
      <c r="K997" s="15">
        <f>(VLOOKUP(H997,'[1]BOM Info General'!$A:$L,12,0))*I997</f>
        <v>25.59</v>
      </c>
      <c r="L997" s="22" t="s">
        <v>528</v>
      </c>
      <c r="M997" s="22">
        <v>1</v>
      </c>
      <c r="N997" s="22" t="s">
        <v>88</v>
      </c>
      <c r="O997" s="9">
        <f>(VLOOKUP(L997,'[1]Simulation pricing per sub assy'!$D:$E,2,0))*M997</f>
        <v>94.656400000000033</v>
      </c>
      <c r="P997" s="23" t="s">
        <v>50</v>
      </c>
      <c r="Q997" s="23">
        <v>8</v>
      </c>
      <c r="R997" s="23" t="s">
        <v>16</v>
      </c>
      <c r="S997" s="40">
        <f>(VLOOKUP(P997,'[1]BOM Info General'!$A:$L,12,0))*Q997</f>
        <v>21.2</v>
      </c>
      <c r="T997" s="24" t="s">
        <v>28</v>
      </c>
      <c r="U997" s="24">
        <v>1</v>
      </c>
      <c r="V997" s="24" t="s">
        <v>29</v>
      </c>
      <c r="W997" s="17">
        <f>(VLOOKUP(T997,'[1]Simulation pricing per sub assy'!$D:$E,2,0))*U997</f>
        <v>7</v>
      </c>
      <c r="X997" s="18" t="s">
        <v>616</v>
      </c>
      <c r="Y997" s="25">
        <v>1</v>
      </c>
      <c r="Z997" s="25" t="s">
        <v>23</v>
      </c>
      <c r="AA997" s="18">
        <f>(VLOOKUP(X997,'[1]Simulation pricing per sub assy'!$D:$E,2,0))*Y997</f>
        <v>4.4802908000000006</v>
      </c>
    </row>
    <row r="998" spans="1:27" x14ac:dyDescent="0.35">
      <c r="A998" s="13" t="s">
        <v>1301</v>
      </c>
      <c r="B998" s="13" t="s">
        <v>1302</v>
      </c>
      <c r="C998" s="42">
        <f t="shared" si="15"/>
        <v>284.14669080000004</v>
      </c>
      <c r="D998" s="20" t="s">
        <v>43</v>
      </c>
      <c r="E998" s="20">
        <v>2</v>
      </c>
      <c r="F998" s="20" t="s">
        <v>3983</v>
      </c>
      <c r="G998" s="14">
        <f>(VLOOKUP(D998,'[1]BOM Info General'!$A:$L,12,0))*E998</f>
        <v>130.12</v>
      </c>
      <c r="H998" s="21" t="s">
        <v>40</v>
      </c>
      <c r="I998" s="21">
        <v>1</v>
      </c>
      <c r="J998" s="21" t="s">
        <v>45</v>
      </c>
      <c r="K998" s="15">
        <f>(VLOOKUP(H998,'[1]BOM Info General'!$A:$L,12,0))*I998</f>
        <v>25.59</v>
      </c>
      <c r="L998" s="22" t="s">
        <v>85</v>
      </c>
      <c r="M998" s="22">
        <v>1</v>
      </c>
      <c r="N998" s="22" t="s">
        <v>82</v>
      </c>
      <c r="O998" s="9">
        <f>(VLOOKUP(L998,'[1]Simulation pricing per sub assy'!$D:$E,2,0))*M998</f>
        <v>95.756400000000042</v>
      </c>
      <c r="P998" s="23" t="s">
        <v>50</v>
      </c>
      <c r="Q998" s="23">
        <v>8</v>
      </c>
      <c r="R998" s="23" t="s">
        <v>16</v>
      </c>
      <c r="S998" s="40">
        <f>(VLOOKUP(P998,'[1]BOM Info General'!$A:$L,12,0))*Q998</f>
        <v>21.2</v>
      </c>
      <c r="T998" s="24" t="s">
        <v>28</v>
      </c>
      <c r="U998" s="24">
        <v>1</v>
      </c>
      <c r="V998" s="24" t="s">
        <v>29</v>
      </c>
      <c r="W998" s="17">
        <f>(VLOOKUP(T998,'[1]Simulation pricing per sub assy'!$D:$E,2,0))*U998</f>
        <v>7</v>
      </c>
      <c r="X998" s="18" t="s">
        <v>616</v>
      </c>
      <c r="Y998" s="25">
        <v>1</v>
      </c>
      <c r="Z998" s="25" t="s">
        <v>23</v>
      </c>
      <c r="AA998" s="18">
        <f>(VLOOKUP(X998,'[1]Simulation pricing per sub assy'!$D:$E,2,0))*Y998</f>
        <v>4.4802908000000006</v>
      </c>
    </row>
    <row r="999" spans="1:27" x14ac:dyDescent="0.35">
      <c r="A999" s="13" t="s">
        <v>1337</v>
      </c>
      <c r="B999" s="13" t="s">
        <v>1338</v>
      </c>
      <c r="C999" s="42">
        <f t="shared" si="15"/>
        <v>284.14669080000004</v>
      </c>
      <c r="D999" s="20" t="s">
        <v>43</v>
      </c>
      <c r="E999" s="20">
        <v>2</v>
      </c>
      <c r="F999" s="20" t="s">
        <v>3983</v>
      </c>
      <c r="G999" s="14">
        <f>(VLOOKUP(D999,'[1]BOM Info General'!$A:$L,12,0))*E999</f>
        <v>130.12</v>
      </c>
      <c r="H999" s="21" t="s">
        <v>40</v>
      </c>
      <c r="I999" s="21">
        <v>1</v>
      </c>
      <c r="J999" s="21" t="s">
        <v>45</v>
      </c>
      <c r="K999" s="15">
        <f>(VLOOKUP(H999,'[1]BOM Info General'!$A:$L,12,0))*I999</f>
        <v>25.59</v>
      </c>
      <c r="L999" s="22" t="s">
        <v>81</v>
      </c>
      <c r="M999" s="22">
        <v>1</v>
      </c>
      <c r="N999" s="22" t="s">
        <v>80</v>
      </c>
      <c r="O999" s="9">
        <f>(VLOOKUP(L999,'[1]Simulation pricing per sub assy'!$D:$E,2,0))*M999</f>
        <v>95.756400000000042</v>
      </c>
      <c r="P999" s="23" t="s">
        <v>50</v>
      </c>
      <c r="Q999" s="23">
        <v>8</v>
      </c>
      <c r="R999" s="23" t="s">
        <v>16</v>
      </c>
      <c r="S999" s="40">
        <f>(VLOOKUP(P999,'[1]BOM Info General'!$A:$L,12,0))*Q999</f>
        <v>21.2</v>
      </c>
      <c r="T999" s="24" t="s">
        <v>28</v>
      </c>
      <c r="U999" s="24">
        <v>1</v>
      </c>
      <c r="V999" s="24" t="s">
        <v>29</v>
      </c>
      <c r="W999" s="17">
        <f>(VLOOKUP(T999,'[1]Simulation pricing per sub assy'!$D:$E,2,0))*U999</f>
        <v>7</v>
      </c>
      <c r="X999" s="18" t="s">
        <v>616</v>
      </c>
      <c r="Y999" s="25">
        <v>1</v>
      </c>
      <c r="Z999" s="25" t="s">
        <v>23</v>
      </c>
      <c r="AA999" s="18">
        <f>(VLOOKUP(X999,'[1]Simulation pricing per sub assy'!$D:$E,2,0))*Y999</f>
        <v>4.4802908000000006</v>
      </c>
    </row>
    <row r="1000" spans="1:27" x14ac:dyDescent="0.35">
      <c r="A1000" s="13" t="s">
        <v>1319</v>
      </c>
      <c r="B1000" s="13" t="s">
        <v>1320</v>
      </c>
      <c r="C1000" s="42">
        <f t="shared" si="15"/>
        <v>283.59669080000003</v>
      </c>
      <c r="D1000" s="20" t="s">
        <v>43</v>
      </c>
      <c r="E1000" s="20">
        <v>2</v>
      </c>
      <c r="F1000" s="20" t="s">
        <v>3983</v>
      </c>
      <c r="G1000" s="14">
        <f>(VLOOKUP(D1000,'[1]BOM Info General'!$A:$L,12,0))*E1000</f>
        <v>130.12</v>
      </c>
      <c r="H1000" s="21" t="s">
        <v>40</v>
      </c>
      <c r="I1000" s="21">
        <v>1</v>
      </c>
      <c r="J1000" s="21" t="s">
        <v>45</v>
      </c>
      <c r="K1000" s="15">
        <f>(VLOOKUP(H1000,'[1]BOM Info General'!$A:$L,12,0))*I1000</f>
        <v>25.59</v>
      </c>
      <c r="L1000" s="22" t="s">
        <v>87</v>
      </c>
      <c r="M1000" s="22">
        <v>1</v>
      </c>
      <c r="N1000" s="22" t="s">
        <v>84</v>
      </c>
      <c r="O1000" s="9">
        <f>(VLOOKUP(L1000,'[1]Simulation pricing per sub assy'!$D:$E,2,0))*M1000</f>
        <v>95.206400000000031</v>
      </c>
      <c r="P1000" s="23" t="s">
        <v>50</v>
      </c>
      <c r="Q1000" s="23">
        <v>8</v>
      </c>
      <c r="R1000" s="23" t="s">
        <v>16</v>
      </c>
      <c r="S1000" s="40">
        <f>(VLOOKUP(P1000,'[1]BOM Info General'!$A:$L,12,0))*Q1000</f>
        <v>21.2</v>
      </c>
      <c r="T1000" s="24" t="s">
        <v>28</v>
      </c>
      <c r="U1000" s="24">
        <v>1</v>
      </c>
      <c r="V1000" s="24" t="s">
        <v>29</v>
      </c>
      <c r="W1000" s="17">
        <f>(VLOOKUP(T1000,'[1]Simulation pricing per sub assy'!$D:$E,2,0))*U1000</f>
        <v>7</v>
      </c>
      <c r="X1000" s="18" t="s">
        <v>616</v>
      </c>
      <c r="Y1000" s="25">
        <v>1</v>
      </c>
      <c r="Z1000" s="25" t="s">
        <v>23</v>
      </c>
      <c r="AA1000" s="18">
        <f>(VLOOKUP(X1000,'[1]Simulation pricing per sub assy'!$D:$E,2,0))*Y1000</f>
        <v>4.4802908000000006</v>
      </c>
    </row>
    <row r="1001" spans="1:27" x14ac:dyDescent="0.35">
      <c r="A1001" s="13" t="s">
        <v>1355</v>
      </c>
      <c r="B1001" s="13" t="s">
        <v>1356</v>
      </c>
      <c r="C1001" s="42">
        <f t="shared" si="15"/>
        <v>291.55669080000001</v>
      </c>
      <c r="D1001" s="20" t="s">
        <v>43</v>
      </c>
      <c r="E1001" s="20">
        <v>2</v>
      </c>
      <c r="F1001" s="20" t="s">
        <v>3983</v>
      </c>
      <c r="G1001" s="14">
        <f>(VLOOKUP(D1001,'[1]BOM Info General'!$A:$L,12,0))*E1001</f>
        <v>130.12</v>
      </c>
      <c r="H1001" s="21" t="s">
        <v>40</v>
      </c>
      <c r="I1001" s="21">
        <v>1</v>
      </c>
      <c r="J1001" s="21" t="s">
        <v>45</v>
      </c>
      <c r="K1001" s="15">
        <f>(VLOOKUP(H1001,'[1]BOM Info General'!$A:$L,12,0))*I1001</f>
        <v>25.59</v>
      </c>
      <c r="L1001" s="22" t="s">
        <v>83</v>
      </c>
      <c r="M1001" s="22">
        <v>1</v>
      </c>
      <c r="N1001" s="22" t="s">
        <v>86</v>
      </c>
      <c r="O1001" s="9">
        <f>(VLOOKUP(L1001,'[1]Simulation pricing per sub assy'!$D:$E,2,0))*M1001</f>
        <v>103.16640000000004</v>
      </c>
      <c r="P1001" s="23" t="s">
        <v>50</v>
      </c>
      <c r="Q1001" s="23">
        <v>8</v>
      </c>
      <c r="R1001" s="23" t="s">
        <v>16</v>
      </c>
      <c r="S1001" s="40">
        <f>(VLOOKUP(P1001,'[1]BOM Info General'!$A:$L,12,0))*Q1001</f>
        <v>21.2</v>
      </c>
      <c r="T1001" s="24" t="s">
        <v>28</v>
      </c>
      <c r="U1001" s="24">
        <v>1</v>
      </c>
      <c r="V1001" s="24" t="s">
        <v>29</v>
      </c>
      <c r="W1001" s="17">
        <f>(VLOOKUP(T1001,'[1]Simulation pricing per sub assy'!$D:$E,2,0))*U1001</f>
        <v>7</v>
      </c>
      <c r="X1001" s="18" t="s">
        <v>616</v>
      </c>
      <c r="Y1001" s="25">
        <v>1</v>
      </c>
      <c r="Z1001" s="25" t="s">
        <v>23</v>
      </c>
      <c r="AA1001" s="18">
        <f>(VLOOKUP(X1001,'[1]Simulation pricing per sub assy'!$D:$E,2,0))*Y1001</f>
        <v>4.4802908000000006</v>
      </c>
    </row>
    <row r="1002" spans="1:27" x14ac:dyDescent="0.35">
      <c r="A1002" s="13" t="s">
        <v>1375</v>
      </c>
      <c r="B1002" s="13" t="s">
        <v>1376</v>
      </c>
      <c r="C1002" s="42">
        <f t="shared" si="15"/>
        <v>282.48669080000002</v>
      </c>
      <c r="D1002" s="20" t="s">
        <v>43</v>
      </c>
      <c r="E1002" s="20">
        <v>2</v>
      </c>
      <c r="F1002" s="20" t="s">
        <v>3983</v>
      </c>
      <c r="G1002" s="14">
        <f>(VLOOKUP(D1002,'[1]BOM Info General'!$A:$L,12,0))*E1002</f>
        <v>130.12</v>
      </c>
      <c r="H1002" s="21" t="s">
        <v>40</v>
      </c>
      <c r="I1002" s="21">
        <v>1</v>
      </c>
      <c r="J1002" s="21" t="s">
        <v>45</v>
      </c>
      <c r="K1002" s="15">
        <f>(VLOOKUP(H1002,'[1]BOM Info General'!$A:$L,12,0))*I1002</f>
        <v>25.59</v>
      </c>
      <c r="L1002" s="22" t="s">
        <v>528</v>
      </c>
      <c r="M1002" s="22">
        <v>1</v>
      </c>
      <c r="N1002" s="22" t="s">
        <v>88</v>
      </c>
      <c r="O1002" s="9">
        <f>(VLOOKUP(L1002,'[1]Simulation pricing per sub assy'!$D:$E,2,0))*M1002</f>
        <v>94.656400000000033</v>
      </c>
      <c r="P1002" s="23" t="s">
        <v>51</v>
      </c>
      <c r="Q1002" s="23">
        <v>8</v>
      </c>
      <c r="R1002" s="23" t="s">
        <v>17</v>
      </c>
      <c r="S1002" s="40">
        <f>(VLOOKUP(P1002,'[1]BOM Info General'!$A:$L,12,0))*Q1002</f>
        <v>21.2</v>
      </c>
      <c r="T1002" s="24" t="s">
        <v>24</v>
      </c>
      <c r="U1002" s="24">
        <v>1</v>
      </c>
      <c r="V1002" s="24" t="s">
        <v>25</v>
      </c>
      <c r="W1002" s="17">
        <f>(VLOOKUP(T1002,'[1]Simulation pricing per sub assy'!$D:$E,2,0))*U1002</f>
        <v>6.44</v>
      </c>
      <c r="X1002" s="18" t="s">
        <v>616</v>
      </c>
      <c r="Y1002" s="25">
        <v>1</v>
      </c>
      <c r="Z1002" s="25" t="s">
        <v>23</v>
      </c>
      <c r="AA1002" s="18">
        <f>(VLOOKUP(X1002,'[1]Simulation pricing per sub assy'!$D:$E,2,0))*Y1002</f>
        <v>4.4802908000000006</v>
      </c>
    </row>
    <row r="1003" spans="1:27" x14ac:dyDescent="0.35">
      <c r="A1003" s="13" t="s">
        <v>1303</v>
      </c>
      <c r="B1003" s="13" t="s">
        <v>1304</v>
      </c>
      <c r="C1003" s="42">
        <f t="shared" si="15"/>
        <v>283.58669080000004</v>
      </c>
      <c r="D1003" s="20" t="s">
        <v>43</v>
      </c>
      <c r="E1003" s="20">
        <v>2</v>
      </c>
      <c r="F1003" s="20" t="s">
        <v>3983</v>
      </c>
      <c r="G1003" s="14">
        <f>(VLOOKUP(D1003,'[1]BOM Info General'!$A:$L,12,0))*E1003</f>
        <v>130.12</v>
      </c>
      <c r="H1003" s="21" t="s">
        <v>40</v>
      </c>
      <c r="I1003" s="21">
        <v>1</v>
      </c>
      <c r="J1003" s="21" t="s">
        <v>45</v>
      </c>
      <c r="K1003" s="15">
        <f>(VLOOKUP(H1003,'[1]BOM Info General'!$A:$L,12,0))*I1003</f>
        <v>25.59</v>
      </c>
      <c r="L1003" s="22" t="s">
        <v>85</v>
      </c>
      <c r="M1003" s="22">
        <v>1</v>
      </c>
      <c r="N1003" s="22" t="s">
        <v>82</v>
      </c>
      <c r="O1003" s="9">
        <f>(VLOOKUP(L1003,'[1]Simulation pricing per sub assy'!$D:$E,2,0))*M1003</f>
        <v>95.756400000000042</v>
      </c>
      <c r="P1003" s="23" t="s">
        <v>51</v>
      </c>
      <c r="Q1003" s="23">
        <v>8</v>
      </c>
      <c r="R1003" s="23" t="s">
        <v>17</v>
      </c>
      <c r="S1003" s="40">
        <f>(VLOOKUP(P1003,'[1]BOM Info General'!$A:$L,12,0))*Q1003</f>
        <v>21.2</v>
      </c>
      <c r="T1003" s="24" t="s">
        <v>24</v>
      </c>
      <c r="U1003" s="24">
        <v>1</v>
      </c>
      <c r="V1003" s="24" t="s">
        <v>25</v>
      </c>
      <c r="W1003" s="17">
        <f>(VLOOKUP(T1003,'[1]Simulation pricing per sub assy'!$D:$E,2,0))*U1003</f>
        <v>6.44</v>
      </c>
      <c r="X1003" s="18" t="s">
        <v>616</v>
      </c>
      <c r="Y1003" s="25">
        <v>1</v>
      </c>
      <c r="Z1003" s="25" t="s">
        <v>23</v>
      </c>
      <c r="AA1003" s="18">
        <f>(VLOOKUP(X1003,'[1]Simulation pricing per sub assy'!$D:$E,2,0))*Y1003</f>
        <v>4.4802908000000006</v>
      </c>
    </row>
    <row r="1004" spans="1:27" x14ac:dyDescent="0.35">
      <c r="A1004" s="13" t="s">
        <v>1339</v>
      </c>
      <c r="B1004" s="13" t="s">
        <v>1340</v>
      </c>
      <c r="C1004" s="42">
        <f t="shared" si="15"/>
        <v>283.58669080000004</v>
      </c>
      <c r="D1004" s="20" t="s">
        <v>43</v>
      </c>
      <c r="E1004" s="20">
        <v>2</v>
      </c>
      <c r="F1004" s="20" t="s">
        <v>3983</v>
      </c>
      <c r="G1004" s="14">
        <f>(VLOOKUP(D1004,'[1]BOM Info General'!$A:$L,12,0))*E1004</f>
        <v>130.12</v>
      </c>
      <c r="H1004" s="21" t="s">
        <v>40</v>
      </c>
      <c r="I1004" s="21">
        <v>1</v>
      </c>
      <c r="J1004" s="21" t="s">
        <v>45</v>
      </c>
      <c r="K1004" s="15">
        <f>(VLOOKUP(H1004,'[1]BOM Info General'!$A:$L,12,0))*I1004</f>
        <v>25.59</v>
      </c>
      <c r="L1004" s="22" t="s">
        <v>81</v>
      </c>
      <c r="M1004" s="22">
        <v>1</v>
      </c>
      <c r="N1004" s="22" t="s">
        <v>80</v>
      </c>
      <c r="O1004" s="9">
        <f>(VLOOKUP(L1004,'[1]Simulation pricing per sub assy'!$D:$E,2,0))*M1004</f>
        <v>95.756400000000042</v>
      </c>
      <c r="P1004" s="23" t="s">
        <v>51</v>
      </c>
      <c r="Q1004" s="23">
        <v>8</v>
      </c>
      <c r="R1004" s="23" t="s">
        <v>17</v>
      </c>
      <c r="S1004" s="40">
        <f>(VLOOKUP(P1004,'[1]BOM Info General'!$A:$L,12,0))*Q1004</f>
        <v>21.2</v>
      </c>
      <c r="T1004" s="24" t="s">
        <v>24</v>
      </c>
      <c r="U1004" s="24">
        <v>1</v>
      </c>
      <c r="V1004" s="24" t="s">
        <v>25</v>
      </c>
      <c r="W1004" s="17">
        <f>(VLOOKUP(T1004,'[1]Simulation pricing per sub assy'!$D:$E,2,0))*U1004</f>
        <v>6.44</v>
      </c>
      <c r="X1004" s="18" t="s">
        <v>616</v>
      </c>
      <c r="Y1004" s="25">
        <v>1</v>
      </c>
      <c r="Z1004" s="25" t="s">
        <v>23</v>
      </c>
      <c r="AA1004" s="18">
        <f>(VLOOKUP(X1004,'[1]Simulation pricing per sub assy'!$D:$E,2,0))*Y1004</f>
        <v>4.4802908000000006</v>
      </c>
    </row>
    <row r="1005" spans="1:27" x14ac:dyDescent="0.35">
      <c r="A1005" s="13" t="s">
        <v>1321</v>
      </c>
      <c r="B1005" s="13" t="s">
        <v>1322</v>
      </c>
      <c r="C1005" s="42">
        <f t="shared" si="15"/>
        <v>283.03669080000003</v>
      </c>
      <c r="D1005" s="20" t="s">
        <v>43</v>
      </c>
      <c r="E1005" s="20">
        <v>2</v>
      </c>
      <c r="F1005" s="20" t="s">
        <v>3983</v>
      </c>
      <c r="G1005" s="14">
        <f>(VLOOKUP(D1005,'[1]BOM Info General'!$A:$L,12,0))*E1005</f>
        <v>130.12</v>
      </c>
      <c r="H1005" s="21" t="s">
        <v>40</v>
      </c>
      <c r="I1005" s="21">
        <v>1</v>
      </c>
      <c r="J1005" s="21" t="s">
        <v>45</v>
      </c>
      <c r="K1005" s="15">
        <f>(VLOOKUP(H1005,'[1]BOM Info General'!$A:$L,12,0))*I1005</f>
        <v>25.59</v>
      </c>
      <c r="L1005" s="22" t="s">
        <v>87</v>
      </c>
      <c r="M1005" s="22">
        <v>1</v>
      </c>
      <c r="N1005" s="22" t="s">
        <v>84</v>
      </c>
      <c r="O1005" s="9">
        <f>(VLOOKUP(L1005,'[1]Simulation pricing per sub assy'!$D:$E,2,0))*M1005</f>
        <v>95.206400000000031</v>
      </c>
      <c r="P1005" s="23" t="s">
        <v>51</v>
      </c>
      <c r="Q1005" s="23">
        <v>8</v>
      </c>
      <c r="R1005" s="23" t="s">
        <v>17</v>
      </c>
      <c r="S1005" s="40">
        <f>(VLOOKUP(P1005,'[1]BOM Info General'!$A:$L,12,0))*Q1005</f>
        <v>21.2</v>
      </c>
      <c r="T1005" s="24" t="s">
        <v>24</v>
      </c>
      <c r="U1005" s="24">
        <v>1</v>
      </c>
      <c r="V1005" s="24" t="s">
        <v>25</v>
      </c>
      <c r="W1005" s="17">
        <f>(VLOOKUP(T1005,'[1]Simulation pricing per sub assy'!$D:$E,2,0))*U1005</f>
        <v>6.44</v>
      </c>
      <c r="X1005" s="18" t="s">
        <v>616</v>
      </c>
      <c r="Y1005" s="25">
        <v>1</v>
      </c>
      <c r="Z1005" s="25" t="s">
        <v>23</v>
      </c>
      <c r="AA1005" s="18">
        <f>(VLOOKUP(X1005,'[1]Simulation pricing per sub assy'!$D:$E,2,0))*Y1005</f>
        <v>4.4802908000000006</v>
      </c>
    </row>
    <row r="1006" spans="1:27" x14ac:dyDescent="0.35">
      <c r="A1006" s="13" t="s">
        <v>1357</v>
      </c>
      <c r="B1006" s="13" t="s">
        <v>1358</v>
      </c>
      <c r="C1006" s="42">
        <f t="shared" si="15"/>
        <v>290.99669080000001</v>
      </c>
      <c r="D1006" s="20" t="s">
        <v>43</v>
      </c>
      <c r="E1006" s="20">
        <v>2</v>
      </c>
      <c r="F1006" s="20" t="s">
        <v>3983</v>
      </c>
      <c r="G1006" s="14">
        <f>(VLOOKUP(D1006,'[1]BOM Info General'!$A:$L,12,0))*E1006</f>
        <v>130.12</v>
      </c>
      <c r="H1006" s="21" t="s">
        <v>40</v>
      </c>
      <c r="I1006" s="21">
        <v>1</v>
      </c>
      <c r="J1006" s="21" t="s">
        <v>45</v>
      </c>
      <c r="K1006" s="15">
        <f>(VLOOKUP(H1006,'[1]BOM Info General'!$A:$L,12,0))*I1006</f>
        <v>25.59</v>
      </c>
      <c r="L1006" s="22" t="s">
        <v>83</v>
      </c>
      <c r="M1006" s="22">
        <v>1</v>
      </c>
      <c r="N1006" s="22" t="s">
        <v>86</v>
      </c>
      <c r="O1006" s="9">
        <f>(VLOOKUP(L1006,'[1]Simulation pricing per sub assy'!$D:$E,2,0))*M1006</f>
        <v>103.16640000000004</v>
      </c>
      <c r="P1006" s="23" t="s">
        <v>51</v>
      </c>
      <c r="Q1006" s="23">
        <v>8</v>
      </c>
      <c r="R1006" s="23" t="s">
        <v>17</v>
      </c>
      <c r="S1006" s="40">
        <f>(VLOOKUP(P1006,'[1]BOM Info General'!$A:$L,12,0))*Q1006</f>
        <v>21.2</v>
      </c>
      <c r="T1006" s="24" t="s">
        <v>24</v>
      </c>
      <c r="U1006" s="24">
        <v>1</v>
      </c>
      <c r="V1006" s="24" t="s">
        <v>25</v>
      </c>
      <c r="W1006" s="17">
        <f>(VLOOKUP(T1006,'[1]Simulation pricing per sub assy'!$D:$E,2,0))*U1006</f>
        <v>6.44</v>
      </c>
      <c r="X1006" s="18" t="s">
        <v>616</v>
      </c>
      <c r="Y1006" s="25">
        <v>1</v>
      </c>
      <c r="Z1006" s="25" t="s">
        <v>23</v>
      </c>
      <c r="AA1006" s="18">
        <f>(VLOOKUP(X1006,'[1]Simulation pricing per sub assy'!$D:$E,2,0))*Y1006</f>
        <v>4.4802908000000006</v>
      </c>
    </row>
    <row r="1007" spans="1:27" x14ac:dyDescent="0.35">
      <c r="A1007" s="13" t="s">
        <v>1377</v>
      </c>
      <c r="B1007" s="13" t="s">
        <v>1378</v>
      </c>
      <c r="C1007" s="42">
        <f t="shared" si="15"/>
        <v>283.08669080000004</v>
      </c>
      <c r="D1007" s="20" t="s">
        <v>43</v>
      </c>
      <c r="E1007" s="20">
        <v>2</v>
      </c>
      <c r="F1007" s="20" t="s">
        <v>3983</v>
      </c>
      <c r="G1007" s="14">
        <f>(VLOOKUP(D1007,'[1]BOM Info General'!$A:$L,12,0))*E1007</f>
        <v>130.12</v>
      </c>
      <c r="H1007" s="21" t="s">
        <v>40</v>
      </c>
      <c r="I1007" s="21">
        <v>1</v>
      </c>
      <c r="J1007" s="21" t="s">
        <v>45</v>
      </c>
      <c r="K1007" s="15">
        <f>(VLOOKUP(H1007,'[1]BOM Info General'!$A:$L,12,0))*I1007</f>
        <v>25.59</v>
      </c>
      <c r="L1007" s="22" t="s">
        <v>528</v>
      </c>
      <c r="M1007" s="22">
        <v>1</v>
      </c>
      <c r="N1007" s="22" t="s">
        <v>88</v>
      </c>
      <c r="O1007" s="9">
        <f>(VLOOKUP(L1007,'[1]Simulation pricing per sub assy'!$D:$E,2,0))*M1007</f>
        <v>94.656400000000033</v>
      </c>
      <c r="P1007" s="23" t="s">
        <v>51</v>
      </c>
      <c r="Q1007" s="23">
        <v>8</v>
      </c>
      <c r="R1007" s="23" t="s">
        <v>17</v>
      </c>
      <c r="S1007" s="40">
        <f>(VLOOKUP(P1007,'[1]BOM Info General'!$A:$L,12,0))*Q1007</f>
        <v>21.2</v>
      </c>
      <c r="T1007" s="24" t="s">
        <v>26</v>
      </c>
      <c r="U1007" s="24">
        <v>1</v>
      </c>
      <c r="V1007" s="24" t="s">
        <v>27</v>
      </c>
      <c r="W1007" s="17">
        <f>(VLOOKUP(T1007,'[1]Simulation pricing per sub assy'!$D:$E,2,0))*U1007</f>
        <v>7.04</v>
      </c>
      <c r="X1007" s="18" t="s">
        <v>616</v>
      </c>
      <c r="Y1007" s="25">
        <v>1</v>
      </c>
      <c r="Z1007" s="25" t="s">
        <v>23</v>
      </c>
      <c r="AA1007" s="18">
        <f>(VLOOKUP(X1007,'[1]Simulation pricing per sub assy'!$D:$E,2,0))*Y1007</f>
        <v>4.4802908000000006</v>
      </c>
    </row>
    <row r="1008" spans="1:27" x14ac:dyDescent="0.35">
      <c r="A1008" s="13" t="s">
        <v>1305</v>
      </c>
      <c r="B1008" s="13" t="s">
        <v>1306</v>
      </c>
      <c r="C1008" s="42">
        <f t="shared" si="15"/>
        <v>284.18669080000006</v>
      </c>
      <c r="D1008" s="20" t="s">
        <v>43</v>
      </c>
      <c r="E1008" s="20">
        <v>2</v>
      </c>
      <c r="F1008" s="20" t="s">
        <v>3983</v>
      </c>
      <c r="G1008" s="14">
        <f>(VLOOKUP(D1008,'[1]BOM Info General'!$A:$L,12,0))*E1008</f>
        <v>130.12</v>
      </c>
      <c r="H1008" s="21" t="s">
        <v>40</v>
      </c>
      <c r="I1008" s="21">
        <v>1</v>
      </c>
      <c r="J1008" s="21" t="s">
        <v>45</v>
      </c>
      <c r="K1008" s="15">
        <f>(VLOOKUP(H1008,'[1]BOM Info General'!$A:$L,12,0))*I1008</f>
        <v>25.59</v>
      </c>
      <c r="L1008" s="22" t="s">
        <v>85</v>
      </c>
      <c r="M1008" s="22">
        <v>1</v>
      </c>
      <c r="N1008" s="22" t="s">
        <v>82</v>
      </c>
      <c r="O1008" s="9">
        <f>(VLOOKUP(L1008,'[1]Simulation pricing per sub assy'!$D:$E,2,0))*M1008</f>
        <v>95.756400000000042</v>
      </c>
      <c r="P1008" s="23" t="s">
        <v>51</v>
      </c>
      <c r="Q1008" s="23">
        <v>8</v>
      </c>
      <c r="R1008" s="23" t="s">
        <v>17</v>
      </c>
      <c r="S1008" s="40">
        <f>(VLOOKUP(P1008,'[1]BOM Info General'!$A:$L,12,0))*Q1008</f>
        <v>21.2</v>
      </c>
      <c r="T1008" s="24" t="s">
        <v>26</v>
      </c>
      <c r="U1008" s="24">
        <v>1</v>
      </c>
      <c r="V1008" s="24" t="s">
        <v>27</v>
      </c>
      <c r="W1008" s="17">
        <f>(VLOOKUP(T1008,'[1]Simulation pricing per sub assy'!$D:$E,2,0))*U1008</f>
        <v>7.04</v>
      </c>
      <c r="X1008" s="18" t="s">
        <v>616</v>
      </c>
      <c r="Y1008" s="25">
        <v>1</v>
      </c>
      <c r="Z1008" s="25" t="s">
        <v>23</v>
      </c>
      <c r="AA1008" s="18">
        <f>(VLOOKUP(X1008,'[1]Simulation pricing per sub assy'!$D:$E,2,0))*Y1008</f>
        <v>4.4802908000000006</v>
      </c>
    </row>
    <row r="1009" spans="1:27" x14ac:dyDescent="0.35">
      <c r="A1009" s="13" t="s">
        <v>1341</v>
      </c>
      <c r="B1009" s="13" t="s">
        <v>1342</v>
      </c>
      <c r="C1009" s="42">
        <f t="shared" si="15"/>
        <v>284.18669080000006</v>
      </c>
      <c r="D1009" s="20" t="s">
        <v>43</v>
      </c>
      <c r="E1009" s="20">
        <v>2</v>
      </c>
      <c r="F1009" s="20" t="s">
        <v>3983</v>
      </c>
      <c r="G1009" s="14">
        <f>(VLOOKUP(D1009,'[1]BOM Info General'!$A:$L,12,0))*E1009</f>
        <v>130.12</v>
      </c>
      <c r="H1009" s="21" t="s">
        <v>40</v>
      </c>
      <c r="I1009" s="21">
        <v>1</v>
      </c>
      <c r="J1009" s="21" t="s">
        <v>45</v>
      </c>
      <c r="K1009" s="15">
        <f>(VLOOKUP(H1009,'[1]BOM Info General'!$A:$L,12,0))*I1009</f>
        <v>25.59</v>
      </c>
      <c r="L1009" s="22" t="s">
        <v>81</v>
      </c>
      <c r="M1009" s="22">
        <v>1</v>
      </c>
      <c r="N1009" s="22" t="s">
        <v>80</v>
      </c>
      <c r="O1009" s="9">
        <f>(VLOOKUP(L1009,'[1]Simulation pricing per sub assy'!$D:$E,2,0))*M1009</f>
        <v>95.756400000000042</v>
      </c>
      <c r="P1009" s="23" t="s">
        <v>51</v>
      </c>
      <c r="Q1009" s="23">
        <v>8</v>
      </c>
      <c r="R1009" s="23" t="s">
        <v>17</v>
      </c>
      <c r="S1009" s="40">
        <f>(VLOOKUP(P1009,'[1]BOM Info General'!$A:$L,12,0))*Q1009</f>
        <v>21.2</v>
      </c>
      <c r="T1009" s="24" t="s">
        <v>26</v>
      </c>
      <c r="U1009" s="24">
        <v>1</v>
      </c>
      <c r="V1009" s="24" t="s">
        <v>27</v>
      </c>
      <c r="W1009" s="17">
        <f>(VLOOKUP(T1009,'[1]Simulation pricing per sub assy'!$D:$E,2,0))*U1009</f>
        <v>7.04</v>
      </c>
      <c r="X1009" s="18" t="s">
        <v>616</v>
      </c>
      <c r="Y1009" s="25">
        <v>1</v>
      </c>
      <c r="Z1009" s="25" t="s">
        <v>23</v>
      </c>
      <c r="AA1009" s="18">
        <f>(VLOOKUP(X1009,'[1]Simulation pricing per sub assy'!$D:$E,2,0))*Y1009</f>
        <v>4.4802908000000006</v>
      </c>
    </row>
    <row r="1010" spans="1:27" x14ac:dyDescent="0.35">
      <c r="A1010" s="13" t="s">
        <v>1323</v>
      </c>
      <c r="B1010" s="13" t="s">
        <v>1324</v>
      </c>
      <c r="C1010" s="42">
        <f t="shared" si="15"/>
        <v>283.63669080000005</v>
      </c>
      <c r="D1010" s="20" t="s">
        <v>43</v>
      </c>
      <c r="E1010" s="20">
        <v>2</v>
      </c>
      <c r="F1010" s="20" t="s">
        <v>3983</v>
      </c>
      <c r="G1010" s="14">
        <f>(VLOOKUP(D1010,'[1]BOM Info General'!$A:$L,12,0))*E1010</f>
        <v>130.12</v>
      </c>
      <c r="H1010" s="21" t="s">
        <v>40</v>
      </c>
      <c r="I1010" s="21">
        <v>1</v>
      </c>
      <c r="J1010" s="21" t="s">
        <v>45</v>
      </c>
      <c r="K1010" s="15">
        <f>(VLOOKUP(H1010,'[1]BOM Info General'!$A:$L,12,0))*I1010</f>
        <v>25.59</v>
      </c>
      <c r="L1010" s="22" t="s">
        <v>87</v>
      </c>
      <c r="M1010" s="22">
        <v>1</v>
      </c>
      <c r="N1010" s="22" t="s">
        <v>84</v>
      </c>
      <c r="O1010" s="9">
        <f>(VLOOKUP(L1010,'[1]Simulation pricing per sub assy'!$D:$E,2,0))*M1010</f>
        <v>95.206400000000031</v>
      </c>
      <c r="P1010" s="23" t="s">
        <v>51</v>
      </c>
      <c r="Q1010" s="23">
        <v>8</v>
      </c>
      <c r="R1010" s="23" t="s">
        <v>17</v>
      </c>
      <c r="S1010" s="40">
        <f>(VLOOKUP(P1010,'[1]BOM Info General'!$A:$L,12,0))*Q1010</f>
        <v>21.2</v>
      </c>
      <c r="T1010" s="24" t="s">
        <v>26</v>
      </c>
      <c r="U1010" s="24">
        <v>1</v>
      </c>
      <c r="V1010" s="24" t="s">
        <v>27</v>
      </c>
      <c r="W1010" s="17">
        <f>(VLOOKUP(T1010,'[1]Simulation pricing per sub assy'!$D:$E,2,0))*U1010</f>
        <v>7.04</v>
      </c>
      <c r="X1010" s="18" t="s">
        <v>616</v>
      </c>
      <c r="Y1010" s="25">
        <v>1</v>
      </c>
      <c r="Z1010" s="25" t="s">
        <v>23</v>
      </c>
      <c r="AA1010" s="18">
        <f>(VLOOKUP(X1010,'[1]Simulation pricing per sub assy'!$D:$E,2,0))*Y1010</f>
        <v>4.4802908000000006</v>
      </c>
    </row>
    <row r="1011" spans="1:27" x14ac:dyDescent="0.35">
      <c r="A1011" s="13" t="s">
        <v>1359</v>
      </c>
      <c r="B1011" s="13" t="s">
        <v>1360</v>
      </c>
      <c r="C1011" s="42">
        <f t="shared" si="15"/>
        <v>291.59669080000003</v>
      </c>
      <c r="D1011" s="20" t="s">
        <v>43</v>
      </c>
      <c r="E1011" s="20">
        <v>2</v>
      </c>
      <c r="F1011" s="20" t="s">
        <v>3983</v>
      </c>
      <c r="G1011" s="14">
        <f>(VLOOKUP(D1011,'[1]BOM Info General'!$A:$L,12,0))*E1011</f>
        <v>130.12</v>
      </c>
      <c r="H1011" s="21" t="s">
        <v>40</v>
      </c>
      <c r="I1011" s="21">
        <v>1</v>
      </c>
      <c r="J1011" s="21" t="s">
        <v>45</v>
      </c>
      <c r="K1011" s="15">
        <f>(VLOOKUP(H1011,'[1]BOM Info General'!$A:$L,12,0))*I1011</f>
        <v>25.59</v>
      </c>
      <c r="L1011" s="22" t="s">
        <v>83</v>
      </c>
      <c r="M1011" s="22">
        <v>1</v>
      </c>
      <c r="N1011" s="22" t="s">
        <v>86</v>
      </c>
      <c r="O1011" s="9">
        <f>(VLOOKUP(L1011,'[1]Simulation pricing per sub assy'!$D:$E,2,0))*M1011</f>
        <v>103.16640000000004</v>
      </c>
      <c r="P1011" s="23" t="s">
        <v>51</v>
      </c>
      <c r="Q1011" s="23">
        <v>8</v>
      </c>
      <c r="R1011" s="23" t="s">
        <v>17</v>
      </c>
      <c r="S1011" s="40">
        <f>(VLOOKUP(P1011,'[1]BOM Info General'!$A:$L,12,0))*Q1011</f>
        <v>21.2</v>
      </c>
      <c r="T1011" s="24" t="s">
        <v>26</v>
      </c>
      <c r="U1011" s="24">
        <v>1</v>
      </c>
      <c r="V1011" s="24" t="s">
        <v>27</v>
      </c>
      <c r="W1011" s="17">
        <f>(VLOOKUP(T1011,'[1]Simulation pricing per sub assy'!$D:$E,2,0))*U1011</f>
        <v>7.04</v>
      </c>
      <c r="X1011" s="18" t="s">
        <v>616</v>
      </c>
      <c r="Y1011" s="25">
        <v>1</v>
      </c>
      <c r="Z1011" s="25" t="s">
        <v>23</v>
      </c>
      <c r="AA1011" s="18">
        <f>(VLOOKUP(X1011,'[1]Simulation pricing per sub assy'!$D:$E,2,0))*Y1011</f>
        <v>4.4802908000000006</v>
      </c>
    </row>
    <row r="1012" spans="1:27" x14ac:dyDescent="0.35">
      <c r="A1012" s="13" t="s">
        <v>1379</v>
      </c>
      <c r="B1012" s="13" t="s">
        <v>1380</v>
      </c>
      <c r="C1012" s="42">
        <f t="shared" si="15"/>
        <v>283.04669080000002</v>
      </c>
      <c r="D1012" s="20" t="s">
        <v>43</v>
      </c>
      <c r="E1012" s="20">
        <v>2</v>
      </c>
      <c r="F1012" s="20" t="s">
        <v>3983</v>
      </c>
      <c r="G1012" s="14">
        <f>(VLOOKUP(D1012,'[1]BOM Info General'!$A:$L,12,0))*E1012</f>
        <v>130.12</v>
      </c>
      <c r="H1012" s="21" t="s">
        <v>40</v>
      </c>
      <c r="I1012" s="21">
        <v>1</v>
      </c>
      <c r="J1012" s="21" t="s">
        <v>45</v>
      </c>
      <c r="K1012" s="15">
        <f>(VLOOKUP(H1012,'[1]BOM Info General'!$A:$L,12,0))*I1012</f>
        <v>25.59</v>
      </c>
      <c r="L1012" s="22" t="s">
        <v>528</v>
      </c>
      <c r="M1012" s="22">
        <v>1</v>
      </c>
      <c r="N1012" s="22" t="s">
        <v>88</v>
      </c>
      <c r="O1012" s="9">
        <f>(VLOOKUP(L1012,'[1]Simulation pricing per sub assy'!$D:$E,2,0))*M1012</f>
        <v>94.656400000000033</v>
      </c>
      <c r="P1012" s="23" t="s">
        <v>51</v>
      </c>
      <c r="Q1012" s="23">
        <v>8</v>
      </c>
      <c r="R1012" s="23" t="s">
        <v>17</v>
      </c>
      <c r="S1012" s="40">
        <f>(VLOOKUP(P1012,'[1]BOM Info General'!$A:$L,12,0))*Q1012</f>
        <v>21.2</v>
      </c>
      <c r="T1012" s="24" t="s">
        <v>28</v>
      </c>
      <c r="U1012" s="24">
        <v>1</v>
      </c>
      <c r="V1012" s="24" t="s">
        <v>29</v>
      </c>
      <c r="W1012" s="17">
        <f>(VLOOKUP(T1012,'[1]Simulation pricing per sub assy'!$D:$E,2,0))*U1012</f>
        <v>7</v>
      </c>
      <c r="X1012" s="18" t="s">
        <v>616</v>
      </c>
      <c r="Y1012" s="25">
        <v>1</v>
      </c>
      <c r="Z1012" s="25" t="s">
        <v>23</v>
      </c>
      <c r="AA1012" s="18">
        <f>(VLOOKUP(X1012,'[1]Simulation pricing per sub assy'!$D:$E,2,0))*Y1012</f>
        <v>4.4802908000000006</v>
      </c>
    </row>
    <row r="1013" spans="1:27" x14ac:dyDescent="0.35">
      <c r="A1013" s="13" t="s">
        <v>1307</v>
      </c>
      <c r="B1013" s="13" t="s">
        <v>1308</v>
      </c>
      <c r="C1013" s="42">
        <f t="shared" si="15"/>
        <v>284.14669080000004</v>
      </c>
      <c r="D1013" s="20" t="s">
        <v>43</v>
      </c>
      <c r="E1013" s="20">
        <v>2</v>
      </c>
      <c r="F1013" s="20" t="s">
        <v>3983</v>
      </c>
      <c r="G1013" s="14">
        <f>(VLOOKUP(D1013,'[1]BOM Info General'!$A:$L,12,0))*E1013</f>
        <v>130.12</v>
      </c>
      <c r="H1013" s="21" t="s">
        <v>40</v>
      </c>
      <c r="I1013" s="21">
        <v>1</v>
      </c>
      <c r="J1013" s="21" t="s">
        <v>45</v>
      </c>
      <c r="K1013" s="15">
        <f>(VLOOKUP(H1013,'[1]BOM Info General'!$A:$L,12,0))*I1013</f>
        <v>25.59</v>
      </c>
      <c r="L1013" s="22" t="s">
        <v>85</v>
      </c>
      <c r="M1013" s="22">
        <v>1</v>
      </c>
      <c r="N1013" s="22" t="s">
        <v>82</v>
      </c>
      <c r="O1013" s="9">
        <f>(VLOOKUP(L1013,'[1]Simulation pricing per sub assy'!$D:$E,2,0))*M1013</f>
        <v>95.756400000000042</v>
      </c>
      <c r="P1013" s="23" t="s">
        <v>51</v>
      </c>
      <c r="Q1013" s="23">
        <v>8</v>
      </c>
      <c r="R1013" s="23" t="s">
        <v>17</v>
      </c>
      <c r="S1013" s="40">
        <f>(VLOOKUP(P1013,'[1]BOM Info General'!$A:$L,12,0))*Q1013</f>
        <v>21.2</v>
      </c>
      <c r="T1013" s="24" t="s">
        <v>28</v>
      </c>
      <c r="U1013" s="24">
        <v>1</v>
      </c>
      <c r="V1013" s="24" t="s">
        <v>29</v>
      </c>
      <c r="W1013" s="17">
        <f>(VLOOKUP(T1013,'[1]Simulation pricing per sub assy'!$D:$E,2,0))*U1013</f>
        <v>7</v>
      </c>
      <c r="X1013" s="18" t="s">
        <v>616</v>
      </c>
      <c r="Y1013" s="25">
        <v>1</v>
      </c>
      <c r="Z1013" s="25" t="s">
        <v>23</v>
      </c>
      <c r="AA1013" s="18">
        <f>(VLOOKUP(X1013,'[1]Simulation pricing per sub assy'!$D:$E,2,0))*Y1013</f>
        <v>4.4802908000000006</v>
      </c>
    </row>
    <row r="1014" spans="1:27" x14ac:dyDescent="0.35">
      <c r="A1014" s="13" t="s">
        <v>1343</v>
      </c>
      <c r="B1014" s="13" t="s">
        <v>1344</v>
      </c>
      <c r="C1014" s="42">
        <f t="shared" si="15"/>
        <v>284.14669080000004</v>
      </c>
      <c r="D1014" s="20" t="s">
        <v>43</v>
      </c>
      <c r="E1014" s="20">
        <v>2</v>
      </c>
      <c r="F1014" s="20" t="s">
        <v>3983</v>
      </c>
      <c r="G1014" s="14">
        <f>(VLOOKUP(D1014,'[1]BOM Info General'!$A:$L,12,0))*E1014</f>
        <v>130.12</v>
      </c>
      <c r="H1014" s="21" t="s">
        <v>40</v>
      </c>
      <c r="I1014" s="21">
        <v>1</v>
      </c>
      <c r="J1014" s="21" t="s">
        <v>45</v>
      </c>
      <c r="K1014" s="15">
        <f>(VLOOKUP(H1014,'[1]BOM Info General'!$A:$L,12,0))*I1014</f>
        <v>25.59</v>
      </c>
      <c r="L1014" s="22" t="s">
        <v>81</v>
      </c>
      <c r="M1014" s="22">
        <v>1</v>
      </c>
      <c r="N1014" s="22" t="s">
        <v>80</v>
      </c>
      <c r="O1014" s="9">
        <f>(VLOOKUP(L1014,'[1]Simulation pricing per sub assy'!$D:$E,2,0))*M1014</f>
        <v>95.756400000000042</v>
      </c>
      <c r="P1014" s="23" t="s">
        <v>51</v>
      </c>
      <c r="Q1014" s="23">
        <v>8</v>
      </c>
      <c r="R1014" s="23" t="s">
        <v>17</v>
      </c>
      <c r="S1014" s="40">
        <f>(VLOOKUP(P1014,'[1]BOM Info General'!$A:$L,12,0))*Q1014</f>
        <v>21.2</v>
      </c>
      <c r="T1014" s="24" t="s">
        <v>28</v>
      </c>
      <c r="U1014" s="24">
        <v>1</v>
      </c>
      <c r="V1014" s="24" t="s">
        <v>29</v>
      </c>
      <c r="W1014" s="17">
        <f>(VLOOKUP(T1014,'[1]Simulation pricing per sub assy'!$D:$E,2,0))*U1014</f>
        <v>7</v>
      </c>
      <c r="X1014" s="18" t="s">
        <v>616</v>
      </c>
      <c r="Y1014" s="25">
        <v>1</v>
      </c>
      <c r="Z1014" s="25" t="s">
        <v>23</v>
      </c>
      <c r="AA1014" s="18">
        <f>(VLOOKUP(X1014,'[1]Simulation pricing per sub assy'!$D:$E,2,0))*Y1014</f>
        <v>4.4802908000000006</v>
      </c>
    </row>
    <row r="1015" spans="1:27" x14ac:dyDescent="0.35">
      <c r="A1015" s="13" t="s">
        <v>1325</v>
      </c>
      <c r="B1015" s="13" t="s">
        <v>1326</v>
      </c>
      <c r="C1015" s="42">
        <f t="shared" si="15"/>
        <v>283.59669080000003</v>
      </c>
      <c r="D1015" s="20" t="s">
        <v>43</v>
      </c>
      <c r="E1015" s="20">
        <v>2</v>
      </c>
      <c r="F1015" s="20" t="s">
        <v>3983</v>
      </c>
      <c r="G1015" s="14">
        <f>(VLOOKUP(D1015,'[1]BOM Info General'!$A:$L,12,0))*E1015</f>
        <v>130.12</v>
      </c>
      <c r="H1015" s="21" t="s">
        <v>40</v>
      </c>
      <c r="I1015" s="21">
        <v>1</v>
      </c>
      <c r="J1015" s="21" t="s">
        <v>45</v>
      </c>
      <c r="K1015" s="15">
        <f>(VLOOKUP(H1015,'[1]BOM Info General'!$A:$L,12,0))*I1015</f>
        <v>25.59</v>
      </c>
      <c r="L1015" s="22" t="s">
        <v>87</v>
      </c>
      <c r="M1015" s="22">
        <v>1</v>
      </c>
      <c r="N1015" s="22" t="s">
        <v>84</v>
      </c>
      <c r="O1015" s="9">
        <f>(VLOOKUP(L1015,'[1]Simulation pricing per sub assy'!$D:$E,2,0))*M1015</f>
        <v>95.206400000000031</v>
      </c>
      <c r="P1015" s="23" t="s">
        <v>51</v>
      </c>
      <c r="Q1015" s="23">
        <v>8</v>
      </c>
      <c r="R1015" s="23" t="s">
        <v>17</v>
      </c>
      <c r="S1015" s="40">
        <f>(VLOOKUP(P1015,'[1]BOM Info General'!$A:$L,12,0))*Q1015</f>
        <v>21.2</v>
      </c>
      <c r="T1015" s="24" t="s">
        <v>28</v>
      </c>
      <c r="U1015" s="24">
        <v>1</v>
      </c>
      <c r="V1015" s="24" t="s">
        <v>29</v>
      </c>
      <c r="W1015" s="17">
        <f>(VLOOKUP(T1015,'[1]Simulation pricing per sub assy'!$D:$E,2,0))*U1015</f>
        <v>7</v>
      </c>
      <c r="X1015" s="18" t="s">
        <v>616</v>
      </c>
      <c r="Y1015" s="25">
        <v>1</v>
      </c>
      <c r="Z1015" s="25" t="s">
        <v>23</v>
      </c>
      <c r="AA1015" s="18">
        <f>(VLOOKUP(X1015,'[1]Simulation pricing per sub assy'!$D:$E,2,0))*Y1015</f>
        <v>4.4802908000000006</v>
      </c>
    </row>
    <row r="1016" spans="1:27" x14ac:dyDescent="0.35">
      <c r="A1016" s="13" t="s">
        <v>1361</v>
      </c>
      <c r="B1016" s="13" t="s">
        <v>1362</v>
      </c>
      <c r="C1016" s="42">
        <f t="shared" si="15"/>
        <v>291.55669080000001</v>
      </c>
      <c r="D1016" s="20" t="s">
        <v>43</v>
      </c>
      <c r="E1016" s="20">
        <v>2</v>
      </c>
      <c r="F1016" s="20" t="s">
        <v>3983</v>
      </c>
      <c r="G1016" s="14">
        <f>(VLOOKUP(D1016,'[1]BOM Info General'!$A:$L,12,0))*E1016</f>
        <v>130.12</v>
      </c>
      <c r="H1016" s="21" t="s">
        <v>40</v>
      </c>
      <c r="I1016" s="21">
        <v>1</v>
      </c>
      <c r="J1016" s="21" t="s">
        <v>45</v>
      </c>
      <c r="K1016" s="15">
        <f>(VLOOKUP(H1016,'[1]BOM Info General'!$A:$L,12,0))*I1016</f>
        <v>25.59</v>
      </c>
      <c r="L1016" s="22" t="s">
        <v>83</v>
      </c>
      <c r="M1016" s="22">
        <v>1</v>
      </c>
      <c r="N1016" s="22" t="s">
        <v>86</v>
      </c>
      <c r="O1016" s="9">
        <f>(VLOOKUP(L1016,'[1]Simulation pricing per sub assy'!$D:$E,2,0))*M1016</f>
        <v>103.16640000000004</v>
      </c>
      <c r="P1016" s="23" t="s">
        <v>51</v>
      </c>
      <c r="Q1016" s="23">
        <v>8</v>
      </c>
      <c r="R1016" s="23" t="s">
        <v>17</v>
      </c>
      <c r="S1016" s="40">
        <f>(VLOOKUP(P1016,'[1]BOM Info General'!$A:$L,12,0))*Q1016</f>
        <v>21.2</v>
      </c>
      <c r="T1016" s="24" t="s">
        <v>28</v>
      </c>
      <c r="U1016" s="24">
        <v>1</v>
      </c>
      <c r="V1016" s="24" t="s">
        <v>29</v>
      </c>
      <c r="W1016" s="17">
        <f>(VLOOKUP(T1016,'[1]Simulation pricing per sub assy'!$D:$E,2,0))*U1016</f>
        <v>7</v>
      </c>
      <c r="X1016" s="18" t="s">
        <v>616</v>
      </c>
      <c r="Y1016" s="25">
        <v>1</v>
      </c>
      <c r="Z1016" s="25" t="s">
        <v>23</v>
      </c>
      <c r="AA1016" s="18">
        <f>(VLOOKUP(X1016,'[1]Simulation pricing per sub assy'!$D:$E,2,0))*Y1016</f>
        <v>4.4802908000000006</v>
      </c>
    </row>
    <row r="1017" spans="1:27" x14ac:dyDescent="0.35">
      <c r="A1017" s="13" t="s">
        <v>1381</v>
      </c>
      <c r="B1017" s="13" t="s">
        <v>1382</v>
      </c>
      <c r="C1017" s="42">
        <f t="shared" si="15"/>
        <v>282.48669080000002</v>
      </c>
      <c r="D1017" s="20" t="s">
        <v>43</v>
      </c>
      <c r="E1017" s="20">
        <v>2</v>
      </c>
      <c r="F1017" s="20" t="s">
        <v>3983</v>
      </c>
      <c r="G1017" s="14">
        <f>(VLOOKUP(D1017,'[1]BOM Info General'!$A:$L,12,0))*E1017</f>
        <v>130.12</v>
      </c>
      <c r="H1017" s="21" t="s">
        <v>40</v>
      </c>
      <c r="I1017" s="21">
        <v>1</v>
      </c>
      <c r="J1017" s="21" t="s">
        <v>45</v>
      </c>
      <c r="K1017" s="15">
        <f>(VLOOKUP(H1017,'[1]BOM Info General'!$A:$L,12,0))*I1017</f>
        <v>25.59</v>
      </c>
      <c r="L1017" s="22" t="s">
        <v>528</v>
      </c>
      <c r="M1017" s="22">
        <v>1</v>
      </c>
      <c r="N1017" s="22" t="s">
        <v>88</v>
      </c>
      <c r="O1017" s="9">
        <f>(VLOOKUP(L1017,'[1]Simulation pricing per sub assy'!$D:$E,2,0))*M1017</f>
        <v>94.656400000000033</v>
      </c>
      <c r="P1017" s="23" t="s">
        <v>52</v>
      </c>
      <c r="Q1017" s="23">
        <v>8</v>
      </c>
      <c r="R1017" s="23" t="s">
        <v>18</v>
      </c>
      <c r="S1017" s="40">
        <f>(VLOOKUP(P1017,'[1]BOM Info General'!$A:$L,12,0))*Q1017</f>
        <v>21.2</v>
      </c>
      <c r="T1017" s="24" t="s">
        <v>24</v>
      </c>
      <c r="U1017" s="24">
        <v>1</v>
      </c>
      <c r="V1017" s="24" t="s">
        <v>25</v>
      </c>
      <c r="W1017" s="17">
        <f>(VLOOKUP(T1017,'[1]Simulation pricing per sub assy'!$D:$E,2,0))*U1017</f>
        <v>6.44</v>
      </c>
      <c r="X1017" s="18" t="s">
        <v>616</v>
      </c>
      <c r="Y1017" s="25">
        <v>1</v>
      </c>
      <c r="Z1017" s="25" t="s">
        <v>23</v>
      </c>
      <c r="AA1017" s="18">
        <f>(VLOOKUP(X1017,'[1]Simulation pricing per sub assy'!$D:$E,2,0))*Y1017</f>
        <v>4.4802908000000006</v>
      </c>
    </row>
    <row r="1018" spans="1:27" x14ac:dyDescent="0.35">
      <c r="A1018" s="13" t="s">
        <v>1309</v>
      </c>
      <c r="B1018" s="13" t="s">
        <v>1310</v>
      </c>
      <c r="C1018" s="42">
        <f t="shared" si="15"/>
        <v>283.58669080000004</v>
      </c>
      <c r="D1018" s="20" t="s">
        <v>43</v>
      </c>
      <c r="E1018" s="20">
        <v>2</v>
      </c>
      <c r="F1018" s="20" t="s">
        <v>3983</v>
      </c>
      <c r="G1018" s="14">
        <f>(VLOOKUP(D1018,'[1]BOM Info General'!$A:$L,12,0))*E1018</f>
        <v>130.12</v>
      </c>
      <c r="H1018" s="21" t="s">
        <v>40</v>
      </c>
      <c r="I1018" s="21">
        <v>1</v>
      </c>
      <c r="J1018" s="21" t="s">
        <v>45</v>
      </c>
      <c r="K1018" s="15">
        <f>(VLOOKUP(H1018,'[1]BOM Info General'!$A:$L,12,0))*I1018</f>
        <v>25.59</v>
      </c>
      <c r="L1018" s="22" t="s">
        <v>85</v>
      </c>
      <c r="M1018" s="22">
        <v>1</v>
      </c>
      <c r="N1018" s="22" t="s">
        <v>82</v>
      </c>
      <c r="O1018" s="9">
        <f>(VLOOKUP(L1018,'[1]Simulation pricing per sub assy'!$D:$E,2,0))*M1018</f>
        <v>95.756400000000042</v>
      </c>
      <c r="P1018" s="23" t="s">
        <v>52</v>
      </c>
      <c r="Q1018" s="23">
        <v>8</v>
      </c>
      <c r="R1018" s="23" t="s">
        <v>18</v>
      </c>
      <c r="S1018" s="40">
        <f>(VLOOKUP(P1018,'[1]BOM Info General'!$A:$L,12,0))*Q1018</f>
        <v>21.2</v>
      </c>
      <c r="T1018" s="24" t="s">
        <v>24</v>
      </c>
      <c r="U1018" s="24">
        <v>1</v>
      </c>
      <c r="V1018" s="24" t="s">
        <v>25</v>
      </c>
      <c r="W1018" s="17">
        <f>(VLOOKUP(T1018,'[1]Simulation pricing per sub assy'!$D:$E,2,0))*U1018</f>
        <v>6.44</v>
      </c>
      <c r="X1018" s="18" t="s">
        <v>616</v>
      </c>
      <c r="Y1018" s="25">
        <v>1</v>
      </c>
      <c r="Z1018" s="25" t="s">
        <v>23</v>
      </c>
      <c r="AA1018" s="18">
        <f>(VLOOKUP(X1018,'[1]Simulation pricing per sub assy'!$D:$E,2,0))*Y1018</f>
        <v>4.4802908000000006</v>
      </c>
    </row>
    <row r="1019" spans="1:27" x14ac:dyDescent="0.35">
      <c r="A1019" s="13" t="s">
        <v>1345</v>
      </c>
      <c r="B1019" s="13" t="s">
        <v>1346</v>
      </c>
      <c r="C1019" s="42">
        <f t="shared" si="15"/>
        <v>283.58669080000004</v>
      </c>
      <c r="D1019" s="20" t="s">
        <v>43</v>
      </c>
      <c r="E1019" s="20">
        <v>2</v>
      </c>
      <c r="F1019" s="20" t="s">
        <v>3983</v>
      </c>
      <c r="G1019" s="14">
        <f>(VLOOKUP(D1019,'[1]BOM Info General'!$A:$L,12,0))*E1019</f>
        <v>130.12</v>
      </c>
      <c r="H1019" s="21" t="s">
        <v>40</v>
      </c>
      <c r="I1019" s="21">
        <v>1</v>
      </c>
      <c r="J1019" s="21" t="s">
        <v>45</v>
      </c>
      <c r="K1019" s="15">
        <f>(VLOOKUP(H1019,'[1]BOM Info General'!$A:$L,12,0))*I1019</f>
        <v>25.59</v>
      </c>
      <c r="L1019" s="22" t="s">
        <v>81</v>
      </c>
      <c r="M1019" s="22">
        <v>1</v>
      </c>
      <c r="N1019" s="22" t="s">
        <v>80</v>
      </c>
      <c r="O1019" s="9">
        <f>(VLOOKUP(L1019,'[1]Simulation pricing per sub assy'!$D:$E,2,0))*M1019</f>
        <v>95.756400000000042</v>
      </c>
      <c r="P1019" s="23" t="s">
        <v>52</v>
      </c>
      <c r="Q1019" s="23">
        <v>8</v>
      </c>
      <c r="R1019" s="23" t="s">
        <v>18</v>
      </c>
      <c r="S1019" s="40">
        <f>(VLOOKUP(P1019,'[1]BOM Info General'!$A:$L,12,0))*Q1019</f>
        <v>21.2</v>
      </c>
      <c r="T1019" s="24" t="s">
        <v>24</v>
      </c>
      <c r="U1019" s="24">
        <v>1</v>
      </c>
      <c r="V1019" s="24" t="s">
        <v>25</v>
      </c>
      <c r="W1019" s="17">
        <f>(VLOOKUP(T1019,'[1]Simulation pricing per sub assy'!$D:$E,2,0))*U1019</f>
        <v>6.44</v>
      </c>
      <c r="X1019" s="18" t="s">
        <v>616</v>
      </c>
      <c r="Y1019" s="25">
        <v>1</v>
      </c>
      <c r="Z1019" s="25" t="s">
        <v>23</v>
      </c>
      <c r="AA1019" s="18">
        <f>(VLOOKUP(X1019,'[1]Simulation pricing per sub assy'!$D:$E,2,0))*Y1019</f>
        <v>4.4802908000000006</v>
      </c>
    </row>
    <row r="1020" spans="1:27" x14ac:dyDescent="0.35">
      <c r="A1020" s="13" t="s">
        <v>1327</v>
      </c>
      <c r="B1020" s="13" t="s">
        <v>1328</v>
      </c>
      <c r="C1020" s="42">
        <f t="shared" si="15"/>
        <v>283.03669080000003</v>
      </c>
      <c r="D1020" s="20" t="s">
        <v>43</v>
      </c>
      <c r="E1020" s="20">
        <v>2</v>
      </c>
      <c r="F1020" s="20" t="s">
        <v>3983</v>
      </c>
      <c r="G1020" s="14">
        <f>(VLOOKUP(D1020,'[1]BOM Info General'!$A:$L,12,0))*E1020</f>
        <v>130.12</v>
      </c>
      <c r="H1020" s="21" t="s">
        <v>40</v>
      </c>
      <c r="I1020" s="21">
        <v>1</v>
      </c>
      <c r="J1020" s="21" t="s">
        <v>45</v>
      </c>
      <c r="K1020" s="15">
        <f>(VLOOKUP(H1020,'[1]BOM Info General'!$A:$L,12,0))*I1020</f>
        <v>25.59</v>
      </c>
      <c r="L1020" s="22" t="s">
        <v>87</v>
      </c>
      <c r="M1020" s="22">
        <v>1</v>
      </c>
      <c r="N1020" s="22" t="s">
        <v>84</v>
      </c>
      <c r="O1020" s="9">
        <f>(VLOOKUP(L1020,'[1]Simulation pricing per sub assy'!$D:$E,2,0))*M1020</f>
        <v>95.206400000000031</v>
      </c>
      <c r="P1020" s="23" t="s">
        <v>52</v>
      </c>
      <c r="Q1020" s="23">
        <v>8</v>
      </c>
      <c r="R1020" s="23" t="s">
        <v>18</v>
      </c>
      <c r="S1020" s="40">
        <f>(VLOOKUP(P1020,'[1]BOM Info General'!$A:$L,12,0))*Q1020</f>
        <v>21.2</v>
      </c>
      <c r="T1020" s="24" t="s">
        <v>24</v>
      </c>
      <c r="U1020" s="24">
        <v>1</v>
      </c>
      <c r="V1020" s="24" t="s">
        <v>25</v>
      </c>
      <c r="W1020" s="17">
        <f>(VLOOKUP(T1020,'[1]Simulation pricing per sub assy'!$D:$E,2,0))*U1020</f>
        <v>6.44</v>
      </c>
      <c r="X1020" s="18" t="s">
        <v>616</v>
      </c>
      <c r="Y1020" s="25">
        <v>1</v>
      </c>
      <c r="Z1020" s="25" t="s">
        <v>23</v>
      </c>
      <c r="AA1020" s="18">
        <f>(VLOOKUP(X1020,'[1]Simulation pricing per sub assy'!$D:$E,2,0))*Y1020</f>
        <v>4.4802908000000006</v>
      </c>
    </row>
    <row r="1021" spans="1:27" x14ac:dyDescent="0.35">
      <c r="A1021" s="13" t="s">
        <v>1363</v>
      </c>
      <c r="B1021" s="13" t="s">
        <v>1364</v>
      </c>
      <c r="C1021" s="42">
        <f t="shared" si="15"/>
        <v>290.99669080000001</v>
      </c>
      <c r="D1021" s="20" t="s">
        <v>43</v>
      </c>
      <c r="E1021" s="20">
        <v>2</v>
      </c>
      <c r="F1021" s="20" t="s">
        <v>3983</v>
      </c>
      <c r="G1021" s="14">
        <f>(VLOOKUP(D1021,'[1]BOM Info General'!$A:$L,12,0))*E1021</f>
        <v>130.12</v>
      </c>
      <c r="H1021" s="21" t="s">
        <v>40</v>
      </c>
      <c r="I1021" s="21">
        <v>1</v>
      </c>
      <c r="J1021" s="21" t="s">
        <v>45</v>
      </c>
      <c r="K1021" s="15">
        <f>(VLOOKUP(H1021,'[1]BOM Info General'!$A:$L,12,0))*I1021</f>
        <v>25.59</v>
      </c>
      <c r="L1021" s="22" t="s">
        <v>83</v>
      </c>
      <c r="M1021" s="22">
        <v>1</v>
      </c>
      <c r="N1021" s="22" t="s">
        <v>86</v>
      </c>
      <c r="O1021" s="9">
        <f>(VLOOKUP(L1021,'[1]Simulation pricing per sub assy'!$D:$E,2,0))*M1021</f>
        <v>103.16640000000004</v>
      </c>
      <c r="P1021" s="23" t="s">
        <v>52</v>
      </c>
      <c r="Q1021" s="23">
        <v>8</v>
      </c>
      <c r="R1021" s="23" t="s">
        <v>18</v>
      </c>
      <c r="S1021" s="40">
        <f>(VLOOKUP(P1021,'[1]BOM Info General'!$A:$L,12,0))*Q1021</f>
        <v>21.2</v>
      </c>
      <c r="T1021" s="24" t="s">
        <v>24</v>
      </c>
      <c r="U1021" s="24">
        <v>1</v>
      </c>
      <c r="V1021" s="24" t="s">
        <v>25</v>
      </c>
      <c r="W1021" s="17">
        <f>(VLOOKUP(T1021,'[1]Simulation pricing per sub assy'!$D:$E,2,0))*U1021</f>
        <v>6.44</v>
      </c>
      <c r="X1021" s="18" t="s">
        <v>616</v>
      </c>
      <c r="Y1021" s="25">
        <v>1</v>
      </c>
      <c r="Z1021" s="25" t="s">
        <v>23</v>
      </c>
      <c r="AA1021" s="18">
        <f>(VLOOKUP(X1021,'[1]Simulation pricing per sub assy'!$D:$E,2,0))*Y1021</f>
        <v>4.4802908000000006</v>
      </c>
    </row>
    <row r="1022" spans="1:27" x14ac:dyDescent="0.35">
      <c r="A1022" s="13" t="s">
        <v>1383</v>
      </c>
      <c r="B1022" s="13" t="s">
        <v>1384</v>
      </c>
      <c r="C1022" s="42">
        <f t="shared" si="15"/>
        <v>283.08669080000004</v>
      </c>
      <c r="D1022" s="20" t="s">
        <v>43</v>
      </c>
      <c r="E1022" s="20">
        <v>2</v>
      </c>
      <c r="F1022" s="20" t="s">
        <v>3983</v>
      </c>
      <c r="G1022" s="14">
        <f>(VLOOKUP(D1022,'[1]BOM Info General'!$A:$L,12,0))*E1022</f>
        <v>130.12</v>
      </c>
      <c r="H1022" s="21" t="s">
        <v>40</v>
      </c>
      <c r="I1022" s="21">
        <v>1</v>
      </c>
      <c r="J1022" s="21" t="s">
        <v>45</v>
      </c>
      <c r="K1022" s="15">
        <f>(VLOOKUP(H1022,'[1]BOM Info General'!$A:$L,12,0))*I1022</f>
        <v>25.59</v>
      </c>
      <c r="L1022" s="22" t="s">
        <v>528</v>
      </c>
      <c r="M1022" s="22">
        <v>1</v>
      </c>
      <c r="N1022" s="22" t="s">
        <v>88</v>
      </c>
      <c r="O1022" s="9">
        <f>(VLOOKUP(L1022,'[1]Simulation pricing per sub assy'!$D:$E,2,0))*M1022</f>
        <v>94.656400000000033</v>
      </c>
      <c r="P1022" s="23" t="s">
        <v>52</v>
      </c>
      <c r="Q1022" s="23">
        <v>8</v>
      </c>
      <c r="R1022" s="23" t="s">
        <v>18</v>
      </c>
      <c r="S1022" s="40">
        <f>(VLOOKUP(P1022,'[1]BOM Info General'!$A:$L,12,0))*Q1022</f>
        <v>21.2</v>
      </c>
      <c r="T1022" s="24" t="s">
        <v>26</v>
      </c>
      <c r="U1022" s="24">
        <v>1</v>
      </c>
      <c r="V1022" s="24" t="s">
        <v>27</v>
      </c>
      <c r="W1022" s="17">
        <f>(VLOOKUP(T1022,'[1]Simulation pricing per sub assy'!$D:$E,2,0))*U1022</f>
        <v>7.04</v>
      </c>
      <c r="X1022" s="18" t="s">
        <v>616</v>
      </c>
      <c r="Y1022" s="25">
        <v>1</v>
      </c>
      <c r="Z1022" s="25" t="s">
        <v>23</v>
      </c>
      <c r="AA1022" s="18">
        <f>(VLOOKUP(X1022,'[1]Simulation pricing per sub assy'!$D:$E,2,0))*Y1022</f>
        <v>4.4802908000000006</v>
      </c>
    </row>
    <row r="1023" spans="1:27" x14ac:dyDescent="0.35">
      <c r="A1023" s="13" t="s">
        <v>1311</v>
      </c>
      <c r="B1023" s="13" t="s">
        <v>1312</v>
      </c>
      <c r="C1023" s="42">
        <f t="shared" si="15"/>
        <v>284.18669080000006</v>
      </c>
      <c r="D1023" s="20" t="s">
        <v>43</v>
      </c>
      <c r="E1023" s="20">
        <v>2</v>
      </c>
      <c r="F1023" s="20" t="s">
        <v>3983</v>
      </c>
      <c r="G1023" s="14">
        <f>(VLOOKUP(D1023,'[1]BOM Info General'!$A:$L,12,0))*E1023</f>
        <v>130.12</v>
      </c>
      <c r="H1023" s="21" t="s">
        <v>40</v>
      </c>
      <c r="I1023" s="21">
        <v>1</v>
      </c>
      <c r="J1023" s="21" t="s">
        <v>45</v>
      </c>
      <c r="K1023" s="15">
        <f>(VLOOKUP(H1023,'[1]BOM Info General'!$A:$L,12,0))*I1023</f>
        <v>25.59</v>
      </c>
      <c r="L1023" s="22" t="s">
        <v>85</v>
      </c>
      <c r="M1023" s="22">
        <v>1</v>
      </c>
      <c r="N1023" s="22" t="s">
        <v>82</v>
      </c>
      <c r="O1023" s="9">
        <f>(VLOOKUP(L1023,'[1]Simulation pricing per sub assy'!$D:$E,2,0))*M1023</f>
        <v>95.756400000000042</v>
      </c>
      <c r="P1023" s="23" t="s">
        <v>52</v>
      </c>
      <c r="Q1023" s="23">
        <v>8</v>
      </c>
      <c r="R1023" s="23" t="s">
        <v>18</v>
      </c>
      <c r="S1023" s="40">
        <f>(VLOOKUP(P1023,'[1]BOM Info General'!$A:$L,12,0))*Q1023</f>
        <v>21.2</v>
      </c>
      <c r="T1023" s="24" t="s">
        <v>26</v>
      </c>
      <c r="U1023" s="24">
        <v>1</v>
      </c>
      <c r="V1023" s="24" t="s">
        <v>27</v>
      </c>
      <c r="W1023" s="17">
        <f>(VLOOKUP(T1023,'[1]Simulation pricing per sub assy'!$D:$E,2,0))*U1023</f>
        <v>7.04</v>
      </c>
      <c r="X1023" s="18" t="s">
        <v>616</v>
      </c>
      <c r="Y1023" s="25">
        <v>1</v>
      </c>
      <c r="Z1023" s="25" t="s">
        <v>23</v>
      </c>
      <c r="AA1023" s="18">
        <f>(VLOOKUP(X1023,'[1]Simulation pricing per sub assy'!$D:$E,2,0))*Y1023</f>
        <v>4.4802908000000006</v>
      </c>
    </row>
    <row r="1024" spans="1:27" x14ac:dyDescent="0.35">
      <c r="A1024" s="13" t="s">
        <v>1347</v>
      </c>
      <c r="B1024" s="13" t="s">
        <v>1348</v>
      </c>
      <c r="C1024" s="42">
        <f t="shared" si="15"/>
        <v>284.18669080000006</v>
      </c>
      <c r="D1024" s="20" t="s">
        <v>43</v>
      </c>
      <c r="E1024" s="20">
        <v>2</v>
      </c>
      <c r="F1024" s="20" t="s">
        <v>3983</v>
      </c>
      <c r="G1024" s="14">
        <f>(VLOOKUP(D1024,'[1]BOM Info General'!$A:$L,12,0))*E1024</f>
        <v>130.12</v>
      </c>
      <c r="H1024" s="21" t="s">
        <v>40</v>
      </c>
      <c r="I1024" s="21">
        <v>1</v>
      </c>
      <c r="J1024" s="21" t="s">
        <v>45</v>
      </c>
      <c r="K1024" s="15">
        <f>(VLOOKUP(H1024,'[1]BOM Info General'!$A:$L,12,0))*I1024</f>
        <v>25.59</v>
      </c>
      <c r="L1024" s="22" t="s">
        <v>81</v>
      </c>
      <c r="M1024" s="22">
        <v>1</v>
      </c>
      <c r="N1024" s="22" t="s">
        <v>80</v>
      </c>
      <c r="O1024" s="9">
        <f>(VLOOKUP(L1024,'[1]Simulation pricing per sub assy'!$D:$E,2,0))*M1024</f>
        <v>95.756400000000042</v>
      </c>
      <c r="P1024" s="23" t="s">
        <v>52</v>
      </c>
      <c r="Q1024" s="23">
        <v>8</v>
      </c>
      <c r="R1024" s="23" t="s">
        <v>18</v>
      </c>
      <c r="S1024" s="40">
        <f>(VLOOKUP(P1024,'[1]BOM Info General'!$A:$L,12,0))*Q1024</f>
        <v>21.2</v>
      </c>
      <c r="T1024" s="24" t="s">
        <v>26</v>
      </c>
      <c r="U1024" s="24">
        <v>1</v>
      </c>
      <c r="V1024" s="24" t="s">
        <v>27</v>
      </c>
      <c r="W1024" s="17">
        <f>(VLOOKUP(T1024,'[1]Simulation pricing per sub assy'!$D:$E,2,0))*U1024</f>
        <v>7.04</v>
      </c>
      <c r="X1024" s="18" t="s">
        <v>616</v>
      </c>
      <c r="Y1024" s="25">
        <v>1</v>
      </c>
      <c r="Z1024" s="25" t="s">
        <v>23</v>
      </c>
      <c r="AA1024" s="18">
        <f>(VLOOKUP(X1024,'[1]Simulation pricing per sub assy'!$D:$E,2,0))*Y1024</f>
        <v>4.4802908000000006</v>
      </c>
    </row>
    <row r="1025" spans="1:27" x14ac:dyDescent="0.35">
      <c r="A1025" s="13" t="s">
        <v>1329</v>
      </c>
      <c r="B1025" s="13" t="s">
        <v>1330</v>
      </c>
      <c r="C1025" s="42">
        <f t="shared" si="15"/>
        <v>283.63669080000005</v>
      </c>
      <c r="D1025" s="20" t="s">
        <v>43</v>
      </c>
      <c r="E1025" s="20">
        <v>2</v>
      </c>
      <c r="F1025" s="20" t="s">
        <v>3983</v>
      </c>
      <c r="G1025" s="14">
        <f>(VLOOKUP(D1025,'[1]BOM Info General'!$A:$L,12,0))*E1025</f>
        <v>130.12</v>
      </c>
      <c r="H1025" s="21" t="s">
        <v>40</v>
      </c>
      <c r="I1025" s="21">
        <v>1</v>
      </c>
      <c r="J1025" s="21" t="s">
        <v>45</v>
      </c>
      <c r="K1025" s="15">
        <f>(VLOOKUP(H1025,'[1]BOM Info General'!$A:$L,12,0))*I1025</f>
        <v>25.59</v>
      </c>
      <c r="L1025" s="22" t="s">
        <v>87</v>
      </c>
      <c r="M1025" s="22">
        <v>1</v>
      </c>
      <c r="N1025" s="22" t="s">
        <v>84</v>
      </c>
      <c r="O1025" s="9">
        <f>(VLOOKUP(L1025,'[1]Simulation pricing per sub assy'!$D:$E,2,0))*M1025</f>
        <v>95.206400000000031</v>
      </c>
      <c r="P1025" s="23" t="s">
        <v>52</v>
      </c>
      <c r="Q1025" s="23">
        <v>8</v>
      </c>
      <c r="R1025" s="23" t="s">
        <v>18</v>
      </c>
      <c r="S1025" s="40">
        <f>(VLOOKUP(P1025,'[1]BOM Info General'!$A:$L,12,0))*Q1025</f>
        <v>21.2</v>
      </c>
      <c r="T1025" s="24" t="s">
        <v>26</v>
      </c>
      <c r="U1025" s="24">
        <v>1</v>
      </c>
      <c r="V1025" s="24" t="s">
        <v>27</v>
      </c>
      <c r="W1025" s="17">
        <f>(VLOOKUP(T1025,'[1]Simulation pricing per sub assy'!$D:$E,2,0))*U1025</f>
        <v>7.04</v>
      </c>
      <c r="X1025" s="18" t="s">
        <v>616</v>
      </c>
      <c r="Y1025" s="25">
        <v>1</v>
      </c>
      <c r="Z1025" s="25" t="s">
        <v>23</v>
      </c>
      <c r="AA1025" s="18">
        <f>(VLOOKUP(X1025,'[1]Simulation pricing per sub assy'!$D:$E,2,0))*Y1025</f>
        <v>4.4802908000000006</v>
      </c>
    </row>
    <row r="1026" spans="1:27" x14ac:dyDescent="0.35">
      <c r="A1026" s="13" t="s">
        <v>1365</v>
      </c>
      <c r="B1026" s="13" t="s">
        <v>1366</v>
      </c>
      <c r="C1026" s="42">
        <f t="shared" si="15"/>
        <v>291.59669080000003</v>
      </c>
      <c r="D1026" s="20" t="s">
        <v>43</v>
      </c>
      <c r="E1026" s="20">
        <v>2</v>
      </c>
      <c r="F1026" s="20" t="s">
        <v>3983</v>
      </c>
      <c r="G1026" s="14">
        <f>(VLOOKUP(D1026,'[1]BOM Info General'!$A:$L,12,0))*E1026</f>
        <v>130.12</v>
      </c>
      <c r="H1026" s="21" t="s">
        <v>40</v>
      </c>
      <c r="I1026" s="21">
        <v>1</v>
      </c>
      <c r="J1026" s="21" t="s">
        <v>45</v>
      </c>
      <c r="K1026" s="15">
        <f>(VLOOKUP(H1026,'[1]BOM Info General'!$A:$L,12,0))*I1026</f>
        <v>25.59</v>
      </c>
      <c r="L1026" s="22" t="s">
        <v>83</v>
      </c>
      <c r="M1026" s="22">
        <v>1</v>
      </c>
      <c r="N1026" s="22" t="s">
        <v>86</v>
      </c>
      <c r="O1026" s="9">
        <f>(VLOOKUP(L1026,'[1]Simulation pricing per sub assy'!$D:$E,2,0))*M1026</f>
        <v>103.16640000000004</v>
      </c>
      <c r="P1026" s="23" t="s">
        <v>52</v>
      </c>
      <c r="Q1026" s="23">
        <v>8</v>
      </c>
      <c r="R1026" s="23" t="s">
        <v>18</v>
      </c>
      <c r="S1026" s="40">
        <f>(VLOOKUP(P1026,'[1]BOM Info General'!$A:$L,12,0))*Q1026</f>
        <v>21.2</v>
      </c>
      <c r="T1026" s="24" t="s">
        <v>26</v>
      </c>
      <c r="U1026" s="24">
        <v>1</v>
      </c>
      <c r="V1026" s="24" t="s">
        <v>27</v>
      </c>
      <c r="W1026" s="17">
        <f>(VLOOKUP(T1026,'[1]Simulation pricing per sub assy'!$D:$E,2,0))*U1026</f>
        <v>7.04</v>
      </c>
      <c r="X1026" s="18" t="s">
        <v>616</v>
      </c>
      <c r="Y1026" s="25">
        <v>1</v>
      </c>
      <c r="Z1026" s="25" t="s">
        <v>23</v>
      </c>
      <c r="AA1026" s="18">
        <f>(VLOOKUP(X1026,'[1]Simulation pricing per sub assy'!$D:$E,2,0))*Y1026</f>
        <v>4.4802908000000006</v>
      </c>
    </row>
    <row r="1027" spans="1:27" x14ac:dyDescent="0.35">
      <c r="A1027" s="13" t="s">
        <v>1385</v>
      </c>
      <c r="B1027" s="13" t="s">
        <v>1386</v>
      </c>
      <c r="C1027" s="42">
        <f t="shared" ref="C1027:C1090" si="16">SUM(G1027+K1027+O1027+S1027+W1027+AA1027)</f>
        <v>283.04669080000002</v>
      </c>
      <c r="D1027" s="20" t="s">
        <v>43</v>
      </c>
      <c r="E1027" s="20">
        <v>2</v>
      </c>
      <c r="F1027" s="20" t="s">
        <v>3983</v>
      </c>
      <c r="G1027" s="14">
        <f>(VLOOKUP(D1027,'[1]BOM Info General'!$A:$L,12,0))*E1027</f>
        <v>130.12</v>
      </c>
      <c r="H1027" s="21" t="s">
        <v>40</v>
      </c>
      <c r="I1027" s="21">
        <v>1</v>
      </c>
      <c r="J1027" s="21" t="s">
        <v>45</v>
      </c>
      <c r="K1027" s="15">
        <f>(VLOOKUP(H1027,'[1]BOM Info General'!$A:$L,12,0))*I1027</f>
        <v>25.59</v>
      </c>
      <c r="L1027" s="22" t="s">
        <v>528</v>
      </c>
      <c r="M1027" s="22">
        <v>1</v>
      </c>
      <c r="N1027" s="22" t="s">
        <v>88</v>
      </c>
      <c r="O1027" s="9">
        <f>(VLOOKUP(L1027,'[1]Simulation pricing per sub assy'!$D:$E,2,0))*M1027</f>
        <v>94.656400000000033</v>
      </c>
      <c r="P1027" s="23" t="s">
        <v>52</v>
      </c>
      <c r="Q1027" s="23">
        <v>8</v>
      </c>
      <c r="R1027" s="23" t="s">
        <v>18</v>
      </c>
      <c r="S1027" s="40">
        <f>(VLOOKUP(P1027,'[1]BOM Info General'!$A:$L,12,0))*Q1027</f>
        <v>21.2</v>
      </c>
      <c r="T1027" s="24" t="s">
        <v>28</v>
      </c>
      <c r="U1027" s="24">
        <v>1</v>
      </c>
      <c r="V1027" s="24" t="s">
        <v>29</v>
      </c>
      <c r="W1027" s="17">
        <f>(VLOOKUP(T1027,'[1]Simulation pricing per sub assy'!$D:$E,2,0))*U1027</f>
        <v>7</v>
      </c>
      <c r="X1027" s="18" t="s">
        <v>616</v>
      </c>
      <c r="Y1027" s="25">
        <v>1</v>
      </c>
      <c r="Z1027" s="25" t="s">
        <v>23</v>
      </c>
      <c r="AA1027" s="18">
        <f>(VLOOKUP(X1027,'[1]Simulation pricing per sub assy'!$D:$E,2,0))*Y1027</f>
        <v>4.4802908000000006</v>
      </c>
    </row>
    <row r="1028" spans="1:27" x14ac:dyDescent="0.35">
      <c r="A1028" s="13" t="s">
        <v>1313</v>
      </c>
      <c r="B1028" s="13" t="s">
        <v>1314</v>
      </c>
      <c r="C1028" s="42">
        <f t="shared" si="16"/>
        <v>284.14669080000004</v>
      </c>
      <c r="D1028" s="20" t="s">
        <v>43</v>
      </c>
      <c r="E1028" s="20">
        <v>2</v>
      </c>
      <c r="F1028" s="20" t="s">
        <v>3983</v>
      </c>
      <c r="G1028" s="14">
        <f>(VLOOKUP(D1028,'[1]BOM Info General'!$A:$L,12,0))*E1028</f>
        <v>130.12</v>
      </c>
      <c r="H1028" s="21" t="s">
        <v>40</v>
      </c>
      <c r="I1028" s="21">
        <v>1</v>
      </c>
      <c r="J1028" s="21" t="s">
        <v>45</v>
      </c>
      <c r="K1028" s="15">
        <f>(VLOOKUP(H1028,'[1]BOM Info General'!$A:$L,12,0))*I1028</f>
        <v>25.59</v>
      </c>
      <c r="L1028" s="22" t="s">
        <v>85</v>
      </c>
      <c r="M1028" s="22">
        <v>1</v>
      </c>
      <c r="N1028" s="22" t="s">
        <v>82</v>
      </c>
      <c r="O1028" s="9">
        <f>(VLOOKUP(L1028,'[1]Simulation pricing per sub assy'!$D:$E,2,0))*M1028</f>
        <v>95.756400000000042</v>
      </c>
      <c r="P1028" s="23" t="s">
        <v>52</v>
      </c>
      <c r="Q1028" s="23">
        <v>8</v>
      </c>
      <c r="R1028" s="23" t="s">
        <v>18</v>
      </c>
      <c r="S1028" s="40">
        <f>(VLOOKUP(P1028,'[1]BOM Info General'!$A:$L,12,0))*Q1028</f>
        <v>21.2</v>
      </c>
      <c r="T1028" s="24" t="s">
        <v>28</v>
      </c>
      <c r="U1028" s="24">
        <v>1</v>
      </c>
      <c r="V1028" s="24" t="s">
        <v>29</v>
      </c>
      <c r="W1028" s="17">
        <f>(VLOOKUP(T1028,'[1]Simulation pricing per sub assy'!$D:$E,2,0))*U1028</f>
        <v>7</v>
      </c>
      <c r="X1028" s="18" t="s">
        <v>616</v>
      </c>
      <c r="Y1028" s="25">
        <v>1</v>
      </c>
      <c r="Z1028" s="25" t="s">
        <v>23</v>
      </c>
      <c r="AA1028" s="18">
        <f>(VLOOKUP(X1028,'[1]Simulation pricing per sub assy'!$D:$E,2,0))*Y1028</f>
        <v>4.4802908000000006</v>
      </c>
    </row>
    <row r="1029" spans="1:27" x14ac:dyDescent="0.35">
      <c r="A1029" s="13" t="s">
        <v>1349</v>
      </c>
      <c r="B1029" s="13" t="s">
        <v>1350</v>
      </c>
      <c r="C1029" s="42">
        <f t="shared" si="16"/>
        <v>284.14669080000004</v>
      </c>
      <c r="D1029" s="20" t="s">
        <v>43</v>
      </c>
      <c r="E1029" s="20">
        <v>2</v>
      </c>
      <c r="F1029" s="20" t="s">
        <v>3983</v>
      </c>
      <c r="G1029" s="14">
        <f>(VLOOKUP(D1029,'[1]BOM Info General'!$A:$L,12,0))*E1029</f>
        <v>130.12</v>
      </c>
      <c r="H1029" s="21" t="s">
        <v>40</v>
      </c>
      <c r="I1029" s="21">
        <v>1</v>
      </c>
      <c r="J1029" s="21" t="s">
        <v>45</v>
      </c>
      <c r="K1029" s="15">
        <f>(VLOOKUP(H1029,'[1]BOM Info General'!$A:$L,12,0))*I1029</f>
        <v>25.59</v>
      </c>
      <c r="L1029" s="22" t="s">
        <v>81</v>
      </c>
      <c r="M1029" s="22">
        <v>1</v>
      </c>
      <c r="N1029" s="22" t="s">
        <v>80</v>
      </c>
      <c r="O1029" s="9">
        <f>(VLOOKUP(L1029,'[1]Simulation pricing per sub assy'!$D:$E,2,0))*M1029</f>
        <v>95.756400000000042</v>
      </c>
      <c r="P1029" s="23" t="s">
        <v>52</v>
      </c>
      <c r="Q1029" s="23">
        <v>8</v>
      </c>
      <c r="R1029" s="23" t="s">
        <v>18</v>
      </c>
      <c r="S1029" s="40">
        <f>(VLOOKUP(P1029,'[1]BOM Info General'!$A:$L,12,0))*Q1029</f>
        <v>21.2</v>
      </c>
      <c r="T1029" s="24" t="s">
        <v>28</v>
      </c>
      <c r="U1029" s="24">
        <v>1</v>
      </c>
      <c r="V1029" s="24" t="s">
        <v>29</v>
      </c>
      <c r="W1029" s="17">
        <f>(VLOOKUP(T1029,'[1]Simulation pricing per sub assy'!$D:$E,2,0))*U1029</f>
        <v>7</v>
      </c>
      <c r="X1029" s="18" t="s">
        <v>616</v>
      </c>
      <c r="Y1029" s="25">
        <v>1</v>
      </c>
      <c r="Z1029" s="25" t="s">
        <v>23</v>
      </c>
      <c r="AA1029" s="18">
        <f>(VLOOKUP(X1029,'[1]Simulation pricing per sub assy'!$D:$E,2,0))*Y1029</f>
        <v>4.4802908000000006</v>
      </c>
    </row>
    <row r="1030" spans="1:27" x14ac:dyDescent="0.35">
      <c r="A1030" s="13" t="s">
        <v>1331</v>
      </c>
      <c r="B1030" s="13" t="s">
        <v>1332</v>
      </c>
      <c r="C1030" s="42">
        <f t="shared" si="16"/>
        <v>283.59669080000003</v>
      </c>
      <c r="D1030" s="20" t="s">
        <v>43</v>
      </c>
      <c r="E1030" s="20">
        <v>2</v>
      </c>
      <c r="F1030" s="20" t="s">
        <v>3983</v>
      </c>
      <c r="G1030" s="14">
        <f>(VLOOKUP(D1030,'[1]BOM Info General'!$A:$L,12,0))*E1030</f>
        <v>130.12</v>
      </c>
      <c r="H1030" s="21" t="s">
        <v>40</v>
      </c>
      <c r="I1030" s="21">
        <v>1</v>
      </c>
      <c r="J1030" s="21" t="s">
        <v>45</v>
      </c>
      <c r="K1030" s="15">
        <f>(VLOOKUP(H1030,'[1]BOM Info General'!$A:$L,12,0))*I1030</f>
        <v>25.59</v>
      </c>
      <c r="L1030" s="22" t="s">
        <v>87</v>
      </c>
      <c r="M1030" s="22">
        <v>1</v>
      </c>
      <c r="N1030" s="22" t="s">
        <v>84</v>
      </c>
      <c r="O1030" s="9">
        <f>(VLOOKUP(L1030,'[1]Simulation pricing per sub assy'!$D:$E,2,0))*M1030</f>
        <v>95.206400000000031</v>
      </c>
      <c r="P1030" s="23" t="s">
        <v>52</v>
      </c>
      <c r="Q1030" s="23">
        <v>8</v>
      </c>
      <c r="R1030" s="23" t="s">
        <v>18</v>
      </c>
      <c r="S1030" s="40">
        <f>(VLOOKUP(P1030,'[1]BOM Info General'!$A:$L,12,0))*Q1030</f>
        <v>21.2</v>
      </c>
      <c r="T1030" s="24" t="s">
        <v>28</v>
      </c>
      <c r="U1030" s="24">
        <v>1</v>
      </c>
      <c r="V1030" s="24" t="s">
        <v>29</v>
      </c>
      <c r="W1030" s="17">
        <f>(VLOOKUP(T1030,'[1]Simulation pricing per sub assy'!$D:$E,2,0))*U1030</f>
        <v>7</v>
      </c>
      <c r="X1030" s="18" t="s">
        <v>616</v>
      </c>
      <c r="Y1030" s="25">
        <v>1</v>
      </c>
      <c r="Z1030" s="25" t="s">
        <v>23</v>
      </c>
      <c r="AA1030" s="18">
        <f>(VLOOKUP(X1030,'[1]Simulation pricing per sub assy'!$D:$E,2,0))*Y1030</f>
        <v>4.4802908000000006</v>
      </c>
    </row>
    <row r="1031" spans="1:27" x14ac:dyDescent="0.35">
      <c r="A1031" s="13" t="s">
        <v>1367</v>
      </c>
      <c r="B1031" s="13" t="s">
        <v>1368</v>
      </c>
      <c r="C1031" s="42">
        <f t="shared" si="16"/>
        <v>291.55669080000001</v>
      </c>
      <c r="D1031" s="20" t="s">
        <v>43</v>
      </c>
      <c r="E1031" s="20">
        <v>2</v>
      </c>
      <c r="F1031" s="20" t="s">
        <v>3983</v>
      </c>
      <c r="G1031" s="14">
        <f>(VLOOKUP(D1031,'[1]BOM Info General'!$A:$L,12,0))*E1031</f>
        <v>130.12</v>
      </c>
      <c r="H1031" s="21" t="s">
        <v>40</v>
      </c>
      <c r="I1031" s="21">
        <v>1</v>
      </c>
      <c r="J1031" s="21" t="s">
        <v>45</v>
      </c>
      <c r="K1031" s="15">
        <f>(VLOOKUP(H1031,'[1]BOM Info General'!$A:$L,12,0))*I1031</f>
        <v>25.59</v>
      </c>
      <c r="L1031" s="22" t="s">
        <v>83</v>
      </c>
      <c r="M1031" s="22">
        <v>1</v>
      </c>
      <c r="N1031" s="22" t="s">
        <v>86</v>
      </c>
      <c r="O1031" s="9">
        <f>(VLOOKUP(L1031,'[1]Simulation pricing per sub assy'!$D:$E,2,0))*M1031</f>
        <v>103.16640000000004</v>
      </c>
      <c r="P1031" s="23" t="s">
        <v>52</v>
      </c>
      <c r="Q1031" s="23">
        <v>8</v>
      </c>
      <c r="R1031" s="23" t="s">
        <v>18</v>
      </c>
      <c r="S1031" s="40">
        <f>(VLOOKUP(P1031,'[1]BOM Info General'!$A:$L,12,0))*Q1031</f>
        <v>21.2</v>
      </c>
      <c r="T1031" s="24" t="s">
        <v>28</v>
      </c>
      <c r="U1031" s="24">
        <v>1</v>
      </c>
      <c r="V1031" s="24" t="s">
        <v>29</v>
      </c>
      <c r="W1031" s="17">
        <f>(VLOOKUP(T1031,'[1]Simulation pricing per sub assy'!$D:$E,2,0))*U1031</f>
        <v>7</v>
      </c>
      <c r="X1031" s="18" t="s">
        <v>616</v>
      </c>
      <c r="Y1031" s="25">
        <v>1</v>
      </c>
      <c r="Z1031" s="25" t="s">
        <v>23</v>
      </c>
      <c r="AA1031" s="18">
        <f>(VLOOKUP(X1031,'[1]Simulation pricing per sub assy'!$D:$E,2,0))*Y1031</f>
        <v>4.4802908000000006</v>
      </c>
    </row>
    <row r="1032" spans="1:27" x14ac:dyDescent="0.35">
      <c r="A1032" s="13" t="s">
        <v>1295</v>
      </c>
      <c r="B1032" s="13" t="s">
        <v>1296</v>
      </c>
      <c r="C1032" s="42">
        <f t="shared" si="16"/>
        <v>284.60669080000002</v>
      </c>
      <c r="D1032" s="20" t="s">
        <v>43</v>
      </c>
      <c r="E1032" s="20">
        <v>2</v>
      </c>
      <c r="F1032" s="20" t="s">
        <v>3983</v>
      </c>
      <c r="G1032" s="14">
        <f>(VLOOKUP(D1032,'[1]BOM Info General'!$A:$L,12,0))*E1032</f>
        <v>130.12</v>
      </c>
      <c r="H1032" s="21" t="s">
        <v>40</v>
      </c>
      <c r="I1032" s="21">
        <v>1</v>
      </c>
      <c r="J1032" s="21" t="s">
        <v>45</v>
      </c>
      <c r="K1032" s="15">
        <f>(VLOOKUP(H1032,'[1]BOM Info General'!$A:$L,12,0))*I1032</f>
        <v>25.59</v>
      </c>
      <c r="L1032" s="22" t="s">
        <v>528</v>
      </c>
      <c r="M1032" s="22">
        <v>1</v>
      </c>
      <c r="N1032" s="22" t="s">
        <v>88</v>
      </c>
      <c r="O1032" s="9">
        <f>(VLOOKUP(L1032,'[1]Simulation pricing per sub assy'!$D:$E,2,0))*M1032</f>
        <v>94.656400000000033</v>
      </c>
      <c r="P1032" s="23" t="s">
        <v>50</v>
      </c>
      <c r="Q1032" s="23">
        <v>8</v>
      </c>
      <c r="R1032" s="23" t="s">
        <v>611</v>
      </c>
      <c r="S1032" s="40">
        <f>(VLOOKUP(P1032,'[1]BOM Info General'!$A:$L,12,0))*Q1032</f>
        <v>21.2</v>
      </c>
      <c r="T1032" s="24" t="s">
        <v>30</v>
      </c>
      <c r="U1032" s="24">
        <v>1</v>
      </c>
      <c r="V1032" s="24" t="s">
        <v>31</v>
      </c>
      <c r="W1032" s="17">
        <f>(VLOOKUP(T1032,'[1]Simulation pricing per sub assy'!$D:$E,2,0))*U1032</f>
        <v>8.5599999999999987</v>
      </c>
      <c r="X1032" s="18" t="s">
        <v>616</v>
      </c>
      <c r="Y1032" s="25">
        <v>1</v>
      </c>
      <c r="Z1032" s="25" t="s">
        <v>23</v>
      </c>
      <c r="AA1032" s="18">
        <f>(VLOOKUP(X1032,'[1]Simulation pricing per sub assy'!$D:$E,2,0))*Y1032</f>
        <v>4.4802908000000006</v>
      </c>
    </row>
    <row r="1033" spans="1:27" x14ac:dyDescent="0.35">
      <c r="A1033" s="13" t="s">
        <v>1287</v>
      </c>
      <c r="B1033" s="13" t="s">
        <v>1288</v>
      </c>
      <c r="C1033" s="42">
        <f t="shared" si="16"/>
        <v>285.70669080000005</v>
      </c>
      <c r="D1033" s="20" t="s">
        <v>43</v>
      </c>
      <c r="E1033" s="20">
        <v>2</v>
      </c>
      <c r="F1033" s="20" t="s">
        <v>3983</v>
      </c>
      <c r="G1033" s="14">
        <f>(VLOOKUP(D1033,'[1]BOM Info General'!$A:$L,12,0))*E1033</f>
        <v>130.12</v>
      </c>
      <c r="H1033" s="21" t="s">
        <v>40</v>
      </c>
      <c r="I1033" s="21">
        <v>1</v>
      </c>
      <c r="J1033" s="21" t="s">
        <v>45</v>
      </c>
      <c r="K1033" s="15">
        <f>(VLOOKUP(H1033,'[1]BOM Info General'!$A:$L,12,0))*I1033</f>
        <v>25.59</v>
      </c>
      <c r="L1033" s="22" t="s">
        <v>85</v>
      </c>
      <c r="M1033" s="22">
        <v>1</v>
      </c>
      <c r="N1033" s="22" t="s">
        <v>82</v>
      </c>
      <c r="O1033" s="9">
        <f>(VLOOKUP(L1033,'[1]Simulation pricing per sub assy'!$D:$E,2,0))*M1033</f>
        <v>95.756400000000042</v>
      </c>
      <c r="P1033" s="23" t="s">
        <v>50</v>
      </c>
      <c r="Q1033" s="23">
        <v>8</v>
      </c>
      <c r="R1033" s="23" t="s">
        <v>611</v>
      </c>
      <c r="S1033" s="40">
        <f>(VLOOKUP(P1033,'[1]BOM Info General'!$A:$L,12,0))*Q1033</f>
        <v>21.2</v>
      </c>
      <c r="T1033" s="24" t="s">
        <v>30</v>
      </c>
      <c r="U1033" s="24">
        <v>1</v>
      </c>
      <c r="V1033" s="24" t="s">
        <v>31</v>
      </c>
      <c r="W1033" s="17">
        <f>(VLOOKUP(T1033,'[1]Simulation pricing per sub assy'!$D:$E,2,0))*U1033</f>
        <v>8.5599999999999987</v>
      </c>
      <c r="X1033" s="18" t="s">
        <v>616</v>
      </c>
      <c r="Y1033" s="25">
        <v>1</v>
      </c>
      <c r="Z1033" s="25" t="s">
        <v>23</v>
      </c>
      <c r="AA1033" s="18">
        <f>(VLOOKUP(X1033,'[1]Simulation pricing per sub assy'!$D:$E,2,0))*Y1033</f>
        <v>4.4802908000000006</v>
      </c>
    </row>
    <row r="1034" spans="1:27" x14ac:dyDescent="0.35">
      <c r="A1034" s="13" t="s">
        <v>1291</v>
      </c>
      <c r="B1034" s="13" t="s">
        <v>1292</v>
      </c>
      <c r="C1034" s="42">
        <f t="shared" si="16"/>
        <v>285.70669080000005</v>
      </c>
      <c r="D1034" s="20" t="s">
        <v>43</v>
      </c>
      <c r="E1034" s="20">
        <v>2</v>
      </c>
      <c r="F1034" s="20" t="s">
        <v>3983</v>
      </c>
      <c r="G1034" s="14">
        <f>(VLOOKUP(D1034,'[1]BOM Info General'!$A:$L,12,0))*E1034</f>
        <v>130.12</v>
      </c>
      <c r="H1034" s="21" t="s">
        <v>40</v>
      </c>
      <c r="I1034" s="21">
        <v>1</v>
      </c>
      <c r="J1034" s="21" t="s">
        <v>45</v>
      </c>
      <c r="K1034" s="15">
        <f>(VLOOKUP(H1034,'[1]BOM Info General'!$A:$L,12,0))*I1034</f>
        <v>25.59</v>
      </c>
      <c r="L1034" s="22" t="s">
        <v>81</v>
      </c>
      <c r="M1034" s="22">
        <v>1</v>
      </c>
      <c r="N1034" s="22" t="s">
        <v>80</v>
      </c>
      <c r="O1034" s="9">
        <f>(VLOOKUP(L1034,'[1]Simulation pricing per sub assy'!$D:$E,2,0))*M1034</f>
        <v>95.756400000000042</v>
      </c>
      <c r="P1034" s="23" t="s">
        <v>50</v>
      </c>
      <c r="Q1034" s="23">
        <v>8</v>
      </c>
      <c r="R1034" s="23" t="s">
        <v>611</v>
      </c>
      <c r="S1034" s="40">
        <f>(VLOOKUP(P1034,'[1]BOM Info General'!$A:$L,12,0))*Q1034</f>
        <v>21.2</v>
      </c>
      <c r="T1034" s="24" t="s">
        <v>30</v>
      </c>
      <c r="U1034" s="24">
        <v>1</v>
      </c>
      <c r="V1034" s="24" t="s">
        <v>31</v>
      </c>
      <c r="W1034" s="17">
        <f>(VLOOKUP(T1034,'[1]Simulation pricing per sub assy'!$D:$E,2,0))*U1034</f>
        <v>8.5599999999999987</v>
      </c>
      <c r="X1034" s="18" t="s">
        <v>616</v>
      </c>
      <c r="Y1034" s="25">
        <v>1</v>
      </c>
      <c r="Z1034" s="25" t="s">
        <v>23</v>
      </c>
      <c r="AA1034" s="18">
        <f>(VLOOKUP(X1034,'[1]Simulation pricing per sub assy'!$D:$E,2,0))*Y1034</f>
        <v>4.4802908000000006</v>
      </c>
    </row>
    <row r="1035" spans="1:27" x14ac:dyDescent="0.35">
      <c r="A1035" s="13" t="s">
        <v>1289</v>
      </c>
      <c r="B1035" s="13" t="s">
        <v>1290</v>
      </c>
      <c r="C1035" s="42">
        <f t="shared" si="16"/>
        <v>285.15669080000004</v>
      </c>
      <c r="D1035" s="20" t="s">
        <v>43</v>
      </c>
      <c r="E1035" s="20">
        <v>2</v>
      </c>
      <c r="F1035" s="20" t="s">
        <v>3983</v>
      </c>
      <c r="G1035" s="14">
        <f>(VLOOKUP(D1035,'[1]BOM Info General'!$A:$L,12,0))*E1035</f>
        <v>130.12</v>
      </c>
      <c r="H1035" s="21" t="s">
        <v>40</v>
      </c>
      <c r="I1035" s="21">
        <v>1</v>
      </c>
      <c r="J1035" s="21" t="s">
        <v>45</v>
      </c>
      <c r="K1035" s="15">
        <f>(VLOOKUP(H1035,'[1]BOM Info General'!$A:$L,12,0))*I1035</f>
        <v>25.59</v>
      </c>
      <c r="L1035" s="22" t="s">
        <v>87</v>
      </c>
      <c r="M1035" s="22">
        <v>1</v>
      </c>
      <c r="N1035" s="22" t="s">
        <v>84</v>
      </c>
      <c r="O1035" s="9">
        <f>(VLOOKUP(L1035,'[1]Simulation pricing per sub assy'!$D:$E,2,0))*M1035</f>
        <v>95.206400000000031</v>
      </c>
      <c r="P1035" s="23" t="s">
        <v>50</v>
      </c>
      <c r="Q1035" s="23">
        <v>8</v>
      </c>
      <c r="R1035" s="23" t="s">
        <v>611</v>
      </c>
      <c r="S1035" s="40">
        <f>(VLOOKUP(P1035,'[1]BOM Info General'!$A:$L,12,0))*Q1035</f>
        <v>21.2</v>
      </c>
      <c r="T1035" s="24" t="s">
        <v>30</v>
      </c>
      <c r="U1035" s="24">
        <v>1</v>
      </c>
      <c r="V1035" s="24" t="s">
        <v>31</v>
      </c>
      <c r="W1035" s="17">
        <f>(VLOOKUP(T1035,'[1]Simulation pricing per sub assy'!$D:$E,2,0))*U1035</f>
        <v>8.5599999999999987</v>
      </c>
      <c r="X1035" s="18" t="s">
        <v>616</v>
      </c>
      <c r="Y1035" s="25">
        <v>1</v>
      </c>
      <c r="Z1035" s="25" t="s">
        <v>23</v>
      </c>
      <c r="AA1035" s="18">
        <f>(VLOOKUP(X1035,'[1]Simulation pricing per sub assy'!$D:$E,2,0))*Y1035</f>
        <v>4.4802908000000006</v>
      </c>
    </row>
    <row r="1036" spans="1:27" x14ac:dyDescent="0.35">
      <c r="A1036" s="13" t="s">
        <v>1293</v>
      </c>
      <c r="B1036" s="13" t="s">
        <v>1294</v>
      </c>
      <c r="C1036" s="42">
        <f t="shared" si="16"/>
        <v>293.11669080000001</v>
      </c>
      <c r="D1036" s="20" t="s">
        <v>43</v>
      </c>
      <c r="E1036" s="20">
        <v>2</v>
      </c>
      <c r="F1036" s="20" t="s">
        <v>3983</v>
      </c>
      <c r="G1036" s="14">
        <f>(VLOOKUP(D1036,'[1]BOM Info General'!$A:$L,12,0))*E1036</f>
        <v>130.12</v>
      </c>
      <c r="H1036" s="21" t="s">
        <v>40</v>
      </c>
      <c r="I1036" s="21">
        <v>1</v>
      </c>
      <c r="J1036" s="21" t="s">
        <v>45</v>
      </c>
      <c r="K1036" s="15">
        <f>(VLOOKUP(H1036,'[1]BOM Info General'!$A:$L,12,0))*I1036</f>
        <v>25.59</v>
      </c>
      <c r="L1036" s="22" t="s">
        <v>83</v>
      </c>
      <c r="M1036" s="22">
        <v>1</v>
      </c>
      <c r="N1036" s="22" t="s">
        <v>86</v>
      </c>
      <c r="O1036" s="9">
        <f>(VLOOKUP(L1036,'[1]Simulation pricing per sub assy'!$D:$E,2,0))*M1036</f>
        <v>103.16640000000004</v>
      </c>
      <c r="P1036" s="23" t="s">
        <v>50</v>
      </c>
      <c r="Q1036" s="23">
        <v>8</v>
      </c>
      <c r="R1036" s="23" t="s">
        <v>611</v>
      </c>
      <c r="S1036" s="40">
        <f>(VLOOKUP(P1036,'[1]BOM Info General'!$A:$L,12,0))*Q1036</f>
        <v>21.2</v>
      </c>
      <c r="T1036" s="24" t="s">
        <v>30</v>
      </c>
      <c r="U1036" s="24">
        <v>1</v>
      </c>
      <c r="V1036" s="24" t="s">
        <v>31</v>
      </c>
      <c r="W1036" s="17">
        <f>(VLOOKUP(T1036,'[1]Simulation pricing per sub assy'!$D:$E,2,0))*U1036</f>
        <v>8.5599999999999987</v>
      </c>
      <c r="X1036" s="18" t="s">
        <v>616</v>
      </c>
      <c r="Y1036" s="25">
        <v>1</v>
      </c>
      <c r="Z1036" s="25" t="s">
        <v>23</v>
      </c>
      <c r="AA1036" s="18">
        <f>(VLOOKUP(X1036,'[1]Simulation pricing per sub assy'!$D:$E,2,0))*Y1036</f>
        <v>4.4802908000000006</v>
      </c>
    </row>
    <row r="1037" spans="1:27" x14ac:dyDescent="0.35">
      <c r="A1037" s="13" t="s">
        <v>1395</v>
      </c>
      <c r="B1037" s="13" t="s">
        <v>1396</v>
      </c>
      <c r="C1037" s="42">
        <f t="shared" si="16"/>
        <v>284.83669079999999</v>
      </c>
      <c r="D1037" s="20" t="s">
        <v>43</v>
      </c>
      <c r="E1037" s="20">
        <v>2</v>
      </c>
      <c r="F1037" s="20" t="s">
        <v>3983</v>
      </c>
      <c r="G1037" s="14">
        <f>(VLOOKUP(D1037,'[1]BOM Info General'!$A:$L,12,0))*E1037</f>
        <v>130.12</v>
      </c>
      <c r="H1037" s="21" t="s">
        <v>41</v>
      </c>
      <c r="I1037" s="21">
        <v>1</v>
      </c>
      <c r="J1037" s="21" t="s">
        <v>47</v>
      </c>
      <c r="K1037" s="15">
        <f>(VLOOKUP(H1037,'[1]BOM Info General'!$A:$L,12,0))*I1037</f>
        <v>27.18</v>
      </c>
      <c r="L1037" s="22" t="s">
        <v>528</v>
      </c>
      <c r="M1037" s="22">
        <v>1</v>
      </c>
      <c r="N1037" s="22" t="s">
        <v>88</v>
      </c>
      <c r="O1037" s="9">
        <f>(VLOOKUP(L1037,'[1]Simulation pricing per sub assy'!$D:$E,2,0))*M1037</f>
        <v>94.656400000000033</v>
      </c>
      <c r="P1037" s="23" t="s">
        <v>50</v>
      </c>
      <c r="Q1037" s="23">
        <v>8</v>
      </c>
      <c r="R1037" s="23" t="s">
        <v>611</v>
      </c>
      <c r="S1037" s="40">
        <f>(VLOOKUP(P1037,'[1]BOM Info General'!$A:$L,12,0))*Q1037</f>
        <v>21.2</v>
      </c>
      <c r="T1037" s="24" t="s">
        <v>21</v>
      </c>
      <c r="U1037" s="24">
        <v>1</v>
      </c>
      <c r="V1037" s="24" t="s">
        <v>22</v>
      </c>
      <c r="W1037" s="17">
        <f>(VLOOKUP(T1037,'[1]Simulation pricing per sub assy'!$D:$E,2,0))*U1037</f>
        <v>7.2</v>
      </c>
      <c r="X1037" s="18" t="s">
        <v>616</v>
      </c>
      <c r="Y1037" s="25">
        <v>1</v>
      </c>
      <c r="Z1037" s="25" t="s">
        <v>23</v>
      </c>
      <c r="AA1037" s="18">
        <f>(VLOOKUP(X1037,'[1]Simulation pricing per sub assy'!$D:$E,2,0))*Y1037</f>
        <v>4.4802908000000006</v>
      </c>
    </row>
    <row r="1038" spans="1:27" x14ac:dyDescent="0.35">
      <c r="A1038" s="13" t="s">
        <v>1387</v>
      </c>
      <c r="B1038" s="13" t="s">
        <v>1388</v>
      </c>
      <c r="C1038" s="42">
        <f t="shared" si="16"/>
        <v>285.93669080000001</v>
      </c>
      <c r="D1038" s="20" t="s">
        <v>43</v>
      </c>
      <c r="E1038" s="20">
        <v>2</v>
      </c>
      <c r="F1038" s="20" t="s">
        <v>3983</v>
      </c>
      <c r="G1038" s="14">
        <f>(VLOOKUP(D1038,'[1]BOM Info General'!$A:$L,12,0))*E1038</f>
        <v>130.12</v>
      </c>
      <c r="H1038" s="21" t="s">
        <v>41</v>
      </c>
      <c r="I1038" s="21">
        <v>1</v>
      </c>
      <c r="J1038" s="21" t="s">
        <v>47</v>
      </c>
      <c r="K1038" s="15">
        <f>(VLOOKUP(H1038,'[1]BOM Info General'!$A:$L,12,0))*I1038</f>
        <v>27.18</v>
      </c>
      <c r="L1038" s="22" t="s">
        <v>85</v>
      </c>
      <c r="M1038" s="22">
        <v>1</v>
      </c>
      <c r="N1038" s="22" t="s">
        <v>82</v>
      </c>
      <c r="O1038" s="9">
        <f>(VLOOKUP(L1038,'[1]Simulation pricing per sub assy'!$D:$E,2,0))*M1038</f>
        <v>95.756400000000042</v>
      </c>
      <c r="P1038" s="23" t="s">
        <v>50</v>
      </c>
      <c r="Q1038" s="23">
        <v>8</v>
      </c>
      <c r="R1038" s="23" t="s">
        <v>611</v>
      </c>
      <c r="S1038" s="40">
        <f>(VLOOKUP(P1038,'[1]BOM Info General'!$A:$L,12,0))*Q1038</f>
        <v>21.2</v>
      </c>
      <c r="T1038" s="24" t="s">
        <v>21</v>
      </c>
      <c r="U1038" s="24">
        <v>1</v>
      </c>
      <c r="V1038" s="24" t="s">
        <v>22</v>
      </c>
      <c r="W1038" s="17">
        <f>(VLOOKUP(T1038,'[1]Simulation pricing per sub assy'!$D:$E,2,0))*U1038</f>
        <v>7.2</v>
      </c>
      <c r="X1038" s="18" t="s">
        <v>616</v>
      </c>
      <c r="Y1038" s="25">
        <v>1</v>
      </c>
      <c r="Z1038" s="25" t="s">
        <v>23</v>
      </c>
      <c r="AA1038" s="18">
        <f>(VLOOKUP(X1038,'[1]Simulation pricing per sub assy'!$D:$E,2,0))*Y1038</f>
        <v>4.4802908000000006</v>
      </c>
    </row>
    <row r="1039" spans="1:27" x14ac:dyDescent="0.35">
      <c r="A1039" s="13" t="s">
        <v>1391</v>
      </c>
      <c r="B1039" s="13" t="s">
        <v>1392</v>
      </c>
      <c r="C1039" s="42">
        <f t="shared" si="16"/>
        <v>285.93669080000001</v>
      </c>
      <c r="D1039" s="20" t="s">
        <v>43</v>
      </c>
      <c r="E1039" s="20">
        <v>2</v>
      </c>
      <c r="F1039" s="20" t="s">
        <v>3983</v>
      </c>
      <c r="G1039" s="14">
        <f>(VLOOKUP(D1039,'[1]BOM Info General'!$A:$L,12,0))*E1039</f>
        <v>130.12</v>
      </c>
      <c r="H1039" s="21" t="s">
        <v>41</v>
      </c>
      <c r="I1039" s="21">
        <v>1</v>
      </c>
      <c r="J1039" s="21" t="s">
        <v>47</v>
      </c>
      <c r="K1039" s="15">
        <f>(VLOOKUP(H1039,'[1]BOM Info General'!$A:$L,12,0))*I1039</f>
        <v>27.18</v>
      </c>
      <c r="L1039" s="22" t="s">
        <v>81</v>
      </c>
      <c r="M1039" s="22">
        <v>1</v>
      </c>
      <c r="N1039" s="22" t="s">
        <v>80</v>
      </c>
      <c r="O1039" s="9">
        <f>(VLOOKUP(L1039,'[1]Simulation pricing per sub assy'!$D:$E,2,0))*M1039</f>
        <v>95.756400000000042</v>
      </c>
      <c r="P1039" s="23" t="s">
        <v>50</v>
      </c>
      <c r="Q1039" s="23">
        <v>8</v>
      </c>
      <c r="R1039" s="23" t="s">
        <v>611</v>
      </c>
      <c r="S1039" s="40">
        <f>(VLOOKUP(P1039,'[1]BOM Info General'!$A:$L,12,0))*Q1039</f>
        <v>21.2</v>
      </c>
      <c r="T1039" s="24" t="s">
        <v>21</v>
      </c>
      <c r="U1039" s="24">
        <v>1</v>
      </c>
      <c r="V1039" s="24" t="s">
        <v>22</v>
      </c>
      <c r="W1039" s="17">
        <f>(VLOOKUP(T1039,'[1]Simulation pricing per sub assy'!$D:$E,2,0))*U1039</f>
        <v>7.2</v>
      </c>
      <c r="X1039" s="18" t="s">
        <v>616</v>
      </c>
      <c r="Y1039" s="25">
        <v>1</v>
      </c>
      <c r="Z1039" s="25" t="s">
        <v>23</v>
      </c>
      <c r="AA1039" s="18">
        <f>(VLOOKUP(X1039,'[1]Simulation pricing per sub assy'!$D:$E,2,0))*Y1039</f>
        <v>4.4802908000000006</v>
      </c>
    </row>
    <row r="1040" spans="1:27" x14ac:dyDescent="0.35">
      <c r="A1040" s="13" t="s">
        <v>1389</v>
      </c>
      <c r="B1040" s="13" t="s">
        <v>1390</v>
      </c>
      <c r="C1040" s="42">
        <f t="shared" si="16"/>
        <v>285.3866908</v>
      </c>
      <c r="D1040" s="20" t="s">
        <v>43</v>
      </c>
      <c r="E1040" s="20">
        <v>2</v>
      </c>
      <c r="F1040" s="20" t="s">
        <v>3983</v>
      </c>
      <c r="G1040" s="14">
        <f>(VLOOKUP(D1040,'[1]BOM Info General'!$A:$L,12,0))*E1040</f>
        <v>130.12</v>
      </c>
      <c r="H1040" s="21" t="s">
        <v>41</v>
      </c>
      <c r="I1040" s="21">
        <v>1</v>
      </c>
      <c r="J1040" s="21" t="s">
        <v>47</v>
      </c>
      <c r="K1040" s="15">
        <f>(VLOOKUP(H1040,'[1]BOM Info General'!$A:$L,12,0))*I1040</f>
        <v>27.18</v>
      </c>
      <c r="L1040" s="22" t="s">
        <v>87</v>
      </c>
      <c r="M1040" s="22">
        <v>1</v>
      </c>
      <c r="N1040" s="22" t="s">
        <v>84</v>
      </c>
      <c r="O1040" s="9">
        <f>(VLOOKUP(L1040,'[1]Simulation pricing per sub assy'!$D:$E,2,0))*M1040</f>
        <v>95.206400000000031</v>
      </c>
      <c r="P1040" s="23" t="s">
        <v>50</v>
      </c>
      <c r="Q1040" s="23">
        <v>8</v>
      </c>
      <c r="R1040" s="23" t="s">
        <v>611</v>
      </c>
      <c r="S1040" s="40">
        <f>(VLOOKUP(P1040,'[1]BOM Info General'!$A:$L,12,0))*Q1040</f>
        <v>21.2</v>
      </c>
      <c r="T1040" s="24" t="s">
        <v>21</v>
      </c>
      <c r="U1040" s="24">
        <v>1</v>
      </c>
      <c r="V1040" s="24" t="s">
        <v>22</v>
      </c>
      <c r="W1040" s="17">
        <f>(VLOOKUP(T1040,'[1]Simulation pricing per sub assy'!$D:$E,2,0))*U1040</f>
        <v>7.2</v>
      </c>
      <c r="X1040" s="18" t="s">
        <v>616</v>
      </c>
      <c r="Y1040" s="25">
        <v>1</v>
      </c>
      <c r="Z1040" s="25" t="s">
        <v>23</v>
      </c>
      <c r="AA1040" s="18">
        <f>(VLOOKUP(X1040,'[1]Simulation pricing per sub assy'!$D:$E,2,0))*Y1040</f>
        <v>4.4802908000000006</v>
      </c>
    </row>
    <row r="1041" spans="1:27" x14ac:dyDescent="0.35">
      <c r="A1041" s="13" t="s">
        <v>1393</v>
      </c>
      <c r="B1041" s="13" t="s">
        <v>1394</v>
      </c>
      <c r="C1041" s="42">
        <f t="shared" si="16"/>
        <v>293.34669079999998</v>
      </c>
      <c r="D1041" s="20" t="s">
        <v>43</v>
      </c>
      <c r="E1041" s="20">
        <v>2</v>
      </c>
      <c r="F1041" s="20" t="s">
        <v>3983</v>
      </c>
      <c r="G1041" s="14">
        <f>(VLOOKUP(D1041,'[1]BOM Info General'!$A:$L,12,0))*E1041</f>
        <v>130.12</v>
      </c>
      <c r="H1041" s="21" t="s">
        <v>41</v>
      </c>
      <c r="I1041" s="21">
        <v>1</v>
      </c>
      <c r="J1041" s="21" t="s">
        <v>47</v>
      </c>
      <c r="K1041" s="15">
        <f>(VLOOKUP(H1041,'[1]BOM Info General'!$A:$L,12,0))*I1041</f>
        <v>27.18</v>
      </c>
      <c r="L1041" s="22" t="s">
        <v>83</v>
      </c>
      <c r="M1041" s="22">
        <v>1</v>
      </c>
      <c r="N1041" s="22" t="s">
        <v>86</v>
      </c>
      <c r="O1041" s="9">
        <f>(VLOOKUP(L1041,'[1]Simulation pricing per sub assy'!$D:$E,2,0))*M1041</f>
        <v>103.16640000000004</v>
      </c>
      <c r="P1041" s="23" t="s">
        <v>50</v>
      </c>
      <c r="Q1041" s="23">
        <v>8</v>
      </c>
      <c r="R1041" s="23" t="s">
        <v>611</v>
      </c>
      <c r="S1041" s="40">
        <f>(VLOOKUP(P1041,'[1]BOM Info General'!$A:$L,12,0))*Q1041</f>
        <v>21.2</v>
      </c>
      <c r="T1041" s="24" t="s">
        <v>21</v>
      </c>
      <c r="U1041" s="24">
        <v>1</v>
      </c>
      <c r="V1041" s="24" t="s">
        <v>22</v>
      </c>
      <c r="W1041" s="17">
        <f>(VLOOKUP(T1041,'[1]Simulation pricing per sub assy'!$D:$E,2,0))*U1041</f>
        <v>7.2</v>
      </c>
      <c r="X1041" s="18" t="s">
        <v>616</v>
      </c>
      <c r="Y1041" s="25">
        <v>1</v>
      </c>
      <c r="Z1041" s="25" t="s">
        <v>23</v>
      </c>
      <c r="AA1041" s="18">
        <f>(VLOOKUP(X1041,'[1]Simulation pricing per sub assy'!$D:$E,2,0))*Y1041</f>
        <v>4.4802908000000006</v>
      </c>
    </row>
    <row r="1042" spans="1:27" x14ac:dyDescent="0.35">
      <c r="A1042" s="13" t="s">
        <v>1479</v>
      </c>
      <c r="B1042" s="13" t="s">
        <v>1480</v>
      </c>
      <c r="C1042" s="42">
        <f t="shared" si="16"/>
        <v>284.07669079999999</v>
      </c>
      <c r="D1042" s="20" t="s">
        <v>43</v>
      </c>
      <c r="E1042" s="20">
        <v>2</v>
      </c>
      <c r="F1042" s="20" t="s">
        <v>3983</v>
      </c>
      <c r="G1042" s="14">
        <f>(VLOOKUP(D1042,'[1]BOM Info General'!$A:$L,12,0))*E1042</f>
        <v>130.12</v>
      </c>
      <c r="H1042" s="21" t="s">
        <v>41</v>
      </c>
      <c r="I1042" s="21">
        <v>1</v>
      </c>
      <c r="J1042" s="21" t="s">
        <v>47</v>
      </c>
      <c r="K1042" s="15">
        <f>(VLOOKUP(H1042,'[1]BOM Info General'!$A:$L,12,0))*I1042</f>
        <v>27.18</v>
      </c>
      <c r="L1042" s="22" t="s">
        <v>528</v>
      </c>
      <c r="M1042" s="22">
        <v>1</v>
      </c>
      <c r="N1042" s="22" t="s">
        <v>88</v>
      </c>
      <c r="O1042" s="9">
        <f>(VLOOKUP(L1042,'[1]Simulation pricing per sub assy'!$D:$E,2,0))*M1042</f>
        <v>94.656400000000033</v>
      </c>
      <c r="P1042" s="23" t="s">
        <v>50</v>
      </c>
      <c r="Q1042" s="23">
        <v>8</v>
      </c>
      <c r="R1042" s="23" t="s">
        <v>16</v>
      </c>
      <c r="S1042" s="40">
        <f>(VLOOKUP(P1042,'[1]BOM Info General'!$A:$L,12,0))*Q1042</f>
        <v>21.2</v>
      </c>
      <c r="T1042" s="24" t="s">
        <v>24</v>
      </c>
      <c r="U1042" s="24">
        <v>1</v>
      </c>
      <c r="V1042" s="24" t="s">
        <v>25</v>
      </c>
      <c r="W1042" s="17">
        <f>(VLOOKUP(T1042,'[1]Simulation pricing per sub assy'!$D:$E,2,0))*U1042</f>
        <v>6.44</v>
      </c>
      <c r="X1042" s="18" t="s">
        <v>616</v>
      </c>
      <c r="Y1042" s="25">
        <v>1</v>
      </c>
      <c r="Z1042" s="25" t="s">
        <v>23</v>
      </c>
      <c r="AA1042" s="18">
        <f>(VLOOKUP(X1042,'[1]Simulation pricing per sub assy'!$D:$E,2,0))*Y1042</f>
        <v>4.4802908000000006</v>
      </c>
    </row>
    <row r="1043" spans="1:27" x14ac:dyDescent="0.35">
      <c r="A1043" s="13" t="s">
        <v>1407</v>
      </c>
      <c r="B1043" s="13" t="s">
        <v>1408</v>
      </c>
      <c r="C1043" s="42">
        <f t="shared" si="16"/>
        <v>285.17669080000002</v>
      </c>
      <c r="D1043" s="20" t="s">
        <v>43</v>
      </c>
      <c r="E1043" s="20">
        <v>2</v>
      </c>
      <c r="F1043" s="20" t="s">
        <v>3983</v>
      </c>
      <c r="G1043" s="14">
        <f>(VLOOKUP(D1043,'[1]BOM Info General'!$A:$L,12,0))*E1043</f>
        <v>130.12</v>
      </c>
      <c r="H1043" s="21" t="s">
        <v>41</v>
      </c>
      <c r="I1043" s="21">
        <v>1</v>
      </c>
      <c r="J1043" s="21" t="s">
        <v>47</v>
      </c>
      <c r="K1043" s="15">
        <f>(VLOOKUP(H1043,'[1]BOM Info General'!$A:$L,12,0))*I1043</f>
        <v>27.18</v>
      </c>
      <c r="L1043" s="22" t="s">
        <v>85</v>
      </c>
      <c r="M1043" s="22">
        <v>1</v>
      </c>
      <c r="N1043" s="22" t="s">
        <v>82</v>
      </c>
      <c r="O1043" s="9">
        <f>(VLOOKUP(L1043,'[1]Simulation pricing per sub assy'!$D:$E,2,0))*M1043</f>
        <v>95.756400000000042</v>
      </c>
      <c r="P1043" s="23" t="s">
        <v>50</v>
      </c>
      <c r="Q1043" s="23">
        <v>8</v>
      </c>
      <c r="R1043" s="23" t="s">
        <v>16</v>
      </c>
      <c r="S1043" s="40">
        <f>(VLOOKUP(P1043,'[1]BOM Info General'!$A:$L,12,0))*Q1043</f>
        <v>21.2</v>
      </c>
      <c r="T1043" s="24" t="s">
        <v>24</v>
      </c>
      <c r="U1043" s="24">
        <v>1</v>
      </c>
      <c r="V1043" s="24" t="s">
        <v>25</v>
      </c>
      <c r="W1043" s="17">
        <f>(VLOOKUP(T1043,'[1]Simulation pricing per sub assy'!$D:$E,2,0))*U1043</f>
        <v>6.44</v>
      </c>
      <c r="X1043" s="18" t="s">
        <v>616</v>
      </c>
      <c r="Y1043" s="25">
        <v>1</v>
      </c>
      <c r="Z1043" s="25" t="s">
        <v>23</v>
      </c>
      <c r="AA1043" s="18">
        <f>(VLOOKUP(X1043,'[1]Simulation pricing per sub assy'!$D:$E,2,0))*Y1043</f>
        <v>4.4802908000000006</v>
      </c>
    </row>
    <row r="1044" spans="1:27" x14ac:dyDescent="0.35">
      <c r="A1044" s="13" t="s">
        <v>1443</v>
      </c>
      <c r="B1044" s="13" t="s">
        <v>1444</v>
      </c>
      <c r="C1044" s="42">
        <f t="shared" si="16"/>
        <v>285.17669080000002</v>
      </c>
      <c r="D1044" s="20" t="s">
        <v>43</v>
      </c>
      <c r="E1044" s="20">
        <v>2</v>
      </c>
      <c r="F1044" s="20" t="s">
        <v>3983</v>
      </c>
      <c r="G1044" s="14">
        <f>(VLOOKUP(D1044,'[1]BOM Info General'!$A:$L,12,0))*E1044</f>
        <v>130.12</v>
      </c>
      <c r="H1044" s="21" t="s">
        <v>41</v>
      </c>
      <c r="I1044" s="21">
        <v>1</v>
      </c>
      <c r="J1044" s="21" t="s">
        <v>47</v>
      </c>
      <c r="K1044" s="15">
        <f>(VLOOKUP(H1044,'[1]BOM Info General'!$A:$L,12,0))*I1044</f>
        <v>27.18</v>
      </c>
      <c r="L1044" s="22" t="s">
        <v>81</v>
      </c>
      <c r="M1044" s="22">
        <v>1</v>
      </c>
      <c r="N1044" s="22" t="s">
        <v>80</v>
      </c>
      <c r="O1044" s="9">
        <f>(VLOOKUP(L1044,'[1]Simulation pricing per sub assy'!$D:$E,2,0))*M1044</f>
        <v>95.756400000000042</v>
      </c>
      <c r="P1044" s="23" t="s">
        <v>50</v>
      </c>
      <c r="Q1044" s="23">
        <v>8</v>
      </c>
      <c r="R1044" s="23" t="s">
        <v>16</v>
      </c>
      <c r="S1044" s="40">
        <f>(VLOOKUP(P1044,'[1]BOM Info General'!$A:$L,12,0))*Q1044</f>
        <v>21.2</v>
      </c>
      <c r="T1044" s="24" t="s">
        <v>24</v>
      </c>
      <c r="U1044" s="24">
        <v>1</v>
      </c>
      <c r="V1044" s="24" t="s">
        <v>25</v>
      </c>
      <c r="W1044" s="17">
        <f>(VLOOKUP(T1044,'[1]Simulation pricing per sub assy'!$D:$E,2,0))*U1044</f>
        <v>6.44</v>
      </c>
      <c r="X1044" s="18" t="s">
        <v>616</v>
      </c>
      <c r="Y1044" s="25">
        <v>1</v>
      </c>
      <c r="Z1044" s="25" t="s">
        <v>23</v>
      </c>
      <c r="AA1044" s="18">
        <f>(VLOOKUP(X1044,'[1]Simulation pricing per sub assy'!$D:$E,2,0))*Y1044</f>
        <v>4.4802908000000006</v>
      </c>
    </row>
    <row r="1045" spans="1:27" x14ac:dyDescent="0.35">
      <c r="A1045" s="13" t="s">
        <v>1425</v>
      </c>
      <c r="B1045" s="13" t="s">
        <v>1426</v>
      </c>
      <c r="C1045" s="42">
        <f t="shared" si="16"/>
        <v>284.62669080000001</v>
      </c>
      <c r="D1045" s="20" t="s">
        <v>43</v>
      </c>
      <c r="E1045" s="20">
        <v>2</v>
      </c>
      <c r="F1045" s="20" t="s">
        <v>3983</v>
      </c>
      <c r="G1045" s="14">
        <f>(VLOOKUP(D1045,'[1]BOM Info General'!$A:$L,12,0))*E1045</f>
        <v>130.12</v>
      </c>
      <c r="H1045" s="21" t="s">
        <v>41</v>
      </c>
      <c r="I1045" s="21">
        <v>1</v>
      </c>
      <c r="J1045" s="21" t="s">
        <v>47</v>
      </c>
      <c r="K1045" s="15">
        <f>(VLOOKUP(H1045,'[1]BOM Info General'!$A:$L,12,0))*I1045</f>
        <v>27.18</v>
      </c>
      <c r="L1045" s="22" t="s">
        <v>87</v>
      </c>
      <c r="M1045" s="22">
        <v>1</v>
      </c>
      <c r="N1045" s="22" t="s">
        <v>84</v>
      </c>
      <c r="O1045" s="9">
        <f>(VLOOKUP(L1045,'[1]Simulation pricing per sub assy'!$D:$E,2,0))*M1045</f>
        <v>95.206400000000031</v>
      </c>
      <c r="P1045" s="23" t="s">
        <v>50</v>
      </c>
      <c r="Q1045" s="23">
        <v>8</v>
      </c>
      <c r="R1045" s="23" t="s">
        <v>16</v>
      </c>
      <c r="S1045" s="40">
        <f>(VLOOKUP(P1045,'[1]BOM Info General'!$A:$L,12,0))*Q1045</f>
        <v>21.2</v>
      </c>
      <c r="T1045" s="24" t="s">
        <v>24</v>
      </c>
      <c r="U1045" s="24">
        <v>1</v>
      </c>
      <c r="V1045" s="24" t="s">
        <v>25</v>
      </c>
      <c r="W1045" s="17">
        <f>(VLOOKUP(T1045,'[1]Simulation pricing per sub assy'!$D:$E,2,0))*U1045</f>
        <v>6.44</v>
      </c>
      <c r="X1045" s="18" t="s">
        <v>616</v>
      </c>
      <c r="Y1045" s="25">
        <v>1</v>
      </c>
      <c r="Z1045" s="25" t="s">
        <v>23</v>
      </c>
      <c r="AA1045" s="18">
        <f>(VLOOKUP(X1045,'[1]Simulation pricing per sub assy'!$D:$E,2,0))*Y1045</f>
        <v>4.4802908000000006</v>
      </c>
    </row>
    <row r="1046" spans="1:27" x14ac:dyDescent="0.35">
      <c r="A1046" s="13" t="s">
        <v>1461</v>
      </c>
      <c r="B1046" s="13" t="s">
        <v>1462</v>
      </c>
      <c r="C1046" s="42">
        <f t="shared" si="16"/>
        <v>292.58669079999999</v>
      </c>
      <c r="D1046" s="20" t="s">
        <v>43</v>
      </c>
      <c r="E1046" s="20">
        <v>2</v>
      </c>
      <c r="F1046" s="20" t="s">
        <v>3983</v>
      </c>
      <c r="G1046" s="14">
        <f>(VLOOKUP(D1046,'[1]BOM Info General'!$A:$L,12,0))*E1046</f>
        <v>130.12</v>
      </c>
      <c r="H1046" s="21" t="s">
        <v>41</v>
      </c>
      <c r="I1046" s="21">
        <v>1</v>
      </c>
      <c r="J1046" s="21" t="s">
        <v>47</v>
      </c>
      <c r="K1046" s="15">
        <f>(VLOOKUP(H1046,'[1]BOM Info General'!$A:$L,12,0))*I1046</f>
        <v>27.18</v>
      </c>
      <c r="L1046" s="22" t="s">
        <v>83</v>
      </c>
      <c r="M1046" s="22">
        <v>1</v>
      </c>
      <c r="N1046" s="22" t="s">
        <v>86</v>
      </c>
      <c r="O1046" s="9">
        <f>(VLOOKUP(L1046,'[1]Simulation pricing per sub assy'!$D:$E,2,0))*M1046</f>
        <v>103.16640000000004</v>
      </c>
      <c r="P1046" s="23" t="s">
        <v>50</v>
      </c>
      <c r="Q1046" s="23">
        <v>8</v>
      </c>
      <c r="R1046" s="23" t="s">
        <v>16</v>
      </c>
      <c r="S1046" s="40">
        <f>(VLOOKUP(P1046,'[1]BOM Info General'!$A:$L,12,0))*Q1046</f>
        <v>21.2</v>
      </c>
      <c r="T1046" s="24" t="s">
        <v>24</v>
      </c>
      <c r="U1046" s="24">
        <v>1</v>
      </c>
      <c r="V1046" s="24" t="s">
        <v>25</v>
      </c>
      <c r="W1046" s="17">
        <f>(VLOOKUP(T1046,'[1]Simulation pricing per sub assy'!$D:$E,2,0))*U1046</f>
        <v>6.44</v>
      </c>
      <c r="X1046" s="18" t="s">
        <v>616</v>
      </c>
      <c r="Y1046" s="25">
        <v>1</v>
      </c>
      <c r="Z1046" s="25" t="s">
        <v>23</v>
      </c>
      <c r="AA1046" s="18">
        <f>(VLOOKUP(X1046,'[1]Simulation pricing per sub assy'!$D:$E,2,0))*Y1046</f>
        <v>4.4802908000000006</v>
      </c>
    </row>
    <row r="1047" spans="1:27" x14ac:dyDescent="0.35">
      <c r="A1047" s="13" t="s">
        <v>1481</v>
      </c>
      <c r="B1047" s="13" t="s">
        <v>1482</v>
      </c>
      <c r="C1047" s="42">
        <f t="shared" si="16"/>
        <v>284.67669080000002</v>
      </c>
      <c r="D1047" s="20" t="s">
        <v>43</v>
      </c>
      <c r="E1047" s="20">
        <v>2</v>
      </c>
      <c r="F1047" s="20" t="s">
        <v>3983</v>
      </c>
      <c r="G1047" s="14">
        <f>(VLOOKUP(D1047,'[1]BOM Info General'!$A:$L,12,0))*E1047</f>
        <v>130.12</v>
      </c>
      <c r="H1047" s="21" t="s">
        <v>41</v>
      </c>
      <c r="I1047" s="21">
        <v>1</v>
      </c>
      <c r="J1047" s="21" t="s">
        <v>47</v>
      </c>
      <c r="K1047" s="15">
        <f>(VLOOKUP(H1047,'[1]BOM Info General'!$A:$L,12,0))*I1047</f>
        <v>27.18</v>
      </c>
      <c r="L1047" s="22" t="s">
        <v>528</v>
      </c>
      <c r="M1047" s="22">
        <v>1</v>
      </c>
      <c r="N1047" s="22" t="s">
        <v>88</v>
      </c>
      <c r="O1047" s="9">
        <f>(VLOOKUP(L1047,'[1]Simulation pricing per sub assy'!$D:$E,2,0))*M1047</f>
        <v>94.656400000000033</v>
      </c>
      <c r="P1047" s="23" t="s">
        <v>50</v>
      </c>
      <c r="Q1047" s="23">
        <v>8</v>
      </c>
      <c r="R1047" s="23" t="s">
        <v>16</v>
      </c>
      <c r="S1047" s="40">
        <f>(VLOOKUP(P1047,'[1]BOM Info General'!$A:$L,12,0))*Q1047</f>
        <v>21.2</v>
      </c>
      <c r="T1047" s="24" t="s">
        <v>26</v>
      </c>
      <c r="U1047" s="24">
        <v>1</v>
      </c>
      <c r="V1047" s="24" t="s">
        <v>27</v>
      </c>
      <c r="W1047" s="17">
        <f>(VLOOKUP(T1047,'[1]Simulation pricing per sub assy'!$D:$E,2,0))*U1047</f>
        <v>7.04</v>
      </c>
      <c r="X1047" s="18" t="s">
        <v>616</v>
      </c>
      <c r="Y1047" s="25">
        <v>1</v>
      </c>
      <c r="Z1047" s="25" t="s">
        <v>23</v>
      </c>
      <c r="AA1047" s="18">
        <f>(VLOOKUP(X1047,'[1]Simulation pricing per sub assy'!$D:$E,2,0))*Y1047</f>
        <v>4.4802908000000006</v>
      </c>
    </row>
    <row r="1048" spans="1:27" x14ac:dyDescent="0.35">
      <c r="A1048" s="13" t="s">
        <v>1409</v>
      </c>
      <c r="B1048" s="13" t="s">
        <v>1410</v>
      </c>
      <c r="C1048" s="42">
        <f t="shared" si="16"/>
        <v>285.77669080000004</v>
      </c>
      <c r="D1048" s="20" t="s">
        <v>43</v>
      </c>
      <c r="E1048" s="20">
        <v>2</v>
      </c>
      <c r="F1048" s="20" t="s">
        <v>3983</v>
      </c>
      <c r="G1048" s="14">
        <f>(VLOOKUP(D1048,'[1]BOM Info General'!$A:$L,12,0))*E1048</f>
        <v>130.12</v>
      </c>
      <c r="H1048" s="21" t="s">
        <v>41</v>
      </c>
      <c r="I1048" s="21">
        <v>1</v>
      </c>
      <c r="J1048" s="21" t="s">
        <v>47</v>
      </c>
      <c r="K1048" s="15">
        <f>(VLOOKUP(H1048,'[1]BOM Info General'!$A:$L,12,0))*I1048</f>
        <v>27.18</v>
      </c>
      <c r="L1048" s="22" t="s">
        <v>85</v>
      </c>
      <c r="M1048" s="22">
        <v>1</v>
      </c>
      <c r="N1048" s="22" t="s">
        <v>82</v>
      </c>
      <c r="O1048" s="9">
        <f>(VLOOKUP(L1048,'[1]Simulation pricing per sub assy'!$D:$E,2,0))*M1048</f>
        <v>95.756400000000042</v>
      </c>
      <c r="P1048" s="23" t="s">
        <v>50</v>
      </c>
      <c r="Q1048" s="23">
        <v>8</v>
      </c>
      <c r="R1048" s="23" t="s">
        <v>16</v>
      </c>
      <c r="S1048" s="40">
        <f>(VLOOKUP(P1048,'[1]BOM Info General'!$A:$L,12,0))*Q1048</f>
        <v>21.2</v>
      </c>
      <c r="T1048" s="24" t="s">
        <v>26</v>
      </c>
      <c r="U1048" s="24">
        <v>1</v>
      </c>
      <c r="V1048" s="24" t="s">
        <v>27</v>
      </c>
      <c r="W1048" s="17">
        <f>(VLOOKUP(T1048,'[1]Simulation pricing per sub assy'!$D:$E,2,0))*U1048</f>
        <v>7.04</v>
      </c>
      <c r="X1048" s="18" t="s">
        <v>616</v>
      </c>
      <c r="Y1048" s="25">
        <v>1</v>
      </c>
      <c r="Z1048" s="25" t="s">
        <v>23</v>
      </c>
      <c r="AA1048" s="18">
        <f>(VLOOKUP(X1048,'[1]Simulation pricing per sub assy'!$D:$E,2,0))*Y1048</f>
        <v>4.4802908000000006</v>
      </c>
    </row>
    <row r="1049" spans="1:27" x14ac:dyDescent="0.35">
      <c r="A1049" s="13" t="s">
        <v>1445</v>
      </c>
      <c r="B1049" s="13" t="s">
        <v>1446</v>
      </c>
      <c r="C1049" s="42">
        <f t="shared" si="16"/>
        <v>285.77669080000004</v>
      </c>
      <c r="D1049" s="20" t="s">
        <v>43</v>
      </c>
      <c r="E1049" s="20">
        <v>2</v>
      </c>
      <c r="F1049" s="20" t="s">
        <v>3983</v>
      </c>
      <c r="G1049" s="14">
        <f>(VLOOKUP(D1049,'[1]BOM Info General'!$A:$L,12,0))*E1049</f>
        <v>130.12</v>
      </c>
      <c r="H1049" s="21" t="s">
        <v>41</v>
      </c>
      <c r="I1049" s="21">
        <v>1</v>
      </c>
      <c r="J1049" s="21" t="s">
        <v>47</v>
      </c>
      <c r="K1049" s="15">
        <f>(VLOOKUP(H1049,'[1]BOM Info General'!$A:$L,12,0))*I1049</f>
        <v>27.18</v>
      </c>
      <c r="L1049" s="22" t="s">
        <v>81</v>
      </c>
      <c r="M1049" s="22">
        <v>1</v>
      </c>
      <c r="N1049" s="22" t="s">
        <v>80</v>
      </c>
      <c r="O1049" s="9">
        <f>(VLOOKUP(L1049,'[1]Simulation pricing per sub assy'!$D:$E,2,0))*M1049</f>
        <v>95.756400000000042</v>
      </c>
      <c r="P1049" s="23" t="s">
        <v>50</v>
      </c>
      <c r="Q1049" s="23">
        <v>8</v>
      </c>
      <c r="R1049" s="23" t="s">
        <v>16</v>
      </c>
      <c r="S1049" s="40">
        <f>(VLOOKUP(P1049,'[1]BOM Info General'!$A:$L,12,0))*Q1049</f>
        <v>21.2</v>
      </c>
      <c r="T1049" s="24" t="s">
        <v>26</v>
      </c>
      <c r="U1049" s="24">
        <v>1</v>
      </c>
      <c r="V1049" s="24" t="s">
        <v>27</v>
      </c>
      <c r="W1049" s="17">
        <f>(VLOOKUP(T1049,'[1]Simulation pricing per sub assy'!$D:$E,2,0))*U1049</f>
        <v>7.04</v>
      </c>
      <c r="X1049" s="18" t="s">
        <v>616</v>
      </c>
      <c r="Y1049" s="25">
        <v>1</v>
      </c>
      <c r="Z1049" s="25" t="s">
        <v>23</v>
      </c>
      <c r="AA1049" s="18">
        <f>(VLOOKUP(X1049,'[1]Simulation pricing per sub assy'!$D:$E,2,0))*Y1049</f>
        <v>4.4802908000000006</v>
      </c>
    </row>
    <row r="1050" spans="1:27" x14ac:dyDescent="0.35">
      <c r="A1050" s="13" t="s">
        <v>1427</v>
      </c>
      <c r="B1050" s="13" t="s">
        <v>1428</v>
      </c>
      <c r="C1050" s="42">
        <f t="shared" si="16"/>
        <v>285.22669080000003</v>
      </c>
      <c r="D1050" s="20" t="s">
        <v>43</v>
      </c>
      <c r="E1050" s="20">
        <v>2</v>
      </c>
      <c r="F1050" s="20" t="s">
        <v>3983</v>
      </c>
      <c r="G1050" s="14">
        <f>(VLOOKUP(D1050,'[1]BOM Info General'!$A:$L,12,0))*E1050</f>
        <v>130.12</v>
      </c>
      <c r="H1050" s="21" t="s">
        <v>41</v>
      </c>
      <c r="I1050" s="21">
        <v>1</v>
      </c>
      <c r="J1050" s="21" t="s">
        <v>47</v>
      </c>
      <c r="K1050" s="15">
        <f>(VLOOKUP(H1050,'[1]BOM Info General'!$A:$L,12,0))*I1050</f>
        <v>27.18</v>
      </c>
      <c r="L1050" s="22" t="s">
        <v>87</v>
      </c>
      <c r="M1050" s="22">
        <v>1</v>
      </c>
      <c r="N1050" s="22" t="s">
        <v>84</v>
      </c>
      <c r="O1050" s="9">
        <f>(VLOOKUP(L1050,'[1]Simulation pricing per sub assy'!$D:$E,2,0))*M1050</f>
        <v>95.206400000000031</v>
      </c>
      <c r="P1050" s="23" t="s">
        <v>50</v>
      </c>
      <c r="Q1050" s="23">
        <v>8</v>
      </c>
      <c r="R1050" s="23" t="s">
        <v>16</v>
      </c>
      <c r="S1050" s="40">
        <f>(VLOOKUP(P1050,'[1]BOM Info General'!$A:$L,12,0))*Q1050</f>
        <v>21.2</v>
      </c>
      <c r="T1050" s="24" t="s">
        <v>26</v>
      </c>
      <c r="U1050" s="24">
        <v>1</v>
      </c>
      <c r="V1050" s="24" t="s">
        <v>27</v>
      </c>
      <c r="W1050" s="17">
        <f>(VLOOKUP(T1050,'[1]Simulation pricing per sub assy'!$D:$E,2,0))*U1050</f>
        <v>7.04</v>
      </c>
      <c r="X1050" s="18" t="s">
        <v>616</v>
      </c>
      <c r="Y1050" s="25">
        <v>1</v>
      </c>
      <c r="Z1050" s="25" t="s">
        <v>23</v>
      </c>
      <c r="AA1050" s="18">
        <f>(VLOOKUP(X1050,'[1]Simulation pricing per sub assy'!$D:$E,2,0))*Y1050</f>
        <v>4.4802908000000006</v>
      </c>
    </row>
    <row r="1051" spans="1:27" x14ac:dyDescent="0.35">
      <c r="A1051" s="13" t="s">
        <v>1463</v>
      </c>
      <c r="B1051" s="13" t="s">
        <v>1464</v>
      </c>
      <c r="C1051" s="42">
        <f t="shared" si="16"/>
        <v>293.18669080000001</v>
      </c>
      <c r="D1051" s="20" t="s">
        <v>43</v>
      </c>
      <c r="E1051" s="20">
        <v>2</v>
      </c>
      <c r="F1051" s="20" t="s">
        <v>3983</v>
      </c>
      <c r="G1051" s="14">
        <f>(VLOOKUP(D1051,'[1]BOM Info General'!$A:$L,12,0))*E1051</f>
        <v>130.12</v>
      </c>
      <c r="H1051" s="21" t="s">
        <v>41</v>
      </c>
      <c r="I1051" s="21">
        <v>1</v>
      </c>
      <c r="J1051" s="21" t="s">
        <v>47</v>
      </c>
      <c r="K1051" s="15">
        <f>(VLOOKUP(H1051,'[1]BOM Info General'!$A:$L,12,0))*I1051</f>
        <v>27.18</v>
      </c>
      <c r="L1051" s="22" t="s">
        <v>83</v>
      </c>
      <c r="M1051" s="22">
        <v>1</v>
      </c>
      <c r="N1051" s="22" t="s">
        <v>86</v>
      </c>
      <c r="O1051" s="9">
        <f>(VLOOKUP(L1051,'[1]Simulation pricing per sub assy'!$D:$E,2,0))*M1051</f>
        <v>103.16640000000004</v>
      </c>
      <c r="P1051" s="23" t="s">
        <v>50</v>
      </c>
      <c r="Q1051" s="23">
        <v>8</v>
      </c>
      <c r="R1051" s="23" t="s">
        <v>16</v>
      </c>
      <c r="S1051" s="40">
        <f>(VLOOKUP(P1051,'[1]BOM Info General'!$A:$L,12,0))*Q1051</f>
        <v>21.2</v>
      </c>
      <c r="T1051" s="24" t="s">
        <v>26</v>
      </c>
      <c r="U1051" s="24">
        <v>1</v>
      </c>
      <c r="V1051" s="24" t="s">
        <v>27</v>
      </c>
      <c r="W1051" s="17">
        <f>(VLOOKUP(T1051,'[1]Simulation pricing per sub assy'!$D:$E,2,0))*U1051</f>
        <v>7.04</v>
      </c>
      <c r="X1051" s="18" t="s">
        <v>616</v>
      </c>
      <c r="Y1051" s="25">
        <v>1</v>
      </c>
      <c r="Z1051" s="25" t="s">
        <v>23</v>
      </c>
      <c r="AA1051" s="18">
        <f>(VLOOKUP(X1051,'[1]Simulation pricing per sub assy'!$D:$E,2,0))*Y1051</f>
        <v>4.4802908000000006</v>
      </c>
    </row>
    <row r="1052" spans="1:27" x14ac:dyDescent="0.35">
      <c r="A1052" s="13" t="s">
        <v>1483</v>
      </c>
      <c r="B1052" s="13" t="s">
        <v>1484</v>
      </c>
      <c r="C1052" s="42">
        <f t="shared" si="16"/>
        <v>284.6366908</v>
      </c>
      <c r="D1052" s="20" t="s">
        <v>43</v>
      </c>
      <c r="E1052" s="20">
        <v>2</v>
      </c>
      <c r="F1052" s="20" t="s">
        <v>3983</v>
      </c>
      <c r="G1052" s="14">
        <f>(VLOOKUP(D1052,'[1]BOM Info General'!$A:$L,12,0))*E1052</f>
        <v>130.12</v>
      </c>
      <c r="H1052" s="21" t="s">
        <v>41</v>
      </c>
      <c r="I1052" s="21">
        <v>1</v>
      </c>
      <c r="J1052" s="21" t="s">
        <v>47</v>
      </c>
      <c r="K1052" s="15">
        <f>(VLOOKUP(H1052,'[1]BOM Info General'!$A:$L,12,0))*I1052</f>
        <v>27.18</v>
      </c>
      <c r="L1052" s="22" t="s">
        <v>528</v>
      </c>
      <c r="M1052" s="22">
        <v>1</v>
      </c>
      <c r="N1052" s="22" t="s">
        <v>88</v>
      </c>
      <c r="O1052" s="9">
        <f>(VLOOKUP(L1052,'[1]Simulation pricing per sub assy'!$D:$E,2,0))*M1052</f>
        <v>94.656400000000033</v>
      </c>
      <c r="P1052" s="23" t="s">
        <v>50</v>
      </c>
      <c r="Q1052" s="23">
        <v>8</v>
      </c>
      <c r="R1052" s="23" t="s">
        <v>16</v>
      </c>
      <c r="S1052" s="40">
        <f>(VLOOKUP(P1052,'[1]BOM Info General'!$A:$L,12,0))*Q1052</f>
        <v>21.2</v>
      </c>
      <c r="T1052" s="24" t="s">
        <v>28</v>
      </c>
      <c r="U1052" s="24">
        <v>1</v>
      </c>
      <c r="V1052" s="24" t="s">
        <v>29</v>
      </c>
      <c r="W1052" s="17">
        <f>(VLOOKUP(T1052,'[1]Simulation pricing per sub assy'!$D:$E,2,0))*U1052</f>
        <v>7</v>
      </c>
      <c r="X1052" s="18" t="s">
        <v>616</v>
      </c>
      <c r="Y1052" s="25">
        <v>1</v>
      </c>
      <c r="Z1052" s="25" t="s">
        <v>23</v>
      </c>
      <c r="AA1052" s="18">
        <f>(VLOOKUP(X1052,'[1]Simulation pricing per sub assy'!$D:$E,2,0))*Y1052</f>
        <v>4.4802908000000006</v>
      </c>
    </row>
    <row r="1053" spans="1:27" x14ac:dyDescent="0.35">
      <c r="A1053" s="13" t="s">
        <v>1411</v>
      </c>
      <c r="B1053" s="13" t="s">
        <v>1412</v>
      </c>
      <c r="C1053" s="42">
        <f t="shared" si="16"/>
        <v>285.73669080000002</v>
      </c>
      <c r="D1053" s="20" t="s">
        <v>43</v>
      </c>
      <c r="E1053" s="20">
        <v>2</v>
      </c>
      <c r="F1053" s="20" t="s">
        <v>3983</v>
      </c>
      <c r="G1053" s="14">
        <f>(VLOOKUP(D1053,'[1]BOM Info General'!$A:$L,12,0))*E1053</f>
        <v>130.12</v>
      </c>
      <c r="H1053" s="21" t="s">
        <v>41</v>
      </c>
      <c r="I1053" s="21">
        <v>1</v>
      </c>
      <c r="J1053" s="21" t="s">
        <v>47</v>
      </c>
      <c r="K1053" s="15">
        <f>(VLOOKUP(H1053,'[1]BOM Info General'!$A:$L,12,0))*I1053</f>
        <v>27.18</v>
      </c>
      <c r="L1053" s="22" t="s">
        <v>85</v>
      </c>
      <c r="M1053" s="22">
        <v>1</v>
      </c>
      <c r="N1053" s="22" t="s">
        <v>82</v>
      </c>
      <c r="O1053" s="9">
        <f>(VLOOKUP(L1053,'[1]Simulation pricing per sub assy'!$D:$E,2,0))*M1053</f>
        <v>95.756400000000042</v>
      </c>
      <c r="P1053" s="23" t="s">
        <v>50</v>
      </c>
      <c r="Q1053" s="23">
        <v>8</v>
      </c>
      <c r="R1053" s="23" t="s">
        <v>16</v>
      </c>
      <c r="S1053" s="40">
        <f>(VLOOKUP(P1053,'[1]BOM Info General'!$A:$L,12,0))*Q1053</f>
        <v>21.2</v>
      </c>
      <c r="T1053" s="24" t="s">
        <v>28</v>
      </c>
      <c r="U1053" s="24">
        <v>1</v>
      </c>
      <c r="V1053" s="24" t="s">
        <v>29</v>
      </c>
      <c r="W1053" s="17">
        <f>(VLOOKUP(T1053,'[1]Simulation pricing per sub assy'!$D:$E,2,0))*U1053</f>
        <v>7</v>
      </c>
      <c r="X1053" s="18" t="s">
        <v>616</v>
      </c>
      <c r="Y1053" s="25">
        <v>1</v>
      </c>
      <c r="Z1053" s="25" t="s">
        <v>23</v>
      </c>
      <c r="AA1053" s="18">
        <f>(VLOOKUP(X1053,'[1]Simulation pricing per sub assy'!$D:$E,2,0))*Y1053</f>
        <v>4.4802908000000006</v>
      </c>
    </row>
    <row r="1054" spans="1:27" x14ac:dyDescent="0.35">
      <c r="A1054" s="13" t="s">
        <v>1447</v>
      </c>
      <c r="B1054" s="13" t="s">
        <v>1448</v>
      </c>
      <c r="C1054" s="42">
        <f t="shared" si="16"/>
        <v>285.73669080000002</v>
      </c>
      <c r="D1054" s="20" t="s">
        <v>43</v>
      </c>
      <c r="E1054" s="20">
        <v>2</v>
      </c>
      <c r="F1054" s="20" t="s">
        <v>3983</v>
      </c>
      <c r="G1054" s="14">
        <f>(VLOOKUP(D1054,'[1]BOM Info General'!$A:$L,12,0))*E1054</f>
        <v>130.12</v>
      </c>
      <c r="H1054" s="21" t="s">
        <v>41</v>
      </c>
      <c r="I1054" s="21">
        <v>1</v>
      </c>
      <c r="J1054" s="21" t="s">
        <v>47</v>
      </c>
      <c r="K1054" s="15">
        <f>(VLOOKUP(H1054,'[1]BOM Info General'!$A:$L,12,0))*I1054</f>
        <v>27.18</v>
      </c>
      <c r="L1054" s="22" t="s">
        <v>81</v>
      </c>
      <c r="M1054" s="22">
        <v>1</v>
      </c>
      <c r="N1054" s="22" t="s">
        <v>80</v>
      </c>
      <c r="O1054" s="9">
        <f>(VLOOKUP(L1054,'[1]Simulation pricing per sub assy'!$D:$E,2,0))*M1054</f>
        <v>95.756400000000042</v>
      </c>
      <c r="P1054" s="23" t="s">
        <v>50</v>
      </c>
      <c r="Q1054" s="23">
        <v>8</v>
      </c>
      <c r="R1054" s="23" t="s">
        <v>16</v>
      </c>
      <c r="S1054" s="40">
        <f>(VLOOKUP(P1054,'[1]BOM Info General'!$A:$L,12,0))*Q1054</f>
        <v>21.2</v>
      </c>
      <c r="T1054" s="24" t="s">
        <v>28</v>
      </c>
      <c r="U1054" s="24">
        <v>1</v>
      </c>
      <c r="V1054" s="24" t="s">
        <v>29</v>
      </c>
      <c r="W1054" s="17">
        <f>(VLOOKUP(T1054,'[1]Simulation pricing per sub assy'!$D:$E,2,0))*U1054</f>
        <v>7</v>
      </c>
      <c r="X1054" s="18" t="s">
        <v>616</v>
      </c>
      <c r="Y1054" s="25">
        <v>1</v>
      </c>
      <c r="Z1054" s="25" t="s">
        <v>23</v>
      </c>
      <c r="AA1054" s="18">
        <f>(VLOOKUP(X1054,'[1]Simulation pricing per sub assy'!$D:$E,2,0))*Y1054</f>
        <v>4.4802908000000006</v>
      </c>
    </row>
    <row r="1055" spans="1:27" x14ac:dyDescent="0.35">
      <c r="A1055" s="13" t="s">
        <v>1429</v>
      </c>
      <c r="B1055" s="13" t="s">
        <v>1430</v>
      </c>
      <c r="C1055" s="42">
        <f t="shared" si="16"/>
        <v>285.18669080000001</v>
      </c>
      <c r="D1055" s="20" t="s">
        <v>43</v>
      </c>
      <c r="E1055" s="20">
        <v>2</v>
      </c>
      <c r="F1055" s="20" t="s">
        <v>3983</v>
      </c>
      <c r="G1055" s="14">
        <f>(VLOOKUP(D1055,'[1]BOM Info General'!$A:$L,12,0))*E1055</f>
        <v>130.12</v>
      </c>
      <c r="H1055" s="21" t="s">
        <v>41</v>
      </c>
      <c r="I1055" s="21">
        <v>1</v>
      </c>
      <c r="J1055" s="21" t="s">
        <v>47</v>
      </c>
      <c r="K1055" s="15">
        <f>(VLOOKUP(H1055,'[1]BOM Info General'!$A:$L,12,0))*I1055</f>
        <v>27.18</v>
      </c>
      <c r="L1055" s="22" t="s">
        <v>87</v>
      </c>
      <c r="M1055" s="22">
        <v>1</v>
      </c>
      <c r="N1055" s="22" t="s">
        <v>84</v>
      </c>
      <c r="O1055" s="9">
        <f>(VLOOKUP(L1055,'[1]Simulation pricing per sub assy'!$D:$E,2,0))*M1055</f>
        <v>95.206400000000031</v>
      </c>
      <c r="P1055" s="23" t="s">
        <v>50</v>
      </c>
      <c r="Q1055" s="23">
        <v>8</v>
      </c>
      <c r="R1055" s="23" t="s">
        <v>16</v>
      </c>
      <c r="S1055" s="40">
        <f>(VLOOKUP(P1055,'[1]BOM Info General'!$A:$L,12,0))*Q1055</f>
        <v>21.2</v>
      </c>
      <c r="T1055" s="24" t="s">
        <v>28</v>
      </c>
      <c r="U1055" s="24">
        <v>1</v>
      </c>
      <c r="V1055" s="24" t="s">
        <v>29</v>
      </c>
      <c r="W1055" s="17">
        <f>(VLOOKUP(T1055,'[1]Simulation pricing per sub assy'!$D:$E,2,0))*U1055</f>
        <v>7</v>
      </c>
      <c r="X1055" s="18" t="s">
        <v>616</v>
      </c>
      <c r="Y1055" s="25">
        <v>1</v>
      </c>
      <c r="Z1055" s="25" t="s">
        <v>23</v>
      </c>
      <c r="AA1055" s="18">
        <f>(VLOOKUP(X1055,'[1]Simulation pricing per sub assy'!$D:$E,2,0))*Y1055</f>
        <v>4.4802908000000006</v>
      </c>
    </row>
    <row r="1056" spans="1:27" x14ac:dyDescent="0.35">
      <c r="A1056" s="13" t="s">
        <v>1465</v>
      </c>
      <c r="B1056" s="13" t="s">
        <v>1466</v>
      </c>
      <c r="C1056" s="42">
        <f t="shared" si="16"/>
        <v>293.14669079999999</v>
      </c>
      <c r="D1056" s="20" t="s">
        <v>43</v>
      </c>
      <c r="E1056" s="20">
        <v>2</v>
      </c>
      <c r="F1056" s="20" t="s">
        <v>3983</v>
      </c>
      <c r="G1056" s="14">
        <f>(VLOOKUP(D1056,'[1]BOM Info General'!$A:$L,12,0))*E1056</f>
        <v>130.12</v>
      </c>
      <c r="H1056" s="21" t="s">
        <v>41</v>
      </c>
      <c r="I1056" s="21">
        <v>1</v>
      </c>
      <c r="J1056" s="21" t="s">
        <v>47</v>
      </c>
      <c r="K1056" s="15">
        <f>(VLOOKUP(H1056,'[1]BOM Info General'!$A:$L,12,0))*I1056</f>
        <v>27.18</v>
      </c>
      <c r="L1056" s="22" t="s">
        <v>83</v>
      </c>
      <c r="M1056" s="22">
        <v>1</v>
      </c>
      <c r="N1056" s="22" t="s">
        <v>86</v>
      </c>
      <c r="O1056" s="9">
        <f>(VLOOKUP(L1056,'[1]Simulation pricing per sub assy'!$D:$E,2,0))*M1056</f>
        <v>103.16640000000004</v>
      </c>
      <c r="P1056" s="23" t="s">
        <v>50</v>
      </c>
      <c r="Q1056" s="23">
        <v>8</v>
      </c>
      <c r="R1056" s="23" t="s">
        <v>16</v>
      </c>
      <c r="S1056" s="40">
        <f>(VLOOKUP(P1056,'[1]BOM Info General'!$A:$L,12,0))*Q1056</f>
        <v>21.2</v>
      </c>
      <c r="T1056" s="24" t="s">
        <v>28</v>
      </c>
      <c r="U1056" s="24">
        <v>1</v>
      </c>
      <c r="V1056" s="24" t="s">
        <v>29</v>
      </c>
      <c r="W1056" s="17">
        <f>(VLOOKUP(T1056,'[1]Simulation pricing per sub assy'!$D:$E,2,0))*U1056</f>
        <v>7</v>
      </c>
      <c r="X1056" s="18" t="s">
        <v>616</v>
      </c>
      <c r="Y1056" s="25">
        <v>1</v>
      </c>
      <c r="Z1056" s="25" t="s">
        <v>23</v>
      </c>
      <c r="AA1056" s="18">
        <f>(VLOOKUP(X1056,'[1]Simulation pricing per sub assy'!$D:$E,2,0))*Y1056</f>
        <v>4.4802908000000006</v>
      </c>
    </row>
    <row r="1057" spans="1:27" x14ac:dyDescent="0.35">
      <c r="A1057" s="13" t="s">
        <v>1485</v>
      </c>
      <c r="B1057" s="13" t="s">
        <v>1486</v>
      </c>
      <c r="C1057" s="42">
        <f t="shared" si="16"/>
        <v>284.07669079999999</v>
      </c>
      <c r="D1057" s="20" t="s">
        <v>43</v>
      </c>
      <c r="E1057" s="20">
        <v>2</v>
      </c>
      <c r="F1057" s="20" t="s">
        <v>3983</v>
      </c>
      <c r="G1057" s="14">
        <f>(VLOOKUP(D1057,'[1]BOM Info General'!$A:$L,12,0))*E1057</f>
        <v>130.12</v>
      </c>
      <c r="H1057" s="21" t="s">
        <v>41</v>
      </c>
      <c r="I1057" s="21">
        <v>1</v>
      </c>
      <c r="J1057" s="21" t="s">
        <v>47</v>
      </c>
      <c r="K1057" s="15">
        <f>(VLOOKUP(H1057,'[1]BOM Info General'!$A:$L,12,0))*I1057</f>
        <v>27.18</v>
      </c>
      <c r="L1057" s="22" t="s">
        <v>528</v>
      </c>
      <c r="M1057" s="22">
        <v>1</v>
      </c>
      <c r="N1057" s="22" t="s">
        <v>88</v>
      </c>
      <c r="O1057" s="9">
        <f>(VLOOKUP(L1057,'[1]Simulation pricing per sub assy'!$D:$E,2,0))*M1057</f>
        <v>94.656400000000033</v>
      </c>
      <c r="P1057" s="23" t="s">
        <v>51</v>
      </c>
      <c r="Q1057" s="23">
        <v>8</v>
      </c>
      <c r="R1057" s="23" t="s">
        <v>17</v>
      </c>
      <c r="S1057" s="40">
        <f>(VLOOKUP(P1057,'[1]BOM Info General'!$A:$L,12,0))*Q1057</f>
        <v>21.2</v>
      </c>
      <c r="T1057" s="24" t="s">
        <v>24</v>
      </c>
      <c r="U1057" s="24">
        <v>1</v>
      </c>
      <c r="V1057" s="24" t="s">
        <v>25</v>
      </c>
      <c r="W1057" s="17">
        <f>(VLOOKUP(T1057,'[1]Simulation pricing per sub assy'!$D:$E,2,0))*U1057</f>
        <v>6.44</v>
      </c>
      <c r="X1057" s="18" t="s">
        <v>616</v>
      </c>
      <c r="Y1057" s="25">
        <v>1</v>
      </c>
      <c r="Z1057" s="25" t="s">
        <v>23</v>
      </c>
      <c r="AA1057" s="18">
        <f>(VLOOKUP(X1057,'[1]Simulation pricing per sub assy'!$D:$E,2,0))*Y1057</f>
        <v>4.4802908000000006</v>
      </c>
    </row>
    <row r="1058" spans="1:27" x14ac:dyDescent="0.35">
      <c r="A1058" s="13" t="s">
        <v>1413</v>
      </c>
      <c r="B1058" s="13" t="s">
        <v>1414</v>
      </c>
      <c r="C1058" s="42">
        <f t="shared" si="16"/>
        <v>285.17669080000002</v>
      </c>
      <c r="D1058" s="20" t="s">
        <v>43</v>
      </c>
      <c r="E1058" s="20">
        <v>2</v>
      </c>
      <c r="F1058" s="20" t="s">
        <v>3983</v>
      </c>
      <c r="G1058" s="14">
        <f>(VLOOKUP(D1058,'[1]BOM Info General'!$A:$L,12,0))*E1058</f>
        <v>130.12</v>
      </c>
      <c r="H1058" s="21" t="s">
        <v>41</v>
      </c>
      <c r="I1058" s="21">
        <v>1</v>
      </c>
      <c r="J1058" s="21" t="s">
        <v>47</v>
      </c>
      <c r="K1058" s="15">
        <f>(VLOOKUP(H1058,'[1]BOM Info General'!$A:$L,12,0))*I1058</f>
        <v>27.18</v>
      </c>
      <c r="L1058" s="22" t="s">
        <v>85</v>
      </c>
      <c r="M1058" s="22">
        <v>1</v>
      </c>
      <c r="N1058" s="22" t="s">
        <v>82</v>
      </c>
      <c r="O1058" s="9">
        <f>(VLOOKUP(L1058,'[1]Simulation pricing per sub assy'!$D:$E,2,0))*M1058</f>
        <v>95.756400000000042</v>
      </c>
      <c r="P1058" s="23" t="s">
        <v>51</v>
      </c>
      <c r="Q1058" s="23">
        <v>8</v>
      </c>
      <c r="R1058" s="23" t="s">
        <v>17</v>
      </c>
      <c r="S1058" s="40">
        <f>(VLOOKUP(P1058,'[1]BOM Info General'!$A:$L,12,0))*Q1058</f>
        <v>21.2</v>
      </c>
      <c r="T1058" s="24" t="s">
        <v>24</v>
      </c>
      <c r="U1058" s="24">
        <v>1</v>
      </c>
      <c r="V1058" s="24" t="s">
        <v>25</v>
      </c>
      <c r="W1058" s="17">
        <f>(VLOOKUP(T1058,'[1]Simulation pricing per sub assy'!$D:$E,2,0))*U1058</f>
        <v>6.44</v>
      </c>
      <c r="X1058" s="18" t="s">
        <v>616</v>
      </c>
      <c r="Y1058" s="25">
        <v>1</v>
      </c>
      <c r="Z1058" s="25" t="s">
        <v>23</v>
      </c>
      <c r="AA1058" s="18">
        <f>(VLOOKUP(X1058,'[1]Simulation pricing per sub assy'!$D:$E,2,0))*Y1058</f>
        <v>4.4802908000000006</v>
      </c>
    </row>
    <row r="1059" spans="1:27" x14ac:dyDescent="0.35">
      <c r="A1059" s="13" t="s">
        <v>1449</v>
      </c>
      <c r="B1059" s="13" t="s">
        <v>1450</v>
      </c>
      <c r="C1059" s="42">
        <f t="shared" si="16"/>
        <v>285.17669080000002</v>
      </c>
      <c r="D1059" s="20" t="s">
        <v>43</v>
      </c>
      <c r="E1059" s="20">
        <v>2</v>
      </c>
      <c r="F1059" s="20" t="s">
        <v>3983</v>
      </c>
      <c r="G1059" s="14">
        <f>(VLOOKUP(D1059,'[1]BOM Info General'!$A:$L,12,0))*E1059</f>
        <v>130.12</v>
      </c>
      <c r="H1059" s="21" t="s">
        <v>41</v>
      </c>
      <c r="I1059" s="21">
        <v>1</v>
      </c>
      <c r="J1059" s="21" t="s">
        <v>47</v>
      </c>
      <c r="K1059" s="15">
        <f>(VLOOKUP(H1059,'[1]BOM Info General'!$A:$L,12,0))*I1059</f>
        <v>27.18</v>
      </c>
      <c r="L1059" s="22" t="s">
        <v>81</v>
      </c>
      <c r="M1059" s="22">
        <v>1</v>
      </c>
      <c r="N1059" s="22" t="s">
        <v>80</v>
      </c>
      <c r="O1059" s="9">
        <f>(VLOOKUP(L1059,'[1]Simulation pricing per sub assy'!$D:$E,2,0))*M1059</f>
        <v>95.756400000000042</v>
      </c>
      <c r="P1059" s="23" t="s">
        <v>51</v>
      </c>
      <c r="Q1059" s="23">
        <v>8</v>
      </c>
      <c r="R1059" s="23" t="s">
        <v>17</v>
      </c>
      <c r="S1059" s="40">
        <f>(VLOOKUP(P1059,'[1]BOM Info General'!$A:$L,12,0))*Q1059</f>
        <v>21.2</v>
      </c>
      <c r="T1059" s="24" t="s">
        <v>24</v>
      </c>
      <c r="U1059" s="24">
        <v>1</v>
      </c>
      <c r="V1059" s="24" t="s">
        <v>25</v>
      </c>
      <c r="W1059" s="17">
        <f>(VLOOKUP(T1059,'[1]Simulation pricing per sub assy'!$D:$E,2,0))*U1059</f>
        <v>6.44</v>
      </c>
      <c r="X1059" s="18" t="s">
        <v>616</v>
      </c>
      <c r="Y1059" s="25">
        <v>1</v>
      </c>
      <c r="Z1059" s="25" t="s">
        <v>23</v>
      </c>
      <c r="AA1059" s="18">
        <f>(VLOOKUP(X1059,'[1]Simulation pricing per sub assy'!$D:$E,2,0))*Y1059</f>
        <v>4.4802908000000006</v>
      </c>
    </row>
    <row r="1060" spans="1:27" x14ac:dyDescent="0.35">
      <c r="A1060" s="13" t="s">
        <v>1431</v>
      </c>
      <c r="B1060" s="13" t="s">
        <v>1432</v>
      </c>
      <c r="C1060" s="42">
        <f t="shared" si="16"/>
        <v>284.62669080000001</v>
      </c>
      <c r="D1060" s="20" t="s">
        <v>43</v>
      </c>
      <c r="E1060" s="20">
        <v>2</v>
      </c>
      <c r="F1060" s="20" t="s">
        <v>3983</v>
      </c>
      <c r="G1060" s="14">
        <f>(VLOOKUP(D1060,'[1]BOM Info General'!$A:$L,12,0))*E1060</f>
        <v>130.12</v>
      </c>
      <c r="H1060" s="21" t="s">
        <v>41</v>
      </c>
      <c r="I1060" s="21">
        <v>1</v>
      </c>
      <c r="J1060" s="21" t="s">
        <v>47</v>
      </c>
      <c r="K1060" s="15">
        <f>(VLOOKUP(H1060,'[1]BOM Info General'!$A:$L,12,0))*I1060</f>
        <v>27.18</v>
      </c>
      <c r="L1060" s="22" t="s">
        <v>87</v>
      </c>
      <c r="M1060" s="22">
        <v>1</v>
      </c>
      <c r="N1060" s="22" t="s">
        <v>84</v>
      </c>
      <c r="O1060" s="9">
        <f>(VLOOKUP(L1060,'[1]Simulation pricing per sub assy'!$D:$E,2,0))*M1060</f>
        <v>95.206400000000031</v>
      </c>
      <c r="P1060" s="23" t="s">
        <v>51</v>
      </c>
      <c r="Q1060" s="23">
        <v>8</v>
      </c>
      <c r="R1060" s="23" t="s">
        <v>17</v>
      </c>
      <c r="S1060" s="40">
        <f>(VLOOKUP(P1060,'[1]BOM Info General'!$A:$L,12,0))*Q1060</f>
        <v>21.2</v>
      </c>
      <c r="T1060" s="24" t="s">
        <v>24</v>
      </c>
      <c r="U1060" s="24">
        <v>1</v>
      </c>
      <c r="V1060" s="24" t="s">
        <v>25</v>
      </c>
      <c r="W1060" s="17">
        <f>(VLOOKUP(T1060,'[1]Simulation pricing per sub assy'!$D:$E,2,0))*U1060</f>
        <v>6.44</v>
      </c>
      <c r="X1060" s="18" t="s">
        <v>616</v>
      </c>
      <c r="Y1060" s="25">
        <v>1</v>
      </c>
      <c r="Z1060" s="25" t="s">
        <v>23</v>
      </c>
      <c r="AA1060" s="18">
        <f>(VLOOKUP(X1060,'[1]Simulation pricing per sub assy'!$D:$E,2,0))*Y1060</f>
        <v>4.4802908000000006</v>
      </c>
    </row>
    <row r="1061" spans="1:27" x14ac:dyDescent="0.35">
      <c r="A1061" s="13" t="s">
        <v>1467</v>
      </c>
      <c r="B1061" s="13" t="s">
        <v>1468</v>
      </c>
      <c r="C1061" s="42">
        <f t="shared" si="16"/>
        <v>292.58669079999999</v>
      </c>
      <c r="D1061" s="20" t="s">
        <v>43</v>
      </c>
      <c r="E1061" s="20">
        <v>2</v>
      </c>
      <c r="F1061" s="20" t="s">
        <v>3983</v>
      </c>
      <c r="G1061" s="14">
        <f>(VLOOKUP(D1061,'[1]BOM Info General'!$A:$L,12,0))*E1061</f>
        <v>130.12</v>
      </c>
      <c r="H1061" s="21" t="s">
        <v>41</v>
      </c>
      <c r="I1061" s="21">
        <v>1</v>
      </c>
      <c r="J1061" s="21" t="s">
        <v>47</v>
      </c>
      <c r="K1061" s="15">
        <f>(VLOOKUP(H1061,'[1]BOM Info General'!$A:$L,12,0))*I1061</f>
        <v>27.18</v>
      </c>
      <c r="L1061" s="22" t="s">
        <v>83</v>
      </c>
      <c r="M1061" s="22">
        <v>1</v>
      </c>
      <c r="N1061" s="22" t="s">
        <v>86</v>
      </c>
      <c r="O1061" s="9">
        <f>(VLOOKUP(L1061,'[1]Simulation pricing per sub assy'!$D:$E,2,0))*M1061</f>
        <v>103.16640000000004</v>
      </c>
      <c r="P1061" s="23" t="s">
        <v>51</v>
      </c>
      <c r="Q1061" s="23">
        <v>8</v>
      </c>
      <c r="R1061" s="23" t="s">
        <v>17</v>
      </c>
      <c r="S1061" s="40">
        <f>(VLOOKUP(P1061,'[1]BOM Info General'!$A:$L,12,0))*Q1061</f>
        <v>21.2</v>
      </c>
      <c r="T1061" s="24" t="s">
        <v>24</v>
      </c>
      <c r="U1061" s="24">
        <v>1</v>
      </c>
      <c r="V1061" s="24" t="s">
        <v>25</v>
      </c>
      <c r="W1061" s="17">
        <f>(VLOOKUP(T1061,'[1]Simulation pricing per sub assy'!$D:$E,2,0))*U1061</f>
        <v>6.44</v>
      </c>
      <c r="X1061" s="18" t="s">
        <v>616</v>
      </c>
      <c r="Y1061" s="25">
        <v>1</v>
      </c>
      <c r="Z1061" s="25" t="s">
        <v>23</v>
      </c>
      <c r="AA1061" s="18">
        <f>(VLOOKUP(X1061,'[1]Simulation pricing per sub assy'!$D:$E,2,0))*Y1061</f>
        <v>4.4802908000000006</v>
      </c>
    </row>
    <row r="1062" spans="1:27" x14ac:dyDescent="0.35">
      <c r="A1062" s="13" t="s">
        <v>1487</v>
      </c>
      <c r="B1062" s="13" t="s">
        <v>1488</v>
      </c>
      <c r="C1062" s="42">
        <f t="shared" si="16"/>
        <v>284.67669080000002</v>
      </c>
      <c r="D1062" s="20" t="s">
        <v>43</v>
      </c>
      <c r="E1062" s="20">
        <v>2</v>
      </c>
      <c r="F1062" s="20" t="s">
        <v>3983</v>
      </c>
      <c r="G1062" s="14">
        <f>(VLOOKUP(D1062,'[1]BOM Info General'!$A:$L,12,0))*E1062</f>
        <v>130.12</v>
      </c>
      <c r="H1062" s="21" t="s">
        <v>41</v>
      </c>
      <c r="I1062" s="21">
        <v>1</v>
      </c>
      <c r="J1062" s="21" t="s">
        <v>47</v>
      </c>
      <c r="K1062" s="15">
        <f>(VLOOKUP(H1062,'[1]BOM Info General'!$A:$L,12,0))*I1062</f>
        <v>27.18</v>
      </c>
      <c r="L1062" s="22" t="s">
        <v>528</v>
      </c>
      <c r="M1062" s="22">
        <v>1</v>
      </c>
      <c r="N1062" s="22" t="s">
        <v>88</v>
      </c>
      <c r="O1062" s="9">
        <f>(VLOOKUP(L1062,'[1]Simulation pricing per sub assy'!$D:$E,2,0))*M1062</f>
        <v>94.656400000000033</v>
      </c>
      <c r="P1062" s="23" t="s">
        <v>51</v>
      </c>
      <c r="Q1062" s="23">
        <v>8</v>
      </c>
      <c r="R1062" s="23" t="s">
        <v>17</v>
      </c>
      <c r="S1062" s="40">
        <f>(VLOOKUP(P1062,'[1]BOM Info General'!$A:$L,12,0))*Q1062</f>
        <v>21.2</v>
      </c>
      <c r="T1062" s="24" t="s">
        <v>26</v>
      </c>
      <c r="U1062" s="24">
        <v>1</v>
      </c>
      <c r="V1062" s="24" t="s">
        <v>27</v>
      </c>
      <c r="W1062" s="17">
        <f>(VLOOKUP(T1062,'[1]Simulation pricing per sub assy'!$D:$E,2,0))*U1062</f>
        <v>7.04</v>
      </c>
      <c r="X1062" s="18" t="s">
        <v>616</v>
      </c>
      <c r="Y1062" s="25">
        <v>1</v>
      </c>
      <c r="Z1062" s="25" t="s">
        <v>23</v>
      </c>
      <c r="AA1062" s="18">
        <f>(VLOOKUP(X1062,'[1]Simulation pricing per sub assy'!$D:$E,2,0))*Y1062</f>
        <v>4.4802908000000006</v>
      </c>
    </row>
    <row r="1063" spans="1:27" x14ac:dyDescent="0.35">
      <c r="A1063" s="13" t="s">
        <v>1415</v>
      </c>
      <c r="B1063" s="13" t="s">
        <v>1416</v>
      </c>
      <c r="C1063" s="42">
        <f t="shared" si="16"/>
        <v>285.77669080000004</v>
      </c>
      <c r="D1063" s="20" t="s">
        <v>43</v>
      </c>
      <c r="E1063" s="20">
        <v>2</v>
      </c>
      <c r="F1063" s="20" t="s">
        <v>3983</v>
      </c>
      <c r="G1063" s="14">
        <f>(VLOOKUP(D1063,'[1]BOM Info General'!$A:$L,12,0))*E1063</f>
        <v>130.12</v>
      </c>
      <c r="H1063" s="21" t="s">
        <v>41</v>
      </c>
      <c r="I1063" s="21">
        <v>1</v>
      </c>
      <c r="J1063" s="21" t="s">
        <v>47</v>
      </c>
      <c r="K1063" s="15">
        <f>(VLOOKUP(H1063,'[1]BOM Info General'!$A:$L,12,0))*I1063</f>
        <v>27.18</v>
      </c>
      <c r="L1063" s="22" t="s">
        <v>85</v>
      </c>
      <c r="M1063" s="22">
        <v>1</v>
      </c>
      <c r="N1063" s="22" t="s">
        <v>82</v>
      </c>
      <c r="O1063" s="9">
        <f>(VLOOKUP(L1063,'[1]Simulation pricing per sub assy'!$D:$E,2,0))*M1063</f>
        <v>95.756400000000042</v>
      </c>
      <c r="P1063" s="23" t="s">
        <v>51</v>
      </c>
      <c r="Q1063" s="23">
        <v>8</v>
      </c>
      <c r="R1063" s="23" t="s">
        <v>17</v>
      </c>
      <c r="S1063" s="40">
        <f>(VLOOKUP(P1063,'[1]BOM Info General'!$A:$L,12,0))*Q1063</f>
        <v>21.2</v>
      </c>
      <c r="T1063" s="24" t="s">
        <v>26</v>
      </c>
      <c r="U1063" s="24">
        <v>1</v>
      </c>
      <c r="V1063" s="24" t="s">
        <v>27</v>
      </c>
      <c r="W1063" s="17">
        <f>(VLOOKUP(T1063,'[1]Simulation pricing per sub assy'!$D:$E,2,0))*U1063</f>
        <v>7.04</v>
      </c>
      <c r="X1063" s="18" t="s">
        <v>616</v>
      </c>
      <c r="Y1063" s="25">
        <v>1</v>
      </c>
      <c r="Z1063" s="25" t="s">
        <v>23</v>
      </c>
      <c r="AA1063" s="18">
        <f>(VLOOKUP(X1063,'[1]Simulation pricing per sub assy'!$D:$E,2,0))*Y1063</f>
        <v>4.4802908000000006</v>
      </c>
    </row>
    <row r="1064" spans="1:27" x14ac:dyDescent="0.35">
      <c r="A1064" s="13" t="s">
        <v>1451</v>
      </c>
      <c r="B1064" s="13" t="s">
        <v>1452</v>
      </c>
      <c r="C1064" s="42">
        <f t="shared" si="16"/>
        <v>285.77669080000004</v>
      </c>
      <c r="D1064" s="20" t="s">
        <v>43</v>
      </c>
      <c r="E1064" s="20">
        <v>2</v>
      </c>
      <c r="F1064" s="20" t="s">
        <v>3983</v>
      </c>
      <c r="G1064" s="14">
        <f>(VLOOKUP(D1064,'[1]BOM Info General'!$A:$L,12,0))*E1064</f>
        <v>130.12</v>
      </c>
      <c r="H1064" s="21" t="s">
        <v>41</v>
      </c>
      <c r="I1064" s="21">
        <v>1</v>
      </c>
      <c r="J1064" s="21" t="s">
        <v>47</v>
      </c>
      <c r="K1064" s="15">
        <f>(VLOOKUP(H1064,'[1]BOM Info General'!$A:$L,12,0))*I1064</f>
        <v>27.18</v>
      </c>
      <c r="L1064" s="22" t="s">
        <v>81</v>
      </c>
      <c r="M1064" s="22">
        <v>1</v>
      </c>
      <c r="N1064" s="22" t="s">
        <v>80</v>
      </c>
      <c r="O1064" s="9">
        <f>(VLOOKUP(L1064,'[1]Simulation pricing per sub assy'!$D:$E,2,0))*M1064</f>
        <v>95.756400000000042</v>
      </c>
      <c r="P1064" s="23" t="s">
        <v>51</v>
      </c>
      <c r="Q1064" s="23">
        <v>8</v>
      </c>
      <c r="R1064" s="23" t="s">
        <v>17</v>
      </c>
      <c r="S1064" s="40">
        <f>(VLOOKUP(P1064,'[1]BOM Info General'!$A:$L,12,0))*Q1064</f>
        <v>21.2</v>
      </c>
      <c r="T1064" s="24" t="s">
        <v>26</v>
      </c>
      <c r="U1064" s="24">
        <v>1</v>
      </c>
      <c r="V1064" s="24" t="s">
        <v>27</v>
      </c>
      <c r="W1064" s="17">
        <f>(VLOOKUP(T1064,'[1]Simulation pricing per sub assy'!$D:$E,2,0))*U1064</f>
        <v>7.04</v>
      </c>
      <c r="X1064" s="18" t="s">
        <v>616</v>
      </c>
      <c r="Y1064" s="25">
        <v>1</v>
      </c>
      <c r="Z1064" s="25" t="s">
        <v>23</v>
      </c>
      <c r="AA1064" s="18">
        <f>(VLOOKUP(X1064,'[1]Simulation pricing per sub assy'!$D:$E,2,0))*Y1064</f>
        <v>4.4802908000000006</v>
      </c>
    </row>
    <row r="1065" spans="1:27" x14ac:dyDescent="0.35">
      <c r="A1065" s="13" t="s">
        <v>1433</v>
      </c>
      <c r="B1065" s="13" t="s">
        <v>1434</v>
      </c>
      <c r="C1065" s="42">
        <f t="shared" si="16"/>
        <v>285.22669080000003</v>
      </c>
      <c r="D1065" s="20" t="s">
        <v>43</v>
      </c>
      <c r="E1065" s="20">
        <v>2</v>
      </c>
      <c r="F1065" s="20" t="s">
        <v>3983</v>
      </c>
      <c r="G1065" s="14">
        <f>(VLOOKUP(D1065,'[1]BOM Info General'!$A:$L,12,0))*E1065</f>
        <v>130.12</v>
      </c>
      <c r="H1065" s="21" t="s">
        <v>41</v>
      </c>
      <c r="I1065" s="21">
        <v>1</v>
      </c>
      <c r="J1065" s="21" t="s">
        <v>47</v>
      </c>
      <c r="K1065" s="15">
        <f>(VLOOKUP(H1065,'[1]BOM Info General'!$A:$L,12,0))*I1065</f>
        <v>27.18</v>
      </c>
      <c r="L1065" s="22" t="s">
        <v>87</v>
      </c>
      <c r="M1065" s="22">
        <v>1</v>
      </c>
      <c r="N1065" s="22" t="s">
        <v>84</v>
      </c>
      <c r="O1065" s="9">
        <f>(VLOOKUP(L1065,'[1]Simulation pricing per sub assy'!$D:$E,2,0))*M1065</f>
        <v>95.206400000000031</v>
      </c>
      <c r="P1065" s="23" t="s">
        <v>51</v>
      </c>
      <c r="Q1065" s="23">
        <v>8</v>
      </c>
      <c r="R1065" s="23" t="s">
        <v>17</v>
      </c>
      <c r="S1065" s="40">
        <f>(VLOOKUP(P1065,'[1]BOM Info General'!$A:$L,12,0))*Q1065</f>
        <v>21.2</v>
      </c>
      <c r="T1065" s="24" t="s">
        <v>26</v>
      </c>
      <c r="U1065" s="24">
        <v>1</v>
      </c>
      <c r="V1065" s="24" t="s">
        <v>27</v>
      </c>
      <c r="W1065" s="17">
        <f>(VLOOKUP(T1065,'[1]Simulation pricing per sub assy'!$D:$E,2,0))*U1065</f>
        <v>7.04</v>
      </c>
      <c r="X1065" s="18" t="s">
        <v>616</v>
      </c>
      <c r="Y1065" s="25">
        <v>1</v>
      </c>
      <c r="Z1065" s="25" t="s">
        <v>23</v>
      </c>
      <c r="AA1065" s="18">
        <f>(VLOOKUP(X1065,'[1]Simulation pricing per sub assy'!$D:$E,2,0))*Y1065</f>
        <v>4.4802908000000006</v>
      </c>
    </row>
    <row r="1066" spans="1:27" x14ac:dyDescent="0.35">
      <c r="A1066" s="13" t="s">
        <v>1469</v>
      </c>
      <c r="B1066" s="13" t="s">
        <v>1470</v>
      </c>
      <c r="C1066" s="42">
        <f t="shared" si="16"/>
        <v>293.18669080000001</v>
      </c>
      <c r="D1066" s="20" t="s">
        <v>43</v>
      </c>
      <c r="E1066" s="20">
        <v>2</v>
      </c>
      <c r="F1066" s="20" t="s">
        <v>3983</v>
      </c>
      <c r="G1066" s="14">
        <f>(VLOOKUP(D1066,'[1]BOM Info General'!$A:$L,12,0))*E1066</f>
        <v>130.12</v>
      </c>
      <c r="H1066" s="21" t="s">
        <v>41</v>
      </c>
      <c r="I1066" s="21">
        <v>1</v>
      </c>
      <c r="J1066" s="21" t="s">
        <v>47</v>
      </c>
      <c r="K1066" s="15">
        <f>(VLOOKUP(H1066,'[1]BOM Info General'!$A:$L,12,0))*I1066</f>
        <v>27.18</v>
      </c>
      <c r="L1066" s="22" t="s">
        <v>83</v>
      </c>
      <c r="M1066" s="22">
        <v>1</v>
      </c>
      <c r="N1066" s="22" t="s">
        <v>86</v>
      </c>
      <c r="O1066" s="9">
        <f>(VLOOKUP(L1066,'[1]Simulation pricing per sub assy'!$D:$E,2,0))*M1066</f>
        <v>103.16640000000004</v>
      </c>
      <c r="P1066" s="23" t="s">
        <v>51</v>
      </c>
      <c r="Q1066" s="23">
        <v>8</v>
      </c>
      <c r="R1066" s="23" t="s">
        <v>17</v>
      </c>
      <c r="S1066" s="40">
        <f>(VLOOKUP(P1066,'[1]BOM Info General'!$A:$L,12,0))*Q1066</f>
        <v>21.2</v>
      </c>
      <c r="T1066" s="24" t="s">
        <v>26</v>
      </c>
      <c r="U1066" s="24">
        <v>1</v>
      </c>
      <c r="V1066" s="24" t="s">
        <v>27</v>
      </c>
      <c r="W1066" s="17">
        <f>(VLOOKUP(T1066,'[1]Simulation pricing per sub assy'!$D:$E,2,0))*U1066</f>
        <v>7.04</v>
      </c>
      <c r="X1066" s="18" t="s">
        <v>616</v>
      </c>
      <c r="Y1066" s="25">
        <v>1</v>
      </c>
      <c r="Z1066" s="25" t="s">
        <v>23</v>
      </c>
      <c r="AA1066" s="18">
        <f>(VLOOKUP(X1066,'[1]Simulation pricing per sub assy'!$D:$E,2,0))*Y1066</f>
        <v>4.4802908000000006</v>
      </c>
    </row>
    <row r="1067" spans="1:27" x14ac:dyDescent="0.35">
      <c r="A1067" s="13" t="s">
        <v>1489</v>
      </c>
      <c r="B1067" s="13" t="s">
        <v>1490</v>
      </c>
      <c r="C1067" s="42">
        <f t="shared" si="16"/>
        <v>284.6366908</v>
      </c>
      <c r="D1067" s="20" t="s">
        <v>43</v>
      </c>
      <c r="E1067" s="20">
        <v>2</v>
      </c>
      <c r="F1067" s="20" t="s">
        <v>3983</v>
      </c>
      <c r="G1067" s="14">
        <f>(VLOOKUP(D1067,'[1]BOM Info General'!$A:$L,12,0))*E1067</f>
        <v>130.12</v>
      </c>
      <c r="H1067" s="21" t="s">
        <v>41</v>
      </c>
      <c r="I1067" s="21">
        <v>1</v>
      </c>
      <c r="J1067" s="21" t="s">
        <v>47</v>
      </c>
      <c r="K1067" s="15">
        <f>(VLOOKUP(H1067,'[1]BOM Info General'!$A:$L,12,0))*I1067</f>
        <v>27.18</v>
      </c>
      <c r="L1067" s="22" t="s">
        <v>528</v>
      </c>
      <c r="M1067" s="22">
        <v>1</v>
      </c>
      <c r="N1067" s="22" t="s">
        <v>88</v>
      </c>
      <c r="O1067" s="9">
        <f>(VLOOKUP(L1067,'[1]Simulation pricing per sub assy'!$D:$E,2,0))*M1067</f>
        <v>94.656400000000033</v>
      </c>
      <c r="P1067" s="23" t="s">
        <v>51</v>
      </c>
      <c r="Q1067" s="23">
        <v>8</v>
      </c>
      <c r="R1067" s="23" t="s">
        <v>17</v>
      </c>
      <c r="S1067" s="40">
        <f>(VLOOKUP(P1067,'[1]BOM Info General'!$A:$L,12,0))*Q1067</f>
        <v>21.2</v>
      </c>
      <c r="T1067" s="24" t="s">
        <v>28</v>
      </c>
      <c r="U1067" s="24">
        <v>1</v>
      </c>
      <c r="V1067" s="24" t="s">
        <v>29</v>
      </c>
      <c r="W1067" s="17">
        <f>(VLOOKUP(T1067,'[1]Simulation pricing per sub assy'!$D:$E,2,0))*U1067</f>
        <v>7</v>
      </c>
      <c r="X1067" s="18" t="s">
        <v>616</v>
      </c>
      <c r="Y1067" s="25">
        <v>1</v>
      </c>
      <c r="Z1067" s="25" t="s">
        <v>23</v>
      </c>
      <c r="AA1067" s="18">
        <f>(VLOOKUP(X1067,'[1]Simulation pricing per sub assy'!$D:$E,2,0))*Y1067</f>
        <v>4.4802908000000006</v>
      </c>
    </row>
    <row r="1068" spans="1:27" x14ac:dyDescent="0.35">
      <c r="A1068" s="13" t="s">
        <v>1417</v>
      </c>
      <c r="B1068" s="13" t="s">
        <v>1418</v>
      </c>
      <c r="C1068" s="42">
        <f t="shared" si="16"/>
        <v>285.73669080000002</v>
      </c>
      <c r="D1068" s="20" t="s">
        <v>43</v>
      </c>
      <c r="E1068" s="20">
        <v>2</v>
      </c>
      <c r="F1068" s="20" t="s">
        <v>3983</v>
      </c>
      <c r="G1068" s="14">
        <f>(VLOOKUP(D1068,'[1]BOM Info General'!$A:$L,12,0))*E1068</f>
        <v>130.12</v>
      </c>
      <c r="H1068" s="21" t="s">
        <v>41</v>
      </c>
      <c r="I1068" s="21">
        <v>1</v>
      </c>
      <c r="J1068" s="21" t="s">
        <v>47</v>
      </c>
      <c r="K1068" s="15">
        <f>(VLOOKUP(H1068,'[1]BOM Info General'!$A:$L,12,0))*I1068</f>
        <v>27.18</v>
      </c>
      <c r="L1068" s="22" t="s">
        <v>85</v>
      </c>
      <c r="M1068" s="22">
        <v>1</v>
      </c>
      <c r="N1068" s="22" t="s">
        <v>82</v>
      </c>
      <c r="O1068" s="9">
        <f>(VLOOKUP(L1068,'[1]Simulation pricing per sub assy'!$D:$E,2,0))*M1068</f>
        <v>95.756400000000042</v>
      </c>
      <c r="P1068" s="23" t="s">
        <v>51</v>
      </c>
      <c r="Q1068" s="23">
        <v>8</v>
      </c>
      <c r="R1068" s="23" t="s">
        <v>17</v>
      </c>
      <c r="S1068" s="40">
        <f>(VLOOKUP(P1068,'[1]BOM Info General'!$A:$L,12,0))*Q1068</f>
        <v>21.2</v>
      </c>
      <c r="T1068" s="24" t="s">
        <v>28</v>
      </c>
      <c r="U1068" s="24">
        <v>1</v>
      </c>
      <c r="V1068" s="24" t="s">
        <v>29</v>
      </c>
      <c r="W1068" s="17">
        <f>(VLOOKUP(T1068,'[1]Simulation pricing per sub assy'!$D:$E,2,0))*U1068</f>
        <v>7</v>
      </c>
      <c r="X1068" s="18" t="s">
        <v>616</v>
      </c>
      <c r="Y1068" s="25">
        <v>1</v>
      </c>
      <c r="Z1068" s="25" t="s">
        <v>23</v>
      </c>
      <c r="AA1068" s="18">
        <f>(VLOOKUP(X1068,'[1]Simulation pricing per sub assy'!$D:$E,2,0))*Y1068</f>
        <v>4.4802908000000006</v>
      </c>
    </row>
    <row r="1069" spans="1:27" x14ac:dyDescent="0.35">
      <c r="A1069" s="13" t="s">
        <v>1453</v>
      </c>
      <c r="B1069" s="13" t="s">
        <v>1454</v>
      </c>
      <c r="C1069" s="42">
        <f t="shared" si="16"/>
        <v>285.73669080000002</v>
      </c>
      <c r="D1069" s="20" t="s">
        <v>43</v>
      </c>
      <c r="E1069" s="20">
        <v>2</v>
      </c>
      <c r="F1069" s="20" t="s">
        <v>3983</v>
      </c>
      <c r="G1069" s="14">
        <f>(VLOOKUP(D1069,'[1]BOM Info General'!$A:$L,12,0))*E1069</f>
        <v>130.12</v>
      </c>
      <c r="H1069" s="21" t="s">
        <v>41</v>
      </c>
      <c r="I1069" s="21">
        <v>1</v>
      </c>
      <c r="J1069" s="21" t="s">
        <v>47</v>
      </c>
      <c r="K1069" s="15">
        <f>(VLOOKUP(H1069,'[1]BOM Info General'!$A:$L,12,0))*I1069</f>
        <v>27.18</v>
      </c>
      <c r="L1069" s="22" t="s">
        <v>81</v>
      </c>
      <c r="M1069" s="22">
        <v>1</v>
      </c>
      <c r="N1069" s="22" t="s">
        <v>80</v>
      </c>
      <c r="O1069" s="9">
        <f>(VLOOKUP(L1069,'[1]Simulation pricing per sub assy'!$D:$E,2,0))*M1069</f>
        <v>95.756400000000042</v>
      </c>
      <c r="P1069" s="23" t="s">
        <v>51</v>
      </c>
      <c r="Q1069" s="23">
        <v>8</v>
      </c>
      <c r="R1069" s="23" t="s">
        <v>17</v>
      </c>
      <c r="S1069" s="40">
        <f>(VLOOKUP(P1069,'[1]BOM Info General'!$A:$L,12,0))*Q1069</f>
        <v>21.2</v>
      </c>
      <c r="T1069" s="24" t="s">
        <v>28</v>
      </c>
      <c r="U1069" s="24">
        <v>1</v>
      </c>
      <c r="V1069" s="24" t="s">
        <v>29</v>
      </c>
      <c r="W1069" s="17">
        <f>(VLOOKUP(T1069,'[1]Simulation pricing per sub assy'!$D:$E,2,0))*U1069</f>
        <v>7</v>
      </c>
      <c r="X1069" s="18" t="s">
        <v>616</v>
      </c>
      <c r="Y1069" s="25">
        <v>1</v>
      </c>
      <c r="Z1069" s="25" t="s">
        <v>23</v>
      </c>
      <c r="AA1069" s="18">
        <f>(VLOOKUP(X1069,'[1]Simulation pricing per sub assy'!$D:$E,2,0))*Y1069</f>
        <v>4.4802908000000006</v>
      </c>
    </row>
    <row r="1070" spans="1:27" x14ac:dyDescent="0.35">
      <c r="A1070" s="13" t="s">
        <v>1435</v>
      </c>
      <c r="B1070" s="13" t="s">
        <v>1436</v>
      </c>
      <c r="C1070" s="42">
        <f t="shared" si="16"/>
        <v>285.18669080000001</v>
      </c>
      <c r="D1070" s="20" t="s">
        <v>43</v>
      </c>
      <c r="E1070" s="20">
        <v>2</v>
      </c>
      <c r="F1070" s="20" t="s">
        <v>3983</v>
      </c>
      <c r="G1070" s="14">
        <f>(VLOOKUP(D1070,'[1]BOM Info General'!$A:$L,12,0))*E1070</f>
        <v>130.12</v>
      </c>
      <c r="H1070" s="21" t="s">
        <v>41</v>
      </c>
      <c r="I1070" s="21">
        <v>1</v>
      </c>
      <c r="J1070" s="21" t="s">
        <v>47</v>
      </c>
      <c r="K1070" s="15">
        <f>(VLOOKUP(H1070,'[1]BOM Info General'!$A:$L,12,0))*I1070</f>
        <v>27.18</v>
      </c>
      <c r="L1070" s="22" t="s">
        <v>87</v>
      </c>
      <c r="M1070" s="22">
        <v>1</v>
      </c>
      <c r="N1070" s="22" t="s">
        <v>84</v>
      </c>
      <c r="O1070" s="9">
        <f>(VLOOKUP(L1070,'[1]Simulation pricing per sub assy'!$D:$E,2,0))*M1070</f>
        <v>95.206400000000031</v>
      </c>
      <c r="P1070" s="23" t="s">
        <v>51</v>
      </c>
      <c r="Q1070" s="23">
        <v>8</v>
      </c>
      <c r="R1070" s="23" t="s">
        <v>17</v>
      </c>
      <c r="S1070" s="40">
        <f>(VLOOKUP(P1070,'[1]BOM Info General'!$A:$L,12,0))*Q1070</f>
        <v>21.2</v>
      </c>
      <c r="T1070" s="24" t="s">
        <v>28</v>
      </c>
      <c r="U1070" s="24">
        <v>1</v>
      </c>
      <c r="V1070" s="24" t="s">
        <v>29</v>
      </c>
      <c r="W1070" s="17">
        <f>(VLOOKUP(T1070,'[1]Simulation pricing per sub assy'!$D:$E,2,0))*U1070</f>
        <v>7</v>
      </c>
      <c r="X1070" s="18" t="s">
        <v>616</v>
      </c>
      <c r="Y1070" s="25">
        <v>1</v>
      </c>
      <c r="Z1070" s="25" t="s">
        <v>23</v>
      </c>
      <c r="AA1070" s="18">
        <f>(VLOOKUP(X1070,'[1]Simulation pricing per sub assy'!$D:$E,2,0))*Y1070</f>
        <v>4.4802908000000006</v>
      </c>
    </row>
    <row r="1071" spans="1:27" x14ac:dyDescent="0.35">
      <c r="A1071" s="13" t="s">
        <v>1471</v>
      </c>
      <c r="B1071" s="13" t="s">
        <v>1472</v>
      </c>
      <c r="C1071" s="42">
        <f t="shared" si="16"/>
        <v>293.14669079999999</v>
      </c>
      <c r="D1071" s="20" t="s">
        <v>43</v>
      </c>
      <c r="E1071" s="20">
        <v>2</v>
      </c>
      <c r="F1071" s="20" t="s">
        <v>3983</v>
      </c>
      <c r="G1071" s="14">
        <f>(VLOOKUP(D1071,'[1]BOM Info General'!$A:$L,12,0))*E1071</f>
        <v>130.12</v>
      </c>
      <c r="H1071" s="21" t="s">
        <v>41</v>
      </c>
      <c r="I1071" s="21">
        <v>1</v>
      </c>
      <c r="J1071" s="21" t="s">
        <v>47</v>
      </c>
      <c r="K1071" s="15">
        <f>(VLOOKUP(H1071,'[1]BOM Info General'!$A:$L,12,0))*I1071</f>
        <v>27.18</v>
      </c>
      <c r="L1071" s="22" t="s">
        <v>83</v>
      </c>
      <c r="M1071" s="22">
        <v>1</v>
      </c>
      <c r="N1071" s="22" t="s">
        <v>86</v>
      </c>
      <c r="O1071" s="9">
        <f>(VLOOKUP(L1071,'[1]Simulation pricing per sub assy'!$D:$E,2,0))*M1071</f>
        <v>103.16640000000004</v>
      </c>
      <c r="P1071" s="23" t="s">
        <v>51</v>
      </c>
      <c r="Q1071" s="23">
        <v>8</v>
      </c>
      <c r="R1071" s="23" t="s">
        <v>17</v>
      </c>
      <c r="S1071" s="40">
        <f>(VLOOKUP(P1071,'[1]BOM Info General'!$A:$L,12,0))*Q1071</f>
        <v>21.2</v>
      </c>
      <c r="T1071" s="24" t="s">
        <v>28</v>
      </c>
      <c r="U1071" s="24">
        <v>1</v>
      </c>
      <c r="V1071" s="24" t="s">
        <v>29</v>
      </c>
      <c r="W1071" s="17">
        <f>(VLOOKUP(T1071,'[1]Simulation pricing per sub assy'!$D:$E,2,0))*U1071</f>
        <v>7</v>
      </c>
      <c r="X1071" s="18" t="s">
        <v>616</v>
      </c>
      <c r="Y1071" s="25">
        <v>1</v>
      </c>
      <c r="Z1071" s="25" t="s">
        <v>23</v>
      </c>
      <c r="AA1071" s="18">
        <f>(VLOOKUP(X1071,'[1]Simulation pricing per sub assy'!$D:$E,2,0))*Y1071</f>
        <v>4.4802908000000006</v>
      </c>
    </row>
    <row r="1072" spans="1:27" x14ac:dyDescent="0.35">
      <c r="A1072" s="13" t="s">
        <v>1491</v>
      </c>
      <c r="B1072" s="13" t="s">
        <v>1492</v>
      </c>
      <c r="C1072" s="42">
        <f t="shared" si="16"/>
        <v>284.07669079999999</v>
      </c>
      <c r="D1072" s="20" t="s">
        <v>43</v>
      </c>
      <c r="E1072" s="20">
        <v>2</v>
      </c>
      <c r="F1072" s="20" t="s">
        <v>3983</v>
      </c>
      <c r="G1072" s="14">
        <f>(VLOOKUP(D1072,'[1]BOM Info General'!$A:$L,12,0))*E1072</f>
        <v>130.12</v>
      </c>
      <c r="H1072" s="21" t="s">
        <v>41</v>
      </c>
      <c r="I1072" s="21">
        <v>1</v>
      </c>
      <c r="J1072" s="21" t="s">
        <v>47</v>
      </c>
      <c r="K1072" s="15">
        <f>(VLOOKUP(H1072,'[1]BOM Info General'!$A:$L,12,0))*I1072</f>
        <v>27.18</v>
      </c>
      <c r="L1072" s="22" t="s">
        <v>528</v>
      </c>
      <c r="M1072" s="22">
        <v>1</v>
      </c>
      <c r="N1072" s="22" t="s">
        <v>88</v>
      </c>
      <c r="O1072" s="9">
        <f>(VLOOKUP(L1072,'[1]Simulation pricing per sub assy'!$D:$E,2,0))*M1072</f>
        <v>94.656400000000033</v>
      </c>
      <c r="P1072" s="23" t="s">
        <v>52</v>
      </c>
      <c r="Q1072" s="23">
        <v>8</v>
      </c>
      <c r="R1072" s="23" t="s">
        <v>18</v>
      </c>
      <c r="S1072" s="40">
        <f>(VLOOKUP(P1072,'[1]BOM Info General'!$A:$L,12,0))*Q1072</f>
        <v>21.2</v>
      </c>
      <c r="T1072" s="24" t="s">
        <v>24</v>
      </c>
      <c r="U1072" s="24">
        <v>1</v>
      </c>
      <c r="V1072" s="24" t="s">
        <v>25</v>
      </c>
      <c r="W1072" s="17">
        <f>(VLOOKUP(T1072,'[1]Simulation pricing per sub assy'!$D:$E,2,0))*U1072</f>
        <v>6.44</v>
      </c>
      <c r="X1072" s="18" t="s">
        <v>616</v>
      </c>
      <c r="Y1072" s="25">
        <v>1</v>
      </c>
      <c r="Z1072" s="25" t="s">
        <v>23</v>
      </c>
      <c r="AA1072" s="18">
        <f>(VLOOKUP(X1072,'[1]Simulation pricing per sub assy'!$D:$E,2,0))*Y1072</f>
        <v>4.4802908000000006</v>
      </c>
    </row>
    <row r="1073" spans="1:27" x14ac:dyDescent="0.35">
      <c r="A1073" s="13" t="s">
        <v>1419</v>
      </c>
      <c r="B1073" s="13" t="s">
        <v>1420</v>
      </c>
      <c r="C1073" s="42">
        <f t="shared" si="16"/>
        <v>285.17669080000002</v>
      </c>
      <c r="D1073" s="20" t="s">
        <v>43</v>
      </c>
      <c r="E1073" s="20">
        <v>2</v>
      </c>
      <c r="F1073" s="20" t="s">
        <v>3983</v>
      </c>
      <c r="G1073" s="14">
        <f>(VLOOKUP(D1073,'[1]BOM Info General'!$A:$L,12,0))*E1073</f>
        <v>130.12</v>
      </c>
      <c r="H1073" s="21" t="s">
        <v>41</v>
      </c>
      <c r="I1073" s="21">
        <v>1</v>
      </c>
      <c r="J1073" s="21" t="s">
        <v>47</v>
      </c>
      <c r="K1073" s="15">
        <f>(VLOOKUP(H1073,'[1]BOM Info General'!$A:$L,12,0))*I1073</f>
        <v>27.18</v>
      </c>
      <c r="L1073" s="22" t="s">
        <v>85</v>
      </c>
      <c r="M1073" s="22">
        <v>1</v>
      </c>
      <c r="N1073" s="22" t="s">
        <v>82</v>
      </c>
      <c r="O1073" s="9">
        <f>(VLOOKUP(L1073,'[1]Simulation pricing per sub assy'!$D:$E,2,0))*M1073</f>
        <v>95.756400000000042</v>
      </c>
      <c r="P1073" s="23" t="s">
        <v>52</v>
      </c>
      <c r="Q1073" s="23">
        <v>8</v>
      </c>
      <c r="R1073" s="23" t="s">
        <v>18</v>
      </c>
      <c r="S1073" s="40">
        <f>(VLOOKUP(P1073,'[1]BOM Info General'!$A:$L,12,0))*Q1073</f>
        <v>21.2</v>
      </c>
      <c r="T1073" s="24" t="s">
        <v>24</v>
      </c>
      <c r="U1073" s="24">
        <v>1</v>
      </c>
      <c r="V1073" s="24" t="s">
        <v>25</v>
      </c>
      <c r="W1073" s="17">
        <f>(VLOOKUP(T1073,'[1]Simulation pricing per sub assy'!$D:$E,2,0))*U1073</f>
        <v>6.44</v>
      </c>
      <c r="X1073" s="18" t="s">
        <v>616</v>
      </c>
      <c r="Y1073" s="25">
        <v>1</v>
      </c>
      <c r="Z1073" s="25" t="s">
        <v>23</v>
      </c>
      <c r="AA1073" s="18">
        <f>(VLOOKUP(X1073,'[1]Simulation pricing per sub assy'!$D:$E,2,0))*Y1073</f>
        <v>4.4802908000000006</v>
      </c>
    </row>
    <row r="1074" spans="1:27" x14ac:dyDescent="0.35">
      <c r="A1074" s="13" t="s">
        <v>1455</v>
      </c>
      <c r="B1074" s="13" t="s">
        <v>1456</v>
      </c>
      <c r="C1074" s="42">
        <f t="shared" si="16"/>
        <v>285.17669080000002</v>
      </c>
      <c r="D1074" s="20" t="s">
        <v>43</v>
      </c>
      <c r="E1074" s="20">
        <v>2</v>
      </c>
      <c r="F1074" s="20" t="s">
        <v>3983</v>
      </c>
      <c r="G1074" s="14">
        <f>(VLOOKUP(D1074,'[1]BOM Info General'!$A:$L,12,0))*E1074</f>
        <v>130.12</v>
      </c>
      <c r="H1074" s="21" t="s">
        <v>41</v>
      </c>
      <c r="I1074" s="21">
        <v>1</v>
      </c>
      <c r="J1074" s="21" t="s">
        <v>47</v>
      </c>
      <c r="K1074" s="15">
        <f>(VLOOKUP(H1074,'[1]BOM Info General'!$A:$L,12,0))*I1074</f>
        <v>27.18</v>
      </c>
      <c r="L1074" s="22" t="s">
        <v>81</v>
      </c>
      <c r="M1074" s="22">
        <v>1</v>
      </c>
      <c r="N1074" s="22" t="s">
        <v>80</v>
      </c>
      <c r="O1074" s="9">
        <f>(VLOOKUP(L1074,'[1]Simulation pricing per sub assy'!$D:$E,2,0))*M1074</f>
        <v>95.756400000000042</v>
      </c>
      <c r="P1074" s="23" t="s">
        <v>52</v>
      </c>
      <c r="Q1074" s="23">
        <v>8</v>
      </c>
      <c r="R1074" s="23" t="s">
        <v>18</v>
      </c>
      <c r="S1074" s="40">
        <f>(VLOOKUP(P1074,'[1]BOM Info General'!$A:$L,12,0))*Q1074</f>
        <v>21.2</v>
      </c>
      <c r="T1074" s="24" t="s">
        <v>24</v>
      </c>
      <c r="U1074" s="24">
        <v>1</v>
      </c>
      <c r="V1074" s="24" t="s">
        <v>25</v>
      </c>
      <c r="W1074" s="17">
        <f>(VLOOKUP(T1074,'[1]Simulation pricing per sub assy'!$D:$E,2,0))*U1074</f>
        <v>6.44</v>
      </c>
      <c r="X1074" s="18" t="s">
        <v>616</v>
      </c>
      <c r="Y1074" s="25">
        <v>1</v>
      </c>
      <c r="Z1074" s="25" t="s">
        <v>23</v>
      </c>
      <c r="AA1074" s="18">
        <f>(VLOOKUP(X1074,'[1]Simulation pricing per sub assy'!$D:$E,2,0))*Y1074</f>
        <v>4.4802908000000006</v>
      </c>
    </row>
    <row r="1075" spans="1:27" x14ac:dyDescent="0.35">
      <c r="A1075" s="13" t="s">
        <v>1437</v>
      </c>
      <c r="B1075" s="13" t="s">
        <v>1438</v>
      </c>
      <c r="C1075" s="42">
        <f t="shared" si="16"/>
        <v>284.62669080000001</v>
      </c>
      <c r="D1075" s="20" t="s">
        <v>43</v>
      </c>
      <c r="E1075" s="20">
        <v>2</v>
      </c>
      <c r="F1075" s="20" t="s">
        <v>3983</v>
      </c>
      <c r="G1075" s="14">
        <f>(VLOOKUP(D1075,'[1]BOM Info General'!$A:$L,12,0))*E1075</f>
        <v>130.12</v>
      </c>
      <c r="H1075" s="21" t="s">
        <v>41</v>
      </c>
      <c r="I1075" s="21">
        <v>1</v>
      </c>
      <c r="J1075" s="21" t="s">
        <v>47</v>
      </c>
      <c r="K1075" s="15">
        <f>(VLOOKUP(H1075,'[1]BOM Info General'!$A:$L,12,0))*I1075</f>
        <v>27.18</v>
      </c>
      <c r="L1075" s="22" t="s">
        <v>87</v>
      </c>
      <c r="M1075" s="22">
        <v>1</v>
      </c>
      <c r="N1075" s="22" t="s">
        <v>84</v>
      </c>
      <c r="O1075" s="9">
        <f>(VLOOKUP(L1075,'[1]Simulation pricing per sub assy'!$D:$E,2,0))*M1075</f>
        <v>95.206400000000031</v>
      </c>
      <c r="P1075" s="23" t="s">
        <v>52</v>
      </c>
      <c r="Q1075" s="23">
        <v>8</v>
      </c>
      <c r="R1075" s="23" t="s">
        <v>18</v>
      </c>
      <c r="S1075" s="40">
        <f>(VLOOKUP(P1075,'[1]BOM Info General'!$A:$L,12,0))*Q1075</f>
        <v>21.2</v>
      </c>
      <c r="T1075" s="24" t="s">
        <v>24</v>
      </c>
      <c r="U1075" s="24">
        <v>1</v>
      </c>
      <c r="V1075" s="24" t="s">
        <v>25</v>
      </c>
      <c r="W1075" s="17">
        <f>(VLOOKUP(T1075,'[1]Simulation pricing per sub assy'!$D:$E,2,0))*U1075</f>
        <v>6.44</v>
      </c>
      <c r="X1075" s="18" t="s">
        <v>616</v>
      </c>
      <c r="Y1075" s="25">
        <v>1</v>
      </c>
      <c r="Z1075" s="25" t="s">
        <v>23</v>
      </c>
      <c r="AA1075" s="18">
        <f>(VLOOKUP(X1075,'[1]Simulation pricing per sub assy'!$D:$E,2,0))*Y1075</f>
        <v>4.4802908000000006</v>
      </c>
    </row>
    <row r="1076" spans="1:27" x14ac:dyDescent="0.35">
      <c r="A1076" s="13" t="s">
        <v>1473</v>
      </c>
      <c r="B1076" s="13" t="s">
        <v>1474</v>
      </c>
      <c r="C1076" s="42">
        <f t="shared" si="16"/>
        <v>292.58669079999999</v>
      </c>
      <c r="D1076" s="20" t="s">
        <v>43</v>
      </c>
      <c r="E1076" s="20">
        <v>2</v>
      </c>
      <c r="F1076" s="20" t="s">
        <v>3983</v>
      </c>
      <c r="G1076" s="14">
        <f>(VLOOKUP(D1076,'[1]BOM Info General'!$A:$L,12,0))*E1076</f>
        <v>130.12</v>
      </c>
      <c r="H1076" s="21" t="s">
        <v>41</v>
      </c>
      <c r="I1076" s="21">
        <v>1</v>
      </c>
      <c r="J1076" s="21" t="s">
        <v>47</v>
      </c>
      <c r="K1076" s="15">
        <f>(VLOOKUP(H1076,'[1]BOM Info General'!$A:$L,12,0))*I1076</f>
        <v>27.18</v>
      </c>
      <c r="L1076" s="22" t="s">
        <v>83</v>
      </c>
      <c r="M1076" s="22">
        <v>1</v>
      </c>
      <c r="N1076" s="22" t="s">
        <v>86</v>
      </c>
      <c r="O1076" s="9">
        <f>(VLOOKUP(L1076,'[1]Simulation pricing per sub assy'!$D:$E,2,0))*M1076</f>
        <v>103.16640000000004</v>
      </c>
      <c r="P1076" s="23" t="s">
        <v>52</v>
      </c>
      <c r="Q1076" s="23">
        <v>8</v>
      </c>
      <c r="R1076" s="23" t="s">
        <v>18</v>
      </c>
      <c r="S1076" s="40">
        <f>(VLOOKUP(P1076,'[1]BOM Info General'!$A:$L,12,0))*Q1076</f>
        <v>21.2</v>
      </c>
      <c r="T1076" s="24" t="s">
        <v>24</v>
      </c>
      <c r="U1076" s="24">
        <v>1</v>
      </c>
      <c r="V1076" s="24" t="s">
        <v>25</v>
      </c>
      <c r="W1076" s="17">
        <f>(VLOOKUP(T1076,'[1]Simulation pricing per sub assy'!$D:$E,2,0))*U1076</f>
        <v>6.44</v>
      </c>
      <c r="X1076" s="18" t="s">
        <v>616</v>
      </c>
      <c r="Y1076" s="25">
        <v>1</v>
      </c>
      <c r="Z1076" s="25" t="s">
        <v>23</v>
      </c>
      <c r="AA1076" s="18">
        <f>(VLOOKUP(X1076,'[1]Simulation pricing per sub assy'!$D:$E,2,0))*Y1076</f>
        <v>4.4802908000000006</v>
      </c>
    </row>
    <row r="1077" spans="1:27" x14ac:dyDescent="0.35">
      <c r="A1077" s="13" t="s">
        <v>1493</v>
      </c>
      <c r="B1077" s="13" t="s">
        <v>1494</v>
      </c>
      <c r="C1077" s="42">
        <f t="shared" si="16"/>
        <v>284.67669080000002</v>
      </c>
      <c r="D1077" s="20" t="s">
        <v>43</v>
      </c>
      <c r="E1077" s="20">
        <v>2</v>
      </c>
      <c r="F1077" s="20" t="s">
        <v>3983</v>
      </c>
      <c r="G1077" s="14">
        <f>(VLOOKUP(D1077,'[1]BOM Info General'!$A:$L,12,0))*E1077</f>
        <v>130.12</v>
      </c>
      <c r="H1077" s="21" t="s">
        <v>41</v>
      </c>
      <c r="I1077" s="21">
        <v>1</v>
      </c>
      <c r="J1077" s="21" t="s">
        <v>47</v>
      </c>
      <c r="K1077" s="15">
        <f>(VLOOKUP(H1077,'[1]BOM Info General'!$A:$L,12,0))*I1077</f>
        <v>27.18</v>
      </c>
      <c r="L1077" s="22" t="s">
        <v>528</v>
      </c>
      <c r="M1077" s="22">
        <v>1</v>
      </c>
      <c r="N1077" s="22" t="s">
        <v>88</v>
      </c>
      <c r="O1077" s="9">
        <f>(VLOOKUP(L1077,'[1]Simulation pricing per sub assy'!$D:$E,2,0))*M1077</f>
        <v>94.656400000000033</v>
      </c>
      <c r="P1077" s="23" t="s">
        <v>52</v>
      </c>
      <c r="Q1077" s="23">
        <v>8</v>
      </c>
      <c r="R1077" s="23" t="s">
        <v>18</v>
      </c>
      <c r="S1077" s="40">
        <f>(VLOOKUP(P1077,'[1]BOM Info General'!$A:$L,12,0))*Q1077</f>
        <v>21.2</v>
      </c>
      <c r="T1077" s="24" t="s">
        <v>26</v>
      </c>
      <c r="U1077" s="24">
        <v>1</v>
      </c>
      <c r="V1077" s="24" t="s">
        <v>27</v>
      </c>
      <c r="W1077" s="17">
        <f>(VLOOKUP(T1077,'[1]Simulation pricing per sub assy'!$D:$E,2,0))*U1077</f>
        <v>7.04</v>
      </c>
      <c r="X1077" s="18" t="s">
        <v>616</v>
      </c>
      <c r="Y1077" s="25">
        <v>1</v>
      </c>
      <c r="Z1077" s="25" t="s">
        <v>23</v>
      </c>
      <c r="AA1077" s="18">
        <f>(VLOOKUP(X1077,'[1]Simulation pricing per sub assy'!$D:$E,2,0))*Y1077</f>
        <v>4.4802908000000006</v>
      </c>
    </row>
    <row r="1078" spans="1:27" x14ac:dyDescent="0.35">
      <c r="A1078" s="13" t="s">
        <v>1421</v>
      </c>
      <c r="B1078" s="13" t="s">
        <v>1422</v>
      </c>
      <c r="C1078" s="42">
        <f t="shared" si="16"/>
        <v>285.77669080000004</v>
      </c>
      <c r="D1078" s="20" t="s">
        <v>43</v>
      </c>
      <c r="E1078" s="20">
        <v>2</v>
      </c>
      <c r="F1078" s="20" t="s">
        <v>3983</v>
      </c>
      <c r="G1078" s="14">
        <f>(VLOOKUP(D1078,'[1]BOM Info General'!$A:$L,12,0))*E1078</f>
        <v>130.12</v>
      </c>
      <c r="H1078" s="21" t="s">
        <v>41</v>
      </c>
      <c r="I1078" s="21">
        <v>1</v>
      </c>
      <c r="J1078" s="21" t="s">
        <v>47</v>
      </c>
      <c r="K1078" s="15">
        <f>(VLOOKUP(H1078,'[1]BOM Info General'!$A:$L,12,0))*I1078</f>
        <v>27.18</v>
      </c>
      <c r="L1078" s="22" t="s">
        <v>85</v>
      </c>
      <c r="M1078" s="22">
        <v>1</v>
      </c>
      <c r="N1078" s="22" t="s">
        <v>82</v>
      </c>
      <c r="O1078" s="9">
        <f>(VLOOKUP(L1078,'[1]Simulation pricing per sub assy'!$D:$E,2,0))*M1078</f>
        <v>95.756400000000042</v>
      </c>
      <c r="P1078" s="23" t="s">
        <v>52</v>
      </c>
      <c r="Q1078" s="23">
        <v>8</v>
      </c>
      <c r="R1078" s="23" t="s">
        <v>18</v>
      </c>
      <c r="S1078" s="40">
        <f>(VLOOKUP(P1078,'[1]BOM Info General'!$A:$L,12,0))*Q1078</f>
        <v>21.2</v>
      </c>
      <c r="T1078" s="24" t="s">
        <v>26</v>
      </c>
      <c r="U1078" s="24">
        <v>1</v>
      </c>
      <c r="V1078" s="24" t="s">
        <v>27</v>
      </c>
      <c r="W1078" s="17">
        <f>(VLOOKUP(T1078,'[1]Simulation pricing per sub assy'!$D:$E,2,0))*U1078</f>
        <v>7.04</v>
      </c>
      <c r="X1078" s="18" t="s">
        <v>616</v>
      </c>
      <c r="Y1078" s="25">
        <v>1</v>
      </c>
      <c r="Z1078" s="25" t="s">
        <v>23</v>
      </c>
      <c r="AA1078" s="18">
        <f>(VLOOKUP(X1078,'[1]Simulation pricing per sub assy'!$D:$E,2,0))*Y1078</f>
        <v>4.4802908000000006</v>
      </c>
    </row>
    <row r="1079" spans="1:27" x14ac:dyDescent="0.35">
      <c r="A1079" s="13" t="s">
        <v>1457</v>
      </c>
      <c r="B1079" s="13" t="s">
        <v>1458</v>
      </c>
      <c r="C1079" s="42">
        <f t="shared" si="16"/>
        <v>285.77669080000004</v>
      </c>
      <c r="D1079" s="20" t="s">
        <v>43</v>
      </c>
      <c r="E1079" s="20">
        <v>2</v>
      </c>
      <c r="F1079" s="20" t="s">
        <v>3983</v>
      </c>
      <c r="G1079" s="14">
        <f>(VLOOKUP(D1079,'[1]BOM Info General'!$A:$L,12,0))*E1079</f>
        <v>130.12</v>
      </c>
      <c r="H1079" s="21" t="s">
        <v>41</v>
      </c>
      <c r="I1079" s="21">
        <v>1</v>
      </c>
      <c r="J1079" s="21" t="s">
        <v>47</v>
      </c>
      <c r="K1079" s="15">
        <f>(VLOOKUP(H1079,'[1]BOM Info General'!$A:$L,12,0))*I1079</f>
        <v>27.18</v>
      </c>
      <c r="L1079" s="22" t="s">
        <v>81</v>
      </c>
      <c r="M1079" s="22">
        <v>1</v>
      </c>
      <c r="N1079" s="22" t="s">
        <v>80</v>
      </c>
      <c r="O1079" s="9">
        <f>(VLOOKUP(L1079,'[1]Simulation pricing per sub assy'!$D:$E,2,0))*M1079</f>
        <v>95.756400000000042</v>
      </c>
      <c r="P1079" s="23" t="s">
        <v>52</v>
      </c>
      <c r="Q1079" s="23">
        <v>8</v>
      </c>
      <c r="R1079" s="23" t="s">
        <v>18</v>
      </c>
      <c r="S1079" s="40">
        <f>(VLOOKUP(P1079,'[1]BOM Info General'!$A:$L,12,0))*Q1079</f>
        <v>21.2</v>
      </c>
      <c r="T1079" s="24" t="s">
        <v>26</v>
      </c>
      <c r="U1079" s="24">
        <v>1</v>
      </c>
      <c r="V1079" s="24" t="s">
        <v>27</v>
      </c>
      <c r="W1079" s="17">
        <f>(VLOOKUP(T1079,'[1]Simulation pricing per sub assy'!$D:$E,2,0))*U1079</f>
        <v>7.04</v>
      </c>
      <c r="X1079" s="18" t="s">
        <v>616</v>
      </c>
      <c r="Y1079" s="25">
        <v>1</v>
      </c>
      <c r="Z1079" s="25" t="s">
        <v>23</v>
      </c>
      <c r="AA1079" s="18">
        <f>(VLOOKUP(X1079,'[1]Simulation pricing per sub assy'!$D:$E,2,0))*Y1079</f>
        <v>4.4802908000000006</v>
      </c>
    </row>
    <row r="1080" spans="1:27" x14ac:dyDescent="0.35">
      <c r="A1080" s="13" t="s">
        <v>1439</v>
      </c>
      <c r="B1080" s="13" t="s">
        <v>1440</v>
      </c>
      <c r="C1080" s="42">
        <f t="shared" si="16"/>
        <v>285.22669080000003</v>
      </c>
      <c r="D1080" s="20" t="s">
        <v>43</v>
      </c>
      <c r="E1080" s="20">
        <v>2</v>
      </c>
      <c r="F1080" s="20" t="s">
        <v>3983</v>
      </c>
      <c r="G1080" s="14">
        <f>(VLOOKUP(D1080,'[1]BOM Info General'!$A:$L,12,0))*E1080</f>
        <v>130.12</v>
      </c>
      <c r="H1080" s="21" t="s">
        <v>41</v>
      </c>
      <c r="I1080" s="21">
        <v>1</v>
      </c>
      <c r="J1080" s="21" t="s">
        <v>47</v>
      </c>
      <c r="K1080" s="15">
        <f>(VLOOKUP(H1080,'[1]BOM Info General'!$A:$L,12,0))*I1080</f>
        <v>27.18</v>
      </c>
      <c r="L1080" s="22" t="s">
        <v>87</v>
      </c>
      <c r="M1080" s="22">
        <v>1</v>
      </c>
      <c r="N1080" s="22" t="s">
        <v>84</v>
      </c>
      <c r="O1080" s="9">
        <f>(VLOOKUP(L1080,'[1]Simulation pricing per sub assy'!$D:$E,2,0))*M1080</f>
        <v>95.206400000000031</v>
      </c>
      <c r="P1080" s="23" t="s">
        <v>52</v>
      </c>
      <c r="Q1080" s="23">
        <v>8</v>
      </c>
      <c r="R1080" s="23" t="s">
        <v>18</v>
      </c>
      <c r="S1080" s="40">
        <f>(VLOOKUP(P1080,'[1]BOM Info General'!$A:$L,12,0))*Q1080</f>
        <v>21.2</v>
      </c>
      <c r="T1080" s="24" t="s">
        <v>26</v>
      </c>
      <c r="U1080" s="24">
        <v>1</v>
      </c>
      <c r="V1080" s="24" t="s">
        <v>27</v>
      </c>
      <c r="W1080" s="17">
        <f>(VLOOKUP(T1080,'[1]Simulation pricing per sub assy'!$D:$E,2,0))*U1080</f>
        <v>7.04</v>
      </c>
      <c r="X1080" s="18" t="s">
        <v>616</v>
      </c>
      <c r="Y1080" s="25">
        <v>1</v>
      </c>
      <c r="Z1080" s="25" t="s">
        <v>23</v>
      </c>
      <c r="AA1080" s="18">
        <f>(VLOOKUP(X1080,'[1]Simulation pricing per sub assy'!$D:$E,2,0))*Y1080</f>
        <v>4.4802908000000006</v>
      </c>
    </row>
    <row r="1081" spans="1:27" x14ac:dyDescent="0.35">
      <c r="A1081" s="13" t="s">
        <v>1475</v>
      </c>
      <c r="B1081" s="13" t="s">
        <v>1476</v>
      </c>
      <c r="C1081" s="42">
        <f t="shared" si="16"/>
        <v>293.18669080000001</v>
      </c>
      <c r="D1081" s="20" t="s">
        <v>43</v>
      </c>
      <c r="E1081" s="20">
        <v>2</v>
      </c>
      <c r="F1081" s="20" t="s">
        <v>3983</v>
      </c>
      <c r="G1081" s="14">
        <f>(VLOOKUP(D1081,'[1]BOM Info General'!$A:$L,12,0))*E1081</f>
        <v>130.12</v>
      </c>
      <c r="H1081" s="21" t="s">
        <v>41</v>
      </c>
      <c r="I1081" s="21">
        <v>1</v>
      </c>
      <c r="J1081" s="21" t="s">
        <v>47</v>
      </c>
      <c r="K1081" s="15">
        <f>(VLOOKUP(H1081,'[1]BOM Info General'!$A:$L,12,0))*I1081</f>
        <v>27.18</v>
      </c>
      <c r="L1081" s="22" t="s">
        <v>83</v>
      </c>
      <c r="M1081" s="22">
        <v>1</v>
      </c>
      <c r="N1081" s="22" t="s">
        <v>86</v>
      </c>
      <c r="O1081" s="9">
        <f>(VLOOKUP(L1081,'[1]Simulation pricing per sub assy'!$D:$E,2,0))*M1081</f>
        <v>103.16640000000004</v>
      </c>
      <c r="P1081" s="23" t="s">
        <v>52</v>
      </c>
      <c r="Q1081" s="23">
        <v>8</v>
      </c>
      <c r="R1081" s="23" t="s">
        <v>18</v>
      </c>
      <c r="S1081" s="40">
        <f>(VLOOKUP(P1081,'[1]BOM Info General'!$A:$L,12,0))*Q1081</f>
        <v>21.2</v>
      </c>
      <c r="T1081" s="24" t="s">
        <v>26</v>
      </c>
      <c r="U1081" s="24">
        <v>1</v>
      </c>
      <c r="V1081" s="24" t="s">
        <v>27</v>
      </c>
      <c r="W1081" s="17">
        <f>(VLOOKUP(T1081,'[1]Simulation pricing per sub assy'!$D:$E,2,0))*U1081</f>
        <v>7.04</v>
      </c>
      <c r="X1081" s="18" t="s">
        <v>616</v>
      </c>
      <c r="Y1081" s="25">
        <v>1</v>
      </c>
      <c r="Z1081" s="25" t="s">
        <v>23</v>
      </c>
      <c r="AA1081" s="18">
        <f>(VLOOKUP(X1081,'[1]Simulation pricing per sub assy'!$D:$E,2,0))*Y1081</f>
        <v>4.4802908000000006</v>
      </c>
    </row>
    <row r="1082" spans="1:27" x14ac:dyDescent="0.35">
      <c r="A1082" s="13" t="s">
        <v>1495</v>
      </c>
      <c r="B1082" s="13" t="s">
        <v>1496</v>
      </c>
      <c r="C1082" s="42">
        <f t="shared" si="16"/>
        <v>284.6366908</v>
      </c>
      <c r="D1082" s="20" t="s">
        <v>43</v>
      </c>
      <c r="E1082" s="20">
        <v>2</v>
      </c>
      <c r="F1082" s="20" t="s">
        <v>3983</v>
      </c>
      <c r="G1082" s="14">
        <f>(VLOOKUP(D1082,'[1]BOM Info General'!$A:$L,12,0))*E1082</f>
        <v>130.12</v>
      </c>
      <c r="H1082" s="21" t="s">
        <v>41</v>
      </c>
      <c r="I1082" s="21">
        <v>1</v>
      </c>
      <c r="J1082" s="21" t="s">
        <v>47</v>
      </c>
      <c r="K1082" s="15">
        <f>(VLOOKUP(H1082,'[1]BOM Info General'!$A:$L,12,0))*I1082</f>
        <v>27.18</v>
      </c>
      <c r="L1082" s="22" t="s">
        <v>528</v>
      </c>
      <c r="M1082" s="22">
        <v>1</v>
      </c>
      <c r="N1082" s="22" t="s">
        <v>88</v>
      </c>
      <c r="O1082" s="9">
        <f>(VLOOKUP(L1082,'[1]Simulation pricing per sub assy'!$D:$E,2,0))*M1082</f>
        <v>94.656400000000033</v>
      </c>
      <c r="P1082" s="23" t="s">
        <v>52</v>
      </c>
      <c r="Q1082" s="23">
        <v>8</v>
      </c>
      <c r="R1082" s="23" t="s">
        <v>18</v>
      </c>
      <c r="S1082" s="40">
        <f>(VLOOKUP(P1082,'[1]BOM Info General'!$A:$L,12,0))*Q1082</f>
        <v>21.2</v>
      </c>
      <c r="T1082" s="24" t="s">
        <v>28</v>
      </c>
      <c r="U1082" s="24">
        <v>1</v>
      </c>
      <c r="V1082" s="24" t="s">
        <v>29</v>
      </c>
      <c r="W1082" s="17">
        <f>(VLOOKUP(T1082,'[1]Simulation pricing per sub assy'!$D:$E,2,0))*U1082</f>
        <v>7</v>
      </c>
      <c r="X1082" s="18" t="s">
        <v>616</v>
      </c>
      <c r="Y1082" s="25">
        <v>1</v>
      </c>
      <c r="Z1082" s="25" t="s">
        <v>23</v>
      </c>
      <c r="AA1082" s="18">
        <f>(VLOOKUP(X1082,'[1]Simulation pricing per sub assy'!$D:$E,2,0))*Y1082</f>
        <v>4.4802908000000006</v>
      </c>
    </row>
    <row r="1083" spans="1:27" x14ac:dyDescent="0.35">
      <c r="A1083" s="13" t="s">
        <v>1423</v>
      </c>
      <c r="B1083" s="13" t="s">
        <v>1424</v>
      </c>
      <c r="C1083" s="42">
        <f t="shared" si="16"/>
        <v>285.73669080000002</v>
      </c>
      <c r="D1083" s="20" t="s">
        <v>43</v>
      </c>
      <c r="E1083" s="20">
        <v>2</v>
      </c>
      <c r="F1083" s="20" t="s">
        <v>3983</v>
      </c>
      <c r="G1083" s="14">
        <f>(VLOOKUP(D1083,'[1]BOM Info General'!$A:$L,12,0))*E1083</f>
        <v>130.12</v>
      </c>
      <c r="H1083" s="21" t="s">
        <v>41</v>
      </c>
      <c r="I1083" s="21">
        <v>1</v>
      </c>
      <c r="J1083" s="21" t="s">
        <v>47</v>
      </c>
      <c r="K1083" s="15">
        <f>(VLOOKUP(H1083,'[1]BOM Info General'!$A:$L,12,0))*I1083</f>
        <v>27.18</v>
      </c>
      <c r="L1083" s="22" t="s">
        <v>85</v>
      </c>
      <c r="M1083" s="22">
        <v>1</v>
      </c>
      <c r="N1083" s="22" t="s">
        <v>82</v>
      </c>
      <c r="O1083" s="9">
        <f>(VLOOKUP(L1083,'[1]Simulation pricing per sub assy'!$D:$E,2,0))*M1083</f>
        <v>95.756400000000042</v>
      </c>
      <c r="P1083" s="23" t="s">
        <v>52</v>
      </c>
      <c r="Q1083" s="23">
        <v>8</v>
      </c>
      <c r="R1083" s="23" t="s">
        <v>18</v>
      </c>
      <c r="S1083" s="40">
        <f>(VLOOKUP(P1083,'[1]BOM Info General'!$A:$L,12,0))*Q1083</f>
        <v>21.2</v>
      </c>
      <c r="T1083" s="24" t="s">
        <v>28</v>
      </c>
      <c r="U1083" s="24">
        <v>1</v>
      </c>
      <c r="V1083" s="24" t="s">
        <v>29</v>
      </c>
      <c r="W1083" s="17">
        <f>(VLOOKUP(T1083,'[1]Simulation pricing per sub assy'!$D:$E,2,0))*U1083</f>
        <v>7</v>
      </c>
      <c r="X1083" s="18" t="s">
        <v>616</v>
      </c>
      <c r="Y1083" s="25">
        <v>1</v>
      </c>
      <c r="Z1083" s="25" t="s">
        <v>23</v>
      </c>
      <c r="AA1083" s="18">
        <f>(VLOOKUP(X1083,'[1]Simulation pricing per sub assy'!$D:$E,2,0))*Y1083</f>
        <v>4.4802908000000006</v>
      </c>
    </row>
    <row r="1084" spans="1:27" x14ac:dyDescent="0.35">
      <c r="A1084" s="13" t="s">
        <v>1459</v>
      </c>
      <c r="B1084" s="13" t="s">
        <v>1460</v>
      </c>
      <c r="C1084" s="42">
        <f t="shared" si="16"/>
        <v>285.73669080000002</v>
      </c>
      <c r="D1084" s="20" t="s">
        <v>43</v>
      </c>
      <c r="E1084" s="20">
        <v>2</v>
      </c>
      <c r="F1084" s="20" t="s">
        <v>3983</v>
      </c>
      <c r="G1084" s="14">
        <f>(VLOOKUP(D1084,'[1]BOM Info General'!$A:$L,12,0))*E1084</f>
        <v>130.12</v>
      </c>
      <c r="H1084" s="21" t="s">
        <v>41</v>
      </c>
      <c r="I1084" s="21">
        <v>1</v>
      </c>
      <c r="J1084" s="21" t="s">
        <v>47</v>
      </c>
      <c r="K1084" s="15">
        <f>(VLOOKUP(H1084,'[1]BOM Info General'!$A:$L,12,0))*I1084</f>
        <v>27.18</v>
      </c>
      <c r="L1084" s="22" t="s">
        <v>81</v>
      </c>
      <c r="M1084" s="22">
        <v>1</v>
      </c>
      <c r="N1084" s="22" t="s">
        <v>80</v>
      </c>
      <c r="O1084" s="9">
        <f>(VLOOKUP(L1084,'[1]Simulation pricing per sub assy'!$D:$E,2,0))*M1084</f>
        <v>95.756400000000042</v>
      </c>
      <c r="P1084" s="23" t="s">
        <v>52</v>
      </c>
      <c r="Q1084" s="23">
        <v>8</v>
      </c>
      <c r="R1084" s="23" t="s">
        <v>18</v>
      </c>
      <c r="S1084" s="40">
        <f>(VLOOKUP(P1084,'[1]BOM Info General'!$A:$L,12,0))*Q1084</f>
        <v>21.2</v>
      </c>
      <c r="T1084" s="24" t="s">
        <v>28</v>
      </c>
      <c r="U1084" s="24">
        <v>1</v>
      </c>
      <c r="V1084" s="24" t="s">
        <v>29</v>
      </c>
      <c r="W1084" s="17">
        <f>(VLOOKUP(T1084,'[1]Simulation pricing per sub assy'!$D:$E,2,0))*U1084</f>
        <v>7</v>
      </c>
      <c r="X1084" s="18" t="s">
        <v>616</v>
      </c>
      <c r="Y1084" s="25">
        <v>1</v>
      </c>
      <c r="Z1084" s="25" t="s">
        <v>23</v>
      </c>
      <c r="AA1084" s="18">
        <f>(VLOOKUP(X1084,'[1]Simulation pricing per sub assy'!$D:$E,2,0))*Y1084</f>
        <v>4.4802908000000006</v>
      </c>
    </row>
    <row r="1085" spans="1:27" x14ac:dyDescent="0.35">
      <c r="A1085" s="13" t="s">
        <v>1441</v>
      </c>
      <c r="B1085" s="13" t="s">
        <v>1442</v>
      </c>
      <c r="C1085" s="42">
        <f t="shared" si="16"/>
        <v>285.18669080000001</v>
      </c>
      <c r="D1085" s="20" t="s">
        <v>43</v>
      </c>
      <c r="E1085" s="20">
        <v>2</v>
      </c>
      <c r="F1085" s="20" t="s">
        <v>3983</v>
      </c>
      <c r="G1085" s="14">
        <f>(VLOOKUP(D1085,'[1]BOM Info General'!$A:$L,12,0))*E1085</f>
        <v>130.12</v>
      </c>
      <c r="H1085" s="21" t="s">
        <v>41</v>
      </c>
      <c r="I1085" s="21">
        <v>1</v>
      </c>
      <c r="J1085" s="21" t="s">
        <v>47</v>
      </c>
      <c r="K1085" s="15">
        <f>(VLOOKUP(H1085,'[1]BOM Info General'!$A:$L,12,0))*I1085</f>
        <v>27.18</v>
      </c>
      <c r="L1085" s="22" t="s">
        <v>87</v>
      </c>
      <c r="M1085" s="22">
        <v>1</v>
      </c>
      <c r="N1085" s="22" t="s">
        <v>84</v>
      </c>
      <c r="O1085" s="9">
        <f>(VLOOKUP(L1085,'[1]Simulation pricing per sub assy'!$D:$E,2,0))*M1085</f>
        <v>95.206400000000031</v>
      </c>
      <c r="P1085" s="23" t="s">
        <v>52</v>
      </c>
      <c r="Q1085" s="23">
        <v>8</v>
      </c>
      <c r="R1085" s="23" t="s">
        <v>18</v>
      </c>
      <c r="S1085" s="40">
        <f>(VLOOKUP(P1085,'[1]BOM Info General'!$A:$L,12,0))*Q1085</f>
        <v>21.2</v>
      </c>
      <c r="T1085" s="24" t="s">
        <v>28</v>
      </c>
      <c r="U1085" s="24">
        <v>1</v>
      </c>
      <c r="V1085" s="24" t="s">
        <v>29</v>
      </c>
      <c r="W1085" s="17">
        <f>(VLOOKUP(T1085,'[1]Simulation pricing per sub assy'!$D:$E,2,0))*U1085</f>
        <v>7</v>
      </c>
      <c r="X1085" s="18" t="s">
        <v>616</v>
      </c>
      <c r="Y1085" s="25">
        <v>1</v>
      </c>
      <c r="Z1085" s="25" t="s">
        <v>23</v>
      </c>
      <c r="AA1085" s="18">
        <f>(VLOOKUP(X1085,'[1]Simulation pricing per sub assy'!$D:$E,2,0))*Y1085</f>
        <v>4.4802908000000006</v>
      </c>
    </row>
    <row r="1086" spans="1:27" x14ac:dyDescent="0.35">
      <c r="A1086" s="13" t="s">
        <v>1477</v>
      </c>
      <c r="B1086" s="13" t="s">
        <v>1478</v>
      </c>
      <c r="C1086" s="42">
        <f t="shared" si="16"/>
        <v>293.14669079999999</v>
      </c>
      <c r="D1086" s="20" t="s">
        <v>43</v>
      </c>
      <c r="E1086" s="20">
        <v>2</v>
      </c>
      <c r="F1086" s="20" t="s">
        <v>3983</v>
      </c>
      <c r="G1086" s="14">
        <f>(VLOOKUP(D1086,'[1]BOM Info General'!$A:$L,12,0))*E1086</f>
        <v>130.12</v>
      </c>
      <c r="H1086" s="21" t="s">
        <v>41</v>
      </c>
      <c r="I1086" s="21">
        <v>1</v>
      </c>
      <c r="J1086" s="21" t="s">
        <v>47</v>
      </c>
      <c r="K1086" s="15">
        <f>(VLOOKUP(H1086,'[1]BOM Info General'!$A:$L,12,0))*I1086</f>
        <v>27.18</v>
      </c>
      <c r="L1086" s="22" t="s">
        <v>83</v>
      </c>
      <c r="M1086" s="22">
        <v>1</v>
      </c>
      <c r="N1086" s="22" t="s">
        <v>86</v>
      </c>
      <c r="O1086" s="9">
        <f>(VLOOKUP(L1086,'[1]Simulation pricing per sub assy'!$D:$E,2,0))*M1086</f>
        <v>103.16640000000004</v>
      </c>
      <c r="P1086" s="23" t="s">
        <v>52</v>
      </c>
      <c r="Q1086" s="23">
        <v>8</v>
      </c>
      <c r="R1086" s="23" t="s">
        <v>18</v>
      </c>
      <c r="S1086" s="40">
        <f>(VLOOKUP(P1086,'[1]BOM Info General'!$A:$L,12,0))*Q1086</f>
        <v>21.2</v>
      </c>
      <c r="T1086" s="24" t="s">
        <v>28</v>
      </c>
      <c r="U1086" s="24">
        <v>1</v>
      </c>
      <c r="V1086" s="24" t="s">
        <v>29</v>
      </c>
      <c r="W1086" s="17">
        <f>(VLOOKUP(T1086,'[1]Simulation pricing per sub assy'!$D:$E,2,0))*U1086</f>
        <v>7</v>
      </c>
      <c r="X1086" s="18" t="s">
        <v>616</v>
      </c>
      <c r="Y1086" s="25">
        <v>1</v>
      </c>
      <c r="Z1086" s="25" t="s">
        <v>23</v>
      </c>
      <c r="AA1086" s="18">
        <f>(VLOOKUP(X1086,'[1]Simulation pricing per sub assy'!$D:$E,2,0))*Y1086</f>
        <v>4.4802908000000006</v>
      </c>
    </row>
    <row r="1087" spans="1:27" x14ac:dyDescent="0.35">
      <c r="A1087" s="13" t="s">
        <v>1405</v>
      </c>
      <c r="B1087" s="13" t="s">
        <v>1406</v>
      </c>
      <c r="C1087" s="42">
        <f t="shared" si="16"/>
        <v>286.1966908</v>
      </c>
      <c r="D1087" s="20" t="s">
        <v>43</v>
      </c>
      <c r="E1087" s="20">
        <v>2</v>
      </c>
      <c r="F1087" s="20" t="s">
        <v>3983</v>
      </c>
      <c r="G1087" s="14">
        <f>(VLOOKUP(D1087,'[1]BOM Info General'!$A:$L,12,0))*E1087</f>
        <v>130.12</v>
      </c>
      <c r="H1087" s="21" t="s">
        <v>41</v>
      </c>
      <c r="I1087" s="21">
        <v>1</v>
      </c>
      <c r="J1087" s="21" t="s">
        <v>47</v>
      </c>
      <c r="K1087" s="15">
        <f>(VLOOKUP(H1087,'[1]BOM Info General'!$A:$L,12,0))*I1087</f>
        <v>27.18</v>
      </c>
      <c r="L1087" s="22" t="s">
        <v>528</v>
      </c>
      <c r="M1087" s="22">
        <v>1</v>
      </c>
      <c r="N1087" s="22" t="s">
        <v>88</v>
      </c>
      <c r="O1087" s="9">
        <f>(VLOOKUP(L1087,'[1]Simulation pricing per sub assy'!$D:$E,2,0))*M1087</f>
        <v>94.656400000000033</v>
      </c>
      <c r="P1087" s="23" t="s">
        <v>50</v>
      </c>
      <c r="Q1087" s="23">
        <v>8</v>
      </c>
      <c r="R1087" s="23" t="s">
        <v>611</v>
      </c>
      <c r="S1087" s="40">
        <f>(VLOOKUP(P1087,'[1]BOM Info General'!$A:$L,12,0))*Q1087</f>
        <v>21.2</v>
      </c>
      <c r="T1087" s="24" t="s">
        <v>30</v>
      </c>
      <c r="U1087" s="24">
        <v>1</v>
      </c>
      <c r="V1087" s="24" t="s">
        <v>31</v>
      </c>
      <c r="W1087" s="17">
        <f>(VLOOKUP(T1087,'[1]Simulation pricing per sub assy'!$D:$E,2,0))*U1087</f>
        <v>8.5599999999999987</v>
      </c>
      <c r="X1087" s="18" t="s">
        <v>616</v>
      </c>
      <c r="Y1087" s="25">
        <v>1</v>
      </c>
      <c r="Z1087" s="25" t="s">
        <v>23</v>
      </c>
      <c r="AA1087" s="18">
        <f>(VLOOKUP(X1087,'[1]Simulation pricing per sub assy'!$D:$E,2,0))*Y1087</f>
        <v>4.4802908000000006</v>
      </c>
    </row>
    <row r="1088" spans="1:27" x14ac:dyDescent="0.35">
      <c r="A1088" s="13" t="s">
        <v>1397</v>
      </c>
      <c r="B1088" s="13" t="s">
        <v>1398</v>
      </c>
      <c r="C1088" s="42">
        <f t="shared" si="16"/>
        <v>287.29669080000002</v>
      </c>
      <c r="D1088" s="20" t="s">
        <v>43</v>
      </c>
      <c r="E1088" s="20">
        <v>2</v>
      </c>
      <c r="F1088" s="20" t="s">
        <v>3983</v>
      </c>
      <c r="G1088" s="14">
        <f>(VLOOKUP(D1088,'[1]BOM Info General'!$A:$L,12,0))*E1088</f>
        <v>130.12</v>
      </c>
      <c r="H1088" s="21" t="s">
        <v>41</v>
      </c>
      <c r="I1088" s="21">
        <v>1</v>
      </c>
      <c r="J1088" s="21" t="s">
        <v>47</v>
      </c>
      <c r="K1088" s="15">
        <f>(VLOOKUP(H1088,'[1]BOM Info General'!$A:$L,12,0))*I1088</f>
        <v>27.18</v>
      </c>
      <c r="L1088" s="22" t="s">
        <v>85</v>
      </c>
      <c r="M1088" s="22">
        <v>1</v>
      </c>
      <c r="N1088" s="22" t="s">
        <v>82</v>
      </c>
      <c r="O1088" s="9">
        <f>(VLOOKUP(L1088,'[1]Simulation pricing per sub assy'!$D:$E,2,0))*M1088</f>
        <v>95.756400000000042</v>
      </c>
      <c r="P1088" s="23" t="s">
        <v>50</v>
      </c>
      <c r="Q1088" s="23">
        <v>8</v>
      </c>
      <c r="R1088" s="23" t="s">
        <v>611</v>
      </c>
      <c r="S1088" s="40">
        <f>(VLOOKUP(P1088,'[1]BOM Info General'!$A:$L,12,0))*Q1088</f>
        <v>21.2</v>
      </c>
      <c r="T1088" s="24" t="s">
        <v>30</v>
      </c>
      <c r="U1088" s="24">
        <v>1</v>
      </c>
      <c r="V1088" s="24" t="s">
        <v>31</v>
      </c>
      <c r="W1088" s="17">
        <f>(VLOOKUP(T1088,'[1]Simulation pricing per sub assy'!$D:$E,2,0))*U1088</f>
        <v>8.5599999999999987</v>
      </c>
      <c r="X1088" s="18" t="s">
        <v>616</v>
      </c>
      <c r="Y1088" s="25">
        <v>1</v>
      </c>
      <c r="Z1088" s="25" t="s">
        <v>23</v>
      </c>
      <c r="AA1088" s="18">
        <f>(VLOOKUP(X1088,'[1]Simulation pricing per sub assy'!$D:$E,2,0))*Y1088</f>
        <v>4.4802908000000006</v>
      </c>
    </row>
    <row r="1089" spans="1:27" x14ac:dyDescent="0.35">
      <c r="A1089" s="13" t="s">
        <v>1401</v>
      </c>
      <c r="B1089" s="13" t="s">
        <v>1402</v>
      </c>
      <c r="C1089" s="42">
        <f t="shared" si="16"/>
        <v>287.29669080000002</v>
      </c>
      <c r="D1089" s="20" t="s">
        <v>43</v>
      </c>
      <c r="E1089" s="20">
        <v>2</v>
      </c>
      <c r="F1089" s="20" t="s">
        <v>3983</v>
      </c>
      <c r="G1089" s="14">
        <f>(VLOOKUP(D1089,'[1]BOM Info General'!$A:$L,12,0))*E1089</f>
        <v>130.12</v>
      </c>
      <c r="H1089" s="21" t="s">
        <v>41</v>
      </c>
      <c r="I1089" s="21">
        <v>1</v>
      </c>
      <c r="J1089" s="21" t="s">
        <v>47</v>
      </c>
      <c r="K1089" s="15">
        <f>(VLOOKUP(H1089,'[1]BOM Info General'!$A:$L,12,0))*I1089</f>
        <v>27.18</v>
      </c>
      <c r="L1089" s="22" t="s">
        <v>81</v>
      </c>
      <c r="M1089" s="22">
        <v>1</v>
      </c>
      <c r="N1089" s="22" t="s">
        <v>80</v>
      </c>
      <c r="O1089" s="9">
        <f>(VLOOKUP(L1089,'[1]Simulation pricing per sub assy'!$D:$E,2,0))*M1089</f>
        <v>95.756400000000042</v>
      </c>
      <c r="P1089" s="23" t="s">
        <v>50</v>
      </c>
      <c r="Q1089" s="23">
        <v>8</v>
      </c>
      <c r="R1089" s="23" t="s">
        <v>611</v>
      </c>
      <c r="S1089" s="40">
        <f>(VLOOKUP(P1089,'[1]BOM Info General'!$A:$L,12,0))*Q1089</f>
        <v>21.2</v>
      </c>
      <c r="T1089" s="24" t="s">
        <v>30</v>
      </c>
      <c r="U1089" s="24">
        <v>1</v>
      </c>
      <c r="V1089" s="24" t="s">
        <v>31</v>
      </c>
      <c r="W1089" s="17">
        <f>(VLOOKUP(T1089,'[1]Simulation pricing per sub assy'!$D:$E,2,0))*U1089</f>
        <v>8.5599999999999987</v>
      </c>
      <c r="X1089" s="18" t="s">
        <v>616</v>
      </c>
      <c r="Y1089" s="25">
        <v>1</v>
      </c>
      <c r="Z1089" s="25" t="s">
        <v>23</v>
      </c>
      <c r="AA1089" s="18">
        <f>(VLOOKUP(X1089,'[1]Simulation pricing per sub assy'!$D:$E,2,0))*Y1089</f>
        <v>4.4802908000000006</v>
      </c>
    </row>
    <row r="1090" spans="1:27" x14ac:dyDescent="0.35">
      <c r="A1090" s="13" t="s">
        <v>1399</v>
      </c>
      <c r="B1090" s="13" t="s">
        <v>1400</v>
      </c>
      <c r="C1090" s="42">
        <f t="shared" si="16"/>
        <v>286.74669080000001</v>
      </c>
      <c r="D1090" s="20" t="s">
        <v>43</v>
      </c>
      <c r="E1090" s="20">
        <v>2</v>
      </c>
      <c r="F1090" s="20" t="s">
        <v>3983</v>
      </c>
      <c r="G1090" s="14">
        <f>(VLOOKUP(D1090,'[1]BOM Info General'!$A:$L,12,0))*E1090</f>
        <v>130.12</v>
      </c>
      <c r="H1090" s="21" t="s">
        <v>41</v>
      </c>
      <c r="I1090" s="21">
        <v>1</v>
      </c>
      <c r="J1090" s="21" t="s">
        <v>47</v>
      </c>
      <c r="K1090" s="15">
        <f>(VLOOKUP(H1090,'[1]BOM Info General'!$A:$L,12,0))*I1090</f>
        <v>27.18</v>
      </c>
      <c r="L1090" s="22" t="s">
        <v>87</v>
      </c>
      <c r="M1090" s="22">
        <v>1</v>
      </c>
      <c r="N1090" s="22" t="s">
        <v>84</v>
      </c>
      <c r="O1090" s="9">
        <f>(VLOOKUP(L1090,'[1]Simulation pricing per sub assy'!$D:$E,2,0))*M1090</f>
        <v>95.206400000000031</v>
      </c>
      <c r="P1090" s="23" t="s">
        <v>50</v>
      </c>
      <c r="Q1090" s="23">
        <v>8</v>
      </c>
      <c r="R1090" s="23" t="s">
        <v>611</v>
      </c>
      <c r="S1090" s="40">
        <f>(VLOOKUP(P1090,'[1]BOM Info General'!$A:$L,12,0))*Q1090</f>
        <v>21.2</v>
      </c>
      <c r="T1090" s="24" t="s">
        <v>30</v>
      </c>
      <c r="U1090" s="24">
        <v>1</v>
      </c>
      <c r="V1090" s="24" t="s">
        <v>31</v>
      </c>
      <c r="W1090" s="17">
        <f>(VLOOKUP(T1090,'[1]Simulation pricing per sub assy'!$D:$E,2,0))*U1090</f>
        <v>8.5599999999999987</v>
      </c>
      <c r="X1090" s="18" t="s">
        <v>616</v>
      </c>
      <c r="Y1090" s="25">
        <v>1</v>
      </c>
      <c r="Z1090" s="25" t="s">
        <v>23</v>
      </c>
      <c r="AA1090" s="18">
        <f>(VLOOKUP(X1090,'[1]Simulation pricing per sub assy'!$D:$E,2,0))*Y1090</f>
        <v>4.4802908000000006</v>
      </c>
    </row>
    <row r="1091" spans="1:27" x14ac:dyDescent="0.35">
      <c r="A1091" s="13" t="s">
        <v>1403</v>
      </c>
      <c r="B1091" s="13" t="s">
        <v>1404</v>
      </c>
      <c r="C1091" s="42">
        <f t="shared" ref="C1091:C1154" si="17">SUM(G1091+K1091+O1091+S1091+W1091+AA1091)</f>
        <v>294.70669079999999</v>
      </c>
      <c r="D1091" s="20" t="s">
        <v>43</v>
      </c>
      <c r="E1091" s="20">
        <v>2</v>
      </c>
      <c r="F1091" s="20" t="s">
        <v>3983</v>
      </c>
      <c r="G1091" s="14">
        <f>(VLOOKUP(D1091,'[1]BOM Info General'!$A:$L,12,0))*E1091</f>
        <v>130.12</v>
      </c>
      <c r="H1091" s="21" t="s">
        <v>41</v>
      </c>
      <c r="I1091" s="21">
        <v>1</v>
      </c>
      <c r="J1091" s="21" t="s">
        <v>47</v>
      </c>
      <c r="K1091" s="15">
        <f>(VLOOKUP(H1091,'[1]BOM Info General'!$A:$L,12,0))*I1091</f>
        <v>27.18</v>
      </c>
      <c r="L1091" s="22" t="s">
        <v>83</v>
      </c>
      <c r="M1091" s="22">
        <v>1</v>
      </c>
      <c r="N1091" s="22" t="s">
        <v>86</v>
      </c>
      <c r="O1091" s="9">
        <f>(VLOOKUP(L1091,'[1]Simulation pricing per sub assy'!$D:$E,2,0))*M1091</f>
        <v>103.16640000000004</v>
      </c>
      <c r="P1091" s="23" t="s">
        <v>50</v>
      </c>
      <c r="Q1091" s="23">
        <v>8</v>
      </c>
      <c r="R1091" s="23" t="s">
        <v>611</v>
      </c>
      <c r="S1091" s="40">
        <f>(VLOOKUP(P1091,'[1]BOM Info General'!$A:$L,12,0))*Q1091</f>
        <v>21.2</v>
      </c>
      <c r="T1091" s="24" t="s">
        <v>30</v>
      </c>
      <c r="U1091" s="24">
        <v>1</v>
      </c>
      <c r="V1091" s="24" t="s">
        <v>31</v>
      </c>
      <c r="W1091" s="17">
        <f>(VLOOKUP(T1091,'[1]Simulation pricing per sub assy'!$D:$E,2,0))*U1091</f>
        <v>8.5599999999999987</v>
      </c>
      <c r="X1091" s="18" t="s">
        <v>616</v>
      </c>
      <c r="Y1091" s="25">
        <v>1</v>
      </c>
      <c r="Z1091" s="25" t="s">
        <v>23</v>
      </c>
      <c r="AA1091" s="18">
        <f>(VLOOKUP(X1091,'[1]Simulation pricing per sub assy'!$D:$E,2,0))*Y1091</f>
        <v>4.4802908000000006</v>
      </c>
    </row>
    <row r="1092" spans="1:27" x14ac:dyDescent="0.35">
      <c r="A1092" s="13" t="s">
        <v>1505</v>
      </c>
      <c r="B1092" s="13" t="s">
        <v>1506</v>
      </c>
      <c r="C1092" s="42">
        <f t="shared" si="17"/>
        <v>284.83669079999999</v>
      </c>
      <c r="D1092" s="20" t="s">
        <v>43</v>
      </c>
      <c r="E1092" s="20">
        <v>2</v>
      </c>
      <c r="F1092" s="20" t="s">
        <v>3983</v>
      </c>
      <c r="G1092" s="14">
        <f>(VLOOKUP(D1092,'[1]BOM Info General'!$A:$L,12,0))*E1092</f>
        <v>130.12</v>
      </c>
      <c r="H1092" s="21" t="s">
        <v>41</v>
      </c>
      <c r="I1092" s="21">
        <v>1</v>
      </c>
      <c r="J1092" s="21" t="s">
        <v>47</v>
      </c>
      <c r="K1092" s="15">
        <f>(VLOOKUP(H1092,'[1]BOM Info General'!$A:$L,12,0))*I1092</f>
        <v>27.18</v>
      </c>
      <c r="L1092" s="22" t="s">
        <v>528</v>
      </c>
      <c r="M1092" s="22">
        <v>1</v>
      </c>
      <c r="N1092" s="22" t="s">
        <v>88</v>
      </c>
      <c r="O1092" s="9">
        <f>(VLOOKUP(L1092,'[1]Simulation pricing per sub assy'!$D:$E,2,0))*M1092</f>
        <v>94.656400000000033</v>
      </c>
      <c r="P1092" s="23" t="s">
        <v>50</v>
      </c>
      <c r="Q1092" s="23">
        <v>8</v>
      </c>
      <c r="R1092" s="23" t="s">
        <v>611</v>
      </c>
      <c r="S1092" s="40">
        <f>(VLOOKUP(P1092,'[1]BOM Info General'!$A:$L,12,0))*Q1092</f>
        <v>21.2</v>
      </c>
      <c r="T1092" s="24" t="s">
        <v>21</v>
      </c>
      <c r="U1092" s="24">
        <v>1</v>
      </c>
      <c r="V1092" s="24" t="s">
        <v>22</v>
      </c>
      <c r="W1092" s="17">
        <f>(VLOOKUP(T1092,'[1]Simulation pricing per sub assy'!$D:$E,2,0))*U1092</f>
        <v>7.2</v>
      </c>
      <c r="X1092" s="18" t="s">
        <v>616</v>
      </c>
      <c r="Y1092" s="25">
        <v>1</v>
      </c>
      <c r="Z1092" s="25" t="s">
        <v>23</v>
      </c>
      <c r="AA1092" s="18">
        <f>(VLOOKUP(X1092,'[1]Simulation pricing per sub assy'!$D:$E,2,0))*Y1092</f>
        <v>4.4802908000000006</v>
      </c>
    </row>
    <row r="1093" spans="1:27" x14ac:dyDescent="0.35">
      <c r="A1093" s="13" t="s">
        <v>1497</v>
      </c>
      <c r="B1093" s="13" t="s">
        <v>1498</v>
      </c>
      <c r="C1093" s="42">
        <f t="shared" si="17"/>
        <v>285.93669080000001</v>
      </c>
      <c r="D1093" s="20" t="s">
        <v>43</v>
      </c>
      <c r="E1093" s="20">
        <v>2</v>
      </c>
      <c r="F1093" s="20" t="s">
        <v>3983</v>
      </c>
      <c r="G1093" s="14">
        <f>(VLOOKUP(D1093,'[1]BOM Info General'!$A:$L,12,0))*E1093</f>
        <v>130.12</v>
      </c>
      <c r="H1093" s="21" t="s">
        <v>41</v>
      </c>
      <c r="I1093" s="21">
        <v>1</v>
      </c>
      <c r="J1093" s="21" t="s">
        <v>47</v>
      </c>
      <c r="K1093" s="15">
        <f>(VLOOKUP(H1093,'[1]BOM Info General'!$A:$L,12,0))*I1093</f>
        <v>27.18</v>
      </c>
      <c r="L1093" s="22" t="s">
        <v>85</v>
      </c>
      <c r="M1093" s="22">
        <v>1</v>
      </c>
      <c r="N1093" s="22" t="s">
        <v>82</v>
      </c>
      <c r="O1093" s="9">
        <f>(VLOOKUP(L1093,'[1]Simulation pricing per sub assy'!$D:$E,2,0))*M1093</f>
        <v>95.756400000000042</v>
      </c>
      <c r="P1093" s="23" t="s">
        <v>50</v>
      </c>
      <c r="Q1093" s="23">
        <v>8</v>
      </c>
      <c r="R1093" s="23" t="s">
        <v>611</v>
      </c>
      <c r="S1093" s="40">
        <f>(VLOOKUP(P1093,'[1]BOM Info General'!$A:$L,12,0))*Q1093</f>
        <v>21.2</v>
      </c>
      <c r="T1093" s="24" t="s">
        <v>21</v>
      </c>
      <c r="U1093" s="24">
        <v>1</v>
      </c>
      <c r="V1093" s="24" t="s">
        <v>22</v>
      </c>
      <c r="W1093" s="17">
        <f>(VLOOKUP(T1093,'[1]Simulation pricing per sub assy'!$D:$E,2,0))*U1093</f>
        <v>7.2</v>
      </c>
      <c r="X1093" s="18" t="s">
        <v>616</v>
      </c>
      <c r="Y1093" s="25">
        <v>1</v>
      </c>
      <c r="Z1093" s="25" t="s">
        <v>23</v>
      </c>
      <c r="AA1093" s="18">
        <f>(VLOOKUP(X1093,'[1]Simulation pricing per sub assy'!$D:$E,2,0))*Y1093</f>
        <v>4.4802908000000006</v>
      </c>
    </row>
    <row r="1094" spans="1:27" x14ac:dyDescent="0.35">
      <c r="A1094" s="13" t="s">
        <v>1501</v>
      </c>
      <c r="B1094" s="13" t="s">
        <v>1502</v>
      </c>
      <c r="C1094" s="42">
        <f t="shared" si="17"/>
        <v>285.93669080000001</v>
      </c>
      <c r="D1094" s="20" t="s">
        <v>43</v>
      </c>
      <c r="E1094" s="20">
        <v>2</v>
      </c>
      <c r="F1094" s="20" t="s">
        <v>3983</v>
      </c>
      <c r="G1094" s="14">
        <f>(VLOOKUP(D1094,'[1]BOM Info General'!$A:$L,12,0))*E1094</f>
        <v>130.12</v>
      </c>
      <c r="H1094" s="21" t="s">
        <v>41</v>
      </c>
      <c r="I1094" s="21">
        <v>1</v>
      </c>
      <c r="J1094" s="21" t="s">
        <v>47</v>
      </c>
      <c r="K1094" s="15">
        <f>(VLOOKUP(H1094,'[1]BOM Info General'!$A:$L,12,0))*I1094</f>
        <v>27.18</v>
      </c>
      <c r="L1094" s="22" t="s">
        <v>81</v>
      </c>
      <c r="M1094" s="22">
        <v>1</v>
      </c>
      <c r="N1094" s="22" t="s">
        <v>80</v>
      </c>
      <c r="O1094" s="9">
        <f>(VLOOKUP(L1094,'[1]Simulation pricing per sub assy'!$D:$E,2,0))*M1094</f>
        <v>95.756400000000042</v>
      </c>
      <c r="P1094" s="23" t="s">
        <v>50</v>
      </c>
      <c r="Q1094" s="23">
        <v>8</v>
      </c>
      <c r="R1094" s="23" t="s">
        <v>611</v>
      </c>
      <c r="S1094" s="40">
        <f>(VLOOKUP(P1094,'[1]BOM Info General'!$A:$L,12,0))*Q1094</f>
        <v>21.2</v>
      </c>
      <c r="T1094" s="24" t="s">
        <v>21</v>
      </c>
      <c r="U1094" s="24">
        <v>1</v>
      </c>
      <c r="V1094" s="24" t="s">
        <v>22</v>
      </c>
      <c r="W1094" s="17">
        <f>(VLOOKUP(T1094,'[1]Simulation pricing per sub assy'!$D:$E,2,0))*U1094</f>
        <v>7.2</v>
      </c>
      <c r="X1094" s="18" t="s">
        <v>616</v>
      </c>
      <c r="Y1094" s="25">
        <v>1</v>
      </c>
      <c r="Z1094" s="25" t="s">
        <v>23</v>
      </c>
      <c r="AA1094" s="18">
        <f>(VLOOKUP(X1094,'[1]Simulation pricing per sub assy'!$D:$E,2,0))*Y1094</f>
        <v>4.4802908000000006</v>
      </c>
    </row>
    <row r="1095" spans="1:27" x14ac:dyDescent="0.35">
      <c r="A1095" s="13" t="s">
        <v>1499</v>
      </c>
      <c r="B1095" s="13" t="s">
        <v>1500</v>
      </c>
      <c r="C1095" s="42">
        <f t="shared" si="17"/>
        <v>285.3866908</v>
      </c>
      <c r="D1095" s="20" t="s">
        <v>43</v>
      </c>
      <c r="E1095" s="20">
        <v>2</v>
      </c>
      <c r="F1095" s="20" t="s">
        <v>3983</v>
      </c>
      <c r="G1095" s="14">
        <f>(VLOOKUP(D1095,'[1]BOM Info General'!$A:$L,12,0))*E1095</f>
        <v>130.12</v>
      </c>
      <c r="H1095" s="21" t="s">
        <v>41</v>
      </c>
      <c r="I1095" s="21">
        <v>1</v>
      </c>
      <c r="J1095" s="21" t="s">
        <v>47</v>
      </c>
      <c r="K1095" s="15">
        <f>(VLOOKUP(H1095,'[1]BOM Info General'!$A:$L,12,0))*I1095</f>
        <v>27.18</v>
      </c>
      <c r="L1095" s="22" t="s">
        <v>87</v>
      </c>
      <c r="M1095" s="22">
        <v>1</v>
      </c>
      <c r="N1095" s="22" t="s">
        <v>84</v>
      </c>
      <c r="O1095" s="9">
        <f>(VLOOKUP(L1095,'[1]Simulation pricing per sub assy'!$D:$E,2,0))*M1095</f>
        <v>95.206400000000031</v>
      </c>
      <c r="P1095" s="23" t="s">
        <v>50</v>
      </c>
      <c r="Q1095" s="23">
        <v>8</v>
      </c>
      <c r="R1095" s="23" t="s">
        <v>611</v>
      </c>
      <c r="S1095" s="40">
        <f>(VLOOKUP(P1095,'[1]BOM Info General'!$A:$L,12,0))*Q1095</f>
        <v>21.2</v>
      </c>
      <c r="T1095" s="24" t="s">
        <v>21</v>
      </c>
      <c r="U1095" s="24">
        <v>1</v>
      </c>
      <c r="V1095" s="24" t="s">
        <v>22</v>
      </c>
      <c r="W1095" s="17">
        <f>(VLOOKUP(T1095,'[1]Simulation pricing per sub assy'!$D:$E,2,0))*U1095</f>
        <v>7.2</v>
      </c>
      <c r="X1095" s="18" t="s">
        <v>616</v>
      </c>
      <c r="Y1095" s="25">
        <v>1</v>
      </c>
      <c r="Z1095" s="25" t="s">
        <v>23</v>
      </c>
      <c r="AA1095" s="18">
        <f>(VLOOKUP(X1095,'[1]Simulation pricing per sub assy'!$D:$E,2,0))*Y1095</f>
        <v>4.4802908000000006</v>
      </c>
    </row>
    <row r="1096" spans="1:27" x14ac:dyDescent="0.35">
      <c r="A1096" s="13" t="s">
        <v>1503</v>
      </c>
      <c r="B1096" s="13" t="s">
        <v>1504</v>
      </c>
      <c r="C1096" s="42">
        <f t="shared" si="17"/>
        <v>293.34669079999998</v>
      </c>
      <c r="D1096" s="20" t="s">
        <v>43</v>
      </c>
      <c r="E1096" s="20">
        <v>2</v>
      </c>
      <c r="F1096" s="20" t="s">
        <v>3983</v>
      </c>
      <c r="G1096" s="14">
        <f>(VLOOKUP(D1096,'[1]BOM Info General'!$A:$L,12,0))*E1096</f>
        <v>130.12</v>
      </c>
      <c r="H1096" s="21" t="s">
        <v>41</v>
      </c>
      <c r="I1096" s="21">
        <v>1</v>
      </c>
      <c r="J1096" s="21" t="s">
        <v>47</v>
      </c>
      <c r="K1096" s="15">
        <f>(VLOOKUP(H1096,'[1]BOM Info General'!$A:$L,12,0))*I1096</f>
        <v>27.18</v>
      </c>
      <c r="L1096" s="22" t="s">
        <v>83</v>
      </c>
      <c r="M1096" s="22">
        <v>1</v>
      </c>
      <c r="N1096" s="22" t="s">
        <v>86</v>
      </c>
      <c r="O1096" s="9">
        <f>(VLOOKUP(L1096,'[1]Simulation pricing per sub assy'!$D:$E,2,0))*M1096</f>
        <v>103.16640000000004</v>
      </c>
      <c r="P1096" s="23" t="s">
        <v>50</v>
      </c>
      <c r="Q1096" s="23">
        <v>8</v>
      </c>
      <c r="R1096" s="23" t="s">
        <v>611</v>
      </c>
      <c r="S1096" s="40">
        <f>(VLOOKUP(P1096,'[1]BOM Info General'!$A:$L,12,0))*Q1096</f>
        <v>21.2</v>
      </c>
      <c r="T1096" s="24" t="s">
        <v>21</v>
      </c>
      <c r="U1096" s="24">
        <v>1</v>
      </c>
      <c r="V1096" s="24" t="s">
        <v>22</v>
      </c>
      <c r="W1096" s="17">
        <f>(VLOOKUP(T1096,'[1]Simulation pricing per sub assy'!$D:$E,2,0))*U1096</f>
        <v>7.2</v>
      </c>
      <c r="X1096" s="18" t="s">
        <v>616</v>
      </c>
      <c r="Y1096" s="25">
        <v>1</v>
      </c>
      <c r="Z1096" s="25" t="s">
        <v>23</v>
      </c>
      <c r="AA1096" s="18">
        <f>(VLOOKUP(X1096,'[1]Simulation pricing per sub assy'!$D:$E,2,0))*Y1096</f>
        <v>4.4802908000000006</v>
      </c>
    </row>
    <row r="1097" spans="1:27" x14ac:dyDescent="0.35">
      <c r="A1097" s="13" t="s">
        <v>1589</v>
      </c>
      <c r="B1097" s="13" t="s">
        <v>1590</v>
      </c>
      <c r="C1097" s="42">
        <f t="shared" si="17"/>
        <v>284.07669079999999</v>
      </c>
      <c r="D1097" s="20" t="s">
        <v>43</v>
      </c>
      <c r="E1097" s="20">
        <v>2</v>
      </c>
      <c r="F1097" s="20" t="s">
        <v>3983</v>
      </c>
      <c r="G1097" s="14">
        <f>(VLOOKUP(D1097,'[1]BOM Info General'!$A:$L,12,0))*E1097</f>
        <v>130.12</v>
      </c>
      <c r="H1097" s="21" t="s">
        <v>41</v>
      </c>
      <c r="I1097" s="21">
        <v>1</v>
      </c>
      <c r="J1097" s="21" t="s">
        <v>47</v>
      </c>
      <c r="K1097" s="15">
        <f>(VLOOKUP(H1097,'[1]BOM Info General'!$A:$L,12,0))*I1097</f>
        <v>27.18</v>
      </c>
      <c r="L1097" s="22" t="s">
        <v>528</v>
      </c>
      <c r="M1097" s="22">
        <v>1</v>
      </c>
      <c r="N1097" s="22" t="s">
        <v>88</v>
      </c>
      <c r="O1097" s="9">
        <f>(VLOOKUP(L1097,'[1]Simulation pricing per sub assy'!$D:$E,2,0))*M1097</f>
        <v>94.656400000000033</v>
      </c>
      <c r="P1097" s="23" t="s">
        <v>50</v>
      </c>
      <c r="Q1097" s="23">
        <v>8</v>
      </c>
      <c r="R1097" s="23" t="s">
        <v>16</v>
      </c>
      <c r="S1097" s="40">
        <f>(VLOOKUP(P1097,'[1]BOM Info General'!$A:$L,12,0))*Q1097</f>
        <v>21.2</v>
      </c>
      <c r="T1097" s="24" t="s">
        <v>24</v>
      </c>
      <c r="U1097" s="24">
        <v>1</v>
      </c>
      <c r="V1097" s="24" t="s">
        <v>25</v>
      </c>
      <c r="W1097" s="17">
        <f>(VLOOKUP(T1097,'[1]Simulation pricing per sub assy'!$D:$E,2,0))*U1097</f>
        <v>6.44</v>
      </c>
      <c r="X1097" s="18" t="s">
        <v>616</v>
      </c>
      <c r="Y1097" s="25">
        <v>1</v>
      </c>
      <c r="Z1097" s="25" t="s">
        <v>23</v>
      </c>
      <c r="AA1097" s="18">
        <f>(VLOOKUP(X1097,'[1]Simulation pricing per sub assy'!$D:$E,2,0))*Y1097</f>
        <v>4.4802908000000006</v>
      </c>
    </row>
    <row r="1098" spans="1:27" x14ac:dyDescent="0.35">
      <c r="A1098" s="13" t="s">
        <v>1517</v>
      </c>
      <c r="B1098" s="13" t="s">
        <v>1518</v>
      </c>
      <c r="C1098" s="42">
        <f t="shared" si="17"/>
        <v>285.17669080000002</v>
      </c>
      <c r="D1098" s="20" t="s">
        <v>43</v>
      </c>
      <c r="E1098" s="20">
        <v>2</v>
      </c>
      <c r="F1098" s="20" t="s">
        <v>3983</v>
      </c>
      <c r="G1098" s="14">
        <f>(VLOOKUP(D1098,'[1]BOM Info General'!$A:$L,12,0))*E1098</f>
        <v>130.12</v>
      </c>
      <c r="H1098" s="21" t="s">
        <v>41</v>
      </c>
      <c r="I1098" s="21">
        <v>1</v>
      </c>
      <c r="J1098" s="21" t="s">
        <v>47</v>
      </c>
      <c r="K1098" s="15">
        <f>(VLOOKUP(H1098,'[1]BOM Info General'!$A:$L,12,0))*I1098</f>
        <v>27.18</v>
      </c>
      <c r="L1098" s="22" t="s">
        <v>85</v>
      </c>
      <c r="M1098" s="22">
        <v>1</v>
      </c>
      <c r="N1098" s="22" t="s">
        <v>82</v>
      </c>
      <c r="O1098" s="9">
        <f>(VLOOKUP(L1098,'[1]Simulation pricing per sub assy'!$D:$E,2,0))*M1098</f>
        <v>95.756400000000042</v>
      </c>
      <c r="P1098" s="23" t="s">
        <v>50</v>
      </c>
      <c r="Q1098" s="23">
        <v>8</v>
      </c>
      <c r="R1098" s="23" t="s">
        <v>16</v>
      </c>
      <c r="S1098" s="40">
        <f>(VLOOKUP(P1098,'[1]BOM Info General'!$A:$L,12,0))*Q1098</f>
        <v>21.2</v>
      </c>
      <c r="T1098" s="24" t="s">
        <v>24</v>
      </c>
      <c r="U1098" s="24">
        <v>1</v>
      </c>
      <c r="V1098" s="24" t="s">
        <v>25</v>
      </c>
      <c r="W1098" s="17">
        <f>(VLOOKUP(T1098,'[1]Simulation pricing per sub assy'!$D:$E,2,0))*U1098</f>
        <v>6.44</v>
      </c>
      <c r="X1098" s="18" t="s">
        <v>616</v>
      </c>
      <c r="Y1098" s="25">
        <v>1</v>
      </c>
      <c r="Z1098" s="25" t="s">
        <v>23</v>
      </c>
      <c r="AA1098" s="18">
        <f>(VLOOKUP(X1098,'[1]Simulation pricing per sub assy'!$D:$E,2,0))*Y1098</f>
        <v>4.4802908000000006</v>
      </c>
    </row>
    <row r="1099" spans="1:27" x14ac:dyDescent="0.35">
      <c r="A1099" s="13" t="s">
        <v>1553</v>
      </c>
      <c r="B1099" s="13" t="s">
        <v>1554</v>
      </c>
      <c r="C1099" s="42">
        <f t="shared" si="17"/>
        <v>285.17669080000002</v>
      </c>
      <c r="D1099" s="20" t="s">
        <v>43</v>
      </c>
      <c r="E1099" s="20">
        <v>2</v>
      </c>
      <c r="F1099" s="20" t="s">
        <v>3983</v>
      </c>
      <c r="G1099" s="14">
        <f>(VLOOKUP(D1099,'[1]BOM Info General'!$A:$L,12,0))*E1099</f>
        <v>130.12</v>
      </c>
      <c r="H1099" s="21" t="s">
        <v>41</v>
      </c>
      <c r="I1099" s="21">
        <v>1</v>
      </c>
      <c r="J1099" s="21" t="s">
        <v>47</v>
      </c>
      <c r="K1099" s="15">
        <f>(VLOOKUP(H1099,'[1]BOM Info General'!$A:$L,12,0))*I1099</f>
        <v>27.18</v>
      </c>
      <c r="L1099" s="22" t="s">
        <v>81</v>
      </c>
      <c r="M1099" s="22">
        <v>1</v>
      </c>
      <c r="N1099" s="22" t="s">
        <v>80</v>
      </c>
      <c r="O1099" s="9">
        <f>(VLOOKUP(L1099,'[1]Simulation pricing per sub assy'!$D:$E,2,0))*M1099</f>
        <v>95.756400000000042</v>
      </c>
      <c r="P1099" s="23" t="s">
        <v>50</v>
      </c>
      <c r="Q1099" s="23">
        <v>8</v>
      </c>
      <c r="R1099" s="23" t="s">
        <v>16</v>
      </c>
      <c r="S1099" s="40">
        <f>(VLOOKUP(P1099,'[1]BOM Info General'!$A:$L,12,0))*Q1099</f>
        <v>21.2</v>
      </c>
      <c r="T1099" s="24" t="s">
        <v>24</v>
      </c>
      <c r="U1099" s="24">
        <v>1</v>
      </c>
      <c r="V1099" s="24" t="s">
        <v>25</v>
      </c>
      <c r="W1099" s="17">
        <f>(VLOOKUP(T1099,'[1]Simulation pricing per sub assy'!$D:$E,2,0))*U1099</f>
        <v>6.44</v>
      </c>
      <c r="X1099" s="18" t="s">
        <v>616</v>
      </c>
      <c r="Y1099" s="25">
        <v>1</v>
      </c>
      <c r="Z1099" s="25" t="s">
        <v>23</v>
      </c>
      <c r="AA1099" s="18">
        <f>(VLOOKUP(X1099,'[1]Simulation pricing per sub assy'!$D:$E,2,0))*Y1099</f>
        <v>4.4802908000000006</v>
      </c>
    </row>
    <row r="1100" spans="1:27" x14ac:dyDescent="0.35">
      <c r="A1100" s="13" t="s">
        <v>1535</v>
      </c>
      <c r="B1100" s="13" t="s">
        <v>1536</v>
      </c>
      <c r="C1100" s="42">
        <f t="shared" si="17"/>
        <v>284.62669080000001</v>
      </c>
      <c r="D1100" s="20" t="s">
        <v>43</v>
      </c>
      <c r="E1100" s="20">
        <v>2</v>
      </c>
      <c r="F1100" s="20" t="s">
        <v>3983</v>
      </c>
      <c r="G1100" s="14">
        <f>(VLOOKUP(D1100,'[1]BOM Info General'!$A:$L,12,0))*E1100</f>
        <v>130.12</v>
      </c>
      <c r="H1100" s="21" t="s">
        <v>41</v>
      </c>
      <c r="I1100" s="21">
        <v>1</v>
      </c>
      <c r="J1100" s="21" t="s">
        <v>47</v>
      </c>
      <c r="K1100" s="15">
        <f>(VLOOKUP(H1100,'[1]BOM Info General'!$A:$L,12,0))*I1100</f>
        <v>27.18</v>
      </c>
      <c r="L1100" s="22" t="s">
        <v>87</v>
      </c>
      <c r="M1100" s="22">
        <v>1</v>
      </c>
      <c r="N1100" s="22" t="s">
        <v>84</v>
      </c>
      <c r="O1100" s="9">
        <f>(VLOOKUP(L1100,'[1]Simulation pricing per sub assy'!$D:$E,2,0))*M1100</f>
        <v>95.206400000000031</v>
      </c>
      <c r="P1100" s="23" t="s">
        <v>50</v>
      </c>
      <c r="Q1100" s="23">
        <v>8</v>
      </c>
      <c r="R1100" s="23" t="s">
        <v>16</v>
      </c>
      <c r="S1100" s="40">
        <f>(VLOOKUP(P1100,'[1]BOM Info General'!$A:$L,12,0))*Q1100</f>
        <v>21.2</v>
      </c>
      <c r="T1100" s="24" t="s">
        <v>24</v>
      </c>
      <c r="U1100" s="24">
        <v>1</v>
      </c>
      <c r="V1100" s="24" t="s">
        <v>25</v>
      </c>
      <c r="W1100" s="17">
        <f>(VLOOKUP(T1100,'[1]Simulation pricing per sub assy'!$D:$E,2,0))*U1100</f>
        <v>6.44</v>
      </c>
      <c r="X1100" s="18" t="s">
        <v>616</v>
      </c>
      <c r="Y1100" s="25">
        <v>1</v>
      </c>
      <c r="Z1100" s="25" t="s">
        <v>23</v>
      </c>
      <c r="AA1100" s="18">
        <f>(VLOOKUP(X1100,'[1]Simulation pricing per sub assy'!$D:$E,2,0))*Y1100</f>
        <v>4.4802908000000006</v>
      </c>
    </row>
    <row r="1101" spans="1:27" x14ac:dyDescent="0.35">
      <c r="A1101" s="13" t="s">
        <v>1571</v>
      </c>
      <c r="B1101" s="13" t="s">
        <v>1572</v>
      </c>
      <c r="C1101" s="42">
        <f t="shared" si="17"/>
        <v>292.58669079999999</v>
      </c>
      <c r="D1101" s="20" t="s">
        <v>43</v>
      </c>
      <c r="E1101" s="20">
        <v>2</v>
      </c>
      <c r="F1101" s="20" t="s">
        <v>3983</v>
      </c>
      <c r="G1101" s="14">
        <f>(VLOOKUP(D1101,'[1]BOM Info General'!$A:$L,12,0))*E1101</f>
        <v>130.12</v>
      </c>
      <c r="H1101" s="21" t="s">
        <v>41</v>
      </c>
      <c r="I1101" s="21">
        <v>1</v>
      </c>
      <c r="J1101" s="21" t="s">
        <v>47</v>
      </c>
      <c r="K1101" s="15">
        <f>(VLOOKUP(H1101,'[1]BOM Info General'!$A:$L,12,0))*I1101</f>
        <v>27.18</v>
      </c>
      <c r="L1101" s="22" t="s">
        <v>83</v>
      </c>
      <c r="M1101" s="22">
        <v>1</v>
      </c>
      <c r="N1101" s="22" t="s">
        <v>86</v>
      </c>
      <c r="O1101" s="9">
        <f>(VLOOKUP(L1101,'[1]Simulation pricing per sub assy'!$D:$E,2,0))*M1101</f>
        <v>103.16640000000004</v>
      </c>
      <c r="P1101" s="23" t="s">
        <v>50</v>
      </c>
      <c r="Q1101" s="23">
        <v>8</v>
      </c>
      <c r="R1101" s="23" t="s">
        <v>16</v>
      </c>
      <c r="S1101" s="40">
        <f>(VLOOKUP(P1101,'[1]BOM Info General'!$A:$L,12,0))*Q1101</f>
        <v>21.2</v>
      </c>
      <c r="T1101" s="24" t="s">
        <v>24</v>
      </c>
      <c r="U1101" s="24">
        <v>1</v>
      </c>
      <c r="V1101" s="24" t="s">
        <v>25</v>
      </c>
      <c r="W1101" s="17">
        <f>(VLOOKUP(T1101,'[1]Simulation pricing per sub assy'!$D:$E,2,0))*U1101</f>
        <v>6.44</v>
      </c>
      <c r="X1101" s="18" t="s">
        <v>616</v>
      </c>
      <c r="Y1101" s="25">
        <v>1</v>
      </c>
      <c r="Z1101" s="25" t="s">
        <v>23</v>
      </c>
      <c r="AA1101" s="18">
        <f>(VLOOKUP(X1101,'[1]Simulation pricing per sub assy'!$D:$E,2,0))*Y1101</f>
        <v>4.4802908000000006</v>
      </c>
    </row>
    <row r="1102" spans="1:27" x14ac:dyDescent="0.35">
      <c r="A1102" s="13" t="s">
        <v>1591</v>
      </c>
      <c r="B1102" s="13" t="s">
        <v>1592</v>
      </c>
      <c r="C1102" s="42">
        <f t="shared" si="17"/>
        <v>284.67669080000002</v>
      </c>
      <c r="D1102" s="20" t="s">
        <v>43</v>
      </c>
      <c r="E1102" s="20">
        <v>2</v>
      </c>
      <c r="F1102" s="20" t="s">
        <v>3983</v>
      </c>
      <c r="G1102" s="14">
        <f>(VLOOKUP(D1102,'[1]BOM Info General'!$A:$L,12,0))*E1102</f>
        <v>130.12</v>
      </c>
      <c r="H1102" s="21" t="s">
        <v>41</v>
      </c>
      <c r="I1102" s="21">
        <v>1</v>
      </c>
      <c r="J1102" s="21" t="s">
        <v>47</v>
      </c>
      <c r="K1102" s="15">
        <f>(VLOOKUP(H1102,'[1]BOM Info General'!$A:$L,12,0))*I1102</f>
        <v>27.18</v>
      </c>
      <c r="L1102" s="22" t="s">
        <v>528</v>
      </c>
      <c r="M1102" s="22">
        <v>1</v>
      </c>
      <c r="N1102" s="22" t="s">
        <v>88</v>
      </c>
      <c r="O1102" s="9">
        <f>(VLOOKUP(L1102,'[1]Simulation pricing per sub assy'!$D:$E,2,0))*M1102</f>
        <v>94.656400000000033</v>
      </c>
      <c r="P1102" s="23" t="s">
        <v>50</v>
      </c>
      <c r="Q1102" s="23">
        <v>8</v>
      </c>
      <c r="R1102" s="23" t="s">
        <v>16</v>
      </c>
      <c r="S1102" s="40">
        <f>(VLOOKUP(P1102,'[1]BOM Info General'!$A:$L,12,0))*Q1102</f>
        <v>21.2</v>
      </c>
      <c r="T1102" s="24" t="s">
        <v>26</v>
      </c>
      <c r="U1102" s="24">
        <v>1</v>
      </c>
      <c r="V1102" s="24" t="s">
        <v>27</v>
      </c>
      <c r="W1102" s="17">
        <f>(VLOOKUP(T1102,'[1]Simulation pricing per sub assy'!$D:$E,2,0))*U1102</f>
        <v>7.04</v>
      </c>
      <c r="X1102" s="18" t="s">
        <v>616</v>
      </c>
      <c r="Y1102" s="25">
        <v>1</v>
      </c>
      <c r="Z1102" s="25" t="s">
        <v>23</v>
      </c>
      <c r="AA1102" s="18">
        <f>(VLOOKUP(X1102,'[1]Simulation pricing per sub assy'!$D:$E,2,0))*Y1102</f>
        <v>4.4802908000000006</v>
      </c>
    </row>
    <row r="1103" spans="1:27" x14ac:dyDescent="0.35">
      <c r="A1103" s="13" t="s">
        <v>1519</v>
      </c>
      <c r="B1103" s="13" t="s">
        <v>1520</v>
      </c>
      <c r="C1103" s="42">
        <f t="shared" si="17"/>
        <v>285.77669080000004</v>
      </c>
      <c r="D1103" s="20" t="s">
        <v>43</v>
      </c>
      <c r="E1103" s="20">
        <v>2</v>
      </c>
      <c r="F1103" s="20" t="s">
        <v>3983</v>
      </c>
      <c r="G1103" s="14">
        <f>(VLOOKUP(D1103,'[1]BOM Info General'!$A:$L,12,0))*E1103</f>
        <v>130.12</v>
      </c>
      <c r="H1103" s="21" t="s">
        <v>41</v>
      </c>
      <c r="I1103" s="21">
        <v>1</v>
      </c>
      <c r="J1103" s="21" t="s">
        <v>47</v>
      </c>
      <c r="K1103" s="15">
        <f>(VLOOKUP(H1103,'[1]BOM Info General'!$A:$L,12,0))*I1103</f>
        <v>27.18</v>
      </c>
      <c r="L1103" s="22" t="s">
        <v>85</v>
      </c>
      <c r="M1103" s="22">
        <v>1</v>
      </c>
      <c r="N1103" s="22" t="s">
        <v>82</v>
      </c>
      <c r="O1103" s="9">
        <f>(VLOOKUP(L1103,'[1]Simulation pricing per sub assy'!$D:$E,2,0))*M1103</f>
        <v>95.756400000000042</v>
      </c>
      <c r="P1103" s="23" t="s">
        <v>50</v>
      </c>
      <c r="Q1103" s="23">
        <v>8</v>
      </c>
      <c r="R1103" s="23" t="s">
        <v>16</v>
      </c>
      <c r="S1103" s="40">
        <f>(VLOOKUP(P1103,'[1]BOM Info General'!$A:$L,12,0))*Q1103</f>
        <v>21.2</v>
      </c>
      <c r="T1103" s="24" t="s">
        <v>26</v>
      </c>
      <c r="U1103" s="24">
        <v>1</v>
      </c>
      <c r="V1103" s="24" t="s">
        <v>27</v>
      </c>
      <c r="W1103" s="17">
        <f>(VLOOKUP(T1103,'[1]Simulation pricing per sub assy'!$D:$E,2,0))*U1103</f>
        <v>7.04</v>
      </c>
      <c r="X1103" s="18" t="s">
        <v>616</v>
      </c>
      <c r="Y1103" s="25">
        <v>1</v>
      </c>
      <c r="Z1103" s="25" t="s">
        <v>23</v>
      </c>
      <c r="AA1103" s="18">
        <f>(VLOOKUP(X1103,'[1]Simulation pricing per sub assy'!$D:$E,2,0))*Y1103</f>
        <v>4.4802908000000006</v>
      </c>
    </row>
    <row r="1104" spans="1:27" x14ac:dyDescent="0.35">
      <c r="A1104" s="13" t="s">
        <v>1555</v>
      </c>
      <c r="B1104" s="13" t="s">
        <v>1556</v>
      </c>
      <c r="C1104" s="42">
        <f t="shared" si="17"/>
        <v>285.77669080000004</v>
      </c>
      <c r="D1104" s="20" t="s">
        <v>43</v>
      </c>
      <c r="E1104" s="20">
        <v>2</v>
      </c>
      <c r="F1104" s="20" t="s">
        <v>3983</v>
      </c>
      <c r="G1104" s="14">
        <f>(VLOOKUP(D1104,'[1]BOM Info General'!$A:$L,12,0))*E1104</f>
        <v>130.12</v>
      </c>
      <c r="H1104" s="21" t="s">
        <v>41</v>
      </c>
      <c r="I1104" s="21">
        <v>1</v>
      </c>
      <c r="J1104" s="21" t="s">
        <v>47</v>
      </c>
      <c r="K1104" s="15">
        <f>(VLOOKUP(H1104,'[1]BOM Info General'!$A:$L,12,0))*I1104</f>
        <v>27.18</v>
      </c>
      <c r="L1104" s="22" t="s">
        <v>81</v>
      </c>
      <c r="M1104" s="22">
        <v>1</v>
      </c>
      <c r="N1104" s="22" t="s">
        <v>80</v>
      </c>
      <c r="O1104" s="9">
        <f>(VLOOKUP(L1104,'[1]Simulation pricing per sub assy'!$D:$E,2,0))*M1104</f>
        <v>95.756400000000042</v>
      </c>
      <c r="P1104" s="23" t="s">
        <v>50</v>
      </c>
      <c r="Q1104" s="23">
        <v>8</v>
      </c>
      <c r="R1104" s="23" t="s">
        <v>16</v>
      </c>
      <c r="S1104" s="40">
        <f>(VLOOKUP(P1104,'[1]BOM Info General'!$A:$L,12,0))*Q1104</f>
        <v>21.2</v>
      </c>
      <c r="T1104" s="24" t="s">
        <v>26</v>
      </c>
      <c r="U1104" s="24">
        <v>1</v>
      </c>
      <c r="V1104" s="24" t="s">
        <v>27</v>
      </c>
      <c r="W1104" s="17">
        <f>(VLOOKUP(T1104,'[1]Simulation pricing per sub assy'!$D:$E,2,0))*U1104</f>
        <v>7.04</v>
      </c>
      <c r="X1104" s="18" t="s">
        <v>616</v>
      </c>
      <c r="Y1104" s="25">
        <v>1</v>
      </c>
      <c r="Z1104" s="25" t="s">
        <v>23</v>
      </c>
      <c r="AA1104" s="18">
        <f>(VLOOKUP(X1104,'[1]Simulation pricing per sub assy'!$D:$E,2,0))*Y1104</f>
        <v>4.4802908000000006</v>
      </c>
    </row>
    <row r="1105" spans="1:27" x14ac:dyDescent="0.35">
      <c r="A1105" s="13" t="s">
        <v>1537</v>
      </c>
      <c r="B1105" s="13" t="s">
        <v>1538</v>
      </c>
      <c r="C1105" s="42">
        <f t="shared" si="17"/>
        <v>285.22669080000003</v>
      </c>
      <c r="D1105" s="20" t="s">
        <v>43</v>
      </c>
      <c r="E1105" s="20">
        <v>2</v>
      </c>
      <c r="F1105" s="20" t="s">
        <v>3983</v>
      </c>
      <c r="G1105" s="14">
        <f>(VLOOKUP(D1105,'[1]BOM Info General'!$A:$L,12,0))*E1105</f>
        <v>130.12</v>
      </c>
      <c r="H1105" s="21" t="s">
        <v>41</v>
      </c>
      <c r="I1105" s="21">
        <v>1</v>
      </c>
      <c r="J1105" s="21" t="s">
        <v>47</v>
      </c>
      <c r="K1105" s="15">
        <f>(VLOOKUP(H1105,'[1]BOM Info General'!$A:$L,12,0))*I1105</f>
        <v>27.18</v>
      </c>
      <c r="L1105" s="22" t="s">
        <v>87</v>
      </c>
      <c r="M1105" s="22">
        <v>1</v>
      </c>
      <c r="N1105" s="22" t="s">
        <v>84</v>
      </c>
      <c r="O1105" s="9">
        <f>(VLOOKUP(L1105,'[1]Simulation pricing per sub assy'!$D:$E,2,0))*M1105</f>
        <v>95.206400000000031</v>
      </c>
      <c r="P1105" s="23" t="s">
        <v>50</v>
      </c>
      <c r="Q1105" s="23">
        <v>8</v>
      </c>
      <c r="R1105" s="23" t="s">
        <v>16</v>
      </c>
      <c r="S1105" s="40">
        <f>(VLOOKUP(P1105,'[1]BOM Info General'!$A:$L,12,0))*Q1105</f>
        <v>21.2</v>
      </c>
      <c r="T1105" s="24" t="s">
        <v>26</v>
      </c>
      <c r="U1105" s="24">
        <v>1</v>
      </c>
      <c r="V1105" s="24" t="s">
        <v>27</v>
      </c>
      <c r="W1105" s="17">
        <f>(VLOOKUP(T1105,'[1]Simulation pricing per sub assy'!$D:$E,2,0))*U1105</f>
        <v>7.04</v>
      </c>
      <c r="X1105" s="18" t="s">
        <v>616</v>
      </c>
      <c r="Y1105" s="25">
        <v>1</v>
      </c>
      <c r="Z1105" s="25" t="s">
        <v>23</v>
      </c>
      <c r="AA1105" s="18">
        <f>(VLOOKUP(X1105,'[1]Simulation pricing per sub assy'!$D:$E,2,0))*Y1105</f>
        <v>4.4802908000000006</v>
      </c>
    </row>
    <row r="1106" spans="1:27" x14ac:dyDescent="0.35">
      <c r="A1106" s="13" t="s">
        <v>1573</v>
      </c>
      <c r="B1106" s="13" t="s">
        <v>1574</v>
      </c>
      <c r="C1106" s="42">
        <f t="shared" si="17"/>
        <v>293.18669080000001</v>
      </c>
      <c r="D1106" s="20" t="s">
        <v>43</v>
      </c>
      <c r="E1106" s="20">
        <v>2</v>
      </c>
      <c r="F1106" s="20" t="s">
        <v>3983</v>
      </c>
      <c r="G1106" s="14">
        <f>(VLOOKUP(D1106,'[1]BOM Info General'!$A:$L,12,0))*E1106</f>
        <v>130.12</v>
      </c>
      <c r="H1106" s="21" t="s">
        <v>41</v>
      </c>
      <c r="I1106" s="21">
        <v>1</v>
      </c>
      <c r="J1106" s="21" t="s">
        <v>47</v>
      </c>
      <c r="K1106" s="15">
        <f>(VLOOKUP(H1106,'[1]BOM Info General'!$A:$L,12,0))*I1106</f>
        <v>27.18</v>
      </c>
      <c r="L1106" s="22" t="s">
        <v>83</v>
      </c>
      <c r="M1106" s="22">
        <v>1</v>
      </c>
      <c r="N1106" s="22" t="s">
        <v>86</v>
      </c>
      <c r="O1106" s="9">
        <f>(VLOOKUP(L1106,'[1]Simulation pricing per sub assy'!$D:$E,2,0))*M1106</f>
        <v>103.16640000000004</v>
      </c>
      <c r="P1106" s="23" t="s">
        <v>50</v>
      </c>
      <c r="Q1106" s="23">
        <v>8</v>
      </c>
      <c r="R1106" s="23" t="s">
        <v>16</v>
      </c>
      <c r="S1106" s="40">
        <f>(VLOOKUP(P1106,'[1]BOM Info General'!$A:$L,12,0))*Q1106</f>
        <v>21.2</v>
      </c>
      <c r="T1106" s="24" t="s">
        <v>26</v>
      </c>
      <c r="U1106" s="24">
        <v>1</v>
      </c>
      <c r="V1106" s="24" t="s">
        <v>27</v>
      </c>
      <c r="W1106" s="17">
        <f>(VLOOKUP(T1106,'[1]Simulation pricing per sub assy'!$D:$E,2,0))*U1106</f>
        <v>7.04</v>
      </c>
      <c r="X1106" s="18" t="s">
        <v>616</v>
      </c>
      <c r="Y1106" s="25">
        <v>1</v>
      </c>
      <c r="Z1106" s="25" t="s">
        <v>23</v>
      </c>
      <c r="AA1106" s="18">
        <f>(VLOOKUP(X1106,'[1]Simulation pricing per sub assy'!$D:$E,2,0))*Y1106</f>
        <v>4.4802908000000006</v>
      </c>
    </row>
    <row r="1107" spans="1:27" x14ac:dyDescent="0.35">
      <c r="A1107" s="13" t="s">
        <v>1593</v>
      </c>
      <c r="B1107" s="13" t="s">
        <v>1594</v>
      </c>
      <c r="C1107" s="42">
        <f t="shared" si="17"/>
        <v>284.6366908</v>
      </c>
      <c r="D1107" s="20" t="s">
        <v>43</v>
      </c>
      <c r="E1107" s="20">
        <v>2</v>
      </c>
      <c r="F1107" s="20" t="s">
        <v>3983</v>
      </c>
      <c r="G1107" s="14">
        <f>(VLOOKUP(D1107,'[1]BOM Info General'!$A:$L,12,0))*E1107</f>
        <v>130.12</v>
      </c>
      <c r="H1107" s="21" t="s">
        <v>41</v>
      </c>
      <c r="I1107" s="21">
        <v>1</v>
      </c>
      <c r="J1107" s="21" t="s">
        <v>47</v>
      </c>
      <c r="K1107" s="15">
        <f>(VLOOKUP(H1107,'[1]BOM Info General'!$A:$L,12,0))*I1107</f>
        <v>27.18</v>
      </c>
      <c r="L1107" s="22" t="s">
        <v>528</v>
      </c>
      <c r="M1107" s="22">
        <v>1</v>
      </c>
      <c r="N1107" s="22" t="s">
        <v>88</v>
      </c>
      <c r="O1107" s="9">
        <f>(VLOOKUP(L1107,'[1]Simulation pricing per sub assy'!$D:$E,2,0))*M1107</f>
        <v>94.656400000000033</v>
      </c>
      <c r="P1107" s="23" t="s">
        <v>50</v>
      </c>
      <c r="Q1107" s="23">
        <v>8</v>
      </c>
      <c r="R1107" s="23" t="s">
        <v>16</v>
      </c>
      <c r="S1107" s="40">
        <f>(VLOOKUP(P1107,'[1]BOM Info General'!$A:$L,12,0))*Q1107</f>
        <v>21.2</v>
      </c>
      <c r="T1107" s="24" t="s">
        <v>28</v>
      </c>
      <c r="U1107" s="24">
        <v>1</v>
      </c>
      <c r="V1107" s="24" t="s">
        <v>29</v>
      </c>
      <c r="W1107" s="17">
        <f>(VLOOKUP(T1107,'[1]Simulation pricing per sub assy'!$D:$E,2,0))*U1107</f>
        <v>7</v>
      </c>
      <c r="X1107" s="18" t="s">
        <v>616</v>
      </c>
      <c r="Y1107" s="25">
        <v>1</v>
      </c>
      <c r="Z1107" s="25" t="s">
        <v>23</v>
      </c>
      <c r="AA1107" s="18">
        <f>(VLOOKUP(X1107,'[1]Simulation pricing per sub assy'!$D:$E,2,0))*Y1107</f>
        <v>4.4802908000000006</v>
      </c>
    </row>
    <row r="1108" spans="1:27" x14ac:dyDescent="0.35">
      <c r="A1108" s="13" t="s">
        <v>1521</v>
      </c>
      <c r="B1108" s="13" t="s">
        <v>1522</v>
      </c>
      <c r="C1108" s="42">
        <f t="shared" si="17"/>
        <v>285.73669080000002</v>
      </c>
      <c r="D1108" s="20" t="s">
        <v>43</v>
      </c>
      <c r="E1108" s="20">
        <v>2</v>
      </c>
      <c r="F1108" s="20" t="s">
        <v>3983</v>
      </c>
      <c r="G1108" s="14">
        <f>(VLOOKUP(D1108,'[1]BOM Info General'!$A:$L,12,0))*E1108</f>
        <v>130.12</v>
      </c>
      <c r="H1108" s="21" t="s">
        <v>41</v>
      </c>
      <c r="I1108" s="21">
        <v>1</v>
      </c>
      <c r="J1108" s="21" t="s">
        <v>47</v>
      </c>
      <c r="K1108" s="15">
        <f>(VLOOKUP(H1108,'[1]BOM Info General'!$A:$L,12,0))*I1108</f>
        <v>27.18</v>
      </c>
      <c r="L1108" s="22" t="s">
        <v>85</v>
      </c>
      <c r="M1108" s="22">
        <v>1</v>
      </c>
      <c r="N1108" s="22" t="s">
        <v>82</v>
      </c>
      <c r="O1108" s="9">
        <f>(VLOOKUP(L1108,'[1]Simulation pricing per sub assy'!$D:$E,2,0))*M1108</f>
        <v>95.756400000000042</v>
      </c>
      <c r="P1108" s="23" t="s">
        <v>50</v>
      </c>
      <c r="Q1108" s="23">
        <v>8</v>
      </c>
      <c r="R1108" s="23" t="s">
        <v>16</v>
      </c>
      <c r="S1108" s="40">
        <f>(VLOOKUP(P1108,'[1]BOM Info General'!$A:$L,12,0))*Q1108</f>
        <v>21.2</v>
      </c>
      <c r="T1108" s="24" t="s">
        <v>28</v>
      </c>
      <c r="U1108" s="24">
        <v>1</v>
      </c>
      <c r="V1108" s="24" t="s">
        <v>29</v>
      </c>
      <c r="W1108" s="17">
        <f>(VLOOKUP(T1108,'[1]Simulation pricing per sub assy'!$D:$E,2,0))*U1108</f>
        <v>7</v>
      </c>
      <c r="X1108" s="18" t="s">
        <v>616</v>
      </c>
      <c r="Y1108" s="25">
        <v>1</v>
      </c>
      <c r="Z1108" s="25" t="s">
        <v>23</v>
      </c>
      <c r="AA1108" s="18">
        <f>(VLOOKUP(X1108,'[1]Simulation pricing per sub assy'!$D:$E,2,0))*Y1108</f>
        <v>4.4802908000000006</v>
      </c>
    </row>
    <row r="1109" spans="1:27" x14ac:dyDescent="0.35">
      <c r="A1109" s="13" t="s">
        <v>1557</v>
      </c>
      <c r="B1109" s="13" t="s">
        <v>1558</v>
      </c>
      <c r="C1109" s="42">
        <f t="shared" si="17"/>
        <v>285.73669080000002</v>
      </c>
      <c r="D1109" s="20" t="s">
        <v>43</v>
      </c>
      <c r="E1109" s="20">
        <v>2</v>
      </c>
      <c r="F1109" s="20" t="s">
        <v>3983</v>
      </c>
      <c r="G1109" s="14">
        <f>(VLOOKUP(D1109,'[1]BOM Info General'!$A:$L,12,0))*E1109</f>
        <v>130.12</v>
      </c>
      <c r="H1109" s="21" t="s">
        <v>41</v>
      </c>
      <c r="I1109" s="21">
        <v>1</v>
      </c>
      <c r="J1109" s="21" t="s">
        <v>47</v>
      </c>
      <c r="K1109" s="15">
        <f>(VLOOKUP(H1109,'[1]BOM Info General'!$A:$L,12,0))*I1109</f>
        <v>27.18</v>
      </c>
      <c r="L1109" s="22" t="s">
        <v>81</v>
      </c>
      <c r="M1109" s="22">
        <v>1</v>
      </c>
      <c r="N1109" s="22" t="s">
        <v>80</v>
      </c>
      <c r="O1109" s="9">
        <f>(VLOOKUP(L1109,'[1]Simulation pricing per sub assy'!$D:$E,2,0))*M1109</f>
        <v>95.756400000000042</v>
      </c>
      <c r="P1109" s="23" t="s">
        <v>50</v>
      </c>
      <c r="Q1109" s="23">
        <v>8</v>
      </c>
      <c r="R1109" s="23" t="s">
        <v>16</v>
      </c>
      <c r="S1109" s="40">
        <f>(VLOOKUP(P1109,'[1]BOM Info General'!$A:$L,12,0))*Q1109</f>
        <v>21.2</v>
      </c>
      <c r="T1109" s="24" t="s">
        <v>28</v>
      </c>
      <c r="U1109" s="24">
        <v>1</v>
      </c>
      <c r="V1109" s="24" t="s">
        <v>29</v>
      </c>
      <c r="W1109" s="17">
        <f>(VLOOKUP(T1109,'[1]Simulation pricing per sub assy'!$D:$E,2,0))*U1109</f>
        <v>7</v>
      </c>
      <c r="X1109" s="18" t="s">
        <v>616</v>
      </c>
      <c r="Y1109" s="25">
        <v>1</v>
      </c>
      <c r="Z1109" s="25" t="s">
        <v>23</v>
      </c>
      <c r="AA1109" s="18">
        <f>(VLOOKUP(X1109,'[1]Simulation pricing per sub assy'!$D:$E,2,0))*Y1109</f>
        <v>4.4802908000000006</v>
      </c>
    </row>
    <row r="1110" spans="1:27" x14ac:dyDescent="0.35">
      <c r="A1110" s="13" t="s">
        <v>1539</v>
      </c>
      <c r="B1110" s="13" t="s">
        <v>1540</v>
      </c>
      <c r="C1110" s="42">
        <f t="shared" si="17"/>
        <v>285.18669080000001</v>
      </c>
      <c r="D1110" s="20" t="s">
        <v>43</v>
      </c>
      <c r="E1110" s="20">
        <v>2</v>
      </c>
      <c r="F1110" s="20" t="s">
        <v>3983</v>
      </c>
      <c r="G1110" s="14">
        <f>(VLOOKUP(D1110,'[1]BOM Info General'!$A:$L,12,0))*E1110</f>
        <v>130.12</v>
      </c>
      <c r="H1110" s="21" t="s">
        <v>41</v>
      </c>
      <c r="I1110" s="21">
        <v>1</v>
      </c>
      <c r="J1110" s="21" t="s">
        <v>47</v>
      </c>
      <c r="K1110" s="15">
        <f>(VLOOKUP(H1110,'[1]BOM Info General'!$A:$L,12,0))*I1110</f>
        <v>27.18</v>
      </c>
      <c r="L1110" s="22" t="s">
        <v>87</v>
      </c>
      <c r="M1110" s="22">
        <v>1</v>
      </c>
      <c r="N1110" s="22" t="s">
        <v>84</v>
      </c>
      <c r="O1110" s="9">
        <f>(VLOOKUP(L1110,'[1]Simulation pricing per sub assy'!$D:$E,2,0))*M1110</f>
        <v>95.206400000000031</v>
      </c>
      <c r="P1110" s="23" t="s">
        <v>50</v>
      </c>
      <c r="Q1110" s="23">
        <v>8</v>
      </c>
      <c r="R1110" s="23" t="s">
        <v>16</v>
      </c>
      <c r="S1110" s="40">
        <f>(VLOOKUP(P1110,'[1]BOM Info General'!$A:$L,12,0))*Q1110</f>
        <v>21.2</v>
      </c>
      <c r="T1110" s="24" t="s">
        <v>28</v>
      </c>
      <c r="U1110" s="24">
        <v>1</v>
      </c>
      <c r="V1110" s="24" t="s">
        <v>29</v>
      </c>
      <c r="W1110" s="17">
        <f>(VLOOKUP(T1110,'[1]Simulation pricing per sub assy'!$D:$E,2,0))*U1110</f>
        <v>7</v>
      </c>
      <c r="X1110" s="18" t="s">
        <v>616</v>
      </c>
      <c r="Y1110" s="25">
        <v>1</v>
      </c>
      <c r="Z1110" s="25" t="s">
        <v>23</v>
      </c>
      <c r="AA1110" s="18">
        <f>(VLOOKUP(X1110,'[1]Simulation pricing per sub assy'!$D:$E,2,0))*Y1110</f>
        <v>4.4802908000000006</v>
      </c>
    </row>
    <row r="1111" spans="1:27" x14ac:dyDescent="0.35">
      <c r="A1111" s="13" t="s">
        <v>1575</v>
      </c>
      <c r="B1111" s="13" t="s">
        <v>1576</v>
      </c>
      <c r="C1111" s="42">
        <f t="shared" si="17"/>
        <v>293.14669079999999</v>
      </c>
      <c r="D1111" s="20" t="s">
        <v>43</v>
      </c>
      <c r="E1111" s="20">
        <v>2</v>
      </c>
      <c r="F1111" s="20" t="s">
        <v>3983</v>
      </c>
      <c r="G1111" s="14">
        <f>(VLOOKUP(D1111,'[1]BOM Info General'!$A:$L,12,0))*E1111</f>
        <v>130.12</v>
      </c>
      <c r="H1111" s="21" t="s">
        <v>41</v>
      </c>
      <c r="I1111" s="21">
        <v>1</v>
      </c>
      <c r="J1111" s="21" t="s">
        <v>47</v>
      </c>
      <c r="K1111" s="15">
        <f>(VLOOKUP(H1111,'[1]BOM Info General'!$A:$L,12,0))*I1111</f>
        <v>27.18</v>
      </c>
      <c r="L1111" s="22" t="s">
        <v>83</v>
      </c>
      <c r="M1111" s="22">
        <v>1</v>
      </c>
      <c r="N1111" s="22" t="s">
        <v>86</v>
      </c>
      <c r="O1111" s="9">
        <f>(VLOOKUP(L1111,'[1]Simulation pricing per sub assy'!$D:$E,2,0))*M1111</f>
        <v>103.16640000000004</v>
      </c>
      <c r="P1111" s="23" t="s">
        <v>50</v>
      </c>
      <c r="Q1111" s="23">
        <v>8</v>
      </c>
      <c r="R1111" s="23" t="s">
        <v>16</v>
      </c>
      <c r="S1111" s="40">
        <f>(VLOOKUP(P1111,'[1]BOM Info General'!$A:$L,12,0))*Q1111</f>
        <v>21.2</v>
      </c>
      <c r="T1111" s="24" t="s">
        <v>28</v>
      </c>
      <c r="U1111" s="24">
        <v>1</v>
      </c>
      <c r="V1111" s="24" t="s">
        <v>29</v>
      </c>
      <c r="W1111" s="17">
        <f>(VLOOKUP(T1111,'[1]Simulation pricing per sub assy'!$D:$E,2,0))*U1111</f>
        <v>7</v>
      </c>
      <c r="X1111" s="18" t="s">
        <v>616</v>
      </c>
      <c r="Y1111" s="25">
        <v>1</v>
      </c>
      <c r="Z1111" s="25" t="s">
        <v>23</v>
      </c>
      <c r="AA1111" s="18">
        <f>(VLOOKUP(X1111,'[1]Simulation pricing per sub assy'!$D:$E,2,0))*Y1111</f>
        <v>4.4802908000000006</v>
      </c>
    </row>
    <row r="1112" spans="1:27" x14ac:dyDescent="0.35">
      <c r="A1112" s="13" t="s">
        <v>1595</v>
      </c>
      <c r="B1112" s="13" t="s">
        <v>1596</v>
      </c>
      <c r="C1112" s="42">
        <f t="shared" si="17"/>
        <v>284.07669079999999</v>
      </c>
      <c r="D1112" s="20" t="s">
        <v>43</v>
      </c>
      <c r="E1112" s="20">
        <v>2</v>
      </c>
      <c r="F1112" s="20" t="s">
        <v>3983</v>
      </c>
      <c r="G1112" s="14">
        <f>(VLOOKUP(D1112,'[1]BOM Info General'!$A:$L,12,0))*E1112</f>
        <v>130.12</v>
      </c>
      <c r="H1112" s="21" t="s">
        <v>41</v>
      </c>
      <c r="I1112" s="21">
        <v>1</v>
      </c>
      <c r="J1112" s="21" t="s">
        <v>47</v>
      </c>
      <c r="K1112" s="15">
        <f>(VLOOKUP(H1112,'[1]BOM Info General'!$A:$L,12,0))*I1112</f>
        <v>27.18</v>
      </c>
      <c r="L1112" s="22" t="s">
        <v>528</v>
      </c>
      <c r="M1112" s="22">
        <v>1</v>
      </c>
      <c r="N1112" s="22" t="s">
        <v>88</v>
      </c>
      <c r="O1112" s="9">
        <f>(VLOOKUP(L1112,'[1]Simulation pricing per sub assy'!$D:$E,2,0))*M1112</f>
        <v>94.656400000000033</v>
      </c>
      <c r="P1112" s="23" t="s">
        <v>51</v>
      </c>
      <c r="Q1112" s="23">
        <v>8</v>
      </c>
      <c r="R1112" s="23" t="s">
        <v>17</v>
      </c>
      <c r="S1112" s="40">
        <f>(VLOOKUP(P1112,'[1]BOM Info General'!$A:$L,12,0))*Q1112</f>
        <v>21.2</v>
      </c>
      <c r="T1112" s="24" t="s">
        <v>24</v>
      </c>
      <c r="U1112" s="24">
        <v>1</v>
      </c>
      <c r="V1112" s="24" t="s">
        <v>25</v>
      </c>
      <c r="W1112" s="17">
        <f>(VLOOKUP(T1112,'[1]Simulation pricing per sub assy'!$D:$E,2,0))*U1112</f>
        <v>6.44</v>
      </c>
      <c r="X1112" s="18" t="s">
        <v>616</v>
      </c>
      <c r="Y1112" s="25">
        <v>1</v>
      </c>
      <c r="Z1112" s="25" t="s">
        <v>23</v>
      </c>
      <c r="AA1112" s="18">
        <f>(VLOOKUP(X1112,'[1]Simulation pricing per sub assy'!$D:$E,2,0))*Y1112</f>
        <v>4.4802908000000006</v>
      </c>
    </row>
    <row r="1113" spans="1:27" x14ac:dyDescent="0.35">
      <c r="A1113" s="13" t="s">
        <v>1523</v>
      </c>
      <c r="B1113" s="13" t="s">
        <v>1524</v>
      </c>
      <c r="C1113" s="42">
        <f t="shared" si="17"/>
        <v>285.17669080000002</v>
      </c>
      <c r="D1113" s="20" t="s">
        <v>43</v>
      </c>
      <c r="E1113" s="20">
        <v>2</v>
      </c>
      <c r="F1113" s="20" t="s">
        <v>3983</v>
      </c>
      <c r="G1113" s="14">
        <f>(VLOOKUP(D1113,'[1]BOM Info General'!$A:$L,12,0))*E1113</f>
        <v>130.12</v>
      </c>
      <c r="H1113" s="21" t="s">
        <v>41</v>
      </c>
      <c r="I1113" s="21">
        <v>1</v>
      </c>
      <c r="J1113" s="21" t="s">
        <v>47</v>
      </c>
      <c r="K1113" s="15">
        <f>(VLOOKUP(H1113,'[1]BOM Info General'!$A:$L,12,0))*I1113</f>
        <v>27.18</v>
      </c>
      <c r="L1113" s="22" t="s">
        <v>85</v>
      </c>
      <c r="M1113" s="22">
        <v>1</v>
      </c>
      <c r="N1113" s="22" t="s">
        <v>82</v>
      </c>
      <c r="O1113" s="9">
        <f>(VLOOKUP(L1113,'[1]Simulation pricing per sub assy'!$D:$E,2,0))*M1113</f>
        <v>95.756400000000042</v>
      </c>
      <c r="P1113" s="23" t="s">
        <v>51</v>
      </c>
      <c r="Q1113" s="23">
        <v>8</v>
      </c>
      <c r="R1113" s="23" t="s">
        <v>17</v>
      </c>
      <c r="S1113" s="40">
        <f>(VLOOKUP(P1113,'[1]BOM Info General'!$A:$L,12,0))*Q1113</f>
        <v>21.2</v>
      </c>
      <c r="T1113" s="24" t="s">
        <v>24</v>
      </c>
      <c r="U1113" s="24">
        <v>1</v>
      </c>
      <c r="V1113" s="24" t="s">
        <v>25</v>
      </c>
      <c r="W1113" s="17">
        <f>(VLOOKUP(T1113,'[1]Simulation pricing per sub assy'!$D:$E,2,0))*U1113</f>
        <v>6.44</v>
      </c>
      <c r="X1113" s="18" t="s">
        <v>616</v>
      </c>
      <c r="Y1113" s="25">
        <v>1</v>
      </c>
      <c r="Z1113" s="25" t="s">
        <v>23</v>
      </c>
      <c r="AA1113" s="18">
        <f>(VLOOKUP(X1113,'[1]Simulation pricing per sub assy'!$D:$E,2,0))*Y1113</f>
        <v>4.4802908000000006</v>
      </c>
    </row>
    <row r="1114" spans="1:27" x14ac:dyDescent="0.35">
      <c r="A1114" s="13" t="s">
        <v>1559</v>
      </c>
      <c r="B1114" s="13" t="s">
        <v>1560</v>
      </c>
      <c r="C1114" s="42">
        <f t="shared" si="17"/>
        <v>285.17669080000002</v>
      </c>
      <c r="D1114" s="20" t="s">
        <v>43</v>
      </c>
      <c r="E1114" s="20">
        <v>2</v>
      </c>
      <c r="F1114" s="20" t="s">
        <v>3983</v>
      </c>
      <c r="G1114" s="14">
        <f>(VLOOKUP(D1114,'[1]BOM Info General'!$A:$L,12,0))*E1114</f>
        <v>130.12</v>
      </c>
      <c r="H1114" s="21" t="s">
        <v>41</v>
      </c>
      <c r="I1114" s="21">
        <v>1</v>
      </c>
      <c r="J1114" s="21" t="s">
        <v>47</v>
      </c>
      <c r="K1114" s="15">
        <f>(VLOOKUP(H1114,'[1]BOM Info General'!$A:$L,12,0))*I1114</f>
        <v>27.18</v>
      </c>
      <c r="L1114" s="22" t="s">
        <v>81</v>
      </c>
      <c r="M1114" s="22">
        <v>1</v>
      </c>
      <c r="N1114" s="22" t="s">
        <v>80</v>
      </c>
      <c r="O1114" s="9">
        <f>(VLOOKUP(L1114,'[1]Simulation pricing per sub assy'!$D:$E,2,0))*M1114</f>
        <v>95.756400000000042</v>
      </c>
      <c r="P1114" s="23" t="s">
        <v>51</v>
      </c>
      <c r="Q1114" s="23">
        <v>8</v>
      </c>
      <c r="R1114" s="23" t="s">
        <v>17</v>
      </c>
      <c r="S1114" s="40">
        <f>(VLOOKUP(P1114,'[1]BOM Info General'!$A:$L,12,0))*Q1114</f>
        <v>21.2</v>
      </c>
      <c r="T1114" s="24" t="s">
        <v>24</v>
      </c>
      <c r="U1114" s="24">
        <v>1</v>
      </c>
      <c r="V1114" s="24" t="s">
        <v>25</v>
      </c>
      <c r="W1114" s="17">
        <f>(VLOOKUP(T1114,'[1]Simulation pricing per sub assy'!$D:$E,2,0))*U1114</f>
        <v>6.44</v>
      </c>
      <c r="X1114" s="18" t="s">
        <v>616</v>
      </c>
      <c r="Y1114" s="25">
        <v>1</v>
      </c>
      <c r="Z1114" s="25" t="s">
        <v>23</v>
      </c>
      <c r="AA1114" s="18">
        <f>(VLOOKUP(X1114,'[1]Simulation pricing per sub assy'!$D:$E,2,0))*Y1114</f>
        <v>4.4802908000000006</v>
      </c>
    </row>
    <row r="1115" spans="1:27" x14ac:dyDescent="0.35">
      <c r="A1115" s="13" t="s">
        <v>1541</v>
      </c>
      <c r="B1115" s="13" t="s">
        <v>1542</v>
      </c>
      <c r="C1115" s="42">
        <f t="shared" si="17"/>
        <v>284.62669080000001</v>
      </c>
      <c r="D1115" s="20" t="s">
        <v>43</v>
      </c>
      <c r="E1115" s="20">
        <v>2</v>
      </c>
      <c r="F1115" s="20" t="s">
        <v>3983</v>
      </c>
      <c r="G1115" s="14">
        <f>(VLOOKUP(D1115,'[1]BOM Info General'!$A:$L,12,0))*E1115</f>
        <v>130.12</v>
      </c>
      <c r="H1115" s="21" t="s">
        <v>41</v>
      </c>
      <c r="I1115" s="21">
        <v>1</v>
      </c>
      <c r="J1115" s="21" t="s">
        <v>47</v>
      </c>
      <c r="K1115" s="15">
        <f>(VLOOKUP(H1115,'[1]BOM Info General'!$A:$L,12,0))*I1115</f>
        <v>27.18</v>
      </c>
      <c r="L1115" s="22" t="s">
        <v>87</v>
      </c>
      <c r="M1115" s="22">
        <v>1</v>
      </c>
      <c r="N1115" s="22" t="s">
        <v>84</v>
      </c>
      <c r="O1115" s="9">
        <f>(VLOOKUP(L1115,'[1]Simulation pricing per sub assy'!$D:$E,2,0))*M1115</f>
        <v>95.206400000000031</v>
      </c>
      <c r="P1115" s="23" t="s">
        <v>51</v>
      </c>
      <c r="Q1115" s="23">
        <v>8</v>
      </c>
      <c r="R1115" s="23" t="s">
        <v>17</v>
      </c>
      <c r="S1115" s="40">
        <f>(VLOOKUP(P1115,'[1]BOM Info General'!$A:$L,12,0))*Q1115</f>
        <v>21.2</v>
      </c>
      <c r="T1115" s="24" t="s">
        <v>24</v>
      </c>
      <c r="U1115" s="24">
        <v>1</v>
      </c>
      <c r="V1115" s="24" t="s">
        <v>25</v>
      </c>
      <c r="W1115" s="17">
        <f>(VLOOKUP(T1115,'[1]Simulation pricing per sub assy'!$D:$E,2,0))*U1115</f>
        <v>6.44</v>
      </c>
      <c r="X1115" s="18" t="s">
        <v>616</v>
      </c>
      <c r="Y1115" s="25">
        <v>1</v>
      </c>
      <c r="Z1115" s="25" t="s">
        <v>23</v>
      </c>
      <c r="AA1115" s="18">
        <f>(VLOOKUP(X1115,'[1]Simulation pricing per sub assy'!$D:$E,2,0))*Y1115</f>
        <v>4.4802908000000006</v>
      </c>
    </row>
    <row r="1116" spans="1:27" x14ac:dyDescent="0.35">
      <c r="A1116" s="13" t="s">
        <v>1577</v>
      </c>
      <c r="B1116" s="13" t="s">
        <v>1578</v>
      </c>
      <c r="C1116" s="42">
        <f t="shared" si="17"/>
        <v>292.58669079999999</v>
      </c>
      <c r="D1116" s="20" t="s">
        <v>43</v>
      </c>
      <c r="E1116" s="20">
        <v>2</v>
      </c>
      <c r="F1116" s="20" t="s">
        <v>3983</v>
      </c>
      <c r="G1116" s="14">
        <f>(VLOOKUP(D1116,'[1]BOM Info General'!$A:$L,12,0))*E1116</f>
        <v>130.12</v>
      </c>
      <c r="H1116" s="21" t="s">
        <v>41</v>
      </c>
      <c r="I1116" s="21">
        <v>1</v>
      </c>
      <c r="J1116" s="21" t="s">
        <v>47</v>
      </c>
      <c r="K1116" s="15">
        <f>(VLOOKUP(H1116,'[1]BOM Info General'!$A:$L,12,0))*I1116</f>
        <v>27.18</v>
      </c>
      <c r="L1116" s="22" t="s">
        <v>83</v>
      </c>
      <c r="M1116" s="22">
        <v>1</v>
      </c>
      <c r="N1116" s="22" t="s">
        <v>86</v>
      </c>
      <c r="O1116" s="9">
        <f>(VLOOKUP(L1116,'[1]Simulation pricing per sub assy'!$D:$E,2,0))*M1116</f>
        <v>103.16640000000004</v>
      </c>
      <c r="P1116" s="23" t="s">
        <v>51</v>
      </c>
      <c r="Q1116" s="23">
        <v>8</v>
      </c>
      <c r="R1116" s="23" t="s">
        <v>17</v>
      </c>
      <c r="S1116" s="40">
        <f>(VLOOKUP(P1116,'[1]BOM Info General'!$A:$L,12,0))*Q1116</f>
        <v>21.2</v>
      </c>
      <c r="T1116" s="24" t="s">
        <v>24</v>
      </c>
      <c r="U1116" s="24">
        <v>1</v>
      </c>
      <c r="V1116" s="24" t="s">
        <v>25</v>
      </c>
      <c r="W1116" s="17">
        <f>(VLOOKUP(T1116,'[1]Simulation pricing per sub assy'!$D:$E,2,0))*U1116</f>
        <v>6.44</v>
      </c>
      <c r="X1116" s="18" t="s">
        <v>616</v>
      </c>
      <c r="Y1116" s="25">
        <v>1</v>
      </c>
      <c r="Z1116" s="25" t="s">
        <v>23</v>
      </c>
      <c r="AA1116" s="18">
        <f>(VLOOKUP(X1116,'[1]Simulation pricing per sub assy'!$D:$E,2,0))*Y1116</f>
        <v>4.4802908000000006</v>
      </c>
    </row>
    <row r="1117" spans="1:27" x14ac:dyDescent="0.35">
      <c r="A1117" s="13" t="s">
        <v>1597</v>
      </c>
      <c r="B1117" s="13" t="s">
        <v>1598</v>
      </c>
      <c r="C1117" s="42">
        <f t="shared" si="17"/>
        <v>284.67669080000002</v>
      </c>
      <c r="D1117" s="20" t="s">
        <v>43</v>
      </c>
      <c r="E1117" s="20">
        <v>2</v>
      </c>
      <c r="F1117" s="20" t="s">
        <v>3983</v>
      </c>
      <c r="G1117" s="14">
        <f>(VLOOKUP(D1117,'[1]BOM Info General'!$A:$L,12,0))*E1117</f>
        <v>130.12</v>
      </c>
      <c r="H1117" s="21" t="s">
        <v>41</v>
      </c>
      <c r="I1117" s="21">
        <v>1</v>
      </c>
      <c r="J1117" s="21" t="s">
        <v>47</v>
      </c>
      <c r="K1117" s="15">
        <f>(VLOOKUP(H1117,'[1]BOM Info General'!$A:$L,12,0))*I1117</f>
        <v>27.18</v>
      </c>
      <c r="L1117" s="22" t="s">
        <v>528</v>
      </c>
      <c r="M1117" s="22">
        <v>1</v>
      </c>
      <c r="N1117" s="22" t="s">
        <v>88</v>
      </c>
      <c r="O1117" s="9">
        <f>(VLOOKUP(L1117,'[1]Simulation pricing per sub assy'!$D:$E,2,0))*M1117</f>
        <v>94.656400000000033</v>
      </c>
      <c r="P1117" s="23" t="s">
        <v>51</v>
      </c>
      <c r="Q1117" s="23">
        <v>8</v>
      </c>
      <c r="R1117" s="23" t="s">
        <v>17</v>
      </c>
      <c r="S1117" s="40">
        <f>(VLOOKUP(P1117,'[1]BOM Info General'!$A:$L,12,0))*Q1117</f>
        <v>21.2</v>
      </c>
      <c r="T1117" s="24" t="s">
        <v>26</v>
      </c>
      <c r="U1117" s="24">
        <v>1</v>
      </c>
      <c r="V1117" s="24" t="s">
        <v>27</v>
      </c>
      <c r="W1117" s="17">
        <f>(VLOOKUP(T1117,'[1]Simulation pricing per sub assy'!$D:$E,2,0))*U1117</f>
        <v>7.04</v>
      </c>
      <c r="X1117" s="18" t="s">
        <v>616</v>
      </c>
      <c r="Y1117" s="25">
        <v>1</v>
      </c>
      <c r="Z1117" s="25" t="s">
        <v>23</v>
      </c>
      <c r="AA1117" s="18">
        <f>(VLOOKUP(X1117,'[1]Simulation pricing per sub assy'!$D:$E,2,0))*Y1117</f>
        <v>4.4802908000000006</v>
      </c>
    </row>
    <row r="1118" spans="1:27" x14ac:dyDescent="0.35">
      <c r="A1118" s="13" t="s">
        <v>1525</v>
      </c>
      <c r="B1118" s="13" t="s">
        <v>1526</v>
      </c>
      <c r="C1118" s="42">
        <f t="shared" si="17"/>
        <v>285.77669080000004</v>
      </c>
      <c r="D1118" s="20" t="s">
        <v>43</v>
      </c>
      <c r="E1118" s="20">
        <v>2</v>
      </c>
      <c r="F1118" s="20" t="s">
        <v>3983</v>
      </c>
      <c r="G1118" s="14">
        <f>(VLOOKUP(D1118,'[1]BOM Info General'!$A:$L,12,0))*E1118</f>
        <v>130.12</v>
      </c>
      <c r="H1118" s="21" t="s">
        <v>41</v>
      </c>
      <c r="I1118" s="21">
        <v>1</v>
      </c>
      <c r="J1118" s="21" t="s">
        <v>47</v>
      </c>
      <c r="K1118" s="15">
        <f>(VLOOKUP(H1118,'[1]BOM Info General'!$A:$L,12,0))*I1118</f>
        <v>27.18</v>
      </c>
      <c r="L1118" s="22" t="s">
        <v>85</v>
      </c>
      <c r="M1118" s="22">
        <v>1</v>
      </c>
      <c r="N1118" s="22" t="s">
        <v>82</v>
      </c>
      <c r="O1118" s="9">
        <f>(VLOOKUP(L1118,'[1]Simulation pricing per sub assy'!$D:$E,2,0))*M1118</f>
        <v>95.756400000000042</v>
      </c>
      <c r="P1118" s="23" t="s">
        <v>51</v>
      </c>
      <c r="Q1118" s="23">
        <v>8</v>
      </c>
      <c r="R1118" s="23" t="s">
        <v>17</v>
      </c>
      <c r="S1118" s="40">
        <f>(VLOOKUP(P1118,'[1]BOM Info General'!$A:$L,12,0))*Q1118</f>
        <v>21.2</v>
      </c>
      <c r="T1118" s="24" t="s">
        <v>26</v>
      </c>
      <c r="U1118" s="24">
        <v>1</v>
      </c>
      <c r="V1118" s="24" t="s">
        <v>27</v>
      </c>
      <c r="W1118" s="17">
        <f>(VLOOKUP(T1118,'[1]Simulation pricing per sub assy'!$D:$E,2,0))*U1118</f>
        <v>7.04</v>
      </c>
      <c r="X1118" s="18" t="s">
        <v>616</v>
      </c>
      <c r="Y1118" s="25">
        <v>1</v>
      </c>
      <c r="Z1118" s="25" t="s">
        <v>23</v>
      </c>
      <c r="AA1118" s="18">
        <f>(VLOOKUP(X1118,'[1]Simulation pricing per sub assy'!$D:$E,2,0))*Y1118</f>
        <v>4.4802908000000006</v>
      </c>
    </row>
    <row r="1119" spans="1:27" x14ac:dyDescent="0.35">
      <c r="A1119" s="13" t="s">
        <v>1561</v>
      </c>
      <c r="B1119" s="13" t="s">
        <v>1562</v>
      </c>
      <c r="C1119" s="42">
        <f t="shared" si="17"/>
        <v>285.77669080000004</v>
      </c>
      <c r="D1119" s="20" t="s">
        <v>43</v>
      </c>
      <c r="E1119" s="20">
        <v>2</v>
      </c>
      <c r="F1119" s="20" t="s">
        <v>3983</v>
      </c>
      <c r="G1119" s="14">
        <f>(VLOOKUP(D1119,'[1]BOM Info General'!$A:$L,12,0))*E1119</f>
        <v>130.12</v>
      </c>
      <c r="H1119" s="21" t="s">
        <v>41</v>
      </c>
      <c r="I1119" s="21">
        <v>1</v>
      </c>
      <c r="J1119" s="21" t="s">
        <v>47</v>
      </c>
      <c r="K1119" s="15">
        <f>(VLOOKUP(H1119,'[1]BOM Info General'!$A:$L,12,0))*I1119</f>
        <v>27.18</v>
      </c>
      <c r="L1119" s="22" t="s">
        <v>81</v>
      </c>
      <c r="M1119" s="22">
        <v>1</v>
      </c>
      <c r="N1119" s="22" t="s">
        <v>80</v>
      </c>
      <c r="O1119" s="9">
        <f>(VLOOKUP(L1119,'[1]Simulation pricing per sub assy'!$D:$E,2,0))*M1119</f>
        <v>95.756400000000042</v>
      </c>
      <c r="P1119" s="23" t="s">
        <v>51</v>
      </c>
      <c r="Q1119" s="23">
        <v>8</v>
      </c>
      <c r="R1119" s="23" t="s">
        <v>17</v>
      </c>
      <c r="S1119" s="40">
        <f>(VLOOKUP(P1119,'[1]BOM Info General'!$A:$L,12,0))*Q1119</f>
        <v>21.2</v>
      </c>
      <c r="T1119" s="24" t="s">
        <v>26</v>
      </c>
      <c r="U1119" s="24">
        <v>1</v>
      </c>
      <c r="V1119" s="24" t="s">
        <v>27</v>
      </c>
      <c r="W1119" s="17">
        <f>(VLOOKUP(T1119,'[1]Simulation pricing per sub assy'!$D:$E,2,0))*U1119</f>
        <v>7.04</v>
      </c>
      <c r="X1119" s="18" t="s">
        <v>616</v>
      </c>
      <c r="Y1119" s="25">
        <v>1</v>
      </c>
      <c r="Z1119" s="25" t="s">
        <v>23</v>
      </c>
      <c r="AA1119" s="18">
        <f>(VLOOKUP(X1119,'[1]Simulation pricing per sub assy'!$D:$E,2,0))*Y1119</f>
        <v>4.4802908000000006</v>
      </c>
    </row>
    <row r="1120" spans="1:27" x14ac:dyDescent="0.35">
      <c r="A1120" s="13" t="s">
        <v>1543</v>
      </c>
      <c r="B1120" s="13" t="s">
        <v>1544</v>
      </c>
      <c r="C1120" s="42">
        <f t="shared" si="17"/>
        <v>285.22669080000003</v>
      </c>
      <c r="D1120" s="20" t="s">
        <v>43</v>
      </c>
      <c r="E1120" s="20">
        <v>2</v>
      </c>
      <c r="F1120" s="20" t="s">
        <v>3983</v>
      </c>
      <c r="G1120" s="14">
        <f>(VLOOKUP(D1120,'[1]BOM Info General'!$A:$L,12,0))*E1120</f>
        <v>130.12</v>
      </c>
      <c r="H1120" s="21" t="s">
        <v>41</v>
      </c>
      <c r="I1120" s="21">
        <v>1</v>
      </c>
      <c r="J1120" s="21" t="s">
        <v>47</v>
      </c>
      <c r="K1120" s="15">
        <f>(VLOOKUP(H1120,'[1]BOM Info General'!$A:$L,12,0))*I1120</f>
        <v>27.18</v>
      </c>
      <c r="L1120" s="22" t="s">
        <v>87</v>
      </c>
      <c r="M1120" s="22">
        <v>1</v>
      </c>
      <c r="N1120" s="22" t="s">
        <v>84</v>
      </c>
      <c r="O1120" s="9">
        <f>(VLOOKUP(L1120,'[1]Simulation pricing per sub assy'!$D:$E,2,0))*M1120</f>
        <v>95.206400000000031</v>
      </c>
      <c r="P1120" s="23" t="s">
        <v>51</v>
      </c>
      <c r="Q1120" s="23">
        <v>8</v>
      </c>
      <c r="R1120" s="23" t="s">
        <v>17</v>
      </c>
      <c r="S1120" s="40">
        <f>(VLOOKUP(P1120,'[1]BOM Info General'!$A:$L,12,0))*Q1120</f>
        <v>21.2</v>
      </c>
      <c r="T1120" s="24" t="s">
        <v>26</v>
      </c>
      <c r="U1120" s="24">
        <v>1</v>
      </c>
      <c r="V1120" s="24" t="s">
        <v>27</v>
      </c>
      <c r="W1120" s="17">
        <f>(VLOOKUP(T1120,'[1]Simulation pricing per sub assy'!$D:$E,2,0))*U1120</f>
        <v>7.04</v>
      </c>
      <c r="X1120" s="18" t="s">
        <v>616</v>
      </c>
      <c r="Y1120" s="25">
        <v>1</v>
      </c>
      <c r="Z1120" s="25" t="s">
        <v>23</v>
      </c>
      <c r="AA1120" s="18">
        <f>(VLOOKUP(X1120,'[1]Simulation pricing per sub assy'!$D:$E,2,0))*Y1120</f>
        <v>4.4802908000000006</v>
      </c>
    </row>
    <row r="1121" spans="1:27" x14ac:dyDescent="0.35">
      <c r="A1121" s="13" t="s">
        <v>1579</v>
      </c>
      <c r="B1121" s="13" t="s">
        <v>1580</v>
      </c>
      <c r="C1121" s="42">
        <f t="shared" si="17"/>
        <v>293.18669080000001</v>
      </c>
      <c r="D1121" s="20" t="s">
        <v>43</v>
      </c>
      <c r="E1121" s="20">
        <v>2</v>
      </c>
      <c r="F1121" s="20" t="s">
        <v>3983</v>
      </c>
      <c r="G1121" s="14">
        <f>(VLOOKUP(D1121,'[1]BOM Info General'!$A:$L,12,0))*E1121</f>
        <v>130.12</v>
      </c>
      <c r="H1121" s="21" t="s">
        <v>41</v>
      </c>
      <c r="I1121" s="21">
        <v>1</v>
      </c>
      <c r="J1121" s="21" t="s">
        <v>47</v>
      </c>
      <c r="K1121" s="15">
        <f>(VLOOKUP(H1121,'[1]BOM Info General'!$A:$L,12,0))*I1121</f>
        <v>27.18</v>
      </c>
      <c r="L1121" s="22" t="s">
        <v>83</v>
      </c>
      <c r="M1121" s="22">
        <v>1</v>
      </c>
      <c r="N1121" s="22" t="s">
        <v>86</v>
      </c>
      <c r="O1121" s="9">
        <f>(VLOOKUP(L1121,'[1]Simulation pricing per sub assy'!$D:$E,2,0))*M1121</f>
        <v>103.16640000000004</v>
      </c>
      <c r="P1121" s="23" t="s">
        <v>51</v>
      </c>
      <c r="Q1121" s="23">
        <v>8</v>
      </c>
      <c r="R1121" s="23" t="s">
        <v>17</v>
      </c>
      <c r="S1121" s="40">
        <f>(VLOOKUP(P1121,'[1]BOM Info General'!$A:$L,12,0))*Q1121</f>
        <v>21.2</v>
      </c>
      <c r="T1121" s="24" t="s">
        <v>26</v>
      </c>
      <c r="U1121" s="24">
        <v>1</v>
      </c>
      <c r="V1121" s="24" t="s">
        <v>27</v>
      </c>
      <c r="W1121" s="17">
        <f>(VLOOKUP(T1121,'[1]Simulation pricing per sub assy'!$D:$E,2,0))*U1121</f>
        <v>7.04</v>
      </c>
      <c r="X1121" s="18" t="s">
        <v>616</v>
      </c>
      <c r="Y1121" s="25">
        <v>1</v>
      </c>
      <c r="Z1121" s="25" t="s">
        <v>23</v>
      </c>
      <c r="AA1121" s="18">
        <f>(VLOOKUP(X1121,'[1]Simulation pricing per sub assy'!$D:$E,2,0))*Y1121</f>
        <v>4.4802908000000006</v>
      </c>
    </row>
    <row r="1122" spans="1:27" x14ac:dyDescent="0.35">
      <c r="A1122" s="13" t="s">
        <v>1599</v>
      </c>
      <c r="B1122" s="13" t="s">
        <v>1600</v>
      </c>
      <c r="C1122" s="42">
        <f t="shared" si="17"/>
        <v>284.6366908</v>
      </c>
      <c r="D1122" s="20" t="s">
        <v>43</v>
      </c>
      <c r="E1122" s="20">
        <v>2</v>
      </c>
      <c r="F1122" s="20" t="s">
        <v>3983</v>
      </c>
      <c r="G1122" s="14">
        <f>(VLOOKUP(D1122,'[1]BOM Info General'!$A:$L,12,0))*E1122</f>
        <v>130.12</v>
      </c>
      <c r="H1122" s="21" t="s">
        <v>41</v>
      </c>
      <c r="I1122" s="21">
        <v>1</v>
      </c>
      <c r="J1122" s="21" t="s">
        <v>47</v>
      </c>
      <c r="K1122" s="15">
        <f>(VLOOKUP(H1122,'[1]BOM Info General'!$A:$L,12,0))*I1122</f>
        <v>27.18</v>
      </c>
      <c r="L1122" s="22" t="s">
        <v>528</v>
      </c>
      <c r="M1122" s="22">
        <v>1</v>
      </c>
      <c r="N1122" s="22" t="s">
        <v>88</v>
      </c>
      <c r="O1122" s="9">
        <f>(VLOOKUP(L1122,'[1]Simulation pricing per sub assy'!$D:$E,2,0))*M1122</f>
        <v>94.656400000000033</v>
      </c>
      <c r="P1122" s="23" t="s">
        <v>51</v>
      </c>
      <c r="Q1122" s="23">
        <v>8</v>
      </c>
      <c r="R1122" s="23" t="s">
        <v>17</v>
      </c>
      <c r="S1122" s="40">
        <f>(VLOOKUP(P1122,'[1]BOM Info General'!$A:$L,12,0))*Q1122</f>
        <v>21.2</v>
      </c>
      <c r="T1122" s="24" t="s">
        <v>28</v>
      </c>
      <c r="U1122" s="24">
        <v>1</v>
      </c>
      <c r="V1122" s="24" t="s">
        <v>29</v>
      </c>
      <c r="W1122" s="17">
        <f>(VLOOKUP(T1122,'[1]Simulation pricing per sub assy'!$D:$E,2,0))*U1122</f>
        <v>7</v>
      </c>
      <c r="X1122" s="18" t="s">
        <v>616</v>
      </c>
      <c r="Y1122" s="25">
        <v>1</v>
      </c>
      <c r="Z1122" s="25" t="s">
        <v>23</v>
      </c>
      <c r="AA1122" s="18">
        <f>(VLOOKUP(X1122,'[1]Simulation pricing per sub assy'!$D:$E,2,0))*Y1122</f>
        <v>4.4802908000000006</v>
      </c>
    </row>
    <row r="1123" spans="1:27" x14ac:dyDescent="0.35">
      <c r="A1123" s="13" t="s">
        <v>1527</v>
      </c>
      <c r="B1123" s="13" t="s">
        <v>1528</v>
      </c>
      <c r="C1123" s="42">
        <f t="shared" si="17"/>
        <v>285.73669080000002</v>
      </c>
      <c r="D1123" s="20" t="s">
        <v>43</v>
      </c>
      <c r="E1123" s="20">
        <v>2</v>
      </c>
      <c r="F1123" s="20" t="s">
        <v>3983</v>
      </c>
      <c r="G1123" s="14">
        <f>(VLOOKUP(D1123,'[1]BOM Info General'!$A:$L,12,0))*E1123</f>
        <v>130.12</v>
      </c>
      <c r="H1123" s="21" t="s">
        <v>41</v>
      </c>
      <c r="I1123" s="21">
        <v>1</v>
      </c>
      <c r="J1123" s="21" t="s">
        <v>47</v>
      </c>
      <c r="K1123" s="15">
        <f>(VLOOKUP(H1123,'[1]BOM Info General'!$A:$L,12,0))*I1123</f>
        <v>27.18</v>
      </c>
      <c r="L1123" s="22" t="s">
        <v>85</v>
      </c>
      <c r="M1123" s="22">
        <v>1</v>
      </c>
      <c r="N1123" s="22" t="s">
        <v>82</v>
      </c>
      <c r="O1123" s="9">
        <f>(VLOOKUP(L1123,'[1]Simulation pricing per sub assy'!$D:$E,2,0))*M1123</f>
        <v>95.756400000000042</v>
      </c>
      <c r="P1123" s="23" t="s">
        <v>51</v>
      </c>
      <c r="Q1123" s="23">
        <v>8</v>
      </c>
      <c r="R1123" s="23" t="s">
        <v>17</v>
      </c>
      <c r="S1123" s="40">
        <f>(VLOOKUP(P1123,'[1]BOM Info General'!$A:$L,12,0))*Q1123</f>
        <v>21.2</v>
      </c>
      <c r="T1123" s="24" t="s">
        <v>28</v>
      </c>
      <c r="U1123" s="24">
        <v>1</v>
      </c>
      <c r="V1123" s="24" t="s">
        <v>29</v>
      </c>
      <c r="W1123" s="17">
        <f>(VLOOKUP(T1123,'[1]Simulation pricing per sub assy'!$D:$E,2,0))*U1123</f>
        <v>7</v>
      </c>
      <c r="X1123" s="18" t="s">
        <v>616</v>
      </c>
      <c r="Y1123" s="25">
        <v>1</v>
      </c>
      <c r="Z1123" s="25" t="s">
        <v>23</v>
      </c>
      <c r="AA1123" s="18">
        <f>(VLOOKUP(X1123,'[1]Simulation pricing per sub assy'!$D:$E,2,0))*Y1123</f>
        <v>4.4802908000000006</v>
      </c>
    </row>
    <row r="1124" spans="1:27" x14ac:dyDescent="0.35">
      <c r="A1124" s="13" t="s">
        <v>1563</v>
      </c>
      <c r="B1124" s="13" t="s">
        <v>1564</v>
      </c>
      <c r="C1124" s="42">
        <f t="shared" si="17"/>
        <v>285.73669080000002</v>
      </c>
      <c r="D1124" s="20" t="s">
        <v>43</v>
      </c>
      <c r="E1124" s="20">
        <v>2</v>
      </c>
      <c r="F1124" s="20" t="s">
        <v>3983</v>
      </c>
      <c r="G1124" s="14">
        <f>(VLOOKUP(D1124,'[1]BOM Info General'!$A:$L,12,0))*E1124</f>
        <v>130.12</v>
      </c>
      <c r="H1124" s="21" t="s">
        <v>41</v>
      </c>
      <c r="I1124" s="21">
        <v>1</v>
      </c>
      <c r="J1124" s="21" t="s">
        <v>47</v>
      </c>
      <c r="K1124" s="15">
        <f>(VLOOKUP(H1124,'[1]BOM Info General'!$A:$L,12,0))*I1124</f>
        <v>27.18</v>
      </c>
      <c r="L1124" s="22" t="s">
        <v>81</v>
      </c>
      <c r="M1124" s="22">
        <v>1</v>
      </c>
      <c r="N1124" s="22" t="s">
        <v>80</v>
      </c>
      <c r="O1124" s="9">
        <f>(VLOOKUP(L1124,'[1]Simulation pricing per sub assy'!$D:$E,2,0))*M1124</f>
        <v>95.756400000000042</v>
      </c>
      <c r="P1124" s="23" t="s">
        <v>51</v>
      </c>
      <c r="Q1124" s="23">
        <v>8</v>
      </c>
      <c r="R1124" s="23" t="s">
        <v>17</v>
      </c>
      <c r="S1124" s="40">
        <f>(VLOOKUP(P1124,'[1]BOM Info General'!$A:$L,12,0))*Q1124</f>
        <v>21.2</v>
      </c>
      <c r="T1124" s="24" t="s">
        <v>28</v>
      </c>
      <c r="U1124" s="24">
        <v>1</v>
      </c>
      <c r="V1124" s="24" t="s">
        <v>29</v>
      </c>
      <c r="W1124" s="17">
        <f>(VLOOKUP(T1124,'[1]Simulation pricing per sub assy'!$D:$E,2,0))*U1124</f>
        <v>7</v>
      </c>
      <c r="X1124" s="18" t="s">
        <v>616</v>
      </c>
      <c r="Y1124" s="25">
        <v>1</v>
      </c>
      <c r="Z1124" s="25" t="s">
        <v>23</v>
      </c>
      <c r="AA1124" s="18">
        <f>(VLOOKUP(X1124,'[1]Simulation pricing per sub assy'!$D:$E,2,0))*Y1124</f>
        <v>4.4802908000000006</v>
      </c>
    </row>
    <row r="1125" spans="1:27" x14ac:dyDescent="0.35">
      <c r="A1125" s="13" t="s">
        <v>1545</v>
      </c>
      <c r="B1125" s="13" t="s">
        <v>1546</v>
      </c>
      <c r="C1125" s="42">
        <f t="shared" si="17"/>
        <v>285.18669080000001</v>
      </c>
      <c r="D1125" s="20" t="s">
        <v>43</v>
      </c>
      <c r="E1125" s="20">
        <v>2</v>
      </c>
      <c r="F1125" s="20" t="s">
        <v>3983</v>
      </c>
      <c r="G1125" s="14">
        <f>(VLOOKUP(D1125,'[1]BOM Info General'!$A:$L,12,0))*E1125</f>
        <v>130.12</v>
      </c>
      <c r="H1125" s="21" t="s">
        <v>41</v>
      </c>
      <c r="I1125" s="21">
        <v>1</v>
      </c>
      <c r="J1125" s="21" t="s">
        <v>47</v>
      </c>
      <c r="K1125" s="15">
        <f>(VLOOKUP(H1125,'[1]BOM Info General'!$A:$L,12,0))*I1125</f>
        <v>27.18</v>
      </c>
      <c r="L1125" s="22" t="s">
        <v>87</v>
      </c>
      <c r="M1125" s="22">
        <v>1</v>
      </c>
      <c r="N1125" s="22" t="s">
        <v>84</v>
      </c>
      <c r="O1125" s="9">
        <f>(VLOOKUP(L1125,'[1]Simulation pricing per sub assy'!$D:$E,2,0))*M1125</f>
        <v>95.206400000000031</v>
      </c>
      <c r="P1125" s="23" t="s">
        <v>51</v>
      </c>
      <c r="Q1125" s="23">
        <v>8</v>
      </c>
      <c r="R1125" s="23" t="s">
        <v>17</v>
      </c>
      <c r="S1125" s="40">
        <f>(VLOOKUP(P1125,'[1]BOM Info General'!$A:$L,12,0))*Q1125</f>
        <v>21.2</v>
      </c>
      <c r="T1125" s="24" t="s">
        <v>28</v>
      </c>
      <c r="U1125" s="24">
        <v>1</v>
      </c>
      <c r="V1125" s="24" t="s">
        <v>29</v>
      </c>
      <c r="W1125" s="17">
        <f>(VLOOKUP(T1125,'[1]Simulation pricing per sub assy'!$D:$E,2,0))*U1125</f>
        <v>7</v>
      </c>
      <c r="X1125" s="18" t="s">
        <v>616</v>
      </c>
      <c r="Y1125" s="25">
        <v>1</v>
      </c>
      <c r="Z1125" s="25" t="s">
        <v>23</v>
      </c>
      <c r="AA1125" s="18">
        <f>(VLOOKUP(X1125,'[1]Simulation pricing per sub assy'!$D:$E,2,0))*Y1125</f>
        <v>4.4802908000000006</v>
      </c>
    </row>
    <row r="1126" spans="1:27" x14ac:dyDescent="0.35">
      <c r="A1126" s="13" t="s">
        <v>1581</v>
      </c>
      <c r="B1126" s="13" t="s">
        <v>1582</v>
      </c>
      <c r="C1126" s="42">
        <f t="shared" si="17"/>
        <v>293.14669079999999</v>
      </c>
      <c r="D1126" s="20" t="s">
        <v>43</v>
      </c>
      <c r="E1126" s="20">
        <v>2</v>
      </c>
      <c r="F1126" s="20" t="s">
        <v>3983</v>
      </c>
      <c r="G1126" s="14">
        <f>(VLOOKUP(D1126,'[1]BOM Info General'!$A:$L,12,0))*E1126</f>
        <v>130.12</v>
      </c>
      <c r="H1126" s="21" t="s">
        <v>41</v>
      </c>
      <c r="I1126" s="21">
        <v>1</v>
      </c>
      <c r="J1126" s="21" t="s">
        <v>47</v>
      </c>
      <c r="K1126" s="15">
        <f>(VLOOKUP(H1126,'[1]BOM Info General'!$A:$L,12,0))*I1126</f>
        <v>27.18</v>
      </c>
      <c r="L1126" s="22" t="s">
        <v>83</v>
      </c>
      <c r="M1126" s="22">
        <v>1</v>
      </c>
      <c r="N1126" s="22" t="s">
        <v>86</v>
      </c>
      <c r="O1126" s="9">
        <f>(VLOOKUP(L1126,'[1]Simulation pricing per sub assy'!$D:$E,2,0))*M1126</f>
        <v>103.16640000000004</v>
      </c>
      <c r="P1126" s="23" t="s">
        <v>51</v>
      </c>
      <c r="Q1126" s="23">
        <v>8</v>
      </c>
      <c r="R1126" s="23" t="s">
        <v>17</v>
      </c>
      <c r="S1126" s="40">
        <f>(VLOOKUP(P1126,'[1]BOM Info General'!$A:$L,12,0))*Q1126</f>
        <v>21.2</v>
      </c>
      <c r="T1126" s="24" t="s">
        <v>28</v>
      </c>
      <c r="U1126" s="24">
        <v>1</v>
      </c>
      <c r="V1126" s="24" t="s">
        <v>29</v>
      </c>
      <c r="W1126" s="17">
        <f>(VLOOKUP(T1126,'[1]Simulation pricing per sub assy'!$D:$E,2,0))*U1126</f>
        <v>7</v>
      </c>
      <c r="X1126" s="18" t="s">
        <v>616</v>
      </c>
      <c r="Y1126" s="25">
        <v>1</v>
      </c>
      <c r="Z1126" s="25" t="s">
        <v>23</v>
      </c>
      <c r="AA1126" s="18">
        <f>(VLOOKUP(X1126,'[1]Simulation pricing per sub assy'!$D:$E,2,0))*Y1126</f>
        <v>4.4802908000000006</v>
      </c>
    </row>
    <row r="1127" spans="1:27" x14ac:dyDescent="0.35">
      <c r="A1127" s="13" t="s">
        <v>1601</v>
      </c>
      <c r="B1127" s="13" t="s">
        <v>1602</v>
      </c>
      <c r="C1127" s="42">
        <f t="shared" si="17"/>
        <v>284.07669079999999</v>
      </c>
      <c r="D1127" s="20" t="s">
        <v>43</v>
      </c>
      <c r="E1127" s="20">
        <v>2</v>
      </c>
      <c r="F1127" s="20" t="s">
        <v>3983</v>
      </c>
      <c r="G1127" s="14">
        <f>(VLOOKUP(D1127,'[1]BOM Info General'!$A:$L,12,0))*E1127</f>
        <v>130.12</v>
      </c>
      <c r="H1127" s="21" t="s">
        <v>41</v>
      </c>
      <c r="I1127" s="21">
        <v>1</v>
      </c>
      <c r="J1127" s="21" t="s">
        <v>47</v>
      </c>
      <c r="K1127" s="15">
        <f>(VLOOKUP(H1127,'[1]BOM Info General'!$A:$L,12,0))*I1127</f>
        <v>27.18</v>
      </c>
      <c r="L1127" s="22" t="s">
        <v>528</v>
      </c>
      <c r="M1127" s="22">
        <v>1</v>
      </c>
      <c r="N1127" s="22" t="s">
        <v>88</v>
      </c>
      <c r="O1127" s="9">
        <f>(VLOOKUP(L1127,'[1]Simulation pricing per sub assy'!$D:$E,2,0))*M1127</f>
        <v>94.656400000000033</v>
      </c>
      <c r="P1127" s="23" t="s">
        <v>52</v>
      </c>
      <c r="Q1127" s="23">
        <v>8</v>
      </c>
      <c r="R1127" s="23" t="s">
        <v>18</v>
      </c>
      <c r="S1127" s="40">
        <f>(VLOOKUP(P1127,'[1]BOM Info General'!$A:$L,12,0))*Q1127</f>
        <v>21.2</v>
      </c>
      <c r="T1127" s="24" t="s">
        <v>24</v>
      </c>
      <c r="U1127" s="24">
        <v>1</v>
      </c>
      <c r="V1127" s="24" t="s">
        <v>25</v>
      </c>
      <c r="W1127" s="17">
        <f>(VLOOKUP(T1127,'[1]Simulation pricing per sub assy'!$D:$E,2,0))*U1127</f>
        <v>6.44</v>
      </c>
      <c r="X1127" s="18" t="s">
        <v>616</v>
      </c>
      <c r="Y1127" s="25">
        <v>1</v>
      </c>
      <c r="Z1127" s="25" t="s">
        <v>23</v>
      </c>
      <c r="AA1127" s="18">
        <f>(VLOOKUP(X1127,'[1]Simulation pricing per sub assy'!$D:$E,2,0))*Y1127</f>
        <v>4.4802908000000006</v>
      </c>
    </row>
    <row r="1128" spans="1:27" x14ac:dyDescent="0.35">
      <c r="A1128" s="13" t="s">
        <v>1529</v>
      </c>
      <c r="B1128" s="13" t="s">
        <v>1530</v>
      </c>
      <c r="C1128" s="42">
        <f t="shared" si="17"/>
        <v>285.17669080000002</v>
      </c>
      <c r="D1128" s="20" t="s">
        <v>43</v>
      </c>
      <c r="E1128" s="20">
        <v>2</v>
      </c>
      <c r="F1128" s="20" t="s">
        <v>3983</v>
      </c>
      <c r="G1128" s="14">
        <f>(VLOOKUP(D1128,'[1]BOM Info General'!$A:$L,12,0))*E1128</f>
        <v>130.12</v>
      </c>
      <c r="H1128" s="21" t="s">
        <v>41</v>
      </c>
      <c r="I1128" s="21">
        <v>1</v>
      </c>
      <c r="J1128" s="21" t="s">
        <v>47</v>
      </c>
      <c r="K1128" s="15">
        <f>(VLOOKUP(H1128,'[1]BOM Info General'!$A:$L,12,0))*I1128</f>
        <v>27.18</v>
      </c>
      <c r="L1128" s="22" t="s">
        <v>85</v>
      </c>
      <c r="M1128" s="22">
        <v>1</v>
      </c>
      <c r="N1128" s="22" t="s">
        <v>82</v>
      </c>
      <c r="O1128" s="9">
        <f>(VLOOKUP(L1128,'[1]Simulation pricing per sub assy'!$D:$E,2,0))*M1128</f>
        <v>95.756400000000042</v>
      </c>
      <c r="P1128" s="23" t="s">
        <v>52</v>
      </c>
      <c r="Q1128" s="23">
        <v>8</v>
      </c>
      <c r="R1128" s="23" t="s">
        <v>18</v>
      </c>
      <c r="S1128" s="40">
        <f>(VLOOKUP(P1128,'[1]BOM Info General'!$A:$L,12,0))*Q1128</f>
        <v>21.2</v>
      </c>
      <c r="T1128" s="24" t="s">
        <v>24</v>
      </c>
      <c r="U1128" s="24">
        <v>1</v>
      </c>
      <c r="V1128" s="24" t="s">
        <v>25</v>
      </c>
      <c r="W1128" s="17">
        <f>(VLOOKUP(T1128,'[1]Simulation pricing per sub assy'!$D:$E,2,0))*U1128</f>
        <v>6.44</v>
      </c>
      <c r="X1128" s="18" t="s">
        <v>616</v>
      </c>
      <c r="Y1128" s="25">
        <v>1</v>
      </c>
      <c r="Z1128" s="25" t="s">
        <v>23</v>
      </c>
      <c r="AA1128" s="18">
        <f>(VLOOKUP(X1128,'[1]Simulation pricing per sub assy'!$D:$E,2,0))*Y1128</f>
        <v>4.4802908000000006</v>
      </c>
    </row>
    <row r="1129" spans="1:27" x14ac:dyDescent="0.35">
      <c r="A1129" s="13" t="s">
        <v>1565</v>
      </c>
      <c r="B1129" s="13" t="s">
        <v>1566</v>
      </c>
      <c r="C1129" s="42">
        <f t="shared" si="17"/>
        <v>285.17669080000002</v>
      </c>
      <c r="D1129" s="20" t="s">
        <v>43</v>
      </c>
      <c r="E1129" s="20">
        <v>2</v>
      </c>
      <c r="F1129" s="20" t="s">
        <v>3983</v>
      </c>
      <c r="G1129" s="14">
        <f>(VLOOKUP(D1129,'[1]BOM Info General'!$A:$L,12,0))*E1129</f>
        <v>130.12</v>
      </c>
      <c r="H1129" s="21" t="s">
        <v>41</v>
      </c>
      <c r="I1129" s="21">
        <v>1</v>
      </c>
      <c r="J1129" s="21" t="s">
        <v>47</v>
      </c>
      <c r="K1129" s="15">
        <f>(VLOOKUP(H1129,'[1]BOM Info General'!$A:$L,12,0))*I1129</f>
        <v>27.18</v>
      </c>
      <c r="L1129" s="22" t="s">
        <v>81</v>
      </c>
      <c r="M1129" s="22">
        <v>1</v>
      </c>
      <c r="N1129" s="22" t="s">
        <v>80</v>
      </c>
      <c r="O1129" s="9">
        <f>(VLOOKUP(L1129,'[1]Simulation pricing per sub assy'!$D:$E,2,0))*M1129</f>
        <v>95.756400000000042</v>
      </c>
      <c r="P1129" s="23" t="s">
        <v>52</v>
      </c>
      <c r="Q1129" s="23">
        <v>8</v>
      </c>
      <c r="R1129" s="23" t="s">
        <v>18</v>
      </c>
      <c r="S1129" s="40">
        <f>(VLOOKUP(P1129,'[1]BOM Info General'!$A:$L,12,0))*Q1129</f>
        <v>21.2</v>
      </c>
      <c r="T1129" s="24" t="s">
        <v>24</v>
      </c>
      <c r="U1129" s="24">
        <v>1</v>
      </c>
      <c r="V1129" s="24" t="s">
        <v>25</v>
      </c>
      <c r="W1129" s="17">
        <f>(VLOOKUP(T1129,'[1]Simulation pricing per sub assy'!$D:$E,2,0))*U1129</f>
        <v>6.44</v>
      </c>
      <c r="X1129" s="18" t="s">
        <v>616</v>
      </c>
      <c r="Y1129" s="25">
        <v>1</v>
      </c>
      <c r="Z1129" s="25" t="s">
        <v>23</v>
      </c>
      <c r="AA1129" s="18">
        <f>(VLOOKUP(X1129,'[1]Simulation pricing per sub assy'!$D:$E,2,0))*Y1129</f>
        <v>4.4802908000000006</v>
      </c>
    </row>
    <row r="1130" spans="1:27" x14ac:dyDescent="0.35">
      <c r="A1130" s="13" t="s">
        <v>1547</v>
      </c>
      <c r="B1130" s="13" t="s">
        <v>1548</v>
      </c>
      <c r="C1130" s="42">
        <f t="shared" si="17"/>
        <v>284.62669080000001</v>
      </c>
      <c r="D1130" s="20" t="s">
        <v>43</v>
      </c>
      <c r="E1130" s="20">
        <v>2</v>
      </c>
      <c r="F1130" s="20" t="s">
        <v>3983</v>
      </c>
      <c r="G1130" s="14">
        <f>(VLOOKUP(D1130,'[1]BOM Info General'!$A:$L,12,0))*E1130</f>
        <v>130.12</v>
      </c>
      <c r="H1130" s="21" t="s">
        <v>41</v>
      </c>
      <c r="I1130" s="21">
        <v>1</v>
      </c>
      <c r="J1130" s="21" t="s">
        <v>47</v>
      </c>
      <c r="K1130" s="15">
        <f>(VLOOKUP(H1130,'[1]BOM Info General'!$A:$L,12,0))*I1130</f>
        <v>27.18</v>
      </c>
      <c r="L1130" s="22" t="s">
        <v>87</v>
      </c>
      <c r="M1130" s="22">
        <v>1</v>
      </c>
      <c r="N1130" s="22" t="s">
        <v>84</v>
      </c>
      <c r="O1130" s="9">
        <f>(VLOOKUP(L1130,'[1]Simulation pricing per sub assy'!$D:$E,2,0))*M1130</f>
        <v>95.206400000000031</v>
      </c>
      <c r="P1130" s="23" t="s">
        <v>52</v>
      </c>
      <c r="Q1130" s="23">
        <v>8</v>
      </c>
      <c r="R1130" s="23" t="s">
        <v>18</v>
      </c>
      <c r="S1130" s="40">
        <f>(VLOOKUP(P1130,'[1]BOM Info General'!$A:$L,12,0))*Q1130</f>
        <v>21.2</v>
      </c>
      <c r="T1130" s="24" t="s">
        <v>24</v>
      </c>
      <c r="U1130" s="24">
        <v>1</v>
      </c>
      <c r="V1130" s="24" t="s">
        <v>25</v>
      </c>
      <c r="W1130" s="17">
        <f>(VLOOKUP(T1130,'[1]Simulation pricing per sub assy'!$D:$E,2,0))*U1130</f>
        <v>6.44</v>
      </c>
      <c r="X1130" s="18" t="s">
        <v>616</v>
      </c>
      <c r="Y1130" s="25">
        <v>1</v>
      </c>
      <c r="Z1130" s="25" t="s">
        <v>23</v>
      </c>
      <c r="AA1130" s="18">
        <f>(VLOOKUP(X1130,'[1]Simulation pricing per sub assy'!$D:$E,2,0))*Y1130</f>
        <v>4.4802908000000006</v>
      </c>
    </row>
    <row r="1131" spans="1:27" x14ac:dyDescent="0.35">
      <c r="A1131" s="13" t="s">
        <v>1583</v>
      </c>
      <c r="B1131" s="13" t="s">
        <v>1584</v>
      </c>
      <c r="C1131" s="42">
        <f t="shared" si="17"/>
        <v>292.58669079999999</v>
      </c>
      <c r="D1131" s="20" t="s">
        <v>43</v>
      </c>
      <c r="E1131" s="20">
        <v>2</v>
      </c>
      <c r="F1131" s="20" t="s">
        <v>3983</v>
      </c>
      <c r="G1131" s="14">
        <f>(VLOOKUP(D1131,'[1]BOM Info General'!$A:$L,12,0))*E1131</f>
        <v>130.12</v>
      </c>
      <c r="H1131" s="21" t="s">
        <v>41</v>
      </c>
      <c r="I1131" s="21">
        <v>1</v>
      </c>
      <c r="J1131" s="21" t="s">
        <v>47</v>
      </c>
      <c r="K1131" s="15">
        <f>(VLOOKUP(H1131,'[1]BOM Info General'!$A:$L,12,0))*I1131</f>
        <v>27.18</v>
      </c>
      <c r="L1131" s="22" t="s">
        <v>83</v>
      </c>
      <c r="M1131" s="22">
        <v>1</v>
      </c>
      <c r="N1131" s="22" t="s">
        <v>86</v>
      </c>
      <c r="O1131" s="9">
        <f>(VLOOKUP(L1131,'[1]Simulation pricing per sub assy'!$D:$E,2,0))*M1131</f>
        <v>103.16640000000004</v>
      </c>
      <c r="P1131" s="23" t="s">
        <v>52</v>
      </c>
      <c r="Q1131" s="23">
        <v>8</v>
      </c>
      <c r="R1131" s="23" t="s">
        <v>18</v>
      </c>
      <c r="S1131" s="40">
        <f>(VLOOKUP(P1131,'[1]BOM Info General'!$A:$L,12,0))*Q1131</f>
        <v>21.2</v>
      </c>
      <c r="T1131" s="24" t="s">
        <v>24</v>
      </c>
      <c r="U1131" s="24">
        <v>1</v>
      </c>
      <c r="V1131" s="24" t="s">
        <v>25</v>
      </c>
      <c r="W1131" s="17">
        <f>(VLOOKUP(T1131,'[1]Simulation pricing per sub assy'!$D:$E,2,0))*U1131</f>
        <v>6.44</v>
      </c>
      <c r="X1131" s="18" t="s">
        <v>616</v>
      </c>
      <c r="Y1131" s="25">
        <v>1</v>
      </c>
      <c r="Z1131" s="25" t="s">
        <v>23</v>
      </c>
      <c r="AA1131" s="18">
        <f>(VLOOKUP(X1131,'[1]Simulation pricing per sub assy'!$D:$E,2,0))*Y1131</f>
        <v>4.4802908000000006</v>
      </c>
    </row>
    <row r="1132" spans="1:27" x14ac:dyDescent="0.35">
      <c r="A1132" s="13" t="s">
        <v>1603</v>
      </c>
      <c r="B1132" s="13" t="s">
        <v>1604</v>
      </c>
      <c r="C1132" s="42">
        <f t="shared" si="17"/>
        <v>284.67669080000002</v>
      </c>
      <c r="D1132" s="20" t="s">
        <v>43</v>
      </c>
      <c r="E1132" s="20">
        <v>2</v>
      </c>
      <c r="F1132" s="20" t="s">
        <v>3983</v>
      </c>
      <c r="G1132" s="14">
        <f>(VLOOKUP(D1132,'[1]BOM Info General'!$A:$L,12,0))*E1132</f>
        <v>130.12</v>
      </c>
      <c r="H1132" s="21" t="s">
        <v>41</v>
      </c>
      <c r="I1132" s="21">
        <v>1</v>
      </c>
      <c r="J1132" s="21" t="s">
        <v>47</v>
      </c>
      <c r="K1132" s="15">
        <f>(VLOOKUP(H1132,'[1]BOM Info General'!$A:$L,12,0))*I1132</f>
        <v>27.18</v>
      </c>
      <c r="L1132" s="22" t="s">
        <v>528</v>
      </c>
      <c r="M1132" s="22">
        <v>1</v>
      </c>
      <c r="N1132" s="22" t="s">
        <v>88</v>
      </c>
      <c r="O1132" s="9">
        <f>(VLOOKUP(L1132,'[1]Simulation pricing per sub assy'!$D:$E,2,0))*M1132</f>
        <v>94.656400000000033</v>
      </c>
      <c r="P1132" s="23" t="s">
        <v>52</v>
      </c>
      <c r="Q1132" s="23">
        <v>8</v>
      </c>
      <c r="R1132" s="23" t="s">
        <v>18</v>
      </c>
      <c r="S1132" s="40">
        <f>(VLOOKUP(P1132,'[1]BOM Info General'!$A:$L,12,0))*Q1132</f>
        <v>21.2</v>
      </c>
      <c r="T1132" s="24" t="s">
        <v>26</v>
      </c>
      <c r="U1132" s="24">
        <v>1</v>
      </c>
      <c r="V1132" s="24" t="s">
        <v>27</v>
      </c>
      <c r="W1132" s="17">
        <f>(VLOOKUP(T1132,'[1]Simulation pricing per sub assy'!$D:$E,2,0))*U1132</f>
        <v>7.04</v>
      </c>
      <c r="X1132" s="18" t="s">
        <v>616</v>
      </c>
      <c r="Y1132" s="25">
        <v>1</v>
      </c>
      <c r="Z1132" s="25" t="s">
        <v>23</v>
      </c>
      <c r="AA1132" s="18">
        <f>(VLOOKUP(X1132,'[1]Simulation pricing per sub assy'!$D:$E,2,0))*Y1132</f>
        <v>4.4802908000000006</v>
      </c>
    </row>
    <row r="1133" spans="1:27" x14ac:dyDescent="0.35">
      <c r="A1133" s="13" t="s">
        <v>1531</v>
      </c>
      <c r="B1133" s="13" t="s">
        <v>1532</v>
      </c>
      <c r="C1133" s="42">
        <f t="shared" si="17"/>
        <v>285.77669080000004</v>
      </c>
      <c r="D1133" s="20" t="s">
        <v>43</v>
      </c>
      <c r="E1133" s="20">
        <v>2</v>
      </c>
      <c r="F1133" s="20" t="s">
        <v>3983</v>
      </c>
      <c r="G1133" s="14">
        <f>(VLOOKUP(D1133,'[1]BOM Info General'!$A:$L,12,0))*E1133</f>
        <v>130.12</v>
      </c>
      <c r="H1133" s="21" t="s">
        <v>41</v>
      </c>
      <c r="I1133" s="21">
        <v>1</v>
      </c>
      <c r="J1133" s="21" t="s">
        <v>47</v>
      </c>
      <c r="K1133" s="15">
        <f>(VLOOKUP(H1133,'[1]BOM Info General'!$A:$L,12,0))*I1133</f>
        <v>27.18</v>
      </c>
      <c r="L1133" s="22" t="s">
        <v>85</v>
      </c>
      <c r="M1133" s="22">
        <v>1</v>
      </c>
      <c r="N1133" s="22" t="s">
        <v>82</v>
      </c>
      <c r="O1133" s="9">
        <f>(VLOOKUP(L1133,'[1]Simulation pricing per sub assy'!$D:$E,2,0))*M1133</f>
        <v>95.756400000000042</v>
      </c>
      <c r="P1133" s="23" t="s">
        <v>52</v>
      </c>
      <c r="Q1133" s="23">
        <v>8</v>
      </c>
      <c r="R1133" s="23" t="s">
        <v>18</v>
      </c>
      <c r="S1133" s="40">
        <f>(VLOOKUP(P1133,'[1]BOM Info General'!$A:$L,12,0))*Q1133</f>
        <v>21.2</v>
      </c>
      <c r="T1133" s="24" t="s">
        <v>26</v>
      </c>
      <c r="U1133" s="24">
        <v>1</v>
      </c>
      <c r="V1133" s="24" t="s">
        <v>27</v>
      </c>
      <c r="W1133" s="17">
        <f>(VLOOKUP(T1133,'[1]Simulation pricing per sub assy'!$D:$E,2,0))*U1133</f>
        <v>7.04</v>
      </c>
      <c r="X1133" s="18" t="s">
        <v>616</v>
      </c>
      <c r="Y1133" s="25">
        <v>1</v>
      </c>
      <c r="Z1133" s="25" t="s">
        <v>23</v>
      </c>
      <c r="AA1133" s="18">
        <f>(VLOOKUP(X1133,'[1]Simulation pricing per sub assy'!$D:$E,2,0))*Y1133</f>
        <v>4.4802908000000006</v>
      </c>
    </row>
    <row r="1134" spans="1:27" x14ac:dyDescent="0.35">
      <c r="A1134" s="13" t="s">
        <v>1567</v>
      </c>
      <c r="B1134" s="13" t="s">
        <v>1568</v>
      </c>
      <c r="C1134" s="42">
        <f t="shared" si="17"/>
        <v>285.77669080000004</v>
      </c>
      <c r="D1134" s="20" t="s">
        <v>43</v>
      </c>
      <c r="E1134" s="20">
        <v>2</v>
      </c>
      <c r="F1134" s="20" t="s">
        <v>3983</v>
      </c>
      <c r="G1134" s="14">
        <f>(VLOOKUP(D1134,'[1]BOM Info General'!$A:$L,12,0))*E1134</f>
        <v>130.12</v>
      </c>
      <c r="H1134" s="21" t="s">
        <v>41</v>
      </c>
      <c r="I1134" s="21">
        <v>1</v>
      </c>
      <c r="J1134" s="21" t="s">
        <v>47</v>
      </c>
      <c r="K1134" s="15">
        <f>(VLOOKUP(H1134,'[1]BOM Info General'!$A:$L,12,0))*I1134</f>
        <v>27.18</v>
      </c>
      <c r="L1134" s="22" t="s">
        <v>81</v>
      </c>
      <c r="M1134" s="22">
        <v>1</v>
      </c>
      <c r="N1134" s="22" t="s">
        <v>80</v>
      </c>
      <c r="O1134" s="9">
        <f>(VLOOKUP(L1134,'[1]Simulation pricing per sub assy'!$D:$E,2,0))*M1134</f>
        <v>95.756400000000042</v>
      </c>
      <c r="P1134" s="23" t="s">
        <v>52</v>
      </c>
      <c r="Q1134" s="23">
        <v>8</v>
      </c>
      <c r="R1134" s="23" t="s">
        <v>18</v>
      </c>
      <c r="S1134" s="40">
        <f>(VLOOKUP(P1134,'[1]BOM Info General'!$A:$L,12,0))*Q1134</f>
        <v>21.2</v>
      </c>
      <c r="T1134" s="24" t="s">
        <v>26</v>
      </c>
      <c r="U1134" s="24">
        <v>1</v>
      </c>
      <c r="V1134" s="24" t="s">
        <v>27</v>
      </c>
      <c r="W1134" s="17">
        <f>(VLOOKUP(T1134,'[1]Simulation pricing per sub assy'!$D:$E,2,0))*U1134</f>
        <v>7.04</v>
      </c>
      <c r="X1134" s="18" t="s">
        <v>616</v>
      </c>
      <c r="Y1134" s="25">
        <v>1</v>
      </c>
      <c r="Z1134" s="25" t="s">
        <v>23</v>
      </c>
      <c r="AA1134" s="18">
        <f>(VLOOKUP(X1134,'[1]Simulation pricing per sub assy'!$D:$E,2,0))*Y1134</f>
        <v>4.4802908000000006</v>
      </c>
    </row>
    <row r="1135" spans="1:27" x14ac:dyDescent="0.35">
      <c r="A1135" s="13" t="s">
        <v>1549</v>
      </c>
      <c r="B1135" s="13" t="s">
        <v>1550</v>
      </c>
      <c r="C1135" s="42">
        <f t="shared" si="17"/>
        <v>285.22669080000003</v>
      </c>
      <c r="D1135" s="20" t="s">
        <v>43</v>
      </c>
      <c r="E1135" s="20">
        <v>2</v>
      </c>
      <c r="F1135" s="20" t="s">
        <v>3983</v>
      </c>
      <c r="G1135" s="14">
        <f>(VLOOKUP(D1135,'[1]BOM Info General'!$A:$L,12,0))*E1135</f>
        <v>130.12</v>
      </c>
      <c r="H1135" s="21" t="s">
        <v>41</v>
      </c>
      <c r="I1135" s="21">
        <v>1</v>
      </c>
      <c r="J1135" s="21" t="s">
        <v>47</v>
      </c>
      <c r="K1135" s="15">
        <f>(VLOOKUP(H1135,'[1]BOM Info General'!$A:$L,12,0))*I1135</f>
        <v>27.18</v>
      </c>
      <c r="L1135" s="22" t="s">
        <v>87</v>
      </c>
      <c r="M1135" s="22">
        <v>1</v>
      </c>
      <c r="N1135" s="22" t="s">
        <v>84</v>
      </c>
      <c r="O1135" s="9">
        <f>(VLOOKUP(L1135,'[1]Simulation pricing per sub assy'!$D:$E,2,0))*M1135</f>
        <v>95.206400000000031</v>
      </c>
      <c r="P1135" s="23" t="s">
        <v>52</v>
      </c>
      <c r="Q1135" s="23">
        <v>8</v>
      </c>
      <c r="R1135" s="23" t="s">
        <v>18</v>
      </c>
      <c r="S1135" s="40">
        <f>(VLOOKUP(P1135,'[1]BOM Info General'!$A:$L,12,0))*Q1135</f>
        <v>21.2</v>
      </c>
      <c r="T1135" s="24" t="s">
        <v>26</v>
      </c>
      <c r="U1135" s="24">
        <v>1</v>
      </c>
      <c r="V1135" s="24" t="s">
        <v>27</v>
      </c>
      <c r="W1135" s="17">
        <f>(VLOOKUP(T1135,'[1]Simulation pricing per sub assy'!$D:$E,2,0))*U1135</f>
        <v>7.04</v>
      </c>
      <c r="X1135" s="18" t="s">
        <v>616</v>
      </c>
      <c r="Y1135" s="25">
        <v>1</v>
      </c>
      <c r="Z1135" s="25" t="s">
        <v>23</v>
      </c>
      <c r="AA1135" s="18">
        <f>(VLOOKUP(X1135,'[1]Simulation pricing per sub assy'!$D:$E,2,0))*Y1135</f>
        <v>4.4802908000000006</v>
      </c>
    </row>
    <row r="1136" spans="1:27" x14ac:dyDescent="0.35">
      <c r="A1136" s="13" t="s">
        <v>1585</v>
      </c>
      <c r="B1136" s="13" t="s">
        <v>1586</v>
      </c>
      <c r="C1136" s="42">
        <f t="shared" si="17"/>
        <v>293.18669080000001</v>
      </c>
      <c r="D1136" s="20" t="s">
        <v>43</v>
      </c>
      <c r="E1136" s="20">
        <v>2</v>
      </c>
      <c r="F1136" s="20" t="s">
        <v>3983</v>
      </c>
      <c r="G1136" s="14">
        <f>(VLOOKUP(D1136,'[1]BOM Info General'!$A:$L,12,0))*E1136</f>
        <v>130.12</v>
      </c>
      <c r="H1136" s="21" t="s">
        <v>41</v>
      </c>
      <c r="I1136" s="21">
        <v>1</v>
      </c>
      <c r="J1136" s="21" t="s">
        <v>47</v>
      </c>
      <c r="K1136" s="15">
        <f>(VLOOKUP(H1136,'[1]BOM Info General'!$A:$L,12,0))*I1136</f>
        <v>27.18</v>
      </c>
      <c r="L1136" s="22" t="s">
        <v>83</v>
      </c>
      <c r="M1136" s="22">
        <v>1</v>
      </c>
      <c r="N1136" s="22" t="s">
        <v>86</v>
      </c>
      <c r="O1136" s="9">
        <f>(VLOOKUP(L1136,'[1]Simulation pricing per sub assy'!$D:$E,2,0))*M1136</f>
        <v>103.16640000000004</v>
      </c>
      <c r="P1136" s="23" t="s">
        <v>52</v>
      </c>
      <c r="Q1136" s="23">
        <v>8</v>
      </c>
      <c r="R1136" s="23" t="s">
        <v>18</v>
      </c>
      <c r="S1136" s="40">
        <f>(VLOOKUP(P1136,'[1]BOM Info General'!$A:$L,12,0))*Q1136</f>
        <v>21.2</v>
      </c>
      <c r="T1136" s="24" t="s">
        <v>26</v>
      </c>
      <c r="U1136" s="24">
        <v>1</v>
      </c>
      <c r="V1136" s="24" t="s">
        <v>27</v>
      </c>
      <c r="W1136" s="17">
        <f>(VLOOKUP(T1136,'[1]Simulation pricing per sub assy'!$D:$E,2,0))*U1136</f>
        <v>7.04</v>
      </c>
      <c r="X1136" s="18" t="s">
        <v>616</v>
      </c>
      <c r="Y1136" s="25">
        <v>1</v>
      </c>
      <c r="Z1136" s="25" t="s">
        <v>23</v>
      </c>
      <c r="AA1136" s="18">
        <f>(VLOOKUP(X1136,'[1]Simulation pricing per sub assy'!$D:$E,2,0))*Y1136</f>
        <v>4.4802908000000006</v>
      </c>
    </row>
    <row r="1137" spans="1:27" x14ac:dyDescent="0.35">
      <c r="A1137" s="13" t="s">
        <v>1605</v>
      </c>
      <c r="B1137" s="13" t="s">
        <v>1606</v>
      </c>
      <c r="C1137" s="42">
        <f t="shared" si="17"/>
        <v>284.6366908</v>
      </c>
      <c r="D1137" s="20" t="s">
        <v>43</v>
      </c>
      <c r="E1137" s="20">
        <v>2</v>
      </c>
      <c r="F1137" s="20" t="s">
        <v>3983</v>
      </c>
      <c r="G1137" s="14">
        <f>(VLOOKUP(D1137,'[1]BOM Info General'!$A:$L,12,0))*E1137</f>
        <v>130.12</v>
      </c>
      <c r="H1137" s="21" t="s">
        <v>41</v>
      </c>
      <c r="I1137" s="21">
        <v>1</v>
      </c>
      <c r="J1137" s="21" t="s">
        <v>47</v>
      </c>
      <c r="K1137" s="15">
        <f>(VLOOKUP(H1137,'[1]BOM Info General'!$A:$L,12,0))*I1137</f>
        <v>27.18</v>
      </c>
      <c r="L1137" s="22" t="s">
        <v>528</v>
      </c>
      <c r="M1137" s="22">
        <v>1</v>
      </c>
      <c r="N1137" s="22" t="s">
        <v>88</v>
      </c>
      <c r="O1137" s="9">
        <f>(VLOOKUP(L1137,'[1]Simulation pricing per sub assy'!$D:$E,2,0))*M1137</f>
        <v>94.656400000000033</v>
      </c>
      <c r="P1137" s="23" t="s">
        <v>52</v>
      </c>
      <c r="Q1137" s="23">
        <v>8</v>
      </c>
      <c r="R1137" s="23" t="s">
        <v>18</v>
      </c>
      <c r="S1137" s="40">
        <f>(VLOOKUP(P1137,'[1]BOM Info General'!$A:$L,12,0))*Q1137</f>
        <v>21.2</v>
      </c>
      <c r="T1137" s="24" t="s">
        <v>28</v>
      </c>
      <c r="U1137" s="24">
        <v>1</v>
      </c>
      <c r="V1137" s="24" t="s">
        <v>29</v>
      </c>
      <c r="W1137" s="17">
        <f>(VLOOKUP(T1137,'[1]Simulation pricing per sub assy'!$D:$E,2,0))*U1137</f>
        <v>7</v>
      </c>
      <c r="X1137" s="18" t="s">
        <v>616</v>
      </c>
      <c r="Y1137" s="25">
        <v>1</v>
      </c>
      <c r="Z1137" s="25" t="s">
        <v>23</v>
      </c>
      <c r="AA1137" s="18">
        <f>(VLOOKUP(X1137,'[1]Simulation pricing per sub assy'!$D:$E,2,0))*Y1137</f>
        <v>4.4802908000000006</v>
      </c>
    </row>
    <row r="1138" spans="1:27" x14ac:dyDescent="0.35">
      <c r="A1138" s="13" t="s">
        <v>1533</v>
      </c>
      <c r="B1138" s="13" t="s">
        <v>1534</v>
      </c>
      <c r="C1138" s="42">
        <f t="shared" si="17"/>
        <v>285.73669080000002</v>
      </c>
      <c r="D1138" s="20" t="s">
        <v>43</v>
      </c>
      <c r="E1138" s="20">
        <v>2</v>
      </c>
      <c r="F1138" s="20" t="s">
        <v>3983</v>
      </c>
      <c r="G1138" s="14">
        <f>(VLOOKUP(D1138,'[1]BOM Info General'!$A:$L,12,0))*E1138</f>
        <v>130.12</v>
      </c>
      <c r="H1138" s="21" t="s">
        <v>41</v>
      </c>
      <c r="I1138" s="21">
        <v>1</v>
      </c>
      <c r="J1138" s="21" t="s">
        <v>47</v>
      </c>
      <c r="K1138" s="15">
        <f>(VLOOKUP(H1138,'[1]BOM Info General'!$A:$L,12,0))*I1138</f>
        <v>27.18</v>
      </c>
      <c r="L1138" s="22" t="s">
        <v>85</v>
      </c>
      <c r="M1138" s="22">
        <v>1</v>
      </c>
      <c r="N1138" s="22" t="s">
        <v>82</v>
      </c>
      <c r="O1138" s="9">
        <f>(VLOOKUP(L1138,'[1]Simulation pricing per sub assy'!$D:$E,2,0))*M1138</f>
        <v>95.756400000000042</v>
      </c>
      <c r="P1138" s="23" t="s">
        <v>52</v>
      </c>
      <c r="Q1138" s="23">
        <v>8</v>
      </c>
      <c r="R1138" s="23" t="s">
        <v>18</v>
      </c>
      <c r="S1138" s="40">
        <f>(VLOOKUP(P1138,'[1]BOM Info General'!$A:$L,12,0))*Q1138</f>
        <v>21.2</v>
      </c>
      <c r="T1138" s="24" t="s">
        <v>28</v>
      </c>
      <c r="U1138" s="24">
        <v>1</v>
      </c>
      <c r="V1138" s="24" t="s">
        <v>29</v>
      </c>
      <c r="W1138" s="17">
        <f>(VLOOKUP(T1138,'[1]Simulation pricing per sub assy'!$D:$E,2,0))*U1138</f>
        <v>7</v>
      </c>
      <c r="X1138" s="18" t="s">
        <v>616</v>
      </c>
      <c r="Y1138" s="25">
        <v>1</v>
      </c>
      <c r="Z1138" s="25" t="s">
        <v>23</v>
      </c>
      <c r="AA1138" s="18">
        <f>(VLOOKUP(X1138,'[1]Simulation pricing per sub assy'!$D:$E,2,0))*Y1138</f>
        <v>4.4802908000000006</v>
      </c>
    </row>
    <row r="1139" spans="1:27" x14ac:dyDescent="0.35">
      <c r="A1139" s="13" t="s">
        <v>1569</v>
      </c>
      <c r="B1139" s="13" t="s">
        <v>1570</v>
      </c>
      <c r="C1139" s="42">
        <f t="shared" si="17"/>
        <v>285.73669080000002</v>
      </c>
      <c r="D1139" s="20" t="s">
        <v>43</v>
      </c>
      <c r="E1139" s="20">
        <v>2</v>
      </c>
      <c r="F1139" s="20" t="s">
        <v>3983</v>
      </c>
      <c r="G1139" s="14">
        <f>(VLOOKUP(D1139,'[1]BOM Info General'!$A:$L,12,0))*E1139</f>
        <v>130.12</v>
      </c>
      <c r="H1139" s="21" t="s">
        <v>41</v>
      </c>
      <c r="I1139" s="21">
        <v>1</v>
      </c>
      <c r="J1139" s="21" t="s">
        <v>47</v>
      </c>
      <c r="K1139" s="15">
        <f>(VLOOKUP(H1139,'[1]BOM Info General'!$A:$L,12,0))*I1139</f>
        <v>27.18</v>
      </c>
      <c r="L1139" s="22" t="s">
        <v>81</v>
      </c>
      <c r="M1139" s="22">
        <v>1</v>
      </c>
      <c r="N1139" s="22" t="s">
        <v>80</v>
      </c>
      <c r="O1139" s="9">
        <f>(VLOOKUP(L1139,'[1]Simulation pricing per sub assy'!$D:$E,2,0))*M1139</f>
        <v>95.756400000000042</v>
      </c>
      <c r="P1139" s="23" t="s">
        <v>52</v>
      </c>
      <c r="Q1139" s="23">
        <v>8</v>
      </c>
      <c r="R1139" s="23" t="s">
        <v>18</v>
      </c>
      <c r="S1139" s="40">
        <f>(VLOOKUP(P1139,'[1]BOM Info General'!$A:$L,12,0))*Q1139</f>
        <v>21.2</v>
      </c>
      <c r="T1139" s="24" t="s">
        <v>28</v>
      </c>
      <c r="U1139" s="24">
        <v>1</v>
      </c>
      <c r="V1139" s="24" t="s">
        <v>29</v>
      </c>
      <c r="W1139" s="17">
        <f>(VLOOKUP(T1139,'[1]Simulation pricing per sub assy'!$D:$E,2,0))*U1139</f>
        <v>7</v>
      </c>
      <c r="X1139" s="18" t="s">
        <v>616</v>
      </c>
      <c r="Y1139" s="25">
        <v>1</v>
      </c>
      <c r="Z1139" s="25" t="s">
        <v>23</v>
      </c>
      <c r="AA1139" s="18">
        <f>(VLOOKUP(X1139,'[1]Simulation pricing per sub assy'!$D:$E,2,0))*Y1139</f>
        <v>4.4802908000000006</v>
      </c>
    </row>
    <row r="1140" spans="1:27" x14ac:dyDescent="0.35">
      <c r="A1140" s="13" t="s">
        <v>1551</v>
      </c>
      <c r="B1140" s="13" t="s">
        <v>1552</v>
      </c>
      <c r="C1140" s="42">
        <f t="shared" si="17"/>
        <v>285.18669080000001</v>
      </c>
      <c r="D1140" s="20" t="s">
        <v>43</v>
      </c>
      <c r="E1140" s="20">
        <v>2</v>
      </c>
      <c r="F1140" s="20" t="s">
        <v>3983</v>
      </c>
      <c r="G1140" s="14">
        <f>(VLOOKUP(D1140,'[1]BOM Info General'!$A:$L,12,0))*E1140</f>
        <v>130.12</v>
      </c>
      <c r="H1140" s="21" t="s">
        <v>41</v>
      </c>
      <c r="I1140" s="21">
        <v>1</v>
      </c>
      <c r="J1140" s="21" t="s">
        <v>47</v>
      </c>
      <c r="K1140" s="15">
        <f>(VLOOKUP(H1140,'[1]BOM Info General'!$A:$L,12,0))*I1140</f>
        <v>27.18</v>
      </c>
      <c r="L1140" s="22" t="s">
        <v>87</v>
      </c>
      <c r="M1140" s="22">
        <v>1</v>
      </c>
      <c r="N1140" s="22" t="s">
        <v>84</v>
      </c>
      <c r="O1140" s="9">
        <f>(VLOOKUP(L1140,'[1]Simulation pricing per sub assy'!$D:$E,2,0))*M1140</f>
        <v>95.206400000000031</v>
      </c>
      <c r="P1140" s="23" t="s">
        <v>52</v>
      </c>
      <c r="Q1140" s="23">
        <v>8</v>
      </c>
      <c r="R1140" s="23" t="s">
        <v>18</v>
      </c>
      <c r="S1140" s="40">
        <f>(VLOOKUP(P1140,'[1]BOM Info General'!$A:$L,12,0))*Q1140</f>
        <v>21.2</v>
      </c>
      <c r="T1140" s="24" t="s">
        <v>28</v>
      </c>
      <c r="U1140" s="24">
        <v>1</v>
      </c>
      <c r="V1140" s="24" t="s">
        <v>29</v>
      </c>
      <c r="W1140" s="17">
        <f>(VLOOKUP(T1140,'[1]Simulation pricing per sub assy'!$D:$E,2,0))*U1140</f>
        <v>7</v>
      </c>
      <c r="X1140" s="18" t="s">
        <v>616</v>
      </c>
      <c r="Y1140" s="25">
        <v>1</v>
      </c>
      <c r="Z1140" s="25" t="s">
        <v>23</v>
      </c>
      <c r="AA1140" s="18">
        <f>(VLOOKUP(X1140,'[1]Simulation pricing per sub assy'!$D:$E,2,0))*Y1140</f>
        <v>4.4802908000000006</v>
      </c>
    </row>
    <row r="1141" spans="1:27" x14ac:dyDescent="0.35">
      <c r="A1141" s="13" t="s">
        <v>1587</v>
      </c>
      <c r="B1141" s="13" t="s">
        <v>1588</v>
      </c>
      <c r="C1141" s="42">
        <f t="shared" si="17"/>
        <v>293.14669079999999</v>
      </c>
      <c r="D1141" s="20" t="s">
        <v>43</v>
      </c>
      <c r="E1141" s="20">
        <v>2</v>
      </c>
      <c r="F1141" s="20" t="s">
        <v>3983</v>
      </c>
      <c r="G1141" s="14">
        <f>(VLOOKUP(D1141,'[1]BOM Info General'!$A:$L,12,0))*E1141</f>
        <v>130.12</v>
      </c>
      <c r="H1141" s="21" t="s">
        <v>41</v>
      </c>
      <c r="I1141" s="21">
        <v>1</v>
      </c>
      <c r="J1141" s="21" t="s">
        <v>47</v>
      </c>
      <c r="K1141" s="15">
        <f>(VLOOKUP(H1141,'[1]BOM Info General'!$A:$L,12,0))*I1141</f>
        <v>27.18</v>
      </c>
      <c r="L1141" s="22" t="s">
        <v>83</v>
      </c>
      <c r="M1141" s="22">
        <v>1</v>
      </c>
      <c r="N1141" s="22" t="s">
        <v>86</v>
      </c>
      <c r="O1141" s="9">
        <f>(VLOOKUP(L1141,'[1]Simulation pricing per sub assy'!$D:$E,2,0))*M1141</f>
        <v>103.16640000000004</v>
      </c>
      <c r="P1141" s="23" t="s">
        <v>52</v>
      </c>
      <c r="Q1141" s="23">
        <v>8</v>
      </c>
      <c r="R1141" s="23" t="s">
        <v>18</v>
      </c>
      <c r="S1141" s="40">
        <f>(VLOOKUP(P1141,'[1]BOM Info General'!$A:$L,12,0))*Q1141</f>
        <v>21.2</v>
      </c>
      <c r="T1141" s="24" t="s">
        <v>28</v>
      </c>
      <c r="U1141" s="24">
        <v>1</v>
      </c>
      <c r="V1141" s="24" t="s">
        <v>29</v>
      </c>
      <c r="W1141" s="17">
        <f>(VLOOKUP(T1141,'[1]Simulation pricing per sub assy'!$D:$E,2,0))*U1141</f>
        <v>7</v>
      </c>
      <c r="X1141" s="18" t="s">
        <v>616</v>
      </c>
      <c r="Y1141" s="25">
        <v>1</v>
      </c>
      <c r="Z1141" s="25" t="s">
        <v>23</v>
      </c>
      <c r="AA1141" s="18">
        <f>(VLOOKUP(X1141,'[1]Simulation pricing per sub assy'!$D:$E,2,0))*Y1141</f>
        <v>4.4802908000000006</v>
      </c>
    </row>
    <row r="1142" spans="1:27" x14ac:dyDescent="0.35">
      <c r="A1142" s="13" t="s">
        <v>1515</v>
      </c>
      <c r="B1142" s="13" t="s">
        <v>1516</v>
      </c>
      <c r="C1142" s="42">
        <f t="shared" si="17"/>
        <v>286.1966908</v>
      </c>
      <c r="D1142" s="20" t="s">
        <v>43</v>
      </c>
      <c r="E1142" s="20">
        <v>2</v>
      </c>
      <c r="F1142" s="20" t="s">
        <v>3983</v>
      </c>
      <c r="G1142" s="14">
        <f>(VLOOKUP(D1142,'[1]BOM Info General'!$A:$L,12,0))*E1142</f>
        <v>130.12</v>
      </c>
      <c r="H1142" s="21" t="s">
        <v>41</v>
      </c>
      <c r="I1142" s="21">
        <v>1</v>
      </c>
      <c r="J1142" s="21" t="s">
        <v>47</v>
      </c>
      <c r="K1142" s="15">
        <f>(VLOOKUP(H1142,'[1]BOM Info General'!$A:$L,12,0))*I1142</f>
        <v>27.18</v>
      </c>
      <c r="L1142" s="22" t="s">
        <v>528</v>
      </c>
      <c r="M1142" s="22">
        <v>1</v>
      </c>
      <c r="N1142" s="22" t="s">
        <v>88</v>
      </c>
      <c r="O1142" s="9">
        <f>(VLOOKUP(L1142,'[1]Simulation pricing per sub assy'!$D:$E,2,0))*M1142</f>
        <v>94.656400000000033</v>
      </c>
      <c r="P1142" s="23" t="s">
        <v>50</v>
      </c>
      <c r="Q1142" s="23">
        <v>8</v>
      </c>
      <c r="R1142" s="23" t="s">
        <v>611</v>
      </c>
      <c r="S1142" s="40">
        <f>(VLOOKUP(P1142,'[1]BOM Info General'!$A:$L,12,0))*Q1142</f>
        <v>21.2</v>
      </c>
      <c r="T1142" s="24" t="s">
        <v>30</v>
      </c>
      <c r="U1142" s="24">
        <v>1</v>
      </c>
      <c r="V1142" s="24" t="s">
        <v>31</v>
      </c>
      <c r="W1142" s="17">
        <f>(VLOOKUP(T1142,'[1]Simulation pricing per sub assy'!$D:$E,2,0))*U1142</f>
        <v>8.5599999999999987</v>
      </c>
      <c r="X1142" s="18" t="s">
        <v>616</v>
      </c>
      <c r="Y1142" s="25">
        <v>1</v>
      </c>
      <c r="Z1142" s="25" t="s">
        <v>23</v>
      </c>
      <c r="AA1142" s="18">
        <f>(VLOOKUP(X1142,'[1]Simulation pricing per sub assy'!$D:$E,2,0))*Y1142</f>
        <v>4.4802908000000006</v>
      </c>
    </row>
    <row r="1143" spans="1:27" x14ac:dyDescent="0.35">
      <c r="A1143" s="13" t="s">
        <v>1507</v>
      </c>
      <c r="B1143" s="13" t="s">
        <v>1508</v>
      </c>
      <c r="C1143" s="42">
        <f t="shared" si="17"/>
        <v>287.29669080000002</v>
      </c>
      <c r="D1143" s="20" t="s">
        <v>43</v>
      </c>
      <c r="E1143" s="20">
        <v>2</v>
      </c>
      <c r="F1143" s="20" t="s">
        <v>3983</v>
      </c>
      <c r="G1143" s="14">
        <f>(VLOOKUP(D1143,'[1]BOM Info General'!$A:$L,12,0))*E1143</f>
        <v>130.12</v>
      </c>
      <c r="H1143" s="21" t="s">
        <v>41</v>
      </c>
      <c r="I1143" s="21">
        <v>1</v>
      </c>
      <c r="J1143" s="21" t="s">
        <v>47</v>
      </c>
      <c r="K1143" s="15">
        <f>(VLOOKUP(H1143,'[1]BOM Info General'!$A:$L,12,0))*I1143</f>
        <v>27.18</v>
      </c>
      <c r="L1143" s="22" t="s">
        <v>85</v>
      </c>
      <c r="M1143" s="22">
        <v>1</v>
      </c>
      <c r="N1143" s="22" t="s">
        <v>82</v>
      </c>
      <c r="O1143" s="9">
        <f>(VLOOKUP(L1143,'[1]Simulation pricing per sub assy'!$D:$E,2,0))*M1143</f>
        <v>95.756400000000042</v>
      </c>
      <c r="P1143" s="23" t="s">
        <v>50</v>
      </c>
      <c r="Q1143" s="23">
        <v>8</v>
      </c>
      <c r="R1143" s="23" t="s">
        <v>611</v>
      </c>
      <c r="S1143" s="40">
        <f>(VLOOKUP(P1143,'[1]BOM Info General'!$A:$L,12,0))*Q1143</f>
        <v>21.2</v>
      </c>
      <c r="T1143" s="24" t="s">
        <v>30</v>
      </c>
      <c r="U1143" s="24">
        <v>1</v>
      </c>
      <c r="V1143" s="24" t="s">
        <v>31</v>
      </c>
      <c r="W1143" s="17">
        <f>(VLOOKUP(T1143,'[1]Simulation pricing per sub assy'!$D:$E,2,0))*U1143</f>
        <v>8.5599999999999987</v>
      </c>
      <c r="X1143" s="18" t="s">
        <v>616</v>
      </c>
      <c r="Y1143" s="25">
        <v>1</v>
      </c>
      <c r="Z1143" s="25" t="s">
        <v>23</v>
      </c>
      <c r="AA1143" s="18">
        <f>(VLOOKUP(X1143,'[1]Simulation pricing per sub assy'!$D:$E,2,0))*Y1143</f>
        <v>4.4802908000000006</v>
      </c>
    </row>
    <row r="1144" spans="1:27" x14ac:dyDescent="0.35">
      <c r="A1144" s="13" t="s">
        <v>1511</v>
      </c>
      <c r="B1144" s="13" t="s">
        <v>1512</v>
      </c>
      <c r="C1144" s="42">
        <f t="shared" si="17"/>
        <v>287.29669080000002</v>
      </c>
      <c r="D1144" s="20" t="s">
        <v>43</v>
      </c>
      <c r="E1144" s="20">
        <v>2</v>
      </c>
      <c r="F1144" s="20" t="s">
        <v>3983</v>
      </c>
      <c r="G1144" s="14">
        <f>(VLOOKUP(D1144,'[1]BOM Info General'!$A:$L,12,0))*E1144</f>
        <v>130.12</v>
      </c>
      <c r="H1144" s="21" t="s">
        <v>41</v>
      </c>
      <c r="I1144" s="21">
        <v>1</v>
      </c>
      <c r="J1144" s="21" t="s">
        <v>47</v>
      </c>
      <c r="K1144" s="15">
        <f>(VLOOKUP(H1144,'[1]BOM Info General'!$A:$L,12,0))*I1144</f>
        <v>27.18</v>
      </c>
      <c r="L1144" s="22" t="s">
        <v>81</v>
      </c>
      <c r="M1144" s="22">
        <v>1</v>
      </c>
      <c r="N1144" s="22" t="s">
        <v>80</v>
      </c>
      <c r="O1144" s="9">
        <f>(VLOOKUP(L1144,'[1]Simulation pricing per sub assy'!$D:$E,2,0))*M1144</f>
        <v>95.756400000000042</v>
      </c>
      <c r="P1144" s="23" t="s">
        <v>50</v>
      </c>
      <c r="Q1144" s="23">
        <v>8</v>
      </c>
      <c r="R1144" s="23" t="s">
        <v>611</v>
      </c>
      <c r="S1144" s="40">
        <f>(VLOOKUP(P1144,'[1]BOM Info General'!$A:$L,12,0))*Q1144</f>
        <v>21.2</v>
      </c>
      <c r="T1144" s="24" t="s">
        <v>30</v>
      </c>
      <c r="U1144" s="24">
        <v>1</v>
      </c>
      <c r="V1144" s="24" t="s">
        <v>31</v>
      </c>
      <c r="W1144" s="17">
        <f>(VLOOKUP(T1144,'[1]Simulation pricing per sub assy'!$D:$E,2,0))*U1144</f>
        <v>8.5599999999999987</v>
      </c>
      <c r="X1144" s="18" t="s">
        <v>616</v>
      </c>
      <c r="Y1144" s="25">
        <v>1</v>
      </c>
      <c r="Z1144" s="25" t="s">
        <v>23</v>
      </c>
      <c r="AA1144" s="18">
        <f>(VLOOKUP(X1144,'[1]Simulation pricing per sub assy'!$D:$E,2,0))*Y1144</f>
        <v>4.4802908000000006</v>
      </c>
    </row>
    <row r="1145" spans="1:27" x14ac:dyDescent="0.35">
      <c r="A1145" s="13" t="s">
        <v>1509</v>
      </c>
      <c r="B1145" s="13" t="s">
        <v>1510</v>
      </c>
      <c r="C1145" s="42">
        <f t="shared" si="17"/>
        <v>286.74669080000001</v>
      </c>
      <c r="D1145" s="20" t="s">
        <v>43</v>
      </c>
      <c r="E1145" s="20">
        <v>2</v>
      </c>
      <c r="F1145" s="20" t="s">
        <v>3983</v>
      </c>
      <c r="G1145" s="14">
        <f>(VLOOKUP(D1145,'[1]BOM Info General'!$A:$L,12,0))*E1145</f>
        <v>130.12</v>
      </c>
      <c r="H1145" s="21" t="s">
        <v>41</v>
      </c>
      <c r="I1145" s="21">
        <v>1</v>
      </c>
      <c r="J1145" s="21" t="s">
        <v>47</v>
      </c>
      <c r="K1145" s="15">
        <f>(VLOOKUP(H1145,'[1]BOM Info General'!$A:$L,12,0))*I1145</f>
        <v>27.18</v>
      </c>
      <c r="L1145" s="22" t="s">
        <v>87</v>
      </c>
      <c r="M1145" s="22">
        <v>1</v>
      </c>
      <c r="N1145" s="22" t="s">
        <v>84</v>
      </c>
      <c r="O1145" s="9">
        <f>(VLOOKUP(L1145,'[1]Simulation pricing per sub assy'!$D:$E,2,0))*M1145</f>
        <v>95.206400000000031</v>
      </c>
      <c r="P1145" s="23" t="s">
        <v>50</v>
      </c>
      <c r="Q1145" s="23">
        <v>8</v>
      </c>
      <c r="R1145" s="23" t="s">
        <v>611</v>
      </c>
      <c r="S1145" s="40">
        <f>(VLOOKUP(P1145,'[1]BOM Info General'!$A:$L,12,0))*Q1145</f>
        <v>21.2</v>
      </c>
      <c r="T1145" s="24" t="s">
        <v>30</v>
      </c>
      <c r="U1145" s="24">
        <v>1</v>
      </c>
      <c r="V1145" s="24" t="s">
        <v>31</v>
      </c>
      <c r="W1145" s="17">
        <f>(VLOOKUP(T1145,'[1]Simulation pricing per sub assy'!$D:$E,2,0))*U1145</f>
        <v>8.5599999999999987</v>
      </c>
      <c r="X1145" s="18" t="s">
        <v>616</v>
      </c>
      <c r="Y1145" s="25">
        <v>1</v>
      </c>
      <c r="Z1145" s="25" t="s">
        <v>23</v>
      </c>
      <c r="AA1145" s="18">
        <f>(VLOOKUP(X1145,'[1]Simulation pricing per sub assy'!$D:$E,2,0))*Y1145</f>
        <v>4.4802908000000006</v>
      </c>
    </row>
    <row r="1146" spans="1:27" x14ac:dyDescent="0.35">
      <c r="A1146" s="13" t="s">
        <v>1513</v>
      </c>
      <c r="B1146" s="13" t="s">
        <v>1514</v>
      </c>
      <c r="C1146" s="42">
        <f t="shared" si="17"/>
        <v>294.70669079999999</v>
      </c>
      <c r="D1146" s="20" t="s">
        <v>43</v>
      </c>
      <c r="E1146" s="20">
        <v>2</v>
      </c>
      <c r="F1146" s="20" t="s">
        <v>3983</v>
      </c>
      <c r="G1146" s="14">
        <f>(VLOOKUP(D1146,'[1]BOM Info General'!$A:$L,12,0))*E1146</f>
        <v>130.12</v>
      </c>
      <c r="H1146" s="21" t="s">
        <v>41</v>
      </c>
      <c r="I1146" s="21">
        <v>1</v>
      </c>
      <c r="J1146" s="21" t="s">
        <v>47</v>
      </c>
      <c r="K1146" s="15">
        <f>(VLOOKUP(H1146,'[1]BOM Info General'!$A:$L,12,0))*I1146</f>
        <v>27.18</v>
      </c>
      <c r="L1146" s="22" t="s">
        <v>83</v>
      </c>
      <c r="M1146" s="22">
        <v>1</v>
      </c>
      <c r="N1146" s="22" t="s">
        <v>86</v>
      </c>
      <c r="O1146" s="9">
        <f>(VLOOKUP(L1146,'[1]Simulation pricing per sub assy'!$D:$E,2,0))*M1146</f>
        <v>103.16640000000004</v>
      </c>
      <c r="P1146" s="23" t="s">
        <v>50</v>
      </c>
      <c r="Q1146" s="23">
        <v>8</v>
      </c>
      <c r="R1146" s="23" t="s">
        <v>611</v>
      </c>
      <c r="S1146" s="40">
        <f>(VLOOKUP(P1146,'[1]BOM Info General'!$A:$L,12,0))*Q1146</f>
        <v>21.2</v>
      </c>
      <c r="T1146" s="24" t="s">
        <v>30</v>
      </c>
      <c r="U1146" s="24">
        <v>1</v>
      </c>
      <c r="V1146" s="24" t="s">
        <v>31</v>
      </c>
      <c r="W1146" s="17">
        <f>(VLOOKUP(T1146,'[1]Simulation pricing per sub assy'!$D:$E,2,0))*U1146</f>
        <v>8.5599999999999987</v>
      </c>
      <c r="X1146" s="18" t="s">
        <v>616</v>
      </c>
      <c r="Y1146" s="25">
        <v>1</v>
      </c>
      <c r="Z1146" s="25" t="s">
        <v>23</v>
      </c>
      <c r="AA1146" s="18">
        <f>(VLOOKUP(X1146,'[1]Simulation pricing per sub assy'!$D:$E,2,0))*Y1146</f>
        <v>4.4802908000000006</v>
      </c>
    </row>
    <row r="1147" spans="1:27" x14ac:dyDescent="0.35">
      <c r="A1147" s="13" t="s">
        <v>605</v>
      </c>
      <c r="B1147" s="13" t="s">
        <v>4409</v>
      </c>
      <c r="C1147" s="42">
        <f t="shared" si="17"/>
        <v>284.83669079999999</v>
      </c>
      <c r="D1147" s="14" t="s">
        <v>43</v>
      </c>
      <c r="E1147" s="14">
        <v>2</v>
      </c>
      <c r="F1147" s="14" t="s">
        <v>3983</v>
      </c>
      <c r="G1147" s="14">
        <f>(VLOOKUP(D1147,'[1]BOM Info General'!$A:$L,12,0))*E1147</f>
        <v>130.12</v>
      </c>
      <c r="H1147" s="15" t="s">
        <v>41</v>
      </c>
      <c r="I1147" s="15">
        <v>1</v>
      </c>
      <c r="J1147" s="15" t="s">
        <v>47</v>
      </c>
      <c r="K1147" s="15">
        <f>(VLOOKUP(H1147,'[1]BOM Info General'!$A:$L,12,0))*I1147</f>
        <v>27.18</v>
      </c>
      <c r="L1147" s="9" t="s">
        <v>528</v>
      </c>
      <c r="M1147" s="9">
        <v>1</v>
      </c>
      <c r="N1147" s="9" t="s">
        <v>88</v>
      </c>
      <c r="O1147" s="9">
        <f>(VLOOKUP(L1147,'[1]Simulation pricing per sub assy'!$D:$E,2,0))*M1147</f>
        <v>94.656400000000033</v>
      </c>
      <c r="P1147" s="16" t="s">
        <v>50</v>
      </c>
      <c r="Q1147" s="16">
        <v>8</v>
      </c>
      <c r="R1147" s="16" t="s">
        <v>611</v>
      </c>
      <c r="S1147" s="40">
        <f>(VLOOKUP(P1147,'[1]BOM Info General'!$A:$L,12,0))*Q1147</f>
        <v>21.2</v>
      </c>
      <c r="T1147" s="17" t="s">
        <v>21</v>
      </c>
      <c r="U1147" s="17">
        <v>1</v>
      </c>
      <c r="V1147" s="17" t="s">
        <v>22</v>
      </c>
      <c r="W1147" s="17">
        <f>(VLOOKUP(T1147,'[1]Simulation pricing per sub assy'!$D:$E,2,0))*U1147</f>
        <v>7.2</v>
      </c>
      <c r="X1147" s="18" t="s">
        <v>616</v>
      </c>
      <c r="Y1147" s="18">
        <v>1</v>
      </c>
      <c r="Z1147" s="18" t="s">
        <v>23</v>
      </c>
      <c r="AA1147" s="18">
        <f>(VLOOKUP(X1147,'[1]Simulation pricing per sub assy'!$D:$E,2,0))*Y1147</f>
        <v>4.4802908000000006</v>
      </c>
    </row>
    <row r="1148" spans="1:27" x14ac:dyDescent="0.35">
      <c r="A1148" s="13" t="s">
        <v>601</v>
      </c>
      <c r="B1148" s="13" t="s">
        <v>4410</v>
      </c>
      <c r="C1148" s="42">
        <f t="shared" si="17"/>
        <v>285.93669080000001</v>
      </c>
      <c r="D1148" s="14" t="s">
        <v>43</v>
      </c>
      <c r="E1148" s="14">
        <v>2</v>
      </c>
      <c r="F1148" s="14" t="s">
        <v>3983</v>
      </c>
      <c r="G1148" s="14">
        <f>(VLOOKUP(D1148,'[1]BOM Info General'!$A:$L,12,0))*E1148</f>
        <v>130.12</v>
      </c>
      <c r="H1148" s="15" t="s">
        <v>41</v>
      </c>
      <c r="I1148" s="15">
        <v>1</v>
      </c>
      <c r="J1148" s="15" t="s">
        <v>47</v>
      </c>
      <c r="K1148" s="15">
        <f>(VLOOKUP(H1148,'[1]BOM Info General'!$A:$L,12,0))*I1148</f>
        <v>27.18</v>
      </c>
      <c r="L1148" s="9" t="s">
        <v>85</v>
      </c>
      <c r="M1148" s="9">
        <v>1</v>
      </c>
      <c r="N1148" s="9" t="s">
        <v>82</v>
      </c>
      <c r="O1148" s="9">
        <f>(VLOOKUP(L1148,'[1]Simulation pricing per sub assy'!$D:$E,2,0))*M1148</f>
        <v>95.756400000000042</v>
      </c>
      <c r="P1148" s="16" t="s">
        <v>50</v>
      </c>
      <c r="Q1148" s="16">
        <v>8</v>
      </c>
      <c r="R1148" s="16" t="s">
        <v>611</v>
      </c>
      <c r="S1148" s="40">
        <f>(VLOOKUP(P1148,'[1]BOM Info General'!$A:$L,12,0))*Q1148</f>
        <v>21.2</v>
      </c>
      <c r="T1148" s="17" t="s">
        <v>21</v>
      </c>
      <c r="U1148" s="17">
        <v>1</v>
      </c>
      <c r="V1148" s="17" t="s">
        <v>22</v>
      </c>
      <c r="W1148" s="17">
        <f>(VLOOKUP(T1148,'[1]Simulation pricing per sub assy'!$D:$E,2,0))*U1148</f>
        <v>7.2</v>
      </c>
      <c r="X1148" s="18" t="s">
        <v>616</v>
      </c>
      <c r="Y1148" s="18">
        <v>1</v>
      </c>
      <c r="Z1148" s="18" t="s">
        <v>23</v>
      </c>
      <c r="AA1148" s="18">
        <f>(VLOOKUP(X1148,'[1]Simulation pricing per sub assy'!$D:$E,2,0))*Y1148</f>
        <v>4.4802908000000006</v>
      </c>
    </row>
    <row r="1149" spans="1:27" x14ac:dyDescent="0.35">
      <c r="A1149" s="13" t="s">
        <v>603</v>
      </c>
      <c r="B1149" s="13" t="s">
        <v>4411</v>
      </c>
      <c r="C1149" s="42">
        <f t="shared" si="17"/>
        <v>285.93669080000001</v>
      </c>
      <c r="D1149" s="14" t="s">
        <v>43</v>
      </c>
      <c r="E1149" s="14">
        <v>2</v>
      </c>
      <c r="F1149" s="14" t="s">
        <v>3983</v>
      </c>
      <c r="G1149" s="14">
        <f>(VLOOKUP(D1149,'[1]BOM Info General'!$A:$L,12,0))*E1149</f>
        <v>130.12</v>
      </c>
      <c r="H1149" s="15" t="s">
        <v>41</v>
      </c>
      <c r="I1149" s="15">
        <v>1</v>
      </c>
      <c r="J1149" s="15" t="s">
        <v>47</v>
      </c>
      <c r="K1149" s="15">
        <f>(VLOOKUP(H1149,'[1]BOM Info General'!$A:$L,12,0))*I1149</f>
        <v>27.18</v>
      </c>
      <c r="L1149" s="9" t="s">
        <v>81</v>
      </c>
      <c r="M1149" s="9">
        <v>1</v>
      </c>
      <c r="N1149" s="9" t="s">
        <v>80</v>
      </c>
      <c r="O1149" s="9">
        <f>(VLOOKUP(L1149,'[1]Simulation pricing per sub assy'!$D:$E,2,0))*M1149</f>
        <v>95.756400000000042</v>
      </c>
      <c r="P1149" s="16" t="s">
        <v>50</v>
      </c>
      <c r="Q1149" s="16">
        <v>8</v>
      </c>
      <c r="R1149" s="16" t="s">
        <v>611</v>
      </c>
      <c r="S1149" s="40">
        <f>(VLOOKUP(P1149,'[1]BOM Info General'!$A:$L,12,0))*Q1149</f>
        <v>21.2</v>
      </c>
      <c r="T1149" s="17" t="s">
        <v>21</v>
      </c>
      <c r="U1149" s="17">
        <v>1</v>
      </c>
      <c r="V1149" s="17" t="s">
        <v>22</v>
      </c>
      <c r="W1149" s="17">
        <f>(VLOOKUP(T1149,'[1]Simulation pricing per sub assy'!$D:$E,2,0))*U1149</f>
        <v>7.2</v>
      </c>
      <c r="X1149" s="18" t="s">
        <v>616</v>
      </c>
      <c r="Y1149" s="18">
        <v>1</v>
      </c>
      <c r="Z1149" s="18" t="s">
        <v>23</v>
      </c>
      <c r="AA1149" s="18">
        <f>(VLOOKUP(X1149,'[1]Simulation pricing per sub assy'!$D:$E,2,0))*Y1149</f>
        <v>4.4802908000000006</v>
      </c>
    </row>
    <row r="1150" spans="1:27" x14ac:dyDescent="0.35">
      <c r="A1150" s="13" t="s">
        <v>602</v>
      </c>
      <c r="B1150" s="13" t="s">
        <v>4412</v>
      </c>
      <c r="C1150" s="42">
        <f t="shared" si="17"/>
        <v>285.3866908</v>
      </c>
      <c r="D1150" s="14" t="s">
        <v>43</v>
      </c>
      <c r="E1150" s="14">
        <v>2</v>
      </c>
      <c r="F1150" s="14" t="s">
        <v>3983</v>
      </c>
      <c r="G1150" s="14">
        <f>(VLOOKUP(D1150,'[1]BOM Info General'!$A:$L,12,0))*E1150</f>
        <v>130.12</v>
      </c>
      <c r="H1150" s="15" t="s">
        <v>41</v>
      </c>
      <c r="I1150" s="15">
        <v>1</v>
      </c>
      <c r="J1150" s="15" t="s">
        <v>47</v>
      </c>
      <c r="K1150" s="15">
        <f>(VLOOKUP(H1150,'[1]BOM Info General'!$A:$L,12,0))*I1150</f>
        <v>27.18</v>
      </c>
      <c r="L1150" s="9" t="s">
        <v>87</v>
      </c>
      <c r="M1150" s="9">
        <v>1</v>
      </c>
      <c r="N1150" s="9" t="s">
        <v>84</v>
      </c>
      <c r="O1150" s="9">
        <f>(VLOOKUP(L1150,'[1]Simulation pricing per sub assy'!$D:$E,2,0))*M1150</f>
        <v>95.206400000000031</v>
      </c>
      <c r="P1150" s="16" t="s">
        <v>50</v>
      </c>
      <c r="Q1150" s="16">
        <v>8</v>
      </c>
      <c r="R1150" s="16" t="s">
        <v>611</v>
      </c>
      <c r="S1150" s="40">
        <f>(VLOOKUP(P1150,'[1]BOM Info General'!$A:$L,12,0))*Q1150</f>
        <v>21.2</v>
      </c>
      <c r="T1150" s="17" t="s">
        <v>21</v>
      </c>
      <c r="U1150" s="17">
        <v>1</v>
      </c>
      <c r="V1150" s="17" t="s">
        <v>22</v>
      </c>
      <c r="W1150" s="17">
        <f>(VLOOKUP(T1150,'[1]Simulation pricing per sub assy'!$D:$E,2,0))*U1150</f>
        <v>7.2</v>
      </c>
      <c r="X1150" s="18" t="s">
        <v>616</v>
      </c>
      <c r="Y1150" s="18">
        <v>1</v>
      </c>
      <c r="Z1150" s="18" t="s">
        <v>23</v>
      </c>
      <c r="AA1150" s="18">
        <f>(VLOOKUP(X1150,'[1]Simulation pricing per sub assy'!$D:$E,2,0))*Y1150</f>
        <v>4.4802908000000006</v>
      </c>
    </row>
    <row r="1151" spans="1:27" x14ac:dyDescent="0.35">
      <c r="A1151" s="13" t="s">
        <v>604</v>
      </c>
      <c r="B1151" s="13" t="s">
        <v>4413</v>
      </c>
      <c r="C1151" s="42">
        <f t="shared" si="17"/>
        <v>293.34669079999998</v>
      </c>
      <c r="D1151" s="14" t="s">
        <v>43</v>
      </c>
      <c r="E1151" s="14">
        <v>2</v>
      </c>
      <c r="F1151" s="14" t="s">
        <v>3983</v>
      </c>
      <c r="G1151" s="14">
        <f>(VLOOKUP(D1151,'[1]BOM Info General'!$A:$L,12,0))*E1151</f>
        <v>130.12</v>
      </c>
      <c r="H1151" s="15" t="s">
        <v>41</v>
      </c>
      <c r="I1151" s="15">
        <v>1</v>
      </c>
      <c r="J1151" s="15" t="s">
        <v>47</v>
      </c>
      <c r="K1151" s="15">
        <f>(VLOOKUP(H1151,'[1]BOM Info General'!$A:$L,12,0))*I1151</f>
        <v>27.18</v>
      </c>
      <c r="L1151" s="9" t="s">
        <v>83</v>
      </c>
      <c r="M1151" s="9">
        <v>1</v>
      </c>
      <c r="N1151" s="9" t="s">
        <v>86</v>
      </c>
      <c r="O1151" s="9">
        <f>(VLOOKUP(L1151,'[1]Simulation pricing per sub assy'!$D:$E,2,0))*M1151</f>
        <v>103.16640000000004</v>
      </c>
      <c r="P1151" s="16" t="s">
        <v>50</v>
      </c>
      <c r="Q1151" s="16">
        <v>8</v>
      </c>
      <c r="R1151" s="16" t="s">
        <v>611</v>
      </c>
      <c r="S1151" s="40">
        <f>(VLOOKUP(P1151,'[1]BOM Info General'!$A:$L,12,0))*Q1151</f>
        <v>21.2</v>
      </c>
      <c r="T1151" s="17" t="s">
        <v>21</v>
      </c>
      <c r="U1151" s="17">
        <v>1</v>
      </c>
      <c r="V1151" s="17" t="s">
        <v>22</v>
      </c>
      <c r="W1151" s="17">
        <f>(VLOOKUP(T1151,'[1]Simulation pricing per sub assy'!$D:$E,2,0))*U1151</f>
        <v>7.2</v>
      </c>
      <c r="X1151" s="18" t="s">
        <v>616</v>
      </c>
      <c r="Y1151" s="18">
        <v>1</v>
      </c>
      <c r="Z1151" s="18" t="s">
        <v>23</v>
      </c>
      <c r="AA1151" s="18">
        <f>(VLOOKUP(X1151,'[1]Simulation pricing per sub assy'!$D:$E,2,0))*Y1151</f>
        <v>4.4802908000000006</v>
      </c>
    </row>
    <row r="1152" spans="1:27" x14ac:dyDescent="0.35">
      <c r="A1152" s="13" t="s">
        <v>465</v>
      </c>
      <c r="B1152" s="13" t="s">
        <v>4414</v>
      </c>
      <c r="C1152" s="42">
        <f t="shared" si="17"/>
        <v>284.07669079999999</v>
      </c>
      <c r="D1152" s="14" t="s">
        <v>43</v>
      </c>
      <c r="E1152" s="14">
        <v>2</v>
      </c>
      <c r="F1152" s="14" t="s">
        <v>3983</v>
      </c>
      <c r="G1152" s="14">
        <f>(VLOOKUP(D1152,'[1]BOM Info General'!$A:$L,12,0))*E1152</f>
        <v>130.12</v>
      </c>
      <c r="H1152" s="15" t="s">
        <v>41</v>
      </c>
      <c r="I1152" s="15">
        <v>1</v>
      </c>
      <c r="J1152" s="15" t="s">
        <v>47</v>
      </c>
      <c r="K1152" s="15">
        <f>(VLOOKUP(H1152,'[1]BOM Info General'!$A:$L,12,0))*I1152</f>
        <v>27.18</v>
      </c>
      <c r="L1152" s="9" t="s">
        <v>528</v>
      </c>
      <c r="M1152" s="9">
        <v>1</v>
      </c>
      <c r="N1152" s="9" t="s">
        <v>88</v>
      </c>
      <c r="O1152" s="9">
        <f>(VLOOKUP(L1152,'[1]Simulation pricing per sub assy'!$D:$E,2,0))*M1152</f>
        <v>94.656400000000033</v>
      </c>
      <c r="P1152" s="16" t="s">
        <v>50</v>
      </c>
      <c r="Q1152" s="16">
        <v>8</v>
      </c>
      <c r="R1152" s="16" t="s">
        <v>16</v>
      </c>
      <c r="S1152" s="40">
        <f>(VLOOKUP(P1152,'[1]BOM Info General'!$A:$L,12,0))*Q1152</f>
        <v>21.2</v>
      </c>
      <c r="T1152" s="17" t="s">
        <v>24</v>
      </c>
      <c r="U1152" s="17">
        <v>1</v>
      </c>
      <c r="V1152" s="17" t="s">
        <v>25</v>
      </c>
      <c r="W1152" s="17">
        <f>(VLOOKUP(T1152,'[1]Simulation pricing per sub assy'!$D:$E,2,0))*U1152</f>
        <v>6.44</v>
      </c>
      <c r="X1152" s="18" t="s">
        <v>616</v>
      </c>
      <c r="Y1152" s="18">
        <v>1</v>
      </c>
      <c r="Z1152" s="18" t="s">
        <v>23</v>
      </c>
      <c r="AA1152" s="18">
        <f>(VLOOKUP(X1152,'[1]Simulation pricing per sub assy'!$D:$E,2,0))*Y1152</f>
        <v>4.4802908000000006</v>
      </c>
    </row>
    <row r="1153" spans="1:27" x14ac:dyDescent="0.35">
      <c r="A1153" s="13" t="s">
        <v>321</v>
      </c>
      <c r="B1153" s="13" t="s">
        <v>4415</v>
      </c>
      <c r="C1153" s="42">
        <f t="shared" si="17"/>
        <v>285.17669080000002</v>
      </c>
      <c r="D1153" s="14" t="s">
        <v>43</v>
      </c>
      <c r="E1153" s="14">
        <v>2</v>
      </c>
      <c r="F1153" s="14" t="s">
        <v>3983</v>
      </c>
      <c r="G1153" s="14">
        <f>(VLOOKUP(D1153,'[1]BOM Info General'!$A:$L,12,0))*E1153</f>
        <v>130.12</v>
      </c>
      <c r="H1153" s="15" t="s">
        <v>41</v>
      </c>
      <c r="I1153" s="15">
        <v>1</v>
      </c>
      <c r="J1153" s="15" t="s">
        <v>47</v>
      </c>
      <c r="K1153" s="15">
        <f>(VLOOKUP(H1153,'[1]BOM Info General'!$A:$L,12,0))*I1153</f>
        <v>27.18</v>
      </c>
      <c r="L1153" s="9" t="s">
        <v>85</v>
      </c>
      <c r="M1153" s="9">
        <v>1</v>
      </c>
      <c r="N1153" s="9" t="s">
        <v>82</v>
      </c>
      <c r="O1153" s="9">
        <f>(VLOOKUP(L1153,'[1]Simulation pricing per sub assy'!$D:$E,2,0))*M1153</f>
        <v>95.756400000000042</v>
      </c>
      <c r="P1153" s="16" t="s">
        <v>50</v>
      </c>
      <c r="Q1153" s="16">
        <v>8</v>
      </c>
      <c r="R1153" s="16" t="s">
        <v>16</v>
      </c>
      <c r="S1153" s="40">
        <f>(VLOOKUP(P1153,'[1]BOM Info General'!$A:$L,12,0))*Q1153</f>
        <v>21.2</v>
      </c>
      <c r="T1153" s="17" t="s">
        <v>24</v>
      </c>
      <c r="U1153" s="17">
        <v>1</v>
      </c>
      <c r="V1153" s="17" t="s">
        <v>25</v>
      </c>
      <c r="W1153" s="17">
        <f>(VLOOKUP(T1153,'[1]Simulation pricing per sub assy'!$D:$E,2,0))*U1153</f>
        <v>6.44</v>
      </c>
      <c r="X1153" s="18" t="s">
        <v>616</v>
      </c>
      <c r="Y1153" s="18">
        <v>1</v>
      </c>
      <c r="Z1153" s="18" t="s">
        <v>23</v>
      </c>
      <c r="AA1153" s="18">
        <f>(VLOOKUP(X1153,'[1]Simulation pricing per sub assy'!$D:$E,2,0))*Y1153</f>
        <v>4.4802908000000006</v>
      </c>
    </row>
    <row r="1154" spans="1:27" x14ac:dyDescent="0.35">
      <c r="A1154" s="13" t="s">
        <v>393</v>
      </c>
      <c r="B1154" s="13" t="s">
        <v>4416</v>
      </c>
      <c r="C1154" s="42">
        <f t="shared" si="17"/>
        <v>285.17669080000002</v>
      </c>
      <c r="D1154" s="14" t="s">
        <v>43</v>
      </c>
      <c r="E1154" s="14">
        <v>2</v>
      </c>
      <c r="F1154" s="14" t="s">
        <v>3983</v>
      </c>
      <c r="G1154" s="14">
        <f>(VLOOKUP(D1154,'[1]BOM Info General'!$A:$L,12,0))*E1154</f>
        <v>130.12</v>
      </c>
      <c r="H1154" s="15" t="s">
        <v>41</v>
      </c>
      <c r="I1154" s="15">
        <v>1</v>
      </c>
      <c r="J1154" s="15" t="s">
        <v>47</v>
      </c>
      <c r="K1154" s="15">
        <f>(VLOOKUP(H1154,'[1]BOM Info General'!$A:$L,12,0))*I1154</f>
        <v>27.18</v>
      </c>
      <c r="L1154" s="9" t="s">
        <v>81</v>
      </c>
      <c r="M1154" s="9">
        <v>1</v>
      </c>
      <c r="N1154" s="9" t="s">
        <v>80</v>
      </c>
      <c r="O1154" s="9">
        <f>(VLOOKUP(L1154,'[1]Simulation pricing per sub assy'!$D:$E,2,0))*M1154</f>
        <v>95.756400000000042</v>
      </c>
      <c r="P1154" s="16" t="s">
        <v>50</v>
      </c>
      <c r="Q1154" s="16">
        <v>8</v>
      </c>
      <c r="R1154" s="16" t="s">
        <v>16</v>
      </c>
      <c r="S1154" s="40">
        <f>(VLOOKUP(P1154,'[1]BOM Info General'!$A:$L,12,0))*Q1154</f>
        <v>21.2</v>
      </c>
      <c r="T1154" s="17" t="s">
        <v>24</v>
      </c>
      <c r="U1154" s="17">
        <v>1</v>
      </c>
      <c r="V1154" s="17" t="s">
        <v>25</v>
      </c>
      <c r="W1154" s="17">
        <f>(VLOOKUP(T1154,'[1]Simulation pricing per sub assy'!$D:$E,2,0))*U1154</f>
        <v>6.44</v>
      </c>
      <c r="X1154" s="18" t="s">
        <v>616</v>
      </c>
      <c r="Y1154" s="18">
        <v>1</v>
      </c>
      <c r="Z1154" s="18" t="s">
        <v>23</v>
      </c>
      <c r="AA1154" s="18">
        <f>(VLOOKUP(X1154,'[1]Simulation pricing per sub assy'!$D:$E,2,0))*Y1154</f>
        <v>4.4802908000000006</v>
      </c>
    </row>
    <row r="1155" spans="1:27" x14ac:dyDescent="0.35">
      <c r="A1155" s="13" t="s">
        <v>357</v>
      </c>
      <c r="B1155" s="13" t="s">
        <v>4417</v>
      </c>
      <c r="C1155" s="42">
        <f t="shared" ref="C1155:C1218" si="18">SUM(G1155+K1155+O1155+S1155+W1155+AA1155)</f>
        <v>284.62669080000001</v>
      </c>
      <c r="D1155" s="14" t="s">
        <v>43</v>
      </c>
      <c r="E1155" s="14">
        <v>2</v>
      </c>
      <c r="F1155" s="14" t="s">
        <v>3983</v>
      </c>
      <c r="G1155" s="14">
        <f>(VLOOKUP(D1155,'[1]BOM Info General'!$A:$L,12,0))*E1155</f>
        <v>130.12</v>
      </c>
      <c r="H1155" s="15" t="s">
        <v>41</v>
      </c>
      <c r="I1155" s="15">
        <v>1</v>
      </c>
      <c r="J1155" s="15" t="s">
        <v>47</v>
      </c>
      <c r="K1155" s="15">
        <f>(VLOOKUP(H1155,'[1]BOM Info General'!$A:$L,12,0))*I1155</f>
        <v>27.18</v>
      </c>
      <c r="L1155" s="9" t="s">
        <v>87</v>
      </c>
      <c r="M1155" s="9">
        <v>1</v>
      </c>
      <c r="N1155" s="9" t="s">
        <v>84</v>
      </c>
      <c r="O1155" s="9">
        <f>(VLOOKUP(L1155,'[1]Simulation pricing per sub assy'!$D:$E,2,0))*M1155</f>
        <v>95.206400000000031</v>
      </c>
      <c r="P1155" s="16" t="s">
        <v>50</v>
      </c>
      <c r="Q1155" s="16">
        <v>8</v>
      </c>
      <c r="R1155" s="16" t="s">
        <v>16</v>
      </c>
      <c r="S1155" s="40">
        <f>(VLOOKUP(P1155,'[1]BOM Info General'!$A:$L,12,0))*Q1155</f>
        <v>21.2</v>
      </c>
      <c r="T1155" s="17" t="s">
        <v>24</v>
      </c>
      <c r="U1155" s="17">
        <v>1</v>
      </c>
      <c r="V1155" s="17" t="s">
        <v>25</v>
      </c>
      <c r="W1155" s="17">
        <f>(VLOOKUP(T1155,'[1]Simulation pricing per sub assy'!$D:$E,2,0))*U1155</f>
        <v>6.44</v>
      </c>
      <c r="X1155" s="18" t="s">
        <v>616</v>
      </c>
      <c r="Y1155" s="18">
        <v>1</v>
      </c>
      <c r="Z1155" s="18" t="s">
        <v>23</v>
      </c>
      <c r="AA1155" s="18">
        <f>(VLOOKUP(X1155,'[1]Simulation pricing per sub assy'!$D:$E,2,0))*Y1155</f>
        <v>4.4802908000000006</v>
      </c>
    </row>
    <row r="1156" spans="1:27" x14ac:dyDescent="0.35">
      <c r="A1156" s="13" t="s">
        <v>429</v>
      </c>
      <c r="B1156" s="13" t="s">
        <v>4418</v>
      </c>
      <c r="C1156" s="42">
        <f t="shared" si="18"/>
        <v>292.58669079999999</v>
      </c>
      <c r="D1156" s="14" t="s">
        <v>43</v>
      </c>
      <c r="E1156" s="14">
        <v>2</v>
      </c>
      <c r="F1156" s="14" t="s">
        <v>3983</v>
      </c>
      <c r="G1156" s="14">
        <f>(VLOOKUP(D1156,'[1]BOM Info General'!$A:$L,12,0))*E1156</f>
        <v>130.12</v>
      </c>
      <c r="H1156" s="15" t="s">
        <v>41</v>
      </c>
      <c r="I1156" s="15">
        <v>1</v>
      </c>
      <c r="J1156" s="15" t="s">
        <v>47</v>
      </c>
      <c r="K1156" s="15">
        <f>(VLOOKUP(H1156,'[1]BOM Info General'!$A:$L,12,0))*I1156</f>
        <v>27.18</v>
      </c>
      <c r="L1156" s="9" t="s">
        <v>83</v>
      </c>
      <c r="M1156" s="9">
        <v>1</v>
      </c>
      <c r="N1156" s="9" t="s">
        <v>86</v>
      </c>
      <c r="O1156" s="9">
        <f>(VLOOKUP(L1156,'[1]Simulation pricing per sub assy'!$D:$E,2,0))*M1156</f>
        <v>103.16640000000004</v>
      </c>
      <c r="P1156" s="16" t="s">
        <v>50</v>
      </c>
      <c r="Q1156" s="16">
        <v>8</v>
      </c>
      <c r="R1156" s="16" t="s">
        <v>16</v>
      </c>
      <c r="S1156" s="40">
        <f>(VLOOKUP(P1156,'[1]BOM Info General'!$A:$L,12,0))*Q1156</f>
        <v>21.2</v>
      </c>
      <c r="T1156" s="17" t="s">
        <v>24</v>
      </c>
      <c r="U1156" s="17">
        <v>1</v>
      </c>
      <c r="V1156" s="17" t="s">
        <v>25</v>
      </c>
      <c r="W1156" s="17">
        <f>(VLOOKUP(T1156,'[1]Simulation pricing per sub assy'!$D:$E,2,0))*U1156</f>
        <v>6.44</v>
      </c>
      <c r="X1156" s="18" t="s">
        <v>616</v>
      </c>
      <c r="Y1156" s="18">
        <v>1</v>
      </c>
      <c r="Z1156" s="18" t="s">
        <v>23</v>
      </c>
      <c r="AA1156" s="18">
        <f>(VLOOKUP(X1156,'[1]Simulation pricing per sub assy'!$D:$E,2,0))*Y1156</f>
        <v>4.4802908000000006</v>
      </c>
    </row>
    <row r="1157" spans="1:27" x14ac:dyDescent="0.35">
      <c r="A1157" s="13" t="s">
        <v>466</v>
      </c>
      <c r="B1157" s="13" t="s">
        <v>4419</v>
      </c>
      <c r="C1157" s="42">
        <f t="shared" si="18"/>
        <v>284.67669080000002</v>
      </c>
      <c r="D1157" s="14" t="s">
        <v>43</v>
      </c>
      <c r="E1157" s="14">
        <v>2</v>
      </c>
      <c r="F1157" s="14" t="s">
        <v>3983</v>
      </c>
      <c r="G1157" s="14">
        <f>(VLOOKUP(D1157,'[1]BOM Info General'!$A:$L,12,0))*E1157</f>
        <v>130.12</v>
      </c>
      <c r="H1157" s="15" t="s">
        <v>41</v>
      </c>
      <c r="I1157" s="15">
        <v>1</v>
      </c>
      <c r="J1157" s="15" t="s">
        <v>47</v>
      </c>
      <c r="K1157" s="15">
        <f>(VLOOKUP(H1157,'[1]BOM Info General'!$A:$L,12,0))*I1157</f>
        <v>27.18</v>
      </c>
      <c r="L1157" s="9" t="s">
        <v>528</v>
      </c>
      <c r="M1157" s="9">
        <v>1</v>
      </c>
      <c r="N1157" s="9" t="s">
        <v>88</v>
      </c>
      <c r="O1157" s="9">
        <f>(VLOOKUP(L1157,'[1]Simulation pricing per sub assy'!$D:$E,2,0))*M1157</f>
        <v>94.656400000000033</v>
      </c>
      <c r="P1157" s="16" t="s">
        <v>50</v>
      </c>
      <c r="Q1157" s="16">
        <v>8</v>
      </c>
      <c r="R1157" s="16" t="s">
        <v>16</v>
      </c>
      <c r="S1157" s="40">
        <f>(VLOOKUP(P1157,'[1]BOM Info General'!$A:$L,12,0))*Q1157</f>
        <v>21.2</v>
      </c>
      <c r="T1157" s="17" t="s">
        <v>26</v>
      </c>
      <c r="U1157" s="17">
        <v>1</v>
      </c>
      <c r="V1157" s="17" t="s">
        <v>27</v>
      </c>
      <c r="W1157" s="17">
        <f>(VLOOKUP(T1157,'[1]Simulation pricing per sub assy'!$D:$E,2,0))*U1157</f>
        <v>7.04</v>
      </c>
      <c r="X1157" s="18" t="s">
        <v>616</v>
      </c>
      <c r="Y1157" s="18">
        <v>1</v>
      </c>
      <c r="Z1157" s="18" t="s">
        <v>23</v>
      </c>
      <c r="AA1157" s="18">
        <f>(VLOOKUP(X1157,'[1]Simulation pricing per sub assy'!$D:$E,2,0))*Y1157</f>
        <v>4.4802908000000006</v>
      </c>
    </row>
    <row r="1158" spans="1:27" x14ac:dyDescent="0.35">
      <c r="A1158" s="13" t="s">
        <v>322</v>
      </c>
      <c r="B1158" s="13" t="s">
        <v>4420</v>
      </c>
      <c r="C1158" s="42">
        <f t="shared" si="18"/>
        <v>285.77669080000004</v>
      </c>
      <c r="D1158" s="14" t="s">
        <v>43</v>
      </c>
      <c r="E1158" s="14">
        <v>2</v>
      </c>
      <c r="F1158" s="14" t="s">
        <v>3983</v>
      </c>
      <c r="G1158" s="14">
        <f>(VLOOKUP(D1158,'[1]BOM Info General'!$A:$L,12,0))*E1158</f>
        <v>130.12</v>
      </c>
      <c r="H1158" s="15" t="s">
        <v>41</v>
      </c>
      <c r="I1158" s="15">
        <v>1</v>
      </c>
      <c r="J1158" s="15" t="s">
        <v>47</v>
      </c>
      <c r="K1158" s="15">
        <f>(VLOOKUP(H1158,'[1]BOM Info General'!$A:$L,12,0))*I1158</f>
        <v>27.18</v>
      </c>
      <c r="L1158" s="9" t="s">
        <v>85</v>
      </c>
      <c r="M1158" s="9">
        <v>1</v>
      </c>
      <c r="N1158" s="9" t="s">
        <v>82</v>
      </c>
      <c r="O1158" s="9">
        <f>(VLOOKUP(L1158,'[1]Simulation pricing per sub assy'!$D:$E,2,0))*M1158</f>
        <v>95.756400000000042</v>
      </c>
      <c r="P1158" s="16" t="s">
        <v>50</v>
      </c>
      <c r="Q1158" s="16">
        <v>8</v>
      </c>
      <c r="R1158" s="16" t="s">
        <v>16</v>
      </c>
      <c r="S1158" s="40">
        <f>(VLOOKUP(P1158,'[1]BOM Info General'!$A:$L,12,0))*Q1158</f>
        <v>21.2</v>
      </c>
      <c r="T1158" s="17" t="s">
        <v>26</v>
      </c>
      <c r="U1158" s="17">
        <v>1</v>
      </c>
      <c r="V1158" s="17" t="s">
        <v>27</v>
      </c>
      <c r="W1158" s="17">
        <f>(VLOOKUP(T1158,'[1]Simulation pricing per sub assy'!$D:$E,2,0))*U1158</f>
        <v>7.04</v>
      </c>
      <c r="X1158" s="18" t="s">
        <v>616</v>
      </c>
      <c r="Y1158" s="18">
        <v>1</v>
      </c>
      <c r="Z1158" s="18" t="s">
        <v>23</v>
      </c>
      <c r="AA1158" s="18">
        <f>(VLOOKUP(X1158,'[1]Simulation pricing per sub assy'!$D:$E,2,0))*Y1158</f>
        <v>4.4802908000000006</v>
      </c>
    </row>
    <row r="1159" spans="1:27" x14ac:dyDescent="0.35">
      <c r="A1159" s="13" t="s">
        <v>394</v>
      </c>
      <c r="B1159" s="13" t="s">
        <v>4421</v>
      </c>
      <c r="C1159" s="42">
        <f t="shared" si="18"/>
        <v>285.77669080000004</v>
      </c>
      <c r="D1159" s="14" t="s">
        <v>43</v>
      </c>
      <c r="E1159" s="14">
        <v>2</v>
      </c>
      <c r="F1159" s="14" t="s">
        <v>3983</v>
      </c>
      <c r="G1159" s="14">
        <f>(VLOOKUP(D1159,'[1]BOM Info General'!$A:$L,12,0))*E1159</f>
        <v>130.12</v>
      </c>
      <c r="H1159" s="15" t="s">
        <v>41</v>
      </c>
      <c r="I1159" s="15">
        <v>1</v>
      </c>
      <c r="J1159" s="15" t="s">
        <v>47</v>
      </c>
      <c r="K1159" s="15">
        <f>(VLOOKUP(H1159,'[1]BOM Info General'!$A:$L,12,0))*I1159</f>
        <v>27.18</v>
      </c>
      <c r="L1159" s="9" t="s">
        <v>81</v>
      </c>
      <c r="M1159" s="9">
        <v>1</v>
      </c>
      <c r="N1159" s="9" t="s">
        <v>80</v>
      </c>
      <c r="O1159" s="9">
        <f>(VLOOKUP(L1159,'[1]Simulation pricing per sub assy'!$D:$E,2,0))*M1159</f>
        <v>95.756400000000042</v>
      </c>
      <c r="P1159" s="16" t="s">
        <v>50</v>
      </c>
      <c r="Q1159" s="16">
        <v>8</v>
      </c>
      <c r="R1159" s="16" t="s">
        <v>16</v>
      </c>
      <c r="S1159" s="40">
        <f>(VLOOKUP(P1159,'[1]BOM Info General'!$A:$L,12,0))*Q1159</f>
        <v>21.2</v>
      </c>
      <c r="T1159" s="17" t="s">
        <v>26</v>
      </c>
      <c r="U1159" s="17">
        <v>1</v>
      </c>
      <c r="V1159" s="17" t="s">
        <v>27</v>
      </c>
      <c r="W1159" s="17">
        <f>(VLOOKUP(T1159,'[1]Simulation pricing per sub assy'!$D:$E,2,0))*U1159</f>
        <v>7.04</v>
      </c>
      <c r="X1159" s="18" t="s">
        <v>616</v>
      </c>
      <c r="Y1159" s="18">
        <v>1</v>
      </c>
      <c r="Z1159" s="18" t="s">
        <v>23</v>
      </c>
      <c r="AA1159" s="18">
        <f>(VLOOKUP(X1159,'[1]Simulation pricing per sub assy'!$D:$E,2,0))*Y1159</f>
        <v>4.4802908000000006</v>
      </c>
    </row>
    <row r="1160" spans="1:27" x14ac:dyDescent="0.35">
      <c r="A1160" s="13" t="s">
        <v>358</v>
      </c>
      <c r="B1160" s="13" t="s">
        <v>4422</v>
      </c>
      <c r="C1160" s="42">
        <f t="shared" si="18"/>
        <v>285.22669080000003</v>
      </c>
      <c r="D1160" s="14" t="s">
        <v>43</v>
      </c>
      <c r="E1160" s="14">
        <v>2</v>
      </c>
      <c r="F1160" s="14" t="s">
        <v>3983</v>
      </c>
      <c r="G1160" s="14">
        <f>(VLOOKUP(D1160,'[1]BOM Info General'!$A:$L,12,0))*E1160</f>
        <v>130.12</v>
      </c>
      <c r="H1160" s="15" t="s">
        <v>41</v>
      </c>
      <c r="I1160" s="15">
        <v>1</v>
      </c>
      <c r="J1160" s="15" t="s">
        <v>47</v>
      </c>
      <c r="K1160" s="15">
        <f>(VLOOKUP(H1160,'[1]BOM Info General'!$A:$L,12,0))*I1160</f>
        <v>27.18</v>
      </c>
      <c r="L1160" s="9" t="s">
        <v>87</v>
      </c>
      <c r="M1160" s="9">
        <v>1</v>
      </c>
      <c r="N1160" s="9" t="s">
        <v>84</v>
      </c>
      <c r="O1160" s="9">
        <f>(VLOOKUP(L1160,'[1]Simulation pricing per sub assy'!$D:$E,2,0))*M1160</f>
        <v>95.206400000000031</v>
      </c>
      <c r="P1160" s="16" t="s">
        <v>50</v>
      </c>
      <c r="Q1160" s="16">
        <v>8</v>
      </c>
      <c r="R1160" s="16" t="s">
        <v>16</v>
      </c>
      <c r="S1160" s="40">
        <f>(VLOOKUP(P1160,'[1]BOM Info General'!$A:$L,12,0))*Q1160</f>
        <v>21.2</v>
      </c>
      <c r="T1160" s="17" t="s">
        <v>26</v>
      </c>
      <c r="U1160" s="17">
        <v>1</v>
      </c>
      <c r="V1160" s="17" t="s">
        <v>27</v>
      </c>
      <c r="W1160" s="17">
        <f>(VLOOKUP(T1160,'[1]Simulation pricing per sub assy'!$D:$E,2,0))*U1160</f>
        <v>7.04</v>
      </c>
      <c r="X1160" s="18" t="s">
        <v>616</v>
      </c>
      <c r="Y1160" s="18">
        <v>1</v>
      </c>
      <c r="Z1160" s="18" t="s">
        <v>23</v>
      </c>
      <c r="AA1160" s="18">
        <f>(VLOOKUP(X1160,'[1]Simulation pricing per sub assy'!$D:$E,2,0))*Y1160</f>
        <v>4.4802908000000006</v>
      </c>
    </row>
    <row r="1161" spans="1:27" x14ac:dyDescent="0.35">
      <c r="A1161" s="13" t="s">
        <v>430</v>
      </c>
      <c r="B1161" s="13" t="s">
        <v>4423</v>
      </c>
      <c r="C1161" s="42">
        <f t="shared" si="18"/>
        <v>293.18669080000001</v>
      </c>
      <c r="D1161" s="14" t="s">
        <v>43</v>
      </c>
      <c r="E1161" s="14">
        <v>2</v>
      </c>
      <c r="F1161" s="14" t="s">
        <v>3983</v>
      </c>
      <c r="G1161" s="14">
        <f>(VLOOKUP(D1161,'[1]BOM Info General'!$A:$L,12,0))*E1161</f>
        <v>130.12</v>
      </c>
      <c r="H1161" s="15" t="s">
        <v>41</v>
      </c>
      <c r="I1161" s="15">
        <v>1</v>
      </c>
      <c r="J1161" s="15" t="s">
        <v>47</v>
      </c>
      <c r="K1161" s="15">
        <f>(VLOOKUP(H1161,'[1]BOM Info General'!$A:$L,12,0))*I1161</f>
        <v>27.18</v>
      </c>
      <c r="L1161" s="9" t="s">
        <v>83</v>
      </c>
      <c r="M1161" s="9">
        <v>1</v>
      </c>
      <c r="N1161" s="9" t="s">
        <v>86</v>
      </c>
      <c r="O1161" s="9">
        <f>(VLOOKUP(L1161,'[1]Simulation pricing per sub assy'!$D:$E,2,0))*M1161</f>
        <v>103.16640000000004</v>
      </c>
      <c r="P1161" s="16" t="s">
        <v>50</v>
      </c>
      <c r="Q1161" s="16">
        <v>8</v>
      </c>
      <c r="R1161" s="16" t="s">
        <v>16</v>
      </c>
      <c r="S1161" s="40">
        <f>(VLOOKUP(P1161,'[1]BOM Info General'!$A:$L,12,0))*Q1161</f>
        <v>21.2</v>
      </c>
      <c r="T1161" s="17" t="s">
        <v>26</v>
      </c>
      <c r="U1161" s="17">
        <v>1</v>
      </c>
      <c r="V1161" s="17" t="s">
        <v>27</v>
      </c>
      <c r="W1161" s="17">
        <f>(VLOOKUP(T1161,'[1]Simulation pricing per sub assy'!$D:$E,2,0))*U1161</f>
        <v>7.04</v>
      </c>
      <c r="X1161" s="18" t="s">
        <v>616</v>
      </c>
      <c r="Y1161" s="18">
        <v>1</v>
      </c>
      <c r="Z1161" s="18" t="s">
        <v>23</v>
      </c>
      <c r="AA1161" s="18">
        <f>(VLOOKUP(X1161,'[1]Simulation pricing per sub assy'!$D:$E,2,0))*Y1161</f>
        <v>4.4802908000000006</v>
      </c>
    </row>
    <row r="1162" spans="1:27" x14ac:dyDescent="0.35">
      <c r="A1162" s="13" t="s">
        <v>467</v>
      </c>
      <c r="B1162" s="13" t="s">
        <v>4424</v>
      </c>
      <c r="C1162" s="42">
        <f t="shared" si="18"/>
        <v>284.6366908</v>
      </c>
      <c r="D1162" s="14" t="s">
        <v>43</v>
      </c>
      <c r="E1162" s="14">
        <v>2</v>
      </c>
      <c r="F1162" s="14" t="s">
        <v>3983</v>
      </c>
      <c r="G1162" s="14">
        <f>(VLOOKUP(D1162,'[1]BOM Info General'!$A:$L,12,0))*E1162</f>
        <v>130.12</v>
      </c>
      <c r="H1162" s="15" t="s">
        <v>41</v>
      </c>
      <c r="I1162" s="15">
        <v>1</v>
      </c>
      <c r="J1162" s="15" t="s">
        <v>47</v>
      </c>
      <c r="K1162" s="15">
        <f>(VLOOKUP(H1162,'[1]BOM Info General'!$A:$L,12,0))*I1162</f>
        <v>27.18</v>
      </c>
      <c r="L1162" s="9" t="s">
        <v>528</v>
      </c>
      <c r="M1162" s="9">
        <v>1</v>
      </c>
      <c r="N1162" s="9" t="s">
        <v>88</v>
      </c>
      <c r="O1162" s="9">
        <f>(VLOOKUP(L1162,'[1]Simulation pricing per sub assy'!$D:$E,2,0))*M1162</f>
        <v>94.656400000000033</v>
      </c>
      <c r="P1162" s="16" t="s">
        <v>50</v>
      </c>
      <c r="Q1162" s="16">
        <v>8</v>
      </c>
      <c r="R1162" s="16" t="s">
        <v>16</v>
      </c>
      <c r="S1162" s="40">
        <f>(VLOOKUP(P1162,'[1]BOM Info General'!$A:$L,12,0))*Q1162</f>
        <v>21.2</v>
      </c>
      <c r="T1162" s="17" t="s">
        <v>28</v>
      </c>
      <c r="U1162" s="17">
        <v>1</v>
      </c>
      <c r="V1162" s="17" t="s">
        <v>29</v>
      </c>
      <c r="W1162" s="17">
        <f>(VLOOKUP(T1162,'[1]Simulation pricing per sub assy'!$D:$E,2,0))*U1162</f>
        <v>7</v>
      </c>
      <c r="X1162" s="18" t="s">
        <v>616</v>
      </c>
      <c r="Y1162" s="18">
        <v>1</v>
      </c>
      <c r="Z1162" s="18" t="s">
        <v>23</v>
      </c>
      <c r="AA1162" s="18">
        <f>(VLOOKUP(X1162,'[1]Simulation pricing per sub assy'!$D:$E,2,0))*Y1162</f>
        <v>4.4802908000000006</v>
      </c>
    </row>
    <row r="1163" spans="1:27" x14ac:dyDescent="0.35">
      <c r="A1163" s="13" t="s">
        <v>323</v>
      </c>
      <c r="B1163" s="13" t="s">
        <v>4425</v>
      </c>
      <c r="C1163" s="42">
        <f t="shared" si="18"/>
        <v>285.73669080000002</v>
      </c>
      <c r="D1163" s="14" t="s">
        <v>43</v>
      </c>
      <c r="E1163" s="14">
        <v>2</v>
      </c>
      <c r="F1163" s="14" t="s">
        <v>3983</v>
      </c>
      <c r="G1163" s="14">
        <f>(VLOOKUP(D1163,'[1]BOM Info General'!$A:$L,12,0))*E1163</f>
        <v>130.12</v>
      </c>
      <c r="H1163" s="15" t="s">
        <v>41</v>
      </c>
      <c r="I1163" s="15">
        <v>1</v>
      </c>
      <c r="J1163" s="15" t="s">
        <v>47</v>
      </c>
      <c r="K1163" s="15">
        <f>(VLOOKUP(H1163,'[1]BOM Info General'!$A:$L,12,0))*I1163</f>
        <v>27.18</v>
      </c>
      <c r="L1163" s="9" t="s">
        <v>85</v>
      </c>
      <c r="M1163" s="9">
        <v>1</v>
      </c>
      <c r="N1163" s="9" t="s">
        <v>82</v>
      </c>
      <c r="O1163" s="9">
        <f>(VLOOKUP(L1163,'[1]Simulation pricing per sub assy'!$D:$E,2,0))*M1163</f>
        <v>95.756400000000042</v>
      </c>
      <c r="P1163" s="16" t="s">
        <v>50</v>
      </c>
      <c r="Q1163" s="16">
        <v>8</v>
      </c>
      <c r="R1163" s="16" t="s">
        <v>16</v>
      </c>
      <c r="S1163" s="40">
        <f>(VLOOKUP(P1163,'[1]BOM Info General'!$A:$L,12,0))*Q1163</f>
        <v>21.2</v>
      </c>
      <c r="T1163" s="17" t="s">
        <v>28</v>
      </c>
      <c r="U1163" s="17">
        <v>1</v>
      </c>
      <c r="V1163" s="17" t="s">
        <v>29</v>
      </c>
      <c r="W1163" s="17">
        <f>(VLOOKUP(T1163,'[1]Simulation pricing per sub assy'!$D:$E,2,0))*U1163</f>
        <v>7</v>
      </c>
      <c r="X1163" s="18" t="s">
        <v>616</v>
      </c>
      <c r="Y1163" s="18">
        <v>1</v>
      </c>
      <c r="Z1163" s="18" t="s">
        <v>23</v>
      </c>
      <c r="AA1163" s="18">
        <f>(VLOOKUP(X1163,'[1]Simulation pricing per sub assy'!$D:$E,2,0))*Y1163</f>
        <v>4.4802908000000006</v>
      </c>
    </row>
    <row r="1164" spans="1:27" x14ac:dyDescent="0.35">
      <c r="A1164" s="13" t="s">
        <v>395</v>
      </c>
      <c r="B1164" s="13" t="s">
        <v>4426</v>
      </c>
      <c r="C1164" s="42">
        <f t="shared" si="18"/>
        <v>285.73669080000002</v>
      </c>
      <c r="D1164" s="14" t="s">
        <v>43</v>
      </c>
      <c r="E1164" s="14">
        <v>2</v>
      </c>
      <c r="F1164" s="14" t="s">
        <v>3983</v>
      </c>
      <c r="G1164" s="14">
        <f>(VLOOKUP(D1164,'[1]BOM Info General'!$A:$L,12,0))*E1164</f>
        <v>130.12</v>
      </c>
      <c r="H1164" s="15" t="s">
        <v>41</v>
      </c>
      <c r="I1164" s="15">
        <v>1</v>
      </c>
      <c r="J1164" s="15" t="s">
        <v>47</v>
      </c>
      <c r="K1164" s="15">
        <f>(VLOOKUP(H1164,'[1]BOM Info General'!$A:$L,12,0))*I1164</f>
        <v>27.18</v>
      </c>
      <c r="L1164" s="9" t="s">
        <v>81</v>
      </c>
      <c r="M1164" s="9">
        <v>1</v>
      </c>
      <c r="N1164" s="9" t="s">
        <v>80</v>
      </c>
      <c r="O1164" s="9">
        <f>(VLOOKUP(L1164,'[1]Simulation pricing per sub assy'!$D:$E,2,0))*M1164</f>
        <v>95.756400000000042</v>
      </c>
      <c r="P1164" s="16" t="s">
        <v>50</v>
      </c>
      <c r="Q1164" s="16">
        <v>8</v>
      </c>
      <c r="R1164" s="16" t="s">
        <v>16</v>
      </c>
      <c r="S1164" s="40">
        <f>(VLOOKUP(P1164,'[1]BOM Info General'!$A:$L,12,0))*Q1164</f>
        <v>21.2</v>
      </c>
      <c r="T1164" s="17" t="s">
        <v>28</v>
      </c>
      <c r="U1164" s="17">
        <v>1</v>
      </c>
      <c r="V1164" s="17" t="s">
        <v>29</v>
      </c>
      <c r="W1164" s="17">
        <f>(VLOOKUP(T1164,'[1]Simulation pricing per sub assy'!$D:$E,2,0))*U1164</f>
        <v>7</v>
      </c>
      <c r="X1164" s="18" t="s">
        <v>616</v>
      </c>
      <c r="Y1164" s="18">
        <v>1</v>
      </c>
      <c r="Z1164" s="18" t="s">
        <v>23</v>
      </c>
      <c r="AA1164" s="18">
        <f>(VLOOKUP(X1164,'[1]Simulation pricing per sub assy'!$D:$E,2,0))*Y1164</f>
        <v>4.4802908000000006</v>
      </c>
    </row>
    <row r="1165" spans="1:27" x14ac:dyDescent="0.35">
      <c r="A1165" s="13" t="s">
        <v>359</v>
      </c>
      <c r="B1165" s="13" t="s">
        <v>4427</v>
      </c>
      <c r="C1165" s="42">
        <f t="shared" si="18"/>
        <v>285.18669080000001</v>
      </c>
      <c r="D1165" s="14" t="s">
        <v>43</v>
      </c>
      <c r="E1165" s="14">
        <v>2</v>
      </c>
      <c r="F1165" s="14" t="s">
        <v>3983</v>
      </c>
      <c r="G1165" s="14">
        <f>(VLOOKUP(D1165,'[1]BOM Info General'!$A:$L,12,0))*E1165</f>
        <v>130.12</v>
      </c>
      <c r="H1165" s="15" t="s">
        <v>41</v>
      </c>
      <c r="I1165" s="15">
        <v>1</v>
      </c>
      <c r="J1165" s="15" t="s">
        <v>47</v>
      </c>
      <c r="K1165" s="15">
        <f>(VLOOKUP(H1165,'[1]BOM Info General'!$A:$L,12,0))*I1165</f>
        <v>27.18</v>
      </c>
      <c r="L1165" s="9" t="s">
        <v>87</v>
      </c>
      <c r="M1165" s="9">
        <v>1</v>
      </c>
      <c r="N1165" s="9" t="s">
        <v>84</v>
      </c>
      <c r="O1165" s="9">
        <f>(VLOOKUP(L1165,'[1]Simulation pricing per sub assy'!$D:$E,2,0))*M1165</f>
        <v>95.206400000000031</v>
      </c>
      <c r="P1165" s="16" t="s">
        <v>50</v>
      </c>
      <c r="Q1165" s="16">
        <v>8</v>
      </c>
      <c r="R1165" s="16" t="s">
        <v>16</v>
      </c>
      <c r="S1165" s="40">
        <f>(VLOOKUP(P1165,'[1]BOM Info General'!$A:$L,12,0))*Q1165</f>
        <v>21.2</v>
      </c>
      <c r="T1165" s="17" t="s">
        <v>28</v>
      </c>
      <c r="U1165" s="17">
        <v>1</v>
      </c>
      <c r="V1165" s="17" t="s">
        <v>29</v>
      </c>
      <c r="W1165" s="17">
        <f>(VLOOKUP(T1165,'[1]Simulation pricing per sub assy'!$D:$E,2,0))*U1165</f>
        <v>7</v>
      </c>
      <c r="X1165" s="18" t="s">
        <v>616</v>
      </c>
      <c r="Y1165" s="18">
        <v>1</v>
      </c>
      <c r="Z1165" s="18" t="s">
        <v>23</v>
      </c>
      <c r="AA1165" s="18">
        <f>(VLOOKUP(X1165,'[1]Simulation pricing per sub assy'!$D:$E,2,0))*Y1165</f>
        <v>4.4802908000000006</v>
      </c>
    </row>
    <row r="1166" spans="1:27" x14ac:dyDescent="0.35">
      <c r="A1166" s="13" t="s">
        <v>431</v>
      </c>
      <c r="B1166" s="13" t="s">
        <v>4428</v>
      </c>
      <c r="C1166" s="42">
        <f t="shared" si="18"/>
        <v>293.14669079999999</v>
      </c>
      <c r="D1166" s="14" t="s">
        <v>43</v>
      </c>
      <c r="E1166" s="14">
        <v>2</v>
      </c>
      <c r="F1166" s="14" t="s">
        <v>3983</v>
      </c>
      <c r="G1166" s="14">
        <f>(VLOOKUP(D1166,'[1]BOM Info General'!$A:$L,12,0))*E1166</f>
        <v>130.12</v>
      </c>
      <c r="H1166" s="15" t="s">
        <v>41</v>
      </c>
      <c r="I1166" s="15">
        <v>1</v>
      </c>
      <c r="J1166" s="15" t="s">
        <v>47</v>
      </c>
      <c r="K1166" s="15">
        <f>(VLOOKUP(H1166,'[1]BOM Info General'!$A:$L,12,0))*I1166</f>
        <v>27.18</v>
      </c>
      <c r="L1166" s="9" t="s">
        <v>83</v>
      </c>
      <c r="M1166" s="9">
        <v>1</v>
      </c>
      <c r="N1166" s="9" t="s">
        <v>86</v>
      </c>
      <c r="O1166" s="9">
        <f>(VLOOKUP(L1166,'[1]Simulation pricing per sub assy'!$D:$E,2,0))*M1166</f>
        <v>103.16640000000004</v>
      </c>
      <c r="P1166" s="16" t="s">
        <v>50</v>
      </c>
      <c r="Q1166" s="16">
        <v>8</v>
      </c>
      <c r="R1166" s="16" t="s">
        <v>16</v>
      </c>
      <c r="S1166" s="40">
        <f>(VLOOKUP(P1166,'[1]BOM Info General'!$A:$L,12,0))*Q1166</f>
        <v>21.2</v>
      </c>
      <c r="T1166" s="17" t="s">
        <v>28</v>
      </c>
      <c r="U1166" s="17">
        <v>1</v>
      </c>
      <c r="V1166" s="17" t="s">
        <v>29</v>
      </c>
      <c r="W1166" s="17">
        <f>(VLOOKUP(T1166,'[1]Simulation pricing per sub assy'!$D:$E,2,0))*U1166</f>
        <v>7</v>
      </c>
      <c r="X1166" s="18" t="s">
        <v>616</v>
      </c>
      <c r="Y1166" s="18">
        <v>1</v>
      </c>
      <c r="Z1166" s="18" t="s">
        <v>23</v>
      </c>
      <c r="AA1166" s="18">
        <f>(VLOOKUP(X1166,'[1]Simulation pricing per sub assy'!$D:$E,2,0))*Y1166</f>
        <v>4.4802908000000006</v>
      </c>
    </row>
    <row r="1167" spans="1:27" x14ac:dyDescent="0.35">
      <c r="A1167" s="13" t="s">
        <v>468</v>
      </c>
      <c r="B1167" s="13" t="s">
        <v>4429</v>
      </c>
      <c r="C1167" s="42">
        <f t="shared" si="18"/>
        <v>284.07669079999999</v>
      </c>
      <c r="D1167" s="14" t="s">
        <v>43</v>
      </c>
      <c r="E1167" s="14">
        <v>2</v>
      </c>
      <c r="F1167" s="14" t="s">
        <v>3983</v>
      </c>
      <c r="G1167" s="14">
        <f>(VLOOKUP(D1167,'[1]BOM Info General'!$A:$L,12,0))*E1167</f>
        <v>130.12</v>
      </c>
      <c r="H1167" s="15" t="s">
        <v>41</v>
      </c>
      <c r="I1167" s="15">
        <v>1</v>
      </c>
      <c r="J1167" s="15" t="s">
        <v>47</v>
      </c>
      <c r="K1167" s="15">
        <f>(VLOOKUP(H1167,'[1]BOM Info General'!$A:$L,12,0))*I1167</f>
        <v>27.18</v>
      </c>
      <c r="L1167" s="9" t="s">
        <v>528</v>
      </c>
      <c r="M1167" s="9">
        <v>1</v>
      </c>
      <c r="N1167" s="9" t="s">
        <v>88</v>
      </c>
      <c r="O1167" s="9">
        <f>(VLOOKUP(L1167,'[1]Simulation pricing per sub assy'!$D:$E,2,0))*M1167</f>
        <v>94.656400000000033</v>
      </c>
      <c r="P1167" s="16" t="s">
        <v>51</v>
      </c>
      <c r="Q1167" s="16">
        <v>8</v>
      </c>
      <c r="R1167" s="16" t="s">
        <v>17</v>
      </c>
      <c r="S1167" s="40">
        <f>(VLOOKUP(P1167,'[1]BOM Info General'!$A:$L,12,0))*Q1167</f>
        <v>21.2</v>
      </c>
      <c r="T1167" s="17" t="s">
        <v>24</v>
      </c>
      <c r="U1167" s="17">
        <v>1</v>
      </c>
      <c r="V1167" s="17" t="s">
        <v>25</v>
      </c>
      <c r="W1167" s="17">
        <f>(VLOOKUP(T1167,'[1]Simulation pricing per sub assy'!$D:$E,2,0))*U1167</f>
        <v>6.44</v>
      </c>
      <c r="X1167" s="18" t="s">
        <v>616</v>
      </c>
      <c r="Y1167" s="18">
        <v>1</v>
      </c>
      <c r="Z1167" s="18" t="s">
        <v>23</v>
      </c>
      <c r="AA1167" s="18">
        <f>(VLOOKUP(X1167,'[1]Simulation pricing per sub assy'!$D:$E,2,0))*Y1167</f>
        <v>4.4802908000000006</v>
      </c>
    </row>
    <row r="1168" spans="1:27" x14ac:dyDescent="0.35">
      <c r="A1168" s="13" t="s">
        <v>324</v>
      </c>
      <c r="B1168" s="13" t="s">
        <v>4430</v>
      </c>
      <c r="C1168" s="42">
        <f t="shared" si="18"/>
        <v>285.17669080000002</v>
      </c>
      <c r="D1168" s="14" t="s">
        <v>43</v>
      </c>
      <c r="E1168" s="14">
        <v>2</v>
      </c>
      <c r="F1168" s="14" t="s">
        <v>3983</v>
      </c>
      <c r="G1168" s="14">
        <f>(VLOOKUP(D1168,'[1]BOM Info General'!$A:$L,12,0))*E1168</f>
        <v>130.12</v>
      </c>
      <c r="H1168" s="15" t="s">
        <v>41</v>
      </c>
      <c r="I1168" s="15">
        <v>1</v>
      </c>
      <c r="J1168" s="15" t="s">
        <v>47</v>
      </c>
      <c r="K1168" s="15">
        <f>(VLOOKUP(H1168,'[1]BOM Info General'!$A:$L,12,0))*I1168</f>
        <v>27.18</v>
      </c>
      <c r="L1168" s="9" t="s">
        <v>85</v>
      </c>
      <c r="M1168" s="9">
        <v>1</v>
      </c>
      <c r="N1168" s="9" t="s">
        <v>82</v>
      </c>
      <c r="O1168" s="9">
        <f>(VLOOKUP(L1168,'[1]Simulation pricing per sub assy'!$D:$E,2,0))*M1168</f>
        <v>95.756400000000042</v>
      </c>
      <c r="P1168" s="16" t="s">
        <v>51</v>
      </c>
      <c r="Q1168" s="16">
        <v>8</v>
      </c>
      <c r="R1168" s="16" t="s">
        <v>17</v>
      </c>
      <c r="S1168" s="40">
        <f>(VLOOKUP(P1168,'[1]BOM Info General'!$A:$L,12,0))*Q1168</f>
        <v>21.2</v>
      </c>
      <c r="T1168" s="17" t="s">
        <v>24</v>
      </c>
      <c r="U1168" s="17">
        <v>1</v>
      </c>
      <c r="V1168" s="17" t="s">
        <v>25</v>
      </c>
      <c r="W1168" s="17">
        <f>(VLOOKUP(T1168,'[1]Simulation pricing per sub assy'!$D:$E,2,0))*U1168</f>
        <v>6.44</v>
      </c>
      <c r="X1168" s="18" t="s">
        <v>616</v>
      </c>
      <c r="Y1168" s="18">
        <v>1</v>
      </c>
      <c r="Z1168" s="18" t="s">
        <v>23</v>
      </c>
      <c r="AA1168" s="18">
        <f>(VLOOKUP(X1168,'[1]Simulation pricing per sub assy'!$D:$E,2,0))*Y1168</f>
        <v>4.4802908000000006</v>
      </c>
    </row>
    <row r="1169" spans="1:27" x14ac:dyDescent="0.35">
      <c r="A1169" s="13" t="s">
        <v>396</v>
      </c>
      <c r="B1169" s="13" t="s">
        <v>4431</v>
      </c>
      <c r="C1169" s="42">
        <f t="shared" si="18"/>
        <v>285.17669080000002</v>
      </c>
      <c r="D1169" s="14" t="s">
        <v>43</v>
      </c>
      <c r="E1169" s="14">
        <v>2</v>
      </c>
      <c r="F1169" s="14" t="s">
        <v>3983</v>
      </c>
      <c r="G1169" s="14">
        <f>(VLOOKUP(D1169,'[1]BOM Info General'!$A:$L,12,0))*E1169</f>
        <v>130.12</v>
      </c>
      <c r="H1169" s="15" t="s">
        <v>41</v>
      </c>
      <c r="I1169" s="15">
        <v>1</v>
      </c>
      <c r="J1169" s="15" t="s">
        <v>47</v>
      </c>
      <c r="K1169" s="15">
        <f>(VLOOKUP(H1169,'[1]BOM Info General'!$A:$L,12,0))*I1169</f>
        <v>27.18</v>
      </c>
      <c r="L1169" s="9" t="s">
        <v>81</v>
      </c>
      <c r="M1169" s="9">
        <v>1</v>
      </c>
      <c r="N1169" s="9" t="s">
        <v>80</v>
      </c>
      <c r="O1169" s="9">
        <f>(VLOOKUP(L1169,'[1]Simulation pricing per sub assy'!$D:$E,2,0))*M1169</f>
        <v>95.756400000000042</v>
      </c>
      <c r="P1169" s="16" t="s">
        <v>51</v>
      </c>
      <c r="Q1169" s="16">
        <v>8</v>
      </c>
      <c r="R1169" s="16" t="s">
        <v>17</v>
      </c>
      <c r="S1169" s="40">
        <f>(VLOOKUP(P1169,'[1]BOM Info General'!$A:$L,12,0))*Q1169</f>
        <v>21.2</v>
      </c>
      <c r="T1169" s="17" t="s">
        <v>24</v>
      </c>
      <c r="U1169" s="17">
        <v>1</v>
      </c>
      <c r="V1169" s="17" t="s">
        <v>25</v>
      </c>
      <c r="W1169" s="17">
        <f>(VLOOKUP(T1169,'[1]Simulation pricing per sub assy'!$D:$E,2,0))*U1169</f>
        <v>6.44</v>
      </c>
      <c r="X1169" s="18" t="s">
        <v>616</v>
      </c>
      <c r="Y1169" s="18">
        <v>1</v>
      </c>
      <c r="Z1169" s="18" t="s">
        <v>23</v>
      </c>
      <c r="AA1169" s="18">
        <f>(VLOOKUP(X1169,'[1]Simulation pricing per sub assy'!$D:$E,2,0))*Y1169</f>
        <v>4.4802908000000006</v>
      </c>
    </row>
    <row r="1170" spans="1:27" x14ac:dyDescent="0.35">
      <c r="A1170" s="13" t="s">
        <v>360</v>
      </c>
      <c r="B1170" s="13" t="s">
        <v>4432</v>
      </c>
      <c r="C1170" s="42">
        <f t="shared" si="18"/>
        <v>284.62669080000001</v>
      </c>
      <c r="D1170" s="14" t="s">
        <v>43</v>
      </c>
      <c r="E1170" s="14">
        <v>2</v>
      </c>
      <c r="F1170" s="14" t="s">
        <v>3983</v>
      </c>
      <c r="G1170" s="14">
        <f>(VLOOKUP(D1170,'[1]BOM Info General'!$A:$L,12,0))*E1170</f>
        <v>130.12</v>
      </c>
      <c r="H1170" s="15" t="s">
        <v>41</v>
      </c>
      <c r="I1170" s="15">
        <v>1</v>
      </c>
      <c r="J1170" s="15" t="s">
        <v>47</v>
      </c>
      <c r="K1170" s="15">
        <f>(VLOOKUP(H1170,'[1]BOM Info General'!$A:$L,12,0))*I1170</f>
        <v>27.18</v>
      </c>
      <c r="L1170" s="9" t="s">
        <v>87</v>
      </c>
      <c r="M1170" s="9">
        <v>1</v>
      </c>
      <c r="N1170" s="9" t="s">
        <v>84</v>
      </c>
      <c r="O1170" s="9">
        <f>(VLOOKUP(L1170,'[1]Simulation pricing per sub assy'!$D:$E,2,0))*M1170</f>
        <v>95.206400000000031</v>
      </c>
      <c r="P1170" s="16" t="s">
        <v>51</v>
      </c>
      <c r="Q1170" s="16">
        <v>8</v>
      </c>
      <c r="R1170" s="16" t="s">
        <v>17</v>
      </c>
      <c r="S1170" s="40">
        <f>(VLOOKUP(P1170,'[1]BOM Info General'!$A:$L,12,0))*Q1170</f>
        <v>21.2</v>
      </c>
      <c r="T1170" s="17" t="s">
        <v>24</v>
      </c>
      <c r="U1170" s="17">
        <v>1</v>
      </c>
      <c r="V1170" s="17" t="s">
        <v>25</v>
      </c>
      <c r="W1170" s="17">
        <f>(VLOOKUP(T1170,'[1]Simulation pricing per sub assy'!$D:$E,2,0))*U1170</f>
        <v>6.44</v>
      </c>
      <c r="X1170" s="18" t="s">
        <v>616</v>
      </c>
      <c r="Y1170" s="18">
        <v>1</v>
      </c>
      <c r="Z1170" s="18" t="s">
        <v>23</v>
      </c>
      <c r="AA1170" s="18">
        <f>(VLOOKUP(X1170,'[1]Simulation pricing per sub assy'!$D:$E,2,0))*Y1170</f>
        <v>4.4802908000000006</v>
      </c>
    </row>
    <row r="1171" spans="1:27" x14ac:dyDescent="0.35">
      <c r="A1171" s="13" t="s">
        <v>432</v>
      </c>
      <c r="B1171" s="13" t="s">
        <v>4433</v>
      </c>
      <c r="C1171" s="42">
        <f t="shared" si="18"/>
        <v>292.58669079999999</v>
      </c>
      <c r="D1171" s="14" t="s">
        <v>43</v>
      </c>
      <c r="E1171" s="14">
        <v>2</v>
      </c>
      <c r="F1171" s="14" t="s">
        <v>3983</v>
      </c>
      <c r="G1171" s="14">
        <f>(VLOOKUP(D1171,'[1]BOM Info General'!$A:$L,12,0))*E1171</f>
        <v>130.12</v>
      </c>
      <c r="H1171" s="15" t="s">
        <v>41</v>
      </c>
      <c r="I1171" s="15">
        <v>1</v>
      </c>
      <c r="J1171" s="15" t="s">
        <v>47</v>
      </c>
      <c r="K1171" s="15">
        <f>(VLOOKUP(H1171,'[1]BOM Info General'!$A:$L,12,0))*I1171</f>
        <v>27.18</v>
      </c>
      <c r="L1171" s="9" t="s">
        <v>83</v>
      </c>
      <c r="M1171" s="9">
        <v>1</v>
      </c>
      <c r="N1171" s="9" t="s">
        <v>86</v>
      </c>
      <c r="O1171" s="9">
        <f>(VLOOKUP(L1171,'[1]Simulation pricing per sub assy'!$D:$E,2,0))*M1171</f>
        <v>103.16640000000004</v>
      </c>
      <c r="P1171" s="16" t="s">
        <v>51</v>
      </c>
      <c r="Q1171" s="16">
        <v>8</v>
      </c>
      <c r="R1171" s="16" t="s">
        <v>17</v>
      </c>
      <c r="S1171" s="40">
        <f>(VLOOKUP(P1171,'[1]BOM Info General'!$A:$L,12,0))*Q1171</f>
        <v>21.2</v>
      </c>
      <c r="T1171" s="17" t="s">
        <v>24</v>
      </c>
      <c r="U1171" s="17">
        <v>1</v>
      </c>
      <c r="V1171" s="17" t="s">
        <v>25</v>
      </c>
      <c r="W1171" s="17">
        <f>(VLOOKUP(T1171,'[1]Simulation pricing per sub assy'!$D:$E,2,0))*U1171</f>
        <v>6.44</v>
      </c>
      <c r="X1171" s="18" t="s">
        <v>616</v>
      </c>
      <c r="Y1171" s="18">
        <v>1</v>
      </c>
      <c r="Z1171" s="18" t="s">
        <v>23</v>
      </c>
      <c r="AA1171" s="18">
        <f>(VLOOKUP(X1171,'[1]Simulation pricing per sub assy'!$D:$E,2,0))*Y1171</f>
        <v>4.4802908000000006</v>
      </c>
    </row>
    <row r="1172" spans="1:27" x14ac:dyDescent="0.35">
      <c r="A1172" s="13" t="s">
        <v>469</v>
      </c>
      <c r="B1172" s="13" t="s">
        <v>4434</v>
      </c>
      <c r="C1172" s="42">
        <f t="shared" si="18"/>
        <v>284.67669080000002</v>
      </c>
      <c r="D1172" s="14" t="s">
        <v>43</v>
      </c>
      <c r="E1172" s="14">
        <v>2</v>
      </c>
      <c r="F1172" s="14" t="s">
        <v>3983</v>
      </c>
      <c r="G1172" s="14">
        <f>(VLOOKUP(D1172,'[1]BOM Info General'!$A:$L,12,0))*E1172</f>
        <v>130.12</v>
      </c>
      <c r="H1172" s="15" t="s">
        <v>41</v>
      </c>
      <c r="I1172" s="15">
        <v>1</v>
      </c>
      <c r="J1172" s="15" t="s">
        <v>47</v>
      </c>
      <c r="K1172" s="15">
        <f>(VLOOKUP(H1172,'[1]BOM Info General'!$A:$L,12,0))*I1172</f>
        <v>27.18</v>
      </c>
      <c r="L1172" s="9" t="s">
        <v>528</v>
      </c>
      <c r="M1172" s="9">
        <v>1</v>
      </c>
      <c r="N1172" s="9" t="s">
        <v>88</v>
      </c>
      <c r="O1172" s="9">
        <f>(VLOOKUP(L1172,'[1]Simulation pricing per sub assy'!$D:$E,2,0))*M1172</f>
        <v>94.656400000000033</v>
      </c>
      <c r="P1172" s="16" t="s">
        <v>51</v>
      </c>
      <c r="Q1172" s="16">
        <v>8</v>
      </c>
      <c r="R1172" s="16" t="s">
        <v>17</v>
      </c>
      <c r="S1172" s="40">
        <f>(VLOOKUP(P1172,'[1]BOM Info General'!$A:$L,12,0))*Q1172</f>
        <v>21.2</v>
      </c>
      <c r="T1172" s="17" t="s">
        <v>26</v>
      </c>
      <c r="U1172" s="17">
        <v>1</v>
      </c>
      <c r="V1172" s="17" t="s">
        <v>27</v>
      </c>
      <c r="W1172" s="17">
        <f>(VLOOKUP(T1172,'[1]Simulation pricing per sub assy'!$D:$E,2,0))*U1172</f>
        <v>7.04</v>
      </c>
      <c r="X1172" s="18" t="s">
        <v>616</v>
      </c>
      <c r="Y1172" s="18">
        <v>1</v>
      </c>
      <c r="Z1172" s="18" t="s">
        <v>23</v>
      </c>
      <c r="AA1172" s="18">
        <f>(VLOOKUP(X1172,'[1]Simulation pricing per sub assy'!$D:$E,2,0))*Y1172</f>
        <v>4.4802908000000006</v>
      </c>
    </row>
    <row r="1173" spans="1:27" x14ac:dyDescent="0.35">
      <c r="A1173" s="13" t="s">
        <v>325</v>
      </c>
      <c r="B1173" s="13" t="s">
        <v>4435</v>
      </c>
      <c r="C1173" s="42">
        <f t="shared" si="18"/>
        <v>285.77669080000004</v>
      </c>
      <c r="D1173" s="14" t="s">
        <v>43</v>
      </c>
      <c r="E1173" s="14">
        <v>2</v>
      </c>
      <c r="F1173" s="14" t="s">
        <v>3983</v>
      </c>
      <c r="G1173" s="14">
        <f>(VLOOKUP(D1173,'[1]BOM Info General'!$A:$L,12,0))*E1173</f>
        <v>130.12</v>
      </c>
      <c r="H1173" s="15" t="s">
        <v>41</v>
      </c>
      <c r="I1173" s="15">
        <v>1</v>
      </c>
      <c r="J1173" s="15" t="s">
        <v>47</v>
      </c>
      <c r="K1173" s="15">
        <f>(VLOOKUP(H1173,'[1]BOM Info General'!$A:$L,12,0))*I1173</f>
        <v>27.18</v>
      </c>
      <c r="L1173" s="9" t="s">
        <v>85</v>
      </c>
      <c r="M1173" s="9">
        <v>1</v>
      </c>
      <c r="N1173" s="9" t="s">
        <v>82</v>
      </c>
      <c r="O1173" s="9">
        <f>(VLOOKUP(L1173,'[1]Simulation pricing per sub assy'!$D:$E,2,0))*M1173</f>
        <v>95.756400000000042</v>
      </c>
      <c r="P1173" s="16" t="s">
        <v>51</v>
      </c>
      <c r="Q1173" s="16">
        <v>8</v>
      </c>
      <c r="R1173" s="16" t="s">
        <v>17</v>
      </c>
      <c r="S1173" s="40">
        <f>(VLOOKUP(P1173,'[1]BOM Info General'!$A:$L,12,0))*Q1173</f>
        <v>21.2</v>
      </c>
      <c r="T1173" s="17" t="s">
        <v>26</v>
      </c>
      <c r="U1173" s="17">
        <v>1</v>
      </c>
      <c r="V1173" s="17" t="s">
        <v>27</v>
      </c>
      <c r="W1173" s="17">
        <f>(VLOOKUP(T1173,'[1]Simulation pricing per sub assy'!$D:$E,2,0))*U1173</f>
        <v>7.04</v>
      </c>
      <c r="X1173" s="18" t="s">
        <v>616</v>
      </c>
      <c r="Y1173" s="18">
        <v>1</v>
      </c>
      <c r="Z1173" s="18" t="s">
        <v>23</v>
      </c>
      <c r="AA1173" s="18">
        <f>(VLOOKUP(X1173,'[1]Simulation pricing per sub assy'!$D:$E,2,0))*Y1173</f>
        <v>4.4802908000000006</v>
      </c>
    </row>
    <row r="1174" spans="1:27" x14ac:dyDescent="0.35">
      <c r="A1174" s="13" t="s">
        <v>397</v>
      </c>
      <c r="B1174" s="13" t="s">
        <v>4436</v>
      </c>
      <c r="C1174" s="42">
        <f t="shared" si="18"/>
        <v>285.77669080000004</v>
      </c>
      <c r="D1174" s="14" t="s">
        <v>43</v>
      </c>
      <c r="E1174" s="14">
        <v>2</v>
      </c>
      <c r="F1174" s="14" t="s">
        <v>3983</v>
      </c>
      <c r="G1174" s="14">
        <f>(VLOOKUP(D1174,'[1]BOM Info General'!$A:$L,12,0))*E1174</f>
        <v>130.12</v>
      </c>
      <c r="H1174" s="15" t="s">
        <v>41</v>
      </c>
      <c r="I1174" s="15">
        <v>1</v>
      </c>
      <c r="J1174" s="15" t="s">
        <v>47</v>
      </c>
      <c r="K1174" s="15">
        <f>(VLOOKUP(H1174,'[1]BOM Info General'!$A:$L,12,0))*I1174</f>
        <v>27.18</v>
      </c>
      <c r="L1174" s="9" t="s">
        <v>81</v>
      </c>
      <c r="M1174" s="9">
        <v>1</v>
      </c>
      <c r="N1174" s="9" t="s">
        <v>80</v>
      </c>
      <c r="O1174" s="9">
        <f>(VLOOKUP(L1174,'[1]Simulation pricing per sub assy'!$D:$E,2,0))*M1174</f>
        <v>95.756400000000042</v>
      </c>
      <c r="P1174" s="16" t="s">
        <v>51</v>
      </c>
      <c r="Q1174" s="16">
        <v>8</v>
      </c>
      <c r="R1174" s="16" t="s">
        <v>17</v>
      </c>
      <c r="S1174" s="40">
        <f>(VLOOKUP(P1174,'[1]BOM Info General'!$A:$L,12,0))*Q1174</f>
        <v>21.2</v>
      </c>
      <c r="T1174" s="17" t="s">
        <v>26</v>
      </c>
      <c r="U1174" s="17">
        <v>1</v>
      </c>
      <c r="V1174" s="17" t="s">
        <v>27</v>
      </c>
      <c r="W1174" s="17">
        <f>(VLOOKUP(T1174,'[1]Simulation pricing per sub assy'!$D:$E,2,0))*U1174</f>
        <v>7.04</v>
      </c>
      <c r="X1174" s="18" t="s">
        <v>616</v>
      </c>
      <c r="Y1174" s="18">
        <v>1</v>
      </c>
      <c r="Z1174" s="18" t="s">
        <v>23</v>
      </c>
      <c r="AA1174" s="18">
        <f>(VLOOKUP(X1174,'[1]Simulation pricing per sub assy'!$D:$E,2,0))*Y1174</f>
        <v>4.4802908000000006</v>
      </c>
    </row>
    <row r="1175" spans="1:27" x14ac:dyDescent="0.35">
      <c r="A1175" s="13" t="s">
        <v>361</v>
      </c>
      <c r="B1175" s="13" t="s">
        <v>4437</v>
      </c>
      <c r="C1175" s="42">
        <f t="shared" si="18"/>
        <v>285.22669080000003</v>
      </c>
      <c r="D1175" s="14" t="s">
        <v>43</v>
      </c>
      <c r="E1175" s="14">
        <v>2</v>
      </c>
      <c r="F1175" s="14" t="s">
        <v>3983</v>
      </c>
      <c r="G1175" s="14">
        <f>(VLOOKUP(D1175,'[1]BOM Info General'!$A:$L,12,0))*E1175</f>
        <v>130.12</v>
      </c>
      <c r="H1175" s="15" t="s">
        <v>41</v>
      </c>
      <c r="I1175" s="15">
        <v>1</v>
      </c>
      <c r="J1175" s="15" t="s">
        <v>47</v>
      </c>
      <c r="K1175" s="15">
        <f>(VLOOKUP(H1175,'[1]BOM Info General'!$A:$L,12,0))*I1175</f>
        <v>27.18</v>
      </c>
      <c r="L1175" s="9" t="s">
        <v>87</v>
      </c>
      <c r="M1175" s="9">
        <v>1</v>
      </c>
      <c r="N1175" s="9" t="s">
        <v>84</v>
      </c>
      <c r="O1175" s="9">
        <f>(VLOOKUP(L1175,'[1]Simulation pricing per sub assy'!$D:$E,2,0))*M1175</f>
        <v>95.206400000000031</v>
      </c>
      <c r="P1175" s="16" t="s">
        <v>51</v>
      </c>
      <c r="Q1175" s="16">
        <v>8</v>
      </c>
      <c r="R1175" s="16" t="s">
        <v>17</v>
      </c>
      <c r="S1175" s="40">
        <f>(VLOOKUP(P1175,'[1]BOM Info General'!$A:$L,12,0))*Q1175</f>
        <v>21.2</v>
      </c>
      <c r="T1175" s="17" t="s">
        <v>26</v>
      </c>
      <c r="U1175" s="17">
        <v>1</v>
      </c>
      <c r="V1175" s="17" t="s">
        <v>27</v>
      </c>
      <c r="W1175" s="17">
        <f>(VLOOKUP(T1175,'[1]Simulation pricing per sub assy'!$D:$E,2,0))*U1175</f>
        <v>7.04</v>
      </c>
      <c r="X1175" s="18" t="s">
        <v>616</v>
      </c>
      <c r="Y1175" s="18">
        <v>1</v>
      </c>
      <c r="Z1175" s="18" t="s">
        <v>23</v>
      </c>
      <c r="AA1175" s="18">
        <f>(VLOOKUP(X1175,'[1]Simulation pricing per sub assy'!$D:$E,2,0))*Y1175</f>
        <v>4.4802908000000006</v>
      </c>
    </row>
    <row r="1176" spans="1:27" x14ac:dyDescent="0.35">
      <c r="A1176" s="13" t="s">
        <v>433</v>
      </c>
      <c r="B1176" s="13" t="s">
        <v>4438</v>
      </c>
      <c r="C1176" s="42">
        <f t="shared" si="18"/>
        <v>293.18669080000001</v>
      </c>
      <c r="D1176" s="14" t="s">
        <v>43</v>
      </c>
      <c r="E1176" s="14">
        <v>2</v>
      </c>
      <c r="F1176" s="14" t="s">
        <v>3983</v>
      </c>
      <c r="G1176" s="14">
        <f>(VLOOKUP(D1176,'[1]BOM Info General'!$A:$L,12,0))*E1176</f>
        <v>130.12</v>
      </c>
      <c r="H1176" s="15" t="s">
        <v>41</v>
      </c>
      <c r="I1176" s="15">
        <v>1</v>
      </c>
      <c r="J1176" s="15" t="s">
        <v>47</v>
      </c>
      <c r="K1176" s="15">
        <f>(VLOOKUP(H1176,'[1]BOM Info General'!$A:$L,12,0))*I1176</f>
        <v>27.18</v>
      </c>
      <c r="L1176" s="9" t="s">
        <v>83</v>
      </c>
      <c r="M1176" s="9">
        <v>1</v>
      </c>
      <c r="N1176" s="9" t="s">
        <v>86</v>
      </c>
      <c r="O1176" s="9">
        <f>(VLOOKUP(L1176,'[1]Simulation pricing per sub assy'!$D:$E,2,0))*M1176</f>
        <v>103.16640000000004</v>
      </c>
      <c r="P1176" s="16" t="s">
        <v>51</v>
      </c>
      <c r="Q1176" s="16">
        <v>8</v>
      </c>
      <c r="R1176" s="16" t="s">
        <v>17</v>
      </c>
      <c r="S1176" s="40">
        <f>(VLOOKUP(P1176,'[1]BOM Info General'!$A:$L,12,0))*Q1176</f>
        <v>21.2</v>
      </c>
      <c r="T1176" s="17" t="s">
        <v>26</v>
      </c>
      <c r="U1176" s="17">
        <v>1</v>
      </c>
      <c r="V1176" s="17" t="s">
        <v>27</v>
      </c>
      <c r="W1176" s="17">
        <f>(VLOOKUP(T1176,'[1]Simulation pricing per sub assy'!$D:$E,2,0))*U1176</f>
        <v>7.04</v>
      </c>
      <c r="X1176" s="18" t="s">
        <v>616</v>
      </c>
      <c r="Y1176" s="18">
        <v>1</v>
      </c>
      <c r="Z1176" s="18" t="s">
        <v>23</v>
      </c>
      <c r="AA1176" s="18">
        <f>(VLOOKUP(X1176,'[1]Simulation pricing per sub assy'!$D:$E,2,0))*Y1176</f>
        <v>4.4802908000000006</v>
      </c>
    </row>
    <row r="1177" spans="1:27" x14ac:dyDescent="0.35">
      <c r="A1177" s="13" t="s">
        <v>470</v>
      </c>
      <c r="B1177" s="13" t="s">
        <v>4439</v>
      </c>
      <c r="C1177" s="42">
        <f t="shared" si="18"/>
        <v>284.6366908</v>
      </c>
      <c r="D1177" s="14" t="s">
        <v>43</v>
      </c>
      <c r="E1177" s="14">
        <v>2</v>
      </c>
      <c r="F1177" s="14" t="s">
        <v>3983</v>
      </c>
      <c r="G1177" s="14">
        <f>(VLOOKUP(D1177,'[1]BOM Info General'!$A:$L,12,0))*E1177</f>
        <v>130.12</v>
      </c>
      <c r="H1177" s="15" t="s">
        <v>41</v>
      </c>
      <c r="I1177" s="15">
        <v>1</v>
      </c>
      <c r="J1177" s="15" t="s">
        <v>47</v>
      </c>
      <c r="K1177" s="15">
        <f>(VLOOKUP(H1177,'[1]BOM Info General'!$A:$L,12,0))*I1177</f>
        <v>27.18</v>
      </c>
      <c r="L1177" s="9" t="s">
        <v>528</v>
      </c>
      <c r="M1177" s="9">
        <v>1</v>
      </c>
      <c r="N1177" s="9" t="s">
        <v>88</v>
      </c>
      <c r="O1177" s="9">
        <f>(VLOOKUP(L1177,'[1]Simulation pricing per sub assy'!$D:$E,2,0))*M1177</f>
        <v>94.656400000000033</v>
      </c>
      <c r="P1177" s="16" t="s">
        <v>51</v>
      </c>
      <c r="Q1177" s="16">
        <v>8</v>
      </c>
      <c r="R1177" s="16" t="s">
        <v>17</v>
      </c>
      <c r="S1177" s="40">
        <f>(VLOOKUP(P1177,'[1]BOM Info General'!$A:$L,12,0))*Q1177</f>
        <v>21.2</v>
      </c>
      <c r="T1177" s="17" t="s">
        <v>28</v>
      </c>
      <c r="U1177" s="17">
        <v>1</v>
      </c>
      <c r="V1177" s="17" t="s">
        <v>29</v>
      </c>
      <c r="W1177" s="17">
        <f>(VLOOKUP(T1177,'[1]Simulation pricing per sub assy'!$D:$E,2,0))*U1177</f>
        <v>7</v>
      </c>
      <c r="X1177" s="18" t="s">
        <v>616</v>
      </c>
      <c r="Y1177" s="18">
        <v>1</v>
      </c>
      <c r="Z1177" s="18" t="s">
        <v>23</v>
      </c>
      <c r="AA1177" s="18">
        <f>(VLOOKUP(X1177,'[1]Simulation pricing per sub assy'!$D:$E,2,0))*Y1177</f>
        <v>4.4802908000000006</v>
      </c>
    </row>
    <row r="1178" spans="1:27" x14ac:dyDescent="0.35">
      <c r="A1178" s="13" t="s">
        <v>326</v>
      </c>
      <c r="B1178" s="13" t="s">
        <v>4440</v>
      </c>
      <c r="C1178" s="42">
        <f t="shared" si="18"/>
        <v>285.73669080000002</v>
      </c>
      <c r="D1178" s="14" t="s">
        <v>43</v>
      </c>
      <c r="E1178" s="14">
        <v>2</v>
      </c>
      <c r="F1178" s="14" t="s">
        <v>3983</v>
      </c>
      <c r="G1178" s="14">
        <f>(VLOOKUP(D1178,'[1]BOM Info General'!$A:$L,12,0))*E1178</f>
        <v>130.12</v>
      </c>
      <c r="H1178" s="15" t="s">
        <v>41</v>
      </c>
      <c r="I1178" s="15">
        <v>1</v>
      </c>
      <c r="J1178" s="15" t="s">
        <v>47</v>
      </c>
      <c r="K1178" s="15">
        <f>(VLOOKUP(H1178,'[1]BOM Info General'!$A:$L,12,0))*I1178</f>
        <v>27.18</v>
      </c>
      <c r="L1178" s="9" t="s">
        <v>85</v>
      </c>
      <c r="M1178" s="9">
        <v>1</v>
      </c>
      <c r="N1178" s="9" t="s">
        <v>82</v>
      </c>
      <c r="O1178" s="9">
        <f>(VLOOKUP(L1178,'[1]Simulation pricing per sub assy'!$D:$E,2,0))*M1178</f>
        <v>95.756400000000042</v>
      </c>
      <c r="P1178" s="16" t="s">
        <v>51</v>
      </c>
      <c r="Q1178" s="16">
        <v>8</v>
      </c>
      <c r="R1178" s="16" t="s">
        <v>17</v>
      </c>
      <c r="S1178" s="40">
        <f>(VLOOKUP(P1178,'[1]BOM Info General'!$A:$L,12,0))*Q1178</f>
        <v>21.2</v>
      </c>
      <c r="T1178" s="17" t="s">
        <v>28</v>
      </c>
      <c r="U1178" s="17">
        <v>1</v>
      </c>
      <c r="V1178" s="17" t="s">
        <v>29</v>
      </c>
      <c r="W1178" s="17">
        <f>(VLOOKUP(T1178,'[1]Simulation pricing per sub assy'!$D:$E,2,0))*U1178</f>
        <v>7</v>
      </c>
      <c r="X1178" s="18" t="s">
        <v>616</v>
      </c>
      <c r="Y1178" s="18">
        <v>1</v>
      </c>
      <c r="Z1178" s="18" t="s">
        <v>23</v>
      </c>
      <c r="AA1178" s="18">
        <f>(VLOOKUP(X1178,'[1]Simulation pricing per sub assy'!$D:$E,2,0))*Y1178</f>
        <v>4.4802908000000006</v>
      </c>
    </row>
    <row r="1179" spans="1:27" x14ac:dyDescent="0.35">
      <c r="A1179" s="13" t="s">
        <v>398</v>
      </c>
      <c r="B1179" s="13" t="s">
        <v>4441</v>
      </c>
      <c r="C1179" s="42">
        <f t="shared" si="18"/>
        <v>285.73669080000002</v>
      </c>
      <c r="D1179" s="14" t="s">
        <v>43</v>
      </c>
      <c r="E1179" s="14">
        <v>2</v>
      </c>
      <c r="F1179" s="14" t="s">
        <v>3983</v>
      </c>
      <c r="G1179" s="14">
        <f>(VLOOKUP(D1179,'[1]BOM Info General'!$A:$L,12,0))*E1179</f>
        <v>130.12</v>
      </c>
      <c r="H1179" s="15" t="s">
        <v>41</v>
      </c>
      <c r="I1179" s="15">
        <v>1</v>
      </c>
      <c r="J1179" s="15" t="s">
        <v>47</v>
      </c>
      <c r="K1179" s="15">
        <f>(VLOOKUP(H1179,'[1]BOM Info General'!$A:$L,12,0))*I1179</f>
        <v>27.18</v>
      </c>
      <c r="L1179" s="9" t="s">
        <v>81</v>
      </c>
      <c r="M1179" s="9">
        <v>1</v>
      </c>
      <c r="N1179" s="9" t="s">
        <v>80</v>
      </c>
      <c r="O1179" s="9">
        <f>(VLOOKUP(L1179,'[1]Simulation pricing per sub assy'!$D:$E,2,0))*M1179</f>
        <v>95.756400000000042</v>
      </c>
      <c r="P1179" s="16" t="s">
        <v>51</v>
      </c>
      <c r="Q1179" s="16">
        <v>8</v>
      </c>
      <c r="R1179" s="16" t="s">
        <v>17</v>
      </c>
      <c r="S1179" s="40">
        <f>(VLOOKUP(P1179,'[1]BOM Info General'!$A:$L,12,0))*Q1179</f>
        <v>21.2</v>
      </c>
      <c r="T1179" s="17" t="s">
        <v>28</v>
      </c>
      <c r="U1179" s="17">
        <v>1</v>
      </c>
      <c r="V1179" s="17" t="s">
        <v>29</v>
      </c>
      <c r="W1179" s="17">
        <f>(VLOOKUP(T1179,'[1]Simulation pricing per sub assy'!$D:$E,2,0))*U1179</f>
        <v>7</v>
      </c>
      <c r="X1179" s="18" t="s">
        <v>616</v>
      </c>
      <c r="Y1179" s="18">
        <v>1</v>
      </c>
      <c r="Z1179" s="18" t="s">
        <v>23</v>
      </c>
      <c r="AA1179" s="18">
        <f>(VLOOKUP(X1179,'[1]Simulation pricing per sub assy'!$D:$E,2,0))*Y1179</f>
        <v>4.4802908000000006</v>
      </c>
    </row>
    <row r="1180" spans="1:27" x14ac:dyDescent="0.35">
      <c r="A1180" s="13" t="s">
        <v>362</v>
      </c>
      <c r="B1180" s="13" t="s">
        <v>4442</v>
      </c>
      <c r="C1180" s="42">
        <f t="shared" si="18"/>
        <v>285.18669080000001</v>
      </c>
      <c r="D1180" s="14" t="s">
        <v>43</v>
      </c>
      <c r="E1180" s="14">
        <v>2</v>
      </c>
      <c r="F1180" s="14" t="s">
        <v>3983</v>
      </c>
      <c r="G1180" s="14">
        <f>(VLOOKUP(D1180,'[1]BOM Info General'!$A:$L,12,0))*E1180</f>
        <v>130.12</v>
      </c>
      <c r="H1180" s="15" t="s">
        <v>41</v>
      </c>
      <c r="I1180" s="15">
        <v>1</v>
      </c>
      <c r="J1180" s="15" t="s">
        <v>47</v>
      </c>
      <c r="K1180" s="15">
        <f>(VLOOKUP(H1180,'[1]BOM Info General'!$A:$L,12,0))*I1180</f>
        <v>27.18</v>
      </c>
      <c r="L1180" s="9" t="s">
        <v>87</v>
      </c>
      <c r="M1180" s="9">
        <v>1</v>
      </c>
      <c r="N1180" s="9" t="s">
        <v>84</v>
      </c>
      <c r="O1180" s="9">
        <f>(VLOOKUP(L1180,'[1]Simulation pricing per sub assy'!$D:$E,2,0))*M1180</f>
        <v>95.206400000000031</v>
      </c>
      <c r="P1180" s="16" t="s">
        <v>51</v>
      </c>
      <c r="Q1180" s="16">
        <v>8</v>
      </c>
      <c r="R1180" s="16" t="s">
        <v>17</v>
      </c>
      <c r="S1180" s="40">
        <f>(VLOOKUP(P1180,'[1]BOM Info General'!$A:$L,12,0))*Q1180</f>
        <v>21.2</v>
      </c>
      <c r="T1180" s="17" t="s">
        <v>28</v>
      </c>
      <c r="U1180" s="17">
        <v>1</v>
      </c>
      <c r="V1180" s="17" t="s">
        <v>29</v>
      </c>
      <c r="W1180" s="17">
        <f>(VLOOKUP(T1180,'[1]Simulation pricing per sub assy'!$D:$E,2,0))*U1180</f>
        <v>7</v>
      </c>
      <c r="X1180" s="18" t="s">
        <v>616</v>
      </c>
      <c r="Y1180" s="18">
        <v>1</v>
      </c>
      <c r="Z1180" s="18" t="s">
        <v>23</v>
      </c>
      <c r="AA1180" s="18">
        <f>(VLOOKUP(X1180,'[1]Simulation pricing per sub assy'!$D:$E,2,0))*Y1180</f>
        <v>4.4802908000000006</v>
      </c>
    </row>
    <row r="1181" spans="1:27" x14ac:dyDescent="0.35">
      <c r="A1181" s="13" t="s">
        <v>434</v>
      </c>
      <c r="B1181" s="13" t="s">
        <v>4443</v>
      </c>
      <c r="C1181" s="42">
        <f t="shared" si="18"/>
        <v>293.14669079999999</v>
      </c>
      <c r="D1181" s="14" t="s">
        <v>43</v>
      </c>
      <c r="E1181" s="14">
        <v>2</v>
      </c>
      <c r="F1181" s="14" t="s">
        <v>3983</v>
      </c>
      <c r="G1181" s="14">
        <f>(VLOOKUP(D1181,'[1]BOM Info General'!$A:$L,12,0))*E1181</f>
        <v>130.12</v>
      </c>
      <c r="H1181" s="15" t="s">
        <v>41</v>
      </c>
      <c r="I1181" s="15">
        <v>1</v>
      </c>
      <c r="J1181" s="15" t="s">
        <v>47</v>
      </c>
      <c r="K1181" s="15">
        <f>(VLOOKUP(H1181,'[1]BOM Info General'!$A:$L,12,0))*I1181</f>
        <v>27.18</v>
      </c>
      <c r="L1181" s="9" t="s">
        <v>83</v>
      </c>
      <c r="M1181" s="9">
        <v>1</v>
      </c>
      <c r="N1181" s="9" t="s">
        <v>86</v>
      </c>
      <c r="O1181" s="9">
        <f>(VLOOKUP(L1181,'[1]Simulation pricing per sub assy'!$D:$E,2,0))*M1181</f>
        <v>103.16640000000004</v>
      </c>
      <c r="P1181" s="16" t="s">
        <v>51</v>
      </c>
      <c r="Q1181" s="16">
        <v>8</v>
      </c>
      <c r="R1181" s="16" t="s">
        <v>17</v>
      </c>
      <c r="S1181" s="40">
        <f>(VLOOKUP(P1181,'[1]BOM Info General'!$A:$L,12,0))*Q1181</f>
        <v>21.2</v>
      </c>
      <c r="T1181" s="17" t="s">
        <v>28</v>
      </c>
      <c r="U1181" s="17">
        <v>1</v>
      </c>
      <c r="V1181" s="17" t="s">
        <v>29</v>
      </c>
      <c r="W1181" s="17">
        <f>(VLOOKUP(T1181,'[1]Simulation pricing per sub assy'!$D:$E,2,0))*U1181</f>
        <v>7</v>
      </c>
      <c r="X1181" s="18" t="s">
        <v>616</v>
      </c>
      <c r="Y1181" s="18">
        <v>1</v>
      </c>
      <c r="Z1181" s="18" t="s">
        <v>23</v>
      </c>
      <c r="AA1181" s="18">
        <f>(VLOOKUP(X1181,'[1]Simulation pricing per sub assy'!$D:$E,2,0))*Y1181</f>
        <v>4.4802908000000006</v>
      </c>
    </row>
    <row r="1182" spans="1:27" x14ac:dyDescent="0.35">
      <c r="A1182" s="13" t="s">
        <v>471</v>
      </c>
      <c r="B1182" s="13" t="s">
        <v>4444</v>
      </c>
      <c r="C1182" s="42">
        <f t="shared" si="18"/>
        <v>284.07669079999999</v>
      </c>
      <c r="D1182" s="14" t="s">
        <v>43</v>
      </c>
      <c r="E1182" s="14">
        <v>2</v>
      </c>
      <c r="F1182" s="14" t="s">
        <v>3983</v>
      </c>
      <c r="G1182" s="14">
        <f>(VLOOKUP(D1182,'[1]BOM Info General'!$A:$L,12,0))*E1182</f>
        <v>130.12</v>
      </c>
      <c r="H1182" s="15" t="s">
        <v>41</v>
      </c>
      <c r="I1182" s="15">
        <v>1</v>
      </c>
      <c r="J1182" s="15" t="s">
        <v>47</v>
      </c>
      <c r="K1182" s="15">
        <f>(VLOOKUP(H1182,'[1]BOM Info General'!$A:$L,12,0))*I1182</f>
        <v>27.18</v>
      </c>
      <c r="L1182" s="9" t="s">
        <v>528</v>
      </c>
      <c r="M1182" s="9">
        <v>1</v>
      </c>
      <c r="N1182" s="9" t="s">
        <v>88</v>
      </c>
      <c r="O1182" s="9">
        <f>(VLOOKUP(L1182,'[1]Simulation pricing per sub assy'!$D:$E,2,0))*M1182</f>
        <v>94.656400000000033</v>
      </c>
      <c r="P1182" s="16" t="s">
        <v>52</v>
      </c>
      <c r="Q1182" s="16">
        <v>8</v>
      </c>
      <c r="R1182" s="16" t="s">
        <v>18</v>
      </c>
      <c r="S1182" s="40">
        <f>(VLOOKUP(P1182,'[1]BOM Info General'!$A:$L,12,0))*Q1182</f>
        <v>21.2</v>
      </c>
      <c r="T1182" s="17" t="s">
        <v>24</v>
      </c>
      <c r="U1182" s="17">
        <v>1</v>
      </c>
      <c r="V1182" s="17" t="s">
        <v>25</v>
      </c>
      <c r="W1182" s="17">
        <f>(VLOOKUP(T1182,'[1]Simulation pricing per sub assy'!$D:$E,2,0))*U1182</f>
        <v>6.44</v>
      </c>
      <c r="X1182" s="18" t="s">
        <v>616</v>
      </c>
      <c r="Y1182" s="18">
        <v>1</v>
      </c>
      <c r="Z1182" s="18" t="s">
        <v>23</v>
      </c>
      <c r="AA1182" s="18">
        <f>(VLOOKUP(X1182,'[1]Simulation pricing per sub assy'!$D:$E,2,0))*Y1182</f>
        <v>4.4802908000000006</v>
      </c>
    </row>
    <row r="1183" spans="1:27" x14ac:dyDescent="0.35">
      <c r="A1183" s="13" t="s">
        <v>327</v>
      </c>
      <c r="B1183" s="13" t="s">
        <v>4445</v>
      </c>
      <c r="C1183" s="42">
        <f t="shared" si="18"/>
        <v>285.17669080000002</v>
      </c>
      <c r="D1183" s="14" t="s">
        <v>43</v>
      </c>
      <c r="E1183" s="14">
        <v>2</v>
      </c>
      <c r="F1183" s="14" t="s">
        <v>3983</v>
      </c>
      <c r="G1183" s="14">
        <f>(VLOOKUP(D1183,'[1]BOM Info General'!$A:$L,12,0))*E1183</f>
        <v>130.12</v>
      </c>
      <c r="H1183" s="15" t="s">
        <v>41</v>
      </c>
      <c r="I1183" s="15">
        <v>1</v>
      </c>
      <c r="J1183" s="15" t="s">
        <v>47</v>
      </c>
      <c r="K1183" s="15">
        <f>(VLOOKUP(H1183,'[1]BOM Info General'!$A:$L,12,0))*I1183</f>
        <v>27.18</v>
      </c>
      <c r="L1183" s="9" t="s">
        <v>85</v>
      </c>
      <c r="M1183" s="9">
        <v>1</v>
      </c>
      <c r="N1183" s="9" t="s">
        <v>82</v>
      </c>
      <c r="O1183" s="9">
        <f>(VLOOKUP(L1183,'[1]Simulation pricing per sub assy'!$D:$E,2,0))*M1183</f>
        <v>95.756400000000042</v>
      </c>
      <c r="P1183" s="16" t="s">
        <v>52</v>
      </c>
      <c r="Q1183" s="16">
        <v>8</v>
      </c>
      <c r="R1183" s="16" t="s">
        <v>18</v>
      </c>
      <c r="S1183" s="40">
        <f>(VLOOKUP(P1183,'[1]BOM Info General'!$A:$L,12,0))*Q1183</f>
        <v>21.2</v>
      </c>
      <c r="T1183" s="17" t="s">
        <v>24</v>
      </c>
      <c r="U1183" s="17">
        <v>1</v>
      </c>
      <c r="V1183" s="17" t="s">
        <v>25</v>
      </c>
      <c r="W1183" s="17">
        <f>(VLOOKUP(T1183,'[1]Simulation pricing per sub assy'!$D:$E,2,0))*U1183</f>
        <v>6.44</v>
      </c>
      <c r="X1183" s="18" t="s">
        <v>616</v>
      </c>
      <c r="Y1183" s="18">
        <v>1</v>
      </c>
      <c r="Z1183" s="18" t="s">
        <v>23</v>
      </c>
      <c r="AA1183" s="18">
        <f>(VLOOKUP(X1183,'[1]Simulation pricing per sub assy'!$D:$E,2,0))*Y1183</f>
        <v>4.4802908000000006</v>
      </c>
    </row>
    <row r="1184" spans="1:27" x14ac:dyDescent="0.35">
      <c r="A1184" s="13" t="s">
        <v>399</v>
      </c>
      <c r="B1184" s="13" t="s">
        <v>4446</v>
      </c>
      <c r="C1184" s="42">
        <f t="shared" si="18"/>
        <v>285.17669080000002</v>
      </c>
      <c r="D1184" s="14" t="s">
        <v>43</v>
      </c>
      <c r="E1184" s="14">
        <v>2</v>
      </c>
      <c r="F1184" s="14" t="s">
        <v>3983</v>
      </c>
      <c r="G1184" s="14">
        <f>(VLOOKUP(D1184,'[1]BOM Info General'!$A:$L,12,0))*E1184</f>
        <v>130.12</v>
      </c>
      <c r="H1184" s="15" t="s">
        <v>41</v>
      </c>
      <c r="I1184" s="15">
        <v>1</v>
      </c>
      <c r="J1184" s="15" t="s">
        <v>47</v>
      </c>
      <c r="K1184" s="15">
        <f>(VLOOKUP(H1184,'[1]BOM Info General'!$A:$L,12,0))*I1184</f>
        <v>27.18</v>
      </c>
      <c r="L1184" s="9" t="s">
        <v>81</v>
      </c>
      <c r="M1184" s="9">
        <v>1</v>
      </c>
      <c r="N1184" s="9" t="s">
        <v>80</v>
      </c>
      <c r="O1184" s="9">
        <f>(VLOOKUP(L1184,'[1]Simulation pricing per sub assy'!$D:$E,2,0))*M1184</f>
        <v>95.756400000000042</v>
      </c>
      <c r="P1184" s="16" t="s">
        <v>52</v>
      </c>
      <c r="Q1184" s="16">
        <v>8</v>
      </c>
      <c r="R1184" s="16" t="s">
        <v>18</v>
      </c>
      <c r="S1184" s="40">
        <f>(VLOOKUP(P1184,'[1]BOM Info General'!$A:$L,12,0))*Q1184</f>
        <v>21.2</v>
      </c>
      <c r="T1184" s="17" t="s">
        <v>24</v>
      </c>
      <c r="U1184" s="17">
        <v>1</v>
      </c>
      <c r="V1184" s="17" t="s">
        <v>25</v>
      </c>
      <c r="W1184" s="17">
        <f>(VLOOKUP(T1184,'[1]Simulation pricing per sub assy'!$D:$E,2,0))*U1184</f>
        <v>6.44</v>
      </c>
      <c r="X1184" s="18" t="s">
        <v>616</v>
      </c>
      <c r="Y1184" s="18">
        <v>1</v>
      </c>
      <c r="Z1184" s="18" t="s">
        <v>23</v>
      </c>
      <c r="AA1184" s="18">
        <f>(VLOOKUP(X1184,'[1]Simulation pricing per sub assy'!$D:$E,2,0))*Y1184</f>
        <v>4.4802908000000006</v>
      </c>
    </row>
    <row r="1185" spans="1:27" x14ac:dyDescent="0.35">
      <c r="A1185" s="13" t="s">
        <v>363</v>
      </c>
      <c r="B1185" s="13" t="s">
        <v>4447</v>
      </c>
      <c r="C1185" s="42">
        <f t="shared" si="18"/>
        <v>284.62669080000001</v>
      </c>
      <c r="D1185" s="14" t="s">
        <v>43</v>
      </c>
      <c r="E1185" s="14">
        <v>2</v>
      </c>
      <c r="F1185" s="14" t="s">
        <v>3983</v>
      </c>
      <c r="G1185" s="14">
        <f>(VLOOKUP(D1185,'[1]BOM Info General'!$A:$L,12,0))*E1185</f>
        <v>130.12</v>
      </c>
      <c r="H1185" s="15" t="s">
        <v>41</v>
      </c>
      <c r="I1185" s="15">
        <v>1</v>
      </c>
      <c r="J1185" s="15" t="s">
        <v>47</v>
      </c>
      <c r="K1185" s="15">
        <f>(VLOOKUP(H1185,'[1]BOM Info General'!$A:$L,12,0))*I1185</f>
        <v>27.18</v>
      </c>
      <c r="L1185" s="9" t="s">
        <v>87</v>
      </c>
      <c r="M1185" s="9">
        <v>1</v>
      </c>
      <c r="N1185" s="9" t="s">
        <v>84</v>
      </c>
      <c r="O1185" s="9">
        <f>(VLOOKUP(L1185,'[1]Simulation pricing per sub assy'!$D:$E,2,0))*M1185</f>
        <v>95.206400000000031</v>
      </c>
      <c r="P1185" s="16" t="s">
        <v>52</v>
      </c>
      <c r="Q1185" s="16">
        <v>8</v>
      </c>
      <c r="R1185" s="16" t="s">
        <v>18</v>
      </c>
      <c r="S1185" s="40">
        <f>(VLOOKUP(P1185,'[1]BOM Info General'!$A:$L,12,0))*Q1185</f>
        <v>21.2</v>
      </c>
      <c r="T1185" s="17" t="s">
        <v>24</v>
      </c>
      <c r="U1185" s="17">
        <v>1</v>
      </c>
      <c r="V1185" s="17" t="s">
        <v>25</v>
      </c>
      <c r="W1185" s="17">
        <f>(VLOOKUP(T1185,'[1]Simulation pricing per sub assy'!$D:$E,2,0))*U1185</f>
        <v>6.44</v>
      </c>
      <c r="X1185" s="18" t="s">
        <v>616</v>
      </c>
      <c r="Y1185" s="18">
        <v>1</v>
      </c>
      <c r="Z1185" s="18" t="s">
        <v>23</v>
      </c>
      <c r="AA1185" s="18">
        <f>(VLOOKUP(X1185,'[1]Simulation pricing per sub assy'!$D:$E,2,0))*Y1185</f>
        <v>4.4802908000000006</v>
      </c>
    </row>
    <row r="1186" spans="1:27" x14ac:dyDescent="0.35">
      <c r="A1186" s="13" t="s">
        <v>435</v>
      </c>
      <c r="B1186" s="13" t="s">
        <v>4448</v>
      </c>
      <c r="C1186" s="42">
        <f t="shared" si="18"/>
        <v>292.58669079999999</v>
      </c>
      <c r="D1186" s="14" t="s">
        <v>43</v>
      </c>
      <c r="E1186" s="14">
        <v>2</v>
      </c>
      <c r="F1186" s="14" t="s">
        <v>3983</v>
      </c>
      <c r="G1186" s="14">
        <f>(VLOOKUP(D1186,'[1]BOM Info General'!$A:$L,12,0))*E1186</f>
        <v>130.12</v>
      </c>
      <c r="H1186" s="15" t="s">
        <v>41</v>
      </c>
      <c r="I1186" s="15">
        <v>1</v>
      </c>
      <c r="J1186" s="15" t="s">
        <v>47</v>
      </c>
      <c r="K1186" s="15">
        <f>(VLOOKUP(H1186,'[1]BOM Info General'!$A:$L,12,0))*I1186</f>
        <v>27.18</v>
      </c>
      <c r="L1186" s="9" t="s">
        <v>83</v>
      </c>
      <c r="M1186" s="9">
        <v>1</v>
      </c>
      <c r="N1186" s="9" t="s">
        <v>86</v>
      </c>
      <c r="O1186" s="9">
        <f>(VLOOKUP(L1186,'[1]Simulation pricing per sub assy'!$D:$E,2,0))*M1186</f>
        <v>103.16640000000004</v>
      </c>
      <c r="P1186" s="16" t="s">
        <v>52</v>
      </c>
      <c r="Q1186" s="16">
        <v>8</v>
      </c>
      <c r="R1186" s="16" t="s">
        <v>18</v>
      </c>
      <c r="S1186" s="40">
        <f>(VLOOKUP(P1186,'[1]BOM Info General'!$A:$L,12,0))*Q1186</f>
        <v>21.2</v>
      </c>
      <c r="T1186" s="17" t="s">
        <v>24</v>
      </c>
      <c r="U1186" s="17">
        <v>1</v>
      </c>
      <c r="V1186" s="17" t="s">
        <v>25</v>
      </c>
      <c r="W1186" s="17">
        <f>(VLOOKUP(T1186,'[1]Simulation pricing per sub assy'!$D:$E,2,0))*U1186</f>
        <v>6.44</v>
      </c>
      <c r="X1186" s="18" t="s">
        <v>616</v>
      </c>
      <c r="Y1186" s="18">
        <v>1</v>
      </c>
      <c r="Z1186" s="18" t="s">
        <v>23</v>
      </c>
      <c r="AA1186" s="18">
        <f>(VLOOKUP(X1186,'[1]Simulation pricing per sub assy'!$D:$E,2,0))*Y1186</f>
        <v>4.4802908000000006</v>
      </c>
    </row>
    <row r="1187" spans="1:27" x14ac:dyDescent="0.35">
      <c r="A1187" s="13" t="s">
        <v>472</v>
      </c>
      <c r="B1187" s="13" t="s">
        <v>4449</v>
      </c>
      <c r="C1187" s="42">
        <f t="shared" si="18"/>
        <v>284.67669080000002</v>
      </c>
      <c r="D1187" s="14" t="s">
        <v>43</v>
      </c>
      <c r="E1187" s="14">
        <v>2</v>
      </c>
      <c r="F1187" s="14" t="s">
        <v>3983</v>
      </c>
      <c r="G1187" s="14">
        <f>(VLOOKUP(D1187,'[1]BOM Info General'!$A:$L,12,0))*E1187</f>
        <v>130.12</v>
      </c>
      <c r="H1187" s="15" t="s">
        <v>41</v>
      </c>
      <c r="I1187" s="15">
        <v>1</v>
      </c>
      <c r="J1187" s="15" t="s">
        <v>47</v>
      </c>
      <c r="K1187" s="15">
        <f>(VLOOKUP(H1187,'[1]BOM Info General'!$A:$L,12,0))*I1187</f>
        <v>27.18</v>
      </c>
      <c r="L1187" s="9" t="s">
        <v>528</v>
      </c>
      <c r="M1187" s="9">
        <v>1</v>
      </c>
      <c r="N1187" s="9" t="s">
        <v>88</v>
      </c>
      <c r="O1187" s="9">
        <f>(VLOOKUP(L1187,'[1]Simulation pricing per sub assy'!$D:$E,2,0))*M1187</f>
        <v>94.656400000000033</v>
      </c>
      <c r="P1187" s="16" t="s">
        <v>52</v>
      </c>
      <c r="Q1187" s="16">
        <v>8</v>
      </c>
      <c r="R1187" s="16" t="s">
        <v>18</v>
      </c>
      <c r="S1187" s="40">
        <f>(VLOOKUP(P1187,'[1]BOM Info General'!$A:$L,12,0))*Q1187</f>
        <v>21.2</v>
      </c>
      <c r="T1187" s="17" t="s">
        <v>26</v>
      </c>
      <c r="U1187" s="17">
        <v>1</v>
      </c>
      <c r="V1187" s="17" t="s">
        <v>27</v>
      </c>
      <c r="W1187" s="17">
        <f>(VLOOKUP(T1187,'[1]Simulation pricing per sub assy'!$D:$E,2,0))*U1187</f>
        <v>7.04</v>
      </c>
      <c r="X1187" s="18" t="s">
        <v>616</v>
      </c>
      <c r="Y1187" s="18">
        <v>1</v>
      </c>
      <c r="Z1187" s="18" t="s">
        <v>23</v>
      </c>
      <c r="AA1187" s="18">
        <f>(VLOOKUP(X1187,'[1]Simulation pricing per sub assy'!$D:$E,2,0))*Y1187</f>
        <v>4.4802908000000006</v>
      </c>
    </row>
    <row r="1188" spans="1:27" x14ac:dyDescent="0.35">
      <c r="A1188" s="13" t="s">
        <v>328</v>
      </c>
      <c r="B1188" s="13" t="s">
        <v>4450</v>
      </c>
      <c r="C1188" s="42">
        <f t="shared" si="18"/>
        <v>285.77669080000004</v>
      </c>
      <c r="D1188" s="14" t="s">
        <v>43</v>
      </c>
      <c r="E1188" s="14">
        <v>2</v>
      </c>
      <c r="F1188" s="14" t="s">
        <v>3983</v>
      </c>
      <c r="G1188" s="14">
        <f>(VLOOKUP(D1188,'[1]BOM Info General'!$A:$L,12,0))*E1188</f>
        <v>130.12</v>
      </c>
      <c r="H1188" s="15" t="s">
        <v>41</v>
      </c>
      <c r="I1188" s="15">
        <v>1</v>
      </c>
      <c r="J1188" s="15" t="s">
        <v>47</v>
      </c>
      <c r="K1188" s="15">
        <f>(VLOOKUP(H1188,'[1]BOM Info General'!$A:$L,12,0))*I1188</f>
        <v>27.18</v>
      </c>
      <c r="L1188" s="9" t="s">
        <v>85</v>
      </c>
      <c r="M1188" s="9">
        <v>1</v>
      </c>
      <c r="N1188" s="9" t="s">
        <v>82</v>
      </c>
      <c r="O1188" s="9">
        <f>(VLOOKUP(L1188,'[1]Simulation pricing per sub assy'!$D:$E,2,0))*M1188</f>
        <v>95.756400000000042</v>
      </c>
      <c r="P1188" s="16" t="s">
        <v>52</v>
      </c>
      <c r="Q1188" s="16">
        <v>8</v>
      </c>
      <c r="R1188" s="16" t="s">
        <v>18</v>
      </c>
      <c r="S1188" s="40">
        <f>(VLOOKUP(P1188,'[1]BOM Info General'!$A:$L,12,0))*Q1188</f>
        <v>21.2</v>
      </c>
      <c r="T1188" s="17" t="s">
        <v>26</v>
      </c>
      <c r="U1188" s="17">
        <v>1</v>
      </c>
      <c r="V1188" s="17" t="s">
        <v>27</v>
      </c>
      <c r="W1188" s="17">
        <f>(VLOOKUP(T1188,'[1]Simulation pricing per sub assy'!$D:$E,2,0))*U1188</f>
        <v>7.04</v>
      </c>
      <c r="X1188" s="18" t="s">
        <v>616</v>
      </c>
      <c r="Y1188" s="18">
        <v>1</v>
      </c>
      <c r="Z1188" s="18" t="s">
        <v>23</v>
      </c>
      <c r="AA1188" s="18">
        <f>(VLOOKUP(X1188,'[1]Simulation pricing per sub assy'!$D:$E,2,0))*Y1188</f>
        <v>4.4802908000000006</v>
      </c>
    </row>
    <row r="1189" spans="1:27" x14ac:dyDescent="0.35">
      <c r="A1189" s="13" t="s">
        <v>400</v>
      </c>
      <c r="B1189" s="13" t="s">
        <v>4451</v>
      </c>
      <c r="C1189" s="42">
        <f t="shared" si="18"/>
        <v>285.77669080000004</v>
      </c>
      <c r="D1189" s="14" t="s">
        <v>43</v>
      </c>
      <c r="E1189" s="14">
        <v>2</v>
      </c>
      <c r="F1189" s="14" t="s">
        <v>3983</v>
      </c>
      <c r="G1189" s="14">
        <f>(VLOOKUP(D1189,'[1]BOM Info General'!$A:$L,12,0))*E1189</f>
        <v>130.12</v>
      </c>
      <c r="H1189" s="15" t="s">
        <v>41</v>
      </c>
      <c r="I1189" s="15">
        <v>1</v>
      </c>
      <c r="J1189" s="15" t="s">
        <v>47</v>
      </c>
      <c r="K1189" s="15">
        <f>(VLOOKUP(H1189,'[1]BOM Info General'!$A:$L,12,0))*I1189</f>
        <v>27.18</v>
      </c>
      <c r="L1189" s="9" t="s">
        <v>81</v>
      </c>
      <c r="M1189" s="9">
        <v>1</v>
      </c>
      <c r="N1189" s="9" t="s">
        <v>80</v>
      </c>
      <c r="O1189" s="9">
        <f>(VLOOKUP(L1189,'[1]Simulation pricing per sub assy'!$D:$E,2,0))*M1189</f>
        <v>95.756400000000042</v>
      </c>
      <c r="P1189" s="16" t="s">
        <v>52</v>
      </c>
      <c r="Q1189" s="16">
        <v>8</v>
      </c>
      <c r="R1189" s="16" t="s">
        <v>18</v>
      </c>
      <c r="S1189" s="40">
        <f>(VLOOKUP(P1189,'[1]BOM Info General'!$A:$L,12,0))*Q1189</f>
        <v>21.2</v>
      </c>
      <c r="T1189" s="17" t="s">
        <v>26</v>
      </c>
      <c r="U1189" s="17">
        <v>1</v>
      </c>
      <c r="V1189" s="17" t="s">
        <v>27</v>
      </c>
      <c r="W1189" s="17">
        <f>(VLOOKUP(T1189,'[1]Simulation pricing per sub assy'!$D:$E,2,0))*U1189</f>
        <v>7.04</v>
      </c>
      <c r="X1189" s="18" t="s">
        <v>616</v>
      </c>
      <c r="Y1189" s="18">
        <v>1</v>
      </c>
      <c r="Z1189" s="18" t="s">
        <v>23</v>
      </c>
      <c r="AA1189" s="18">
        <f>(VLOOKUP(X1189,'[1]Simulation pricing per sub assy'!$D:$E,2,0))*Y1189</f>
        <v>4.4802908000000006</v>
      </c>
    </row>
    <row r="1190" spans="1:27" x14ac:dyDescent="0.35">
      <c r="A1190" s="13" t="s">
        <v>364</v>
      </c>
      <c r="B1190" s="13" t="s">
        <v>4452</v>
      </c>
      <c r="C1190" s="42">
        <f t="shared" si="18"/>
        <v>285.22669080000003</v>
      </c>
      <c r="D1190" s="14" t="s">
        <v>43</v>
      </c>
      <c r="E1190" s="14">
        <v>2</v>
      </c>
      <c r="F1190" s="14" t="s">
        <v>3983</v>
      </c>
      <c r="G1190" s="14">
        <f>(VLOOKUP(D1190,'[1]BOM Info General'!$A:$L,12,0))*E1190</f>
        <v>130.12</v>
      </c>
      <c r="H1190" s="15" t="s">
        <v>41</v>
      </c>
      <c r="I1190" s="15">
        <v>1</v>
      </c>
      <c r="J1190" s="15" t="s">
        <v>47</v>
      </c>
      <c r="K1190" s="15">
        <f>(VLOOKUP(H1190,'[1]BOM Info General'!$A:$L,12,0))*I1190</f>
        <v>27.18</v>
      </c>
      <c r="L1190" s="9" t="s">
        <v>87</v>
      </c>
      <c r="M1190" s="9">
        <v>1</v>
      </c>
      <c r="N1190" s="9" t="s">
        <v>84</v>
      </c>
      <c r="O1190" s="9">
        <f>(VLOOKUP(L1190,'[1]Simulation pricing per sub assy'!$D:$E,2,0))*M1190</f>
        <v>95.206400000000031</v>
      </c>
      <c r="P1190" s="16" t="s">
        <v>52</v>
      </c>
      <c r="Q1190" s="16">
        <v>8</v>
      </c>
      <c r="R1190" s="16" t="s">
        <v>18</v>
      </c>
      <c r="S1190" s="40">
        <f>(VLOOKUP(P1190,'[1]BOM Info General'!$A:$L,12,0))*Q1190</f>
        <v>21.2</v>
      </c>
      <c r="T1190" s="17" t="s">
        <v>26</v>
      </c>
      <c r="U1190" s="17">
        <v>1</v>
      </c>
      <c r="V1190" s="17" t="s">
        <v>27</v>
      </c>
      <c r="W1190" s="17">
        <f>(VLOOKUP(T1190,'[1]Simulation pricing per sub assy'!$D:$E,2,0))*U1190</f>
        <v>7.04</v>
      </c>
      <c r="X1190" s="18" t="s">
        <v>616</v>
      </c>
      <c r="Y1190" s="18">
        <v>1</v>
      </c>
      <c r="Z1190" s="18" t="s">
        <v>23</v>
      </c>
      <c r="AA1190" s="18">
        <f>(VLOOKUP(X1190,'[1]Simulation pricing per sub assy'!$D:$E,2,0))*Y1190</f>
        <v>4.4802908000000006</v>
      </c>
    </row>
    <row r="1191" spans="1:27" x14ac:dyDescent="0.35">
      <c r="A1191" s="13" t="s">
        <v>436</v>
      </c>
      <c r="B1191" s="13" t="s">
        <v>4453</v>
      </c>
      <c r="C1191" s="42">
        <f t="shared" si="18"/>
        <v>293.18669080000001</v>
      </c>
      <c r="D1191" s="14" t="s">
        <v>43</v>
      </c>
      <c r="E1191" s="14">
        <v>2</v>
      </c>
      <c r="F1191" s="14" t="s">
        <v>3983</v>
      </c>
      <c r="G1191" s="14">
        <f>(VLOOKUP(D1191,'[1]BOM Info General'!$A:$L,12,0))*E1191</f>
        <v>130.12</v>
      </c>
      <c r="H1191" s="15" t="s">
        <v>41</v>
      </c>
      <c r="I1191" s="15">
        <v>1</v>
      </c>
      <c r="J1191" s="15" t="s">
        <v>47</v>
      </c>
      <c r="K1191" s="15">
        <f>(VLOOKUP(H1191,'[1]BOM Info General'!$A:$L,12,0))*I1191</f>
        <v>27.18</v>
      </c>
      <c r="L1191" s="9" t="s">
        <v>83</v>
      </c>
      <c r="M1191" s="9">
        <v>1</v>
      </c>
      <c r="N1191" s="9" t="s">
        <v>86</v>
      </c>
      <c r="O1191" s="9">
        <f>(VLOOKUP(L1191,'[1]Simulation pricing per sub assy'!$D:$E,2,0))*M1191</f>
        <v>103.16640000000004</v>
      </c>
      <c r="P1191" s="16" t="s">
        <v>52</v>
      </c>
      <c r="Q1191" s="16">
        <v>8</v>
      </c>
      <c r="R1191" s="16" t="s">
        <v>18</v>
      </c>
      <c r="S1191" s="40">
        <f>(VLOOKUP(P1191,'[1]BOM Info General'!$A:$L,12,0))*Q1191</f>
        <v>21.2</v>
      </c>
      <c r="T1191" s="17" t="s">
        <v>26</v>
      </c>
      <c r="U1191" s="17">
        <v>1</v>
      </c>
      <c r="V1191" s="17" t="s">
        <v>27</v>
      </c>
      <c r="W1191" s="17">
        <f>(VLOOKUP(T1191,'[1]Simulation pricing per sub assy'!$D:$E,2,0))*U1191</f>
        <v>7.04</v>
      </c>
      <c r="X1191" s="18" t="s">
        <v>616</v>
      </c>
      <c r="Y1191" s="18">
        <v>1</v>
      </c>
      <c r="Z1191" s="18" t="s">
        <v>23</v>
      </c>
      <c r="AA1191" s="18">
        <f>(VLOOKUP(X1191,'[1]Simulation pricing per sub assy'!$D:$E,2,0))*Y1191</f>
        <v>4.4802908000000006</v>
      </c>
    </row>
    <row r="1192" spans="1:27" x14ac:dyDescent="0.35">
      <c r="A1192" s="13" t="s">
        <v>473</v>
      </c>
      <c r="B1192" s="13" t="s">
        <v>4454</v>
      </c>
      <c r="C1192" s="42">
        <f t="shared" si="18"/>
        <v>284.6366908</v>
      </c>
      <c r="D1192" s="14" t="s">
        <v>43</v>
      </c>
      <c r="E1192" s="14">
        <v>2</v>
      </c>
      <c r="F1192" s="14" t="s">
        <v>3983</v>
      </c>
      <c r="G1192" s="14">
        <f>(VLOOKUP(D1192,'[1]BOM Info General'!$A:$L,12,0))*E1192</f>
        <v>130.12</v>
      </c>
      <c r="H1192" s="15" t="s">
        <v>41</v>
      </c>
      <c r="I1192" s="15">
        <v>1</v>
      </c>
      <c r="J1192" s="15" t="s">
        <v>47</v>
      </c>
      <c r="K1192" s="15">
        <f>(VLOOKUP(H1192,'[1]BOM Info General'!$A:$L,12,0))*I1192</f>
        <v>27.18</v>
      </c>
      <c r="L1192" s="9" t="s">
        <v>528</v>
      </c>
      <c r="M1192" s="9">
        <v>1</v>
      </c>
      <c r="N1192" s="9" t="s">
        <v>88</v>
      </c>
      <c r="O1192" s="9">
        <f>(VLOOKUP(L1192,'[1]Simulation pricing per sub assy'!$D:$E,2,0))*M1192</f>
        <v>94.656400000000033</v>
      </c>
      <c r="P1192" s="16" t="s">
        <v>52</v>
      </c>
      <c r="Q1192" s="16">
        <v>8</v>
      </c>
      <c r="R1192" s="16" t="s">
        <v>18</v>
      </c>
      <c r="S1192" s="40">
        <f>(VLOOKUP(P1192,'[1]BOM Info General'!$A:$L,12,0))*Q1192</f>
        <v>21.2</v>
      </c>
      <c r="T1192" s="17" t="s">
        <v>28</v>
      </c>
      <c r="U1192" s="17">
        <v>1</v>
      </c>
      <c r="V1192" s="17" t="s">
        <v>29</v>
      </c>
      <c r="W1192" s="17">
        <f>(VLOOKUP(T1192,'[1]Simulation pricing per sub assy'!$D:$E,2,0))*U1192</f>
        <v>7</v>
      </c>
      <c r="X1192" s="18" t="s">
        <v>616</v>
      </c>
      <c r="Y1192" s="18">
        <v>1</v>
      </c>
      <c r="Z1192" s="18" t="s">
        <v>23</v>
      </c>
      <c r="AA1192" s="18">
        <f>(VLOOKUP(X1192,'[1]Simulation pricing per sub assy'!$D:$E,2,0))*Y1192</f>
        <v>4.4802908000000006</v>
      </c>
    </row>
    <row r="1193" spans="1:27" x14ac:dyDescent="0.35">
      <c r="A1193" s="13" t="s">
        <v>329</v>
      </c>
      <c r="B1193" s="13" t="s">
        <v>4455</v>
      </c>
      <c r="C1193" s="42">
        <f t="shared" si="18"/>
        <v>285.73669080000002</v>
      </c>
      <c r="D1193" s="14" t="s">
        <v>43</v>
      </c>
      <c r="E1193" s="14">
        <v>2</v>
      </c>
      <c r="F1193" s="14" t="s">
        <v>3983</v>
      </c>
      <c r="G1193" s="14">
        <f>(VLOOKUP(D1193,'[1]BOM Info General'!$A:$L,12,0))*E1193</f>
        <v>130.12</v>
      </c>
      <c r="H1193" s="15" t="s">
        <v>41</v>
      </c>
      <c r="I1193" s="15">
        <v>1</v>
      </c>
      <c r="J1193" s="15" t="s">
        <v>47</v>
      </c>
      <c r="K1193" s="15">
        <f>(VLOOKUP(H1193,'[1]BOM Info General'!$A:$L,12,0))*I1193</f>
        <v>27.18</v>
      </c>
      <c r="L1193" s="9" t="s">
        <v>85</v>
      </c>
      <c r="M1193" s="9">
        <v>1</v>
      </c>
      <c r="N1193" s="9" t="s">
        <v>82</v>
      </c>
      <c r="O1193" s="9">
        <f>(VLOOKUP(L1193,'[1]Simulation pricing per sub assy'!$D:$E,2,0))*M1193</f>
        <v>95.756400000000042</v>
      </c>
      <c r="P1193" s="16" t="s">
        <v>52</v>
      </c>
      <c r="Q1193" s="16">
        <v>8</v>
      </c>
      <c r="R1193" s="16" t="s">
        <v>18</v>
      </c>
      <c r="S1193" s="40">
        <f>(VLOOKUP(P1193,'[1]BOM Info General'!$A:$L,12,0))*Q1193</f>
        <v>21.2</v>
      </c>
      <c r="T1193" s="17" t="s">
        <v>28</v>
      </c>
      <c r="U1193" s="17">
        <v>1</v>
      </c>
      <c r="V1193" s="17" t="s">
        <v>29</v>
      </c>
      <c r="W1193" s="17">
        <f>(VLOOKUP(T1193,'[1]Simulation pricing per sub assy'!$D:$E,2,0))*U1193</f>
        <v>7</v>
      </c>
      <c r="X1193" s="18" t="s">
        <v>616</v>
      </c>
      <c r="Y1193" s="18">
        <v>1</v>
      </c>
      <c r="Z1193" s="18" t="s">
        <v>23</v>
      </c>
      <c r="AA1193" s="18">
        <f>(VLOOKUP(X1193,'[1]Simulation pricing per sub assy'!$D:$E,2,0))*Y1193</f>
        <v>4.4802908000000006</v>
      </c>
    </row>
    <row r="1194" spans="1:27" x14ac:dyDescent="0.35">
      <c r="A1194" s="13" t="s">
        <v>401</v>
      </c>
      <c r="B1194" s="13" t="s">
        <v>4456</v>
      </c>
      <c r="C1194" s="42">
        <f t="shared" si="18"/>
        <v>285.73669080000002</v>
      </c>
      <c r="D1194" s="14" t="s">
        <v>43</v>
      </c>
      <c r="E1194" s="14">
        <v>2</v>
      </c>
      <c r="F1194" s="14" t="s">
        <v>3983</v>
      </c>
      <c r="G1194" s="14">
        <f>(VLOOKUP(D1194,'[1]BOM Info General'!$A:$L,12,0))*E1194</f>
        <v>130.12</v>
      </c>
      <c r="H1194" s="15" t="s">
        <v>41</v>
      </c>
      <c r="I1194" s="15">
        <v>1</v>
      </c>
      <c r="J1194" s="15" t="s">
        <v>47</v>
      </c>
      <c r="K1194" s="15">
        <f>(VLOOKUP(H1194,'[1]BOM Info General'!$A:$L,12,0))*I1194</f>
        <v>27.18</v>
      </c>
      <c r="L1194" s="9" t="s">
        <v>81</v>
      </c>
      <c r="M1194" s="9">
        <v>1</v>
      </c>
      <c r="N1194" s="9" t="s">
        <v>80</v>
      </c>
      <c r="O1194" s="9">
        <f>(VLOOKUP(L1194,'[1]Simulation pricing per sub assy'!$D:$E,2,0))*M1194</f>
        <v>95.756400000000042</v>
      </c>
      <c r="P1194" s="16" t="s">
        <v>52</v>
      </c>
      <c r="Q1194" s="16">
        <v>8</v>
      </c>
      <c r="R1194" s="16" t="s">
        <v>18</v>
      </c>
      <c r="S1194" s="40">
        <f>(VLOOKUP(P1194,'[1]BOM Info General'!$A:$L,12,0))*Q1194</f>
        <v>21.2</v>
      </c>
      <c r="T1194" s="17" t="s">
        <v>28</v>
      </c>
      <c r="U1194" s="17">
        <v>1</v>
      </c>
      <c r="V1194" s="17" t="s">
        <v>29</v>
      </c>
      <c r="W1194" s="17">
        <f>(VLOOKUP(T1194,'[1]Simulation pricing per sub assy'!$D:$E,2,0))*U1194</f>
        <v>7</v>
      </c>
      <c r="X1194" s="18" t="s">
        <v>616</v>
      </c>
      <c r="Y1194" s="18">
        <v>1</v>
      </c>
      <c r="Z1194" s="18" t="s">
        <v>23</v>
      </c>
      <c r="AA1194" s="18">
        <f>(VLOOKUP(X1194,'[1]Simulation pricing per sub assy'!$D:$E,2,0))*Y1194</f>
        <v>4.4802908000000006</v>
      </c>
    </row>
    <row r="1195" spans="1:27" x14ac:dyDescent="0.35">
      <c r="A1195" s="13" t="s">
        <v>365</v>
      </c>
      <c r="B1195" s="13" t="s">
        <v>4457</v>
      </c>
      <c r="C1195" s="42">
        <f t="shared" si="18"/>
        <v>285.18669080000001</v>
      </c>
      <c r="D1195" s="14" t="s">
        <v>43</v>
      </c>
      <c r="E1195" s="14">
        <v>2</v>
      </c>
      <c r="F1195" s="14" t="s">
        <v>3983</v>
      </c>
      <c r="G1195" s="14">
        <f>(VLOOKUP(D1195,'[1]BOM Info General'!$A:$L,12,0))*E1195</f>
        <v>130.12</v>
      </c>
      <c r="H1195" s="15" t="s">
        <v>41</v>
      </c>
      <c r="I1195" s="15">
        <v>1</v>
      </c>
      <c r="J1195" s="15" t="s">
        <v>47</v>
      </c>
      <c r="K1195" s="15">
        <f>(VLOOKUP(H1195,'[1]BOM Info General'!$A:$L,12,0))*I1195</f>
        <v>27.18</v>
      </c>
      <c r="L1195" s="9" t="s">
        <v>87</v>
      </c>
      <c r="M1195" s="9">
        <v>1</v>
      </c>
      <c r="N1195" s="9" t="s">
        <v>84</v>
      </c>
      <c r="O1195" s="9">
        <f>(VLOOKUP(L1195,'[1]Simulation pricing per sub assy'!$D:$E,2,0))*M1195</f>
        <v>95.206400000000031</v>
      </c>
      <c r="P1195" s="16" t="s">
        <v>52</v>
      </c>
      <c r="Q1195" s="16">
        <v>8</v>
      </c>
      <c r="R1195" s="16" t="s">
        <v>18</v>
      </c>
      <c r="S1195" s="40">
        <f>(VLOOKUP(P1195,'[1]BOM Info General'!$A:$L,12,0))*Q1195</f>
        <v>21.2</v>
      </c>
      <c r="T1195" s="17" t="s">
        <v>28</v>
      </c>
      <c r="U1195" s="17">
        <v>1</v>
      </c>
      <c r="V1195" s="17" t="s">
        <v>29</v>
      </c>
      <c r="W1195" s="17">
        <f>(VLOOKUP(T1195,'[1]Simulation pricing per sub assy'!$D:$E,2,0))*U1195</f>
        <v>7</v>
      </c>
      <c r="X1195" s="18" t="s">
        <v>616</v>
      </c>
      <c r="Y1195" s="18">
        <v>1</v>
      </c>
      <c r="Z1195" s="18" t="s">
        <v>23</v>
      </c>
      <c r="AA1195" s="18">
        <f>(VLOOKUP(X1195,'[1]Simulation pricing per sub assy'!$D:$E,2,0))*Y1195</f>
        <v>4.4802908000000006</v>
      </c>
    </row>
    <row r="1196" spans="1:27" x14ac:dyDescent="0.35">
      <c r="A1196" s="13" t="s">
        <v>437</v>
      </c>
      <c r="B1196" s="13" t="s">
        <v>4458</v>
      </c>
      <c r="C1196" s="42">
        <f t="shared" si="18"/>
        <v>293.14669079999999</v>
      </c>
      <c r="D1196" s="14" t="s">
        <v>43</v>
      </c>
      <c r="E1196" s="14">
        <v>2</v>
      </c>
      <c r="F1196" s="14" t="s">
        <v>3983</v>
      </c>
      <c r="G1196" s="14">
        <f>(VLOOKUP(D1196,'[1]BOM Info General'!$A:$L,12,0))*E1196</f>
        <v>130.12</v>
      </c>
      <c r="H1196" s="15" t="s">
        <v>41</v>
      </c>
      <c r="I1196" s="15">
        <v>1</v>
      </c>
      <c r="J1196" s="15" t="s">
        <v>47</v>
      </c>
      <c r="K1196" s="15">
        <f>(VLOOKUP(H1196,'[1]BOM Info General'!$A:$L,12,0))*I1196</f>
        <v>27.18</v>
      </c>
      <c r="L1196" s="9" t="s">
        <v>83</v>
      </c>
      <c r="M1196" s="9">
        <v>1</v>
      </c>
      <c r="N1196" s="9" t="s">
        <v>86</v>
      </c>
      <c r="O1196" s="9">
        <f>(VLOOKUP(L1196,'[1]Simulation pricing per sub assy'!$D:$E,2,0))*M1196</f>
        <v>103.16640000000004</v>
      </c>
      <c r="P1196" s="16" t="s">
        <v>52</v>
      </c>
      <c r="Q1196" s="16">
        <v>8</v>
      </c>
      <c r="R1196" s="16" t="s">
        <v>18</v>
      </c>
      <c r="S1196" s="40">
        <f>(VLOOKUP(P1196,'[1]BOM Info General'!$A:$L,12,0))*Q1196</f>
        <v>21.2</v>
      </c>
      <c r="T1196" s="17" t="s">
        <v>28</v>
      </c>
      <c r="U1196" s="17">
        <v>1</v>
      </c>
      <c r="V1196" s="17" t="s">
        <v>29</v>
      </c>
      <c r="W1196" s="17">
        <f>(VLOOKUP(T1196,'[1]Simulation pricing per sub assy'!$D:$E,2,0))*U1196</f>
        <v>7</v>
      </c>
      <c r="X1196" s="18" t="s">
        <v>616</v>
      </c>
      <c r="Y1196" s="18">
        <v>1</v>
      </c>
      <c r="Z1196" s="18" t="s">
        <v>23</v>
      </c>
      <c r="AA1196" s="18">
        <f>(VLOOKUP(X1196,'[1]Simulation pricing per sub assy'!$D:$E,2,0))*Y1196</f>
        <v>4.4802908000000006</v>
      </c>
    </row>
    <row r="1197" spans="1:27" x14ac:dyDescent="0.35">
      <c r="A1197" s="13" t="s">
        <v>610</v>
      </c>
      <c r="B1197" s="13" t="s">
        <v>4459</v>
      </c>
      <c r="C1197" s="42">
        <f t="shared" si="18"/>
        <v>286.1966908</v>
      </c>
      <c r="D1197" s="14" t="s">
        <v>43</v>
      </c>
      <c r="E1197" s="14">
        <v>2</v>
      </c>
      <c r="F1197" s="14" t="s">
        <v>3983</v>
      </c>
      <c r="G1197" s="14">
        <f>(VLOOKUP(D1197,'[1]BOM Info General'!$A:$L,12,0))*E1197</f>
        <v>130.12</v>
      </c>
      <c r="H1197" s="15" t="s">
        <v>41</v>
      </c>
      <c r="I1197" s="15">
        <v>1</v>
      </c>
      <c r="J1197" s="15" t="s">
        <v>47</v>
      </c>
      <c r="K1197" s="15">
        <f>(VLOOKUP(H1197,'[1]BOM Info General'!$A:$L,12,0))*I1197</f>
        <v>27.18</v>
      </c>
      <c r="L1197" s="9" t="s">
        <v>528</v>
      </c>
      <c r="M1197" s="9">
        <v>1</v>
      </c>
      <c r="N1197" s="9" t="s">
        <v>88</v>
      </c>
      <c r="O1197" s="9">
        <f>(VLOOKUP(L1197,'[1]Simulation pricing per sub assy'!$D:$E,2,0))*M1197</f>
        <v>94.656400000000033</v>
      </c>
      <c r="P1197" s="16" t="s">
        <v>50</v>
      </c>
      <c r="Q1197" s="16">
        <v>8</v>
      </c>
      <c r="R1197" s="16" t="s">
        <v>611</v>
      </c>
      <c r="S1197" s="40">
        <f>(VLOOKUP(P1197,'[1]BOM Info General'!$A:$L,12,0))*Q1197</f>
        <v>21.2</v>
      </c>
      <c r="T1197" s="17" t="s">
        <v>30</v>
      </c>
      <c r="U1197" s="17">
        <v>1</v>
      </c>
      <c r="V1197" s="17" t="s">
        <v>31</v>
      </c>
      <c r="W1197" s="17">
        <f>(VLOOKUP(T1197,'[1]Simulation pricing per sub assy'!$D:$E,2,0))*U1197</f>
        <v>8.5599999999999987</v>
      </c>
      <c r="X1197" s="18" t="s">
        <v>616</v>
      </c>
      <c r="Y1197" s="18">
        <v>1</v>
      </c>
      <c r="Z1197" s="18" t="s">
        <v>23</v>
      </c>
      <c r="AA1197" s="18">
        <f>(VLOOKUP(X1197,'[1]Simulation pricing per sub assy'!$D:$E,2,0))*Y1197</f>
        <v>4.4802908000000006</v>
      </c>
    </row>
    <row r="1198" spans="1:27" x14ac:dyDescent="0.35">
      <c r="A1198" s="13" t="s">
        <v>606</v>
      </c>
      <c r="B1198" s="13" t="s">
        <v>4460</v>
      </c>
      <c r="C1198" s="42">
        <f t="shared" si="18"/>
        <v>287.29669080000002</v>
      </c>
      <c r="D1198" s="14" t="s">
        <v>43</v>
      </c>
      <c r="E1198" s="14">
        <v>2</v>
      </c>
      <c r="F1198" s="14" t="s">
        <v>3983</v>
      </c>
      <c r="G1198" s="14">
        <f>(VLOOKUP(D1198,'[1]BOM Info General'!$A:$L,12,0))*E1198</f>
        <v>130.12</v>
      </c>
      <c r="H1198" s="15" t="s">
        <v>41</v>
      </c>
      <c r="I1198" s="15">
        <v>1</v>
      </c>
      <c r="J1198" s="15" t="s">
        <v>47</v>
      </c>
      <c r="K1198" s="15">
        <f>(VLOOKUP(H1198,'[1]BOM Info General'!$A:$L,12,0))*I1198</f>
        <v>27.18</v>
      </c>
      <c r="L1198" s="9" t="s">
        <v>85</v>
      </c>
      <c r="M1198" s="9">
        <v>1</v>
      </c>
      <c r="N1198" s="9" t="s">
        <v>82</v>
      </c>
      <c r="O1198" s="9">
        <f>(VLOOKUP(L1198,'[1]Simulation pricing per sub assy'!$D:$E,2,0))*M1198</f>
        <v>95.756400000000042</v>
      </c>
      <c r="P1198" s="16" t="s">
        <v>50</v>
      </c>
      <c r="Q1198" s="16">
        <v>8</v>
      </c>
      <c r="R1198" s="16" t="s">
        <v>611</v>
      </c>
      <c r="S1198" s="40">
        <f>(VLOOKUP(P1198,'[1]BOM Info General'!$A:$L,12,0))*Q1198</f>
        <v>21.2</v>
      </c>
      <c r="T1198" s="17" t="s">
        <v>30</v>
      </c>
      <c r="U1198" s="17">
        <v>1</v>
      </c>
      <c r="V1198" s="17" t="s">
        <v>31</v>
      </c>
      <c r="W1198" s="17">
        <f>(VLOOKUP(T1198,'[1]Simulation pricing per sub assy'!$D:$E,2,0))*U1198</f>
        <v>8.5599999999999987</v>
      </c>
      <c r="X1198" s="18" t="s">
        <v>616</v>
      </c>
      <c r="Y1198" s="18">
        <v>1</v>
      </c>
      <c r="Z1198" s="18" t="s">
        <v>23</v>
      </c>
      <c r="AA1198" s="18">
        <f>(VLOOKUP(X1198,'[1]Simulation pricing per sub assy'!$D:$E,2,0))*Y1198</f>
        <v>4.4802908000000006</v>
      </c>
    </row>
    <row r="1199" spans="1:27" x14ac:dyDescent="0.35">
      <c r="A1199" s="13" t="s">
        <v>608</v>
      </c>
      <c r="B1199" s="13" t="s">
        <v>4461</v>
      </c>
      <c r="C1199" s="42">
        <f t="shared" si="18"/>
        <v>287.29669080000002</v>
      </c>
      <c r="D1199" s="14" t="s">
        <v>43</v>
      </c>
      <c r="E1199" s="14">
        <v>2</v>
      </c>
      <c r="F1199" s="14" t="s">
        <v>3983</v>
      </c>
      <c r="G1199" s="14">
        <f>(VLOOKUP(D1199,'[1]BOM Info General'!$A:$L,12,0))*E1199</f>
        <v>130.12</v>
      </c>
      <c r="H1199" s="15" t="s">
        <v>41</v>
      </c>
      <c r="I1199" s="15">
        <v>1</v>
      </c>
      <c r="J1199" s="15" t="s">
        <v>47</v>
      </c>
      <c r="K1199" s="15">
        <f>(VLOOKUP(H1199,'[1]BOM Info General'!$A:$L,12,0))*I1199</f>
        <v>27.18</v>
      </c>
      <c r="L1199" s="9" t="s">
        <v>81</v>
      </c>
      <c r="M1199" s="9">
        <v>1</v>
      </c>
      <c r="N1199" s="9" t="s">
        <v>80</v>
      </c>
      <c r="O1199" s="9">
        <f>(VLOOKUP(L1199,'[1]Simulation pricing per sub assy'!$D:$E,2,0))*M1199</f>
        <v>95.756400000000042</v>
      </c>
      <c r="P1199" s="16" t="s">
        <v>50</v>
      </c>
      <c r="Q1199" s="16">
        <v>8</v>
      </c>
      <c r="R1199" s="16" t="s">
        <v>611</v>
      </c>
      <c r="S1199" s="40">
        <f>(VLOOKUP(P1199,'[1]BOM Info General'!$A:$L,12,0))*Q1199</f>
        <v>21.2</v>
      </c>
      <c r="T1199" s="17" t="s">
        <v>30</v>
      </c>
      <c r="U1199" s="17">
        <v>1</v>
      </c>
      <c r="V1199" s="17" t="s">
        <v>31</v>
      </c>
      <c r="W1199" s="17">
        <f>(VLOOKUP(T1199,'[1]Simulation pricing per sub assy'!$D:$E,2,0))*U1199</f>
        <v>8.5599999999999987</v>
      </c>
      <c r="X1199" s="18" t="s">
        <v>616</v>
      </c>
      <c r="Y1199" s="18">
        <v>1</v>
      </c>
      <c r="Z1199" s="18" t="s">
        <v>23</v>
      </c>
      <c r="AA1199" s="18">
        <f>(VLOOKUP(X1199,'[1]Simulation pricing per sub assy'!$D:$E,2,0))*Y1199</f>
        <v>4.4802908000000006</v>
      </c>
    </row>
    <row r="1200" spans="1:27" x14ac:dyDescent="0.35">
      <c r="A1200" s="13" t="s">
        <v>607</v>
      </c>
      <c r="B1200" s="13" t="s">
        <v>4462</v>
      </c>
      <c r="C1200" s="42">
        <f t="shared" si="18"/>
        <v>286.74669080000001</v>
      </c>
      <c r="D1200" s="14" t="s">
        <v>43</v>
      </c>
      <c r="E1200" s="14">
        <v>2</v>
      </c>
      <c r="F1200" s="14" t="s">
        <v>3983</v>
      </c>
      <c r="G1200" s="14">
        <f>(VLOOKUP(D1200,'[1]BOM Info General'!$A:$L,12,0))*E1200</f>
        <v>130.12</v>
      </c>
      <c r="H1200" s="15" t="s">
        <v>41</v>
      </c>
      <c r="I1200" s="15">
        <v>1</v>
      </c>
      <c r="J1200" s="15" t="s">
        <v>47</v>
      </c>
      <c r="K1200" s="15">
        <f>(VLOOKUP(H1200,'[1]BOM Info General'!$A:$L,12,0))*I1200</f>
        <v>27.18</v>
      </c>
      <c r="L1200" s="9" t="s">
        <v>87</v>
      </c>
      <c r="M1200" s="9">
        <v>1</v>
      </c>
      <c r="N1200" s="9" t="s">
        <v>84</v>
      </c>
      <c r="O1200" s="9">
        <f>(VLOOKUP(L1200,'[1]Simulation pricing per sub assy'!$D:$E,2,0))*M1200</f>
        <v>95.206400000000031</v>
      </c>
      <c r="P1200" s="16" t="s">
        <v>50</v>
      </c>
      <c r="Q1200" s="16">
        <v>8</v>
      </c>
      <c r="R1200" s="16" t="s">
        <v>611</v>
      </c>
      <c r="S1200" s="40">
        <f>(VLOOKUP(P1200,'[1]BOM Info General'!$A:$L,12,0))*Q1200</f>
        <v>21.2</v>
      </c>
      <c r="T1200" s="17" t="s">
        <v>30</v>
      </c>
      <c r="U1200" s="17">
        <v>1</v>
      </c>
      <c r="V1200" s="17" t="s">
        <v>31</v>
      </c>
      <c r="W1200" s="17">
        <f>(VLOOKUP(T1200,'[1]Simulation pricing per sub assy'!$D:$E,2,0))*U1200</f>
        <v>8.5599999999999987</v>
      </c>
      <c r="X1200" s="18" t="s">
        <v>616</v>
      </c>
      <c r="Y1200" s="18">
        <v>1</v>
      </c>
      <c r="Z1200" s="18" t="s">
        <v>23</v>
      </c>
      <c r="AA1200" s="18">
        <f>(VLOOKUP(X1200,'[1]Simulation pricing per sub assy'!$D:$E,2,0))*Y1200</f>
        <v>4.4802908000000006</v>
      </c>
    </row>
    <row r="1201" spans="1:27" x14ac:dyDescent="0.35">
      <c r="A1201" s="13" t="s">
        <v>609</v>
      </c>
      <c r="B1201" s="13" t="s">
        <v>4463</v>
      </c>
      <c r="C1201" s="42">
        <f t="shared" si="18"/>
        <v>294.70669079999999</v>
      </c>
      <c r="D1201" s="14" t="s">
        <v>43</v>
      </c>
      <c r="E1201" s="14">
        <v>2</v>
      </c>
      <c r="F1201" s="14" t="s">
        <v>3983</v>
      </c>
      <c r="G1201" s="14">
        <f>(VLOOKUP(D1201,'[1]BOM Info General'!$A:$L,12,0))*E1201</f>
        <v>130.12</v>
      </c>
      <c r="H1201" s="15" t="s">
        <v>41</v>
      </c>
      <c r="I1201" s="15">
        <v>1</v>
      </c>
      <c r="J1201" s="15" t="s">
        <v>47</v>
      </c>
      <c r="K1201" s="15">
        <f>(VLOOKUP(H1201,'[1]BOM Info General'!$A:$L,12,0))*I1201</f>
        <v>27.18</v>
      </c>
      <c r="L1201" s="9" t="s">
        <v>83</v>
      </c>
      <c r="M1201" s="9">
        <v>1</v>
      </c>
      <c r="N1201" s="9" t="s">
        <v>86</v>
      </c>
      <c r="O1201" s="9">
        <f>(VLOOKUP(L1201,'[1]Simulation pricing per sub assy'!$D:$E,2,0))*M1201</f>
        <v>103.16640000000004</v>
      </c>
      <c r="P1201" s="16" t="s">
        <v>50</v>
      </c>
      <c r="Q1201" s="16">
        <v>8</v>
      </c>
      <c r="R1201" s="16" t="s">
        <v>611</v>
      </c>
      <c r="S1201" s="40">
        <f>(VLOOKUP(P1201,'[1]BOM Info General'!$A:$L,12,0))*Q1201</f>
        <v>21.2</v>
      </c>
      <c r="T1201" s="17" t="s">
        <v>30</v>
      </c>
      <c r="U1201" s="17">
        <v>1</v>
      </c>
      <c r="V1201" s="17" t="s">
        <v>31</v>
      </c>
      <c r="W1201" s="17">
        <f>(VLOOKUP(T1201,'[1]Simulation pricing per sub assy'!$D:$E,2,0))*U1201</f>
        <v>8.5599999999999987</v>
      </c>
      <c r="X1201" s="18" t="s">
        <v>616</v>
      </c>
      <c r="Y1201" s="18">
        <v>1</v>
      </c>
      <c r="Z1201" s="18" t="s">
        <v>23</v>
      </c>
      <c r="AA1201" s="18">
        <f>(VLOOKUP(X1201,'[1]Simulation pricing per sub assy'!$D:$E,2,0))*Y1201</f>
        <v>4.4802908000000006</v>
      </c>
    </row>
    <row r="1202" spans="1:27" x14ac:dyDescent="0.35">
      <c r="A1202" s="27" t="s">
        <v>2057</v>
      </c>
      <c r="B1202" s="27" t="s">
        <v>4464</v>
      </c>
      <c r="C1202" s="42">
        <f t="shared" si="18"/>
        <v>117.8700108</v>
      </c>
      <c r="D1202" s="28" t="s">
        <v>2058</v>
      </c>
      <c r="E1202" s="28">
        <v>1</v>
      </c>
      <c r="F1202" s="28" t="s">
        <v>2059</v>
      </c>
      <c r="G1202" s="14">
        <f>(VLOOKUP(D1202,'[1]BOM Info General'!$A:$L,12,0))*E1202</f>
        <v>35.56</v>
      </c>
      <c r="H1202" s="29" t="s">
        <v>39</v>
      </c>
      <c r="I1202" s="29">
        <v>1</v>
      </c>
      <c r="J1202" s="29" t="s">
        <v>46</v>
      </c>
      <c r="K1202" s="15">
        <f>(VLOOKUP(H1202,'[1]BOM Info General'!$A:$L,12,0))*I1202</f>
        <v>24.42</v>
      </c>
      <c r="L1202" s="26" t="s">
        <v>525</v>
      </c>
      <c r="M1202" s="26">
        <v>1</v>
      </c>
      <c r="N1202" s="26" t="s">
        <v>97</v>
      </c>
      <c r="O1202" s="9">
        <f>(VLOOKUP(L1202,'[1]Simulation pricing per sub assy'!$D:$E,2,0))*M1202</f>
        <v>48.118799999999993</v>
      </c>
      <c r="P1202" s="30">
        <v>0</v>
      </c>
      <c r="Q1202" s="30">
        <v>0</v>
      </c>
      <c r="R1202" s="30" t="e">
        <v>#N/A</v>
      </c>
      <c r="S1202" s="40">
        <v>0</v>
      </c>
      <c r="T1202" s="31" t="s">
        <v>32</v>
      </c>
      <c r="U1202" s="31">
        <v>1</v>
      </c>
      <c r="V1202" s="31" t="s">
        <v>33</v>
      </c>
      <c r="W1202" s="17">
        <f>(VLOOKUP(T1202,'[1]Simulation pricing per sub assy'!$D:$E,2,0))*U1202</f>
        <v>8.51</v>
      </c>
      <c r="X1202" s="32" t="s">
        <v>613</v>
      </c>
      <c r="Y1202" s="32">
        <v>1</v>
      </c>
      <c r="Z1202" s="32" t="s">
        <v>34</v>
      </c>
      <c r="AA1202" s="18">
        <f>(VLOOKUP(X1202,'[1]Simulation pricing per sub assy'!$D:$E,2,0))*Y1202</f>
        <v>1.2612108000000002</v>
      </c>
    </row>
    <row r="1203" spans="1:27" x14ac:dyDescent="0.35">
      <c r="A1203" s="27" t="s">
        <v>2060</v>
      </c>
      <c r="B1203" s="27" t="s">
        <v>4465</v>
      </c>
      <c r="C1203" s="42">
        <f t="shared" si="18"/>
        <v>112.7500108</v>
      </c>
      <c r="D1203" s="28" t="s">
        <v>2058</v>
      </c>
      <c r="E1203" s="28">
        <v>1</v>
      </c>
      <c r="F1203" s="28" t="s">
        <v>2059</v>
      </c>
      <c r="G1203" s="14">
        <f>(VLOOKUP(D1203,'[1]BOM Info General'!$A:$L,12,0))*E1203</f>
        <v>35.56</v>
      </c>
      <c r="H1203" s="29" t="s">
        <v>39</v>
      </c>
      <c r="I1203" s="29">
        <v>1</v>
      </c>
      <c r="J1203" s="29" t="s">
        <v>46</v>
      </c>
      <c r="K1203" s="15">
        <f>(VLOOKUP(H1203,'[1]BOM Info General'!$A:$L,12,0))*I1203</f>
        <v>24.42</v>
      </c>
      <c r="L1203" s="26" t="s">
        <v>94</v>
      </c>
      <c r="M1203" s="26">
        <v>1</v>
      </c>
      <c r="N1203" s="26" t="s">
        <v>91</v>
      </c>
      <c r="O1203" s="9">
        <f>(VLOOKUP(L1203,'[1]Simulation pricing per sub assy'!$D:$E,2,0))*M1203</f>
        <v>42.998799999999989</v>
      </c>
      <c r="P1203" s="30">
        <v>0</v>
      </c>
      <c r="Q1203" s="30">
        <v>0</v>
      </c>
      <c r="R1203" s="30" t="e">
        <v>#N/A</v>
      </c>
      <c r="S1203" s="40">
        <v>0</v>
      </c>
      <c r="T1203" s="31" t="s">
        <v>32</v>
      </c>
      <c r="U1203" s="31">
        <v>1</v>
      </c>
      <c r="V1203" s="31" t="s">
        <v>33</v>
      </c>
      <c r="W1203" s="17">
        <f>(VLOOKUP(T1203,'[1]Simulation pricing per sub assy'!$D:$E,2,0))*U1203</f>
        <v>8.51</v>
      </c>
      <c r="X1203" s="32" t="s">
        <v>613</v>
      </c>
      <c r="Y1203" s="32">
        <v>1</v>
      </c>
      <c r="Z1203" s="32" t="s">
        <v>34</v>
      </c>
      <c r="AA1203" s="18">
        <f>(VLOOKUP(X1203,'[1]Simulation pricing per sub assy'!$D:$E,2,0))*Y1203</f>
        <v>1.2612108000000002</v>
      </c>
    </row>
    <row r="1204" spans="1:27" x14ac:dyDescent="0.35">
      <c r="A1204" s="27" t="s">
        <v>2061</v>
      </c>
      <c r="B1204" s="27" t="s">
        <v>4466</v>
      </c>
      <c r="C1204" s="42">
        <f t="shared" si="18"/>
        <v>112.8700108</v>
      </c>
      <c r="D1204" s="28" t="s">
        <v>2058</v>
      </c>
      <c r="E1204" s="28">
        <v>1</v>
      </c>
      <c r="F1204" s="28" t="s">
        <v>2059</v>
      </c>
      <c r="G1204" s="14">
        <f>(VLOOKUP(D1204,'[1]BOM Info General'!$A:$L,12,0))*E1204</f>
        <v>35.56</v>
      </c>
      <c r="H1204" s="29" t="s">
        <v>39</v>
      </c>
      <c r="I1204" s="29">
        <v>1</v>
      </c>
      <c r="J1204" s="29" t="s">
        <v>46</v>
      </c>
      <c r="K1204" s="15">
        <f>(VLOOKUP(H1204,'[1]BOM Info General'!$A:$L,12,0))*I1204</f>
        <v>24.42</v>
      </c>
      <c r="L1204" s="26" t="s">
        <v>90</v>
      </c>
      <c r="M1204" s="26">
        <v>1</v>
      </c>
      <c r="N1204" s="26" t="s">
        <v>89</v>
      </c>
      <c r="O1204" s="9">
        <f>(VLOOKUP(L1204,'[1]Simulation pricing per sub assy'!$D:$E,2,0))*M1204</f>
        <v>43.118799999999993</v>
      </c>
      <c r="P1204" s="30">
        <v>0</v>
      </c>
      <c r="Q1204" s="30">
        <v>0</v>
      </c>
      <c r="R1204" s="30" t="e">
        <v>#N/A</v>
      </c>
      <c r="S1204" s="40">
        <v>0</v>
      </c>
      <c r="T1204" s="31" t="s">
        <v>32</v>
      </c>
      <c r="U1204" s="31">
        <v>1</v>
      </c>
      <c r="V1204" s="31" t="s">
        <v>33</v>
      </c>
      <c r="W1204" s="17">
        <f>(VLOOKUP(T1204,'[1]Simulation pricing per sub assy'!$D:$E,2,0))*U1204</f>
        <v>8.51</v>
      </c>
      <c r="X1204" s="32" t="s">
        <v>613</v>
      </c>
      <c r="Y1204" s="32">
        <v>1</v>
      </c>
      <c r="Z1204" s="32" t="s">
        <v>34</v>
      </c>
      <c r="AA1204" s="18">
        <f>(VLOOKUP(X1204,'[1]Simulation pricing per sub assy'!$D:$E,2,0))*Y1204</f>
        <v>1.2612108000000002</v>
      </c>
    </row>
    <row r="1205" spans="1:27" x14ac:dyDescent="0.35">
      <c r="A1205" s="27" t="s">
        <v>2062</v>
      </c>
      <c r="B1205" s="27" t="s">
        <v>4467</v>
      </c>
      <c r="C1205" s="42">
        <f t="shared" si="18"/>
        <v>112.7200108</v>
      </c>
      <c r="D1205" s="28" t="s">
        <v>2058</v>
      </c>
      <c r="E1205" s="28">
        <v>1</v>
      </c>
      <c r="F1205" s="28" t="s">
        <v>2059</v>
      </c>
      <c r="G1205" s="14">
        <f>(VLOOKUP(D1205,'[1]BOM Info General'!$A:$L,12,0))*E1205</f>
        <v>35.56</v>
      </c>
      <c r="H1205" s="29" t="s">
        <v>39</v>
      </c>
      <c r="I1205" s="29">
        <v>1</v>
      </c>
      <c r="J1205" s="29" t="s">
        <v>46</v>
      </c>
      <c r="K1205" s="15">
        <f>(VLOOKUP(H1205,'[1]BOM Info General'!$A:$L,12,0))*I1205</f>
        <v>24.42</v>
      </c>
      <c r="L1205" s="26" t="s">
        <v>96</v>
      </c>
      <c r="M1205" s="26">
        <v>1</v>
      </c>
      <c r="N1205" s="26" t="s">
        <v>93</v>
      </c>
      <c r="O1205" s="9">
        <f>(VLOOKUP(L1205,'[1]Simulation pricing per sub assy'!$D:$E,2,0))*M1205</f>
        <v>42.968799999999987</v>
      </c>
      <c r="P1205" s="30">
        <v>0</v>
      </c>
      <c r="Q1205" s="30">
        <v>0</v>
      </c>
      <c r="R1205" s="30" t="e">
        <v>#N/A</v>
      </c>
      <c r="S1205" s="40">
        <v>0</v>
      </c>
      <c r="T1205" s="31" t="s">
        <v>32</v>
      </c>
      <c r="U1205" s="31">
        <v>1</v>
      </c>
      <c r="V1205" s="31" t="s">
        <v>33</v>
      </c>
      <c r="W1205" s="17">
        <f>(VLOOKUP(T1205,'[1]Simulation pricing per sub assy'!$D:$E,2,0))*U1205</f>
        <v>8.51</v>
      </c>
      <c r="X1205" s="32" t="s">
        <v>613</v>
      </c>
      <c r="Y1205" s="32">
        <v>1</v>
      </c>
      <c r="Z1205" s="32" t="s">
        <v>34</v>
      </c>
      <c r="AA1205" s="18">
        <f>(VLOOKUP(X1205,'[1]Simulation pricing per sub assy'!$D:$E,2,0))*Y1205</f>
        <v>1.2612108000000002</v>
      </c>
    </row>
    <row r="1206" spans="1:27" x14ac:dyDescent="0.35">
      <c r="A1206" s="27" t="s">
        <v>2063</v>
      </c>
      <c r="B1206" s="27" t="s">
        <v>4468</v>
      </c>
      <c r="C1206" s="42">
        <f t="shared" si="18"/>
        <v>112.8700108</v>
      </c>
      <c r="D1206" s="28" t="s">
        <v>2058</v>
      </c>
      <c r="E1206" s="28">
        <v>1</v>
      </c>
      <c r="F1206" s="28" t="s">
        <v>2059</v>
      </c>
      <c r="G1206" s="14">
        <f>(VLOOKUP(D1206,'[1]BOM Info General'!$A:$L,12,0))*E1206</f>
        <v>35.56</v>
      </c>
      <c r="H1206" s="29" t="s">
        <v>39</v>
      </c>
      <c r="I1206" s="29">
        <v>1</v>
      </c>
      <c r="J1206" s="29" t="s">
        <v>46</v>
      </c>
      <c r="K1206" s="15">
        <f>(VLOOKUP(H1206,'[1]BOM Info General'!$A:$L,12,0))*I1206</f>
        <v>24.42</v>
      </c>
      <c r="L1206" s="26" t="s">
        <v>92</v>
      </c>
      <c r="M1206" s="26">
        <v>1</v>
      </c>
      <c r="N1206" s="26" t="s">
        <v>95</v>
      </c>
      <c r="O1206" s="9">
        <f>(VLOOKUP(L1206,'[1]Simulation pricing per sub assy'!$D:$E,2,0))*M1206</f>
        <v>43.118799999999993</v>
      </c>
      <c r="P1206" s="30">
        <v>0</v>
      </c>
      <c r="Q1206" s="30">
        <v>0</v>
      </c>
      <c r="R1206" s="30" t="e">
        <v>#N/A</v>
      </c>
      <c r="S1206" s="40">
        <v>0</v>
      </c>
      <c r="T1206" s="31" t="s">
        <v>32</v>
      </c>
      <c r="U1206" s="31">
        <v>1</v>
      </c>
      <c r="V1206" s="31" t="s">
        <v>33</v>
      </c>
      <c r="W1206" s="17">
        <f>(VLOOKUP(T1206,'[1]Simulation pricing per sub assy'!$D:$E,2,0))*U1206</f>
        <v>8.51</v>
      </c>
      <c r="X1206" s="32" t="s">
        <v>613</v>
      </c>
      <c r="Y1206" s="32">
        <v>1</v>
      </c>
      <c r="Z1206" s="32" t="s">
        <v>34</v>
      </c>
      <c r="AA1206" s="18">
        <f>(VLOOKUP(X1206,'[1]Simulation pricing per sub assy'!$D:$E,2,0))*Y1206</f>
        <v>1.2612108000000002</v>
      </c>
    </row>
    <row r="1207" spans="1:27" x14ac:dyDescent="0.35">
      <c r="A1207" s="27" t="s">
        <v>2064</v>
      </c>
      <c r="B1207" s="27" t="s">
        <v>2065</v>
      </c>
      <c r="C1207" s="42">
        <f t="shared" si="18"/>
        <v>117.8700108</v>
      </c>
      <c r="D1207" s="33" t="s">
        <v>2058</v>
      </c>
      <c r="E1207" s="33">
        <v>1</v>
      </c>
      <c r="F1207" s="33" t="s">
        <v>2059</v>
      </c>
      <c r="G1207" s="14">
        <f>(VLOOKUP(D1207,'[1]BOM Info General'!$A:$L,12,0))*E1207</f>
        <v>35.56</v>
      </c>
      <c r="H1207" s="34" t="s">
        <v>39</v>
      </c>
      <c r="I1207" s="34">
        <v>1</v>
      </c>
      <c r="J1207" s="34" t="s">
        <v>46</v>
      </c>
      <c r="K1207" s="15">
        <f>(VLOOKUP(H1207,'[1]BOM Info General'!$A:$L,12,0))*I1207</f>
        <v>24.42</v>
      </c>
      <c r="L1207" s="35" t="s">
        <v>525</v>
      </c>
      <c r="M1207" s="35">
        <v>1</v>
      </c>
      <c r="N1207" s="35" t="s">
        <v>97</v>
      </c>
      <c r="O1207" s="9">
        <f>(VLOOKUP(L1207,'[1]Simulation pricing per sub assy'!$D:$E,2,0))*M1207</f>
        <v>48.118799999999993</v>
      </c>
      <c r="P1207" s="36">
        <v>0</v>
      </c>
      <c r="Q1207" s="36">
        <v>0</v>
      </c>
      <c r="R1207" s="36" t="e">
        <v>#N/A</v>
      </c>
      <c r="S1207" s="40">
        <v>0</v>
      </c>
      <c r="T1207" s="37" t="s">
        <v>32</v>
      </c>
      <c r="U1207" s="37">
        <v>1</v>
      </c>
      <c r="V1207" s="37" t="s">
        <v>33</v>
      </c>
      <c r="W1207" s="17">
        <f>(VLOOKUP(T1207,'[1]Simulation pricing per sub assy'!$D:$E,2,0))*U1207</f>
        <v>8.51</v>
      </c>
      <c r="X1207" s="32" t="s">
        <v>613</v>
      </c>
      <c r="Y1207" s="38">
        <v>1</v>
      </c>
      <c r="Z1207" s="38" t="s">
        <v>34</v>
      </c>
      <c r="AA1207" s="18">
        <f>(VLOOKUP(X1207,'[1]Simulation pricing per sub assy'!$D:$E,2,0))*Y1207</f>
        <v>1.2612108000000002</v>
      </c>
    </row>
    <row r="1208" spans="1:27" x14ac:dyDescent="0.35">
      <c r="A1208" s="27" t="s">
        <v>2066</v>
      </c>
      <c r="B1208" s="27" t="s">
        <v>2067</v>
      </c>
      <c r="C1208" s="42">
        <f t="shared" si="18"/>
        <v>112.7500108</v>
      </c>
      <c r="D1208" s="33" t="s">
        <v>2058</v>
      </c>
      <c r="E1208" s="33">
        <v>1</v>
      </c>
      <c r="F1208" s="33" t="s">
        <v>2059</v>
      </c>
      <c r="G1208" s="14">
        <f>(VLOOKUP(D1208,'[1]BOM Info General'!$A:$L,12,0))*E1208</f>
        <v>35.56</v>
      </c>
      <c r="H1208" s="34" t="s">
        <v>39</v>
      </c>
      <c r="I1208" s="34">
        <v>1</v>
      </c>
      <c r="J1208" s="34" t="s">
        <v>46</v>
      </c>
      <c r="K1208" s="15">
        <f>(VLOOKUP(H1208,'[1]BOM Info General'!$A:$L,12,0))*I1208</f>
        <v>24.42</v>
      </c>
      <c r="L1208" s="35" t="s">
        <v>94</v>
      </c>
      <c r="M1208" s="35">
        <v>1</v>
      </c>
      <c r="N1208" s="35" t="s">
        <v>91</v>
      </c>
      <c r="O1208" s="9">
        <f>(VLOOKUP(L1208,'[1]Simulation pricing per sub assy'!$D:$E,2,0))*M1208</f>
        <v>42.998799999999989</v>
      </c>
      <c r="P1208" s="36">
        <v>0</v>
      </c>
      <c r="Q1208" s="36">
        <v>0</v>
      </c>
      <c r="R1208" s="36" t="e">
        <v>#N/A</v>
      </c>
      <c r="S1208" s="40">
        <v>0</v>
      </c>
      <c r="T1208" s="37" t="s">
        <v>32</v>
      </c>
      <c r="U1208" s="37">
        <v>1</v>
      </c>
      <c r="V1208" s="37" t="s">
        <v>33</v>
      </c>
      <c r="W1208" s="17">
        <f>(VLOOKUP(T1208,'[1]Simulation pricing per sub assy'!$D:$E,2,0))*U1208</f>
        <v>8.51</v>
      </c>
      <c r="X1208" s="32" t="s">
        <v>613</v>
      </c>
      <c r="Y1208" s="38">
        <v>1</v>
      </c>
      <c r="Z1208" s="38" t="s">
        <v>34</v>
      </c>
      <c r="AA1208" s="18">
        <f>(VLOOKUP(X1208,'[1]Simulation pricing per sub assy'!$D:$E,2,0))*Y1208</f>
        <v>1.2612108000000002</v>
      </c>
    </row>
    <row r="1209" spans="1:27" x14ac:dyDescent="0.35">
      <c r="A1209" s="27" t="s">
        <v>2068</v>
      </c>
      <c r="B1209" s="27" t="s">
        <v>2069</v>
      </c>
      <c r="C1209" s="42">
        <f t="shared" si="18"/>
        <v>112.8700108</v>
      </c>
      <c r="D1209" s="33" t="s">
        <v>2058</v>
      </c>
      <c r="E1209" s="33">
        <v>1</v>
      </c>
      <c r="F1209" s="33" t="s">
        <v>2059</v>
      </c>
      <c r="G1209" s="14">
        <f>(VLOOKUP(D1209,'[1]BOM Info General'!$A:$L,12,0))*E1209</f>
        <v>35.56</v>
      </c>
      <c r="H1209" s="34" t="s">
        <v>39</v>
      </c>
      <c r="I1209" s="34">
        <v>1</v>
      </c>
      <c r="J1209" s="34" t="s">
        <v>46</v>
      </c>
      <c r="K1209" s="15">
        <f>(VLOOKUP(H1209,'[1]BOM Info General'!$A:$L,12,0))*I1209</f>
        <v>24.42</v>
      </c>
      <c r="L1209" s="35" t="s">
        <v>90</v>
      </c>
      <c r="M1209" s="35">
        <v>1</v>
      </c>
      <c r="N1209" s="35" t="s">
        <v>89</v>
      </c>
      <c r="O1209" s="9">
        <f>(VLOOKUP(L1209,'[1]Simulation pricing per sub assy'!$D:$E,2,0))*M1209</f>
        <v>43.118799999999993</v>
      </c>
      <c r="P1209" s="36">
        <v>0</v>
      </c>
      <c r="Q1209" s="36">
        <v>0</v>
      </c>
      <c r="R1209" s="36" t="e">
        <v>#N/A</v>
      </c>
      <c r="S1209" s="40">
        <v>0</v>
      </c>
      <c r="T1209" s="37" t="s">
        <v>32</v>
      </c>
      <c r="U1209" s="37">
        <v>1</v>
      </c>
      <c r="V1209" s="37" t="s">
        <v>33</v>
      </c>
      <c r="W1209" s="17">
        <f>(VLOOKUP(T1209,'[1]Simulation pricing per sub assy'!$D:$E,2,0))*U1209</f>
        <v>8.51</v>
      </c>
      <c r="X1209" s="32" t="s">
        <v>613</v>
      </c>
      <c r="Y1209" s="38">
        <v>1</v>
      </c>
      <c r="Z1209" s="38" t="s">
        <v>34</v>
      </c>
      <c r="AA1209" s="18">
        <f>(VLOOKUP(X1209,'[1]Simulation pricing per sub assy'!$D:$E,2,0))*Y1209</f>
        <v>1.2612108000000002</v>
      </c>
    </row>
    <row r="1210" spans="1:27" x14ac:dyDescent="0.35">
      <c r="A1210" s="27" t="s">
        <v>2070</v>
      </c>
      <c r="B1210" s="27" t="s">
        <v>2071</v>
      </c>
      <c r="C1210" s="42">
        <f t="shared" si="18"/>
        <v>112.7200108</v>
      </c>
      <c r="D1210" s="33" t="s">
        <v>2058</v>
      </c>
      <c r="E1210" s="33">
        <v>1</v>
      </c>
      <c r="F1210" s="33" t="s">
        <v>2059</v>
      </c>
      <c r="G1210" s="14">
        <f>(VLOOKUP(D1210,'[1]BOM Info General'!$A:$L,12,0))*E1210</f>
        <v>35.56</v>
      </c>
      <c r="H1210" s="34" t="s">
        <v>39</v>
      </c>
      <c r="I1210" s="34">
        <v>1</v>
      </c>
      <c r="J1210" s="34" t="s">
        <v>46</v>
      </c>
      <c r="K1210" s="15">
        <f>(VLOOKUP(H1210,'[1]BOM Info General'!$A:$L,12,0))*I1210</f>
        <v>24.42</v>
      </c>
      <c r="L1210" s="35" t="s">
        <v>96</v>
      </c>
      <c r="M1210" s="35">
        <v>1</v>
      </c>
      <c r="N1210" s="35" t="s">
        <v>93</v>
      </c>
      <c r="O1210" s="9">
        <f>(VLOOKUP(L1210,'[1]Simulation pricing per sub assy'!$D:$E,2,0))*M1210</f>
        <v>42.968799999999987</v>
      </c>
      <c r="P1210" s="36">
        <v>0</v>
      </c>
      <c r="Q1210" s="36">
        <v>0</v>
      </c>
      <c r="R1210" s="36" t="e">
        <v>#N/A</v>
      </c>
      <c r="S1210" s="40">
        <v>0</v>
      </c>
      <c r="T1210" s="37" t="s">
        <v>32</v>
      </c>
      <c r="U1210" s="37">
        <v>1</v>
      </c>
      <c r="V1210" s="37" t="s">
        <v>33</v>
      </c>
      <c r="W1210" s="17">
        <f>(VLOOKUP(T1210,'[1]Simulation pricing per sub assy'!$D:$E,2,0))*U1210</f>
        <v>8.51</v>
      </c>
      <c r="X1210" s="32" t="s">
        <v>613</v>
      </c>
      <c r="Y1210" s="38">
        <v>1</v>
      </c>
      <c r="Z1210" s="38" t="s">
        <v>34</v>
      </c>
      <c r="AA1210" s="18">
        <f>(VLOOKUP(X1210,'[1]Simulation pricing per sub assy'!$D:$E,2,0))*Y1210</f>
        <v>1.2612108000000002</v>
      </c>
    </row>
    <row r="1211" spans="1:27" x14ac:dyDescent="0.35">
      <c r="A1211" s="27" t="s">
        <v>2072</v>
      </c>
      <c r="B1211" s="27" t="s">
        <v>2073</v>
      </c>
      <c r="C1211" s="42">
        <f t="shared" si="18"/>
        <v>112.8700108</v>
      </c>
      <c r="D1211" s="33" t="s">
        <v>2058</v>
      </c>
      <c r="E1211" s="33">
        <v>1</v>
      </c>
      <c r="F1211" s="33" t="s">
        <v>2059</v>
      </c>
      <c r="G1211" s="14">
        <f>(VLOOKUP(D1211,'[1]BOM Info General'!$A:$L,12,0))*E1211</f>
        <v>35.56</v>
      </c>
      <c r="H1211" s="34" t="s">
        <v>39</v>
      </c>
      <c r="I1211" s="34">
        <v>1</v>
      </c>
      <c r="J1211" s="34" t="s">
        <v>46</v>
      </c>
      <c r="K1211" s="15">
        <f>(VLOOKUP(H1211,'[1]BOM Info General'!$A:$L,12,0))*I1211</f>
        <v>24.42</v>
      </c>
      <c r="L1211" s="35" t="s">
        <v>92</v>
      </c>
      <c r="M1211" s="35">
        <v>1</v>
      </c>
      <c r="N1211" s="35" t="s">
        <v>95</v>
      </c>
      <c r="O1211" s="9">
        <f>(VLOOKUP(L1211,'[1]Simulation pricing per sub assy'!$D:$E,2,0))*M1211</f>
        <v>43.118799999999993</v>
      </c>
      <c r="P1211" s="36">
        <v>0</v>
      </c>
      <c r="Q1211" s="36">
        <v>0</v>
      </c>
      <c r="R1211" s="36" t="e">
        <v>#N/A</v>
      </c>
      <c r="S1211" s="40">
        <v>0</v>
      </c>
      <c r="T1211" s="37" t="s">
        <v>32</v>
      </c>
      <c r="U1211" s="37">
        <v>1</v>
      </c>
      <c r="V1211" s="37" t="s">
        <v>33</v>
      </c>
      <c r="W1211" s="17">
        <f>(VLOOKUP(T1211,'[1]Simulation pricing per sub assy'!$D:$E,2,0))*U1211</f>
        <v>8.51</v>
      </c>
      <c r="X1211" s="32" t="s">
        <v>613</v>
      </c>
      <c r="Y1211" s="38">
        <v>1</v>
      </c>
      <c r="Z1211" s="38" t="s">
        <v>34</v>
      </c>
      <c r="AA1211" s="18">
        <f>(VLOOKUP(X1211,'[1]Simulation pricing per sub assy'!$D:$E,2,0))*Y1211</f>
        <v>1.2612108000000002</v>
      </c>
    </row>
    <row r="1212" spans="1:27" x14ac:dyDescent="0.35">
      <c r="A1212" s="27" t="s">
        <v>2074</v>
      </c>
      <c r="B1212" s="27" t="s">
        <v>2075</v>
      </c>
      <c r="C1212" s="42">
        <f t="shared" si="18"/>
        <v>117.8700108</v>
      </c>
      <c r="D1212" s="33" t="s">
        <v>2058</v>
      </c>
      <c r="E1212" s="33">
        <v>1</v>
      </c>
      <c r="F1212" s="33" t="s">
        <v>2059</v>
      </c>
      <c r="G1212" s="14">
        <f>(VLOOKUP(D1212,'[1]BOM Info General'!$A:$L,12,0))*E1212</f>
        <v>35.56</v>
      </c>
      <c r="H1212" s="34" t="s">
        <v>39</v>
      </c>
      <c r="I1212" s="34">
        <v>1</v>
      </c>
      <c r="J1212" s="34" t="s">
        <v>46</v>
      </c>
      <c r="K1212" s="15">
        <f>(VLOOKUP(H1212,'[1]BOM Info General'!$A:$L,12,0))*I1212</f>
        <v>24.42</v>
      </c>
      <c r="L1212" s="35" t="s">
        <v>525</v>
      </c>
      <c r="M1212" s="35">
        <v>1</v>
      </c>
      <c r="N1212" s="35" t="s">
        <v>97</v>
      </c>
      <c r="O1212" s="9">
        <f>(VLOOKUP(L1212,'[1]Simulation pricing per sub assy'!$D:$E,2,0))*M1212</f>
        <v>48.118799999999993</v>
      </c>
      <c r="P1212" s="36">
        <v>0</v>
      </c>
      <c r="Q1212" s="36">
        <v>0</v>
      </c>
      <c r="R1212" s="36" t="e">
        <v>#N/A</v>
      </c>
      <c r="S1212" s="40">
        <v>0</v>
      </c>
      <c r="T1212" s="37" t="s">
        <v>32</v>
      </c>
      <c r="U1212" s="37">
        <v>1</v>
      </c>
      <c r="V1212" s="37" t="s">
        <v>33</v>
      </c>
      <c r="W1212" s="17">
        <f>(VLOOKUP(T1212,'[1]Simulation pricing per sub assy'!$D:$E,2,0))*U1212</f>
        <v>8.51</v>
      </c>
      <c r="X1212" s="32" t="s">
        <v>613</v>
      </c>
      <c r="Y1212" s="38">
        <v>1</v>
      </c>
      <c r="Z1212" s="38" t="s">
        <v>34</v>
      </c>
      <c r="AA1212" s="18">
        <f>(VLOOKUP(X1212,'[1]Simulation pricing per sub assy'!$D:$E,2,0))*Y1212</f>
        <v>1.2612108000000002</v>
      </c>
    </row>
    <row r="1213" spans="1:27" x14ac:dyDescent="0.35">
      <c r="A1213" s="27" t="s">
        <v>2076</v>
      </c>
      <c r="B1213" s="27" t="s">
        <v>2077</v>
      </c>
      <c r="C1213" s="42">
        <f t="shared" si="18"/>
        <v>112.7500108</v>
      </c>
      <c r="D1213" s="33" t="s">
        <v>2058</v>
      </c>
      <c r="E1213" s="33">
        <v>1</v>
      </c>
      <c r="F1213" s="33" t="s">
        <v>2059</v>
      </c>
      <c r="G1213" s="14">
        <f>(VLOOKUP(D1213,'[1]BOM Info General'!$A:$L,12,0))*E1213</f>
        <v>35.56</v>
      </c>
      <c r="H1213" s="34" t="s">
        <v>39</v>
      </c>
      <c r="I1213" s="34">
        <v>1</v>
      </c>
      <c r="J1213" s="34" t="s">
        <v>46</v>
      </c>
      <c r="K1213" s="15">
        <f>(VLOOKUP(H1213,'[1]BOM Info General'!$A:$L,12,0))*I1213</f>
        <v>24.42</v>
      </c>
      <c r="L1213" s="35" t="s">
        <v>94</v>
      </c>
      <c r="M1213" s="35">
        <v>1</v>
      </c>
      <c r="N1213" s="35" t="s">
        <v>91</v>
      </c>
      <c r="O1213" s="9">
        <f>(VLOOKUP(L1213,'[1]Simulation pricing per sub assy'!$D:$E,2,0))*M1213</f>
        <v>42.998799999999989</v>
      </c>
      <c r="P1213" s="36">
        <v>0</v>
      </c>
      <c r="Q1213" s="36">
        <v>0</v>
      </c>
      <c r="R1213" s="36" t="e">
        <v>#N/A</v>
      </c>
      <c r="S1213" s="40">
        <v>0</v>
      </c>
      <c r="T1213" s="37" t="s">
        <v>32</v>
      </c>
      <c r="U1213" s="37">
        <v>1</v>
      </c>
      <c r="V1213" s="37" t="s">
        <v>33</v>
      </c>
      <c r="W1213" s="17">
        <f>(VLOOKUP(T1213,'[1]Simulation pricing per sub assy'!$D:$E,2,0))*U1213</f>
        <v>8.51</v>
      </c>
      <c r="X1213" s="32" t="s">
        <v>613</v>
      </c>
      <c r="Y1213" s="38">
        <v>1</v>
      </c>
      <c r="Z1213" s="38" t="s">
        <v>34</v>
      </c>
      <c r="AA1213" s="18">
        <f>(VLOOKUP(X1213,'[1]Simulation pricing per sub assy'!$D:$E,2,0))*Y1213</f>
        <v>1.2612108000000002</v>
      </c>
    </row>
    <row r="1214" spans="1:27" x14ac:dyDescent="0.35">
      <c r="A1214" s="27" t="s">
        <v>2078</v>
      </c>
      <c r="B1214" s="27" t="s">
        <v>2079</v>
      </c>
      <c r="C1214" s="42">
        <f t="shared" si="18"/>
        <v>112.8700108</v>
      </c>
      <c r="D1214" s="33" t="s">
        <v>2058</v>
      </c>
      <c r="E1214" s="33">
        <v>1</v>
      </c>
      <c r="F1214" s="33" t="s">
        <v>2059</v>
      </c>
      <c r="G1214" s="14">
        <f>(VLOOKUP(D1214,'[1]BOM Info General'!$A:$L,12,0))*E1214</f>
        <v>35.56</v>
      </c>
      <c r="H1214" s="34" t="s">
        <v>39</v>
      </c>
      <c r="I1214" s="34">
        <v>1</v>
      </c>
      <c r="J1214" s="34" t="s">
        <v>46</v>
      </c>
      <c r="K1214" s="15">
        <f>(VLOOKUP(H1214,'[1]BOM Info General'!$A:$L,12,0))*I1214</f>
        <v>24.42</v>
      </c>
      <c r="L1214" s="35" t="s">
        <v>90</v>
      </c>
      <c r="M1214" s="35">
        <v>1</v>
      </c>
      <c r="N1214" s="35" t="s">
        <v>89</v>
      </c>
      <c r="O1214" s="9">
        <f>(VLOOKUP(L1214,'[1]Simulation pricing per sub assy'!$D:$E,2,0))*M1214</f>
        <v>43.118799999999993</v>
      </c>
      <c r="P1214" s="36">
        <v>0</v>
      </c>
      <c r="Q1214" s="36">
        <v>0</v>
      </c>
      <c r="R1214" s="36" t="e">
        <v>#N/A</v>
      </c>
      <c r="S1214" s="40">
        <v>0</v>
      </c>
      <c r="T1214" s="37" t="s">
        <v>32</v>
      </c>
      <c r="U1214" s="37">
        <v>1</v>
      </c>
      <c r="V1214" s="37" t="s">
        <v>33</v>
      </c>
      <c r="W1214" s="17">
        <f>(VLOOKUP(T1214,'[1]Simulation pricing per sub assy'!$D:$E,2,0))*U1214</f>
        <v>8.51</v>
      </c>
      <c r="X1214" s="32" t="s">
        <v>613</v>
      </c>
      <c r="Y1214" s="38">
        <v>1</v>
      </c>
      <c r="Z1214" s="38" t="s">
        <v>34</v>
      </c>
      <c r="AA1214" s="18">
        <f>(VLOOKUP(X1214,'[1]Simulation pricing per sub assy'!$D:$E,2,0))*Y1214</f>
        <v>1.2612108000000002</v>
      </c>
    </row>
    <row r="1215" spans="1:27" x14ac:dyDescent="0.35">
      <c r="A1215" s="27" t="s">
        <v>2080</v>
      </c>
      <c r="B1215" s="27" t="s">
        <v>2081</v>
      </c>
      <c r="C1215" s="42">
        <f t="shared" si="18"/>
        <v>112.7200108</v>
      </c>
      <c r="D1215" s="33" t="s">
        <v>2058</v>
      </c>
      <c r="E1215" s="33">
        <v>1</v>
      </c>
      <c r="F1215" s="33" t="s">
        <v>2059</v>
      </c>
      <c r="G1215" s="14">
        <f>(VLOOKUP(D1215,'[1]BOM Info General'!$A:$L,12,0))*E1215</f>
        <v>35.56</v>
      </c>
      <c r="H1215" s="34" t="s">
        <v>39</v>
      </c>
      <c r="I1215" s="34">
        <v>1</v>
      </c>
      <c r="J1215" s="34" t="s">
        <v>46</v>
      </c>
      <c r="K1215" s="15">
        <f>(VLOOKUP(H1215,'[1]BOM Info General'!$A:$L,12,0))*I1215</f>
        <v>24.42</v>
      </c>
      <c r="L1215" s="35" t="s">
        <v>96</v>
      </c>
      <c r="M1215" s="35">
        <v>1</v>
      </c>
      <c r="N1215" s="35" t="s">
        <v>93</v>
      </c>
      <c r="O1215" s="9">
        <f>(VLOOKUP(L1215,'[1]Simulation pricing per sub assy'!$D:$E,2,0))*M1215</f>
        <v>42.968799999999987</v>
      </c>
      <c r="P1215" s="36">
        <v>0</v>
      </c>
      <c r="Q1215" s="36">
        <v>0</v>
      </c>
      <c r="R1215" s="36" t="e">
        <v>#N/A</v>
      </c>
      <c r="S1215" s="40">
        <v>0</v>
      </c>
      <c r="T1215" s="37" t="s">
        <v>32</v>
      </c>
      <c r="U1215" s="37">
        <v>1</v>
      </c>
      <c r="V1215" s="37" t="s">
        <v>33</v>
      </c>
      <c r="W1215" s="17">
        <f>(VLOOKUP(T1215,'[1]Simulation pricing per sub assy'!$D:$E,2,0))*U1215</f>
        <v>8.51</v>
      </c>
      <c r="X1215" s="32" t="s">
        <v>613</v>
      </c>
      <c r="Y1215" s="38">
        <v>1</v>
      </c>
      <c r="Z1215" s="38" t="s">
        <v>34</v>
      </c>
      <c r="AA1215" s="18">
        <f>(VLOOKUP(X1215,'[1]Simulation pricing per sub assy'!$D:$E,2,0))*Y1215</f>
        <v>1.2612108000000002</v>
      </c>
    </row>
    <row r="1216" spans="1:27" x14ac:dyDescent="0.35">
      <c r="A1216" s="27" t="s">
        <v>2082</v>
      </c>
      <c r="B1216" s="27" t="s">
        <v>2083</v>
      </c>
      <c r="C1216" s="42">
        <f t="shared" si="18"/>
        <v>112.8700108</v>
      </c>
      <c r="D1216" s="33" t="s">
        <v>2058</v>
      </c>
      <c r="E1216" s="33">
        <v>1</v>
      </c>
      <c r="F1216" s="33" t="s">
        <v>2059</v>
      </c>
      <c r="G1216" s="14">
        <f>(VLOOKUP(D1216,'[1]BOM Info General'!$A:$L,12,0))*E1216</f>
        <v>35.56</v>
      </c>
      <c r="H1216" s="34" t="s">
        <v>39</v>
      </c>
      <c r="I1216" s="34">
        <v>1</v>
      </c>
      <c r="J1216" s="34" t="s">
        <v>46</v>
      </c>
      <c r="K1216" s="15">
        <f>(VLOOKUP(H1216,'[1]BOM Info General'!$A:$L,12,0))*I1216</f>
        <v>24.42</v>
      </c>
      <c r="L1216" s="35" t="s">
        <v>92</v>
      </c>
      <c r="M1216" s="35">
        <v>1</v>
      </c>
      <c r="N1216" s="35" t="s">
        <v>95</v>
      </c>
      <c r="O1216" s="9">
        <f>(VLOOKUP(L1216,'[1]Simulation pricing per sub assy'!$D:$E,2,0))*M1216</f>
        <v>43.118799999999993</v>
      </c>
      <c r="P1216" s="36">
        <v>0</v>
      </c>
      <c r="Q1216" s="36">
        <v>0</v>
      </c>
      <c r="R1216" s="36" t="e">
        <v>#N/A</v>
      </c>
      <c r="S1216" s="40">
        <v>0</v>
      </c>
      <c r="T1216" s="37" t="s">
        <v>32</v>
      </c>
      <c r="U1216" s="37">
        <v>1</v>
      </c>
      <c r="V1216" s="37" t="s">
        <v>33</v>
      </c>
      <c r="W1216" s="17">
        <f>(VLOOKUP(T1216,'[1]Simulation pricing per sub assy'!$D:$E,2,0))*U1216</f>
        <v>8.51</v>
      </c>
      <c r="X1216" s="32" t="s">
        <v>613</v>
      </c>
      <c r="Y1216" s="38">
        <v>1</v>
      </c>
      <c r="Z1216" s="38" t="s">
        <v>34</v>
      </c>
      <c r="AA1216" s="18">
        <f>(VLOOKUP(X1216,'[1]Simulation pricing per sub assy'!$D:$E,2,0))*Y1216</f>
        <v>1.2612108000000002</v>
      </c>
    </row>
    <row r="1217" spans="1:27" x14ac:dyDescent="0.35">
      <c r="A1217" s="27" t="s">
        <v>2084</v>
      </c>
      <c r="B1217" s="27" t="s">
        <v>2085</v>
      </c>
      <c r="C1217" s="42">
        <f t="shared" si="18"/>
        <v>117.8700108</v>
      </c>
      <c r="D1217" s="33" t="s">
        <v>2058</v>
      </c>
      <c r="E1217" s="33">
        <v>1</v>
      </c>
      <c r="F1217" s="33" t="s">
        <v>2059</v>
      </c>
      <c r="G1217" s="14">
        <f>(VLOOKUP(D1217,'[1]BOM Info General'!$A:$L,12,0))*E1217</f>
        <v>35.56</v>
      </c>
      <c r="H1217" s="34" t="s">
        <v>39</v>
      </c>
      <c r="I1217" s="34">
        <v>1</v>
      </c>
      <c r="J1217" s="34" t="s">
        <v>46</v>
      </c>
      <c r="K1217" s="15">
        <f>(VLOOKUP(H1217,'[1]BOM Info General'!$A:$L,12,0))*I1217</f>
        <v>24.42</v>
      </c>
      <c r="L1217" s="35" t="s">
        <v>525</v>
      </c>
      <c r="M1217" s="35">
        <v>1</v>
      </c>
      <c r="N1217" s="35" t="s">
        <v>97</v>
      </c>
      <c r="O1217" s="9">
        <f>(VLOOKUP(L1217,'[1]Simulation pricing per sub assy'!$D:$E,2,0))*M1217</f>
        <v>48.118799999999993</v>
      </c>
      <c r="P1217" s="36">
        <v>0</v>
      </c>
      <c r="Q1217" s="36">
        <v>0</v>
      </c>
      <c r="R1217" s="36" t="e">
        <v>#N/A</v>
      </c>
      <c r="S1217" s="40">
        <v>0</v>
      </c>
      <c r="T1217" s="37" t="s">
        <v>32</v>
      </c>
      <c r="U1217" s="37">
        <v>1</v>
      </c>
      <c r="V1217" s="37" t="s">
        <v>33</v>
      </c>
      <c r="W1217" s="17">
        <f>(VLOOKUP(T1217,'[1]Simulation pricing per sub assy'!$D:$E,2,0))*U1217</f>
        <v>8.51</v>
      </c>
      <c r="X1217" s="32" t="s">
        <v>613</v>
      </c>
      <c r="Y1217" s="38">
        <v>1</v>
      </c>
      <c r="Z1217" s="38" t="s">
        <v>34</v>
      </c>
      <c r="AA1217" s="18">
        <f>(VLOOKUP(X1217,'[1]Simulation pricing per sub assy'!$D:$E,2,0))*Y1217</f>
        <v>1.2612108000000002</v>
      </c>
    </row>
    <row r="1218" spans="1:27" x14ac:dyDescent="0.35">
      <c r="A1218" s="27" t="s">
        <v>2086</v>
      </c>
      <c r="B1218" s="27" t="s">
        <v>2087</v>
      </c>
      <c r="C1218" s="42">
        <f t="shared" si="18"/>
        <v>112.7500108</v>
      </c>
      <c r="D1218" s="33" t="s">
        <v>2058</v>
      </c>
      <c r="E1218" s="33">
        <v>1</v>
      </c>
      <c r="F1218" s="33" t="s">
        <v>2059</v>
      </c>
      <c r="G1218" s="14">
        <f>(VLOOKUP(D1218,'[1]BOM Info General'!$A:$L,12,0))*E1218</f>
        <v>35.56</v>
      </c>
      <c r="H1218" s="34" t="s">
        <v>39</v>
      </c>
      <c r="I1218" s="34">
        <v>1</v>
      </c>
      <c r="J1218" s="34" t="s">
        <v>46</v>
      </c>
      <c r="K1218" s="15">
        <f>(VLOOKUP(H1218,'[1]BOM Info General'!$A:$L,12,0))*I1218</f>
        <v>24.42</v>
      </c>
      <c r="L1218" s="35" t="s">
        <v>94</v>
      </c>
      <c r="M1218" s="35">
        <v>1</v>
      </c>
      <c r="N1218" s="35" t="s">
        <v>91</v>
      </c>
      <c r="O1218" s="9">
        <f>(VLOOKUP(L1218,'[1]Simulation pricing per sub assy'!$D:$E,2,0))*M1218</f>
        <v>42.998799999999989</v>
      </c>
      <c r="P1218" s="36">
        <v>0</v>
      </c>
      <c r="Q1218" s="36">
        <v>0</v>
      </c>
      <c r="R1218" s="36" t="e">
        <v>#N/A</v>
      </c>
      <c r="S1218" s="40">
        <v>0</v>
      </c>
      <c r="T1218" s="37" t="s">
        <v>32</v>
      </c>
      <c r="U1218" s="37">
        <v>1</v>
      </c>
      <c r="V1218" s="37" t="s">
        <v>33</v>
      </c>
      <c r="W1218" s="17">
        <f>(VLOOKUP(T1218,'[1]Simulation pricing per sub assy'!$D:$E,2,0))*U1218</f>
        <v>8.51</v>
      </c>
      <c r="X1218" s="32" t="s">
        <v>613</v>
      </c>
      <c r="Y1218" s="38">
        <v>1</v>
      </c>
      <c r="Z1218" s="38" t="s">
        <v>34</v>
      </c>
      <c r="AA1218" s="18">
        <f>(VLOOKUP(X1218,'[1]Simulation pricing per sub assy'!$D:$E,2,0))*Y1218</f>
        <v>1.2612108000000002</v>
      </c>
    </row>
    <row r="1219" spans="1:27" x14ac:dyDescent="0.35">
      <c r="A1219" s="27" t="s">
        <v>2088</v>
      </c>
      <c r="B1219" s="27" t="s">
        <v>2089</v>
      </c>
      <c r="C1219" s="42">
        <f t="shared" ref="C1219:C1282" si="19">SUM(G1219+K1219+O1219+S1219+W1219+AA1219)</f>
        <v>112.8700108</v>
      </c>
      <c r="D1219" s="33" t="s">
        <v>2058</v>
      </c>
      <c r="E1219" s="33">
        <v>1</v>
      </c>
      <c r="F1219" s="33" t="s">
        <v>2059</v>
      </c>
      <c r="G1219" s="14">
        <f>(VLOOKUP(D1219,'[1]BOM Info General'!$A:$L,12,0))*E1219</f>
        <v>35.56</v>
      </c>
      <c r="H1219" s="34" t="s">
        <v>39</v>
      </c>
      <c r="I1219" s="34">
        <v>1</v>
      </c>
      <c r="J1219" s="34" t="s">
        <v>46</v>
      </c>
      <c r="K1219" s="15">
        <f>(VLOOKUP(H1219,'[1]BOM Info General'!$A:$L,12,0))*I1219</f>
        <v>24.42</v>
      </c>
      <c r="L1219" s="35" t="s">
        <v>90</v>
      </c>
      <c r="M1219" s="35">
        <v>1</v>
      </c>
      <c r="N1219" s="35" t="s">
        <v>89</v>
      </c>
      <c r="O1219" s="9">
        <f>(VLOOKUP(L1219,'[1]Simulation pricing per sub assy'!$D:$E,2,0))*M1219</f>
        <v>43.118799999999993</v>
      </c>
      <c r="P1219" s="36">
        <v>0</v>
      </c>
      <c r="Q1219" s="36">
        <v>0</v>
      </c>
      <c r="R1219" s="36" t="e">
        <v>#N/A</v>
      </c>
      <c r="S1219" s="40">
        <v>0</v>
      </c>
      <c r="T1219" s="37" t="s">
        <v>32</v>
      </c>
      <c r="U1219" s="37">
        <v>1</v>
      </c>
      <c r="V1219" s="37" t="s">
        <v>33</v>
      </c>
      <c r="W1219" s="17">
        <f>(VLOOKUP(T1219,'[1]Simulation pricing per sub assy'!$D:$E,2,0))*U1219</f>
        <v>8.51</v>
      </c>
      <c r="X1219" s="32" t="s">
        <v>613</v>
      </c>
      <c r="Y1219" s="38">
        <v>1</v>
      </c>
      <c r="Z1219" s="38" t="s">
        <v>34</v>
      </c>
      <c r="AA1219" s="18">
        <f>(VLOOKUP(X1219,'[1]Simulation pricing per sub assy'!$D:$E,2,0))*Y1219</f>
        <v>1.2612108000000002</v>
      </c>
    </row>
    <row r="1220" spans="1:27" x14ac:dyDescent="0.35">
      <c r="A1220" s="27" t="s">
        <v>2090</v>
      </c>
      <c r="B1220" s="27" t="s">
        <v>2091</v>
      </c>
      <c r="C1220" s="42">
        <f t="shared" si="19"/>
        <v>112.7200108</v>
      </c>
      <c r="D1220" s="33" t="s">
        <v>2058</v>
      </c>
      <c r="E1220" s="33">
        <v>1</v>
      </c>
      <c r="F1220" s="33" t="s">
        <v>2059</v>
      </c>
      <c r="G1220" s="14">
        <f>(VLOOKUP(D1220,'[1]BOM Info General'!$A:$L,12,0))*E1220</f>
        <v>35.56</v>
      </c>
      <c r="H1220" s="34" t="s">
        <v>39</v>
      </c>
      <c r="I1220" s="34">
        <v>1</v>
      </c>
      <c r="J1220" s="34" t="s">
        <v>46</v>
      </c>
      <c r="K1220" s="15">
        <f>(VLOOKUP(H1220,'[1]BOM Info General'!$A:$L,12,0))*I1220</f>
        <v>24.42</v>
      </c>
      <c r="L1220" s="35" t="s">
        <v>96</v>
      </c>
      <c r="M1220" s="35">
        <v>1</v>
      </c>
      <c r="N1220" s="35" t="s">
        <v>93</v>
      </c>
      <c r="O1220" s="9">
        <f>(VLOOKUP(L1220,'[1]Simulation pricing per sub assy'!$D:$E,2,0))*M1220</f>
        <v>42.968799999999987</v>
      </c>
      <c r="P1220" s="36">
        <v>0</v>
      </c>
      <c r="Q1220" s="36">
        <v>0</v>
      </c>
      <c r="R1220" s="36" t="e">
        <v>#N/A</v>
      </c>
      <c r="S1220" s="40">
        <v>0</v>
      </c>
      <c r="T1220" s="37" t="s">
        <v>32</v>
      </c>
      <c r="U1220" s="37">
        <v>1</v>
      </c>
      <c r="V1220" s="37" t="s">
        <v>33</v>
      </c>
      <c r="W1220" s="17">
        <f>(VLOOKUP(T1220,'[1]Simulation pricing per sub assy'!$D:$E,2,0))*U1220</f>
        <v>8.51</v>
      </c>
      <c r="X1220" s="32" t="s">
        <v>613</v>
      </c>
      <c r="Y1220" s="38">
        <v>1</v>
      </c>
      <c r="Z1220" s="38" t="s">
        <v>34</v>
      </c>
      <c r="AA1220" s="18">
        <f>(VLOOKUP(X1220,'[1]Simulation pricing per sub assy'!$D:$E,2,0))*Y1220</f>
        <v>1.2612108000000002</v>
      </c>
    </row>
    <row r="1221" spans="1:27" x14ac:dyDescent="0.35">
      <c r="A1221" s="27" t="s">
        <v>2092</v>
      </c>
      <c r="B1221" s="27" t="s">
        <v>2093</v>
      </c>
      <c r="C1221" s="42">
        <f t="shared" si="19"/>
        <v>112.8700108</v>
      </c>
      <c r="D1221" s="33" t="s">
        <v>2058</v>
      </c>
      <c r="E1221" s="33">
        <v>1</v>
      </c>
      <c r="F1221" s="33" t="s">
        <v>2059</v>
      </c>
      <c r="G1221" s="14">
        <f>(VLOOKUP(D1221,'[1]BOM Info General'!$A:$L,12,0))*E1221</f>
        <v>35.56</v>
      </c>
      <c r="H1221" s="34" t="s">
        <v>39</v>
      </c>
      <c r="I1221" s="34">
        <v>1</v>
      </c>
      <c r="J1221" s="34" t="s">
        <v>46</v>
      </c>
      <c r="K1221" s="15">
        <f>(VLOOKUP(H1221,'[1]BOM Info General'!$A:$L,12,0))*I1221</f>
        <v>24.42</v>
      </c>
      <c r="L1221" s="35" t="s">
        <v>92</v>
      </c>
      <c r="M1221" s="35">
        <v>1</v>
      </c>
      <c r="N1221" s="35" t="s">
        <v>95</v>
      </c>
      <c r="O1221" s="9">
        <f>(VLOOKUP(L1221,'[1]Simulation pricing per sub assy'!$D:$E,2,0))*M1221</f>
        <v>43.118799999999993</v>
      </c>
      <c r="P1221" s="36">
        <v>0</v>
      </c>
      <c r="Q1221" s="36">
        <v>0</v>
      </c>
      <c r="R1221" s="36" t="e">
        <v>#N/A</v>
      </c>
      <c r="S1221" s="40">
        <v>0</v>
      </c>
      <c r="T1221" s="37" t="s">
        <v>32</v>
      </c>
      <c r="U1221" s="37">
        <v>1</v>
      </c>
      <c r="V1221" s="37" t="s">
        <v>33</v>
      </c>
      <c r="W1221" s="17">
        <f>(VLOOKUP(T1221,'[1]Simulation pricing per sub assy'!$D:$E,2,0))*U1221</f>
        <v>8.51</v>
      </c>
      <c r="X1221" s="32" t="s">
        <v>613</v>
      </c>
      <c r="Y1221" s="38">
        <v>1</v>
      </c>
      <c r="Z1221" s="38" t="s">
        <v>34</v>
      </c>
      <c r="AA1221" s="18">
        <f>(VLOOKUP(X1221,'[1]Simulation pricing per sub assy'!$D:$E,2,0))*Y1221</f>
        <v>1.2612108000000002</v>
      </c>
    </row>
    <row r="1222" spans="1:27" x14ac:dyDescent="0.35">
      <c r="A1222" s="27" t="s">
        <v>2094</v>
      </c>
      <c r="B1222" s="27" t="s">
        <v>4469</v>
      </c>
      <c r="C1222" s="42">
        <f t="shared" si="19"/>
        <v>117.8700108</v>
      </c>
      <c r="D1222" s="28" t="s">
        <v>2058</v>
      </c>
      <c r="E1222" s="28">
        <v>1</v>
      </c>
      <c r="F1222" s="28" t="s">
        <v>2059</v>
      </c>
      <c r="G1222" s="14">
        <f>(VLOOKUP(D1222,'[1]BOM Info General'!$A:$L,12,0))*E1222</f>
        <v>35.56</v>
      </c>
      <c r="H1222" s="29" t="s">
        <v>39</v>
      </c>
      <c r="I1222" s="29">
        <v>1</v>
      </c>
      <c r="J1222" s="29" t="s">
        <v>46</v>
      </c>
      <c r="K1222" s="15">
        <f>(VLOOKUP(H1222,'[1]BOM Info General'!$A:$L,12,0))*I1222</f>
        <v>24.42</v>
      </c>
      <c r="L1222" s="26" t="s">
        <v>525</v>
      </c>
      <c r="M1222" s="26">
        <v>1</v>
      </c>
      <c r="N1222" s="26" t="s">
        <v>97</v>
      </c>
      <c r="O1222" s="9">
        <f>(VLOOKUP(L1222,'[1]Simulation pricing per sub assy'!$D:$E,2,0))*M1222</f>
        <v>48.118799999999993</v>
      </c>
      <c r="P1222" s="30">
        <v>0</v>
      </c>
      <c r="Q1222" s="30">
        <v>0</v>
      </c>
      <c r="R1222" s="30" t="e">
        <v>#N/A</v>
      </c>
      <c r="S1222" s="40">
        <v>0</v>
      </c>
      <c r="T1222" s="31" t="s">
        <v>32</v>
      </c>
      <c r="U1222" s="31">
        <v>1</v>
      </c>
      <c r="V1222" s="31" t="s">
        <v>33</v>
      </c>
      <c r="W1222" s="17">
        <f>(VLOOKUP(T1222,'[1]Simulation pricing per sub assy'!$D:$E,2,0))*U1222</f>
        <v>8.51</v>
      </c>
      <c r="X1222" s="32" t="s">
        <v>613</v>
      </c>
      <c r="Y1222" s="32">
        <v>1</v>
      </c>
      <c r="Z1222" s="32" t="s">
        <v>34</v>
      </c>
      <c r="AA1222" s="18">
        <f>(VLOOKUP(X1222,'[1]Simulation pricing per sub assy'!$D:$E,2,0))*Y1222</f>
        <v>1.2612108000000002</v>
      </c>
    </row>
    <row r="1223" spans="1:27" x14ac:dyDescent="0.35">
      <c r="A1223" s="27" t="s">
        <v>2095</v>
      </c>
      <c r="B1223" s="27" t="s">
        <v>4470</v>
      </c>
      <c r="C1223" s="42">
        <f t="shared" si="19"/>
        <v>112.7500108</v>
      </c>
      <c r="D1223" s="28" t="s">
        <v>2058</v>
      </c>
      <c r="E1223" s="28">
        <v>1</v>
      </c>
      <c r="F1223" s="28" t="s">
        <v>2059</v>
      </c>
      <c r="G1223" s="14">
        <f>(VLOOKUP(D1223,'[1]BOM Info General'!$A:$L,12,0))*E1223</f>
        <v>35.56</v>
      </c>
      <c r="H1223" s="29" t="s">
        <v>39</v>
      </c>
      <c r="I1223" s="29">
        <v>1</v>
      </c>
      <c r="J1223" s="29" t="s">
        <v>46</v>
      </c>
      <c r="K1223" s="15">
        <f>(VLOOKUP(H1223,'[1]BOM Info General'!$A:$L,12,0))*I1223</f>
        <v>24.42</v>
      </c>
      <c r="L1223" s="26" t="s">
        <v>94</v>
      </c>
      <c r="M1223" s="26">
        <v>1</v>
      </c>
      <c r="N1223" s="26" t="s">
        <v>91</v>
      </c>
      <c r="O1223" s="9">
        <f>(VLOOKUP(L1223,'[1]Simulation pricing per sub assy'!$D:$E,2,0))*M1223</f>
        <v>42.998799999999989</v>
      </c>
      <c r="P1223" s="30">
        <v>0</v>
      </c>
      <c r="Q1223" s="30">
        <v>0</v>
      </c>
      <c r="R1223" s="30" t="e">
        <v>#N/A</v>
      </c>
      <c r="S1223" s="40">
        <v>0</v>
      </c>
      <c r="T1223" s="31" t="s">
        <v>32</v>
      </c>
      <c r="U1223" s="31">
        <v>1</v>
      </c>
      <c r="V1223" s="31" t="s">
        <v>33</v>
      </c>
      <c r="W1223" s="17">
        <f>(VLOOKUP(T1223,'[1]Simulation pricing per sub assy'!$D:$E,2,0))*U1223</f>
        <v>8.51</v>
      </c>
      <c r="X1223" s="32" t="s">
        <v>613</v>
      </c>
      <c r="Y1223" s="32">
        <v>1</v>
      </c>
      <c r="Z1223" s="32" t="s">
        <v>34</v>
      </c>
      <c r="AA1223" s="18">
        <f>(VLOOKUP(X1223,'[1]Simulation pricing per sub assy'!$D:$E,2,0))*Y1223</f>
        <v>1.2612108000000002</v>
      </c>
    </row>
    <row r="1224" spans="1:27" x14ac:dyDescent="0.35">
      <c r="A1224" s="27" t="s">
        <v>2096</v>
      </c>
      <c r="B1224" s="27" t="s">
        <v>4471</v>
      </c>
      <c r="C1224" s="42">
        <f t="shared" si="19"/>
        <v>112.8700108</v>
      </c>
      <c r="D1224" s="28" t="s">
        <v>2058</v>
      </c>
      <c r="E1224" s="28">
        <v>1</v>
      </c>
      <c r="F1224" s="28" t="s">
        <v>2059</v>
      </c>
      <c r="G1224" s="14">
        <f>(VLOOKUP(D1224,'[1]BOM Info General'!$A:$L,12,0))*E1224</f>
        <v>35.56</v>
      </c>
      <c r="H1224" s="29" t="s">
        <v>39</v>
      </c>
      <c r="I1224" s="29">
        <v>1</v>
      </c>
      <c r="J1224" s="29" t="s">
        <v>46</v>
      </c>
      <c r="K1224" s="15">
        <f>(VLOOKUP(H1224,'[1]BOM Info General'!$A:$L,12,0))*I1224</f>
        <v>24.42</v>
      </c>
      <c r="L1224" s="26" t="s">
        <v>90</v>
      </c>
      <c r="M1224" s="26">
        <v>1</v>
      </c>
      <c r="N1224" s="26" t="s">
        <v>89</v>
      </c>
      <c r="O1224" s="9">
        <f>(VLOOKUP(L1224,'[1]Simulation pricing per sub assy'!$D:$E,2,0))*M1224</f>
        <v>43.118799999999993</v>
      </c>
      <c r="P1224" s="30">
        <v>0</v>
      </c>
      <c r="Q1224" s="30">
        <v>0</v>
      </c>
      <c r="R1224" s="30" t="e">
        <v>#N/A</v>
      </c>
      <c r="S1224" s="40">
        <v>0</v>
      </c>
      <c r="T1224" s="31" t="s">
        <v>32</v>
      </c>
      <c r="U1224" s="31">
        <v>1</v>
      </c>
      <c r="V1224" s="31" t="s">
        <v>33</v>
      </c>
      <c r="W1224" s="17">
        <f>(VLOOKUP(T1224,'[1]Simulation pricing per sub assy'!$D:$E,2,0))*U1224</f>
        <v>8.51</v>
      </c>
      <c r="X1224" s="32" t="s">
        <v>613</v>
      </c>
      <c r="Y1224" s="32">
        <v>1</v>
      </c>
      <c r="Z1224" s="32" t="s">
        <v>34</v>
      </c>
      <c r="AA1224" s="18">
        <f>(VLOOKUP(X1224,'[1]Simulation pricing per sub assy'!$D:$E,2,0))*Y1224</f>
        <v>1.2612108000000002</v>
      </c>
    </row>
    <row r="1225" spans="1:27" x14ac:dyDescent="0.35">
      <c r="A1225" s="27" t="s">
        <v>2097</v>
      </c>
      <c r="B1225" s="27" t="s">
        <v>4472</v>
      </c>
      <c r="C1225" s="42">
        <f t="shared" si="19"/>
        <v>112.7200108</v>
      </c>
      <c r="D1225" s="28" t="s">
        <v>2058</v>
      </c>
      <c r="E1225" s="28">
        <v>1</v>
      </c>
      <c r="F1225" s="28" t="s">
        <v>2059</v>
      </c>
      <c r="G1225" s="14">
        <f>(VLOOKUP(D1225,'[1]BOM Info General'!$A:$L,12,0))*E1225</f>
        <v>35.56</v>
      </c>
      <c r="H1225" s="29" t="s">
        <v>39</v>
      </c>
      <c r="I1225" s="29">
        <v>1</v>
      </c>
      <c r="J1225" s="29" t="s">
        <v>46</v>
      </c>
      <c r="K1225" s="15">
        <f>(VLOOKUP(H1225,'[1]BOM Info General'!$A:$L,12,0))*I1225</f>
        <v>24.42</v>
      </c>
      <c r="L1225" s="26" t="s">
        <v>96</v>
      </c>
      <c r="M1225" s="26">
        <v>1</v>
      </c>
      <c r="N1225" s="26" t="s">
        <v>93</v>
      </c>
      <c r="O1225" s="9">
        <f>(VLOOKUP(L1225,'[1]Simulation pricing per sub assy'!$D:$E,2,0))*M1225</f>
        <v>42.968799999999987</v>
      </c>
      <c r="P1225" s="30">
        <v>0</v>
      </c>
      <c r="Q1225" s="30">
        <v>0</v>
      </c>
      <c r="R1225" s="30" t="e">
        <v>#N/A</v>
      </c>
      <c r="S1225" s="40">
        <v>0</v>
      </c>
      <c r="T1225" s="31" t="s">
        <v>32</v>
      </c>
      <c r="U1225" s="31">
        <v>1</v>
      </c>
      <c r="V1225" s="31" t="s">
        <v>33</v>
      </c>
      <c r="W1225" s="17">
        <f>(VLOOKUP(T1225,'[1]Simulation pricing per sub assy'!$D:$E,2,0))*U1225</f>
        <v>8.51</v>
      </c>
      <c r="X1225" s="32" t="s">
        <v>613</v>
      </c>
      <c r="Y1225" s="32">
        <v>1</v>
      </c>
      <c r="Z1225" s="32" t="s">
        <v>34</v>
      </c>
      <c r="AA1225" s="18">
        <f>(VLOOKUP(X1225,'[1]Simulation pricing per sub assy'!$D:$E,2,0))*Y1225</f>
        <v>1.2612108000000002</v>
      </c>
    </row>
    <row r="1226" spans="1:27" x14ac:dyDescent="0.35">
      <c r="A1226" s="27" t="s">
        <v>2098</v>
      </c>
      <c r="B1226" s="27" t="s">
        <v>4473</v>
      </c>
      <c r="C1226" s="42">
        <f t="shared" si="19"/>
        <v>112.8700108</v>
      </c>
      <c r="D1226" s="28" t="s">
        <v>2058</v>
      </c>
      <c r="E1226" s="28">
        <v>1</v>
      </c>
      <c r="F1226" s="28" t="s">
        <v>2059</v>
      </c>
      <c r="G1226" s="14">
        <f>(VLOOKUP(D1226,'[1]BOM Info General'!$A:$L,12,0))*E1226</f>
        <v>35.56</v>
      </c>
      <c r="H1226" s="29" t="s">
        <v>39</v>
      </c>
      <c r="I1226" s="29">
        <v>1</v>
      </c>
      <c r="J1226" s="29" t="s">
        <v>46</v>
      </c>
      <c r="K1226" s="15">
        <f>(VLOOKUP(H1226,'[1]BOM Info General'!$A:$L,12,0))*I1226</f>
        <v>24.42</v>
      </c>
      <c r="L1226" s="26" t="s">
        <v>92</v>
      </c>
      <c r="M1226" s="26">
        <v>1</v>
      </c>
      <c r="N1226" s="26" t="s">
        <v>95</v>
      </c>
      <c r="O1226" s="9">
        <f>(VLOOKUP(L1226,'[1]Simulation pricing per sub assy'!$D:$E,2,0))*M1226</f>
        <v>43.118799999999993</v>
      </c>
      <c r="P1226" s="30">
        <v>0</v>
      </c>
      <c r="Q1226" s="30">
        <v>0</v>
      </c>
      <c r="R1226" s="30" t="e">
        <v>#N/A</v>
      </c>
      <c r="S1226" s="40">
        <v>0</v>
      </c>
      <c r="T1226" s="31" t="s">
        <v>32</v>
      </c>
      <c r="U1226" s="31">
        <v>1</v>
      </c>
      <c r="V1226" s="31" t="s">
        <v>33</v>
      </c>
      <c r="W1226" s="17">
        <f>(VLOOKUP(T1226,'[1]Simulation pricing per sub assy'!$D:$E,2,0))*U1226</f>
        <v>8.51</v>
      </c>
      <c r="X1226" s="32" t="s">
        <v>613</v>
      </c>
      <c r="Y1226" s="32">
        <v>1</v>
      </c>
      <c r="Z1226" s="32" t="s">
        <v>34</v>
      </c>
      <c r="AA1226" s="18">
        <f>(VLOOKUP(X1226,'[1]Simulation pricing per sub assy'!$D:$E,2,0))*Y1226</f>
        <v>1.2612108000000002</v>
      </c>
    </row>
    <row r="1227" spans="1:27" x14ac:dyDescent="0.35">
      <c r="A1227" s="27" t="s">
        <v>2099</v>
      </c>
      <c r="B1227" s="27" t="s">
        <v>4474</v>
      </c>
      <c r="C1227" s="42">
        <f t="shared" si="19"/>
        <v>266.47500080000003</v>
      </c>
      <c r="D1227" s="28" t="s">
        <v>3540</v>
      </c>
      <c r="E1227" s="28">
        <v>2</v>
      </c>
      <c r="F1227" s="28" t="s">
        <v>3981</v>
      </c>
      <c r="G1227" s="14">
        <f>(VLOOKUP(D1227,'[1]BOM Info General'!$A:$L,12,0))*E1227</f>
        <v>130.12</v>
      </c>
      <c r="H1227" s="29" t="s">
        <v>40</v>
      </c>
      <c r="I1227" s="29">
        <v>1</v>
      </c>
      <c r="J1227" s="29" t="s">
        <v>45</v>
      </c>
      <c r="K1227" s="15">
        <f>(VLOOKUP(H1227,'[1]BOM Info General'!$A:$L,12,0))*I1227</f>
        <v>25.59</v>
      </c>
      <c r="L1227" s="26" t="s">
        <v>526</v>
      </c>
      <c r="M1227" s="26">
        <v>1</v>
      </c>
      <c r="N1227" s="26" t="s">
        <v>106</v>
      </c>
      <c r="O1227" s="9">
        <f>(VLOOKUP(L1227,'[1]Simulation pricing per sub assy'!$D:$E,2,0))*M1227</f>
        <v>93.186400000000035</v>
      </c>
      <c r="P1227" s="30">
        <v>0</v>
      </c>
      <c r="Q1227" s="30">
        <v>0</v>
      </c>
      <c r="R1227" s="30" t="e">
        <v>#N/A</v>
      </c>
      <c r="S1227" s="40">
        <v>0</v>
      </c>
      <c r="T1227" s="31" t="s">
        <v>35</v>
      </c>
      <c r="U1227" s="31">
        <v>1</v>
      </c>
      <c r="V1227" s="31" t="s">
        <v>36</v>
      </c>
      <c r="W1227" s="17">
        <f>(VLOOKUP(T1227,'[1]Simulation pricing per sub assy'!$D:$E,2,0))*U1227</f>
        <v>15.3</v>
      </c>
      <c r="X1227" s="32" t="s">
        <v>614</v>
      </c>
      <c r="Y1227" s="32">
        <v>1</v>
      </c>
      <c r="Z1227" s="32" t="s">
        <v>37</v>
      </c>
      <c r="AA1227" s="18">
        <f>(VLOOKUP(X1227,'[1]Simulation pricing per sub assy'!$D:$E,2,0))*Y1227</f>
        <v>2.2786008000000004</v>
      </c>
    </row>
    <row r="1228" spans="1:27" x14ac:dyDescent="0.35">
      <c r="A1228" s="27" t="s">
        <v>2100</v>
      </c>
      <c r="B1228" s="27" t="s">
        <v>4475</v>
      </c>
      <c r="C1228" s="42">
        <f t="shared" si="19"/>
        <v>261.47500080000003</v>
      </c>
      <c r="D1228" s="28" t="s">
        <v>3540</v>
      </c>
      <c r="E1228" s="28">
        <v>2</v>
      </c>
      <c r="F1228" s="28" t="s">
        <v>3981</v>
      </c>
      <c r="G1228" s="14">
        <f>(VLOOKUP(D1228,'[1]BOM Info General'!$A:$L,12,0))*E1228</f>
        <v>130.12</v>
      </c>
      <c r="H1228" s="29" t="s">
        <v>40</v>
      </c>
      <c r="I1228" s="29">
        <v>1</v>
      </c>
      <c r="J1228" s="29" t="s">
        <v>45</v>
      </c>
      <c r="K1228" s="15">
        <f>(VLOOKUP(H1228,'[1]BOM Info General'!$A:$L,12,0))*I1228</f>
        <v>25.59</v>
      </c>
      <c r="L1228" s="26" t="s">
        <v>103</v>
      </c>
      <c r="M1228" s="26">
        <v>1</v>
      </c>
      <c r="N1228" s="26" t="s">
        <v>100</v>
      </c>
      <c r="O1228" s="9">
        <f>(VLOOKUP(L1228,'[1]Simulation pricing per sub assy'!$D:$E,2,0))*M1228</f>
        <v>88.186400000000035</v>
      </c>
      <c r="P1228" s="30">
        <v>0</v>
      </c>
      <c r="Q1228" s="30">
        <v>0</v>
      </c>
      <c r="R1228" s="30" t="e">
        <v>#N/A</v>
      </c>
      <c r="S1228" s="40">
        <v>0</v>
      </c>
      <c r="T1228" s="31" t="s">
        <v>35</v>
      </c>
      <c r="U1228" s="31">
        <v>1</v>
      </c>
      <c r="V1228" s="31" t="s">
        <v>36</v>
      </c>
      <c r="W1228" s="17">
        <f>(VLOOKUP(T1228,'[1]Simulation pricing per sub assy'!$D:$E,2,0))*U1228</f>
        <v>15.3</v>
      </c>
      <c r="X1228" s="32" t="s">
        <v>614</v>
      </c>
      <c r="Y1228" s="32">
        <v>1</v>
      </c>
      <c r="Z1228" s="32" t="s">
        <v>37</v>
      </c>
      <c r="AA1228" s="18">
        <f>(VLOOKUP(X1228,'[1]Simulation pricing per sub assy'!$D:$E,2,0))*Y1228</f>
        <v>2.2786008000000004</v>
      </c>
    </row>
    <row r="1229" spans="1:27" x14ac:dyDescent="0.35">
      <c r="A1229" s="27" t="s">
        <v>2101</v>
      </c>
      <c r="B1229" s="27" t="s">
        <v>4476</v>
      </c>
      <c r="C1229" s="42">
        <f t="shared" si="19"/>
        <v>261.47500080000003</v>
      </c>
      <c r="D1229" s="28" t="s">
        <v>3540</v>
      </c>
      <c r="E1229" s="28">
        <v>2</v>
      </c>
      <c r="F1229" s="28" t="s">
        <v>3981</v>
      </c>
      <c r="G1229" s="14">
        <f>(VLOOKUP(D1229,'[1]BOM Info General'!$A:$L,12,0))*E1229</f>
        <v>130.12</v>
      </c>
      <c r="H1229" s="29" t="s">
        <v>40</v>
      </c>
      <c r="I1229" s="29">
        <v>1</v>
      </c>
      <c r="J1229" s="29" t="s">
        <v>45</v>
      </c>
      <c r="K1229" s="15">
        <f>(VLOOKUP(H1229,'[1]BOM Info General'!$A:$L,12,0))*I1229</f>
        <v>25.59</v>
      </c>
      <c r="L1229" s="26" t="s">
        <v>99</v>
      </c>
      <c r="M1229" s="26">
        <v>1</v>
      </c>
      <c r="N1229" s="26" t="s">
        <v>98</v>
      </c>
      <c r="O1229" s="9">
        <f>(VLOOKUP(L1229,'[1]Simulation pricing per sub assy'!$D:$E,2,0))*M1229</f>
        <v>88.186400000000035</v>
      </c>
      <c r="P1229" s="30">
        <v>0</v>
      </c>
      <c r="Q1229" s="30">
        <v>0</v>
      </c>
      <c r="R1229" s="30" t="e">
        <v>#N/A</v>
      </c>
      <c r="S1229" s="40">
        <v>0</v>
      </c>
      <c r="T1229" s="31" t="s">
        <v>35</v>
      </c>
      <c r="U1229" s="31">
        <v>1</v>
      </c>
      <c r="V1229" s="31" t="s">
        <v>36</v>
      </c>
      <c r="W1229" s="17">
        <f>(VLOOKUP(T1229,'[1]Simulation pricing per sub assy'!$D:$E,2,0))*U1229</f>
        <v>15.3</v>
      </c>
      <c r="X1229" s="32" t="s">
        <v>614</v>
      </c>
      <c r="Y1229" s="32">
        <v>1</v>
      </c>
      <c r="Z1229" s="32" t="s">
        <v>37</v>
      </c>
      <c r="AA1229" s="18">
        <f>(VLOOKUP(X1229,'[1]Simulation pricing per sub assy'!$D:$E,2,0))*Y1229</f>
        <v>2.2786008000000004</v>
      </c>
    </row>
    <row r="1230" spans="1:27" x14ac:dyDescent="0.35">
      <c r="A1230" s="27" t="s">
        <v>2102</v>
      </c>
      <c r="B1230" s="27" t="s">
        <v>4477</v>
      </c>
      <c r="C1230" s="42">
        <f t="shared" si="19"/>
        <v>260.92500080000002</v>
      </c>
      <c r="D1230" s="28" t="s">
        <v>3540</v>
      </c>
      <c r="E1230" s="28">
        <v>2</v>
      </c>
      <c r="F1230" s="28" t="s">
        <v>3981</v>
      </c>
      <c r="G1230" s="14">
        <f>(VLOOKUP(D1230,'[1]BOM Info General'!$A:$L,12,0))*E1230</f>
        <v>130.12</v>
      </c>
      <c r="H1230" s="29" t="s">
        <v>40</v>
      </c>
      <c r="I1230" s="29">
        <v>1</v>
      </c>
      <c r="J1230" s="29" t="s">
        <v>45</v>
      </c>
      <c r="K1230" s="15">
        <f>(VLOOKUP(H1230,'[1]BOM Info General'!$A:$L,12,0))*I1230</f>
        <v>25.59</v>
      </c>
      <c r="L1230" s="26" t="s">
        <v>105</v>
      </c>
      <c r="M1230" s="26">
        <v>1</v>
      </c>
      <c r="N1230" s="26" t="s">
        <v>102</v>
      </c>
      <c r="O1230" s="9">
        <f>(VLOOKUP(L1230,'[1]Simulation pricing per sub assy'!$D:$E,2,0))*M1230</f>
        <v>87.636400000000037</v>
      </c>
      <c r="P1230" s="30">
        <v>0</v>
      </c>
      <c r="Q1230" s="30">
        <v>0</v>
      </c>
      <c r="R1230" s="30" t="e">
        <v>#N/A</v>
      </c>
      <c r="S1230" s="40">
        <v>0</v>
      </c>
      <c r="T1230" s="31" t="s">
        <v>35</v>
      </c>
      <c r="U1230" s="31">
        <v>1</v>
      </c>
      <c r="V1230" s="31" t="s">
        <v>36</v>
      </c>
      <c r="W1230" s="17">
        <f>(VLOOKUP(T1230,'[1]Simulation pricing per sub assy'!$D:$E,2,0))*U1230</f>
        <v>15.3</v>
      </c>
      <c r="X1230" s="32" t="s">
        <v>614</v>
      </c>
      <c r="Y1230" s="32">
        <v>1</v>
      </c>
      <c r="Z1230" s="32" t="s">
        <v>37</v>
      </c>
      <c r="AA1230" s="18">
        <f>(VLOOKUP(X1230,'[1]Simulation pricing per sub assy'!$D:$E,2,0))*Y1230</f>
        <v>2.2786008000000004</v>
      </c>
    </row>
    <row r="1231" spans="1:27" x14ac:dyDescent="0.35">
      <c r="A1231" s="27" t="s">
        <v>2103</v>
      </c>
      <c r="B1231" s="27" t="s">
        <v>4478</v>
      </c>
      <c r="C1231" s="42">
        <f t="shared" si="19"/>
        <v>261.47500080000003</v>
      </c>
      <c r="D1231" s="28" t="s">
        <v>3540</v>
      </c>
      <c r="E1231" s="28">
        <v>2</v>
      </c>
      <c r="F1231" s="28" t="s">
        <v>3981</v>
      </c>
      <c r="G1231" s="14">
        <f>(VLOOKUP(D1231,'[1]BOM Info General'!$A:$L,12,0))*E1231</f>
        <v>130.12</v>
      </c>
      <c r="H1231" s="29" t="s">
        <v>40</v>
      </c>
      <c r="I1231" s="29">
        <v>1</v>
      </c>
      <c r="J1231" s="29" t="s">
        <v>45</v>
      </c>
      <c r="K1231" s="15">
        <f>(VLOOKUP(H1231,'[1]BOM Info General'!$A:$L,12,0))*I1231</f>
        <v>25.59</v>
      </c>
      <c r="L1231" s="26" t="s">
        <v>101</v>
      </c>
      <c r="M1231" s="26">
        <v>1</v>
      </c>
      <c r="N1231" s="26" t="s">
        <v>104</v>
      </c>
      <c r="O1231" s="9">
        <f>(VLOOKUP(L1231,'[1]Simulation pricing per sub assy'!$D:$E,2,0))*M1231</f>
        <v>88.186400000000035</v>
      </c>
      <c r="P1231" s="30">
        <v>0</v>
      </c>
      <c r="Q1231" s="30">
        <v>0</v>
      </c>
      <c r="R1231" s="30" t="e">
        <v>#N/A</v>
      </c>
      <c r="S1231" s="40">
        <v>0</v>
      </c>
      <c r="T1231" s="31" t="s">
        <v>35</v>
      </c>
      <c r="U1231" s="31">
        <v>1</v>
      </c>
      <c r="V1231" s="31" t="s">
        <v>36</v>
      </c>
      <c r="W1231" s="17">
        <f>(VLOOKUP(T1231,'[1]Simulation pricing per sub assy'!$D:$E,2,0))*U1231</f>
        <v>15.3</v>
      </c>
      <c r="X1231" s="32" t="s">
        <v>614</v>
      </c>
      <c r="Y1231" s="32">
        <v>1</v>
      </c>
      <c r="Z1231" s="32" t="s">
        <v>37</v>
      </c>
      <c r="AA1231" s="18">
        <f>(VLOOKUP(X1231,'[1]Simulation pricing per sub assy'!$D:$E,2,0))*Y1231</f>
        <v>2.2786008000000004</v>
      </c>
    </row>
    <row r="1232" spans="1:27" x14ac:dyDescent="0.35">
      <c r="A1232" s="27" t="s">
        <v>2104</v>
      </c>
      <c r="B1232" s="27" t="s">
        <v>2105</v>
      </c>
      <c r="C1232" s="42">
        <f t="shared" si="19"/>
        <v>266.47500080000003</v>
      </c>
      <c r="D1232" s="33" t="s">
        <v>3540</v>
      </c>
      <c r="E1232" s="33">
        <v>2</v>
      </c>
      <c r="F1232" s="33" t="s">
        <v>3981</v>
      </c>
      <c r="G1232" s="14">
        <f>(VLOOKUP(D1232,'[1]BOM Info General'!$A:$L,12,0))*E1232</f>
        <v>130.12</v>
      </c>
      <c r="H1232" s="34" t="s">
        <v>40</v>
      </c>
      <c r="I1232" s="34">
        <v>1</v>
      </c>
      <c r="J1232" s="34" t="s">
        <v>45</v>
      </c>
      <c r="K1232" s="15">
        <f>(VLOOKUP(H1232,'[1]BOM Info General'!$A:$L,12,0))*I1232</f>
        <v>25.59</v>
      </c>
      <c r="L1232" s="35" t="s">
        <v>526</v>
      </c>
      <c r="M1232" s="35">
        <v>1</v>
      </c>
      <c r="N1232" s="35" t="s">
        <v>106</v>
      </c>
      <c r="O1232" s="9">
        <f>(VLOOKUP(L1232,'[1]Simulation pricing per sub assy'!$D:$E,2,0))*M1232</f>
        <v>93.186400000000035</v>
      </c>
      <c r="P1232" s="36">
        <v>0</v>
      </c>
      <c r="Q1232" s="36">
        <v>0</v>
      </c>
      <c r="R1232" s="36" t="e">
        <v>#N/A</v>
      </c>
      <c r="S1232" s="40">
        <v>0</v>
      </c>
      <c r="T1232" s="37" t="s">
        <v>35</v>
      </c>
      <c r="U1232" s="37">
        <v>1</v>
      </c>
      <c r="V1232" s="37" t="s">
        <v>36</v>
      </c>
      <c r="W1232" s="17">
        <f>(VLOOKUP(T1232,'[1]Simulation pricing per sub assy'!$D:$E,2,0))*U1232</f>
        <v>15.3</v>
      </c>
      <c r="X1232" s="32" t="s">
        <v>614</v>
      </c>
      <c r="Y1232" s="38">
        <v>1</v>
      </c>
      <c r="Z1232" s="38" t="s">
        <v>37</v>
      </c>
      <c r="AA1232" s="18">
        <f>(VLOOKUP(X1232,'[1]Simulation pricing per sub assy'!$D:$E,2,0))*Y1232</f>
        <v>2.2786008000000004</v>
      </c>
    </row>
    <row r="1233" spans="1:27" x14ac:dyDescent="0.35">
      <c r="A1233" s="27" t="s">
        <v>2106</v>
      </c>
      <c r="B1233" s="27" t="s">
        <v>2107</v>
      </c>
      <c r="C1233" s="42">
        <f t="shared" si="19"/>
        <v>261.47500080000003</v>
      </c>
      <c r="D1233" s="33" t="s">
        <v>3540</v>
      </c>
      <c r="E1233" s="33">
        <v>2</v>
      </c>
      <c r="F1233" s="33" t="s">
        <v>3981</v>
      </c>
      <c r="G1233" s="14">
        <f>(VLOOKUP(D1233,'[1]BOM Info General'!$A:$L,12,0))*E1233</f>
        <v>130.12</v>
      </c>
      <c r="H1233" s="34" t="s">
        <v>40</v>
      </c>
      <c r="I1233" s="34">
        <v>1</v>
      </c>
      <c r="J1233" s="34" t="s">
        <v>45</v>
      </c>
      <c r="K1233" s="15">
        <f>(VLOOKUP(H1233,'[1]BOM Info General'!$A:$L,12,0))*I1233</f>
        <v>25.59</v>
      </c>
      <c r="L1233" s="35" t="s">
        <v>103</v>
      </c>
      <c r="M1233" s="35">
        <v>1</v>
      </c>
      <c r="N1233" s="35" t="s">
        <v>100</v>
      </c>
      <c r="O1233" s="9">
        <f>(VLOOKUP(L1233,'[1]Simulation pricing per sub assy'!$D:$E,2,0))*M1233</f>
        <v>88.186400000000035</v>
      </c>
      <c r="P1233" s="36">
        <v>0</v>
      </c>
      <c r="Q1233" s="36">
        <v>0</v>
      </c>
      <c r="R1233" s="36" t="e">
        <v>#N/A</v>
      </c>
      <c r="S1233" s="40">
        <v>0</v>
      </c>
      <c r="T1233" s="37" t="s">
        <v>35</v>
      </c>
      <c r="U1233" s="37">
        <v>1</v>
      </c>
      <c r="V1233" s="37" t="s">
        <v>36</v>
      </c>
      <c r="W1233" s="17">
        <f>(VLOOKUP(T1233,'[1]Simulation pricing per sub assy'!$D:$E,2,0))*U1233</f>
        <v>15.3</v>
      </c>
      <c r="X1233" s="32" t="s">
        <v>614</v>
      </c>
      <c r="Y1233" s="38">
        <v>1</v>
      </c>
      <c r="Z1233" s="38" t="s">
        <v>37</v>
      </c>
      <c r="AA1233" s="18">
        <f>(VLOOKUP(X1233,'[1]Simulation pricing per sub assy'!$D:$E,2,0))*Y1233</f>
        <v>2.2786008000000004</v>
      </c>
    </row>
    <row r="1234" spans="1:27" x14ac:dyDescent="0.35">
      <c r="A1234" s="27" t="s">
        <v>2108</v>
      </c>
      <c r="B1234" s="27" t="s">
        <v>2109</v>
      </c>
      <c r="C1234" s="42">
        <f t="shared" si="19"/>
        <v>261.47500080000003</v>
      </c>
      <c r="D1234" s="33" t="s">
        <v>3540</v>
      </c>
      <c r="E1234" s="33">
        <v>2</v>
      </c>
      <c r="F1234" s="33" t="s">
        <v>3981</v>
      </c>
      <c r="G1234" s="14">
        <f>(VLOOKUP(D1234,'[1]BOM Info General'!$A:$L,12,0))*E1234</f>
        <v>130.12</v>
      </c>
      <c r="H1234" s="34" t="s">
        <v>40</v>
      </c>
      <c r="I1234" s="34">
        <v>1</v>
      </c>
      <c r="J1234" s="34" t="s">
        <v>45</v>
      </c>
      <c r="K1234" s="15">
        <f>(VLOOKUP(H1234,'[1]BOM Info General'!$A:$L,12,0))*I1234</f>
        <v>25.59</v>
      </c>
      <c r="L1234" s="35" t="s">
        <v>99</v>
      </c>
      <c r="M1234" s="35">
        <v>1</v>
      </c>
      <c r="N1234" s="35" t="s">
        <v>98</v>
      </c>
      <c r="O1234" s="9">
        <f>(VLOOKUP(L1234,'[1]Simulation pricing per sub assy'!$D:$E,2,0))*M1234</f>
        <v>88.186400000000035</v>
      </c>
      <c r="P1234" s="36">
        <v>0</v>
      </c>
      <c r="Q1234" s="36">
        <v>0</v>
      </c>
      <c r="R1234" s="36" t="e">
        <v>#N/A</v>
      </c>
      <c r="S1234" s="40">
        <v>0</v>
      </c>
      <c r="T1234" s="37" t="s">
        <v>35</v>
      </c>
      <c r="U1234" s="37">
        <v>1</v>
      </c>
      <c r="V1234" s="37" t="s">
        <v>36</v>
      </c>
      <c r="W1234" s="17">
        <f>(VLOOKUP(T1234,'[1]Simulation pricing per sub assy'!$D:$E,2,0))*U1234</f>
        <v>15.3</v>
      </c>
      <c r="X1234" s="32" t="s">
        <v>614</v>
      </c>
      <c r="Y1234" s="38">
        <v>1</v>
      </c>
      <c r="Z1234" s="38" t="s">
        <v>37</v>
      </c>
      <c r="AA1234" s="18">
        <f>(VLOOKUP(X1234,'[1]Simulation pricing per sub assy'!$D:$E,2,0))*Y1234</f>
        <v>2.2786008000000004</v>
      </c>
    </row>
    <row r="1235" spans="1:27" x14ac:dyDescent="0.35">
      <c r="A1235" s="27" t="s">
        <v>2110</v>
      </c>
      <c r="B1235" s="27" t="s">
        <v>2111</v>
      </c>
      <c r="C1235" s="42">
        <f t="shared" si="19"/>
        <v>260.92500080000002</v>
      </c>
      <c r="D1235" s="33" t="s">
        <v>3540</v>
      </c>
      <c r="E1235" s="33">
        <v>2</v>
      </c>
      <c r="F1235" s="33" t="s">
        <v>3981</v>
      </c>
      <c r="G1235" s="14">
        <f>(VLOOKUP(D1235,'[1]BOM Info General'!$A:$L,12,0))*E1235</f>
        <v>130.12</v>
      </c>
      <c r="H1235" s="34" t="s">
        <v>40</v>
      </c>
      <c r="I1235" s="34">
        <v>1</v>
      </c>
      <c r="J1235" s="34" t="s">
        <v>45</v>
      </c>
      <c r="K1235" s="15">
        <f>(VLOOKUP(H1235,'[1]BOM Info General'!$A:$L,12,0))*I1235</f>
        <v>25.59</v>
      </c>
      <c r="L1235" s="35" t="s">
        <v>105</v>
      </c>
      <c r="M1235" s="35">
        <v>1</v>
      </c>
      <c r="N1235" s="35" t="s">
        <v>102</v>
      </c>
      <c r="O1235" s="9">
        <f>(VLOOKUP(L1235,'[1]Simulation pricing per sub assy'!$D:$E,2,0))*M1235</f>
        <v>87.636400000000037</v>
      </c>
      <c r="P1235" s="36">
        <v>0</v>
      </c>
      <c r="Q1235" s="36">
        <v>0</v>
      </c>
      <c r="R1235" s="36" t="e">
        <v>#N/A</v>
      </c>
      <c r="S1235" s="40">
        <v>0</v>
      </c>
      <c r="T1235" s="37" t="s">
        <v>35</v>
      </c>
      <c r="U1235" s="37">
        <v>1</v>
      </c>
      <c r="V1235" s="37" t="s">
        <v>36</v>
      </c>
      <c r="W1235" s="17">
        <f>(VLOOKUP(T1235,'[1]Simulation pricing per sub assy'!$D:$E,2,0))*U1235</f>
        <v>15.3</v>
      </c>
      <c r="X1235" s="32" t="s">
        <v>614</v>
      </c>
      <c r="Y1235" s="38">
        <v>1</v>
      </c>
      <c r="Z1235" s="38" t="s">
        <v>37</v>
      </c>
      <c r="AA1235" s="18">
        <f>(VLOOKUP(X1235,'[1]Simulation pricing per sub assy'!$D:$E,2,0))*Y1235</f>
        <v>2.2786008000000004</v>
      </c>
    </row>
    <row r="1236" spans="1:27" x14ac:dyDescent="0.35">
      <c r="A1236" s="27" t="s">
        <v>2112</v>
      </c>
      <c r="B1236" s="27" t="s">
        <v>2113</v>
      </c>
      <c r="C1236" s="42">
        <f t="shared" si="19"/>
        <v>261.47500080000003</v>
      </c>
      <c r="D1236" s="33" t="s">
        <v>3540</v>
      </c>
      <c r="E1236" s="33">
        <v>2</v>
      </c>
      <c r="F1236" s="33" t="s">
        <v>3981</v>
      </c>
      <c r="G1236" s="14">
        <f>(VLOOKUP(D1236,'[1]BOM Info General'!$A:$L,12,0))*E1236</f>
        <v>130.12</v>
      </c>
      <c r="H1236" s="34" t="s">
        <v>40</v>
      </c>
      <c r="I1236" s="34">
        <v>1</v>
      </c>
      <c r="J1236" s="34" t="s">
        <v>45</v>
      </c>
      <c r="K1236" s="15">
        <f>(VLOOKUP(H1236,'[1]BOM Info General'!$A:$L,12,0))*I1236</f>
        <v>25.59</v>
      </c>
      <c r="L1236" s="35" t="s">
        <v>101</v>
      </c>
      <c r="M1236" s="35">
        <v>1</v>
      </c>
      <c r="N1236" s="35" t="s">
        <v>104</v>
      </c>
      <c r="O1236" s="9">
        <f>(VLOOKUP(L1236,'[1]Simulation pricing per sub assy'!$D:$E,2,0))*M1236</f>
        <v>88.186400000000035</v>
      </c>
      <c r="P1236" s="36">
        <v>0</v>
      </c>
      <c r="Q1236" s="36">
        <v>0</v>
      </c>
      <c r="R1236" s="36" t="e">
        <v>#N/A</v>
      </c>
      <c r="S1236" s="40">
        <v>0</v>
      </c>
      <c r="T1236" s="37" t="s">
        <v>35</v>
      </c>
      <c r="U1236" s="37">
        <v>1</v>
      </c>
      <c r="V1236" s="37" t="s">
        <v>36</v>
      </c>
      <c r="W1236" s="17">
        <f>(VLOOKUP(T1236,'[1]Simulation pricing per sub assy'!$D:$E,2,0))*U1236</f>
        <v>15.3</v>
      </c>
      <c r="X1236" s="32" t="s">
        <v>614</v>
      </c>
      <c r="Y1236" s="38">
        <v>1</v>
      </c>
      <c r="Z1236" s="38" t="s">
        <v>37</v>
      </c>
      <c r="AA1236" s="18">
        <f>(VLOOKUP(X1236,'[1]Simulation pricing per sub assy'!$D:$E,2,0))*Y1236</f>
        <v>2.2786008000000004</v>
      </c>
    </row>
    <row r="1237" spans="1:27" x14ac:dyDescent="0.35">
      <c r="A1237" s="27" t="s">
        <v>2114</v>
      </c>
      <c r="B1237" s="27" t="s">
        <v>2115</v>
      </c>
      <c r="C1237" s="42">
        <f t="shared" si="19"/>
        <v>268.06500080000006</v>
      </c>
      <c r="D1237" s="33" t="s">
        <v>3540</v>
      </c>
      <c r="E1237" s="33">
        <v>2</v>
      </c>
      <c r="F1237" s="33" t="s">
        <v>3981</v>
      </c>
      <c r="G1237" s="14">
        <f>(VLOOKUP(D1237,'[1]BOM Info General'!$A:$L,12,0))*E1237</f>
        <v>130.12</v>
      </c>
      <c r="H1237" s="34" t="s">
        <v>41</v>
      </c>
      <c r="I1237" s="34">
        <v>1</v>
      </c>
      <c r="J1237" s="34" t="s">
        <v>47</v>
      </c>
      <c r="K1237" s="15">
        <f>(VLOOKUP(H1237,'[1]BOM Info General'!$A:$L,12,0))*I1237</f>
        <v>27.18</v>
      </c>
      <c r="L1237" s="35" t="s">
        <v>526</v>
      </c>
      <c r="M1237" s="35">
        <v>1</v>
      </c>
      <c r="N1237" s="35" t="s">
        <v>106</v>
      </c>
      <c r="O1237" s="9">
        <f>(VLOOKUP(L1237,'[1]Simulation pricing per sub assy'!$D:$E,2,0))*M1237</f>
        <v>93.186400000000035</v>
      </c>
      <c r="P1237" s="36">
        <v>0</v>
      </c>
      <c r="Q1237" s="36">
        <v>0</v>
      </c>
      <c r="R1237" s="36" t="e">
        <v>#N/A</v>
      </c>
      <c r="S1237" s="40">
        <v>0</v>
      </c>
      <c r="T1237" s="37" t="s">
        <v>35</v>
      </c>
      <c r="U1237" s="37">
        <v>1</v>
      </c>
      <c r="V1237" s="37" t="s">
        <v>36</v>
      </c>
      <c r="W1237" s="17">
        <f>(VLOOKUP(T1237,'[1]Simulation pricing per sub assy'!$D:$E,2,0))*U1237</f>
        <v>15.3</v>
      </c>
      <c r="X1237" s="32" t="s">
        <v>614</v>
      </c>
      <c r="Y1237" s="38">
        <v>1</v>
      </c>
      <c r="Z1237" s="38" t="s">
        <v>37</v>
      </c>
      <c r="AA1237" s="18">
        <f>(VLOOKUP(X1237,'[1]Simulation pricing per sub assy'!$D:$E,2,0))*Y1237</f>
        <v>2.2786008000000004</v>
      </c>
    </row>
    <row r="1238" spans="1:27" x14ac:dyDescent="0.35">
      <c r="A1238" s="27" t="s">
        <v>2116</v>
      </c>
      <c r="B1238" s="27" t="s">
        <v>2117</v>
      </c>
      <c r="C1238" s="42">
        <f t="shared" si="19"/>
        <v>263.06500080000006</v>
      </c>
      <c r="D1238" s="33" t="s">
        <v>3540</v>
      </c>
      <c r="E1238" s="33">
        <v>2</v>
      </c>
      <c r="F1238" s="33" t="s">
        <v>3981</v>
      </c>
      <c r="G1238" s="14">
        <f>(VLOOKUP(D1238,'[1]BOM Info General'!$A:$L,12,0))*E1238</f>
        <v>130.12</v>
      </c>
      <c r="H1238" s="34" t="s">
        <v>41</v>
      </c>
      <c r="I1238" s="34">
        <v>1</v>
      </c>
      <c r="J1238" s="34" t="s">
        <v>47</v>
      </c>
      <c r="K1238" s="15">
        <f>(VLOOKUP(H1238,'[1]BOM Info General'!$A:$L,12,0))*I1238</f>
        <v>27.18</v>
      </c>
      <c r="L1238" s="35" t="s">
        <v>103</v>
      </c>
      <c r="M1238" s="35">
        <v>1</v>
      </c>
      <c r="N1238" s="35" t="s">
        <v>100</v>
      </c>
      <c r="O1238" s="9">
        <f>(VLOOKUP(L1238,'[1]Simulation pricing per sub assy'!$D:$E,2,0))*M1238</f>
        <v>88.186400000000035</v>
      </c>
      <c r="P1238" s="36">
        <v>0</v>
      </c>
      <c r="Q1238" s="36">
        <v>0</v>
      </c>
      <c r="R1238" s="36" t="e">
        <v>#N/A</v>
      </c>
      <c r="S1238" s="40">
        <v>0</v>
      </c>
      <c r="T1238" s="37" t="s">
        <v>35</v>
      </c>
      <c r="U1238" s="37">
        <v>1</v>
      </c>
      <c r="V1238" s="37" t="s">
        <v>36</v>
      </c>
      <c r="W1238" s="17">
        <f>(VLOOKUP(T1238,'[1]Simulation pricing per sub assy'!$D:$E,2,0))*U1238</f>
        <v>15.3</v>
      </c>
      <c r="X1238" s="32" t="s">
        <v>614</v>
      </c>
      <c r="Y1238" s="38">
        <v>1</v>
      </c>
      <c r="Z1238" s="38" t="s">
        <v>37</v>
      </c>
      <c r="AA1238" s="18">
        <f>(VLOOKUP(X1238,'[1]Simulation pricing per sub assy'!$D:$E,2,0))*Y1238</f>
        <v>2.2786008000000004</v>
      </c>
    </row>
    <row r="1239" spans="1:27" x14ac:dyDescent="0.35">
      <c r="A1239" s="27" t="s">
        <v>2118</v>
      </c>
      <c r="B1239" s="27" t="s">
        <v>2119</v>
      </c>
      <c r="C1239" s="42">
        <f t="shared" si="19"/>
        <v>263.06500080000006</v>
      </c>
      <c r="D1239" s="33" t="s">
        <v>3540</v>
      </c>
      <c r="E1239" s="33">
        <v>2</v>
      </c>
      <c r="F1239" s="33" t="s">
        <v>3981</v>
      </c>
      <c r="G1239" s="14">
        <f>(VLOOKUP(D1239,'[1]BOM Info General'!$A:$L,12,0))*E1239</f>
        <v>130.12</v>
      </c>
      <c r="H1239" s="34" t="s">
        <v>41</v>
      </c>
      <c r="I1239" s="34">
        <v>1</v>
      </c>
      <c r="J1239" s="34" t="s">
        <v>47</v>
      </c>
      <c r="K1239" s="15">
        <f>(VLOOKUP(H1239,'[1]BOM Info General'!$A:$L,12,0))*I1239</f>
        <v>27.18</v>
      </c>
      <c r="L1239" s="35" t="s">
        <v>99</v>
      </c>
      <c r="M1239" s="35">
        <v>1</v>
      </c>
      <c r="N1239" s="35" t="s">
        <v>98</v>
      </c>
      <c r="O1239" s="9">
        <f>(VLOOKUP(L1239,'[1]Simulation pricing per sub assy'!$D:$E,2,0))*M1239</f>
        <v>88.186400000000035</v>
      </c>
      <c r="P1239" s="36">
        <v>0</v>
      </c>
      <c r="Q1239" s="36">
        <v>0</v>
      </c>
      <c r="R1239" s="36" t="e">
        <v>#N/A</v>
      </c>
      <c r="S1239" s="40">
        <v>0</v>
      </c>
      <c r="T1239" s="37" t="s">
        <v>35</v>
      </c>
      <c r="U1239" s="37">
        <v>1</v>
      </c>
      <c r="V1239" s="37" t="s">
        <v>36</v>
      </c>
      <c r="W1239" s="17">
        <f>(VLOOKUP(T1239,'[1]Simulation pricing per sub assy'!$D:$E,2,0))*U1239</f>
        <v>15.3</v>
      </c>
      <c r="X1239" s="32" t="s">
        <v>614</v>
      </c>
      <c r="Y1239" s="38">
        <v>1</v>
      </c>
      <c r="Z1239" s="38" t="s">
        <v>37</v>
      </c>
      <c r="AA1239" s="18">
        <f>(VLOOKUP(X1239,'[1]Simulation pricing per sub assy'!$D:$E,2,0))*Y1239</f>
        <v>2.2786008000000004</v>
      </c>
    </row>
    <row r="1240" spans="1:27" x14ac:dyDescent="0.35">
      <c r="A1240" s="27" t="s">
        <v>2120</v>
      </c>
      <c r="B1240" s="27" t="s">
        <v>2121</v>
      </c>
      <c r="C1240" s="42">
        <f t="shared" si="19"/>
        <v>262.51500080000005</v>
      </c>
      <c r="D1240" s="33" t="s">
        <v>3540</v>
      </c>
      <c r="E1240" s="33">
        <v>2</v>
      </c>
      <c r="F1240" s="33" t="s">
        <v>3981</v>
      </c>
      <c r="G1240" s="14">
        <f>(VLOOKUP(D1240,'[1]BOM Info General'!$A:$L,12,0))*E1240</f>
        <v>130.12</v>
      </c>
      <c r="H1240" s="34" t="s">
        <v>41</v>
      </c>
      <c r="I1240" s="34">
        <v>1</v>
      </c>
      <c r="J1240" s="34" t="s">
        <v>47</v>
      </c>
      <c r="K1240" s="15">
        <f>(VLOOKUP(H1240,'[1]BOM Info General'!$A:$L,12,0))*I1240</f>
        <v>27.18</v>
      </c>
      <c r="L1240" s="35" t="s">
        <v>105</v>
      </c>
      <c r="M1240" s="35">
        <v>1</v>
      </c>
      <c r="N1240" s="35" t="s">
        <v>102</v>
      </c>
      <c r="O1240" s="9">
        <f>(VLOOKUP(L1240,'[1]Simulation pricing per sub assy'!$D:$E,2,0))*M1240</f>
        <v>87.636400000000037</v>
      </c>
      <c r="P1240" s="36">
        <v>0</v>
      </c>
      <c r="Q1240" s="36">
        <v>0</v>
      </c>
      <c r="R1240" s="36" t="e">
        <v>#N/A</v>
      </c>
      <c r="S1240" s="40">
        <v>0</v>
      </c>
      <c r="T1240" s="37" t="s">
        <v>35</v>
      </c>
      <c r="U1240" s="37">
        <v>1</v>
      </c>
      <c r="V1240" s="37" t="s">
        <v>36</v>
      </c>
      <c r="W1240" s="17">
        <f>(VLOOKUP(T1240,'[1]Simulation pricing per sub assy'!$D:$E,2,0))*U1240</f>
        <v>15.3</v>
      </c>
      <c r="X1240" s="32" t="s">
        <v>614</v>
      </c>
      <c r="Y1240" s="38">
        <v>1</v>
      </c>
      <c r="Z1240" s="38" t="s">
        <v>37</v>
      </c>
      <c r="AA1240" s="18">
        <f>(VLOOKUP(X1240,'[1]Simulation pricing per sub assy'!$D:$E,2,0))*Y1240</f>
        <v>2.2786008000000004</v>
      </c>
    </row>
    <row r="1241" spans="1:27" x14ac:dyDescent="0.35">
      <c r="A1241" s="27" t="s">
        <v>2122</v>
      </c>
      <c r="B1241" s="27" t="s">
        <v>2123</v>
      </c>
      <c r="C1241" s="42">
        <f t="shared" si="19"/>
        <v>263.06500080000006</v>
      </c>
      <c r="D1241" s="33" t="s">
        <v>3540</v>
      </c>
      <c r="E1241" s="33">
        <v>2</v>
      </c>
      <c r="F1241" s="33" t="s">
        <v>3981</v>
      </c>
      <c r="G1241" s="14">
        <f>(VLOOKUP(D1241,'[1]BOM Info General'!$A:$L,12,0))*E1241</f>
        <v>130.12</v>
      </c>
      <c r="H1241" s="34" t="s">
        <v>41</v>
      </c>
      <c r="I1241" s="34">
        <v>1</v>
      </c>
      <c r="J1241" s="34" t="s">
        <v>47</v>
      </c>
      <c r="K1241" s="15">
        <f>(VLOOKUP(H1241,'[1]BOM Info General'!$A:$L,12,0))*I1241</f>
        <v>27.18</v>
      </c>
      <c r="L1241" s="35" t="s">
        <v>101</v>
      </c>
      <c r="M1241" s="35">
        <v>1</v>
      </c>
      <c r="N1241" s="35" t="s">
        <v>104</v>
      </c>
      <c r="O1241" s="9">
        <f>(VLOOKUP(L1241,'[1]Simulation pricing per sub assy'!$D:$E,2,0))*M1241</f>
        <v>88.186400000000035</v>
      </c>
      <c r="P1241" s="36">
        <v>0</v>
      </c>
      <c r="Q1241" s="36">
        <v>0</v>
      </c>
      <c r="R1241" s="36" t="e">
        <v>#N/A</v>
      </c>
      <c r="S1241" s="40">
        <v>0</v>
      </c>
      <c r="T1241" s="37" t="s">
        <v>35</v>
      </c>
      <c r="U1241" s="37">
        <v>1</v>
      </c>
      <c r="V1241" s="37" t="s">
        <v>36</v>
      </c>
      <c r="W1241" s="17">
        <f>(VLOOKUP(T1241,'[1]Simulation pricing per sub assy'!$D:$E,2,0))*U1241</f>
        <v>15.3</v>
      </c>
      <c r="X1241" s="32" t="s">
        <v>614</v>
      </c>
      <c r="Y1241" s="38">
        <v>1</v>
      </c>
      <c r="Z1241" s="38" t="s">
        <v>37</v>
      </c>
      <c r="AA1241" s="18">
        <f>(VLOOKUP(X1241,'[1]Simulation pricing per sub assy'!$D:$E,2,0))*Y1241</f>
        <v>2.2786008000000004</v>
      </c>
    </row>
    <row r="1242" spans="1:27" x14ac:dyDescent="0.35">
      <c r="A1242" s="27" t="s">
        <v>2124</v>
      </c>
      <c r="B1242" s="27" t="s">
        <v>2125</v>
      </c>
      <c r="C1242" s="42">
        <f t="shared" si="19"/>
        <v>268.06500080000006</v>
      </c>
      <c r="D1242" s="33" t="s">
        <v>3540</v>
      </c>
      <c r="E1242" s="33">
        <v>2</v>
      </c>
      <c r="F1242" s="33" t="s">
        <v>3981</v>
      </c>
      <c r="G1242" s="14">
        <f>(VLOOKUP(D1242,'[1]BOM Info General'!$A:$L,12,0))*E1242</f>
        <v>130.12</v>
      </c>
      <c r="H1242" s="34" t="s">
        <v>41</v>
      </c>
      <c r="I1242" s="34">
        <v>1</v>
      </c>
      <c r="J1242" s="34" t="s">
        <v>47</v>
      </c>
      <c r="K1242" s="15">
        <f>(VLOOKUP(H1242,'[1]BOM Info General'!$A:$L,12,0))*I1242</f>
        <v>27.18</v>
      </c>
      <c r="L1242" s="35" t="s">
        <v>526</v>
      </c>
      <c r="M1242" s="35">
        <v>1</v>
      </c>
      <c r="N1242" s="35" t="s">
        <v>106</v>
      </c>
      <c r="O1242" s="9">
        <f>(VLOOKUP(L1242,'[1]Simulation pricing per sub assy'!$D:$E,2,0))*M1242</f>
        <v>93.186400000000035</v>
      </c>
      <c r="P1242" s="36">
        <v>0</v>
      </c>
      <c r="Q1242" s="36">
        <v>0</v>
      </c>
      <c r="R1242" s="36" t="e">
        <v>#N/A</v>
      </c>
      <c r="S1242" s="40">
        <v>0</v>
      </c>
      <c r="T1242" s="37" t="s">
        <v>35</v>
      </c>
      <c r="U1242" s="37">
        <v>1</v>
      </c>
      <c r="V1242" s="37" t="s">
        <v>36</v>
      </c>
      <c r="W1242" s="17">
        <f>(VLOOKUP(T1242,'[1]Simulation pricing per sub assy'!$D:$E,2,0))*U1242</f>
        <v>15.3</v>
      </c>
      <c r="X1242" s="32" t="s">
        <v>614</v>
      </c>
      <c r="Y1242" s="38">
        <v>1</v>
      </c>
      <c r="Z1242" s="38" t="s">
        <v>37</v>
      </c>
      <c r="AA1242" s="18">
        <f>(VLOOKUP(X1242,'[1]Simulation pricing per sub assy'!$D:$E,2,0))*Y1242</f>
        <v>2.2786008000000004</v>
      </c>
    </row>
    <row r="1243" spans="1:27" x14ac:dyDescent="0.35">
      <c r="A1243" s="27" t="s">
        <v>2126</v>
      </c>
      <c r="B1243" s="27" t="s">
        <v>2127</v>
      </c>
      <c r="C1243" s="42">
        <f t="shared" si="19"/>
        <v>263.06500080000006</v>
      </c>
      <c r="D1243" s="33" t="s">
        <v>3540</v>
      </c>
      <c r="E1243" s="33">
        <v>2</v>
      </c>
      <c r="F1243" s="33" t="s">
        <v>3981</v>
      </c>
      <c r="G1243" s="14">
        <f>(VLOOKUP(D1243,'[1]BOM Info General'!$A:$L,12,0))*E1243</f>
        <v>130.12</v>
      </c>
      <c r="H1243" s="34" t="s">
        <v>41</v>
      </c>
      <c r="I1243" s="34">
        <v>1</v>
      </c>
      <c r="J1243" s="34" t="s">
        <v>47</v>
      </c>
      <c r="K1243" s="15">
        <f>(VLOOKUP(H1243,'[1]BOM Info General'!$A:$L,12,0))*I1243</f>
        <v>27.18</v>
      </c>
      <c r="L1243" s="35" t="s">
        <v>103</v>
      </c>
      <c r="M1243" s="35">
        <v>1</v>
      </c>
      <c r="N1243" s="35" t="s">
        <v>100</v>
      </c>
      <c r="O1243" s="9">
        <f>(VLOOKUP(L1243,'[1]Simulation pricing per sub assy'!$D:$E,2,0))*M1243</f>
        <v>88.186400000000035</v>
      </c>
      <c r="P1243" s="36">
        <v>0</v>
      </c>
      <c r="Q1243" s="36">
        <v>0</v>
      </c>
      <c r="R1243" s="36" t="e">
        <v>#N/A</v>
      </c>
      <c r="S1243" s="40">
        <v>0</v>
      </c>
      <c r="T1243" s="37" t="s">
        <v>35</v>
      </c>
      <c r="U1243" s="37">
        <v>1</v>
      </c>
      <c r="V1243" s="37" t="s">
        <v>36</v>
      </c>
      <c r="W1243" s="17">
        <f>(VLOOKUP(T1243,'[1]Simulation pricing per sub assy'!$D:$E,2,0))*U1243</f>
        <v>15.3</v>
      </c>
      <c r="X1243" s="32" t="s">
        <v>614</v>
      </c>
      <c r="Y1243" s="38">
        <v>1</v>
      </c>
      <c r="Z1243" s="38" t="s">
        <v>37</v>
      </c>
      <c r="AA1243" s="18">
        <f>(VLOOKUP(X1243,'[1]Simulation pricing per sub assy'!$D:$E,2,0))*Y1243</f>
        <v>2.2786008000000004</v>
      </c>
    </row>
    <row r="1244" spans="1:27" x14ac:dyDescent="0.35">
      <c r="A1244" s="27" t="s">
        <v>2128</v>
      </c>
      <c r="B1244" s="27" t="s">
        <v>2129</v>
      </c>
      <c r="C1244" s="42">
        <f t="shared" si="19"/>
        <v>263.06500080000006</v>
      </c>
      <c r="D1244" s="33" t="s">
        <v>3540</v>
      </c>
      <c r="E1244" s="33">
        <v>2</v>
      </c>
      <c r="F1244" s="33" t="s">
        <v>3981</v>
      </c>
      <c r="G1244" s="14">
        <f>(VLOOKUP(D1244,'[1]BOM Info General'!$A:$L,12,0))*E1244</f>
        <v>130.12</v>
      </c>
      <c r="H1244" s="34" t="s">
        <v>41</v>
      </c>
      <c r="I1244" s="34">
        <v>1</v>
      </c>
      <c r="J1244" s="34" t="s">
        <v>47</v>
      </c>
      <c r="K1244" s="15">
        <f>(VLOOKUP(H1244,'[1]BOM Info General'!$A:$L,12,0))*I1244</f>
        <v>27.18</v>
      </c>
      <c r="L1244" s="35" t="s">
        <v>99</v>
      </c>
      <c r="M1244" s="35">
        <v>1</v>
      </c>
      <c r="N1244" s="35" t="s">
        <v>98</v>
      </c>
      <c r="O1244" s="9">
        <f>(VLOOKUP(L1244,'[1]Simulation pricing per sub assy'!$D:$E,2,0))*M1244</f>
        <v>88.186400000000035</v>
      </c>
      <c r="P1244" s="36">
        <v>0</v>
      </c>
      <c r="Q1244" s="36">
        <v>0</v>
      </c>
      <c r="R1244" s="36" t="e">
        <v>#N/A</v>
      </c>
      <c r="S1244" s="40">
        <v>0</v>
      </c>
      <c r="T1244" s="37" t="s">
        <v>35</v>
      </c>
      <c r="U1244" s="37">
        <v>1</v>
      </c>
      <c r="V1244" s="37" t="s">
        <v>36</v>
      </c>
      <c r="W1244" s="17">
        <f>(VLOOKUP(T1244,'[1]Simulation pricing per sub assy'!$D:$E,2,0))*U1244</f>
        <v>15.3</v>
      </c>
      <c r="X1244" s="32" t="s">
        <v>614</v>
      </c>
      <c r="Y1244" s="38">
        <v>1</v>
      </c>
      <c r="Z1244" s="38" t="s">
        <v>37</v>
      </c>
      <c r="AA1244" s="18">
        <f>(VLOOKUP(X1244,'[1]Simulation pricing per sub assy'!$D:$E,2,0))*Y1244</f>
        <v>2.2786008000000004</v>
      </c>
    </row>
    <row r="1245" spans="1:27" x14ac:dyDescent="0.35">
      <c r="A1245" s="27" t="s">
        <v>2130</v>
      </c>
      <c r="B1245" s="27" t="s">
        <v>2131</v>
      </c>
      <c r="C1245" s="42">
        <f t="shared" si="19"/>
        <v>262.51500080000005</v>
      </c>
      <c r="D1245" s="33" t="s">
        <v>3540</v>
      </c>
      <c r="E1245" s="33">
        <v>2</v>
      </c>
      <c r="F1245" s="33" t="s">
        <v>3981</v>
      </c>
      <c r="G1245" s="14">
        <f>(VLOOKUP(D1245,'[1]BOM Info General'!$A:$L,12,0))*E1245</f>
        <v>130.12</v>
      </c>
      <c r="H1245" s="34" t="s">
        <v>41</v>
      </c>
      <c r="I1245" s="34">
        <v>1</v>
      </c>
      <c r="J1245" s="34" t="s">
        <v>47</v>
      </c>
      <c r="K1245" s="15">
        <f>(VLOOKUP(H1245,'[1]BOM Info General'!$A:$L,12,0))*I1245</f>
        <v>27.18</v>
      </c>
      <c r="L1245" s="35" t="s">
        <v>105</v>
      </c>
      <c r="M1245" s="35">
        <v>1</v>
      </c>
      <c r="N1245" s="35" t="s">
        <v>102</v>
      </c>
      <c r="O1245" s="9">
        <f>(VLOOKUP(L1245,'[1]Simulation pricing per sub assy'!$D:$E,2,0))*M1245</f>
        <v>87.636400000000037</v>
      </c>
      <c r="P1245" s="36">
        <v>0</v>
      </c>
      <c r="Q1245" s="36">
        <v>0</v>
      </c>
      <c r="R1245" s="36" t="e">
        <v>#N/A</v>
      </c>
      <c r="S1245" s="40">
        <v>0</v>
      </c>
      <c r="T1245" s="37" t="s">
        <v>35</v>
      </c>
      <c r="U1245" s="37">
        <v>1</v>
      </c>
      <c r="V1245" s="37" t="s">
        <v>36</v>
      </c>
      <c r="W1245" s="17">
        <f>(VLOOKUP(T1245,'[1]Simulation pricing per sub assy'!$D:$E,2,0))*U1245</f>
        <v>15.3</v>
      </c>
      <c r="X1245" s="32" t="s">
        <v>614</v>
      </c>
      <c r="Y1245" s="38">
        <v>1</v>
      </c>
      <c r="Z1245" s="38" t="s">
        <v>37</v>
      </c>
      <c r="AA1245" s="18">
        <f>(VLOOKUP(X1245,'[1]Simulation pricing per sub assy'!$D:$E,2,0))*Y1245</f>
        <v>2.2786008000000004</v>
      </c>
    </row>
    <row r="1246" spans="1:27" x14ac:dyDescent="0.35">
      <c r="A1246" s="27" t="s">
        <v>2132</v>
      </c>
      <c r="B1246" s="27" t="s">
        <v>2133</v>
      </c>
      <c r="C1246" s="42">
        <f t="shared" si="19"/>
        <v>263.06500080000006</v>
      </c>
      <c r="D1246" s="33" t="s">
        <v>3540</v>
      </c>
      <c r="E1246" s="33">
        <v>2</v>
      </c>
      <c r="F1246" s="33" t="s">
        <v>3981</v>
      </c>
      <c r="G1246" s="14">
        <f>(VLOOKUP(D1246,'[1]BOM Info General'!$A:$L,12,0))*E1246</f>
        <v>130.12</v>
      </c>
      <c r="H1246" s="34" t="s">
        <v>41</v>
      </c>
      <c r="I1246" s="34">
        <v>1</v>
      </c>
      <c r="J1246" s="34" t="s">
        <v>47</v>
      </c>
      <c r="K1246" s="15">
        <f>(VLOOKUP(H1246,'[1]BOM Info General'!$A:$L,12,0))*I1246</f>
        <v>27.18</v>
      </c>
      <c r="L1246" s="35" t="s">
        <v>101</v>
      </c>
      <c r="M1246" s="35">
        <v>1</v>
      </c>
      <c r="N1246" s="35" t="s">
        <v>104</v>
      </c>
      <c r="O1246" s="9">
        <f>(VLOOKUP(L1246,'[1]Simulation pricing per sub assy'!$D:$E,2,0))*M1246</f>
        <v>88.186400000000035</v>
      </c>
      <c r="P1246" s="36">
        <v>0</v>
      </c>
      <c r="Q1246" s="36">
        <v>0</v>
      </c>
      <c r="R1246" s="36" t="e">
        <v>#N/A</v>
      </c>
      <c r="S1246" s="40">
        <v>0</v>
      </c>
      <c r="T1246" s="37" t="s">
        <v>35</v>
      </c>
      <c r="U1246" s="37">
        <v>1</v>
      </c>
      <c r="V1246" s="37" t="s">
        <v>36</v>
      </c>
      <c r="W1246" s="17">
        <f>(VLOOKUP(T1246,'[1]Simulation pricing per sub assy'!$D:$E,2,0))*U1246</f>
        <v>15.3</v>
      </c>
      <c r="X1246" s="32" t="s">
        <v>614</v>
      </c>
      <c r="Y1246" s="38">
        <v>1</v>
      </c>
      <c r="Z1246" s="38" t="s">
        <v>37</v>
      </c>
      <c r="AA1246" s="18">
        <f>(VLOOKUP(X1246,'[1]Simulation pricing per sub assy'!$D:$E,2,0))*Y1246</f>
        <v>2.2786008000000004</v>
      </c>
    </row>
    <row r="1247" spans="1:27" x14ac:dyDescent="0.35">
      <c r="A1247" s="27" t="s">
        <v>2134</v>
      </c>
      <c r="B1247" s="27" t="s">
        <v>4479</v>
      </c>
      <c r="C1247" s="42">
        <f t="shared" si="19"/>
        <v>268.06500080000006</v>
      </c>
      <c r="D1247" s="28" t="s">
        <v>3540</v>
      </c>
      <c r="E1247" s="28">
        <v>2</v>
      </c>
      <c r="F1247" s="28" t="s">
        <v>3981</v>
      </c>
      <c r="G1247" s="14">
        <f>(VLOOKUP(D1247,'[1]BOM Info General'!$A:$L,12,0))*E1247</f>
        <v>130.12</v>
      </c>
      <c r="H1247" s="29" t="s">
        <v>41</v>
      </c>
      <c r="I1247" s="29">
        <v>1</v>
      </c>
      <c r="J1247" s="29" t="s">
        <v>47</v>
      </c>
      <c r="K1247" s="15">
        <f>(VLOOKUP(H1247,'[1]BOM Info General'!$A:$L,12,0))*I1247</f>
        <v>27.18</v>
      </c>
      <c r="L1247" s="26" t="s">
        <v>526</v>
      </c>
      <c r="M1247" s="26">
        <v>1</v>
      </c>
      <c r="N1247" s="26" t="s">
        <v>106</v>
      </c>
      <c r="O1247" s="9">
        <f>(VLOOKUP(L1247,'[1]Simulation pricing per sub assy'!$D:$E,2,0))*M1247</f>
        <v>93.186400000000035</v>
      </c>
      <c r="P1247" s="30">
        <v>0</v>
      </c>
      <c r="Q1247" s="30">
        <v>0</v>
      </c>
      <c r="R1247" s="30" t="e">
        <v>#N/A</v>
      </c>
      <c r="S1247" s="40">
        <v>0</v>
      </c>
      <c r="T1247" s="31" t="s">
        <v>35</v>
      </c>
      <c r="U1247" s="31">
        <v>1</v>
      </c>
      <c r="V1247" s="31" t="s">
        <v>36</v>
      </c>
      <c r="W1247" s="17">
        <f>(VLOOKUP(T1247,'[1]Simulation pricing per sub assy'!$D:$E,2,0))*U1247</f>
        <v>15.3</v>
      </c>
      <c r="X1247" s="32" t="s">
        <v>614</v>
      </c>
      <c r="Y1247" s="32">
        <v>1</v>
      </c>
      <c r="Z1247" s="32" t="s">
        <v>37</v>
      </c>
      <c r="AA1247" s="18">
        <f>(VLOOKUP(X1247,'[1]Simulation pricing per sub assy'!$D:$E,2,0))*Y1247</f>
        <v>2.2786008000000004</v>
      </c>
    </row>
    <row r="1248" spans="1:27" x14ac:dyDescent="0.35">
      <c r="A1248" s="27" t="s">
        <v>2135</v>
      </c>
      <c r="B1248" s="27" t="s">
        <v>4480</v>
      </c>
      <c r="C1248" s="42">
        <f t="shared" si="19"/>
        <v>263.06500080000006</v>
      </c>
      <c r="D1248" s="28" t="s">
        <v>3540</v>
      </c>
      <c r="E1248" s="28">
        <v>2</v>
      </c>
      <c r="F1248" s="28" t="s">
        <v>3981</v>
      </c>
      <c r="G1248" s="14">
        <f>(VLOOKUP(D1248,'[1]BOM Info General'!$A:$L,12,0))*E1248</f>
        <v>130.12</v>
      </c>
      <c r="H1248" s="29" t="s">
        <v>41</v>
      </c>
      <c r="I1248" s="29">
        <v>1</v>
      </c>
      <c r="J1248" s="29" t="s">
        <v>47</v>
      </c>
      <c r="K1248" s="15">
        <f>(VLOOKUP(H1248,'[1]BOM Info General'!$A:$L,12,0))*I1248</f>
        <v>27.18</v>
      </c>
      <c r="L1248" s="26" t="s">
        <v>103</v>
      </c>
      <c r="M1248" s="26">
        <v>1</v>
      </c>
      <c r="N1248" s="26" t="s">
        <v>100</v>
      </c>
      <c r="O1248" s="9">
        <f>(VLOOKUP(L1248,'[1]Simulation pricing per sub assy'!$D:$E,2,0))*M1248</f>
        <v>88.186400000000035</v>
      </c>
      <c r="P1248" s="30">
        <v>0</v>
      </c>
      <c r="Q1248" s="30">
        <v>0</v>
      </c>
      <c r="R1248" s="30" t="e">
        <v>#N/A</v>
      </c>
      <c r="S1248" s="40">
        <v>0</v>
      </c>
      <c r="T1248" s="31" t="s">
        <v>35</v>
      </c>
      <c r="U1248" s="31">
        <v>1</v>
      </c>
      <c r="V1248" s="31" t="s">
        <v>36</v>
      </c>
      <c r="W1248" s="17">
        <f>(VLOOKUP(T1248,'[1]Simulation pricing per sub assy'!$D:$E,2,0))*U1248</f>
        <v>15.3</v>
      </c>
      <c r="X1248" s="32" t="s">
        <v>614</v>
      </c>
      <c r="Y1248" s="32">
        <v>1</v>
      </c>
      <c r="Z1248" s="32" t="s">
        <v>37</v>
      </c>
      <c r="AA1248" s="18">
        <f>(VLOOKUP(X1248,'[1]Simulation pricing per sub assy'!$D:$E,2,0))*Y1248</f>
        <v>2.2786008000000004</v>
      </c>
    </row>
    <row r="1249" spans="1:27" x14ac:dyDescent="0.35">
      <c r="A1249" s="27" t="s">
        <v>2136</v>
      </c>
      <c r="B1249" s="27" t="s">
        <v>4481</v>
      </c>
      <c r="C1249" s="42">
        <f t="shared" si="19"/>
        <v>263.06500080000006</v>
      </c>
      <c r="D1249" s="28" t="s">
        <v>3540</v>
      </c>
      <c r="E1249" s="28">
        <v>2</v>
      </c>
      <c r="F1249" s="28" t="s">
        <v>3981</v>
      </c>
      <c r="G1249" s="14">
        <f>(VLOOKUP(D1249,'[1]BOM Info General'!$A:$L,12,0))*E1249</f>
        <v>130.12</v>
      </c>
      <c r="H1249" s="29" t="s">
        <v>41</v>
      </c>
      <c r="I1249" s="29">
        <v>1</v>
      </c>
      <c r="J1249" s="29" t="s">
        <v>47</v>
      </c>
      <c r="K1249" s="15">
        <f>(VLOOKUP(H1249,'[1]BOM Info General'!$A:$L,12,0))*I1249</f>
        <v>27.18</v>
      </c>
      <c r="L1249" s="26" t="s">
        <v>99</v>
      </c>
      <c r="M1249" s="26">
        <v>1</v>
      </c>
      <c r="N1249" s="26" t="s">
        <v>98</v>
      </c>
      <c r="O1249" s="9">
        <f>(VLOOKUP(L1249,'[1]Simulation pricing per sub assy'!$D:$E,2,0))*M1249</f>
        <v>88.186400000000035</v>
      </c>
      <c r="P1249" s="30">
        <v>0</v>
      </c>
      <c r="Q1249" s="30">
        <v>0</v>
      </c>
      <c r="R1249" s="30" t="e">
        <v>#N/A</v>
      </c>
      <c r="S1249" s="40">
        <v>0</v>
      </c>
      <c r="T1249" s="31" t="s">
        <v>35</v>
      </c>
      <c r="U1249" s="31">
        <v>1</v>
      </c>
      <c r="V1249" s="31" t="s">
        <v>36</v>
      </c>
      <c r="W1249" s="17">
        <f>(VLOOKUP(T1249,'[1]Simulation pricing per sub assy'!$D:$E,2,0))*U1249</f>
        <v>15.3</v>
      </c>
      <c r="X1249" s="32" t="s">
        <v>614</v>
      </c>
      <c r="Y1249" s="32">
        <v>1</v>
      </c>
      <c r="Z1249" s="32" t="s">
        <v>37</v>
      </c>
      <c r="AA1249" s="18">
        <f>(VLOOKUP(X1249,'[1]Simulation pricing per sub assy'!$D:$E,2,0))*Y1249</f>
        <v>2.2786008000000004</v>
      </c>
    </row>
    <row r="1250" spans="1:27" x14ac:dyDescent="0.35">
      <c r="A1250" s="27" t="s">
        <v>2137</v>
      </c>
      <c r="B1250" s="27" t="s">
        <v>4482</v>
      </c>
      <c r="C1250" s="42">
        <f t="shared" si="19"/>
        <v>262.51500080000005</v>
      </c>
      <c r="D1250" s="28" t="s">
        <v>3540</v>
      </c>
      <c r="E1250" s="28">
        <v>2</v>
      </c>
      <c r="F1250" s="28" t="s">
        <v>3981</v>
      </c>
      <c r="G1250" s="14">
        <f>(VLOOKUP(D1250,'[1]BOM Info General'!$A:$L,12,0))*E1250</f>
        <v>130.12</v>
      </c>
      <c r="H1250" s="29" t="s">
        <v>41</v>
      </c>
      <c r="I1250" s="29">
        <v>1</v>
      </c>
      <c r="J1250" s="29" t="s">
        <v>47</v>
      </c>
      <c r="K1250" s="15">
        <f>(VLOOKUP(H1250,'[1]BOM Info General'!$A:$L,12,0))*I1250</f>
        <v>27.18</v>
      </c>
      <c r="L1250" s="26" t="s">
        <v>105</v>
      </c>
      <c r="M1250" s="26">
        <v>1</v>
      </c>
      <c r="N1250" s="26" t="s">
        <v>102</v>
      </c>
      <c r="O1250" s="9">
        <f>(VLOOKUP(L1250,'[1]Simulation pricing per sub assy'!$D:$E,2,0))*M1250</f>
        <v>87.636400000000037</v>
      </c>
      <c r="P1250" s="30">
        <v>0</v>
      </c>
      <c r="Q1250" s="30">
        <v>0</v>
      </c>
      <c r="R1250" s="30" t="e">
        <v>#N/A</v>
      </c>
      <c r="S1250" s="40">
        <v>0</v>
      </c>
      <c r="T1250" s="31" t="s">
        <v>35</v>
      </c>
      <c r="U1250" s="31">
        <v>1</v>
      </c>
      <c r="V1250" s="31" t="s">
        <v>36</v>
      </c>
      <c r="W1250" s="17">
        <f>(VLOOKUP(T1250,'[1]Simulation pricing per sub assy'!$D:$E,2,0))*U1250</f>
        <v>15.3</v>
      </c>
      <c r="X1250" s="32" t="s">
        <v>614</v>
      </c>
      <c r="Y1250" s="32">
        <v>1</v>
      </c>
      <c r="Z1250" s="32" t="s">
        <v>37</v>
      </c>
      <c r="AA1250" s="18">
        <f>(VLOOKUP(X1250,'[1]Simulation pricing per sub assy'!$D:$E,2,0))*Y1250</f>
        <v>2.2786008000000004</v>
      </c>
    </row>
    <row r="1251" spans="1:27" x14ac:dyDescent="0.35">
      <c r="A1251" s="27" t="s">
        <v>2138</v>
      </c>
      <c r="B1251" s="27" t="s">
        <v>4483</v>
      </c>
      <c r="C1251" s="42">
        <f t="shared" si="19"/>
        <v>263.06500080000006</v>
      </c>
      <c r="D1251" s="28" t="s">
        <v>3540</v>
      </c>
      <c r="E1251" s="28">
        <v>2</v>
      </c>
      <c r="F1251" s="28" t="s">
        <v>3981</v>
      </c>
      <c r="G1251" s="14">
        <f>(VLOOKUP(D1251,'[1]BOM Info General'!$A:$L,12,0))*E1251</f>
        <v>130.12</v>
      </c>
      <c r="H1251" s="29" t="s">
        <v>41</v>
      </c>
      <c r="I1251" s="29">
        <v>1</v>
      </c>
      <c r="J1251" s="29" t="s">
        <v>47</v>
      </c>
      <c r="K1251" s="15">
        <f>(VLOOKUP(H1251,'[1]BOM Info General'!$A:$L,12,0))*I1251</f>
        <v>27.18</v>
      </c>
      <c r="L1251" s="26" t="s">
        <v>101</v>
      </c>
      <c r="M1251" s="26">
        <v>1</v>
      </c>
      <c r="N1251" s="26" t="s">
        <v>104</v>
      </c>
      <c r="O1251" s="9">
        <f>(VLOOKUP(L1251,'[1]Simulation pricing per sub assy'!$D:$E,2,0))*M1251</f>
        <v>88.186400000000035</v>
      </c>
      <c r="P1251" s="30">
        <v>0</v>
      </c>
      <c r="Q1251" s="30">
        <v>0</v>
      </c>
      <c r="R1251" s="30" t="e">
        <v>#N/A</v>
      </c>
      <c r="S1251" s="40">
        <v>0</v>
      </c>
      <c r="T1251" s="31" t="s">
        <v>35</v>
      </c>
      <c r="U1251" s="31">
        <v>1</v>
      </c>
      <c r="V1251" s="31" t="s">
        <v>36</v>
      </c>
      <c r="W1251" s="17">
        <f>(VLOOKUP(T1251,'[1]Simulation pricing per sub assy'!$D:$E,2,0))*U1251</f>
        <v>15.3</v>
      </c>
      <c r="X1251" s="32" t="s">
        <v>614</v>
      </c>
      <c r="Y1251" s="32">
        <v>1</v>
      </c>
      <c r="Z1251" s="32" t="s">
        <v>37</v>
      </c>
      <c r="AA1251" s="18">
        <f>(VLOOKUP(X1251,'[1]Simulation pricing per sub assy'!$D:$E,2,0))*Y1251</f>
        <v>2.2786008000000004</v>
      </c>
    </row>
    <row r="1252" spans="1:27" x14ac:dyDescent="0.35">
      <c r="A1252" s="27" t="s">
        <v>2139</v>
      </c>
      <c r="B1252" s="27" t="s">
        <v>4484</v>
      </c>
      <c r="C1252" s="42">
        <f t="shared" si="19"/>
        <v>117.8700108</v>
      </c>
      <c r="D1252" s="28" t="s">
        <v>2058</v>
      </c>
      <c r="E1252" s="28">
        <v>1</v>
      </c>
      <c r="F1252" s="28" t="s">
        <v>2059</v>
      </c>
      <c r="G1252" s="14">
        <f>(VLOOKUP(D1252,'[1]BOM Info General'!$A:$L,12,0))*E1252</f>
        <v>35.56</v>
      </c>
      <c r="H1252" s="29" t="s">
        <v>39</v>
      </c>
      <c r="I1252" s="29">
        <v>1</v>
      </c>
      <c r="J1252" s="29" t="s">
        <v>46</v>
      </c>
      <c r="K1252" s="15">
        <f>(VLOOKUP(H1252,'[1]BOM Info General'!$A:$L,12,0))*I1252</f>
        <v>24.42</v>
      </c>
      <c r="L1252" s="26" t="s">
        <v>529</v>
      </c>
      <c r="M1252" s="26">
        <v>1</v>
      </c>
      <c r="N1252" s="26" t="s">
        <v>115</v>
      </c>
      <c r="O1252" s="9">
        <f>(VLOOKUP(L1252,'[1]Simulation pricing per sub assy'!$D:$E,2,0))*M1252</f>
        <v>48.118799999999993</v>
      </c>
      <c r="P1252" s="30">
        <v>0</v>
      </c>
      <c r="Q1252" s="30">
        <v>0</v>
      </c>
      <c r="R1252" s="30" t="e">
        <v>#N/A</v>
      </c>
      <c r="S1252" s="40">
        <v>0</v>
      </c>
      <c r="T1252" s="31" t="s">
        <v>32</v>
      </c>
      <c r="U1252" s="31">
        <v>1</v>
      </c>
      <c r="V1252" s="31" t="s">
        <v>33</v>
      </c>
      <c r="W1252" s="17">
        <f>(VLOOKUP(T1252,'[1]Simulation pricing per sub assy'!$D:$E,2,0))*U1252</f>
        <v>8.51</v>
      </c>
      <c r="X1252" s="32" t="s">
        <v>613</v>
      </c>
      <c r="Y1252" s="32">
        <v>1</v>
      </c>
      <c r="Z1252" s="32" t="s">
        <v>34</v>
      </c>
      <c r="AA1252" s="18">
        <f>(VLOOKUP(X1252,'[1]Simulation pricing per sub assy'!$D:$E,2,0))*Y1252</f>
        <v>1.2612108000000002</v>
      </c>
    </row>
    <row r="1253" spans="1:27" x14ac:dyDescent="0.35">
      <c r="A1253" s="27" t="s">
        <v>2140</v>
      </c>
      <c r="B1253" s="27" t="s">
        <v>4485</v>
      </c>
      <c r="C1253" s="42">
        <f t="shared" si="19"/>
        <v>112.7500108</v>
      </c>
      <c r="D1253" s="28" t="s">
        <v>2058</v>
      </c>
      <c r="E1253" s="28">
        <v>1</v>
      </c>
      <c r="F1253" s="28" t="s">
        <v>2059</v>
      </c>
      <c r="G1253" s="14">
        <f>(VLOOKUP(D1253,'[1]BOM Info General'!$A:$L,12,0))*E1253</f>
        <v>35.56</v>
      </c>
      <c r="H1253" s="29" t="s">
        <v>39</v>
      </c>
      <c r="I1253" s="29">
        <v>1</v>
      </c>
      <c r="J1253" s="29" t="s">
        <v>46</v>
      </c>
      <c r="K1253" s="15">
        <f>(VLOOKUP(H1253,'[1]BOM Info General'!$A:$L,12,0))*I1253</f>
        <v>24.42</v>
      </c>
      <c r="L1253" s="26" t="s">
        <v>112</v>
      </c>
      <c r="M1253" s="26">
        <v>1</v>
      </c>
      <c r="N1253" s="26" t="s">
        <v>109</v>
      </c>
      <c r="O1253" s="9">
        <f>(VLOOKUP(L1253,'[1]Simulation pricing per sub assy'!$D:$E,2,0))*M1253</f>
        <v>42.998799999999989</v>
      </c>
      <c r="P1253" s="30">
        <v>0</v>
      </c>
      <c r="Q1253" s="30">
        <v>0</v>
      </c>
      <c r="R1253" s="30" t="e">
        <v>#N/A</v>
      </c>
      <c r="S1253" s="40">
        <v>0</v>
      </c>
      <c r="T1253" s="31" t="s">
        <v>32</v>
      </c>
      <c r="U1253" s="31">
        <v>1</v>
      </c>
      <c r="V1253" s="31" t="s">
        <v>33</v>
      </c>
      <c r="W1253" s="17">
        <f>(VLOOKUP(T1253,'[1]Simulation pricing per sub assy'!$D:$E,2,0))*U1253</f>
        <v>8.51</v>
      </c>
      <c r="X1253" s="32" t="s">
        <v>613</v>
      </c>
      <c r="Y1253" s="32">
        <v>1</v>
      </c>
      <c r="Z1253" s="32" t="s">
        <v>34</v>
      </c>
      <c r="AA1253" s="18">
        <f>(VLOOKUP(X1253,'[1]Simulation pricing per sub assy'!$D:$E,2,0))*Y1253</f>
        <v>1.2612108000000002</v>
      </c>
    </row>
    <row r="1254" spans="1:27" x14ac:dyDescent="0.35">
      <c r="A1254" s="27" t="s">
        <v>2141</v>
      </c>
      <c r="B1254" s="27" t="s">
        <v>4486</v>
      </c>
      <c r="C1254" s="42">
        <f t="shared" si="19"/>
        <v>112.8700108</v>
      </c>
      <c r="D1254" s="28" t="s">
        <v>2058</v>
      </c>
      <c r="E1254" s="28">
        <v>1</v>
      </c>
      <c r="F1254" s="28" t="s">
        <v>2059</v>
      </c>
      <c r="G1254" s="14">
        <f>(VLOOKUP(D1254,'[1]BOM Info General'!$A:$L,12,0))*E1254</f>
        <v>35.56</v>
      </c>
      <c r="H1254" s="29" t="s">
        <v>39</v>
      </c>
      <c r="I1254" s="29">
        <v>1</v>
      </c>
      <c r="J1254" s="29" t="s">
        <v>46</v>
      </c>
      <c r="K1254" s="15">
        <f>(VLOOKUP(H1254,'[1]BOM Info General'!$A:$L,12,0))*I1254</f>
        <v>24.42</v>
      </c>
      <c r="L1254" s="26" t="s">
        <v>108</v>
      </c>
      <c r="M1254" s="26">
        <v>1</v>
      </c>
      <c r="N1254" s="26" t="s">
        <v>107</v>
      </c>
      <c r="O1254" s="9">
        <f>(VLOOKUP(L1254,'[1]Simulation pricing per sub assy'!$D:$E,2,0))*M1254</f>
        <v>43.118799999999993</v>
      </c>
      <c r="P1254" s="30">
        <v>0</v>
      </c>
      <c r="Q1254" s="30">
        <v>0</v>
      </c>
      <c r="R1254" s="30" t="e">
        <v>#N/A</v>
      </c>
      <c r="S1254" s="40">
        <v>0</v>
      </c>
      <c r="T1254" s="31" t="s">
        <v>32</v>
      </c>
      <c r="U1254" s="31">
        <v>1</v>
      </c>
      <c r="V1254" s="31" t="s">
        <v>33</v>
      </c>
      <c r="W1254" s="17">
        <f>(VLOOKUP(T1254,'[1]Simulation pricing per sub assy'!$D:$E,2,0))*U1254</f>
        <v>8.51</v>
      </c>
      <c r="X1254" s="32" t="s">
        <v>613</v>
      </c>
      <c r="Y1254" s="32">
        <v>1</v>
      </c>
      <c r="Z1254" s="32" t="s">
        <v>34</v>
      </c>
      <c r="AA1254" s="18">
        <f>(VLOOKUP(X1254,'[1]Simulation pricing per sub assy'!$D:$E,2,0))*Y1254</f>
        <v>1.2612108000000002</v>
      </c>
    </row>
    <row r="1255" spans="1:27" x14ac:dyDescent="0.35">
      <c r="A1255" s="27" t="s">
        <v>2142</v>
      </c>
      <c r="B1255" s="27" t="s">
        <v>4487</v>
      </c>
      <c r="C1255" s="42">
        <f t="shared" si="19"/>
        <v>112.7200108</v>
      </c>
      <c r="D1255" s="28" t="s">
        <v>2058</v>
      </c>
      <c r="E1255" s="28">
        <v>1</v>
      </c>
      <c r="F1255" s="28" t="s">
        <v>2059</v>
      </c>
      <c r="G1255" s="14">
        <f>(VLOOKUP(D1255,'[1]BOM Info General'!$A:$L,12,0))*E1255</f>
        <v>35.56</v>
      </c>
      <c r="H1255" s="29" t="s">
        <v>39</v>
      </c>
      <c r="I1255" s="29">
        <v>1</v>
      </c>
      <c r="J1255" s="29" t="s">
        <v>46</v>
      </c>
      <c r="K1255" s="15">
        <f>(VLOOKUP(H1255,'[1]BOM Info General'!$A:$L,12,0))*I1255</f>
        <v>24.42</v>
      </c>
      <c r="L1255" s="26" t="s">
        <v>114</v>
      </c>
      <c r="M1255" s="26">
        <v>1</v>
      </c>
      <c r="N1255" s="26" t="s">
        <v>111</v>
      </c>
      <c r="O1255" s="9">
        <f>(VLOOKUP(L1255,'[1]Simulation pricing per sub assy'!$D:$E,2,0))*M1255</f>
        <v>42.968799999999987</v>
      </c>
      <c r="P1255" s="30">
        <v>0</v>
      </c>
      <c r="Q1255" s="30">
        <v>0</v>
      </c>
      <c r="R1255" s="30" t="e">
        <v>#N/A</v>
      </c>
      <c r="S1255" s="40">
        <v>0</v>
      </c>
      <c r="T1255" s="31" t="s">
        <v>32</v>
      </c>
      <c r="U1255" s="31">
        <v>1</v>
      </c>
      <c r="V1255" s="31" t="s">
        <v>33</v>
      </c>
      <c r="W1255" s="17">
        <f>(VLOOKUP(T1255,'[1]Simulation pricing per sub assy'!$D:$E,2,0))*U1255</f>
        <v>8.51</v>
      </c>
      <c r="X1255" s="32" t="s">
        <v>613</v>
      </c>
      <c r="Y1255" s="32">
        <v>1</v>
      </c>
      <c r="Z1255" s="32" t="s">
        <v>34</v>
      </c>
      <c r="AA1255" s="18">
        <f>(VLOOKUP(X1255,'[1]Simulation pricing per sub assy'!$D:$E,2,0))*Y1255</f>
        <v>1.2612108000000002</v>
      </c>
    </row>
    <row r="1256" spans="1:27" x14ac:dyDescent="0.35">
      <c r="A1256" s="27" t="s">
        <v>2143</v>
      </c>
      <c r="B1256" s="27" t="s">
        <v>4488</v>
      </c>
      <c r="C1256" s="42">
        <f t="shared" si="19"/>
        <v>112.8700108</v>
      </c>
      <c r="D1256" s="28" t="s">
        <v>2058</v>
      </c>
      <c r="E1256" s="28">
        <v>1</v>
      </c>
      <c r="F1256" s="28" t="s">
        <v>2059</v>
      </c>
      <c r="G1256" s="14">
        <f>(VLOOKUP(D1256,'[1]BOM Info General'!$A:$L,12,0))*E1256</f>
        <v>35.56</v>
      </c>
      <c r="H1256" s="29" t="s">
        <v>39</v>
      </c>
      <c r="I1256" s="29">
        <v>1</v>
      </c>
      <c r="J1256" s="29" t="s">
        <v>46</v>
      </c>
      <c r="K1256" s="15">
        <f>(VLOOKUP(H1256,'[1]BOM Info General'!$A:$L,12,0))*I1256</f>
        <v>24.42</v>
      </c>
      <c r="L1256" s="26" t="s">
        <v>110</v>
      </c>
      <c r="M1256" s="26">
        <v>1</v>
      </c>
      <c r="N1256" s="26" t="s">
        <v>113</v>
      </c>
      <c r="O1256" s="9">
        <f>(VLOOKUP(L1256,'[1]Simulation pricing per sub assy'!$D:$E,2,0))*M1256</f>
        <v>43.118799999999993</v>
      </c>
      <c r="P1256" s="30">
        <v>0</v>
      </c>
      <c r="Q1256" s="30">
        <v>0</v>
      </c>
      <c r="R1256" s="30" t="e">
        <v>#N/A</v>
      </c>
      <c r="S1256" s="40">
        <v>0</v>
      </c>
      <c r="T1256" s="31" t="s">
        <v>32</v>
      </c>
      <c r="U1256" s="31">
        <v>1</v>
      </c>
      <c r="V1256" s="31" t="s">
        <v>33</v>
      </c>
      <c r="W1256" s="17">
        <f>(VLOOKUP(T1256,'[1]Simulation pricing per sub assy'!$D:$E,2,0))*U1256</f>
        <v>8.51</v>
      </c>
      <c r="X1256" s="32" t="s">
        <v>613</v>
      </c>
      <c r="Y1256" s="32">
        <v>1</v>
      </c>
      <c r="Z1256" s="32" t="s">
        <v>34</v>
      </c>
      <c r="AA1256" s="18">
        <f>(VLOOKUP(X1256,'[1]Simulation pricing per sub assy'!$D:$E,2,0))*Y1256</f>
        <v>1.2612108000000002</v>
      </c>
    </row>
    <row r="1257" spans="1:27" x14ac:dyDescent="0.35">
      <c r="A1257" s="27" t="s">
        <v>2144</v>
      </c>
      <c r="B1257" s="27" t="s">
        <v>2145</v>
      </c>
      <c r="C1257" s="42">
        <f t="shared" si="19"/>
        <v>117.8700108</v>
      </c>
      <c r="D1257" s="33" t="s">
        <v>2058</v>
      </c>
      <c r="E1257" s="33">
        <v>1</v>
      </c>
      <c r="F1257" s="33" t="s">
        <v>2059</v>
      </c>
      <c r="G1257" s="14">
        <f>(VLOOKUP(D1257,'[1]BOM Info General'!$A:$L,12,0))*E1257</f>
        <v>35.56</v>
      </c>
      <c r="H1257" s="34" t="s">
        <v>39</v>
      </c>
      <c r="I1257" s="34">
        <v>1</v>
      </c>
      <c r="J1257" s="34" t="s">
        <v>46</v>
      </c>
      <c r="K1257" s="15">
        <f>(VLOOKUP(H1257,'[1]BOM Info General'!$A:$L,12,0))*I1257</f>
        <v>24.42</v>
      </c>
      <c r="L1257" s="35" t="s">
        <v>529</v>
      </c>
      <c r="M1257" s="35">
        <v>1</v>
      </c>
      <c r="N1257" s="35" t="s">
        <v>115</v>
      </c>
      <c r="O1257" s="9">
        <f>(VLOOKUP(L1257,'[1]Simulation pricing per sub assy'!$D:$E,2,0))*M1257</f>
        <v>48.118799999999993</v>
      </c>
      <c r="P1257" s="36">
        <v>0</v>
      </c>
      <c r="Q1257" s="36">
        <v>0</v>
      </c>
      <c r="R1257" s="36" t="e">
        <v>#N/A</v>
      </c>
      <c r="S1257" s="40">
        <v>0</v>
      </c>
      <c r="T1257" s="37" t="s">
        <v>32</v>
      </c>
      <c r="U1257" s="37">
        <v>1</v>
      </c>
      <c r="V1257" s="37" t="s">
        <v>33</v>
      </c>
      <c r="W1257" s="17">
        <f>(VLOOKUP(T1257,'[1]Simulation pricing per sub assy'!$D:$E,2,0))*U1257</f>
        <v>8.51</v>
      </c>
      <c r="X1257" s="32" t="s">
        <v>613</v>
      </c>
      <c r="Y1257" s="38">
        <v>1</v>
      </c>
      <c r="Z1257" s="38" t="s">
        <v>34</v>
      </c>
      <c r="AA1257" s="18">
        <f>(VLOOKUP(X1257,'[1]Simulation pricing per sub assy'!$D:$E,2,0))*Y1257</f>
        <v>1.2612108000000002</v>
      </c>
    </row>
    <row r="1258" spans="1:27" x14ac:dyDescent="0.35">
      <c r="A1258" s="27" t="s">
        <v>2146</v>
      </c>
      <c r="B1258" s="27" t="s">
        <v>2147</v>
      </c>
      <c r="C1258" s="42">
        <f t="shared" si="19"/>
        <v>112.7500108</v>
      </c>
      <c r="D1258" s="33" t="s">
        <v>2058</v>
      </c>
      <c r="E1258" s="33">
        <v>1</v>
      </c>
      <c r="F1258" s="33" t="s">
        <v>2059</v>
      </c>
      <c r="G1258" s="14">
        <f>(VLOOKUP(D1258,'[1]BOM Info General'!$A:$L,12,0))*E1258</f>
        <v>35.56</v>
      </c>
      <c r="H1258" s="34" t="s">
        <v>39</v>
      </c>
      <c r="I1258" s="34">
        <v>1</v>
      </c>
      <c r="J1258" s="34" t="s">
        <v>46</v>
      </c>
      <c r="K1258" s="15">
        <f>(VLOOKUP(H1258,'[1]BOM Info General'!$A:$L,12,0))*I1258</f>
        <v>24.42</v>
      </c>
      <c r="L1258" s="35" t="s">
        <v>112</v>
      </c>
      <c r="M1258" s="35">
        <v>1</v>
      </c>
      <c r="N1258" s="35" t="s">
        <v>109</v>
      </c>
      <c r="O1258" s="9">
        <f>(VLOOKUP(L1258,'[1]Simulation pricing per sub assy'!$D:$E,2,0))*M1258</f>
        <v>42.998799999999989</v>
      </c>
      <c r="P1258" s="36">
        <v>0</v>
      </c>
      <c r="Q1258" s="36">
        <v>0</v>
      </c>
      <c r="R1258" s="36" t="e">
        <v>#N/A</v>
      </c>
      <c r="S1258" s="40">
        <v>0</v>
      </c>
      <c r="T1258" s="37" t="s">
        <v>32</v>
      </c>
      <c r="U1258" s="37">
        <v>1</v>
      </c>
      <c r="V1258" s="37" t="s">
        <v>33</v>
      </c>
      <c r="W1258" s="17">
        <f>(VLOOKUP(T1258,'[1]Simulation pricing per sub assy'!$D:$E,2,0))*U1258</f>
        <v>8.51</v>
      </c>
      <c r="X1258" s="32" t="s">
        <v>613</v>
      </c>
      <c r="Y1258" s="38">
        <v>1</v>
      </c>
      <c r="Z1258" s="38" t="s">
        <v>34</v>
      </c>
      <c r="AA1258" s="18">
        <f>(VLOOKUP(X1258,'[1]Simulation pricing per sub assy'!$D:$E,2,0))*Y1258</f>
        <v>1.2612108000000002</v>
      </c>
    </row>
    <row r="1259" spans="1:27" x14ac:dyDescent="0.35">
      <c r="A1259" s="27" t="s">
        <v>2148</v>
      </c>
      <c r="B1259" s="27" t="s">
        <v>2149</v>
      </c>
      <c r="C1259" s="42">
        <f t="shared" si="19"/>
        <v>112.8700108</v>
      </c>
      <c r="D1259" s="33" t="s">
        <v>2058</v>
      </c>
      <c r="E1259" s="33">
        <v>1</v>
      </c>
      <c r="F1259" s="33" t="s">
        <v>2059</v>
      </c>
      <c r="G1259" s="14">
        <f>(VLOOKUP(D1259,'[1]BOM Info General'!$A:$L,12,0))*E1259</f>
        <v>35.56</v>
      </c>
      <c r="H1259" s="34" t="s">
        <v>39</v>
      </c>
      <c r="I1259" s="34">
        <v>1</v>
      </c>
      <c r="J1259" s="34" t="s">
        <v>46</v>
      </c>
      <c r="K1259" s="15">
        <f>(VLOOKUP(H1259,'[1]BOM Info General'!$A:$L,12,0))*I1259</f>
        <v>24.42</v>
      </c>
      <c r="L1259" s="35" t="s">
        <v>108</v>
      </c>
      <c r="M1259" s="35">
        <v>1</v>
      </c>
      <c r="N1259" s="35" t="s">
        <v>107</v>
      </c>
      <c r="O1259" s="9">
        <f>(VLOOKUP(L1259,'[1]Simulation pricing per sub assy'!$D:$E,2,0))*M1259</f>
        <v>43.118799999999993</v>
      </c>
      <c r="P1259" s="36">
        <v>0</v>
      </c>
      <c r="Q1259" s="36">
        <v>0</v>
      </c>
      <c r="R1259" s="36" t="e">
        <v>#N/A</v>
      </c>
      <c r="S1259" s="40">
        <v>0</v>
      </c>
      <c r="T1259" s="37" t="s">
        <v>32</v>
      </c>
      <c r="U1259" s="37">
        <v>1</v>
      </c>
      <c r="V1259" s="37" t="s">
        <v>33</v>
      </c>
      <c r="W1259" s="17">
        <f>(VLOOKUP(T1259,'[1]Simulation pricing per sub assy'!$D:$E,2,0))*U1259</f>
        <v>8.51</v>
      </c>
      <c r="X1259" s="32" t="s">
        <v>613</v>
      </c>
      <c r="Y1259" s="38">
        <v>1</v>
      </c>
      <c r="Z1259" s="38" t="s">
        <v>34</v>
      </c>
      <c r="AA1259" s="18">
        <f>(VLOOKUP(X1259,'[1]Simulation pricing per sub assy'!$D:$E,2,0))*Y1259</f>
        <v>1.2612108000000002</v>
      </c>
    </row>
    <row r="1260" spans="1:27" x14ac:dyDescent="0.35">
      <c r="A1260" s="27" t="s">
        <v>2150</v>
      </c>
      <c r="B1260" s="27" t="s">
        <v>2151</v>
      </c>
      <c r="C1260" s="42">
        <f t="shared" si="19"/>
        <v>112.7200108</v>
      </c>
      <c r="D1260" s="33" t="s">
        <v>2058</v>
      </c>
      <c r="E1260" s="33">
        <v>1</v>
      </c>
      <c r="F1260" s="33" t="s">
        <v>2059</v>
      </c>
      <c r="G1260" s="14">
        <f>(VLOOKUP(D1260,'[1]BOM Info General'!$A:$L,12,0))*E1260</f>
        <v>35.56</v>
      </c>
      <c r="H1260" s="34" t="s">
        <v>39</v>
      </c>
      <c r="I1260" s="34">
        <v>1</v>
      </c>
      <c r="J1260" s="34" t="s">
        <v>46</v>
      </c>
      <c r="K1260" s="15">
        <f>(VLOOKUP(H1260,'[1]BOM Info General'!$A:$L,12,0))*I1260</f>
        <v>24.42</v>
      </c>
      <c r="L1260" s="35" t="s">
        <v>114</v>
      </c>
      <c r="M1260" s="35">
        <v>1</v>
      </c>
      <c r="N1260" s="35" t="s">
        <v>111</v>
      </c>
      <c r="O1260" s="9">
        <f>(VLOOKUP(L1260,'[1]Simulation pricing per sub assy'!$D:$E,2,0))*M1260</f>
        <v>42.968799999999987</v>
      </c>
      <c r="P1260" s="36">
        <v>0</v>
      </c>
      <c r="Q1260" s="36">
        <v>0</v>
      </c>
      <c r="R1260" s="36" t="e">
        <v>#N/A</v>
      </c>
      <c r="S1260" s="40">
        <v>0</v>
      </c>
      <c r="T1260" s="37" t="s">
        <v>32</v>
      </c>
      <c r="U1260" s="37">
        <v>1</v>
      </c>
      <c r="V1260" s="37" t="s">
        <v>33</v>
      </c>
      <c r="W1260" s="17">
        <f>(VLOOKUP(T1260,'[1]Simulation pricing per sub assy'!$D:$E,2,0))*U1260</f>
        <v>8.51</v>
      </c>
      <c r="X1260" s="32" t="s">
        <v>613</v>
      </c>
      <c r="Y1260" s="38">
        <v>1</v>
      </c>
      <c r="Z1260" s="38" t="s">
        <v>34</v>
      </c>
      <c r="AA1260" s="18">
        <f>(VLOOKUP(X1260,'[1]Simulation pricing per sub assy'!$D:$E,2,0))*Y1260</f>
        <v>1.2612108000000002</v>
      </c>
    </row>
    <row r="1261" spans="1:27" x14ac:dyDescent="0.35">
      <c r="A1261" s="27" t="s">
        <v>2152</v>
      </c>
      <c r="B1261" s="27" t="s">
        <v>2153</v>
      </c>
      <c r="C1261" s="42">
        <f t="shared" si="19"/>
        <v>112.8700108</v>
      </c>
      <c r="D1261" s="33" t="s">
        <v>2058</v>
      </c>
      <c r="E1261" s="33">
        <v>1</v>
      </c>
      <c r="F1261" s="33" t="s">
        <v>2059</v>
      </c>
      <c r="G1261" s="14">
        <f>(VLOOKUP(D1261,'[1]BOM Info General'!$A:$L,12,0))*E1261</f>
        <v>35.56</v>
      </c>
      <c r="H1261" s="34" t="s">
        <v>39</v>
      </c>
      <c r="I1261" s="34">
        <v>1</v>
      </c>
      <c r="J1261" s="34" t="s">
        <v>46</v>
      </c>
      <c r="K1261" s="15">
        <f>(VLOOKUP(H1261,'[1]BOM Info General'!$A:$L,12,0))*I1261</f>
        <v>24.42</v>
      </c>
      <c r="L1261" s="35" t="s">
        <v>110</v>
      </c>
      <c r="M1261" s="35">
        <v>1</v>
      </c>
      <c r="N1261" s="35" t="s">
        <v>113</v>
      </c>
      <c r="O1261" s="9">
        <f>(VLOOKUP(L1261,'[1]Simulation pricing per sub assy'!$D:$E,2,0))*M1261</f>
        <v>43.118799999999993</v>
      </c>
      <c r="P1261" s="36">
        <v>0</v>
      </c>
      <c r="Q1261" s="36">
        <v>0</v>
      </c>
      <c r="R1261" s="36" t="e">
        <v>#N/A</v>
      </c>
      <c r="S1261" s="40">
        <v>0</v>
      </c>
      <c r="T1261" s="37" t="s">
        <v>32</v>
      </c>
      <c r="U1261" s="37">
        <v>1</v>
      </c>
      <c r="V1261" s="37" t="s">
        <v>33</v>
      </c>
      <c r="W1261" s="17">
        <f>(VLOOKUP(T1261,'[1]Simulation pricing per sub assy'!$D:$E,2,0))*U1261</f>
        <v>8.51</v>
      </c>
      <c r="X1261" s="32" t="s">
        <v>613</v>
      </c>
      <c r="Y1261" s="38">
        <v>1</v>
      </c>
      <c r="Z1261" s="38" t="s">
        <v>34</v>
      </c>
      <c r="AA1261" s="18">
        <f>(VLOOKUP(X1261,'[1]Simulation pricing per sub assy'!$D:$E,2,0))*Y1261</f>
        <v>1.2612108000000002</v>
      </c>
    </row>
    <row r="1262" spans="1:27" x14ac:dyDescent="0.35">
      <c r="A1262" s="27" t="s">
        <v>2154</v>
      </c>
      <c r="B1262" s="27" t="s">
        <v>2155</v>
      </c>
      <c r="C1262" s="42">
        <f t="shared" si="19"/>
        <v>117.8700108</v>
      </c>
      <c r="D1262" s="33" t="s">
        <v>2058</v>
      </c>
      <c r="E1262" s="33">
        <v>1</v>
      </c>
      <c r="F1262" s="33" t="s">
        <v>2059</v>
      </c>
      <c r="G1262" s="14">
        <f>(VLOOKUP(D1262,'[1]BOM Info General'!$A:$L,12,0))*E1262</f>
        <v>35.56</v>
      </c>
      <c r="H1262" s="34" t="s">
        <v>39</v>
      </c>
      <c r="I1262" s="34">
        <v>1</v>
      </c>
      <c r="J1262" s="34" t="s">
        <v>46</v>
      </c>
      <c r="K1262" s="15">
        <f>(VLOOKUP(H1262,'[1]BOM Info General'!$A:$L,12,0))*I1262</f>
        <v>24.42</v>
      </c>
      <c r="L1262" s="35" t="s">
        <v>529</v>
      </c>
      <c r="M1262" s="35">
        <v>1</v>
      </c>
      <c r="N1262" s="35" t="s">
        <v>115</v>
      </c>
      <c r="O1262" s="9">
        <f>(VLOOKUP(L1262,'[1]Simulation pricing per sub assy'!$D:$E,2,0))*M1262</f>
        <v>48.118799999999993</v>
      </c>
      <c r="P1262" s="36">
        <v>0</v>
      </c>
      <c r="Q1262" s="36">
        <v>0</v>
      </c>
      <c r="R1262" s="36" t="e">
        <v>#N/A</v>
      </c>
      <c r="S1262" s="40">
        <v>0</v>
      </c>
      <c r="T1262" s="37" t="s">
        <v>32</v>
      </c>
      <c r="U1262" s="37">
        <v>1</v>
      </c>
      <c r="V1262" s="37" t="s">
        <v>33</v>
      </c>
      <c r="W1262" s="17">
        <f>(VLOOKUP(T1262,'[1]Simulation pricing per sub assy'!$D:$E,2,0))*U1262</f>
        <v>8.51</v>
      </c>
      <c r="X1262" s="32" t="s">
        <v>613</v>
      </c>
      <c r="Y1262" s="38">
        <v>1</v>
      </c>
      <c r="Z1262" s="38" t="s">
        <v>34</v>
      </c>
      <c r="AA1262" s="18">
        <f>(VLOOKUP(X1262,'[1]Simulation pricing per sub assy'!$D:$E,2,0))*Y1262</f>
        <v>1.2612108000000002</v>
      </c>
    </row>
    <row r="1263" spans="1:27" x14ac:dyDescent="0.35">
      <c r="A1263" s="27" t="s">
        <v>2156</v>
      </c>
      <c r="B1263" s="27" t="s">
        <v>2157</v>
      </c>
      <c r="C1263" s="42">
        <f t="shared" si="19"/>
        <v>112.7500108</v>
      </c>
      <c r="D1263" s="33" t="s">
        <v>2058</v>
      </c>
      <c r="E1263" s="33">
        <v>1</v>
      </c>
      <c r="F1263" s="33" t="s">
        <v>2059</v>
      </c>
      <c r="G1263" s="14">
        <f>(VLOOKUP(D1263,'[1]BOM Info General'!$A:$L,12,0))*E1263</f>
        <v>35.56</v>
      </c>
      <c r="H1263" s="34" t="s">
        <v>39</v>
      </c>
      <c r="I1263" s="34">
        <v>1</v>
      </c>
      <c r="J1263" s="34" t="s">
        <v>46</v>
      </c>
      <c r="K1263" s="15">
        <f>(VLOOKUP(H1263,'[1]BOM Info General'!$A:$L,12,0))*I1263</f>
        <v>24.42</v>
      </c>
      <c r="L1263" s="35" t="s">
        <v>112</v>
      </c>
      <c r="M1263" s="35">
        <v>1</v>
      </c>
      <c r="N1263" s="35" t="s">
        <v>109</v>
      </c>
      <c r="O1263" s="9">
        <f>(VLOOKUP(L1263,'[1]Simulation pricing per sub assy'!$D:$E,2,0))*M1263</f>
        <v>42.998799999999989</v>
      </c>
      <c r="P1263" s="36">
        <v>0</v>
      </c>
      <c r="Q1263" s="36">
        <v>0</v>
      </c>
      <c r="R1263" s="36" t="e">
        <v>#N/A</v>
      </c>
      <c r="S1263" s="40">
        <v>0</v>
      </c>
      <c r="T1263" s="37" t="s">
        <v>32</v>
      </c>
      <c r="U1263" s="37">
        <v>1</v>
      </c>
      <c r="V1263" s="37" t="s">
        <v>33</v>
      </c>
      <c r="W1263" s="17">
        <f>(VLOOKUP(T1263,'[1]Simulation pricing per sub assy'!$D:$E,2,0))*U1263</f>
        <v>8.51</v>
      </c>
      <c r="X1263" s="32" t="s">
        <v>613</v>
      </c>
      <c r="Y1263" s="38">
        <v>1</v>
      </c>
      <c r="Z1263" s="38" t="s">
        <v>34</v>
      </c>
      <c r="AA1263" s="18">
        <f>(VLOOKUP(X1263,'[1]Simulation pricing per sub assy'!$D:$E,2,0))*Y1263</f>
        <v>1.2612108000000002</v>
      </c>
    </row>
    <row r="1264" spans="1:27" x14ac:dyDescent="0.35">
      <c r="A1264" s="27" t="s">
        <v>2158</v>
      </c>
      <c r="B1264" s="27" t="s">
        <v>2159</v>
      </c>
      <c r="C1264" s="42">
        <f t="shared" si="19"/>
        <v>112.8700108</v>
      </c>
      <c r="D1264" s="33" t="s">
        <v>2058</v>
      </c>
      <c r="E1264" s="33">
        <v>1</v>
      </c>
      <c r="F1264" s="33" t="s">
        <v>2059</v>
      </c>
      <c r="G1264" s="14">
        <f>(VLOOKUP(D1264,'[1]BOM Info General'!$A:$L,12,0))*E1264</f>
        <v>35.56</v>
      </c>
      <c r="H1264" s="34" t="s">
        <v>39</v>
      </c>
      <c r="I1264" s="34">
        <v>1</v>
      </c>
      <c r="J1264" s="34" t="s">
        <v>46</v>
      </c>
      <c r="K1264" s="15">
        <f>(VLOOKUP(H1264,'[1]BOM Info General'!$A:$L,12,0))*I1264</f>
        <v>24.42</v>
      </c>
      <c r="L1264" s="35" t="s">
        <v>108</v>
      </c>
      <c r="M1264" s="35">
        <v>1</v>
      </c>
      <c r="N1264" s="35" t="s">
        <v>107</v>
      </c>
      <c r="O1264" s="9">
        <f>(VLOOKUP(L1264,'[1]Simulation pricing per sub assy'!$D:$E,2,0))*M1264</f>
        <v>43.118799999999993</v>
      </c>
      <c r="P1264" s="36">
        <v>0</v>
      </c>
      <c r="Q1264" s="36">
        <v>0</v>
      </c>
      <c r="R1264" s="36" t="e">
        <v>#N/A</v>
      </c>
      <c r="S1264" s="40">
        <v>0</v>
      </c>
      <c r="T1264" s="37" t="s">
        <v>32</v>
      </c>
      <c r="U1264" s="37">
        <v>1</v>
      </c>
      <c r="V1264" s="37" t="s">
        <v>33</v>
      </c>
      <c r="W1264" s="17">
        <f>(VLOOKUP(T1264,'[1]Simulation pricing per sub assy'!$D:$E,2,0))*U1264</f>
        <v>8.51</v>
      </c>
      <c r="X1264" s="32" t="s">
        <v>613</v>
      </c>
      <c r="Y1264" s="38">
        <v>1</v>
      </c>
      <c r="Z1264" s="38" t="s">
        <v>34</v>
      </c>
      <c r="AA1264" s="18">
        <f>(VLOOKUP(X1264,'[1]Simulation pricing per sub assy'!$D:$E,2,0))*Y1264</f>
        <v>1.2612108000000002</v>
      </c>
    </row>
    <row r="1265" spans="1:27" x14ac:dyDescent="0.35">
      <c r="A1265" s="27" t="s">
        <v>2160</v>
      </c>
      <c r="B1265" s="27" t="s">
        <v>2161</v>
      </c>
      <c r="C1265" s="42">
        <f t="shared" si="19"/>
        <v>112.7200108</v>
      </c>
      <c r="D1265" s="33" t="s">
        <v>2058</v>
      </c>
      <c r="E1265" s="33">
        <v>1</v>
      </c>
      <c r="F1265" s="33" t="s">
        <v>2059</v>
      </c>
      <c r="G1265" s="14">
        <f>(VLOOKUP(D1265,'[1]BOM Info General'!$A:$L,12,0))*E1265</f>
        <v>35.56</v>
      </c>
      <c r="H1265" s="34" t="s">
        <v>39</v>
      </c>
      <c r="I1265" s="34">
        <v>1</v>
      </c>
      <c r="J1265" s="34" t="s">
        <v>46</v>
      </c>
      <c r="K1265" s="15">
        <f>(VLOOKUP(H1265,'[1]BOM Info General'!$A:$L,12,0))*I1265</f>
        <v>24.42</v>
      </c>
      <c r="L1265" s="35" t="s">
        <v>114</v>
      </c>
      <c r="M1265" s="35">
        <v>1</v>
      </c>
      <c r="N1265" s="35" t="s">
        <v>111</v>
      </c>
      <c r="O1265" s="9">
        <f>(VLOOKUP(L1265,'[1]Simulation pricing per sub assy'!$D:$E,2,0))*M1265</f>
        <v>42.968799999999987</v>
      </c>
      <c r="P1265" s="36">
        <v>0</v>
      </c>
      <c r="Q1265" s="36">
        <v>0</v>
      </c>
      <c r="R1265" s="36" t="e">
        <v>#N/A</v>
      </c>
      <c r="S1265" s="40">
        <v>0</v>
      </c>
      <c r="T1265" s="37" t="s">
        <v>32</v>
      </c>
      <c r="U1265" s="37">
        <v>1</v>
      </c>
      <c r="V1265" s="37" t="s">
        <v>33</v>
      </c>
      <c r="W1265" s="17">
        <f>(VLOOKUP(T1265,'[1]Simulation pricing per sub assy'!$D:$E,2,0))*U1265</f>
        <v>8.51</v>
      </c>
      <c r="X1265" s="32" t="s">
        <v>613</v>
      </c>
      <c r="Y1265" s="38">
        <v>1</v>
      </c>
      <c r="Z1265" s="38" t="s">
        <v>34</v>
      </c>
      <c r="AA1265" s="18">
        <f>(VLOOKUP(X1265,'[1]Simulation pricing per sub assy'!$D:$E,2,0))*Y1265</f>
        <v>1.2612108000000002</v>
      </c>
    </row>
    <row r="1266" spans="1:27" x14ac:dyDescent="0.35">
      <c r="A1266" s="27" t="s">
        <v>2162</v>
      </c>
      <c r="B1266" s="27" t="s">
        <v>2163</v>
      </c>
      <c r="C1266" s="42">
        <f t="shared" si="19"/>
        <v>112.8700108</v>
      </c>
      <c r="D1266" s="33" t="s">
        <v>2058</v>
      </c>
      <c r="E1266" s="33">
        <v>1</v>
      </c>
      <c r="F1266" s="33" t="s">
        <v>2059</v>
      </c>
      <c r="G1266" s="14">
        <f>(VLOOKUP(D1266,'[1]BOM Info General'!$A:$L,12,0))*E1266</f>
        <v>35.56</v>
      </c>
      <c r="H1266" s="34" t="s">
        <v>39</v>
      </c>
      <c r="I1266" s="34">
        <v>1</v>
      </c>
      <c r="J1266" s="34" t="s">
        <v>46</v>
      </c>
      <c r="K1266" s="15">
        <f>(VLOOKUP(H1266,'[1]BOM Info General'!$A:$L,12,0))*I1266</f>
        <v>24.42</v>
      </c>
      <c r="L1266" s="35" t="s">
        <v>110</v>
      </c>
      <c r="M1266" s="35">
        <v>1</v>
      </c>
      <c r="N1266" s="35" t="s">
        <v>113</v>
      </c>
      <c r="O1266" s="9">
        <f>(VLOOKUP(L1266,'[1]Simulation pricing per sub assy'!$D:$E,2,0))*M1266</f>
        <v>43.118799999999993</v>
      </c>
      <c r="P1266" s="36">
        <v>0</v>
      </c>
      <c r="Q1266" s="36">
        <v>0</v>
      </c>
      <c r="R1266" s="36" t="e">
        <v>#N/A</v>
      </c>
      <c r="S1266" s="40">
        <v>0</v>
      </c>
      <c r="T1266" s="37" t="s">
        <v>32</v>
      </c>
      <c r="U1266" s="37">
        <v>1</v>
      </c>
      <c r="V1266" s="37" t="s">
        <v>33</v>
      </c>
      <c r="W1266" s="17">
        <f>(VLOOKUP(T1266,'[1]Simulation pricing per sub assy'!$D:$E,2,0))*U1266</f>
        <v>8.51</v>
      </c>
      <c r="X1266" s="32" t="s">
        <v>613</v>
      </c>
      <c r="Y1266" s="38">
        <v>1</v>
      </c>
      <c r="Z1266" s="38" t="s">
        <v>34</v>
      </c>
      <c r="AA1266" s="18">
        <f>(VLOOKUP(X1266,'[1]Simulation pricing per sub assy'!$D:$E,2,0))*Y1266</f>
        <v>1.2612108000000002</v>
      </c>
    </row>
    <row r="1267" spans="1:27" x14ac:dyDescent="0.35">
      <c r="A1267" s="27" t="s">
        <v>2164</v>
      </c>
      <c r="B1267" s="27" t="s">
        <v>2165</v>
      </c>
      <c r="C1267" s="42">
        <f t="shared" si="19"/>
        <v>117.8700108</v>
      </c>
      <c r="D1267" s="33" t="s">
        <v>2058</v>
      </c>
      <c r="E1267" s="33">
        <v>1</v>
      </c>
      <c r="F1267" s="33" t="s">
        <v>2059</v>
      </c>
      <c r="G1267" s="14">
        <f>(VLOOKUP(D1267,'[1]BOM Info General'!$A:$L,12,0))*E1267</f>
        <v>35.56</v>
      </c>
      <c r="H1267" s="34" t="s">
        <v>39</v>
      </c>
      <c r="I1267" s="34">
        <v>1</v>
      </c>
      <c r="J1267" s="34" t="s">
        <v>46</v>
      </c>
      <c r="K1267" s="15">
        <f>(VLOOKUP(H1267,'[1]BOM Info General'!$A:$L,12,0))*I1267</f>
        <v>24.42</v>
      </c>
      <c r="L1267" s="35" t="s">
        <v>529</v>
      </c>
      <c r="M1267" s="35">
        <v>1</v>
      </c>
      <c r="N1267" s="35" t="s">
        <v>115</v>
      </c>
      <c r="O1267" s="9">
        <f>(VLOOKUP(L1267,'[1]Simulation pricing per sub assy'!$D:$E,2,0))*M1267</f>
        <v>48.118799999999993</v>
      </c>
      <c r="P1267" s="36">
        <v>0</v>
      </c>
      <c r="Q1267" s="36">
        <v>0</v>
      </c>
      <c r="R1267" s="36" t="e">
        <v>#N/A</v>
      </c>
      <c r="S1267" s="40">
        <v>0</v>
      </c>
      <c r="T1267" s="37" t="s">
        <v>32</v>
      </c>
      <c r="U1267" s="37">
        <v>1</v>
      </c>
      <c r="V1267" s="37" t="s">
        <v>33</v>
      </c>
      <c r="W1267" s="17">
        <f>(VLOOKUP(T1267,'[1]Simulation pricing per sub assy'!$D:$E,2,0))*U1267</f>
        <v>8.51</v>
      </c>
      <c r="X1267" s="32" t="s">
        <v>613</v>
      </c>
      <c r="Y1267" s="38">
        <v>1</v>
      </c>
      <c r="Z1267" s="38" t="s">
        <v>34</v>
      </c>
      <c r="AA1267" s="18">
        <f>(VLOOKUP(X1267,'[1]Simulation pricing per sub assy'!$D:$E,2,0))*Y1267</f>
        <v>1.2612108000000002</v>
      </c>
    </row>
    <row r="1268" spans="1:27" x14ac:dyDescent="0.35">
      <c r="A1268" s="27" t="s">
        <v>2166</v>
      </c>
      <c r="B1268" s="27" t="s">
        <v>2167</v>
      </c>
      <c r="C1268" s="42">
        <f t="shared" si="19"/>
        <v>112.7500108</v>
      </c>
      <c r="D1268" s="33" t="s">
        <v>2058</v>
      </c>
      <c r="E1268" s="33">
        <v>1</v>
      </c>
      <c r="F1268" s="33" t="s">
        <v>2059</v>
      </c>
      <c r="G1268" s="14">
        <f>(VLOOKUP(D1268,'[1]BOM Info General'!$A:$L,12,0))*E1268</f>
        <v>35.56</v>
      </c>
      <c r="H1268" s="34" t="s">
        <v>39</v>
      </c>
      <c r="I1268" s="34">
        <v>1</v>
      </c>
      <c r="J1268" s="34" t="s">
        <v>46</v>
      </c>
      <c r="K1268" s="15">
        <f>(VLOOKUP(H1268,'[1]BOM Info General'!$A:$L,12,0))*I1268</f>
        <v>24.42</v>
      </c>
      <c r="L1268" s="35" t="s">
        <v>112</v>
      </c>
      <c r="M1268" s="35">
        <v>1</v>
      </c>
      <c r="N1268" s="35" t="s">
        <v>109</v>
      </c>
      <c r="O1268" s="9">
        <f>(VLOOKUP(L1268,'[1]Simulation pricing per sub assy'!$D:$E,2,0))*M1268</f>
        <v>42.998799999999989</v>
      </c>
      <c r="P1268" s="36">
        <v>0</v>
      </c>
      <c r="Q1268" s="36">
        <v>0</v>
      </c>
      <c r="R1268" s="36" t="e">
        <v>#N/A</v>
      </c>
      <c r="S1268" s="40">
        <v>0</v>
      </c>
      <c r="T1268" s="37" t="s">
        <v>32</v>
      </c>
      <c r="U1268" s="37">
        <v>1</v>
      </c>
      <c r="V1268" s="37" t="s">
        <v>33</v>
      </c>
      <c r="W1268" s="17">
        <f>(VLOOKUP(T1268,'[1]Simulation pricing per sub assy'!$D:$E,2,0))*U1268</f>
        <v>8.51</v>
      </c>
      <c r="X1268" s="32" t="s">
        <v>613</v>
      </c>
      <c r="Y1268" s="38">
        <v>1</v>
      </c>
      <c r="Z1268" s="38" t="s">
        <v>34</v>
      </c>
      <c r="AA1268" s="18">
        <f>(VLOOKUP(X1268,'[1]Simulation pricing per sub assy'!$D:$E,2,0))*Y1268</f>
        <v>1.2612108000000002</v>
      </c>
    </row>
    <row r="1269" spans="1:27" x14ac:dyDescent="0.35">
      <c r="A1269" s="27" t="s">
        <v>2168</v>
      </c>
      <c r="B1269" s="27" t="s">
        <v>2169</v>
      </c>
      <c r="C1269" s="42">
        <f t="shared" si="19"/>
        <v>112.8700108</v>
      </c>
      <c r="D1269" s="33" t="s">
        <v>2058</v>
      </c>
      <c r="E1269" s="33">
        <v>1</v>
      </c>
      <c r="F1269" s="33" t="s">
        <v>2059</v>
      </c>
      <c r="G1269" s="14">
        <f>(VLOOKUP(D1269,'[1]BOM Info General'!$A:$L,12,0))*E1269</f>
        <v>35.56</v>
      </c>
      <c r="H1269" s="34" t="s">
        <v>39</v>
      </c>
      <c r="I1269" s="34">
        <v>1</v>
      </c>
      <c r="J1269" s="34" t="s">
        <v>46</v>
      </c>
      <c r="K1269" s="15">
        <f>(VLOOKUP(H1269,'[1]BOM Info General'!$A:$L,12,0))*I1269</f>
        <v>24.42</v>
      </c>
      <c r="L1269" s="35" t="s">
        <v>108</v>
      </c>
      <c r="M1269" s="35">
        <v>1</v>
      </c>
      <c r="N1269" s="35" t="s">
        <v>107</v>
      </c>
      <c r="O1269" s="9">
        <f>(VLOOKUP(L1269,'[1]Simulation pricing per sub assy'!$D:$E,2,0))*M1269</f>
        <v>43.118799999999993</v>
      </c>
      <c r="P1269" s="36">
        <v>0</v>
      </c>
      <c r="Q1269" s="36">
        <v>0</v>
      </c>
      <c r="R1269" s="36" t="e">
        <v>#N/A</v>
      </c>
      <c r="S1269" s="40">
        <v>0</v>
      </c>
      <c r="T1269" s="37" t="s">
        <v>32</v>
      </c>
      <c r="U1269" s="37">
        <v>1</v>
      </c>
      <c r="V1269" s="37" t="s">
        <v>33</v>
      </c>
      <c r="W1269" s="17">
        <f>(VLOOKUP(T1269,'[1]Simulation pricing per sub assy'!$D:$E,2,0))*U1269</f>
        <v>8.51</v>
      </c>
      <c r="X1269" s="32" t="s">
        <v>613</v>
      </c>
      <c r="Y1269" s="38">
        <v>1</v>
      </c>
      <c r="Z1269" s="38" t="s">
        <v>34</v>
      </c>
      <c r="AA1269" s="18">
        <f>(VLOOKUP(X1269,'[1]Simulation pricing per sub assy'!$D:$E,2,0))*Y1269</f>
        <v>1.2612108000000002</v>
      </c>
    </row>
    <row r="1270" spans="1:27" x14ac:dyDescent="0.35">
      <c r="A1270" s="27" t="s">
        <v>2170</v>
      </c>
      <c r="B1270" s="27" t="s">
        <v>2171</v>
      </c>
      <c r="C1270" s="42">
        <f t="shared" si="19"/>
        <v>112.7200108</v>
      </c>
      <c r="D1270" s="33" t="s">
        <v>2058</v>
      </c>
      <c r="E1270" s="33">
        <v>1</v>
      </c>
      <c r="F1270" s="33" t="s">
        <v>2059</v>
      </c>
      <c r="G1270" s="14">
        <f>(VLOOKUP(D1270,'[1]BOM Info General'!$A:$L,12,0))*E1270</f>
        <v>35.56</v>
      </c>
      <c r="H1270" s="34" t="s">
        <v>39</v>
      </c>
      <c r="I1270" s="34">
        <v>1</v>
      </c>
      <c r="J1270" s="34" t="s">
        <v>46</v>
      </c>
      <c r="K1270" s="15">
        <f>(VLOOKUP(H1270,'[1]BOM Info General'!$A:$L,12,0))*I1270</f>
        <v>24.42</v>
      </c>
      <c r="L1270" s="35" t="s">
        <v>114</v>
      </c>
      <c r="M1270" s="35">
        <v>1</v>
      </c>
      <c r="N1270" s="35" t="s">
        <v>111</v>
      </c>
      <c r="O1270" s="9">
        <f>(VLOOKUP(L1270,'[1]Simulation pricing per sub assy'!$D:$E,2,0))*M1270</f>
        <v>42.968799999999987</v>
      </c>
      <c r="P1270" s="36">
        <v>0</v>
      </c>
      <c r="Q1270" s="36">
        <v>0</v>
      </c>
      <c r="R1270" s="36" t="e">
        <v>#N/A</v>
      </c>
      <c r="S1270" s="40">
        <v>0</v>
      </c>
      <c r="T1270" s="37" t="s">
        <v>32</v>
      </c>
      <c r="U1270" s="37">
        <v>1</v>
      </c>
      <c r="V1270" s="37" t="s">
        <v>33</v>
      </c>
      <c r="W1270" s="17">
        <f>(VLOOKUP(T1270,'[1]Simulation pricing per sub assy'!$D:$E,2,0))*U1270</f>
        <v>8.51</v>
      </c>
      <c r="X1270" s="32" t="s">
        <v>613</v>
      </c>
      <c r="Y1270" s="38">
        <v>1</v>
      </c>
      <c r="Z1270" s="38" t="s">
        <v>34</v>
      </c>
      <c r="AA1270" s="18">
        <f>(VLOOKUP(X1270,'[1]Simulation pricing per sub assy'!$D:$E,2,0))*Y1270</f>
        <v>1.2612108000000002</v>
      </c>
    </row>
    <row r="1271" spans="1:27" x14ac:dyDescent="0.35">
      <c r="A1271" s="27" t="s">
        <v>2172</v>
      </c>
      <c r="B1271" s="27" t="s">
        <v>2173</v>
      </c>
      <c r="C1271" s="42">
        <f t="shared" si="19"/>
        <v>112.8700108</v>
      </c>
      <c r="D1271" s="33" t="s">
        <v>2058</v>
      </c>
      <c r="E1271" s="33">
        <v>1</v>
      </c>
      <c r="F1271" s="33" t="s">
        <v>2059</v>
      </c>
      <c r="G1271" s="14">
        <f>(VLOOKUP(D1271,'[1]BOM Info General'!$A:$L,12,0))*E1271</f>
        <v>35.56</v>
      </c>
      <c r="H1271" s="34" t="s">
        <v>39</v>
      </c>
      <c r="I1271" s="34">
        <v>1</v>
      </c>
      <c r="J1271" s="34" t="s">
        <v>46</v>
      </c>
      <c r="K1271" s="15">
        <f>(VLOOKUP(H1271,'[1]BOM Info General'!$A:$L,12,0))*I1271</f>
        <v>24.42</v>
      </c>
      <c r="L1271" s="35" t="s">
        <v>110</v>
      </c>
      <c r="M1271" s="35">
        <v>1</v>
      </c>
      <c r="N1271" s="35" t="s">
        <v>113</v>
      </c>
      <c r="O1271" s="9">
        <f>(VLOOKUP(L1271,'[1]Simulation pricing per sub assy'!$D:$E,2,0))*M1271</f>
        <v>43.118799999999993</v>
      </c>
      <c r="P1271" s="36">
        <v>0</v>
      </c>
      <c r="Q1271" s="36">
        <v>0</v>
      </c>
      <c r="R1271" s="36" t="e">
        <v>#N/A</v>
      </c>
      <c r="S1271" s="40">
        <v>0</v>
      </c>
      <c r="T1271" s="37" t="s">
        <v>32</v>
      </c>
      <c r="U1271" s="37">
        <v>1</v>
      </c>
      <c r="V1271" s="37" t="s">
        <v>33</v>
      </c>
      <c r="W1271" s="17">
        <f>(VLOOKUP(T1271,'[1]Simulation pricing per sub assy'!$D:$E,2,0))*U1271</f>
        <v>8.51</v>
      </c>
      <c r="X1271" s="32" t="s">
        <v>613</v>
      </c>
      <c r="Y1271" s="38">
        <v>1</v>
      </c>
      <c r="Z1271" s="38" t="s">
        <v>34</v>
      </c>
      <c r="AA1271" s="18">
        <f>(VLOOKUP(X1271,'[1]Simulation pricing per sub assy'!$D:$E,2,0))*Y1271</f>
        <v>1.2612108000000002</v>
      </c>
    </row>
    <row r="1272" spans="1:27" x14ac:dyDescent="0.35">
      <c r="A1272" s="27" t="s">
        <v>2174</v>
      </c>
      <c r="B1272" s="27" t="s">
        <v>4489</v>
      </c>
      <c r="C1272" s="42">
        <f t="shared" si="19"/>
        <v>117.8700108</v>
      </c>
      <c r="D1272" s="28" t="s">
        <v>2058</v>
      </c>
      <c r="E1272" s="28">
        <v>1</v>
      </c>
      <c r="F1272" s="28" t="s">
        <v>2059</v>
      </c>
      <c r="G1272" s="14">
        <f>(VLOOKUP(D1272,'[1]BOM Info General'!$A:$L,12,0))*E1272</f>
        <v>35.56</v>
      </c>
      <c r="H1272" s="29" t="s">
        <v>39</v>
      </c>
      <c r="I1272" s="29">
        <v>1</v>
      </c>
      <c r="J1272" s="29" t="s">
        <v>46</v>
      </c>
      <c r="K1272" s="15">
        <f>(VLOOKUP(H1272,'[1]BOM Info General'!$A:$L,12,0))*I1272</f>
        <v>24.42</v>
      </c>
      <c r="L1272" s="26" t="s">
        <v>529</v>
      </c>
      <c r="M1272" s="26">
        <v>1</v>
      </c>
      <c r="N1272" s="26" t="s">
        <v>115</v>
      </c>
      <c r="O1272" s="9">
        <f>(VLOOKUP(L1272,'[1]Simulation pricing per sub assy'!$D:$E,2,0))*M1272</f>
        <v>48.118799999999993</v>
      </c>
      <c r="P1272" s="30">
        <v>0</v>
      </c>
      <c r="Q1272" s="30">
        <v>0</v>
      </c>
      <c r="R1272" s="30" t="e">
        <v>#N/A</v>
      </c>
      <c r="S1272" s="40">
        <v>0</v>
      </c>
      <c r="T1272" s="31" t="s">
        <v>32</v>
      </c>
      <c r="U1272" s="31">
        <v>1</v>
      </c>
      <c r="V1272" s="31" t="s">
        <v>33</v>
      </c>
      <c r="W1272" s="17">
        <f>(VLOOKUP(T1272,'[1]Simulation pricing per sub assy'!$D:$E,2,0))*U1272</f>
        <v>8.51</v>
      </c>
      <c r="X1272" s="32" t="s">
        <v>613</v>
      </c>
      <c r="Y1272" s="32">
        <v>1</v>
      </c>
      <c r="Z1272" s="32" t="s">
        <v>34</v>
      </c>
      <c r="AA1272" s="18">
        <f>(VLOOKUP(X1272,'[1]Simulation pricing per sub assy'!$D:$E,2,0))*Y1272</f>
        <v>1.2612108000000002</v>
      </c>
    </row>
    <row r="1273" spans="1:27" x14ac:dyDescent="0.35">
      <c r="A1273" s="27" t="s">
        <v>2175</v>
      </c>
      <c r="B1273" s="27" t="s">
        <v>4490</v>
      </c>
      <c r="C1273" s="42">
        <f t="shared" si="19"/>
        <v>112.7500108</v>
      </c>
      <c r="D1273" s="28" t="s">
        <v>2058</v>
      </c>
      <c r="E1273" s="28">
        <v>1</v>
      </c>
      <c r="F1273" s="28" t="s">
        <v>2059</v>
      </c>
      <c r="G1273" s="14">
        <f>(VLOOKUP(D1273,'[1]BOM Info General'!$A:$L,12,0))*E1273</f>
        <v>35.56</v>
      </c>
      <c r="H1273" s="29" t="s">
        <v>39</v>
      </c>
      <c r="I1273" s="29">
        <v>1</v>
      </c>
      <c r="J1273" s="29" t="s">
        <v>46</v>
      </c>
      <c r="K1273" s="15">
        <f>(VLOOKUP(H1273,'[1]BOM Info General'!$A:$L,12,0))*I1273</f>
        <v>24.42</v>
      </c>
      <c r="L1273" s="26" t="s">
        <v>112</v>
      </c>
      <c r="M1273" s="26">
        <v>1</v>
      </c>
      <c r="N1273" s="26" t="s">
        <v>109</v>
      </c>
      <c r="O1273" s="9">
        <f>(VLOOKUP(L1273,'[1]Simulation pricing per sub assy'!$D:$E,2,0))*M1273</f>
        <v>42.998799999999989</v>
      </c>
      <c r="P1273" s="30">
        <v>0</v>
      </c>
      <c r="Q1273" s="30">
        <v>0</v>
      </c>
      <c r="R1273" s="30" t="e">
        <v>#N/A</v>
      </c>
      <c r="S1273" s="40">
        <v>0</v>
      </c>
      <c r="T1273" s="31" t="s">
        <v>32</v>
      </c>
      <c r="U1273" s="31">
        <v>1</v>
      </c>
      <c r="V1273" s="31" t="s">
        <v>33</v>
      </c>
      <c r="W1273" s="17">
        <f>(VLOOKUP(T1273,'[1]Simulation pricing per sub assy'!$D:$E,2,0))*U1273</f>
        <v>8.51</v>
      </c>
      <c r="X1273" s="32" t="s">
        <v>613</v>
      </c>
      <c r="Y1273" s="32">
        <v>1</v>
      </c>
      <c r="Z1273" s="32" t="s">
        <v>34</v>
      </c>
      <c r="AA1273" s="18">
        <f>(VLOOKUP(X1273,'[1]Simulation pricing per sub assy'!$D:$E,2,0))*Y1273</f>
        <v>1.2612108000000002</v>
      </c>
    </row>
    <row r="1274" spans="1:27" x14ac:dyDescent="0.35">
      <c r="A1274" s="27" t="s">
        <v>2176</v>
      </c>
      <c r="B1274" s="27" t="s">
        <v>4491</v>
      </c>
      <c r="C1274" s="42">
        <f t="shared" si="19"/>
        <v>112.8700108</v>
      </c>
      <c r="D1274" s="28" t="s">
        <v>2058</v>
      </c>
      <c r="E1274" s="28">
        <v>1</v>
      </c>
      <c r="F1274" s="28" t="s">
        <v>2059</v>
      </c>
      <c r="G1274" s="14">
        <f>(VLOOKUP(D1274,'[1]BOM Info General'!$A:$L,12,0))*E1274</f>
        <v>35.56</v>
      </c>
      <c r="H1274" s="29" t="s">
        <v>39</v>
      </c>
      <c r="I1274" s="29">
        <v>1</v>
      </c>
      <c r="J1274" s="29" t="s">
        <v>46</v>
      </c>
      <c r="K1274" s="15">
        <f>(VLOOKUP(H1274,'[1]BOM Info General'!$A:$L,12,0))*I1274</f>
        <v>24.42</v>
      </c>
      <c r="L1274" s="26" t="s">
        <v>108</v>
      </c>
      <c r="M1274" s="26">
        <v>1</v>
      </c>
      <c r="N1274" s="26" t="s">
        <v>107</v>
      </c>
      <c r="O1274" s="9">
        <f>(VLOOKUP(L1274,'[1]Simulation pricing per sub assy'!$D:$E,2,0))*M1274</f>
        <v>43.118799999999993</v>
      </c>
      <c r="P1274" s="30">
        <v>0</v>
      </c>
      <c r="Q1274" s="30">
        <v>0</v>
      </c>
      <c r="R1274" s="30" t="e">
        <v>#N/A</v>
      </c>
      <c r="S1274" s="40">
        <v>0</v>
      </c>
      <c r="T1274" s="31" t="s">
        <v>32</v>
      </c>
      <c r="U1274" s="31">
        <v>1</v>
      </c>
      <c r="V1274" s="31" t="s">
        <v>33</v>
      </c>
      <c r="W1274" s="17">
        <f>(VLOOKUP(T1274,'[1]Simulation pricing per sub assy'!$D:$E,2,0))*U1274</f>
        <v>8.51</v>
      </c>
      <c r="X1274" s="32" t="s">
        <v>613</v>
      </c>
      <c r="Y1274" s="32">
        <v>1</v>
      </c>
      <c r="Z1274" s="32" t="s">
        <v>34</v>
      </c>
      <c r="AA1274" s="18">
        <f>(VLOOKUP(X1274,'[1]Simulation pricing per sub assy'!$D:$E,2,0))*Y1274</f>
        <v>1.2612108000000002</v>
      </c>
    </row>
    <row r="1275" spans="1:27" x14ac:dyDescent="0.35">
      <c r="A1275" s="27" t="s">
        <v>2177</v>
      </c>
      <c r="B1275" s="27" t="s">
        <v>4492</v>
      </c>
      <c r="C1275" s="42">
        <f t="shared" si="19"/>
        <v>112.7200108</v>
      </c>
      <c r="D1275" s="28" t="s">
        <v>2058</v>
      </c>
      <c r="E1275" s="28">
        <v>1</v>
      </c>
      <c r="F1275" s="28" t="s">
        <v>2059</v>
      </c>
      <c r="G1275" s="14">
        <f>(VLOOKUP(D1275,'[1]BOM Info General'!$A:$L,12,0))*E1275</f>
        <v>35.56</v>
      </c>
      <c r="H1275" s="29" t="s">
        <v>39</v>
      </c>
      <c r="I1275" s="29">
        <v>1</v>
      </c>
      <c r="J1275" s="29" t="s">
        <v>46</v>
      </c>
      <c r="K1275" s="15">
        <f>(VLOOKUP(H1275,'[1]BOM Info General'!$A:$L,12,0))*I1275</f>
        <v>24.42</v>
      </c>
      <c r="L1275" s="26" t="s">
        <v>114</v>
      </c>
      <c r="M1275" s="26">
        <v>1</v>
      </c>
      <c r="N1275" s="26" t="s">
        <v>111</v>
      </c>
      <c r="O1275" s="9">
        <f>(VLOOKUP(L1275,'[1]Simulation pricing per sub assy'!$D:$E,2,0))*M1275</f>
        <v>42.968799999999987</v>
      </c>
      <c r="P1275" s="30">
        <v>0</v>
      </c>
      <c r="Q1275" s="30">
        <v>0</v>
      </c>
      <c r="R1275" s="30" t="e">
        <v>#N/A</v>
      </c>
      <c r="S1275" s="40">
        <v>0</v>
      </c>
      <c r="T1275" s="31" t="s">
        <v>32</v>
      </c>
      <c r="U1275" s="31">
        <v>1</v>
      </c>
      <c r="V1275" s="31" t="s">
        <v>33</v>
      </c>
      <c r="W1275" s="17">
        <f>(VLOOKUP(T1275,'[1]Simulation pricing per sub assy'!$D:$E,2,0))*U1275</f>
        <v>8.51</v>
      </c>
      <c r="X1275" s="32" t="s">
        <v>613</v>
      </c>
      <c r="Y1275" s="32">
        <v>1</v>
      </c>
      <c r="Z1275" s="32" t="s">
        <v>34</v>
      </c>
      <c r="AA1275" s="18">
        <f>(VLOOKUP(X1275,'[1]Simulation pricing per sub assy'!$D:$E,2,0))*Y1275</f>
        <v>1.2612108000000002</v>
      </c>
    </row>
    <row r="1276" spans="1:27" x14ac:dyDescent="0.35">
      <c r="A1276" s="27" t="s">
        <v>2178</v>
      </c>
      <c r="B1276" s="27" t="s">
        <v>4493</v>
      </c>
      <c r="C1276" s="42">
        <f t="shared" si="19"/>
        <v>112.8700108</v>
      </c>
      <c r="D1276" s="28" t="s">
        <v>2058</v>
      </c>
      <c r="E1276" s="28">
        <v>1</v>
      </c>
      <c r="F1276" s="28" t="s">
        <v>2059</v>
      </c>
      <c r="G1276" s="14">
        <f>(VLOOKUP(D1276,'[1]BOM Info General'!$A:$L,12,0))*E1276</f>
        <v>35.56</v>
      </c>
      <c r="H1276" s="29" t="s">
        <v>39</v>
      </c>
      <c r="I1276" s="29">
        <v>1</v>
      </c>
      <c r="J1276" s="29" t="s">
        <v>46</v>
      </c>
      <c r="K1276" s="15">
        <f>(VLOOKUP(H1276,'[1]BOM Info General'!$A:$L,12,0))*I1276</f>
        <v>24.42</v>
      </c>
      <c r="L1276" s="26" t="s">
        <v>110</v>
      </c>
      <c r="M1276" s="26">
        <v>1</v>
      </c>
      <c r="N1276" s="26" t="s">
        <v>113</v>
      </c>
      <c r="O1276" s="9">
        <f>(VLOOKUP(L1276,'[1]Simulation pricing per sub assy'!$D:$E,2,0))*M1276</f>
        <v>43.118799999999993</v>
      </c>
      <c r="P1276" s="30">
        <v>0</v>
      </c>
      <c r="Q1276" s="30">
        <v>0</v>
      </c>
      <c r="R1276" s="30" t="e">
        <v>#N/A</v>
      </c>
      <c r="S1276" s="40">
        <v>0</v>
      </c>
      <c r="T1276" s="31" t="s">
        <v>32</v>
      </c>
      <c r="U1276" s="31">
        <v>1</v>
      </c>
      <c r="V1276" s="31" t="s">
        <v>33</v>
      </c>
      <c r="W1276" s="17">
        <f>(VLOOKUP(T1276,'[1]Simulation pricing per sub assy'!$D:$E,2,0))*U1276</f>
        <v>8.51</v>
      </c>
      <c r="X1276" s="32" t="s">
        <v>613</v>
      </c>
      <c r="Y1276" s="32">
        <v>1</v>
      </c>
      <c r="Z1276" s="32" t="s">
        <v>34</v>
      </c>
      <c r="AA1276" s="18">
        <f>(VLOOKUP(X1276,'[1]Simulation pricing per sub assy'!$D:$E,2,0))*Y1276</f>
        <v>1.2612108000000002</v>
      </c>
    </row>
    <row r="1277" spans="1:27" x14ac:dyDescent="0.35">
      <c r="A1277" s="27" t="s">
        <v>2179</v>
      </c>
      <c r="B1277" s="27" t="s">
        <v>4494</v>
      </c>
      <c r="C1277" s="42">
        <f t="shared" si="19"/>
        <v>266.47500080000003</v>
      </c>
      <c r="D1277" s="28" t="s">
        <v>3540</v>
      </c>
      <c r="E1277" s="28">
        <v>2</v>
      </c>
      <c r="F1277" s="28" t="s">
        <v>3981</v>
      </c>
      <c r="G1277" s="14">
        <f>(VLOOKUP(D1277,'[1]BOM Info General'!$A:$L,12,0))*E1277</f>
        <v>130.12</v>
      </c>
      <c r="H1277" s="29" t="s">
        <v>40</v>
      </c>
      <c r="I1277" s="29">
        <v>1</v>
      </c>
      <c r="J1277" s="29" t="s">
        <v>45</v>
      </c>
      <c r="K1277" s="15">
        <f>(VLOOKUP(H1277,'[1]BOM Info General'!$A:$L,12,0))*I1277</f>
        <v>25.59</v>
      </c>
      <c r="L1277" s="26" t="s">
        <v>530</v>
      </c>
      <c r="M1277" s="26">
        <v>1</v>
      </c>
      <c r="N1277" s="26" t="s">
        <v>124</v>
      </c>
      <c r="O1277" s="9">
        <f>(VLOOKUP(L1277,'[1]Simulation pricing per sub assy'!$D:$E,2,0))*M1277</f>
        <v>93.186400000000035</v>
      </c>
      <c r="P1277" s="30">
        <v>0</v>
      </c>
      <c r="Q1277" s="30">
        <v>0</v>
      </c>
      <c r="R1277" s="30" t="e">
        <v>#N/A</v>
      </c>
      <c r="S1277" s="40">
        <v>0</v>
      </c>
      <c r="T1277" s="31" t="s">
        <v>35</v>
      </c>
      <c r="U1277" s="31">
        <v>1</v>
      </c>
      <c r="V1277" s="31" t="s">
        <v>36</v>
      </c>
      <c r="W1277" s="17">
        <f>(VLOOKUP(T1277,'[1]Simulation pricing per sub assy'!$D:$E,2,0))*U1277</f>
        <v>15.3</v>
      </c>
      <c r="X1277" s="32" t="s">
        <v>614</v>
      </c>
      <c r="Y1277" s="32">
        <v>1</v>
      </c>
      <c r="Z1277" s="32" t="s">
        <v>37</v>
      </c>
      <c r="AA1277" s="18">
        <f>(VLOOKUP(X1277,'[1]Simulation pricing per sub assy'!$D:$E,2,0))*Y1277</f>
        <v>2.2786008000000004</v>
      </c>
    </row>
    <row r="1278" spans="1:27" x14ac:dyDescent="0.35">
      <c r="A1278" s="27" t="s">
        <v>2180</v>
      </c>
      <c r="B1278" s="27" t="s">
        <v>4495</v>
      </c>
      <c r="C1278" s="42">
        <f t="shared" si="19"/>
        <v>261.47500080000003</v>
      </c>
      <c r="D1278" s="28" t="s">
        <v>3540</v>
      </c>
      <c r="E1278" s="28">
        <v>2</v>
      </c>
      <c r="F1278" s="28" t="s">
        <v>3981</v>
      </c>
      <c r="G1278" s="14">
        <f>(VLOOKUP(D1278,'[1]BOM Info General'!$A:$L,12,0))*E1278</f>
        <v>130.12</v>
      </c>
      <c r="H1278" s="29" t="s">
        <v>40</v>
      </c>
      <c r="I1278" s="29">
        <v>1</v>
      </c>
      <c r="J1278" s="29" t="s">
        <v>45</v>
      </c>
      <c r="K1278" s="15">
        <f>(VLOOKUP(H1278,'[1]BOM Info General'!$A:$L,12,0))*I1278</f>
        <v>25.59</v>
      </c>
      <c r="L1278" s="26" t="s">
        <v>121</v>
      </c>
      <c r="M1278" s="26">
        <v>1</v>
      </c>
      <c r="N1278" s="26" t="s">
        <v>118</v>
      </c>
      <c r="O1278" s="9">
        <f>(VLOOKUP(L1278,'[1]Simulation pricing per sub assy'!$D:$E,2,0))*M1278</f>
        <v>88.186400000000035</v>
      </c>
      <c r="P1278" s="30">
        <v>0</v>
      </c>
      <c r="Q1278" s="30">
        <v>0</v>
      </c>
      <c r="R1278" s="30" t="e">
        <v>#N/A</v>
      </c>
      <c r="S1278" s="40">
        <v>0</v>
      </c>
      <c r="T1278" s="31" t="s">
        <v>35</v>
      </c>
      <c r="U1278" s="31">
        <v>1</v>
      </c>
      <c r="V1278" s="31" t="s">
        <v>36</v>
      </c>
      <c r="W1278" s="17">
        <f>(VLOOKUP(T1278,'[1]Simulation pricing per sub assy'!$D:$E,2,0))*U1278</f>
        <v>15.3</v>
      </c>
      <c r="X1278" s="32" t="s">
        <v>614</v>
      </c>
      <c r="Y1278" s="32">
        <v>1</v>
      </c>
      <c r="Z1278" s="32" t="s">
        <v>37</v>
      </c>
      <c r="AA1278" s="18">
        <f>(VLOOKUP(X1278,'[1]Simulation pricing per sub assy'!$D:$E,2,0))*Y1278</f>
        <v>2.2786008000000004</v>
      </c>
    </row>
    <row r="1279" spans="1:27" x14ac:dyDescent="0.35">
      <c r="A1279" s="27" t="s">
        <v>2181</v>
      </c>
      <c r="B1279" s="27" t="s">
        <v>4496</v>
      </c>
      <c r="C1279" s="42">
        <f t="shared" si="19"/>
        <v>261.47500080000003</v>
      </c>
      <c r="D1279" s="28" t="s">
        <v>3540</v>
      </c>
      <c r="E1279" s="28">
        <v>2</v>
      </c>
      <c r="F1279" s="28" t="s">
        <v>3981</v>
      </c>
      <c r="G1279" s="14">
        <f>(VLOOKUP(D1279,'[1]BOM Info General'!$A:$L,12,0))*E1279</f>
        <v>130.12</v>
      </c>
      <c r="H1279" s="29" t="s">
        <v>40</v>
      </c>
      <c r="I1279" s="29">
        <v>1</v>
      </c>
      <c r="J1279" s="29" t="s">
        <v>45</v>
      </c>
      <c r="K1279" s="15">
        <f>(VLOOKUP(H1279,'[1]BOM Info General'!$A:$L,12,0))*I1279</f>
        <v>25.59</v>
      </c>
      <c r="L1279" s="26" t="s">
        <v>117</v>
      </c>
      <c r="M1279" s="26">
        <v>1</v>
      </c>
      <c r="N1279" s="26" t="s">
        <v>116</v>
      </c>
      <c r="O1279" s="9">
        <f>(VLOOKUP(L1279,'[1]Simulation pricing per sub assy'!$D:$E,2,0))*M1279</f>
        <v>88.186400000000035</v>
      </c>
      <c r="P1279" s="30">
        <v>0</v>
      </c>
      <c r="Q1279" s="30">
        <v>0</v>
      </c>
      <c r="R1279" s="30" t="e">
        <v>#N/A</v>
      </c>
      <c r="S1279" s="40">
        <v>0</v>
      </c>
      <c r="T1279" s="31" t="s">
        <v>35</v>
      </c>
      <c r="U1279" s="31">
        <v>1</v>
      </c>
      <c r="V1279" s="31" t="s">
        <v>36</v>
      </c>
      <c r="W1279" s="17">
        <f>(VLOOKUP(T1279,'[1]Simulation pricing per sub assy'!$D:$E,2,0))*U1279</f>
        <v>15.3</v>
      </c>
      <c r="X1279" s="32" t="s">
        <v>614</v>
      </c>
      <c r="Y1279" s="32">
        <v>1</v>
      </c>
      <c r="Z1279" s="32" t="s">
        <v>37</v>
      </c>
      <c r="AA1279" s="18">
        <f>(VLOOKUP(X1279,'[1]Simulation pricing per sub assy'!$D:$E,2,0))*Y1279</f>
        <v>2.2786008000000004</v>
      </c>
    </row>
    <row r="1280" spans="1:27" x14ac:dyDescent="0.35">
      <c r="A1280" s="27" t="s">
        <v>2182</v>
      </c>
      <c r="B1280" s="27" t="s">
        <v>4497</v>
      </c>
      <c r="C1280" s="42">
        <f t="shared" si="19"/>
        <v>260.92500080000002</v>
      </c>
      <c r="D1280" s="28" t="s">
        <v>3540</v>
      </c>
      <c r="E1280" s="28">
        <v>2</v>
      </c>
      <c r="F1280" s="28" t="s">
        <v>3981</v>
      </c>
      <c r="G1280" s="14">
        <f>(VLOOKUP(D1280,'[1]BOM Info General'!$A:$L,12,0))*E1280</f>
        <v>130.12</v>
      </c>
      <c r="H1280" s="29" t="s">
        <v>40</v>
      </c>
      <c r="I1280" s="29">
        <v>1</v>
      </c>
      <c r="J1280" s="29" t="s">
        <v>45</v>
      </c>
      <c r="K1280" s="15">
        <f>(VLOOKUP(H1280,'[1]BOM Info General'!$A:$L,12,0))*I1280</f>
        <v>25.59</v>
      </c>
      <c r="L1280" s="26" t="s">
        <v>123</v>
      </c>
      <c r="M1280" s="26">
        <v>1</v>
      </c>
      <c r="N1280" s="26" t="s">
        <v>120</v>
      </c>
      <c r="O1280" s="9">
        <f>(VLOOKUP(L1280,'[1]Simulation pricing per sub assy'!$D:$E,2,0))*M1280</f>
        <v>87.636400000000037</v>
      </c>
      <c r="P1280" s="30">
        <v>0</v>
      </c>
      <c r="Q1280" s="30">
        <v>0</v>
      </c>
      <c r="R1280" s="30" t="e">
        <v>#N/A</v>
      </c>
      <c r="S1280" s="40">
        <v>0</v>
      </c>
      <c r="T1280" s="31" t="s">
        <v>35</v>
      </c>
      <c r="U1280" s="31">
        <v>1</v>
      </c>
      <c r="V1280" s="31" t="s">
        <v>36</v>
      </c>
      <c r="W1280" s="17">
        <f>(VLOOKUP(T1280,'[1]Simulation pricing per sub assy'!$D:$E,2,0))*U1280</f>
        <v>15.3</v>
      </c>
      <c r="X1280" s="32" t="s">
        <v>614</v>
      </c>
      <c r="Y1280" s="32">
        <v>1</v>
      </c>
      <c r="Z1280" s="32" t="s">
        <v>37</v>
      </c>
      <c r="AA1280" s="18">
        <f>(VLOOKUP(X1280,'[1]Simulation pricing per sub assy'!$D:$E,2,0))*Y1280</f>
        <v>2.2786008000000004</v>
      </c>
    </row>
    <row r="1281" spans="1:27" x14ac:dyDescent="0.35">
      <c r="A1281" s="27" t="s">
        <v>2183</v>
      </c>
      <c r="B1281" s="27" t="s">
        <v>4498</v>
      </c>
      <c r="C1281" s="42">
        <f t="shared" si="19"/>
        <v>261.47500080000003</v>
      </c>
      <c r="D1281" s="28" t="s">
        <v>3540</v>
      </c>
      <c r="E1281" s="28">
        <v>2</v>
      </c>
      <c r="F1281" s="28" t="s">
        <v>3981</v>
      </c>
      <c r="G1281" s="14">
        <f>(VLOOKUP(D1281,'[1]BOM Info General'!$A:$L,12,0))*E1281</f>
        <v>130.12</v>
      </c>
      <c r="H1281" s="29" t="s">
        <v>40</v>
      </c>
      <c r="I1281" s="29">
        <v>1</v>
      </c>
      <c r="J1281" s="29" t="s">
        <v>45</v>
      </c>
      <c r="K1281" s="15">
        <f>(VLOOKUP(H1281,'[1]BOM Info General'!$A:$L,12,0))*I1281</f>
        <v>25.59</v>
      </c>
      <c r="L1281" s="26" t="s">
        <v>119</v>
      </c>
      <c r="M1281" s="26">
        <v>1</v>
      </c>
      <c r="N1281" s="26" t="s">
        <v>122</v>
      </c>
      <c r="O1281" s="9">
        <f>(VLOOKUP(L1281,'[1]Simulation pricing per sub assy'!$D:$E,2,0))*M1281</f>
        <v>88.186400000000035</v>
      </c>
      <c r="P1281" s="30">
        <v>0</v>
      </c>
      <c r="Q1281" s="30">
        <v>0</v>
      </c>
      <c r="R1281" s="30" t="e">
        <v>#N/A</v>
      </c>
      <c r="S1281" s="40">
        <v>0</v>
      </c>
      <c r="T1281" s="31" t="s">
        <v>35</v>
      </c>
      <c r="U1281" s="31">
        <v>1</v>
      </c>
      <c r="V1281" s="31" t="s">
        <v>36</v>
      </c>
      <c r="W1281" s="17">
        <f>(VLOOKUP(T1281,'[1]Simulation pricing per sub assy'!$D:$E,2,0))*U1281</f>
        <v>15.3</v>
      </c>
      <c r="X1281" s="32" t="s">
        <v>614</v>
      </c>
      <c r="Y1281" s="32">
        <v>1</v>
      </c>
      <c r="Z1281" s="32" t="s">
        <v>37</v>
      </c>
      <c r="AA1281" s="18">
        <f>(VLOOKUP(X1281,'[1]Simulation pricing per sub assy'!$D:$E,2,0))*Y1281</f>
        <v>2.2786008000000004</v>
      </c>
    </row>
    <row r="1282" spans="1:27" x14ac:dyDescent="0.35">
      <c r="A1282" s="27" t="s">
        <v>2184</v>
      </c>
      <c r="B1282" s="27" t="s">
        <v>2185</v>
      </c>
      <c r="C1282" s="42">
        <f t="shared" si="19"/>
        <v>266.47500080000003</v>
      </c>
      <c r="D1282" s="33" t="s">
        <v>3540</v>
      </c>
      <c r="E1282" s="33">
        <v>2</v>
      </c>
      <c r="F1282" s="33" t="s">
        <v>3981</v>
      </c>
      <c r="G1282" s="14">
        <f>(VLOOKUP(D1282,'[1]BOM Info General'!$A:$L,12,0))*E1282</f>
        <v>130.12</v>
      </c>
      <c r="H1282" s="34" t="s">
        <v>40</v>
      </c>
      <c r="I1282" s="34">
        <v>1</v>
      </c>
      <c r="J1282" s="34" t="s">
        <v>45</v>
      </c>
      <c r="K1282" s="15">
        <f>(VLOOKUP(H1282,'[1]BOM Info General'!$A:$L,12,0))*I1282</f>
        <v>25.59</v>
      </c>
      <c r="L1282" s="35" t="s">
        <v>530</v>
      </c>
      <c r="M1282" s="35">
        <v>1</v>
      </c>
      <c r="N1282" s="35" t="s">
        <v>124</v>
      </c>
      <c r="O1282" s="9">
        <f>(VLOOKUP(L1282,'[1]Simulation pricing per sub assy'!$D:$E,2,0))*M1282</f>
        <v>93.186400000000035</v>
      </c>
      <c r="P1282" s="36">
        <v>0</v>
      </c>
      <c r="Q1282" s="36">
        <v>0</v>
      </c>
      <c r="R1282" s="36" t="e">
        <v>#N/A</v>
      </c>
      <c r="S1282" s="40">
        <v>0</v>
      </c>
      <c r="T1282" s="37" t="s">
        <v>35</v>
      </c>
      <c r="U1282" s="37">
        <v>1</v>
      </c>
      <c r="V1282" s="37" t="s">
        <v>36</v>
      </c>
      <c r="W1282" s="17">
        <f>(VLOOKUP(T1282,'[1]Simulation pricing per sub assy'!$D:$E,2,0))*U1282</f>
        <v>15.3</v>
      </c>
      <c r="X1282" s="32" t="s">
        <v>614</v>
      </c>
      <c r="Y1282" s="38">
        <v>1</v>
      </c>
      <c r="Z1282" s="38" t="s">
        <v>37</v>
      </c>
      <c r="AA1282" s="18">
        <f>(VLOOKUP(X1282,'[1]Simulation pricing per sub assy'!$D:$E,2,0))*Y1282</f>
        <v>2.2786008000000004</v>
      </c>
    </row>
    <row r="1283" spans="1:27" x14ac:dyDescent="0.35">
      <c r="A1283" s="27" t="s">
        <v>2186</v>
      </c>
      <c r="B1283" s="27" t="s">
        <v>2187</v>
      </c>
      <c r="C1283" s="42">
        <f t="shared" ref="C1283:C1346" si="20">SUM(G1283+K1283+O1283+S1283+W1283+AA1283)</f>
        <v>261.47500080000003</v>
      </c>
      <c r="D1283" s="33" t="s">
        <v>3540</v>
      </c>
      <c r="E1283" s="33">
        <v>2</v>
      </c>
      <c r="F1283" s="33" t="s">
        <v>3981</v>
      </c>
      <c r="G1283" s="14">
        <f>(VLOOKUP(D1283,'[1]BOM Info General'!$A:$L,12,0))*E1283</f>
        <v>130.12</v>
      </c>
      <c r="H1283" s="34" t="s">
        <v>40</v>
      </c>
      <c r="I1283" s="34">
        <v>1</v>
      </c>
      <c r="J1283" s="34" t="s">
        <v>45</v>
      </c>
      <c r="K1283" s="15">
        <f>(VLOOKUP(H1283,'[1]BOM Info General'!$A:$L,12,0))*I1283</f>
        <v>25.59</v>
      </c>
      <c r="L1283" s="35" t="s">
        <v>121</v>
      </c>
      <c r="M1283" s="35">
        <v>1</v>
      </c>
      <c r="N1283" s="35" t="s">
        <v>118</v>
      </c>
      <c r="O1283" s="9">
        <f>(VLOOKUP(L1283,'[1]Simulation pricing per sub assy'!$D:$E,2,0))*M1283</f>
        <v>88.186400000000035</v>
      </c>
      <c r="P1283" s="36">
        <v>0</v>
      </c>
      <c r="Q1283" s="36">
        <v>0</v>
      </c>
      <c r="R1283" s="36" t="e">
        <v>#N/A</v>
      </c>
      <c r="S1283" s="40">
        <v>0</v>
      </c>
      <c r="T1283" s="37" t="s">
        <v>35</v>
      </c>
      <c r="U1283" s="37">
        <v>1</v>
      </c>
      <c r="V1283" s="37" t="s">
        <v>36</v>
      </c>
      <c r="W1283" s="17">
        <f>(VLOOKUP(T1283,'[1]Simulation pricing per sub assy'!$D:$E,2,0))*U1283</f>
        <v>15.3</v>
      </c>
      <c r="X1283" s="32" t="s">
        <v>614</v>
      </c>
      <c r="Y1283" s="38">
        <v>1</v>
      </c>
      <c r="Z1283" s="38" t="s">
        <v>37</v>
      </c>
      <c r="AA1283" s="18">
        <f>(VLOOKUP(X1283,'[1]Simulation pricing per sub assy'!$D:$E,2,0))*Y1283</f>
        <v>2.2786008000000004</v>
      </c>
    </row>
    <row r="1284" spans="1:27" x14ac:dyDescent="0.35">
      <c r="A1284" s="27" t="s">
        <v>2188</v>
      </c>
      <c r="B1284" s="27" t="s">
        <v>2189</v>
      </c>
      <c r="C1284" s="42">
        <f t="shared" si="20"/>
        <v>261.47500080000003</v>
      </c>
      <c r="D1284" s="33" t="s">
        <v>3540</v>
      </c>
      <c r="E1284" s="33">
        <v>2</v>
      </c>
      <c r="F1284" s="33" t="s">
        <v>3981</v>
      </c>
      <c r="G1284" s="14">
        <f>(VLOOKUP(D1284,'[1]BOM Info General'!$A:$L,12,0))*E1284</f>
        <v>130.12</v>
      </c>
      <c r="H1284" s="34" t="s">
        <v>40</v>
      </c>
      <c r="I1284" s="34">
        <v>1</v>
      </c>
      <c r="J1284" s="34" t="s">
        <v>45</v>
      </c>
      <c r="K1284" s="15">
        <f>(VLOOKUP(H1284,'[1]BOM Info General'!$A:$L,12,0))*I1284</f>
        <v>25.59</v>
      </c>
      <c r="L1284" s="35" t="s">
        <v>117</v>
      </c>
      <c r="M1284" s="35">
        <v>1</v>
      </c>
      <c r="N1284" s="35" t="s">
        <v>116</v>
      </c>
      <c r="O1284" s="9">
        <f>(VLOOKUP(L1284,'[1]Simulation pricing per sub assy'!$D:$E,2,0))*M1284</f>
        <v>88.186400000000035</v>
      </c>
      <c r="P1284" s="36">
        <v>0</v>
      </c>
      <c r="Q1284" s="36">
        <v>0</v>
      </c>
      <c r="R1284" s="36" t="e">
        <v>#N/A</v>
      </c>
      <c r="S1284" s="40">
        <v>0</v>
      </c>
      <c r="T1284" s="37" t="s">
        <v>35</v>
      </c>
      <c r="U1284" s="37">
        <v>1</v>
      </c>
      <c r="V1284" s="37" t="s">
        <v>36</v>
      </c>
      <c r="W1284" s="17">
        <f>(VLOOKUP(T1284,'[1]Simulation pricing per sub assy'!$D:$E,2,0))*U1284</f>
        <v>15.3</v>
      </c>
      <c r="X1284" s="32" t="s">
        <v>614</v>
      </c>
      <c r="Y1284" s="38">
        <v>1</v>
      </c>
      <c r="Z1284" s="38" t="s">
        <v>37</v>
      </c>
      <c r="AA1284" s="18">
        <f>(VLOOKUP(X1284,'[1]Simulation pricing per sub assy'!$D:$E,2,0))*Y1284</f>
        <v>2.2786008000000004</v>
      </c>
    </row>
    <row r="1285" spans="1:27" x14ac:dyDescent="0.35">
      <c r="A1285" s="27" t="s">
        <v>2190</v>
      </c>
      <c r="B1285" s="27" t="s">
        <v>2191</v>
      </c>
      <c r="C1285" s="42">
        <f t="shared" si="20"/>
        <v>260.92500080000002</v>
      </c>
      <c r="D1285" s="33" t="s">
        <v>3540</v>
      </c>
      <c r="E1285" s="33">
        <v>2</v>
      </c>
      <c r="F1285" s="33" t="s">
        <v>3981</v>
      </c>
      <c r="G1285" s="14">
        <f>(VLOOKUP(D1285,'[1]BOM Info General'!$A:$L,12,0))*E1285</f>
        <v>130.12</v>
      </c>
      <c r="H1285" s="34" t="s">
        <v>40</v>
      </c>
      <c r="I1285" s="34">
        <v>1</v>
      </c>
      <c r="J1285" s="34" t="s">
        <v>45</v>
      </c>
      <c r="K1285" s="15">
        <f>(VLOOKUP(H1285,'[1]BOM Info General'!$A:$L,12,0))*I1285</f>
        <v>25.59</v>
      </c>
      <c r="L1285" s="35" t="s">
        <v>123</v>
      </c>
      <c r="M1285" s="35">
        <v>1</v>
      </c>
      <c r="N1285" s="35" t="s">
        <v>120</v>
      </c>
      <c r="O1285" s="9">
        <f>(VLOOKUP(L1285,'[1]Simulation pricing per sub assy'!$D:$E,2,0))*M1285</f>
        <v>87.636400000000037</v>
      </c>
      <c r="P1285" s="36">
        <v>0</v>
      </c>
      <c r="Q1285" s="36">
        <v>0</v>
      </c>
      <c r="R1285" s="36" t="e">
        <v>#N/A</v>
      </c>
      <c r="S1285" s="40">
        <v>0</v>
      </c>
      <c r="T1285" s="37" t="s">
        <v>35</v>
      </c>
      <c r="U1285" s="37">
        <v>1</v>
      </c>
      <c r="V1285" s="37" t="s">
        <v>36</v>
      </c>
      <c r="W1285" s="17">
        <f>(VLOOKUP(T1285,'[1]Simulation pricing per sub assy'!$D:$E,2,0))*U1285</f>
        <v>15.3</v>
      </c>
      <c r="X1285" s="32" t="s">
        <v>614</v>
      </c>
      <c r="Y1285" s="38">
        <v>1</v>
      </c>
      <c r="Z1285" s="38" t="s">
        <v>37</v>
      </c>
      <c r="AA1285" s="18">
        <f>(VLOOKUP(X1285,'[1]Simulation pricing per sub assy'!$D:$E,2,0))*Y1285</f>
        <v>2.2786008000000004</v>
      </c>
    </row>
    <row r="1286" spans="1:27" x14ac:dyDescent="0.35">
      <c r="A1286" s="27" t="s">
        <v>2192</v>
      </c>
      <c r="B1286" s="27" t="s">
        <v>2193</v>
      </c>
      <c r="C1286" s="42">
        <f t="shared" si="20"/>
        <v>261.47500080000003</v>
      </c>
      <c r="D1286" s="33" t="s">
        <v>3540</v>
      </c>
      <c r="E1286" s="33">
        <v>2</v>
      </c>
      <c r="F1286" s="33" t="s">
        <v>3981</v>
      </c>
      <c r="G1286" s="14">
        <f>(VLOOKUP(D1286,'[1]BOM Info General'!$A:$L,12,0))*E1286</f>
        <v>130.12</v>
      </c>
      <c r="H1286" s="34" t="s">
        <v>40</v>
      </c>
      <c r="I1286" s="34">
        <v>1</v>
      </c>
      <c r="J1286" s="34" t="s">
        <v>45</v>
      </c>
      <c r="K1286" s="15">
        <f>(VLOOKUP(H1286,'[1]BOM Info General'!$A:$L,12,0))*I1286</f>
        <v>25.59</v>
      </c>
      <c r="L1286" s="35" t="s">
        <v>119</v>
      </c>
      <c r="M1286" s="35">
        <v>1</v>
      </c>
      <c r="N1286" s="35" t="s">
        <v>122</v>
      </c>
      <c r="O1286" s="9">
        <f>(VLOOKUP(L1286,'[1]Simulation pricing per sub assy'!$D:$E,2,0))*M1286</f>
        <v>88.186400000000035</v>
      </c>
      <c r="P1286" s="36">
        <v>0</v>
      </c>
      <c r="Q1286" s="36">
        <v>0</v>
      </c>
      <c r="R1286" s="36" t="e">
        <v>#N/A</v>
      </c>
      <c r="S1286" s="40">
        <v>0</v>
      </c>
      <c r="T1286" s="37" t="s">
        <v>35</v>
      </c>
      <c r="U1286" s="37">
        <v>1</v>
      </c>
      <c r="V1286" s="37" t="s">
        <v>36</v>
      </c>
      <c r="W1286" s="17">
        <f>(VLOOKUP(T1286,'[1]Simulation pricing per sub assy'!$D:$E,2,0))*U1286</f>
        <v>15.3</v>
      </c>
      <c r="X1286" s="32" t="s">
        <v>614</v>
      </c>
      <c r="Y1286" s="38">
        <v>1</v>
      </c>
      <c r="Z1286" s="38" t="s">
        <v>37</v>
      </c>
      <c r="AA1286" s="18">
        <f>(VLOOKUP(X1286,'[1]Simulation pricing per sub assy'!$D:$E,2,0))*Y1286</f>
        <v>2.2786008000000004</v>
      </c>
    </row>
    <row r="1287" spans="1:27" x14ac:dyDescent="0.35">
      <c r="A1287" s="27" t="s">
        <v>2194</v>
      </c>
      <c r="B1287" s="27" t="s">
        <v>2195</v>
      </c>
      <c r="C1287" s="42">
        <f t="shared" si="20"/>
        <v>268.06500080000006</v>
      </c>
      <c r="D1287" s="33" t="s">
        <v>3540</v>
      </c>
      <c r="E1287" s="33">
        <v>2</v>
      </c>
      <c r="F1287" s="33" t="s">
        <v>3981</v>
      </c>
      <c r="G1287" s="14">
        <f>(VLOOKUP(D1287,'[1]BOM Info General'!$A:$L,12,0))*E1287</f>
        <v>130.12</v>
      </c>
      <c r="H1287" s="34" t="s">
        <v>41</v>
      </c>
      <c r="I1287" s="34">
        <v>1</v>
      </c>
      <c r="J1287" s="34" t="s">
        <v>47</v>
      </c>
      <c r="K1287" s="15">
        <f>(VLOOKUP(H1287,'[1]BOM Info General'!$A:$L,12,0))*I1287</f>
        <v>27.18</v>
      </c>
      <c r="L1287" s="35" t="s">
        <v>530</v>
      </c>
      <c r="M1287" s="35">
        <v>1</v>
      </c>
      <c r="N1287" s="35" t="s">
        <v>124</v>
      </c>
      <c r="O1287" s="9">
        <f>(VLOOKUP(L1287,'[1]Simulation pricing per sub assy'!$D:$E,2,0))*M1287</f>
        <v>93.186400000000035</v>
      </c>
      <c r="P1287" s="36">
        <v>0</v>
      </c>
      <c r="Q1287" s="36">
        <v>0</v>
      </c>
      <c r="R1287" s="36" t="e">
        <v>#N/A</v>
      </c>
      <c r="S1287" s="40">
        <v>0</v>
      </c>
      <c r="T1287" s="37" t="s">
        <v>35</v>
      </c>
      <c r="U1287" s="37">
        <v>1</v>
      </c>
      <c r="V1287" s="37" t="s">
        <v>36</v>
      </c>
      <c r="W1287" s="17">
        <f>(VLOOKUP(T1287,'[1]Simulation pricing per sub assy'!$D:$E,2,0))*U1287</f>
        <v>15.3</v>
      </c>
      <c r="X1287" s="32" t="s">
        <v>614</v>
      </c>
      <c r="Y1287" s="38">
        <v>1</v>
      </c>
      <c r="Z1287" s="38" t="s">
        <v>37</v>
      </c>
      <c r="AA1287" s="18">
        <f>(VLOOKUP(X1287,'[1]Simulation pricing per sub assy'!$D:$E,2,0))*Y1287</f>
        <v>2.2786008000000004</v>
      </c>
    </row>
    <row r="1288" spans="1:27" x14ac:dyDescent="0.35">
      <c r="A1288" s="27" t="s">
        <v>2196</v>
      </c>
      <c r="B1288" s="27" t="s">
        <v>2197</v>
      </c>
      <c r="C1288" s="42">
        <f t="shared" si="20"/>
        <v>263.06500080000006</v>
      </c>
      <c r="D1288" s="33" t="s">
        <v>3540</v>
      </c>
      <c r="E1288" s="33">
        <v>2</v>
      </c>
      <c r="F1288" s="33" t="s">
        <v>3981</v>
      </c>
      <c r="G1288" s="14">
        <f>(VLOOKUP(D1288,'[1]BOM Info General'!$A:$L,12,0))*E1288</f>
        <v>130.12</v>
      </c>
      <c r="H1288" s="34" t="s">
        <v>41</v>
      </c>
      <c r="I1288" s="34">
        <v>1</v>
      </c>
      <c r="J1288" s="34" t="s">
        <v>47</v>
      </c>
      <c r="K1288" s="15">
        <f>(VLOOKUP(H1288,'[1]BOM Info General'!$A:$L,12,0))*I1288</f>
        <v>27.18</v>
      </c>
      <c r="L1288" s="35" t="s">
        <v>121</v>
      </c>
      <c r="M1288" s="35">
        <v>1</v>
      </c>
      <c r="N1288" s="35" t="s">
        <v>118</v>
      </c>
      <c r="O1288" s="9">
        <f>(VLOOKUP(L1288,'[1]Simulation pricing per sub assy'!$D:$E,2,0))*M1288</f>
        <v>88.186400000000035</v>
      </c>
      <c r="P1288" s="36">
        <v>0</v>
      </c>
      <c r="Q1288" s="36">
        <v>0</v>
      </c>
      <c r="R1288" s="36" t="e">
        <v>#N/A</v>
      </c>
      <c r="S1288" s="40">
        <v>0</v>
      </c>
      <c r="T1288" s="37" t="s">
        <v>35</v>
      </c>
      <c r="U1288" s="37">
        <v>1</v>
      </c>
      <c r="V1288" s="37" t="s">
        <v>36</v>
      </c>
      <c r="W1288" s="17">
        <f>(VLOOKUP(T1288,'[1]Simulation pricing per sub assy'!$D:$E,2,0))*U1288</f>
        <v>15.3</v>
      </c>
      <c r="X1288" s="32" t="s">
        <v>614</v>
      </c>
      <c r="Y1288" s="38">
        <v>1</v>
      </c>
      <c r="Z1288" s="38" t="s">
        <v>37</v>
      </c>
      <c r="AA1288" s="18">
        <f>(VLOOKUP(X1288,'[1]Simulation pricing per sub assy'!$D:$E,2,0))*Y1288</f>
        <v>2.2786008000000004</v>
      </c>
    </row>
    <row r="1289" spans="1:27" x14ac:dyDescent="0.35">
      <c r="A1289" s="27" t="s">
        <v>2198</v>
      </c>
      <c r="B1289" s="27" t="s">
        <v>2199</v>
      </c>
      <c r="C1289" s="42">
        <f t="shared" si="20"/>
        <v>263.06500080000006</v>
      </c>
      <c r="D1289" s="33" t="s">
        <v>3540</v>
      </c>
      <c r="E1289" s="33">
        <v>2</v>
      </c>
      <c r="F1289" s="33" t="s">
        <v>3981</v>
      </c>
      <c r="G1289" s="14">
        <f>(VLOOKUP(D1289,'[1]BOM Info General'!$A:$L,12,0))*E1289</f>
        <v>130.12</v>
      </c>
      <c r="H1289" s="34" t="s">
        <v>41</v>
      </c>
      <c r="I1289" s="34">
        <v>1</v>
      </c>
      <c r="J1289" s="34" t="s">
        <v>47</v>
      </c>
      <c r="K1289" s="15">
        <f>(VLOOKUP(H1289,'[1]BOM Info General'!$A:$L,12,0))*I1289</f>
        <v>27.18</v>
      </c>
      <c r="L1289" s="35" t="s">
        <v>117</v>
      </c>
      <c r="M1289" s="35">
        <v>1</v>
      </c>
      <c r="N1289" s="35" t="s">
        <v>116</v>
      </c>
      <c r="O1289" s="9">
        <f>(VLOOKUP(L1289,'[1]Simulation pricing per sub assy'!$D:$E,2,0))*M1289</f>
        <v>88.186400000000035</v>
      </c>
      <c r="P1289" s="36">
        <v>0</v>
      </c>
      <c r="Q1289" s="36">
        <v>0</v>
      </c>
      <c r="R1289" s="36" t="e">
        <v>#N/A</v>
      </c>
      <c r="S1289" s="40">
        <v>0</v>
      </c>
      <c r="T1289" s="37" t="s">
        <v>35</v>
      </c>
      <c r="U1289" s="37">
        <v>1</v>
      </c>
      <c r="V1289" s="37" t="s">
        <v>36</v>
      </c>
      <c r="W1289" s="17">
        <f>(VLOOKUP(T1289,'[1]Simulation pricing per sub assy'!$D:$E,2,0))*U1289</f>
        <v>15.3</v>
      </c>
      <c r="X1289" s="32" t="s">
        <v>614</v>
      </c>
      <c r="Y1289" s="38">
        <v>1</v>
      </c>
      <c r="Z1289" s="38" t="s">
        <v>37</v>
      </c>
      <c r="AA1289" s="18">
        <f>(VLOOKUP(X1289,'[1]Simulation pricing per sub assy'!$D:$E,2,0))*Y1289</f>
        <v>2.2786008000000004</v>
      </c>
    </row>
    <row r="1290" spans="1:27" x14ac:dyDescent="0.35">
      <c r="A1290" s="27" t="s">
        <v>2200</v>
      </c>
      <c r="B1290" s="27" t="s">
        <v>2201</v>
      </c>
      <c r="C1290" s="42">
        <f t="shared" si="20"/>
        <v>262.51500080000005</v>
      </c>
      <c r="D1290" s="33" t="s">
        <v>3540</v>
      </c>
      <c r="E1290" s="33">
        <v>2</v>
      </c>
      <c r="F1290" s="33" t="s">
        <v>3981</v>
      </c>
      <c r="G1290" s="14">
        <f>(VLOOKUP(D1290,'[1]BOM Info General'!$A:$L,12,0))*E1290</f>
        <v>130.12</v>
      </c>
      <c r="H1290" s="34" t="s">
        <v>41</v>
      </c>
      <c r="I1290" s="34">
        <v>1</v>
      </c>
      <c r="J1290" s="34" t="s">
        <v>47</v>
      </c>
      <c r="K1290" s="15">
        <f>(VLOOKUP(H1290,'[1]BOM Info General'!$A:$L,12,0))*I1290</f>
        <v>27.18</v>
      </c>
      <c r="L1290" s="35" t="s">
        <v>123</v>
      </c>
      <c r="M1290" s="35">
        <v>1</v>
      </c>
      <c r="N1290" s="35" t="s">
        <v>120</v>
      </c>
      <c r="O1290" s="9">
        <f>(VLOOKUP(L1290,'[1]Simulation pricing per sub assy'!$D:$E,2,0))*M1290</f>
        <v>87.636400000000037</v>
      </c>
      <c r="P1290" s="36">
        <v>0</v>
      </c>
      <c r="Q1290" s="36">
        <v>0</v>
      </c>
      <c r="R1290" s="36" t="e">
        <v>#N/A</v>
      </c>
      <c r="S1290" s="40">
        <v>0</v>
      </c>
      <c r="T1290" s="37" t="s">
        <v>35</v>
      </c>
      <c r="U1290" s="37">
        <v>1</v>
      </c>
      <c r="V1290" s="37" t="s">
        <v>36</v>
      </c>
      <c r="W1290" s="17">
        <f>(VLOOKUP(T1290,'[1]Simulation pricing per sub assy'!$D:$E,2,0))*U1290</f>
        <v>15.3</v>
      </c>
      <c r="X1290" s="32" t="s">
        <v>614</v>
      </c>
      <c r="Y1290" s="38">
        <v>1</v>
      </c>
      <c r="Z1290" s="38" t="s">
        <v>37</v>
      </c>
      <c r="AA1290" s="18">
        <f>(VLOOKUP(X1290,'[1]Simulation pricing per sub assy'!$D:$E,2,0))*Y1290</f>
        <v>2.2786008000000004</v>
      </c>
    </row>
    <row r="1291" spans="1:27" x14ac:dyDescent="0.35">
      <c r="A1291" s="27" t="s">
        <v>2202</v>
      </c>
      <c r="B1291" s="27" t="s">
        <v>2203</v>
      </c>
      <c r="C1291" s="42">
        <f t="shared" si="20"/>
        <v>263.06500080000006</v>
      </c>
      <c r="D1291" s="33" t="s">
        <v>3540</v>
      </c>
      <c r="E1291" s="33">
        <v>2</v>
      </c>
      <c r="F1291" s="33" t="s">
        <v>3981</v>
      </c>
      <c r="G1291" s="14">
        <f>(VLOOKUP(D1291,'[1]BOM Info General'!$A:$L,12,0))*E1291</f>
        <v>130.12</v>
      </c>
      <c r="H1291" s="34" t="s">
        <v>41</v>
      </c>
      <c r="I1291" s="34">
        <v>1</v>
      </c>
      <c r="J1291" s="34" t="s">
        <v>47</v>
      </c>
      <c r="K1291" s="15">
        <f>(VLOOKUP(H1291,'[1]BOM Info General'!$A:$L,12,0))*I1291</f>
        <v>27.18</v>
      </c>
      <c r="L1291" s="35" t="s">
        <v>119</v>
      </c>
      <c r="M1291" s="35">
        <v>1</v>
      </c>
      <c r="N1291" s="35" t="s">
        <v>122</v>
      </c>
      <c r="O1291" s="9">
        <f>(VLOOKUP(L1291,'[1]Simulation pricing per sub assy'!$D:$E,2,0))*M1291</f>
        <v>88.186400000000035</v>
      </c>
      <c r="P1291" s="36">
        <v>0</v>
      </c>
      <c r="Q1291" s="36">
        <v>0</v>
      </c>
      <c r="R1291" s="36" t="e">
        <v>#N/A</v>
      </c>
      <c r="S1291" s="40">
        <v>0</v>
      </c>
      <c r="T1291" s="37" t="s">
        <v>35</v>
      </c>
      <c r="U1291" s="37">
        <v>1</v>
      </c>
      <c r="V1291" s="37" t="s">
        <v>36</v>
      </c>
      <c r="W1291" s="17">
        <f>(VLOOKUP(T1291,'[1]Simulation pricing per sub assy'!$D:$E,2,0))*U1291</f>
        <v>15.3</v>
      </c>
      <c r="X1291" s="32" t="s">
        <v>614</v>
      </c>
      <c r="Y1291" s="38">
        <v>1</v>
      </c>
      <c r="Z1291" s="38" t="s">
        <v>37</v>
      </c>
      <c r="AA1291" s="18">
        <f>(VLOOKUP(X1291,'[1]Simulation pricing per sub assy'!$D:$E,2,0))*Y1291</f>
        <v>2.2786008000000004</v>
      </c>
    </row>
    <row r="1292" spans="1:27" x14ac:dyDescent="0.35">
      <c r="A1292" s="27" t="s">
        <v>2204</v>
      </c>
      <c r="B1292" s="27" t="s">
        <v>2205</v>
      </c>
      <c r="C1292" s="42">
        <f t="shared" si="20"/>
        <v>268.06500080000006</v>
      </c>
      <c r="D1292" s="33" t="s">
        <v>3540</v>
      </c>
      <c r="E1292" s="33">
        <v>2</v>
      </c>
      <c r="F1292" s="33" t="s">
        <v>3981</v>
      </c>
      <c r="G1292" s="14">
        <f>(VLOOKUP(D1292,'[1]BOM Info General'!$A:$L,12,0))*E1292</f>
        <v>130.12</v>
      </c>
      <c r="H1292" s="34" t="s">
        <v>41</v>
      </c>
      <c r="I1292" s="34">
        <v>1</v>
      </c>
      <c r="J1292" s="34" t="s">
        <v>47</v>
      </c>
      <c r="K1292" s="15">
        <f>(VLOOKUP(H1292,'[1]BOM Info General'!$A:$L,12,0))*I1292</f>
        <v>27.18</v>
      </c>
      <c r="L1292" s="35" t="s">
        <v>530</v>
      </c>
      <c r="M1292" s="35">
        <v>1</v>
      </c>
      <c r="N1292" s="35" t="s">
        <v>124</v>
      </c>
      <c r="O1292" s="9">
        <f>(VLOOKUP(L1292,'[1]Simulation pricing per sub assy'!$D:$E,2,0))*M1292</f>
        <v>93.186400000000035</v>
      </c>
      <c r="P1292" s="36">
        <v>0</v>
      </c>
      <c r="Q1292" s="36">
        <v>0</v>
      </c>
      <c r="R1292" s="36" t="e">
        <v>#N/A</v>
      </c>
      <c r="S1292" s="40">
        <v>0</v>
      </c>
      <c r="T1292" s="37" t="s">
        <v>35</v>
      </c>
      <c r="U1292" s="37">
        <v>1</v>
      </c>
      <c r="V1292" s="37" t="s">
        <v>36</v>
      </c>
      <c r="W1292" s="17">
        <f>(VLOOKUP(T1292,'[1]Simulation pricing per sub assy'!$D:$E,2,0))*U1292</f>
        <v>15.3</v>
      </c>
      <c r="X1292" s="32" t="s">
        <v>614</v>
      </c>
      <c r="Y1292" s="38">
        <v>1</v>
      </c>
      <c r="Z1292" s="38" t="s">
        <v>37</v>
      </c>
      <c r="AA1292" s="18">
        <f>(VLOOKUP(X1292,'[1]Simulation pricing per sub assy'!$D:$E,2,0))*Y1292</f>
        <v>2.2786008000000004</v>
      </c>
    </row>
    <row r="1293" spans="1:27" x14ac:dyDescent="0.35">
      <c r="A1293" s="27" t="s">
        <v>2206</v>
      </c>
      <c r="B1293" s="27" t="s">
        <v>2207</v>
      </c>
      <c r="C1293" s="42">
        <f t="shared" si="20"/>
        <v>263.06500080000006</v>
      </c>
      <c r="D1293" s="33" t="s">
        <v>3540</v>
      </c>
      <c r="E1293" s="33">
        <v>2</v>
      </c>
      <c r="F1293" s="33" t="s">
        <v>3981</v>
      </c>
      <c r="G1293" s="14">
        <f>(VLOOKUP(D1293,'[1]BOM Info General'!$A:$L,12,0))*E1293</f>
        <v>130.12</v>
      </c>
      <c r="H1293" s="34" t="s">
        <v>41</v>
      </c>
      <c r="I1293" s="34">
        <v>1</v>
      </c>
      <c r="J1293" s="34" t="s">
        <v>47</v>
      </c>
      <c r="K1293" s="15">
        <f>(VLOOKUP(H1293,'[1]BOM Info General'!$A:$L,12,0))*I1293</f>
        <v>27.18</v>
      </c>
      <c r="L1293" s="35" t="s">
        <v>121</v>
      </c>
      <c r="M1293" s="35">
        <v>1</v>
      </c>
      <c r="N1293" s="35" t="s">
        <v>118</v>
      </c>
      <c r="O1293" s="9">
        <f>(VLOOKUP(L1293,'[1]Simulation pricing per sub assy'!$D:$E,2,0))*M1293</f>
        <v>88.186400000000035</v>
      </c>
      <c r="P1293" s="36">
        <v>0</v>
      </c>
      <c r="Q1293" s="36">
        <v>0</v>
      </c>
      <c r="R1293" s="36" t="e">
        <v>#N/A</v>
      </c>
      <c r="S1293" s="40">
        <v>0</v>
      </c>
      <c r="T1293" s="37" t="s">
        <v>35</v>
      </c>
      <c r="U1293" s="37">
        <v>1</v>
      </c>
      <c r="V1293" s="37" t="s">
        <v>36</v>
      </c>
      <c r="W1293" s="17">
        <f>(VLOOKUP(T1293,'[1]Simulation pricing per sub assy'!$D:$E,2,0))*U1293</f>
        <v>15.3</v>
      </c>
      <c r="X1293" s="32" t="s">
        <v>614</v>
      </c>
      <c r="Y1293" s="38">
        <v>1</v>
      </c>
      <c r="Z1293" s="38" t="s">
        <v>37</v>
      </c>
      <c r="AA1293" s="18">
        <f>(VLOOKUP(X1293,'[1]Simulation pricing per sub assy'!$D:$E,2,0))*Y1293</f>
        <v>2.2786008000000004</v>
      </c>
    </row>
    <row r="1294" spans="1:27" x14ac:dyDescent="0.35">
      <c r="A1294" s="27" t="s">
        <v>2208</v>
      </c>
      <c r="B1294" s="27" t="s">
        <v>2209</v>
      </c>
      <c r="C1294" s="42">
        <f t="shared" si="20"/>
        <v>263.06500080000006</v>
      </c>
      <c r="D1294" s="33" t="s">
        <v>3540</v>
      </c>
      <c r="E1294" s="33">
        <v>2</v>
      </c>
      <c r="F1294" s="33" t="s">
        <v>3981</v>
      </c>
      <c r="G1294" s="14">
        <f>(VLOOKUP(D1294,'[1]BOM Info General'!$A:$L,12,0))*E1294</f>
        <v>130.12</v>
      </c>
      <c r="H1294" s="34" t="s">
        <v>41</v>
      </c>
      <c r="I1294" s="34">
        <v>1</v>
      </c>
      <c r="J1294" s="34" t="s">
        <v>47</v>
      </c>
      <c r="K1294" s="15">
        <f>(VLOOKUP(H1294,'[1]BOM Info General'!$A:$L,12,0))*I1294</f>
        <v>27.18</v>
      </c>
      <c r="L1294" s="35" t="s">
        <v>117</v>
      </c>
      <c r="M1294" s="35">
        <v>1</v>
      </c>
      <c r="N1294" s="35" t="s">
        <v>116</v>
      </c>
      <c r="O1294" s="9">
        <f>(VLOOKUP(L1294,'[1]Simulation pricing per sub assy'!$D:$E,2,0))*M1294</f>
        <v>88.186400000000035</v>
      </c>
      <c r="P1294" s="36">
        <v>0</v>
      </c>
      <c r="Q1294" s="36">
        <v>0</v>
      </c>
      <c r="R1294" s="36" t="e">
        <v>#N/A</v>
      </c>
      <c r="S1294" s="40">
        <v>0</v>
      </c>
      <c r="T1294" s="37" t="s">
        <v>35</v>
      </c>
      <c r="U1294" s="37">
        <v>1</v>
      </c>
      <c r="V1294" s="37" t="s">
        <v>36</v>
      </c>
      <c r="W1294" s="17">
        <f>(VLOOKUP(T1294,'[1]Simulation pricing per sub assy'!$D:$E,2,0))*U1294</f>
        <v>15.3</v>
      </c>
      <c r="X1294" s="32" t="s">
        <v>614</v>
      </c>
      <c r="Y1294" s="38">
        <v>1</v>
      </c>
      <c r="Z1294" s="38" t="s">
        <v>37</v>
      </c>
      <c r="AA1294" s="18">
        <f>(VLOOKUP(X1294,'[1]Simulation pricing per sub assy'!$D:$E,2,0))*Y1294</f>
        <v>2.2786008000000004</v>
      </c>
    </row>
    <row r="1295" spans="1:27" x14ac:dyDescent="0.35">
      <c r="A1295" s="27" t="s">
        <v>2210</v>
      </c>
      <c r="B1295" s="27" t="s">
        <v>2211</v>
      </c>
      <c r="C1295" s="42">
        <f t="shared" si="20"/>
        <v>262.51500080000005</v>
      </c>
      <c r="D1295" s="33" t="s">
        <v>3540</v>
      </c>
      <c r="E1295" s="33">
        <v>2</v>
      </c>
      <c r="F1295" s="33" t="s">
        <v>3981</v>
      </c>
      <c r="G1295" s="14">
        <f>(VLOOKUP(D1295,'[1]BOM Info General'!$A:$L,12,0))*E1295</f>
        <v>130.12</v>
      </c>
      <c r="H1295" s="34" t="s">
        <v>41</v>
      </c>
      <c r="I1295" s="34">
        <v>1</v>
      </c>
      <c r="J1295" s="34" t="s">
        <v>47</v>
      </c>
      <c r="K1295" s="15">
        <f>(VLOOKUP(H1295,'[1]BOM Info General'!$A:$L,12,0))*I1295</f>
        <v>27.18</v>
      </c>
      <c r="L1295" s="35" t="s">
        <v>123</v>
      </c>
      <c r="M1295" s="35">
        <v>1</v>
      </c>
      <c r="N1295" s="35" t="s">
        <v>120</v>
      </c>
      <c r="O1295" s="9">
        <f>(VLOOKUP(L1295,'[1]Simulation pricing per sub assy'!$D:$E,2,0))*M1295</f>
        <v>87.636400000000037</v>
      </c>
      <c r="P1295" s="36">
        <v>0</v>
      </c>
      <c r="Q1295" s="36">
        <v>0</v>
      </c>
      <c r="R1295" s="36" t="e">
        <v>#N/A</v>
      </c>
      <c r="S1295" s="40">
        <v>0</v>
      </c>
      <c r="T1295" s="37" t="s">
        <v>35</v>
      </c>
      <c r="U1295" s="37">
        <v>1</v>
      </c>
      <c r="V1295" s="37" t="s">
        <v>36</v>
      </c>
      <c r="W1295" s="17">
        <f>(VLOOKUP(T1295,'[1]Simulation pricing per sub assy'!$D:$E,2,0))*U1295</f>
        <v>15.3</v>
      </c>
      <c r="X1295" s="32" t="s">
        <v>614</v>
      </c>
      <c r="Y1295" s="38">
        <v>1</v>
      </c>
      <c r="Z1295" s="38" t="s">
        <v>37</v>
      </c>
      <c r="AA1295" s="18">
        <f>(VLOOKUP(X1295,'[1]Simulation pricing per sub assy'!$D:$E,2,0))*Y1295</f>
        <v>2.2786008000000004</v>
      </c>
    </row>
    <row r="1296" spans="1:27" x14ac:dyDescent="0.35">
      <c r="A1296" s="27" t="s">
        <v>2212</v>
      </c>
      <c r="B1296" s="27" t="s">
        <v>2213</v>
      </c>
      <c r="C1296" s="42">
        <f t="shared" si="20"/>
        <v>263.06500080000006</v>
      </c>
      <c r="D1296" s="33" t="s">
        <v>3540</v>
      </c>
      <c r="E1296" s="33">
        <v>2</v>
      </c>
      <c r="F1296" s="33" t="s">
        <v>3981</v>
      </c>
      <c r="G1296" s="14">
        <f>(VLOOKUP(D1296,'[1]BOM Info General'!$A:$L,12,0))*E1296</f>
        <v>130.12</v>
      </c>
      <c r="H1296" s="34" t="s">
        <v>41</v>
      </c>
      <c r="I1296" s="34">
        <v>1</v>
      </c>
      <c r="J1296" s="34" t="s">
        <v>47</v>
      </c>
      <c r="K1296" s="15">
        <f>(VLOOKUP(H1296,'[1]BOM Info General'!$A:$L,12,0))*I1296</f>
        <v>27.18</v>
      </c>
      <c r="L1296" s="35" t="s">
        <v>119</v>
      </c>
      <c r="M1296" s="35">
        <v>1</v>
      </c>
      <c r="N1296" s="35" t="s">
        <v>122</v>
      </c>
      <c r="O1296" s="9">
        <f>(VLOOKUP(L1296,'[1]Simulation pricing per sub assy'!$D:$E,2,0))*M1296</f>
        <v>88.186400000000035</v>
      </c>
      <c r="P1296" s="36">
        <v>0</v>
      </c>
      <c r="Q1296" s="36">
        <v>0</v>
      </c>
      <c r="R1296" s="36" t="e">
        <v>#N/A</v>
      </c>
      <c r="S1296" s="40">
        <v>0</v>
      </c>
      <c r="T1296" s="37" t="s">
        <v>35</v>
      </c>
      <c r="U1296" s="37">
        <v>1</v>
      </c>
      <c r="V1296" s="37" t="s">
        <v>36</v>
      </c>
      <c r="W1296" s="17">
        <f>(VLOOKUP(T1296,'[1]Simulation pricing per sub assy'!$D:$E,2,0))*U1296</f>
        <v>15.3</v>
      </c>
      <c r="X1296" s="32" t="s">
        <v>614</v>
      </c>
      <c r="Y1296" s="38">
        <v>1</v>
      </c>
      <c r="Z1296" s="38" t="s">
        <v>37</v>
      </c>
      <c r="AA1296" s="18">
        <f>(VLOOKUP(X1296,'[1]Simulation pricing per sub assy'!$D:$E,2,0))*Y1296</f>
        <v>2.2786008000000004</v>
      </c>
    </row>
    <row r="1297" spans="1:27" x14ac:dyDescent="0.35">
      <c r="A1297" s="27" t="s">
        <v>2214</v>
      </c>
      <c r="B1297" s="27" t="s">
        <v>4499</v>
      </c>
      <c r="C1297" s="42">
        <f t="shared" si="20"/>
        <v>268.06500080000006</v>
      </c>
      <c r="D1297" s="28" t="s">
        <v>3540</v>
      </c>
      <c r="E1297" s="28">
        <v>2</v>
      </c>
      <c r="F1297" s="28" t="s">
        <v>3981</v>
      </c>
      <c r="G1297" s="14">
        <f>(VLOOKUP(D1297,'[1]BOM Info General'!$A:$L,12,0))*E1297</f>
        <v>130.12</v>
      </c>
      <c r="H1297" s="29" t="s">
        <v>41</v>
      </c>
      <c r="I1297" s="29">
        <v>1</v>
      </c>
      <c r="J1297" s="29" t="s">
        <v>47</v>
      </c>
      <c r="K1297" s="15">
        <f>(VLOOKUP(H1297,'[1]BOM Info General'!$A:$L,12,0))*I1297</f>
        <v>27.18</v>
      </c>
      <c r="L1297" s="26" t="s">
        <v>530</v>
      </c>
      <c r="M1297" s="26">
        <v>1</v>
      </c>
      <c r="N1297" s="26" t="s">
        <v>124</v>
      </c>
      <c r="O1297" s="9">
        <f>(VLOOKUP(L1297,'[1]Simulation pricing per sub assy'!$D:$E,2,0))*M1297</f>
        <v>93.186400000000035</v>
      </c>
      <c r="P1297" s="30">
        <v>0</v>
      </c>
      <c r="Q1297" s="30">
        <v>0</v>
      </c>
      <c r="R1297" s="30" t="e">
        <v>#N/A</v>
      </c>
      <c r="S1297" s="40">
        <v>0</v>
      </c>
      <c r="T1297" s="31" t="s">
        <v>35</v>
      </c>
      <c r="U1297" s="31">
        <v>1</v>
      </c>
      <c r="V1297" s="31" t="s">
        <v>36</v>
      </c>
      <c r="W1297" s="17">
        <f>(VLOOKUP(T1297,'[1]Simulation pricing per sub assy'!$D:$E,2,0))*U1297</f>
        <v>15.3</v>
      </c>
      <c r="X1297" s="32" t="s">
        <v>614</v>
      </c>
      <c r="Y1297" s="32">
        <v>1</v>
      </c>
      <c r="Z1297" s="32" t="s">
        <v>37</v>
      </c>
      <c r="AA1297" s="18">
        <f>(VLOOKUP(X1297,'[1]Simulation pricing per sub assy'!$D:$E,2,0))*Y1297</f>
        <v>2.2786008000000004</v>
      </c>
    </row>
    <row r="1298" spans="1:27" x14ac:dyDescent="0.35">
      <c r="A1298" s="27" t="s">
        <v>2215</v>
      </c>
      <c r="B1298" s="27" t="s">
        <v>4500</v>
      </c>
      <c r="C1298" s="42">
        <f t="shared" si="20"/>
        <v>263.06500080000006</v>
      </c>
      <c r="D1298" s="28" t="s">
        <v>3540</v>
      </c>
      <c r="E1298" s="28">
        <v>2</v>
      </c>
      <c r="F1298" s="28" t="s">
        <v>3981</v>
      </c>
      <c r="G1298" s="14">
        <f>(VLOOKUP(D1298,'[1]BOM Info General'!$A:$L,12,0))*E1298</f>
        <v>130.12</v>
      </c>
      <c r="H1298" s="29" t="s">
        <v>41</v>
      </c>
      <c r="I1298" s="29">
        <v>1</v>
      </c>
      <c r="J1298" s="29" t="s">
        <v>47</v>
      </c>
      <c r="K1298" s="15">
        <f>(VLOOKUP(H1298,'[1]BOM Info General'!$A:$L,12,0))*I1298</f>
        <v>27.18</v>
      </c>
      <c r="L1298" s="26" t="s">
        <v>121</v>
      </c>
      <c r="M1298" s="26">
        <v>1</v>
      </c>
      <c r="N1298" s="26" t="s">
        <v>118</v>
      </c>
      <c r="O1298" s="9">
        <f>(VLOOKUP(L1298,'[1]Simulation pricing per sub assy'!$D:$E,2,0))*M1298</f>
        <v>88.186400000000035</v>
      </c>
      <c r="P1298" s="30">
        <v>0</v>
      </c>
      <c r="Q1298" s="30">
        <v>0</v>
      </c>
      <c r="R1298" s="30" t="e">
        <v>#N/A</v>
      </c>
      <c r="S1298" s="40">
        <v>0</v>
      </c>
      <c r="T1298" s="31" t="s">
        <v>35</v>
      </c>
      <c r="U1298" s="31">
        <v>1</v>
      </c>
      <c r="V1298" s="31" t="s">
        <v>36</v>
      </c>
      <c r="W1298" s="17">
        <f>(VLOOKUP(T1298,'[1]Simulation pricing per sub assy'!$D:$E,2,0))*U1298</f>
        <v>15.3</v>
      </c>
      <c r="X1298" s="32" t="s">
        <v>614</v>
      </c>
      <c r="Y1298" s="32">
        <v>1</v>
      </c>
      <c r="Z1298" s="32" t="s">
        <v>37</v>
      </c>
      <c r="AA1298" s="18">
        <f>(VLOOKUP(X1298,'[1]Simulation pricing per sub assy'!$D:$E,2,0))*Y1298</f>
        <v>2.2786008000000004</v>
      </c>
    </row>
    <row r="1299" spans="1:27" x14ac:dyDescent="0.35">
      <c r="A1299" s="27" t="s">
        <v>2216</v>
      </c>
      <c r="B1299" s="27" t="s">
        <v>4501</v>
      </c>
      <c r="C1299" s="42">
        <f t="shared" si="20"/>
        <v>263.06500080000006</v>
      </c>
      <c r="D1299" s="28" t="s">
        <v>3540</v>
      </c>
      <c r="E1299" s="28">
        <v>2</v>
      </c>
      <c r="F1299" s="28" t="s">
        <v>3981</v>
      </c>
      <c r="G1299" s="14">
        <f>(VLOOKUP(D1299,'[1]BOM Info General'!$A:$L,12,0))*E1299</f>
        <v>130.12</v>
      </c>
      <c r="H1299" s="29" t="s">
        <v>41</v>
      </c>
      <c r="I1299" s="29">
        <v>1</v>
      </c>
      <c r="J1299" s="29" t="s">
        <v>47</v>
      </c>
      <c r="K1299" s="15">
        <f>(VLOOKUP(H1299,'[1]BOM Info General'!$A:$L,12,0))*I1299</f>
        <v>27.18</v>
      </c>
      <c r="L1299" s="26" t="s">
        <v>117</v>
      </c>
      <c r="M1299" s="26">
        <v>1</v>
      </c>
      <c r="N1299" s="26" t="s">
        <v>116</v>
      </c>
      <c r="O1299" s="9">
        <f>(VLOOKUP(L1299,'[1]Simulation pricing per sub assy'!$D:$E,2,0))*M1299</f>
        <v>88.186400000000035</v>
      </c>
      <c r="P1299" s="30">
        <v>0</v>
      </c>
      <c r="Q1299" s="30">
        <v>0</v>
      </c>
      <c r="R1299" s="30" t="e">
        <v>#N/A</v>
      </c>
      <c r="S1299" s="40">
        <v>0</v>
      </c>
      <c r="T1299" s="31" t="s">
        <v>35</v>
      </c>
      <c r="U1299" s="31">
        <v>1</v>
      </c>
      <c r="V1299" s="31" t="s">
        <v>36</v>
      </c>
      <c r="W1299" s="17">
        <f>(VLOOKUP(T1299,'[1]Simulation pricing per sub assy'!$D:$E,2,0))*U1299</f>
        <v>15.3</v>
      </c>
      <c r="X1299" s="32" t="s">
        <v>614</v>
      </c>
      <c r="Y1299" s="32">
        <v>1</v>
      </c>
      <c r="Z1299" s="32" t="s">
        <v>37</v>
      </c>
      <c r="AA1299" s="18">
        <f>(VLOOKUP(X1299,'[1]Simulation pricing per sub assy'!$D:$E,2,0))*Y1299</f>
        <v>2.2786008000000004</v>
      </c>
    </row>
    <row r="1300" spans="1:27" x14ac:dyDescent="0.35">
      <c r="A1300" s="27" t="s">
        <v>2217</v>
      </c>
      <c r="B1300" s="27" t="s">
        <v>4502</v>
      </c>
      <c r="C1300" s="42">
        <f t="shared" si="20"/>
        <v>262.51500080000005</v>
      </c>
      <c r="D1300" s="28" t="s">
        <v>3540</v>
      </c>
      <c r="E1300" s="28">
        <v>2</v>
      </c>
      <c r="F1300" s="28" t="s">
        <v>3981</v>
      </c>
      <c r="G1300" s="14">
        <f>(VLOOKUP(D1300,'[1]BOM Info General'!$A:$L,12,0))*E1300</f>
        <v>130.12</v>
      </c>
      <c r="H1300" s="29" t="s">
        <v>41</v>
      </c>
      <c r="I1300" s="29">
        <v>1</v>
      </c>
      <c r="J1300" s="29" t="s">
        <v>47</v>
      </c>
      <c r="K1300" s="15">
        <f>(VLOOKUP(H1300,'[1]BOM Info General'!$A:$L,12,0))*I1300</f>
        <v>27.18</v>
      </c>
      <c r="L1300" s="26" t="s">
        <v>123</v>
      </c>
      <c r="M1300" s="26">
        <v>1</v>
      </c>
      <c r="N1300" s="26" t="s">
        <v>120</v>
      </c>
      <c r="O1300" s="9">
        <f>(VLOOKUP(L1300,'[1]Simulation pricing per sub assy'!$D:$E,2,0))*M1300</f>
        <v>87.636400000000037</v>
      </c>
      <c r="P1300" s="30">
        <v>0</v>
      </c>
      <c r="Q1300" s="30">
        <v>0</v>
      </c>
      <c r="R1300" s="30" t="e">
        <v>#N/A</v>
      </c>
      <c r="S1300" s="40">
        <v>0</v>
      </c>
      <c r="T1300" s="31" t="s">
        <v>35</v>
      </c>
      <c r="U1300" s="31">
        <v>1</v>
      </c>
      <c r="V1300" s="31" t="s">
        <v>36</v>
      </c>
      <c r="W1300" s="17">
        <f>(VLOOKUP(T1300,'[1]Simulation pricing per sub assy'!$D:$E,2,0))*U1300</f>
        <v>15.3</v>
      </c>
      <c r="X1300" s="32" t="s">
        <v>614</v>
      </c>
      <c r="Y1300" s="32">
        <v>1</v>
      </c>
      <c r="Z1300" s="32" t="s">
        <v>37</v>
      </c>
      <c r="AA1300" s="18">
        <f>(VLOOKUP(X1300,'[1]Simulation pricing per sub assy'!$D:$E,2,0))*Y1300</f>
        <v>2.2786008000000004</v>
      </c>
    </row>
    <row r="1301" spans="1:27" x14ac:dyDescent="0.35">
      <c r="A1301" s="27" t="s">
        <v>2218</v>
      </c>
      <c r="B1301" s="27" t="s">
        <v>4503</v>
      </c>
      <c r="C1301" s="42">
        <f t="shared" si="20"/>
        <v>263.06500080000006</v>
      </c>
      <c r="D1301" s="28" t="s">
        <v>3540</v>
      </c>
      <c r="E1301" s="28">
        <v>2</v>
      </c>
      <c r="F1301" s="28" t="s">
        <v>3981</v>
      </c>
      <c r="G1301" s="14">
        <f>(VLOOKUP(D1301,'[1]BOM Info General'!$A:$L,12,0))*E1301</f>
        <v>130.12</v>
      </c>
      <c r="H1301" s="29" t="s">
        <v>41</v>
      </c>
      <c r="I1301" s="29">
        <v>1</v>
      </c>
      <c r="J1301" s="29" t="s">
        <v>47</v>
      </c>
      <c r="K1301" s="15">
        <f>(VLOOKUP(H1301,'[1]BOM Info General'!$A:$L,12,0))*I1301</f>
        <v>27.18</v>
      </c>
      <c r="L1301" s="26" t="s">
        <v>119</v>
      </c>
      <c r="M1301" s="26">
        <v>1</v>
      </c>
      <c r="N1301" s="26" t="s">
        <v>122</v>
      </c>
      <c r="O1301" s="9">
        <f>(VLOOKUP(L1301,'[1]Simulation pricing per sub assy'!$D:$E,2,0))*M1301</f>
        <v>88.186400000000035</v>
      </c>
      <c r="P1301" s="30">
        <v>0</v>
      </c>
      <c r="Q1301" s="30">
        <v>0</v>
      </c>
      <c r="R1301" s="30" t="e">
        <v>#N/A</v>
      </c>
      <c r="S1301" s="40">
        <v>0</v>
      </c>
      <c r="T1301" s="31" t="s">
        <v>35</v>
      </c>
      <c r="U1301" s="31">
        <v>1</v>
      </c>
      <c r="V1301" s="31" t="s">
        <v>36</v>
      </c>
      <c r="W1301" s="17">
        <f>(VLOOKUP(T1301,'[1]Simulation pricing per sub assy'!$D:$E,2,0))*U1301</f>
        <v>15.3</v>
      </c>
      <c r="X1301" s="32" t="s">
        <v>614</v>
      </c>
      <c r="Y1301" s="32">
        <v>1</v>
      </c>
      <c r="Z1301" s="32" t="s">
        <v>37</v>
      </c>
      <c r="AA1301" s="18">
        <f>(VLOOKUP(X1301,'[1]Simulation pricing per sub assy'!$D:$E,2,0))*Y1301</f>
        <v>2.2786008000000004</v>
      </c>
    </row>
    <row r="1302" spans="1:27" x14ac:dyDescent="0.35">
      <c r="A1302" s="27" t="s">
        <v>2219</v>
      </c>
      <c r="B1302" s="27" t="s">
        <v>4504</v>
      </c>
      <c r="C1302" s="42">
        <f t="shared" si="20"/>
        <v>111.01578079999999</v>
      </c>
      <c r="D1302" s="28" t="s">
        <v>2058</v>
      </c>
      <c r="E1302" s="28">
        <v>1</v>
      </c>
      <c r="F1302" s="28" t="s">
        <v>2059</v>
      </c>
      <c r="G1302" s="14">
        <f>(VLOOKUP(D1302,'[1]BOM Info General'!$A:$L,12,0))*E1302</f>
        <v>35.56</v>
      </c>
      <c r="H1302" s="29" t="s">
        <v>39</v>
      </c>
      <c r="I1302" s="29">
        <v>1</v>
      </c>
      <c r="J1302" s="29" t="s">
        <v>46</v>
      </c>
      <c r="K1302" s="15">
        <f>(VLOOKUP(H1302,'[1]BOM Info General'!$A:$L,12,0))*I1302</f>
        <v>24.42</v>
      </c>
      <c r="L1302" s="26" t="s">
        <v>523</v>
      </c>
      <c r="M1302" s="26">
        <v>1</v>
      </c>
      <c r="N1302" s="26" t="s">
        <v>61</v>
      </c>
      <c r="O1302" s="9">
        <f>(VLOOKUP(L1302,'[1]Simulation pricing per sub assy'!$D:$E,2,0))*M1302</f>
        <v>42.308799999999991</v>
      </c>
      <c r="P1302" s="30" t="s">
        <v>50</v>
      </c>
      <c r="Q1302" s="30">
        <v>2</v>
      </c>
      <c r="R1302" s="30" t="s">
        <v>611</v>
      </c>
      <c r="S1302" s="40">
        <f>(VLOOKUP(P1302,'[1]BOM Info General'!$A:$L,12,0))*Q1302</f>
        <v>5.3</v>
      </c>
      <c r="T1302" s="31" t="s">
        <v>7</v>
      </c>
      <c r="U1302" s="31">
        <v>1</v>
      </c>
      <c r="V1302" s="31" t="s">
        <v>8</v>
      </c>
      <c r="W1302" s="17">
        <f>(VLOOKUP(T1302,'[1]Simulation pricing per sub assy'!$D:$E,2,0))*U1302</f>
        <v>1.85</v>
      </c>
      <c r="X1302" s="32" t="s">
        <v>615</v>
      </c>
      <c r="Y1302" s="32">
        <v>1</v>
      </c>
      <c r="Z1302" s="32" t="s">
        <v>9</v>
      </c>
      <c r="AA1302" s="18">
        <f>(VLOOKUP(X1302,'[1]Simulation pricing per sub assy'!$D:$E,2,0))*Y1302</f>
        <v>1.5769808000000001</v>
      </c>
    </row>
    <row r="1303" spans="1:27" x14ac:dyDescent="0.35">
      <c r="A1303" s="27" t="s">
        <v>2220</v>
      </c>
      <c r="B1303" s="27" t="s">
        <v>4505</v>
      </c>
      <c r="C1303" s="42">
        <f t="shared" si="20"/>
        <v>111.99578079999999</v>
      </c>
      <c r="D1303" s="28" t="s">
        <v>2058</v>
      </c>
      <c r="E1303" s="28">
        <v>1</v>
      </c>
      <c r="F1303" s="28" t="s">
        <v>2059</v>
      </c>
      <c r="G1303" s="14">
        <f>(VLOOKUP(D1303,'[1]BOM Info General'!$A:$L,12,0))*E1303</f>
        <v>35.56</v>
      </c>
      <c r="H1303" s="29" t="s">
        <v>39</v>
      </c>
      <c r="I1303" s="29">
        <v>1</v>
      </c>
      <c r="J1303" s="29" t="s">
        <v>46</v>
      </c>
      <c r="K1303" s="15">
        <f>(VLOOKUP(H1303,'[1]BOM Info General'!$A:$L,12,0))*I1303</f>
        <v>24.42</v>
      </c>
      <c r="L1303" s="26" t="s">
        <v>58</v>
      </c>
      <c r="M1303" s="26">
        <v>1</v>
      </c>
      <c r="N1303" s="26" t="s">
        <v>55</v>
      </c>
      <c r="O1303" s="9">
        <f>(VLOOKUP(L1303,'[1]Simulation pricing per sub assy'!$D:$E,2,0))*M1303</f>
        <v>43.288799999999988</v>
      </c>
      <c r="P1303" s="30" t="s">
        <v>50</v>
      </c>
      <c r="Q1303" s="30">
        <v>2</v>
      </c>
      <c r="R1303" s="30" t="s">
        <v>611</v>
      </c>
      <c r="S1303" s="40">
        <f>(VLOOKUP(P1303,'[1]BOM Info General'!$A:$L,12,0))*Q1303</f>
        <v>5.3</v>
      </c>
      <c r="T1303" s="31" t="s">
        <v>7</v>
      </c>
      <c r="U1303" s="31">
        <v>1</v>
      </c>
      <c r="V1303" s="31" t="s">
        <v>8</v>
      </c>
      <c r="W1303" s="17">
        <f>(VLOOKUP(T1303,'[1]Simulation pricing per sub assy'!$D:$E,2,0))*U1303</f>
        <v>1.85</v>
      </c>
      <c r="X1303" s="32" t="s">
        <v>615</v>
      </c>
      <c r="Y1303" s="32">
        <v>1</v>
      </c>
      <c r="Z1303" s="32" t="s">
        <v>9</v>
      </c>
      <c r="AA1303" s="18">
        <f>(VLOOKUP(X1303,'[1]Simulation pricing per sub assy'!$D:$E,2,0))*Y1303</f>
        <v>1.5769808000000001</v>
      </c>
    </row>
    <row r="1304" spans="1:27" x14ac:dyDescent="0.35">
      <c r="A1304" s="27" t="s">
        <v>2221</v>
      </c>
      <c r="B1304" s="27" t="s">
        <v>4506</v>
      </c>
      <c r="C1304" s="42">
        <f t="shared" si="20"/>
        <v>112.57578079999999</v>
      </c>
      <c r="D1304" s="28" t="s">
        <v>2058</v>
      </c>
      <c r="E1304" s="28">
        <v>1</v>
      </c>
      <c r="F1304" s="28" t="s">
        <v>2059</v>
      </c>
      <c r="G1304" s="14">
        <f>(VLOOKUP(D1304,'[1]BOM Info General'!$A:$L,12,0))*E1304</f>
        <v>35.56</v>
      </c>
      <c r="H1304" s="29" t="s">
        <v>39</v>
      </c>
      <c r="I1304" s="29">
        <v>1</v>
      </c>
      <c r="J1304" s="29" t="s">
        <v>46</v>
      </c>
      <c r="K1304" s="15">
        <f>(VLOOKUP(H1304,'[1]BOM Info General'!$A:$L,12,0))*I1304</f>
        <v>24.42</v>
      </c>
      <c r="L1304" s="26" t="s">
        <v>54</v>
      </c>
      <c r="M1304" s="26">
        <v>1</v>
      </c>
      <c r="N1304" s="26" t="s">
        <v>53</v>
      </c>
      <c r="O1304" s="9">
        <f>(VLOOKUP(L1304,'[1]Simulation pricing per sub assy'!$D:$E,2,0))*M1304</f>
        <v>43.868799999999993</v>
      </c>
      <c r="P1304" s="30" t="s">
        <v>50</v>
      </c>
      <c r="Q1304" s="30">
        <v>2</v>
      </c>
      <c r="R1304" s="30" t="s">
        <v>611</v>
      </c>
      <c r="S1304" s="40">
        <f>(VLOOKUP(P1304,'[1]BOM Info General'!$A:$L,12,0))*Q1304</f>
        <v>5.3</v>
      </c>
      <c r="T1304" s="31" t="s">
        <v>7</v>
      </c>
      <c r="U1304" s="31">
        <v>1</v>
      </c>
      <c r="V1304" s="31" t="s">
        <v>8</v>
      </c>
      <c r="W1304" s="17">
        <f>(VLOOKUP(T1304,'[1]Simulation pricing per sub assy'!$D:$E,2,0))*U1304</f>
        <v>1.85</v>
      </c>
      <c r="X1304" s="32" t="s">
        <v>615</v>
      </c>
      <c r="Y1304" s="32">
        <v>1</v>
      </c>
      <c r="Z1304" s="32" t="s">
        <v>9</v>
      </c>
      <c r="AA1304" s="18">
        <f>(VLOOKUP(X1304,'[1]Simulation pricing per sub assy'!$D:$E,2,0))*Y1304</f>
        <v>1.5769808000000001</v>
      </c>
    </row>
    <row r="1305" spans="1:27" x14ac:dyDescent="0.35">
      <c r="A1305" s="27" t="s">
        <v>2222</v>
      </c>
      <c r="B1305" s="27" t="s">
        <v>4507</v>
      </c>
      <c r="C1305" s="42">
        <f t="shared" si="20"/>
        <v>112.31578079999998</v>
      </c>
      <c r="D1305" s="28" t="s">
        <v>2058</v>
      </c>
      <c r="E1305" s="28">
        <v>1</v>
      </c>
      <c r="F1305" s="28" t="s">
        <v>2059</v>
      </c>
      <c r="G1305" s="14">
        <f>(VLOOKUP(D1305,'[1]BOM Info General'!$A:$L,12,0))*E1305</f>
        <v>35.56</v>
      </c>
      <c r="H1305" s="29" t="s">
        <v>39</v>
      </c>
      <c r="I1305" s="29">
        <v>1</v>
      </c>
      <c r="J1305" s="29" t="s">
        <v>46</v>
      </c>
      <c r="K1305" s="15">
        <f>(VLOOKUP(H1305,'[1]BOM Info General'!$A:$L,12,0))*I1305</f>
        <v>24.42</v>
      </c>
      <c r="L1305" s="26" t="s">
        <v>60</v>
      </c>
      <c r="M1305" s="26">
        <v>1</v>
      </c>
      <c r="N1305" s="26" t="s">
        <v>57</v>
      </c>
      <c r="O1305" s="9">
        <f>(VLOOKUP(L1305,'[1]Simulation pricing per sub assy'!$D:$E,2,0))*M1305</f>
        <v>43.608799999999988</v>
      </c>
      <c r="P1305" s="30" t="s">
        <v>50</v>
      </c>
      <c r="Q1305" s="30">
        <v>2</v>
      </c>
      <c r="R1305" s="30" t="s">
        <v>611</v>
      </c>
      <c r="S1305" s="40">
        <f>(VLOOKUP(P1305,'[1]BOM Info General'!$A:$L,12,0))*Q1305</f>
        <v>5.3</v>
      </c>
      <c r="T1305" s="31" t="s">
        <v>7</v>
      </c>
      <c r="U1305" s="31">
        <v>1</v>
      </c>
      <c r="V1305" s="31" t="s">
        <v>8</v>
      </c>
      <c r="W1305" s="17">
        <f>(VLOOKUP(T1305,'[1]Simulation pricing per sub assy'!$D:$E,2,0))*U1305</f>
        <v>1.85</v>
      </c>
      <c r="X1305" s="32" t="s">
        <v>615</v>
      </c>
      <c r="Y1305" s="32">
        <v>1</v>
      </c>
      <c r="Z1305" s="32" t="s">
        <v>9</v>
      </c>
      <c r="AA1305" s="18">
        <f>(VLOOKUP(X1305,'[1]Simulation pricing per sub assy'!$D:$E,2,0))*Y1305</f>
        <v>1.5769808000000001</v>
      </c>
    </row>
    <row r="1306" spans="1:27" x14ac:dyDescent="0.35">
      <c r="A1306" s="27" t="s">
        <v>2223</v>
      </c>
      <c r="B1306" s="27" t="s">
        <v>4508</v>
      </c>
      <c r="C1306" s="42">
        <f t="shared" si="20"/>
        <v>119.98578079999999</v>
      </c>
      <c r="D1306" s="28" t="s">
        <v>2058</v>
      </c>
      <c r="E1306" s="28">
        <v>1</v>
      </c>
      <c r="F1306" s="28" t="s">
        <v>2059</v>
      </c>
      <c r="G1306" s="14">
        <f>(VLOOKUP(D1306,'[1]BOM Info General'!$A:$L,12,0))*E1306</f>
        <v>35.56</v>
      </c>
      <c r="H1306" s="29" t="s">
        <v>39</v>
      </c>
      <c r="I1306" s="29">
        <v>1</v>
      </c>
      <c r="J1306" s="29" t="s">
        <v>46</v>
      </c>
      <c r="K1306" s="15">
        <f>(VLOOKUP(H1306,'[1]BOM Info General'!$A:$L,12,0))*I1306</f>
        <v>24.42</v>
      </c>
      <c r="L1306" s="26" t="s">
        <v>56</v>
      </c>
      <c r="M1306" s="26">
        <v>1</v>
      </c>
      <c r="N1306" s="26" t="s">
        <v>59</v>
      </c>
      <c r="O1306" s="9">
        <f>(VLOOKUP(L1306,'[1]Simulation pricing per sub assy'!$D:$E,2,0))*M1306</f>
        <v>51.27879999999999</v>
      </c>
      <c r="P1306" s="30" t="s">
        <v>50</v>
      </c>
      <c r="Q1306" s="30">
        <v>2</v>
      </c>
      <c r="R1306" s="30" t="s">
        <v>611</v>
      </c>
      <c r="S1306" s="40">
        <f>(VLOOKUP(P1306,'[1]BOM Info General'!$A:$L,12,0))*Q1306</f>
        <v>5.3</v>
      </c>
      <c r="T1306" s="31" t="s">
        <v>7</v>
      </c>
      <c r="U1306" s="31">
        <v>1</v>
      </c>
      <c r="V1306" s="31" t="s">
        <v>8</v>
      </c>
      <c r="W1306" s="17">
        <f>(VLOOKUP(T1306,'[1]Simulation pricing per sub assy'!$D:$E,2,0))*U1306</f>
        <v>1.85</v>
      </c>
      <c r="X1306" s="32" t="s">
        <v>615</v>
      </c>
      <c r="Y1306" s="32">
        <v>1</v>
      </c>
      <c r="Z1306" s="32" t="s">
        <v>9</v>
      </c>
      <c r="AA1306" s="18">
        <f>(VLOOKUP(X1306,'[1]Simulation pricing per sub assy'!$D:$E,2,0))*Y1306</f>
        <v>1.5769808000000001</v>
      </c>
    </row>
    <row r="1307" spans="1:27" x14ac:dyDescent="0.35">
      <c r="A1307" s="27" t="s">
        <v>2224</v>
      </c>
      <c r="B1307" s="27" t="s">
        <v>4509</v>
      </c>
      <c r="C1307" s="42">
        <f t="shared" si="20"/>
        <v>111.21578079999999</v>
      </c>
      <c r="D1307" s="28" t="s">
        <v>2058</v>
      </c>
      <c r="E1307" s="28">
        <v>1</v>
      </c>
      <c r="F1307" s="28" t="s">
        <v>2059</v>
      </c>
      <c r="G1307" s="14">
        <f>(VLOOKUP(D1307,'[1]BOM Info General'!$A:$L,12,0))*E1307</f>
        <v>35.56</v>
      </c>
      <c r="H1307" s="29" t="s">
        <v>39</v>
      </c>
      <c r="I1307" s="29">
        <v>1</v>
      </c>
      <c r="J1307" s="29" t="s">
        <v>46</v>
      </c>
      <c r="K1307" s="15">
        <f>(VLOOKUP(H1307,'[1]BOM Info General'!$A:$L,12,0))*I1307</f>
        <v>24.42</v>
      </c>
      <c r="L1307" s="26" t="s">
        <v>523</v>
      </c>
      <c r="M1307" s="26">
        <v>1</v>
      </c>
      <c r="N1307" s="26" t="s">
        <v>61</v>
      </c>
      <c r="O1307" s="9">
        <f>(VLOOKUP(L1307,'[1]Simulation pricing per sub assy'!$D:$E,2,0))*M1307</f>
        <v>42.308799999999991</v>
      </c>
      <c r="P1307" s="30" t="s">
        <v>50</v>
      </c>
      <c r="Q1307" s="30">
        <v>2</v>
      </c>
      <c r="R1307" s="30" t="s">
        <v>16</v>
      </c>
      <c r="S1307" s="40">
        <f>(VLOOKUP(P1307,'[1]BOM Info General'!$A:$L,12,0))*Q1307</f>
        <v>5.3</v>
      </c>
      <c r="T1307" s="31" t="s">
        <v>10</v>
      </c>
      <c r="U1307" s="31">
        <v>1</v>
      </c>
      <c r="V1307" s="31" t="s">
        <v>11</v>
      </c>
      <c r="W1307" s="17">
        <f>(VLOOKUP(T1307,'[1]Simulation pricing per sub assy'!$D:$E,2,0))*U1307</f>
        <v>2.0499999999999998</v>
      </c>
      <c r="X1307" s="32" t="s">
        <v>615</v>
      </c>
      <c r="Y1307" s="32">
        <v>1</v>
      </c>
      <c r="Z1307" s="32" t="s">
        <v>9</v>
      </c>
      <c r="AA1307" s="18">
        <f>(VLOOKUP(X1307,'[1]Simulation pricing per sub assy'!$D:$E,2,0))*Y1307</f>
        <v>1.5769808000000001</v>
      </c>
    </row>
    <row r="1308" spans="1:27" x14ac:dyDescent="0.35">
      <c r="A1308" s="27" t="s">
        <v>2225</v>
      </c>
      <c r="B1308" s="27" t="s">
        <v>4510</v>
      </c>
      <c r="C1308" s="42">
        <f t="shared" si="20"/>
        <v>112.19578079999999</v>
      </c>
      <c r="D1308" s="28" t="s">
        <v>2058</v>
      </c>
      <c r="E1308" s="28">
        <v>1</v>
      </c>
      <c r="F1308" s="28" t="s">
        <v>2059</v>
      </c>
      <c r="G1308" s="14">
        <f>(VLOOKUP(D1308,'[1]BOM Info General'!$A:$L,12,0))*E1308</f>
        <v>35.56</v>
      </c>
      <c r="H1308" s="29" t="s">
        <v>39</v>
      </c>
      <c r="I1308" s="29">
        <v>1</v>
      </c>
      <c r="J1308" s="29" t="s">
        <v>46</v>
      </c>
      <c r="K1308" s="15">
        <f>(VLOOKUP(H1308,'[1]BOM Info General'!$A:$L,12,0))*I1308</f>
        <v>24.42</v>
      </c>
      <c r="L1308" s="26" t="s">
        <v>58</v>
      </c>
      <c r="M1308" s="26">
        <v>1</v>
      </c>
      <c r="N1308" s="26" t="s">
        <v>55</v>
      </c>
      <c r="O1308" s="9">
        <f>(VLOOKUP(L1308,'[1]Simulation pricing per sub assy'!$D:$E,2,0))*M1308</f>
        <v>43.288799999999988</v>
      </c>
      <c r="P1308" s="30" t="s">
        <v>50</v>
      </c>
      <c r="Q1308" s="30">
        <v>2</v>
      </c>
      <c r="R1308" s="30" t="s">
        <v>16</v>
      </c>
      <c r="S1308" s="40">
        <f>(VLOOKUP(P1308,'[1]BOM Info General'!$A:$L,12,0))*Q1308</f>
        <v>5.3</v>
      </c>
      <c r="T1308" s="31" t="s">
        <v>10</v>
      </c>
      <c r="U1308" s="31">
        <v>1</v>
      </c>
      <c r="V1308" s="31" t="s">
        <v>11</v>
      </c>
      <c r="W1308" s="17">
        <f>(VLOOKUP(T1308,'[1]Simulation pricing per sub assy'!$D:$E,2,0))*U1308</f>
        <v>2.0499999999999998</v>
      </c>
      <c r="X1308" s="32" t="s">
        <v>615</v>
      </c>
      <c r="Y1308" s="32">
        <v>1</v>
      </c>
      <c r="Z1308" s="32" t="s">
        <v>9</v>
      </c>
      <c r="AA1308" s="18">
        <f>(VLOOKUP(X1308,'[1]Simulation pricing per sub assy'!$D:$E,2,0))*Y1308</f>
        <v>1.5769808000000001</v>
      </c>
    </row>
    <row r="1309" spans="1:27" x14ac:dyDescent="0.35">
      <c r="A1309" s="27" t="s">
        <v>2226</v>
      </c>
      <c r="B1309" s="27" t="s">
        <v>4511</v>
      </c>
      <c r="C1309" s="42">
        <f t="shared" si="20"/>
        <v>112.77578079999999</v>
      </c>
      <c r="D1309" s="28" t="s">
        <v>2058</v>
      </c>
      <c r="E1309" s="28">
        <v>1</v>
      </c>
      <c r="F1309" s="28" t="s">
        <v>2059</v>
      </c>
      <c r="G1309" s="14">
        <f>(VLOOKUP(D1309,'[1]BOM Info General'!$A:$L,12,0))*E1309</f>
        <v>35.56</v>
      </c>
      <c r="H1309" s="29" t="s">
        <v>39</v>
      </c>
      <c r="I1309" s="29">
        <v>1</v>
      </c>
      <c r="J1309" s="29" t="s">
        <v>46</v>
      </c>
      <c r="K1309" s="15">
        <f>(VLOOKUP(H1309,'[1]BOM Info General'!$A:$L,12,0))*I1309</f>
        <v>24.42</v>
      </c>
      <c r="L1309" s="26" t="s">
        <v>54</v>
      </c>
      <c r="M1309" s="26">
        <v>1</v>
      </c>
      <c r="N1309" s="26" t="s">
        <v>53</v>
      </c>
      <c r="O1309" s="9">
        <f>(VLOOKUP(L1309,'[1]Simulation pricing per sub assy'!$D:$E,2,0))*M1309</f>
        <v>43.868799999999993</v>
      </c>
      <c r="P1309" s="30" t="s">
        <v>50</v>
      </c>
      <c r="Q1309" s="30">
        <v>2</v>
      </c>
      <c r="R1309" s="30" t="s">
        <v>16</v>
      </c>
      <c r="S1309" s="40">
        <f>(VLOOKUP(P1309,'[1]BOM Info General'!$A:$L,12,0))*Q1309</f>
        <v>5.3</v>
      </c>
      <c r="T1309" s="31" t="s">
        <v>10</v>
      </c>
      <c r="U1309" s="31">
        <v>1</v>
      </c>
      <c r="V1309" s="31" t="s">
        <v>11</v>
      </c>
      <c r="W1309" s="17">
        <f>(VLOOKUP(T1309,'[1]Simulation pricing per sub assy'!$D:$E,2,0))*U1309</f>
        <v>2.0499999999999998</v>
      </c>
      <c r="X1309" s="32" t="s">
        <v>615</v>
      </c>
      <c r="Y1309" s="32">
        <v>1</v>
      </c>
      <c r="Z1309" s="32" t="s">
        <v>9</v>
      </c>
      <c r="AA1309" s="18">
        <f>(VLOOKUP(X1309,'[1]Simulation pricing per sub assy'!$D:$E,2,0))*Y1309</f>
        <v>1.5769808000000001</v>
      </c>
    </row>
    <row r="1310" spans="1:27" x14ac:dyDescent="0.35">
      <c r="A1310" s="27" t="s">
        <v>2227</v>
      </c>
      <c r="B1310" s="27" t="s">
        <v>4512</v>
      </c>
      <c r="C1310" s="42">
        <f t="shared" si="20"/>
        <v>112.51578079999999</v>
      </c>
      <c r="D1310" s="28" t="s">
        <v>2058</v>
      </c>
      <c r="E1310" s="28">
        <v>1</v>
      </c>
      <c r="F1310" s="28" t="s">
        <v>2059</v>
      </c>
      <c r="G1310" s="14">
        <f>(VLOOKUP(D1310,'[1]BOM Info General'!$A:$L,12,0))*E1310</f>
        <v>35.56</v>
      </c>
      <c r="H1310" s="29" t="s">
        <v>39</v>
      </c>
      <c r="I1310" s="29">
        <v>1</v>
      </c>
      <c r="J1310" s="29" t="s">
        <v>46</v>
      </c>
      <c r="K1310" s="15">
        <f>(VLOOKUP(H1310,'[1]BOM Info General'!$A:$L,12,0))*I1310</f>
        <v>24.42</v>
      </c>
      <c r="L1310" s="26" t="s">
        <v>60</v>
      </c>
      <c r="M1310" s="26">
        <v>1</v>
      </c>
      <c r="N1310" s="26" t="s">
        <v>57</v>
      </c>
      <c r="O1310" s="9">
        <f>(VLOOKUP(L1310,'[1]Simulation pricing per sub assy'!$D:$E,2,0))*M1310</f>
        <v>43.608799999999988</v>
      </c>
      <c r="P1310" s="30" t="s">
        <v>50</v>
      </c>
      <c r="Q1310" s="30">
        <v>2</v>
      </c>
      <c r="R1310" s="30" t="s">
        <v>16</v>
      </c>
      <c r="S1310" s="40">
        <f>(VLOOKUP(P1310,'[1]BOM Info General'!$A:$L,12,0))*Q1310</f>
        <v>5.3</v>
      </c>
      <c r="T1310" s="31" t="s">
        <v>10</v>
      </c>
      <c r="U1310" s="31">
        <v>1</v>
      </c>
      <c r="V1310" s="31" t="s">
        <v>11</v>
      </c>
      <c r="W1310" s="17">
        <f>(VLOOKUP(T1310,'[1]Simulation pricing per sub assy'!$D:$E,2,0))*U1310</f>
        <v>2.0499999999999998</v>
      </c>
      <c r="X1310" s="32" t="s">
        <v>615</v>
      </c>
      <c r="Y1310" s="32">
        <v>1</v>
      </c>
      <c r="Z1310" s="32" t="s">
        <v>9</v>
      </c>
      <c r="AA1310" s="18">
        <f>(VLOOKUP(X1310,'[1]Simulation pricing per sub assy'!$D:$E,2,0))*Y1310</f>
        <v>1.5769808000000001</v>
      </c>
    </row>
    <row r="1311" spans="1:27" x14ac:dyDescent="0.35">
      <c r="A1311" s="27" t="s">
        <v>2228</v>
      </c>
      <c r="B1311" s="27" t="s">
        <v>4513</v>
      </c>
      <c r="C1311" s="42">
        <f t="shared" si="20"/>
        <v>120.18578079999999</v>
      </c>
      <c r="D1311" s="28" t="s">
        <v>2058</v>
      </c>
      <c r="E1311" s="28">
        <v>1</v>
      </c>
      <c r="F1311" s="28" t="s">
        <v>2059</v>
      </c>
      <c r="G1311" s="14">
        <f>(VLOOKUP(D1311,'[1]BOM Info General'!$A:$L,12,0))*E1311</f>
        <v>35.56</v>
      </c>
      <c r="H1311" s="29" t="s">
        <v>39</v>
      </c>
      <c r="I1311" s="29">
        <v>1</v>
      </c>
      <c r="J1311" s="29" t="s">
        <v>46</v>
      </c>
      <c r="K1311" s="15">
        <f>(VLOOKUP(H1311,'[1]BOM Info General'!$A:$L,12,0))*I1311</f>
        <v>24.42</v>
      </c>
      <c r="L1311" s="26" t="s">
        <v>56</v>
      </c>
      <c r="M1311" s="26">
        <v>1</v>
      </c>
      <c r="N1311" s="26" t="s">
        <v>59</v>
      </c>
      <c r="O1311" s="9">
        <f>(VLOOKUP(L1311,'[1]Simulation pricing per sub assy'!$D:$E,2,0))*M1311</f>
        <v>51.27879999999999</v>
      </c>
      <c r="P1311" s="30" t="s">
        <v>50</v>
      </c>
      <c r="Q1311" s="30">
        <v>2</v>
      </c>
      <c r="R1311" s="30" t="s">
        <v>16</v>
      </c>
      <c r="S1311" s="40">
        <f>(VLOOKUP(P1311,'[1]BOM Info General'!$A:$L,12,0))*Q1311</f>
        <v>5.3</v>
      </c>
      <c r="T1311" s="31" t="s">
        <v>10</v>
      </c>
      <c r="U1311" s="31">
        <v>1</v>
      </c>
      <c r="V1311" s="31" t="s">
        <v>11</v>
      </c>
      <c r="W1311" s="17">
        <f>(VLOOKUP(T1311,'[1]Simulation pricing per sub assy'!$D:$E,2,0))*U1311</f>
        <v>2.0499999999999998</v>
      </c>
      <c r="X1311" s="32" t="s">
        <v>615</v>
      </c>
      <c r="Y1311" s="32">
        <v>1</v>
      </c>
      <c r="Z1311" s="32" t="s">
        <v>9</v>
      </c>
      <c r="AA1311" s="18">
        <f>(VLOOKUP(X1311,'[1]Simulation pricing per sub assy'!$D:$E,2,0))*Y1311</f>
        <v>1.5769808000000001</v>
      </c>
    </row>
    <row r="1312" spans="1:27" x14ac:dyDescent="0.35">
      <c r="A1312" s="27" t="s">
        <v>2229</v>
      </c>
      <c r="B1312" s="27" t="s">
        <v>4514</v>
      </c>
      <c r="C1312" s="42">
        <f t="shared" si="20"/>
        <v>111.0657808</v>
      </c>
      <c r="D1312" s="28" t="s">
        <v>2058</v>
      </c>
      <c r="E1312" s="28">
        <v>1</v>
      </c>
      <c r="F1312" s="28" t="s">
        <v>2059</v>
      </c>
      <c r="G1312" s="14">
        <f>(VLOOKUP(D1312,'[1]BOM Info General'!$A:$L,12,0))*E1312</f>
        <v>35.56</v>
      </c>
      <c r="H1312" s="29" t="s">
        <v>39</v>
      </c>
      <c r="I1312" s="29">
        <v>1</v>
      </c>
      <c r="J1312" s="29" t="s">
        <v>46</v>
      </c>
      <c r="K1312" s="15">
        <f>(VLOOKUP(H1312,'[1]BOM Info General'!$A:$L,12,0))*I1312</f>
        <v>24.42</v>
      </c>
      <c r="L1312" s="26" t="s">
        <v>523</v>
      </c>
      <c r="M1312" s="26">
        <v>1</v>
      </c>
      <c r="N1312" s="26" t="s">
        <v>61</v>
      </c>
      <c r="O1312" s="9">
        <f>(VLOOKUP(L1312,'[1]Simulation pricing per sub assy'!$D:$E,2,0))*M1312</f>
        <v>42.308799999999991</v>
      </c>
      <c r="P1312" s="30" t="s">
        <v>50</v>
      </c>
      <c r="Q1312" s="30">
        <v>2</v>
      </c>
      <c r="R1312" s="30" t="s">
        <v>16</v>
      </c>
      <c r="S1312" s="40">
        <f>(VLOOKUP(P1312,'[1]BOM Info General'!$A:$L,12,0))*Q1312</f>
        <v>5.3</v>
      </c>
      <c r="T1312" s="31" t="s">
        <v>12</v>
      </c>
      <c r="U1312" s="31">
        <v>1</v>
      </c>
      <c r="V1312" s="31" t="s">
        <v>13</v>
      </c>
      <c r="W1312" s="17">
        <f>(VLOOKUP(T1312,'[1]Simulation pricing per sub assy'!$D:$E,2,0))*U1312</f>
        <v>1.9</v>
      </c>
      <c r="X1312" s="32" t="s">
        <v>615</v>
      </c>
      <c r="Y1312" s="32">
        <v>1</v>
      </c>
      <c r="Z1312" s="32" t="s">
        <v>9</v>
      </c>
      <c r="AA1312" s="18">
        <f>(VLOOKUP(X1312,'[1]Simulation pricing per sub assy'!$D:$E,2,0))*Y1312</f>
        <v>1.5769808000000001</v>
      </c>
    </row>
    <row r="1313" spans="1:27" x14ac:dyDescent="0.35">
      <c r="A1313" s="27" t="s">
        <v>2230</v>
      </c>
      <c r="B1313" s="27" t="s">
        <v>4515</v>
      </c>
      <c r="C1313" s="42">
        <f t="shared" si="20"/>
        <v>112.0457808</v>
      </c>
      <c r="D1313" s="28" t="s">
        <v>2058</v>
      </c>
      <c r="E1313" s="28">
        <v>1</v>
      </c>
      <c r="F1313" s="28" t="s">
        <v>2059</v>
      </c>
      <c r="G1313" s="14">
        <f>(VLOOKUP(D1313,'[1]BOM Info General'!$A:$L,12,0))*E1313</f>
        <v>35.56</v>
      </c>
      <c r="H1313" s="29" t="s">
        <v>39</v>
      </c>
      <c r="I1313" s="29">
        <v>1</v>
      </c>
      <c r="J1313" s="29" t="s">
        <v>46</v>
      </c>
      <c r="K1313" s="15">
        <f>(VLOOKUP(H1313,'[1]BOM Info General'!$A:$L,12,0))*I1313</f>
        <v>24.42</v>
      </c>
      <c r="L1313" s="26" t="s">
        <v>58</v>
      </c>
      <c r="M1313" s="26">
        <v>1</v>
      </c>
      <c r="N1313" s="26" t="s">
        <v>55</v>
      </c>
      <c r="O1313" s="9">
        <f>(VLOOKUP(L1313,'[1]Simulation pricing per sub assy'!$D:$E,2,0))*M1313</f>
        <v>43.288799999999988</v>
      </c>
      <c r="P1313" s="30" t="s">
        <v>50</v>
      </c>
      <c r="Q1313" s="30">
        <v>2</v>
      </c>
      <c r="R1313" s="30" t="s">
        <v>16</v>
      </c>
      <c r="S1313" s="40">
        <f>(VLOOKUP(P1313,'[1]BOM Info General'!$A:$L,12,0))*Q1313</f>
        <v>5.3</v>
      </c>
      <c r="T1313" s="31" t="s">
        <v>12</v>
      </c>
      <c r="U1313" s="31">
        <v>1</v>
      </c>
      <c r="V1313" s="31" t="s">
        <v>13</v>
      </c>
      <c r="W1313" s="17">
        <f>(VLOOKUP(T1313,'[1]Simulation pricing per sub assy'!$D:$E,2,0))*U1313</f>
        <v>1.9</v>
      </c>
      <c r="X1313" s="32" t="s">
        <v>615</v>
      </c>
      <c r="Y1313" s="32">
        <v>1</v>
      </c>
      <c r="Z1313" s="32" t="s">
        <v>9</v>
      </c>
      <c r="AA1313" s="18">
        <f>(VLOOKUP(X1313,'[1]Simulation pricing per sub assy'!$D:$E,2,0))*Y1313</f>
        <v>1.5769808000000001</v>
      </c>
    </row>
    <row r="1314" spans="1:27" x14ac:dyDescent="0.35">
      <c r="A1314" s="27" t="s">
        <v>2231</v>
      </c>
      <c r="B1314" s="27" t="s">
        <v>4516</v>
      </c>
      <c r="C1314" s="42">
        <f t="shared" si="20"/>
        <v>112.6257808</v>
      </c>
      <c r="D1314" s="28" t="s">
        <v>2058</v>
      </c>
      <c r="E1314" s="28">
        <v>1</v>
      </c>
      <c r="F1314" s="28" t="s">
        <v>2059</v>
      </c>
      <c r="G1314" s="14">
        <f>(VLOOKUP(D1314,'[1]BOM Info General'!$A:$L,12,0))*E1314</f>
        <v>35.56</v>
      </c>
      <c r="H1314" s="29" t="s">
        <v>39</v>
      </c>
      <c r="I1314" s="29">
        <v>1</v>
      </c>
      <c r="J1314" s="29" t="s">
        <v>46</v>
      </c>
      <c r="K1314" s="15">
        <f>(VLOOKUP(H1314,'[1]BOM Info General'!$A:$L,12,0))*I1314</f>
        <v>24.42</v>
      </c>
      <c r="L1314" s="26" t="s">
        <v>54</v>
      </c>
      <c r="M1314" s="26">
        <v>1</v>
      </c>
      <c r="N1314" s="26" t="s">
        <v>53</v>
      </c>
      <c r="O1314" s="9">
        <f>(VLOOKUP(L1314,'[1]Simulation pricing per sub assy'!$D:$E,2,0))*M1314</f>
        <v>43.868799999999993</v>
      </c>
      <c r="P1314" s="30" t="s">
        <v>50</v>
      </c>
      <c r="Q1314" s="30">
        <v>2</v>
      </c>
      <c r="R1314" s="30" t="s">
        <v>16</v>
      </c>
      <c r="S1314" s="40">
        <f>(VLOOKUP(P1314,'[1]BOM Info General'!$A:$L,12,0))*Q1314</f>
        <v>5.3</v>
      </c>
      <c r="T1314" s="31" t="s">
        <v>12</v>
      </c>
      <c r="U1314" s="31">
        <v>1</v>
      </c>
      <c r="V1314" s="31" t="s">
        <v>13</v>
      </c>
      <c r="W1314" s="17">
        <f>(VLOOKUP(T1314,'[1]Simulation pricing per sub assy'!$D:$E,2,0))*U1314</f>
        <v>1.9</v>
      </c>
      <c r="X1314" s="32" t="s">
        <v>615</v>
      </c>
      <c r="Y1314" s="32">
        <v>1</v>
      </c>
      <c r="Z1314" s="32" t="s">
        <v>9</v>
      </c>
      <c r="AA1314" s="18">
        <f>(VLOOKUP(X1314,'[1]Simulation pricing per sub assy'!$D:$E,2,0))*Y1314</f>
        <v>1.5769808000000001</v>
      </c>
    </row>
    <row r="1315" spans="1:27" x14ac:dyDescent="0.35">
      <c r="A1315" s="27" t="s">
        <v>2232</v>
      </c>
      <c r="B1315" s="27" t="s">
        <v>4517</v>
      </c>
      <c r="C1315" s="42">
        <f t="shared" si="20"/>
        <v>112.3657808</v>
      </c>
      <c r="D1315" s="28" t="s">
        <v>2058</v>
      </c>
      <c r="E1315" s="28">
        <v>1</v>
      </c>
      <c r="F1315" s="28" t="s">
        <v>2059</v>
      </c>
      <c r="G1315" s="14">
        <f>(VLOOKUP(D1315,'[1]BOM Info General'!$A:$L,12,0))*E1315</f>
        <v>35.56</v>
      </c>
      <c r="H1315" s="29" t="s">
        <v>39</v>
      </c>
      <c r="I1315" s="29">
        <v>1</v>
      </c>
      <c r="J1315" s="29" t="s">
        <v>46</v>
      </c>
      <c r="K1315" s="15">
        <f>(VLOOKUP(H1315,'[1]BOM Info General'!$A:$L,12,0))*I1315</f>
        <v>24.42</v>
      </c>
      <c r="L1315" s="26" t="s">
        <v>60</v>
      </c>
      <c r="M1315" s="26">
        <v>1</v>
      </c>
      <c r="N1315" s="26" t="s">
        <v>57</v>
      </c>
      <c r="O1315" s="9">
        <f>(VLOOKUP(L1315,'[1]Simulation pricing per sub assy'!$D:$E,2,0))*M1315</f>
        <v>43.608799999999988</v>
      </c>
      <c r="P1315" s="30" t="s">
        <v>50</v>
      </c>
      <c r="Q1315" s="30">
        <v>2</v>
      </c>
      <c r="R1315" s="30" t="s">
        <v>16</v>
      </c>
      <c r="S1315" s="40">
        <f>(VLOOKUP(P1315,'[1]BOM Info General'!$A:$L,12,0))*Q1315</f>
        <v>5.3</v>
      </c>
      <c r="T1315" s="31" t="s">
        <v>12</v>
      </c>
      <c r="U1315" s="31">
        <v>1</v>
      </c>
      <c r="V1315" s="31" t="s">
        <v>13</v>
      </c>
      <c r="W1315" s="17">
        <f>(VLOOKUP(T1315,'[1]Simulation pricing per sub assy'!$D:$E,2,0))*U1315</f>
        <v>1.9</v>
      </c>
      <c r="X1315" s="32" t="s">
        <v>615</v>
      </c>
      <c r="Y1315" s="32">
        <v>1</v>
      </c>
      <c r="Z1315" s="32" t="s">
        <v>9</v>
      </c>
      <c r="AA1315" s="18">
        <f>(VLOOKUP(X1315,'[1]Simulation pricing per sub assy'!$D:$E,2,0))*Y1315</f>
        <v>1.5769808000000001</v>
      </c>
    </row>
    <row r="1316" spans="1:27" x14ac:dyDescent="0.35">
      <c r="A1316" s="27" t="s">
        <v>2233</v>
      </c>
      <c r="B1316" s="27" t="s">
        <v>4518</v>
      </c>
      <c r="C1316" s="42">
        <f t="shared" si="20"/>
        <v>120.0357808</v>
      </c>
      <c r="D1316" s="28" t="s">
        <v>2058</v>
      </c>
      <c r="E1316" s="28">
        <v>1</v>
      </c>
      <c r="F1316" s="28" t="s">
        <v>2059</v>
      </c>
      <c r="G1316" s="14">
        <f>(VLOOKUP(D1316,'[1]BOM Info General'!$A:$L,12,0))*E1316</f>
        <v>35.56</v>
      </c>
      <c r="H1316" s="29" t="s">
        <v>39</v>
      </c>
      <c r="I1316" s="29">
        <v>1</v>
      </c>
      <c r="J1316" s="29" t="s">
        <v>46</v>
      </c>
      <c r="K1316" s="15">
        <f>(VLOOKUP(H1316,'[1]BOM Info General'!$A:$L,12,0))*I1316</f>
        <v>24.42</v>
      </c>
      <c r="L1316" s="26" t="s">
        <v>56</v>
      </c>
      <c r="M1316" s="26">
        <v>1</v>
      </c>
      <c r="N1316" s="26" t="s">
        <v>59</v>
      </c>
      <c r="O1316" s="9">
        <f>(VLOOKUP(L1316,'[1]Simulation pricing per sub assy'!$D:$E,2,0))*M1316</f>
        <v>51.27879999999999</v>
      </c>
      <c r="P1316" s="30" t="s">
        <v>50</v>
      </c>
      <c r="Q1316" s="30">
        <v>2</v>
      </c>
      <c r="R1316" s="30" t="s">
        <v>16</v>
      </c>
      <c r="S1316" s="40">
        <f>(VLOOKUP(P1316,'[1]BOM Info General'!$A:$L,12,0))*Q1316</f>
        <v>5.3</v>
      </c>
      <c r="T1316" s="31" t="s">
        <v>12</v>
      </c>
      <c r="U1316" s="31">
        <v>1</v>
      </c>
      <c r="V1316" s="31" t="s">
        <v>13</v>
      </c>
      <c r="W1316" s="17">
        <f>(VLOOKUP(T1316,'[1]Simulation pricing per sub assy'!$D:$E,2,0))*U1316</f>
        <v>1.9</v>
      </c>
      <c r="X1316" s="32" t="s">
        <v>615</v>
      </c>
      <c r="Y1316" s="32">
        <v>1</v>
      </c>
      <c r="Z1316" s="32" t="s">
        <v>9</v>
      </c>
      <c r="AA1316" s="18">
        <f>(VLOOKUP(X1316,'[1]Simulation pricing per sub assy'!$D:$E,2,0))*Y1316</f>
        <v>1.5769808000000001</v>
      </c>
    </row>
    <row r="1317" spans="1:27" x14ac:dyDescent="0.35">
      <c r="A1317" s="27" t="s">
        <v>2234</v>
      </c>
      <c r="B1317" s="27" t="s">
        <v>4519</v>
      </c>
      <c r="C1317" s="42">
        <f t="shared" si="20"/>
        <v>111.0657808</v>
      </c>
      <c r="D1317" s="28" t="s">
        <v>2058</v>
      </c>
      <c r="E1317" s="28">
        <v>1</v>
      </c>
      <c r="F1317" s="28" t="s">
        <v>2059</v>
      </c>
      <c r="G1317" s="14">
        <f>(VLOOKUP(D1317,'[1]BOM Info General'!$A:$L,12,0))*E1317</f>
        <v>35.56</v>
      </c>
      <c r="H1317" s="29" t="s">
        <v>39</v>
      </c>
      <c r="I1317" s="29">
        <v>1</v>
      </c>
      <c r="J1317" s="29" t="s">
        <v>46</v>
      </c>
      <c r="K1317" s="15">
        <f>(VLOOKUP(H1317,'[1]BOM Info General'!$A:$L,12,0))*I1317</f>
        <v>24.42</v>
      </c>
      <c r="L1317" s="26" t="s">
        <v>523</v>
      </c>
      <c r="M1317" s="26">
        <v>1</v>
      </c>
      <c r="N1317" s="26" t="s">
        <v>61</v>
      </c>
      <c r="O1317" s="9">
        <f>(VLOOKUP(L1317,'[1]Simulation pricing per sub assy'!$D:$E,2,0))*M1317</f>
        <v>42.308799999999991</v>
      </c>
      <c r="P1317" s="30" t="s">
        <v>50</v>
      </c>
      <c r="Q1317" s="30">
        <v>2</v>
      </c>
      <c r="R1317" s="30" t="s">
        <v>16</v>
      </c>
      <c r="S1317" s="40">
        <f>(VLOOKUP(P1317,'[1]BOM Info General'!$A:$L,12,0))*Q1317</f>
        <v>5.3</v>
      </c>
      <c r="T1317" s="31" t="s">
        <v>14</v>
      </c>
      <c r="U1317" s="31">
        <v>1</v>
      </c>
      <c r="V1317" s="31" t="s">
        <v>15</v>
      </c>
      <c r="W1317" s="17">
        <f>(VLOOKUP(T1317,'[1]Simulation pricing per sub assy'!$D:$E,2,0))*U1317</f>
        <v>1.9</v>
      </c>
      <c r="X1317" s="32" t="s">
        <v>615</v>
      </c>
      <c r="Y1317" s="32">
        <v>1</v>
      </c>
      <c r="Z1317" s="32" t="s">
        <v>9</v>
      </c>
      <c r="AA1317" s="18">
        <f>(VLOOKUP(X1317,'[1]Simulation pricing per sub assy'!$D:$E,2,0))*Y1317</f>
        <v>1.5769808000000001</v>
      </c>
    </row>
    <row r="1318" spans="1:27" x14ac:dyDescent="0.35">
      <c r="A1318" s="27" t="s">
        <v>2235</v>
      </c>
      <c r="B1318" s="27" t="s">
        <v>4520</v>
      </c>
      <c r="C1318" s="42">
        <f t="shared" si="20"/>
        <v>112.0457808</v>
      </c>
      <c r="D1318" s="28" t="s">
        <v>2058</v>
      </c>
      <c r="E1318" s="28">
        <v>1</v>
      </c>
      <c r="F1318" s="28" t="s">
        <v>2059</v>
      </c>
      <c r="G1318" s="14">
        <f>(VLOOKUP(D1318,'[1]BOM Info General'!$A:$L,12,0))*E1318</f>
        <v>35.56</v>
      </c>
      <c r="H1318" s="29" t="s">
        <v>39</v>
      </c>
      <c r="I1318" s="29">
        <v>1</v>
      </c>
      <c r="J1318" s="29" t="s">
        <v>46</v>
      </c>
      <c r="K1318" s="15">
        <f>(VLOOKUP(H1318,'[1]BOM Info General'!$A:$L,12,0))*I1318</f>
        <v>24.42</v>
      </c>
      <c r="L1318" s="26" t="s">
        <v>58</v>
      </c>
      <c r="M1318" s="26">
        <v>1</v>
      </c>
      <c r="N1318" s="26" t="s">
        <v>55</v>
      </c>
      <c r="O1318" s="9">
        <f>(VLOOKUP(L1318,'[1]Simulation pricing per sub assy'!$D:$E,2,0))*M1318</f>
        <v>43.288799999999988</v>
      </c>
      <c r="P1318" s="30" t="s">
        <v>50</v>
      </c>
      <c r="Q1318" s="30">
        <v>2</v>
      </c>
      <c r="R1318" s="30" t="s">
        <v>16</v>
      </c>
      <c r="S1318" s="40">
        <f>(VLOOKUP(P1318,'[1]BOM Info General'!$A:$L,12,0))*Q1318</f>
        <v>5.3</v>
      </c>
      <c r="T1318" s="31" t="s">
        <v>14</v>
      </c>
      <c r="U1318" s="31">
        <v>1</v>
      </c>
      <c r="V1318" s="31" t="s">
        <v>15</v>
      </c>
      <c r="W1318" s="17">
        <f>(VLOOKUP(T1318,'[1]Simulation pricing per sub assy'!$D:$E,2,0))*U1318</f>
        <v>1.9</v>
      </c>
      <c r="X1318" s="32" t="s">
        <v>615</v>
      </c>
      <c r="Y1318" s="32">
        <v>1</v>
      </c>
      <c r="Z1318" s="32" t="s">
        <v>9</v>
      </c>
      <c r="AA1318" s="18">
        <f>(VLOOKUP(X1318,'[1]Simulation pricing per sub assy'!$D:$E,2,0))*Y1318</f>
        <v>1.5769808000000001</v>
      </c>
    </row>
    <row r="1319" spans="1:27" x14ac:dyDescent="0.35">
      <c r="A1319" s="27" t="s">
        <v>2236</v>
      </c>
      <c r="B1319" s="27" t="s">
        <v>4521</v>
      </c>
      <c r="C1319" s="42">
        <f t="shared" si="20"/>
        <v>112.6257808</v>
      </c>
      <c r="D1319" s="28" t="s">
        <v>2058</v>
      </c>
      <c r="E1319" s="28">
        <v>1</v>
      </c>
      <c r="F1319" s="28" t="s">
        <v>2059</v>
      </c>
      <c r="G1319" s="14">
        <f>(VLOOKUP(D1319,'[1]BOM Info General'!$A:$L,12,0))*E1319</f>
        <v>35.56</v>
      </c>
      <c r="H1319" s="29" t="s">
        <v>39</v>
      </c>
      <c r="I1319" s="29">
        <v>1</v>
      </c>
      <c r="J1319" s="29" t="s">
        <v>46</v>
      </c>
      <c r="K1319" s="15">
        <f>(VLOOKUP(H1319,'[1]BOM Info General'!$A:$L,12,0))*I1319</f>
        <v>24.42</v>
      </c>
      <c r="L1319" s="26" t="s">
        <v>54</v>
      </c>
      <c r="M1319" s="26">
        <v>1</v>
      </c>
      <c r="N1319" s="26" t="s">
        <v>53</v>
      </c>
      <c r="O1319" s="9">
        <f>(VLOOKUP(L1319,'[1]Simulation pricing per sub assy'!$D:$E,2,0))*M1319</f>
        <v>43.868799999999993</v>
      </c>
      <c r="P1319" s="30" t="s">
        <v>50</v>
      </c>
      <c r="Q1319" s="30">
        <v>2</v>
      </c>
      <c r="R1319" s="30" t="s">
        <v>16</v>
      </c>
      <c r="S1319" s="40">
        <f>(VLOOKUP(P1319,'[1]BOM Info General'!$A:$L,12,0))*Q1319</f>
        <v>5.3</v>
      </c>
      <c r="T1319" s="31" t="s">
        <v>14</v>
      </c>
      <c r="U1319" s="31">
        <v>1</v>
      </c>
      <c r="V1319" s="31" t="s">
        <v>15</v>
      </c>
      <c r="W1319" s="17">
        <f>(VLOOKUP(T1319,'[1]Simulation pricing per sub assy'!$D:$E,2,0))*U1319</f>
        <v>1.9</v>
      </c>
      <c r="X1319" s="32" t="s">
        <v>615</v>
      </c>
      <c r="Y1319" s="32">
        <v>1</v>
      </c>
      <c r="Z1319" s="32" t="s">
        <v>9</v>
      </c>
      <c r="AA1319" s="18">
        <f>(VLOOKUP(X1319,'[1]Simulation pricing per sub assy'!$D:$E,2,0))*Y1319</f>
        <v>1.5769808000000001</v>
      </c>
    </row>
    <row r="1320" spans="1:27" x14ac:dyDescent="0.35">
      <c r="A1320" s="27" t="s">
        <v>2237</v>
      </c>
      <c r="B1320" s="27" t="s">
        <v>4522</v>
      </c>
      <c r="C1320" s="42">
        <f t="shared" si="20"/>
        <v>112.3657808</v>
      </c>
      <c r="D1320" s="28" t="s">
        <v>2058</v>
      </c>
      <c r="E1320" s="28">
        <v>1</v>
      </c>
      <c r="F1320" s="28" t="s">
        <v>2059</v>
      </c>
      <c r="G1320" s="14">
        <f>(VLOOKUP(D1320,'[1]BOM Info General'!$A:$L,12,0))*E1320</f>
        <v>35.56</v>
      </c>
      <c r="H1320" s="29" t="s">
        <v>39</v>
      </c>
      <c r="I1320" s="29">
        <v>1</v>
      </c>
      <c r="J1320" s="29" t="s">
        <v>46</v>
      </c>
      <c r="K1320" s="15">
        <f>(VLOOKUP(H1320,'[1]BOM Info General'!$A:$L,12,0))*I1320</f>
        <v>24.42</v>
      </c>
      <c r="L1320" s="26" t="s">
        <v>60</v>
      </c>
      <c r="M1320" s="26">
        <v>1</v>
      </c>
      <c r="N1320" s="26" t="s">
        <v>57</v>
      </c>
      <c r="O1320" s="9">
        <f>(VLOOKUP(L1320,'[1]Simulation pricing per sub assy'!$D:$E,2,0))*M1320</f>
        <v>43.608799999999988</v>
      </c>
      <c r="P1320" s="30" t="s">
        <v>50</v>
      </c>
      <c r="Q1320" s="30">
        <v>2</v>
      </c>
      <c r="R1320" s="30" t="s">
        <v>16</v>
      </c>
      <c r="S1320" s="40">
        <f>(VLOOKUP(P1320,'[1]BOM Info General'!$A:$L,12,0))*Q1320</f>
        <v>5.3</v>
      </c>
      <c r="T1320" s="31" t="s">
        <v>14</v>
      </c>
      <c r="U1320" s="31">
        <v>1</v>
      </c>
      <c r="V1320" s="31" t="s">
        <v>15</v>
      </c>
      <c r="W1320" s="17">
        <f>(VLOOKUP(T1320,'[1]Simulation pricing per sub assy'!$D:$E,2,0))*U1320</f>
        <v>1.9</v>
      </c>
      <c r="X1320" s="32" t="s">
        <v>615</v>
      </c>
      <c r="Y1320" s="32">
        <v>1</v>
      </c>
      <c r="Z1320" s="32" t="s">
        <v>9</v>
      </c>
      <c r="AA1320" s="18">
        <f>(VLOOKUP(X1320,'[1]Simulation pricing per sub assy'!$D:$E,2,0))*Y1320</f>
        <v>1.5769808000000001</v>
      </c>
    </row>
    <row r="1321" spans="1:27" x14ac:dyDescent="0.35">
      <c r="A1321" s="27" t="s">
        <v>2238</v>
      </c>
      <c r="B1321" s="27" t="s">
        <v>4523</v>
      </c>
      <c r="C1321" s="42">
        <f t="shared" si="20"/>
        <v>120.0357808</v>
      </c>
      <c r="D1321" s="28" t="s">
        <v>2058</v>
      </c>
      <c r="E1321" s="28">
        <v>1</v>
      </c>
      <c r="F1321" s="28" t="s">
        <v>2059</v>
      </c>
      <c r="G1321" s="14">
        <f>(VLOOKUP(D1321,'[1]BOM Info General'!$A:$L,12,0))*E1321</f>
        <v>35.56</v>
      </c>
      <c r="H1321" s="29" t="s">
        <v>39</v>
      </c>
      <c r="I1321" s="29">
        <v>1</v>
      </c>
      <c r="J1321" s="29" t="s">
        <v>46</v>
      </c>
      <c r="K1321" s="15">
        <f>(VLOOKUP(H1321,'[1]BOM Info General'!$A:$L,12,0))*I1321</f>
        <v>24.42</v>
      </c>
      <c r="L1321" s="26" t="s">
        <v>56</v>
      </c>
      <c r="M1321" s="26">
        <v>1</v>
      </c>
      <c r="N1321" s="26" t="s">
        <v>59</v>
      </c>
      <c r="O1321" s="9">
        <f>(VLOOKUP(L1321,'[1]Simulation pricing per sub assy'!$D:$E,2,0))*M1321</f>
        <v>51.27879999999999</v>
      </c>
      <c r="P1321" s="30" t="s">
        <v>50</v>
      </c>
      <c r="Q1321" s="30">
        <v>2</v>
      </c>
      <c r="R1321" s="30" t="s">
        <v>16</v>
      </c>
      <c r="S1321" s="40">
        <f>(VLOOKUP(P1321,'[1]BOM Info General'!$A:$L,12,0))*Q1321</f>
        <v>5.3</v>
      </c>
      <c r="T1321" s="31" t="s">
        <v>14</v>
      </c>
      <c r="U1321" s="31">
        <v>1</v>
      </c>
      <c r="V1321" s="31" t="s">
        <v>15</v>
      </c>
      <c r="W1321" s="17">
        <f>(VLOOKUP(T1321,'[1]Simulation pricing per sub assy'!$D:$E,2,0))*U1321</f>
        <v>1.9</v>
      </c>
      <c r="X1321" s="32" t="s">
        <v>615</v>
      </c>
      <c r="Y1321" s="32">
        <v>1</v>
      </c>
      <c r="Z1321" s="32" t="s">
        <v>9</v>
      </c>
      <c r="AA1321" s="18">
        <f>(VLOOKUP(X1321,'[1]Simulation pricing per sub assy'!$D:$E,2,0))*Y1321</f>
        <v>1.5769808000000001</v>
      </c>
    </row>
    <row r="1322" spans="1:27" x14ac:dyDescent="0.35">
      <c r="A1322" s="27" t="s">
        <v>2239</v>
      </c>
      <c r="B1322" s="27" t="s">
        <v>4524</v>
      </c>
      <c r="C1322" s="42">
        <f t="shared" si="20"/>
        <v>111.21578079999999</v>
      </c>
      <c r="D1322" s="28" t="s">
        <v>2058</v>
      </c>
      <c r="E1322" s="28">
        <v>1</v>
      </c>
      <c r="F1322" s="28" t="s">
        <v>2059</v>
      </c>
      <c r="G1322" s="14">
        <f>(VLOOKUP(D1322,'[1]BOM Info General'!$A:$L,12,0))*E1322</f>
        <v>35.56</v>
      </c>
      <c r="H1322" s="29" t="s">
        <v>39</v>
      </c>
      <c r="I1322" s="29">
        <v>1</v>
      </c>
      <c r="J1322" s="29" t="s">
        <v>46</v>
      </c>
      <c r="K1322" s="15">
        <f>(VLOOKUP(H1322,'[1]BOM Info General'!$A:$L,12,0))*I1322</f>
        <v>24.42</v>
      </c>
      <c r="L1322" s="26" t="s">
        <v>523</v>
      </c>
      <c r="M1322" s="26">
        <v>1</v>
      </c>
      <c r="N1322" s="26" t="s">
        <v>61</v>
      </c>
      <c r="O1322" s="9">
        <f>(VLOOKUP(L1322,'[1]Simulation pricing per sub assy'!$D:$E,2,0))*M1322</f>
        <v>42.308799999999991</v>
      </c>
      <c r="P1322" s="30" t="s">
        <v>51</v>
      </c>
      <c r="Q1322" s="30">
        <v>2</v>
      </c>
      <c r="R1322" s="30" t="s">
        <v>17</v>
      </c>
      <c r="S1322" s="40">
        <f>(VLOOKUP(P1322,'[1]BOM Info General'!$A:$L,12,0))*Q1322</f>
        <v>5.3</v>
      </c>
      <c r="T1322" s="31" t="s">
        <v>10</v>
      </c>
      <c r="U1322" s="31">
        <v>1</v>
      </c>
      <c r="V1322" s="31" t="s">
        <v>11</v>
      </c>
      <c r="W1322" s="17">
        <f>(VLOOKUP(T1322,'[1]Simulation pricing per sub assy'!$D:$E,2,0))*U1322</f>
        <v>2.0499999999999998</v>
      </c>
      <c r="X1322" s="32" t="s">
        <v>615</v>
      </c>
      <c r="Y1322" s="32">
        <v>1</v>
      </c>
      <c r="Z1322" s="32" t="s">
        <v>9</v>
      </c>
      <c r="AA1322" s="18">
        <f>(VLOOKUP(X1322,'[1]Simulation pricing per sub assy'!$D:$E,2,0))*Y1322</f>
        <v>1.5769808000000001</v>
      </c>
    </row>
    <row r="1323" spans="1:27" x14ac:dyDescent="0.35">
      <c r="A1323" s="27" t="s">
        <v>2240</v>
      </c>
      <c r="B1323" s="27" t="s">
        <v>4525</v>
      </c>
      <c r="C1323" s="42">
        <f t="shared" si="20"/>
        <v>112.19578079999999</v>
      </c>
      <c r="D1323" s="28" t="s">
        <v>2058</v>
      </c>
      <c r="E1323" s="28">
        <v>1</v>
      </c>
      <c r="F1323" s="28" t="s">
        <v>2059</v>
      </c>
      <c r="G1323" s="14">
        <f>(VLOOKUP(D1323,'[1]BOM Info General'!$A:$L,12,0))*E1323</f>
        <v>35.56</v>
      </c>
      <c r="H1323" s="29" t="s">
        <v>39</v>
      </c>
      <c r="I1323" s="29">
        <v>1</v>
      </c>
      <c r="J1323" s="29" t="s">
        <v>46</v>
      </c>
      <c r="K1323" s="15">
        <f>(VLOOKUP(H1323,'[1]BOM Info General'!$A:$L,12,0))*I1323</f>
        <v>24.42</v>
      </c>
      <c r="L1323" s="26" t="s">
        <v>58</v>
      </c>
      <c r="M1323" s="26">
        <v>1</v>
      </c>
      <c r="N1323" s="26" t="s">
        <v>55</v>
      </c>
      <c r="O1323" s="9">
        <f>(VLOOKUP(L1323,'[1]Simulation pricing per sub assy'!$D:$E,2,0))*M1323</f>
        <v>43.288799999999988</v>
      </c>
      <c r="P1323" s="30" t="s">
        <v>51</v>
      </c>
      <c r="Q1323" s="30">
        <v>2</v>
      </c>
      <c r="R1323" s="30" t="s">
        <v>17</v>
      </c>
      <c r="S1323" s="40">
        <f>(VLOOKUP(P1323,'[1]BOM Info General'!$A:$L,12,0))*Q1323</f>
        <v>5.3</v>
      </c>
      <c r="T1323" s="31" t="s">
        <v>10</v>
      </c>
      <c r="U1323" s="31">
        <v>1</v>
      </c>
      <c r="V1323" s="31" t="s">
        <v>11</v>
      </c>
      <c r="W1323" s="17">
        <f>(VLOOKUP(T1323,'[1]Simulation pricing per sub assy'!$D:$E,2,0))*U1323</f>
        <v>2.0499999999999998</v>
      </c>
      <c r="X1323" s="32" t="s">
        <v>615</v>
      </c>
      <c r="Y1323" s="32">
        <v>1</v>
      </c>
      <c r="Z1323" s="32" t="s">
        <v>9</v>
      </c>
      <c r="AA1323" s="18">
        <f>(VLOOKUP(X1323,'[1]Simulation pricing per sub assy'!$D:$E,2,0))*Y1323</f>
        <v>1.5769808000000001</v>
      </c>
    </row>
    <row r="1324" spans="1:27" x14ac:dyDescent="0.35">
      <c r="A1324" s="27" t="s">
        <v>2241</v>
      </c>
      <c r="B1324" s="27" t="s">
        <v>4526</v>
      </c>
      <c r="C1324" s="42">
        <f t="shared" si="20"/>
        <v>112.77578079999999</v>
      </c>
      <c r="D1324" s="28" t="s">
        <v>2058</v>
      </c>
      <c r="E1324" s="28">
        <v>1</v>
      </c>
      <c r="F1324" s="28" t="s">
        <v>2059</v>
      </c>
      <c r="G1324" s="14">
        <f>(VLOOKUP(D1324,'[1]BOM Info General'!$A:$L,12,0))*E1324</f>
        <v>35.56</v>
      </c>
      <c r="H1324" s="29" t="s">
        <v>39</v>
      </c>
      <c r="I1324" s="29">
        <v>1</v>
      </c>
      <c r="J1324" s="29" t="s">
        <v>46</v>
      </c>
      <c r="K1324" s="15">
        <f>(VLOOKUP(H1324,'[1]BOM Info General'!$A:$L,12,0))*I1324</f>
        <v>24.42</v>
      </c>
      <c r="L1324" s="26" t="s">
        <v>54</v>
      </c>
      <c r="M1324" s="26">
        <v>1</v>
      </c>
      <c r="N1324" s="26" t="s">
        <v>53</v>
      </c>
      <c r="O1324" s="9">
        <f>(VLOOKUP(L1324,'[1]Simulation pricing per sub assy'!$D:$E,2,0))*M1324</f>
        <v>43.868799999999993</v>
      </c>
      <c r="P1324" s="30" t="s">
        <v>51</v>
      </c>
      <c r="Q1324" s="30">
        <v>2</v>
      </c>
      <c r="R1324" s="30" t="s">
        <v>17</v>
      </c>
      <c r="S1324" s="40">
        <f>(VLOOKUP(P1324,'[1]BOM Info General'!$A:$L,12,0))*Q1324</f>
        <v>5.3</v>
      </c>
      <c r="T1324" s="31" t="s">
        <v>10</v>
      </c>
      <c r="U1324" s="31">
        <v>1</v>
      </c>
      <c r="V1324" s="31" t="s">
        <v>11</v>
      </c>
      <c r="W1324" s="17">
        <f>(VLOOKUP(T1324,'[1]Simulation pricing per sub assy'!$D:$E,2,0))*U1324</f>
        <v>2.0499999999999998</v>
      </c>
      <c r="X1324" s="32" t="s">
        <v>615</v>
      </c>
      <c r="Y1324" s="32">
        <v>1</v>
      </c>
      <c r="Z1324" s="32" t="s">
        <v>9</v>
      </c>
      <c r="AA1324" s="18">
        <f>(VLOOKUP(X1324,'[1]Simulation pricing per sub assy'!$D:$E,2,0))*Y1324</f>
        <v>1.5769808000000001</v>
      </c>
    </row>
    <row r="1325" spans="1:27" x14ac:dyDescent="0.35">
      <c r="A1325" s="27" t="s">
        <v>2242</v>
      </c>
      <c r="B1325" s="27" t="s">
        <v>4527</v>
      </c>
      <c r="C1325" s="42">
        <f t="shared" si="20"/>
        <v>112.51578079999999</v>
      </c>
      <c r="D1325" s="28" t="s">
        <v>2058</v>
      </c>
      <c r="E1325" s="28">
        <v>1</v>
      </c>
      <c r="F1325" s="28" t="s">
        <v>2059</v>
      </c>
      <c r="G1325" s="14">
        <f>(VLOOKUP(D1325,'[1]BOM Info General'!$A:$L,12,0))*E1325</f>
        <v>35.56</v>
      </c>
      <c r="H1325" s="29" t="s">
        <v>39</v>
      </c>
      <c r="I1325" s="29">
        <v>1</v>
      </c>
      <c r="J1325" s="29" t="s">
        <v>46</v>
      </c>
      <c r="K1325" s="15">
        <f>(VLOOKUP(H1325,'[1]BOM Info General'!$A:$L,12,0))*I1325</f>
        <v>24.42</v>
      </c>
      <c r="L1325" s="26" t="s">
        <v>60</v>
      </c>
      <c r="M1325" s="26">
        <v>1</v>
      </c>
      <c r="N1325" s="26" t="s">
        <v>57</v>
      </c>
      <c r="O1325" s="9">
        <f>(VLOOKUP(L1325,'[1]Simulation pricing per sub assy'!$D:$E,2,0))*M1325</f>
        <v>43.608799999999988</v>
      </c>
      <c r="P1325" s="30" t="s">
        <v>51</v>
      </c>
      <c r="Q1325" s="30">
        <v>2</v>
      </c>
      <c r="R1325" s="30" t="s">
        <v>17</v>
      </c>
      <c r="S1325" s="40">
        <f>(VLOOKUP(P1325,'[1]BOM Info General'!$A:$L,12,0))*Q1325</f>
        <v>5.3</v>
      </c>
      <c r="T1325" s="31" t="s">
        <v>10</v>
      </c>
      <c r="U1325" s="31">
        <v>1</v>
      </c>
      <c r="V1325" s="31" t="s">
        <v>11</v>
      </c>
      <c r="W1325" s="17">
        <f>(VLOOKUP(T1325,'[1]Simulation pricing per sub assy'!$D:$E,2,0))*U1325</f>
        <v>2.0499999999999998</v>
      </c>
      <c r="X1325" s="32" t="s">
        <v>615</v>
      </c>
      <c r="Y1325" s="32">
        <v>1</v>
      </c>
      <c r="Z1325" s="32" t="s">
        <v>9</v>
      </c>
      <c r="AA1325" s="18">
        <f>(VLOOKUP(X1325,'[1]Simulation pricing per sub assy'!$D:$E,2,0))*Y1325</f>
        <v>1.5769808000000001</v>
      </c>
    </row>
    <row r="1326" spans="1:27" x14ac:dyDescent="0.35">
      <c r="A1326" s="27" t="s">
        <v>2243</v>
      </c>
      <c r="B1326" s="27" t="s">
        <v>4528</v>
      </c>
      <c r="C1326" s="42">
        <f t="shared" si="20"/>
        <v>120.18578079999999</v>
      </c>
      <c r="D1326" s="28" t="s">
        <v>2058</v>
      </c>
      <c r="E1326" s="28">
        <v>1</v>
      </c>
      <c r="F1326" s="28" t="s">
        <v>2059</v>
      </c>
      <c r="G1326" s="14">
        <f>(VLOOKUP(D1326,'[1]BOM Info General'!$A:$L,12,0))*E1326</f>
        <v>35.56</v>
      </c>
      <c r="H1326" s="29" t="s">
        <v>39</v>
      </c>
      <c r="I1326" s="29">
        <v>1</v>
      </c>
      <c r="J1326" s="29" t="s">
        <v>46</v>
      </c>
      <c r="K1326" s="15">
        <f>(VLOOKUP(H1326,'[1]BOM Info General'!$A:$L,12,0))*I1326</f>
        <v>24.42</v>
      </c>
      <c r="L1326" s="26" t="s">
        <v>56</v>
      </c>
      <c r="M1326" s="26">
        <v>1</v>
      </c>
      <c r="N1326" s="26" t="s">
        <v>59</v>
      </c>
      <c r="O1326" s="9">
        <f>(VLOOKUP(L1326,'[1]Simulation pricing per sub assy'!$D:$E,2,0))*M1326</f>
        <v>51.27879999999999</v>
      </c>
      <c r="P1326" s="30" t="s">
        <v>51</v>
      </c>
      <c r="Q1326" s="30">
        <v>2</v>
      </c>
      <c r="R1326" s="30" t="s">
        <v>17</v>
      </c>
      <c r="S1326" s="40">
        <f>(VLOOKUP(P1326,'[1]BOM Info General'!$A:$L,12,0))*Q1326</f>
        <v>5.3</v>
      </c>
      <c r="T1326" s="31" t="s">
        <v>10</v>
      </c>
      <c r="U1326" s="31">
        <v>1</v>
      </c>
      <c r="V1326" s="31" t="s">
        <v>11</v>
      </c>
      <c r="W1326" s="17">
        <f>(VLOOKUP(T1326,'[1]Simulation pricing per sub assy'!$D:$E,2,0))*U1326</f>
        <v>2.0499999999999998</v>
      </c>
      <c r="X1326" s="32" t="s">
        <v>615</v>
      </c>
      <c r="Y1326" s="32">
        <v>1</v>
      </c>
      <c r="Z1326" s="32" t="s">
        <v>9</v>
      </c>
      <c r="AA1326" s="18">
        <f>(VLOOKUP(X1326,'[1]Simulation pricing per sub assy'!$D:$E,2,0))*Y1326</f>
        <v>1.5769808000000001</v>
      </c>
    </row>
    <row r="1327" spans="1:27" x14ac:dyDescent="0.35">
      <c r="A1327" s="27" t="s">
        <v>2244</v>
      </c>
      <c r="B1327" s="27" t="s">
        <v>4529</v>
      </c>
      <c r="C1327" s="42">
        <f t="shared" si="20"/>
        <v>111.0657808</v>
      </c>
      <c r="D1327" s="28" t="s">
        <v>2058</v>
      </c>
      <c r="E1327" s="28">
        <v>1</v>
      </c>
      <c r="F1327" s="28" t="s">
        <v>2059</v>
      </c>
      <c r="G1327" s="14">
        <f>(VLOOKUP(D1327,'[1]BOM Info General'!$A:$L,12,0))*E1327</f>
        <v>35.56</v>
      </c>
      <c r="H1327" s="29" t="s">
        <v>39</v>
      </c>
      <c r="I1327" s="29">
        <v>1</v>
      </c>
      <c r="J1327" s="29" t="s">
        <v>46</v>
      </c>
      <c r="K1327" s="15">
        <f>(VLOOKUP(H1327,'[1]BOM Info General'!$A:$L,12,0))*I1327</f>
        <v>24.42</v>
      </c>
      <c r="L1327" s="26" t="s">
        <v>523</v>
      </c>
      <c r="M1327" s="26">
        <v>1</v>
      </c>
      <c r="N1327" s="26" t="s">
        <v>61</v>
      </c>
      <c r="O1327" s="9">
        <f>(VLOOKUP(L1327,'[1]Simulation pricing per sub assy'!$D:$E,2,0))*M1327</f>
        <v>42.308799999999991</v>
      </c>
      <c r="P1327" s="30" t="s">
        <v>51</v>
      </c>
      <c r="Q1327" s="30">
        <v>2</v>
      </c>
      <c r="R1327" s="30" t="s">
        <v>17</v>
      </c>
      <c r="S1327" s="40">
        <f>(VLOOKUP(P1327,'[1]BOM Info General'!$A:$L,12,0))*Q1327</f>
        <v>5.3</v>
      </c>
      <c r="T1327" s="31" t="s">
        <v>12</v>
      </c>
      <c r="U1327" s="31">
        <v>1</v>
      </c>
      <c r="V1327" s="31" t="s">
        <v>13</v>
      </c>
      <c r="W1327" s="17">
        <f>(VLOOKUP(T1327,'[1]Simulation pricing per sub assy'!$D:$E,2,0))*U1327</f>
        <v>1.9</v>
      </c>
      <c r="X1327" s="32" t="s">
        <v>615</v>
      </c>
      <c r="Y1327" s="32">
        <v>1</v>
      </c>
      <c r="Z1327" s="32" t="s">
        <v>9</v>
      </c>
      <c r="AA1327" s="18">
        <f>(VLOOKUP(X1327,'[1]Simulation pricing per sub assy'!$D:$E,2,0))*Y1327</f>
        <v>1.5769808000000001</v>
      </c>
    </row>
    <row r="1328" spans="1:27" x14ac:dyDescent="0.35">
      <c r="A1328" s="27" t="s">
        <v>2245</v>
      </c>
      <c r="B1328" s="27" t="s">
        <v>4530</v>
      </c>
      <c r="C1328" s="42">
        <f t="shared" si="20"/>
        <v>112.0457808</v>
      </c>
      <c r="D1328" s="28" t="s">
        <v>2058</v>
      </c>
      <c r="E1328" s="28">
        <v>1</v>
      </c>
      <c r="F1328" s="28" t="s">
        <v>2059</v>
      </c>
      <c r="G1328" s="14">
        <f>(VLOOKUP(D1328,'[1]BOM Info General'!$A:$L,12,0))*E1328</f>
        <v>35.56</v>
      </c>
      <c r="H1328" s="29" t="s">
        <v>39</v>
      </c>
      <c r="I1328" s="29">
        <v>1</v>
      </c>
      <c r="J1328" s="29" t="s">
        <v>46</v>
      </c>
      <c r="K1328" s="15">
        <f>(VLOOKUP(H1328,'[1]BOM Info General'!$A:$L,12,0))*I1328</f>
        <v>24.42</v>
      </c>
      <c r="L1328" s="26" t="s">
        <v>58</v>
      </c>
      <c r="M1328" s="26">
        <v>1</v>
      </c>
      <c r="N1328" s="26" t="s">
        <v>55</v>
      </c>
      <c r="O1328" s="9">
        <f>(VLOOKUP(L1328,'[1]Simulation pricing per sub assy'!$D:$E,2,0))*M1328</f>
        <v>43.288799999999988</v>
      </c>
      <c r="P1328" s="30" t="s">
        <v>51</v>
      </c>
      <c r="Q1328" s="30">
        <v>2</v>
      </c>
      <c r="R1328" s="30" t="s">
        <v>17</v>
      </c>
      <c r="S1328" s="40">
        <f>(VLOOKUP(P1328,'[1]BOM Info General'!$A:$L,12,0))*Q1328</f>
        <v>5.3</v>
      </c>
      <c r="T1328" s="31" t="s">
        <v>12</v>
      </c>
      <c r="U1328" s="31">
        <v>1</v>
      </c>
      <c r="V1328" s="31" t="s">
        <v>13</v>
      </c>
      <c r="W1328" s="17">
        <f>(VLOOKUP(T1328,'[1]Simulation pricing per sub assy'!$D:$E,2,0))*U1328</f>
        <v>1.9</v>
      </c>
      <c r="X1328" s="32" t="s">
        <v>615</v>
      </c>
      <c r="Y1328" s="32">
        <v>1</v>
      </c>
      <c r="Z1328" s="32" t="s">
        <v>9</v>
      </c>
      <c r="AA1328" s="18">
        <f>(VLOOKUP(X1328,'[1]Simulation pricing per sub assy'!$D:$E,2,0))*Y1328</f>
        <v>1.5769808000000001</v>
      </c>
    </row>
    <row r="1329" spans="1:27" x14ac:dyDescent="0.35">
      <c r="A1329" s="27" t="s">
        <v>2246</v>
      </c>
      <c r="B1329" s="27" t="s">
        <v>4531</v>
      </c>
      <c r="C1329" s="42">
        <f t="shared" si="20"/>
        <v>112.6257808</v>
      </c>
      <c r="D1329" s="28" t="s">
        <v>2058</v>
      </c>
      <c r="E1329" s="28">
        <v>1</v>
      </c>
      <c r="F1329" s="28" t="s">
        <v>2059</v>
      </c>
      <c r="G1329" s="14">
        <f>(VLOOKUP(D1329,'[1]BOM Info General'!$A:$L,12,0))*E1329</f>
        <v>35.56</v>
      </c>
      <c r="H1329" s="29" t="s">
        <v>39</v>
      </c>
      <c r="I1329" s="29">
        <v>1</v>
      </c>
      <c r="J1329" s="29" t="s">
        <v>46</v>
      </c>
      <c r="K1329" s="15">
        <f>(VLOOKUP(H1329,'[1]BOM Info General'!$A:$L,12,0))*I1329</f>
        <v>24.42</v>
      </c>
      <c r="L1329" s="26" t="s">
        <v>54</v>
      </c>
      <c r="M1329" s="26">
        <v>1</v>
      </c>
      <c r="N1329" s="26" t="s">
        <v>53</v>
      </c>
      <c r="O1329" s="9">
        <f>(VLOOKUP(L1329,'[1]Simulation pricing per sub assy'!$D:$E,2,0))*M1329</f>
        <v>43.868799999999993</v>
      </c>
      <c r="P1329" s="30" t="s">
        <v>51</v>
      </c>
      <c r="Q1329" s="30">
        <v>2</v>
      </c>
      <c r="R1329" s="30" t="s">
        <v>17</v>
      </c>
      <c r="S1329" s="40">
        <f>(VLOOKUP(P1329,'[1]BOM Info General'!$A:$L,12,0))*Q1329</f>
        <v>5.3</v>
      </c>
      <c r="T1329" s="31" t="s">
        <v>12</v>
      </c>
      <c r="U1329" s="31">
        <v>1</v>
      </c>
      <c r="V1329" s="31" t="s">
        <v>13</v>
      </c>
      <c r="W1329" s="17">
        <f>(VLOOKUP(T1329,'[1]Simulation pricing per sub assy'!$D:$E,2,0))*U1329</f>
        <v>1.9</v>
      </c>
      <c r="X1329" s="32" t="s">
        <v>615</v>
      </c>
      <c r="Y1329" s="32">
        <v>1</v>
      </c>
      <c r="Z1329" s="32" t="s">
        <v>9</v>
      </c>
      <c r="AA1329" s="18">
        <f>(VLOOKUP(X1329,'[1]Simulation pricing per sub assy'!$D:$E,2,0))*Y1329</f>
        <v>1.5769808000000001</v>
      </c>
    </row>
    <row r="1330" spans="1:27" x14ac:dyDescent="0.35">
      <c r="A1330" s="27" t="s">
        <v>2247</v>
      </c>
      <c r="B1330" s="27" t="s">
        <v>4532</v>
      </c>
      <c r="C1330" s="42">
        <f t="shared" si="20"/>
        <v>112.3657808</v>
      </c>
      <c r="D1330" s="28" t="s">
        <v>2058</v>
      </c>
      <c r="E1330" s="28">
        <v>1</v>
      </c>
      <c r="F1330" s="28" t="s">
        <v>2059</v>
      </c>
      <c r="G1330" s="14">
        <f>(VLOOKUP(D1330,'[1]BOM Info General'!$A:$L,12,0))*E1330</f>
        <v>35.56</v>
      </c>
      <c r="H1330" s="29" t="s">
        <v>39</v>
      </c>
      <c r="I1330" s="29">
        <v>1</v>
      </c>
      <c r="J1330" s="29" t="s">
        <v>46</v>
      </c>
      <c r="K1330" s="15">
        <f>(VLOOKUP(H1330,'[1]BOM Info General'!$A:$L,12,0))*I1330</f>
        <v>24.42</v>
      </c>
      <c r="L1330" s="26" t="s">
        <v>60</v>
      </c>
      <c r="M1330" s="26">
        <v>1</v>
      </c>
      <c r="N1330" s="26" t="s">
        <v>57</v>
      </c>
      <c r="O1330" s="9">
        <f>(VLOOKUP(L1330,'[1]Simulation pricing per sub assy'!$D:$E,2,0))*M1330</f>
        <v>43.608799999999988</v>
      </c>
      <c r="P1330" s="30" t="s">
        <v>51</v>
      </c>
      <c r="Q1330" s="30">
        <v>2</v>
      </c>
      <c r="R1330" s="30" t="s">
        <v>17</v>
      </c>
      <c r="S1330" s="40">
        <f>(VLOOKUP(P1330,'[1]BOM Info General'!$A:$L,12,0))*Q1330</f>
        <v>5.3</v>
      </c>
      <c r="T1330" s="31" t="s">
        <v>12</v>
      </c>
      <c r="U1330" s="31">
        <v>1</v>
      </c>
      <c r="V1330" s="31" t="s">
        <v>13</v>
      </c>
      <c r="W1330" s="17">
        <f>(VLOOKUP(T1330,'[1]Simulation pricing per sub assy'!$D:$E,2,0))*U1330</f>
        <v>1.9</v>
      </c>
      <c r="X1330" s="32" t="s">
        <v>615</v>
      </c>
      <c r="Y1330" s="32">
        <v>1</v>
      </c>
      <c r="Z1330" s="32" t="s">
        <v>9</v>
      </c>
      <c r="AA1330" s="18">
        <f>(VLOOKUP(X1330,'[1]Simulation pricing per sub assy'!$D:$E,2,0))*Y1330</f>
        <v>1.5769808000000001</v>
      </c>
    </row>
    <row r="1331" spans="1:27" x14ac:dyDescent="0.35">
      <c r="A1331" s="27" t="s">
        <v>2248</v>
      </c>
      <c r="B1331" s="27" t="s">
        <v>4533</v>
      </c>
      <c r="C1331" s="42">
        <f t="shared" si="20"/>
        <v>120.0357808</v>
      </c>
      <c r="D1331" s="28" t="s">
        <v>2058</v>
      </c>
      <c r="E1331" s="28">
        <v>1</v>
      </c>
      <c r="F1331" s="28" t="s">
        <v>2059</v>
      </c>
      <c r="G1331" s="14">
        <f>(VLOOKUP(D1331,'[1]BOM Info General'!$A:$L,12,0))*E1331</f>
        <v>35.56</v>
      </c>
      <c r="H1331" s="29" t="s">
        <v>39</v>
      </c>
      <c r="I1331" s="29">
        <v>1</v>
      </c>
      <c r="J1331" s="29" t="s">
        <v>46</v>
      </c>
      <c r="K1331" s="15">
        <f>(VLOOKUP(H1331,'[1]BOM Info General'!$A:$L,12,0))*I1331</f>
        <v>24.42</v>
      </c>
      <c r="L1331" s="26" t="s">
        <v>56</v>
      </c>
      <c r="M1331" s="26">
        <v>1</v>
      </c>
      <c r="N1331" s="26" t="s">
        <v>59</v>
      </c>
      <c r="O1331" s="9">
        <f>(VLOOKUP(L1331,'[1]Simulation pricing per sub assy'!$D:$E,2,0))*M1331</f>
        <v>51.27879999999999</v>
      </c>
      <c r="P1331" s="30" t="s">
        <v>51</v>
      </c>
      <c r="Q1331" s="30">
        <v>2</v>
      </c>
      <c r="R1331" s="30" t="s">
        <v>17</v>
      </c>
      <c r="S1331" s="40">
        <f>(VLOOKUP(P1331,'[1]BOM Info General'!$A:$L,12,0))*Q1331</f>
        <v>5.3</v>
      </c>
      <c r="T1331" s="31" t="s">
        <v>12</v>
      </c>
      <c r="U1331" s="31">
        <v>1</v>
      </c>
      <c r="V1331" s="31" t="s">
        <v>13</v>
      </c>
      <c r="W1331" s="17">
        <f>(VLOOKUP(T1331,'[1]Simulation pricing per sub assy'!$D:$E,2,0))*U1331</f>
        <v>1.9</v>
      </c>
      <c r="X1331" s="32" t="s">
        <v>615</v>
      </c>
      <c r="Y1331" s="32">
        <v>1</v>
      </c>
      <c r="Z1331" s="32" t="s">
        <v>9</v>
      </c>
      <c r="AA1331" s="18">
        <f>(VLOOKUP(X1331,'[1]Simulation pricing per sub assy'!$D:$E,2,0))*Y1331</f>
        <v>1.5769808000000001</v>
      </c>
    </row>
    <row r="1332" spans="1:27" x14ac:dyDescent="0.35">
      <c r="A1332" s="27" t="s">
        <v>2249</v>
      </c>
      <c r="B1332" s="27" t="s">
        <v>4534</v>
      </c>
      <c r="C1332" s="42">
        <f t="shared" si="20"/>
        <v>111.0657808</v>
      </c>
      <c r="D1332" s="28" t="s">
        <v>2058</v>
      </c>
      <c r="E1332" s="28">
        <v>1</v>
      </c>
      <c r="F1332" s="28" t="s">
        <v>2059</v>
      </c>
      <c r="G1332" s="14">
        <f>(VLOOKUP(D1332,'[1]BOM Info General'!$A:$L,12,0))*E1332</f>
        <v>35.56</v>
      </c>
      <c r="H1332" s="29" t="s">
        <v>39</v>
      </c>
      <c r="I1332" s="29">
        <v>1</v>
      </c>
      <c r="J1332" s="29" t="s">
        <v>46</v>
      </c>
      <c r="K1332" s="15">
        <f>(VLOOKUP(H1332,'[1]BOM Info General'!$A:$L,12,0))*I1332</f>
        <v>24.42</v>
      </c>
      <c r="L1332" s="26" t="s">
        <v>523</v>
      </c>
      <c r="M1332" s="26">
        <v>1</v>
      </c>
      <c r="N1332" s="26" t="s">
        <v>61</v>
      </c>
      <c r="O1332" s="9">
        <f>(VLOOKUP(L1332,'[1]Simulation pricing per sub assy'!$D:$E,2,0))*M1332</f>
        <v>42.308799999999991</v>
      </c>
      <c r="P1332" s="30" t="s">
        <v>51</v>
      </c>
      <c r="Q1332" s="30">
        <v>2</v>
      </c>
      <c r="R1332" s="30" t="s">
        <v>17</v>
      </c>
      <c r="S1332" s="40">
        <f>(VLOOKUP(P1332,'[1]BOM Info General'!$A:$L,12,0))*Q1332</f>
        <v>5.3</v>
      </c>
      <c r="T1332" s="31" t="s">
        <v>14</v>
      </c>
      <c r="U1332" s="31">
        <v>1</v>
      </c>
      <c r="V1332" s="31" t="s">
        <v>15</v>
      </c>
      <c r="W1332" s="17">
        <f>(VLOOKUP(T1332,'[1]Simulation pricing per sub assy'!$D:$E,2,0))*U1332</f>
        <v>1.9</v>
      </c>
      <c r="X1332" s="32" t="s">
        <v>615</v>
      </c>
      <c r="Y1332" s="32">
        <v>1</v>
      </c>
      <c r="Z1332" s="32" t="s">
        <v>9</v>
      </c>
      <c r="AA1332" s="18">
        <f>(VLOOKUP(X1332,'[1]Simulation pricing per sub assy'!$D:$E,2,0))*Y1332</f>
        <v>1.5769808000000001</v>
      </c>
    </row>
    <row r="1333" spans="1:27" x14ac:dyDescent="0.35">
      <c r="A1333" s="27" t="s">
        <v>2250</v>
      </c>
      <c r="B1333" s="27" t="s">
        <v>4535</v>
      </c>
      <c r="C1333" s="42">
        <f t="shared" si="20"/>
        <v>112.0457808</v>
      </c>
      <c r="D1333" s="28" t="s">
        <v>2058</v>
      </c>
      <c r="E1333" s="28">
        <v>1</v>
      </c>
      <c r="F1333" s="28" t="s">
        <v>2059</v>
      </c>
      <c r="G1333" s="14">
        <f>(VLOOKUP(D1333,'[1]BOM Info General'!$A:$L,12,0))*E1333</f>
        <v>35.56</v>
      </c>
      <c r="H1333" s="29" t="s">
        <v>39</v>
      </c>
      <c r="I1333" s="29">
        <v>1</v>
      </c>
      <c r="J1333" s="29" t="s">
        <v>46</v>
      </c>
      <c r="K1333" s="15">
        <f>(VLOOKUP(H1333,'[1]BOM Info General'!$A:$L,12,0))*I1333</f>
        <v>24.42</v>
      </c>
      <c r="L1333" s="26" t="s">
        <v>58</v>
      </c>
      <c r="M1333" s="26">
        <v>1</v>
      </c>
      <c r="N1333" s="26" t="s">
        <v>55</v>
      </c>
      <c r="O1333" s="9">
        <f>(VLOOKUP(L1333,'[1]Simulation pricing per sub assy'!$D:$E,2,0))*M1333</f>
        <v>43.288799999999988</v>
      </c>
      <c r="P1333" s="30" t="s">
        <v>51</v>
      </c>
      <c r="Q1333" s="30">
        <v>2</v>
      </c>
      <c r="R1333" s="30" t="s">
        <v>17</v>
      </c>
      <c r="S1333" s="40">
        <f>(VLOOKUP(P1333,'[1]BOM Info General'!$A:$L,12,0))*Q1333</f>
        <v>5.3</v>
      </c>
      <c r="T1333" s="31" t="s">
        <v>14</v>
      </c>
      <c r="U1333" s="31">
        <v>1</v>
      </c>
      <c r="V1333" s="31" t="s">
        <v>15</v>
      </c>
      <c r="W1333" s="17">
        <f>(VLOOKUP(T1333,'[1]Simulation pricing per sub assy'!$D:$E,2,0))*U1333</f>
        <v>1.9</v>
      </c>
      <c r="X1333" s="32" t="s">
        <v>615</v>
      </c>
      <c r="Y1333" s="32">
        <v>1</v>
      </c>
      <c r="Z1333" s="32" t="s">
        <v>9</v>
      </c>
      <c r="AA1333" s="18">
        <f>(VLOOKUP(X1333,'[1]Simulation pricing per sub assy'!$D:$E,2,0))*Y1333</f>
        <v>1.5769808000000001</v>
      </c>
    </row>
    <row r="1334" spans="1:27" x14ac:dyDescent="0.35">
      <c r="A1334" s="27" t="s">
        <v>2251</v>
      </c>
      <c r="B1334" s="27" t="s">
        <v>4536</v>
      </c>
      <c r="C1334" s="42">
        <f t="shared" si="20"/>
        <v>112.6257808</v>
      </c>
      <c r="D1334" s="28" t="s">
        <v>2058</v>
      </c>
      <c r="E1334" s="28">
        <v>1</v>
      </c>
      <c r="F1334" s="28" t="s">
        <v>2059</v>
      </c>
      <c r="G1334" s="14">
        <f>(VLOOKUP(D1334,'[1]BOM Info General'!$A:$L,12,0))*E1334</f>
        <v>35.56</v>
      </c>
      <c r="H1334" s="29" t="s">
        <v>39</v>
      </c>
      <c r="I1334" s="29">
        <v>1</v>
      </c>
      <c r="J1334" s="29" t="s">
        <v>46</v>
      </c>
      <c r="K1334" s="15">
        <f>(VLOOKUP(H1334,'[1]BOM Info General'!$A:$L,12,0))*I1334</f>
        <v>24.42</v>
      </c>
      <c r="L1334" s="26" t="s">
        <v>54</v>
      </c>
      <c r="M1334" s="26">
        <v>1</v>
      </c>
      <c r="N1334" s="26" t="s">
        <v>53</v>
      </c>
      <c r="O1334" s="9">
        <f>(VLOOKUP(L1334,'[1]Simulation pricing per sub assy'!$D:$E,2,0))*M1334</f>
        <v>43.868799999999993</v>
      </c>
      <c r="P1334" s="30" t="s">
        <v>51</v>
      </c>
      <c r="Q1334" s="30">
        <v>2</v>
      </c>
      <c r="R1334" s="30" t="s">
        <v>17</v>
      </c>
      <c r="S1334" s="40">
        <f>(VLOOKUP(P1334,'[1]BOM Info General'!$A:$L,12,0))*Q1334</f>
        <v>5.3</v>
      </c>
      <c r="T1334" s="31" t="s">
        <v>14</v>
      </c>
      <c r="U1334" s="31">
        <v>1</v>
      </c>
      <c r="V1334" s="31" t="s">
        <v>15</v>
      </c>
      <c r="W1334" s="17">
        <f>(VLOOKUP(T1334,'[1]Simulation pricing per sub assy'!$D:$E,2,0))*U1334</f>
        <v>1.9</v>
      </c>
      <c r="X1334" s="32" t="s">
        <v>615</v>
      </c>
      <c r="Y1334" s="32">
        <v>1</v>
      </c>
      <c r="Z1334" s="32" t="s">
        <v>9</v>
      </c>
      <c r="AA1334" s="18">
        <f>(VLOOKUP(X1334,'[1]Simulation pricing per sub assy'!$D:$E,2,0))*Y1334</f>
        <v>1.5769808000000001</v>
      </c>
    </row>
    <row r="1335" spans="1:27" x14ac:dyDescent="0.35">
      <c r="A1335" s="27" t="s">
        <v>2252</v>
      </c>
      <c r="B1335" s="27" t="s">
        <v>4537</v>
      </c>
      <c r="C1335" s="42">
        <f t="shared" si="20"/>
        <v>112.3657808</v>
      </c>
      <c r="D1335" s="28" t="s">
        <v>2058</v>
      </c>
      <c r="E1335" s="28">
        <v>1</v>
      </c>
      <c r="F1335" s="28" t="s">
        <v>2059</v>
      </c>
      <c r="G1335" s="14">
        <f>(VLOOKUP(D1335,'[1]BOM Info General'!$A:$L,12,0))*E1335</f>
        <v>35.56</v>
      </c>
      <c r="H1335" s="29" t="s">
        <v>39</v>
      </c>
      <c r="I1335" s="29">
        <v>1</v>
      </c>
      <c r="J1335" s="29" t="s">
        <v>46</v>
      </c>
      <c r="K1335" s="15">
        <f>(VLOOKUP(H1335,'[1]BOM Info General'!$A:$L,12,0))*I1335</f>
        <v>24.42</v>
      </c>
      <c r="L1335" s="26" t="s">
        <v>60</v>
      </c>
      <c r="M1335" s="26">
        <v>1</v>
      </c>
      <c r="N1335" s="26" t="s">
        <v>57</v>
      </c>
      <c r="O1335" s="9">
        <f>(VLOOKUP(L1335,'[1]Simulation pricing per sub assy'!$D:$E,2,0))*M1335</f>
        <v>43.608799999999988</v>
      </c>
      <c r="P1335" s="30" t="s">
        <v>51</v>
      </c>
      <c r="Q1335" s="30">
        <v>2</v>
      </c>
      <c r="R1335" s="30" t="s">
        <v>17</v>
      </c>
      <c r="S1335" s="40">
        <f>(VLOOKUP(P1335,'[1]BOM Info General'!$A:$L,12,0))*Q1335</f>
        <v>5.3</v>
      </c>
      <c r="T1335" s="31" t="s">
        <v>14</v>
      </c>
      <c r="U1335" s="31">
        <v>1</v>
      </c>
      <c r="V1335" s="31" t="s">
        <v>15</v>
      </c>
      <c r="W1335" s="17">
        <f>(VLOOKUP(T1335,'[1]Simulation pricing per sub assy'!$D:$E,2,0))*U1335</f>
        <v>1.9</v>
      </c>
      <c r="X1335" s="32" t="s">
        <v>615</v>
      </c>
      <c r="Y1335" s="32">
        <v>1</v>
      </c>
      <c r="Z1335" s="32" t="s">
        <v>9</v>
      </c>
      <c r="AA1335" s="18">
        <f>(VLOOKUP(X1335,'[1]Simulation pricing per sub assy'!$D:$E,2,0))*Y1335</f>
        <v>1.5769808000000001</v>
      </c>
    </row>
    <row r="1336" spans="1:27" x14ac:dyDescent="0.35">
      <c r="A1336" s="27" t="s">
        <v>2253</v>
      </c>
      <c r="B1336" s="27" t="s">
        <v>4538</v>
      </c>
      <c r="C1336" s="42">
        <f t="shared" si="20"/>
        <v>120.0357808</v>
      </c>
      <c r="D1336" s="28" t="s">
        <v>2058</v>
      </c>
      <c r="E1336" s="28">
        <v>1</v>
      </c>
      <c r="F1336" s="28" t="s">
        <v>2059</v>
      </c>
      <c r="G1336" s="14">
        <f>(VLOOKUP(D1336,'[1]BOM Info General'!$A:$L,12,0))*E1336</f>
        <v>35.56</v>
      </c>
      <c r="H1336" s="29" t="s">
        <v>39</v>
      </c>
      <c r="I1336" s="29">
        <v>1</v>
      </c>
      <c r="J1336" s="29" t="s">
        <v>46</v>
      </c>
      <c r="K1336" s="15">
        <f>(VLOOKUP(H1336,'[1]BOM Info General'!$A:$L,12,0))*I1336</f>
        <v>24.42</v>
      </c>
      <c r="L1336" s="26" t="s">
        <v>56</v>
      </c>
      <c r="M1336" s="26">
        <v>1</v>
      </c>
      <c r="N1336" s="26" t="s">
        <v>59</v>
      </c>
      <c r="O1336" s="9">
        <f>(VLOOKUP(L1336,'[1]Simulation pricing per sub assy'!$D:$E,2,0))*M1336</f>
        <v>51.27879999999999</v>
      </c>
      <c r="P1336" s="30" t="s">
        <v>51</v>
      </c>
      <c r="Q1336" s="30">
        <v>2</v>
      </c>
      <c r="R1336" s="30" t="s">
        <v>17</v>
      </c>
      <c r="S1336" s="40">
        <f>(VLOOKUP(P1336,'[1]BOM Info General'!$A:$L,12,0))*Q1336</f>
        <v>5.3</v>
      </c>
      <c r="T1336" s="31" t="s">
        <v>14</v>
      </c>
      <c r="U1336" s="31">
        <v>1</v>
      </c>
      <c r="V1336" s="31" t="s">
        <v>15</v>
      </c>
      <c r="W1336" s="17">
        <f>(VLOOKUP(T1336,'[1]Simulation pricing per sub assy'!$D:$E,2,0))*U1336</f>
        <v>1.9</v>
      </c>
      <c r="X1336" s="32" t="s">
        <v>615</v>
      </c>
      <c r="Y1336" s="32">
        <v>1</v>
      </c>
      <c r="Z1336" s="32" t="s">
        <v>9</v>
      </c>
      <c r="AA1336" s="18">
        <f>(VLOOKUP(X1336,'[1]Simulation pricing per sub assy'!$D:$E,2,0))*Y1336</f>
        <v>1.5769808000000001</v>
      </c>
    </row>
    <row r="1337" spans="1:27" x14ac:dyDescent="0.35">
      <c r="A1337" s="27" t="s">
        <v>2254</v>
      </c>
      <c r="B1337" s="27" t="s">
        <v>4539</v>
      </c>
      <c r="C1337" s="42">
        <f t="shared" si="20"/>
        <v>111.21578079999999</v>
      </c>
      <c r="D1337" s="28" t="s">
        <v>2058</v>
      </c>
      <c r="E1337" s="28">
        <v>1</v>
      </c>
      <c r="F1337" s="28" t="s">
        <v>2059</v>
      </c>
      <c r="G1337" s="14">
        <f>(VLOOKUP(D1337,'[1]BOM Info General'!$A:$L,12,0))*E1337</f>
        <v>35.56</v>
      </c>
      <c r="H1337" s="29" t="s">
        <v>39</v>
      </c>
      <c r="I1337" s="29">
        <v>1</v>
      </c>
      <c r="J1337" s="29" t="s">
        <v>46</v>
      </c>
      <c r="K1337" s="15">
        <f>(VLOOKUP(H1337,'[1]BOM Info General'!$A:$L,12,0))*I1337</f>
        <v>24.42</v>
      </c>
      <c r="L1337" s="26" t="s">
        <v>523</v>
      </c>
      <c r="M1337" s="26">
        <v>1</v>
      </c>
      <c r="N1337" s="26" t="s">
        <v>61</v>
      </c>
      <c r="O1337" s="9">
        <f>(VLOOKUP(L1337,'[1]Simulation pricing per sub assy'!$D:$E,2,0))*M1337</f>
        <v>42.308799999999991</v>
      </c>
      <c r="P1337" s="30" t="s">
        <v>52</v>
      </c>
      <c r="Q1337" s="30">
        <v>2</v>
      </c>
      <c r="R1337" s="30" t="s">
        <v>18</v>
      </c>
      <c r="S1337" s="40">
        <f>(VLOOKUP(P1337,'[1]BOM Info General'!$A:$L,12,0))*Q1337</f>
        <v>5.3</v>
      </c>
      <c r="T1337" s="31" t="s">
        <v>10</v>
      </c>
      <c r="U1337" s="31">
        <v>1</v>
      </c>
      <c r="V1337" s="31" t="s">
        <v>11</v>
      </c>
      <c r="W1337" s="17">
        <f>(VLOOKUP(T1337,'[1]Simulation pricing per sub assy'!$D:$E,2,0))*U1337</f>
        <v>2.0499999999999998</v>
      </c>
      <c r="X1337" s="32" t="s">
        <v>615</v>
      </c>
      <c r="Y1337" s="32">
        <v>1</v>
      </c>
      <c r="Z1337" s="32" t="s">
        <v>9</v>
      </c>
      <c r="AA1337" s="18">
        <f>(VLOOKUP(X1337,'[1]Simulation pricing per sub assy'!$D:$E,2,0))*Y1337</f>
        <v>1.5769808000000001</v>
      </c>
    </row>
    <row r="1338" spans="1:27" x14ac:dyDescent="0.35">
      <c r="A1338" s="27" t="s">
        <v>2255</v>
      </c>
      <c r="B1338" s="27" t="s">
        <v>4540</v>
      </c>
      <c r="C1338" s="42">
        <f t="shared" si="20"/>
        <v>112.19578079999999</v>
      </c>
      <c r="D1338" s="28" t="s">
        <v>2058</v>
      </c>
      <c r="E1338" s="28">
        <v>1</v>
      </c>
      <c r="F1338" s="28" t="s">
        <v>2059</v>
      </c>
      <c r="G1338" s="14">
        <f>(VLOOKUP(D1338,'[1]BOM Info General'!$A:$L,12,0))*E1338</f>
        <v>35.56</v>
      </c>
      <c r="H1338" s="29" t="s">
        <v>39</v>
      </c>
      <c r="I1338" s="29">
        <v>1</v>
      </c>
      <c r="J1338" s="29" t="s">
        <v>46</v>
      </c>
      <c r="K1338" s="15">
        <f>(VLOOKUP(H1338,'[1]BOM Info General'!$A:$L,12,0))*I1338</f>
        <v>24.42</v>
      </c>
      <c r="L1338" s="26" t="s">
        <v>58</v>
      </c>
      <c r="M1338" s="26">
        <v>1</v>
      </c>
      <c r="N1338" s="26" t="s">
        <v>55</v>
      </c>
      <c r="O1338" s="9">
        <f>(VLOOKUP(L1338,'[1]Simulation pricing per sub assy'!$D:$E,2,0))*M1338</f>
        <v>43.288799999999988</v>
      </c>
      <c r="P1338" s="30" t="s">
        <v>52</v>
      </c>
      <c r="Q1338" s="30">
        <v>2</v>
      </c>
      <c r="R1338" s="30" t="s">
        <v>18</v>
      </c>
      <c r="S1338" s="40">
        <f>(VLOOKUP(P1338,'[1]BOM Info General'!$A:$L,12,0))*Q1338</f>
        <v>5.3</v>
      </c>
      <c r="T1338" s="31" t="s">
        <v>10</v>
      </c>
      <c r="U1338" s="31">
        <v>1</v>
      </c>
      <c r="V1338" s="31" t="s">
        <v>11</v>
      </c>
      <c r="W1338" s="17">
        <f>(VLOOKUP(T1338,'[1]Simulation pricing per sub assy'!$D:$E,2,0))*U1338</f>
        <v>2.0499999999999998</v>
      </c>
      <c r="X1338" s="32" t="s">
        <v>615</v>
      </c>
      <c r="Y1338" s="32">
        <v>1</v>
      </c>
      <c r="Z1338" s="32" t="s">
        <v>9</v>
      </c>
      <c r="AA1338" s="18">
        <f>(VLOOKUP(X1338,'[1]Simulation pricing per sub assy'!$D:$E,2,0))*Y1338</f>
        <v>1.5769808000000001</v>
      </c>
    </row>
    <row r="1339" spans="1:27" x14ac:dyDescent="0.35">
      <c r="A1339" s="27" t="s">
        <v>2256</v>
      </c>
      <c r="B1339" s="27" t="s">
        <v>4541</v>
      </c>
      <c r="C1339" s="42">
        <f t="shared" si="20"/>
        <v>112.77578079999999</v>
      </c>
      <c r="D1339" s="28" t="s">
        <v>2058</v>
      </c>
      <c r="E1339" s="28">
        <v>1</v>
      </c>
      <c r="F1339" s="28" t="s">
        <v>2059</v>
      </c>
      <c r="G1339" s="14">
        <f>(VLOOKUP(D1339,'[1]BOM Info General'!$A:$L,12,0))*E1339</f>
        <v>35.56</v>
      </c>
      <c r="H1339" s="29" t="s">
        <v>39</v>
      </c>
      <c r="I1339" s="29">
        <v>1</v>
      </c>
      <c r="J1339" s="29" t="s">
        <v>46</v>
      </c>
      <c r="K1339" s="15">
        <f>(VLOOKUP(H1339,'[1]BOM Info General'!$A:$L,12,0))*I1339</f>
        <v>24.42</v>
      </c>
      <c r="L1339" s="26" t="s">
        <v>54</v>
      </c>
      <c r="M1339" s="26">
        <v>1</v>
      </c>
      <c r="N1339" s="26" t="s">
        <v>53</v>
      </c>
      <c r="O1339" s="9">
        <f>(VLOOKUP(L1339,'[1]Simulation pricing per sub assy'!$D:$E,2,0))*M1339</f>
        <v>43.868799999999993</v>
      </c>
      <c r="P1339" s="30" t="s">
        <v>52</v>
      </c>
      <c r="Q1339" s="30">
        <v>2</v>
      </c>
      <c r="R1339" s="30" t="s">
        <v>18</v>
      </c>
      <c r="S1339" s="40">
        <f>(VLOOKUP(P1339,'[1]BOM Info General'!$A:$L,12,0))*Q1339</f>
        <v>5.3</v>
      </c>
      <c r="T1339" s="31" t="s">
        <v>10</v>
      </c>
      <c r="U1339" s="31">
        <v>1</v>
      </c>
      <c r="V1339" s="31" t="s">
        <v>11</v>
      </c>
      <c r="W1339" s="17">
        <f>(VLOOKUP(T1339,'[1]Simulation pricing per sub assy'!$D:$E,2,0))*U1339</f>
        <v>2.0499999999999998</v>
      </c>
      <c r="X1339" s="32" t="s">
        <v>615</v>
      </c>
      <c r="Y1339" s="32">
        <v>1</v>
      </c>
      <c r="Z1339" s="32" t="s">
        <v>9</v>
      </c>
      <c r="AA1339" s="18">
        <f>(VLOOKUP(X1339,'[1]Simulation pricing per sub assy'!$D:$E,2,0))*Y1339</f>
        <v>1.5769808000000001</v>
      </c>
    </row>
    <row r="1340" spans="1:27" x14ac:dyDescent="0.35">
      <c r="A1340" s="27" t="s">
        <v>2257</v>
      </c>
      <c r="B1340" s="27" t="s">
        <v>4542</v>
      </c>
      <c r="C1340" s="42">
        <f t="shared" si="20"/>
        <v>112.51578079999999</v>
      </c>
      <c r="D1340" s="28" t="s">
        <v>2058</v>
      </c>
      <c r="E1340" s="28">
        <v>1</v>
      </c>
      <c r="F1340" s="28" t="s">
        <v>2059</v>
      </c>
      <c r="G1340" s="14">
        <f>(VLOOKUP(D1340,'[1]BOM Info General'!$A:$L,12,0))*E1340</f>
        <v>35.56</v>
      </c>
      <c r="H1340" s="29" t="s">
        <v>39</v>
      </c>
      <c r="I1340" s="29">
        <v>1</v>
      </c>
      <c r="J1340" s="29" t="s">
        <v>46</v>
      </c>
      <c r="K1340" s="15">
        <f>(VLOOKUP(H1340,'[1]BOM Info General'!$A:$L,12,0))*I1340</f>
        <v>24.42</v>
      </c>
      <c r="L1340" s="26" t="s">
        <v>60</v>
      </c>
      <c r="M1340" s="26">
        <v>1</v>
      </c>
      <c r="N1340" s="26" t="s">
        <v>57</v>
      </c>
      <c r="O1340" s="9">
        <f>(VLOOKUP(L1340,'[1]Simulation pricing per sub assy'!$D:$E,2,0))*M1340</f>
        <v>43.608799999999988</v>
      </c>
      <c r="P1340" s="30" t="s">
        <v>52</v>
      </c>
      <c r="Q1340" s="30">
        <v>2</v>
      </c>
      <c r="R1340" s="30" t="s">
        <v>18</v>
      </c>
      <c r="S1340" s="40">
        <f>(VLOOKUP(P1340,'[1]BOM Info General'!$A:$L,12,0))*Q1340</f>
        <v>5.3</v>
      </c>
      <c r="T1340" s="31" t="s">
        <v>10</v>
      </c>
      <c r="U1340" s="31">
        <v>1</v>
      </c>
      <c r="V1340" s="31" t="s">
        <v>11</v>
      </c>
      <c r="W1340" s="17">
        <f>(VLOOKUP(T1340,'[1]Simulation pricing per sub assy'!$D:$E,2,0))*U1340</f>
        <v>2.0499999999999998</v>
      </c>
      <c r="X1340" s="32" t="s">
        <v>615</v>
      </c>
      <c r="Y1340" s="32">
        <v>1</v>
      </c>
      <c r="Z1340" s="32" t="s">
        <v>9</v>
      </c>
      <c r="AA1340" s="18">
        <f>(VLOOKUP(X1340,'[1]Simulation pricing per sub assy'!$D:$E,2,0))*Y1340</f>
        <v>1.5769808000000001</v>
      </c>
    </row>
    <row r="1341" spans="1:27" x14ac:dyDescent="0.35">
      <c r="A1341" s="27" t="s">
        <v>2258</v>
      </c>
      <c r="B1341" s="27" t="s">
        <v>4543</v>
      </c>
      <c r="C1341" s="42">
        <f t="shared" si="20"/>
        <v>120.18578079999999</v>
      </c>
      <c r="D1341" s="28" t="s">
        <v>2058</v>
      </c>
      <c r="E1341" s="28">
        <v>1</v>
      </c>
      <c r="F1341" s="28" t="s">
        <v>2059</v>
      </c>
      <c r="G1341" s="14">
        <f>(VLOOKUP(D1341,'[1]BOM Info General'!$A:$L,12,0))*E1341</f>
        <v>35.56</v>
      </c>
      <c r="H1341" s="29" t="s">
        <v>39</v>
      </c>
      <c r="I1341" s="29">
        <v>1</v>
      </c>
      <c r="J1341" s="29" t="s">
        <v>46</v>
      </c>
      <c r="K1341" s="15">
        <f>(VLOOKUP(H1341,'[1]BOM Info General'!$A:$L,12,0))*I1341</f>
        <v>24.42</v>
      </c>
      <c r="L1341" s="26" t="s">
        <v>56</v>
      </c>
      <c r="M1341" s="26">
        <v>1</v>
      </c>
      <c r="N1341" s="26" t="s">
        <v>59</v>
      </c>
      <c r="O1341" s="9">
        <f>(VLOOKUP(L1341,'[1]Simulation pricing per sub assy'!$D:$E,2,0))*M1341</f>
        <v>51.27879999999999</v>
      </c>
      <c r="P1341" s="30" t="s">
        <v>52</v>
      </c>
      <c r="Q1341" s="30">
        <v>2</v>
      </c>
      <c r="R1341" s="30" t="s">
        <v>18</v>
      </c>
      <c r="S1341" s="40">
        <f>(VLOOKUP(P1341,'[1]BOM Info General'!$A:$L,12,0))*Q1341</f>
        <v>5.3</v>
      </c>
      <c r="T1341" s="31" t="s">
        <v>10</v>
      </c>
      <c r="U1341" s="31">
        <v>1</v>
      </c>
      <c r="V1341" s="31" t="s">
        <v>11</v>
      </c>
      <c r="W1341" s="17">
        <f>(VLOOKUP(T1341,'[1]Simulation pricing per sub assy'!$D:$E,2,0))*U1341</f>
        <v>2.0499999999999998</v>
      </c>
      <c r="X1341" s="32" t="s">
        <v>615</v>
      </c>
      <c r="Y1341" s="32">
        <v>1</v>
      </c>
      <c r="Z1341" s="32" t="s">
        <v>9</v>
      </c>
      <c r="AA1341" s="18">
        <f>(VLOOKUP(X1341,'[1]Simulation pricing per sub assy'!$D:$E,2,0))*Y1341</f>
        <v>1.5769808000000001</v>
      </c>
    </row>
    <row r="1342" spans="1:27" x14ac:dyDescent="0.35">
      <c r="A1342" s="27" t="s">
        <v>2259</v>
      </c>
      <c r="B1342" s="27" t="s">
        <v>4544</v>
      </c>
      <c r="C1342" s="42">
        <f t="shared" si="20"/>
        <v>111.0657808</v>
      </c>
      <c r="D1342" s="28" t="s">
        <v>2058</v>
      </c>
      <c r="E1342" s="28">
        <v>1</v>
      </c>
      <c r="F1342" s="28" t="s">
        <v>2059</v>
      </c>
      <c r="G1342" s="14">
        <f>(VLOOKUP(D1342,'[1]BOM Info General'!$A:$L,12,0))*E1342</f>
        <v>35.56</v>
      </c>
      <c r="H1342" s="29" t="s">
        <v>39</v>
      </c>
      <c r="I1342" s="29">
        <v>1</v>
      </c>
      <c r="J1342" s="29" t="s">
        <v>46</v>
      </c>
      <c r="K1342" s="15">
        <f>(VLOOKUP(H1342,'[1]BOM Info General'!$A:$L,12,0))*I1342</f>
        <v>24.42</v>
      </c>
      <c r="L1342" s="26" t="s">
        <v>523</v>
      </c>
      <c r="M1342" s="26">
        <v>1</v>
      </c>
      <c r="N1342" s="26" t="s">
        <v>61</v>
      </c>
      <c r="O1342" s="9">
        <f>(VLOOKUP(L1342,'[1]Simulation pricing per sub assy'!$D:$E,2,0))*M1342</f>
        <v>42.308799999999991</v>
      </c>
      <c r="P1342" s="30" t="s">
        <v>52</v>
      </c>
      <c r="Q1342" s="30">
        <v>2</v>
      </c>
      <c r="R1342" s="30" t="s">
        <v>18</v>
      </c>
      <c r="S1342" s="40">
        <f>(VLOOKUP(P1342,'[1]BOM Info General'!$A:$L,12,0))*Q1342</f>
        <v>5.3</v>
      </c>
      <c r="T1342" s="31" t="s">
        <v>12</v>
      </c>
      <c r="U1342" s="31">
        <v>1</v>
      </c>
      <c r="V1342" s="31" t="s">
        <v>13</v>
      </c>
      <c r="W1342" s="17">
        <f>(VLOOKUP(T1342,'[1]Simulation pricing per sub assy'!$D:$E,2,0))*U1342</f>
        <v>1.9</v>
      </c>
      <c r="X1342" s="32" t="s">
        <v>615</v>
      </c>
      <c r="Y1342" s="32">
        <v>1</v>
      </c>
      <c r="Z1342" s="32" t="s">
        <v>9</v>
      </c>
      <c r="AA1342" s="18">
        <f>(VLOOKUP(X1342,'[1]Simulation pricing per sub assy'!$D:$E,2,0))*Y1342</f>
        <v>1.5769808000000001</v>
      </c>
    </row>
    <row r="1343" spans="1:27" x14ac:dyDescent="0.35">
      <c r="A1343" s="27" t="s">
        <v>2260</v>
      </c>
      <c r="B1343" s="27" t="s">
        <v>4545</v>
      </c>
      <c r="C1343" s="42">
        <f t="shared" si="20"/>
        <v>112.0457808</v>
      </c>
      <c r="D1343" s="28" t="s">
        <v>2058</v>
      </c>
      <c r="E1343" s="28">
        <v>1</v>
      </c>
      <c r="F1343" s="28" t="s">
        <v>2059</v>
      </c>
      <c r="G1343" s="14">
        <f>(VLOOKUP(D1343,'[1]BOM Info General'!$A:$L,12,0))*E1343</f>
        <v>35.56</v>
      </c>
      <c r="H1343" s="29" t="s">
        <v>39</v>
      </c>
      <c r="I1343" s="29">
        <v>1</v>
      </c>
      <c r="J1343" s="29" t="s">
        <v>46</v>
      </c>
      <c r="K1343" s="15">
        <f>(VLOOKUP(H1343,'[1]BOM Info General'!$A:$L,12,0))*I1343</f>
        <v>24.42</v>
      </c>
      <c r="L1343" s="26" t="s">
        <v>58</v>
      </c>
      <c r="M1343" s="26">
        <v>1</v>
      </c>
      <c r="N1343" s="26" t="s">
        <v>55</v>
      </c>
      <c r="O1343" s="9">
        <f>(VLOOKUP(L1343,'[1]Simulation pricing per sub assy'!$D:$E,2,0))*M1343</f>
        <v>43.288799999999988</v>
      </c>
      <c r="P1343" s="30" t="s">
        <v>52</v>
      </c>
      <c r="Q1343" s="30">
        <v>2</v>
      </c>
      <c r="R1343" s="30" t="s">
        <v>18</v>
      </c>
      <c r="S1343" s="40">
        <f>(VLOOKUP(P1343,'[1]BOM Info General'!$A:$L,12,0))*Q1343</f>
        <v>5.3</v>
      </c>
      <c r="T1343" s="31" t="s">
        <v>12</v>
      </c>
      <c r="U1343" s="31">
        <v>1</v>
      </c>
      <c r="V1343" s="31" t="s">
        <v>13</v>
      </c>
      <c r="W1343" s="17">
        <f>(VLOOKUP(T1343,'[1]Simulation pricing per sub assy'!$D:$E,2,0))*U1343</f>
        <v>1.9</v>
      </c>
      <c r="X1343" s="32" t="s">
        <v>615</v>
      </c>
      <c r="Y1343" s="32">
        <v>1</v>
      </c>
      <c r="Z1343" s="32" t="s">
        <v>9</v>
      </c>
      <c r="AA1343" s="18">
        <f>(VLOOKUP(X1343,'[1]Simulation pricing per sub assy'!$D:$E,2,0))*Y1343</f>
        <v>1.5769808000000001</v>
      </c>
    </row>
    <row r="1344" spans="1:27" x14ac:dyDescent="0.35">
      <c r="A1344" s="27" t="s">
        <v>2261</v>
      </c>
      <c r="B1344" s="27" t="s">
        <v>4546</v>
      </c>
      <c r="C1344" s="42">
        <f t="shared" si="20"/>
        <v>112.6257808</v>
      </c>
      <c r="D1344" s="28" t="s">
        <v>2058</v>
      </c>
      <c r="E1344" s="28">
        <v>1</v>
      </c>
      <c r="F1344" s="28" t="s">
        <v>2059</v>
      </c>
      <c r="G1344" s="14">
        <f>(VLOOKUP(D1344,'[1]BOM Info General'!$A:$L,12,0))*E1344</f>
        <v>35.56</v>
      </c>
      <c r="H1344" s="29" t="s">
        <v>39</v>
      </c>
      <c r="I1344" s="29">
        <v>1</v>
      </c>
      <c r="J1344" s="29" t="s">
        <v>46</v>
      </c>
      <c r="K1344" s="15">
        <f>(VLOOKUP(H1344,'[1]BOM Info General'!$A:$L,12,0))*I1344</f>
        <v>24.42</v>
      </c>
      <c r="L1344" s="26" t="s">
        <v>54</v>
      </c>
      <c r="M1344" s="26">
        <v>1</v>
      </c>
      <c r="N1344" s="26" t="s">
        <v>53</v>
      </c>
      <c r="O1344" s="9">
        <f>(VLOOKUP(L1344,'[1]Simulation pricing per sub assy'!$D:$E,2,0))*M1344</f>
        <v>43.868799999999993</v>
      </c>
      <c r="P1344" s="30" t="s">
        <v>52</v>
      </c>
      <c r="Q1344" s="30">
        <v>2</v>
      </c>
      <c r="R1344" s="30" t="s">
        <v>18</v>
      </c>
      <c r="S1344" s="40">
        <f>(VLOOKUP(P1344,'[1]BOM Info General'!$A:$L,12,0))*Q1344</f>
        <v>5.3</v>
      </c>
      <c r="T1344" s="31" t="s">
        <v>12</v>
      </c>
      <c r="U1344" s="31">
        <v>1</v>
      </c>
      <c r="V1344" s="31" t="s">
        <v>13</v>
      </c>
      <c r="W1344" s="17">
        <f>(VLOOKUP(T1344,'[1]Simulation pricing per sub assy'!$D:$E,2,0))*U1344</f>
        <v>1.9</v>
      </c>
      <c r="X1344" s="32" t="s">
        <v>615</v>
      </c>
      <c r="Y1344" s="32">
        <v>1</v>
      </c>
      <c r="Z1344" s="32" t="s">
        <v>9</v>
      </c>
      <c r="AA1344" s="18">
        <f>(VLOOKUP(X1344,'[1]Simulation pricing per sub assy'!$D:$E,2,0))*Y1344</f>
        <v>1.5769808000000001</v>
      </c>
    </row>
    <row r="1345" spans="1:27" x14ac:dyDescent="0.35">
      <c r="A1345" s="27" t="s">
        <v>2262</v>
      </c>
      <c r="B1345" s="27" t="s">
        <v>4547</v>
      </c>
      <c r="C1345" s="42">
        <f t="shared" si="20"/>
        <v>112.3657808</v>
      </c>
      <c r="D1345" s="28" t="s">
        <v>2058</v>
      </c>
      <c r="E1345" s="28">
        <v>1</v>
      </c>
      <c r="F1345" s="28" t="s">
        <v>2059</v>
      </c>
      <c r="G1345" s="14">
        <f>(VLOOKUP(D1345,'[1]BOM Info General'!$A:$L,12,0))*E1345</f>
        <v>35.56</v>
      </c>
      <c r="H1345" s="29" t="s">
        <v>39</v>
      </c>
      <c r="I1345" s="29">
        <v>1</v>
      </c>
      <c r="J1345" s="29" t="s">
        <v>46</v>
      </c>
      <c r="K1345" s="15">
        <f>(VLOOKUP(H1345,'[1]BOM Info General'!$A:$L,12,0))*I1345</f>
        <v>24.42</v>
      </c>
      <c r="L1345" s="26" t="s">
        <v>60</v>
      </c>
      <c r="M1345" s="26">
        <v>1</v>
      </c>
      <c r="N1345" s="26" t="s">
        <v>57</v>
      </c>
      <c r="O1345" s="9">
        <f>(VLOOKUP(L1345,'[1]Simulation pricing per sub assy'!$D:$E,2,0))*M1345</f>
        <v>43.608799999999988</v>
      </c>
      <c r="P1345" s="30" t="s">
        <v>52</v>
      </c>
      <c r="Q1345" s="30">
        <v>2</v>
      </c>
      <c r="R1345" s="30" t="s">
        <v>18</v>
      </c>
      <c r="S1345" s="40">
        <f>(VLOOKUP(P1345,'[1]BOM Info General'!$A:$L,12,0))*Q1345</f>
        <v>5.3</v>
      </c>
      <c r="T1345" s="31" t="s">
        <v>12</v>
      </c>
      <c r="U1345" s="31">
        <v>1</v>
      </c>
      <c r="V1345" s="31" t="s">
        <v>13</v>
      </c>
      <c r="W1345" s="17">
        <f>(VLOOKUP(T1345,'[1]Simulation pricing per sub assy'!$D:$E,2,0))*U1345</f>
        <v>1.9</v>
      </c>
      <c r="X1345" s="32" t="s">
        <v>615</v>
      </c>
      <c r="Y1345" s="32">
        <v>1</v>
      </c>
      <c r="Z1345" s="32" t="s">
        <v>9</v>
      </c>
      <c r="AA1345" s="18">
        <f>(VLOOKUP(X1345,'[1]Simulation pricing per sub assy'!$D:$E,2,0))*Y1345</f>
        <v>1.5769808000000001</v>
      </c>
    </row>
    <row r="1346" spans="1:27" x14ac:dyDescent="0.35">
      <c r="A1346" s="27" t="s">
        <v>2263</v>
      </c>
      <c r="B1346" s="27" t="s">
        <v>4548</v>
      </c>
      <c r="C1346" s="42">
        <f t="shared" si="20"/>
        <v>120.0357808</v>
      </c>
      <c r="D1346" s="28" t="s">
        <v>2058</v>
      </c>
      <c r="E1346" s="28">
        <v>1</v>
      </c>
      <c r="F1346" s="28" t="s">
        <v>2059</v>
      </c>
      <c r="G1346" s="14">
        <f>(VLOOKUP(D1346,'[1]BOM Info General'!$A:$L,12,0))*E1346</f>
        <v>35.56</v>
      </c>
      <c r="H1346" s="29" t="s">
        <v>39</v>
      </c>
      <c r="I1346" s="29">
        <v>1</v>
      </c>
      <c r="J1346" s="29" t="s">
        <v>46</v>
      </c>
      <c r="K1346" s="15">
        <f>(VLOOKUP(H1346,'[1]BOM Info General'!$A:$L,12,0))*I1346</f>
        <v>24.42</v>
      </c>
      <c r="L1346" s="26" t="s">
        <v>56</v>
      </c>
      <c r="M1346" s="26">
        <v>1</v>
      </c>
      <c r="N1346" s="26" t="s">
        <v>59</v>
      </c>
      <c r="O1346" s="9">
        <f>(VLOOKUP(L1346,'[1]Simulation pricing per sub assy'!$D:$E,2,0))*M1346</f>
        <v>51.27879999999999</v>
      </c>
      <c r="P1346" s="30" t="s">
        <v>52</v>
      </c>
      <c r="Q1346" s="30">
        <v>2</v>
      </c>
      <c r="R1346" s="30" t="s">
        <v>18</v>
      </c>
      <c r="S1346" s="40">
        <f>(VLOOKUP(P1346,'[1]BOM Info General'!$A:$L,12,0))*Q1346</f>
        <v>5.3</v>
      </c>
      <c r="T1346" s="31" t="s">
        <v>12</v>
      </c>
      <c r="U1346" s="31">
        <v>1</v>
      </c>
      <c r="V1346" s="31" t="s">
        <v>13</v>
      </c>
      <c r="W1346" s="17">
        <f>(VLOOKUP(T1346,'[1]Simulation pricing per sub assy'!$D:$E,2,0))*U1346</f>
        <v>1.9</v>
      </c>
      <c r="X1346" s="32" t="s">
        <v>615</v>
      </c>
      <c r="Y1346" s="32">
        <v>1</v>
      </c>
      <c r="Z1346" s="32" t="s">
        <v>9</v>
      </c>
      <c r="AA1346" s="18">
        <f>(VLOOKUP(X1346,'[1]Simulation pricing per sub assy'!$D:$E,2,0))*Y1346</f>
        <v>1.5769808000000001</v>
      </c>
    </row>
    <row r="1347" spans="1:27" x14ac:dyDescent="0.35">
      <c r="A1347" s="27" t="s">
        <v>2264</v>
      </c>
      <c r="B1347" s="27" t="s">
        <v>4549</v>
      </c>
      <c r="C1347" s="42">
        <f t="shared" ref="C1347:C1410" si="21">SUM(G1347+K1347+O1347+S1347+W1347+AA1347)</f>
        <v>111.0657808</v>
      </c>
      <c r="D1347" s="28" t="s">
        <v>2058</v>
      </c>
      <c r="E1347" s="28">
        <v>1</v>
      </c>
      <c r="F1347" s="28" t="s">
        <v>2059</v>
      </c>
      <c r="G1347" s="14">
        <f>(VLOOKUP(D1347,'[1]BOM Info General'!$A:$L,12,0))*E1347</f>
        <v>35.56</v>
      </c>
      <c r="H1347" s="29" t="s">
        <v>39</v>
      </c>
      <c r="I1347" s="29">
        <v>1</v>
      </c>
      <c r="J1347" s="29" t="s">
        <v>46</v>
      </c>
      <c r="K1347" s="15">
        <f>(VLOOKUP(H1347,'[1]BOM Info General'!$A:$L,12,0))*I1347</f>
        <v>24.42</v>
      </c>
      <c r="L1347" s="26" t="s">
        <v>523</v>
      </c>
      <c r="M1347" s="26">
        <v>1</v>
      </c>
      <c r="N1347" s="26" t="s">
        <v>61</v>
      </c>
      <c r="O1347" s="9">
        <f>(VLOOKUP(L1347,'[1]Simulation pricing per sub assy'!$D:$E,2,0))*M1347</f>
        <v>42.308799999999991</v>
      </c>
      <c r="P1347" s="30" t="s">
        <v>52</v>
      </c>
      <c r="Q1347" s="30">
        <v>2</v>
      </c>
      <c r="R1347" s="30" t="s">
        <v>18</v>
      </c>
      <c r="S1347" s="40">
        <f>(VLOOKUP(P1347,'[1]BOM Info General'!$A:$L,12,0))*Q1347</f>
        <v>5.3</v>
      </c>
      <c r="T1347" s="31" t="s">
        <v>14</v>
      </c>
      <c r="U1347" s="31">
        <v>1</v>
      </c>
      <c r="V1347" s="31" t="s">
        <v>15</v>
      </c>
      <c r="W1347" s="17">
        <f>(VLOOKUP(T1347,'[1]Simulation pricing per sub assy'!$D:$E,2,0))*U1347</f>
        <v>1.9</v>
      </c>
      <c r="X1347" s="32" t="s">
        <v>615</v>
      </c>
      <c r="Y1347" s="32">
        <v>1</v>
      </c>
      <c r="Z1347" s="32" t="s">
        <v>9</v>
      </c>
      <c r="AA1347" s="18">
        <f>(VLOOKUP(X1347,'[1]Simulation pricing per sub assy'!$D:$E,2,0))*Y1347</f>
        <v>1.5769808000000001</v>
      </c>
    </row>
    <row r="1348" spans="1:27" x14ac:dyDescent="0.35">
      <c r="A1348" s="27" t="s">
        <v>2265</v>
      </c>
      <c r="B1348" s="27" t="s">
        <v>4550</v>
      </c>
      <c r="C1348" s="42">
        <f t="shared" si="21"/>
        <v>112.0457808</v>
      </c>
      <c r="D1348" s="28" t="s">
        <v>2058</v>
      </c>
      <c r="E1348" s="28">
        <v>1</v>
      </c>
      <c r="F1348" s="28" t="s">
        <v>2059</v>
      </c>
      <c r="G1348" s="14">
        <f>(VLOOKUP(D1348,'[1]BOM Info General'!$A:$L,12,0))*E1348</f>
        <v>35.56</v>
      </c>
      <c r="H1348" s="29" t="s">
        <v>39</v>
      </c>
      <c r="I1348" s="29">
        <v>1</v>
      </c>
      <c r="J1348" s="29" t="s">
        <v>46</v>
      </c>
      <c r="K1348" s="15">
        <f>(VLOOKUP(H1348,'[1]BOM Info General'!$A:$L,12,0))*I1348</f>
        <v>24.42</v>
      </c>
      <c r="L1348" s="26" t="s">
        <v>58</v>
      </c>
      <c r="M1348" s="26">
        <v>1</v>
      </c>
      <c r="N1348" s="26" t="s">
        <v>55</v>
      </c>
      <c r="O1348" s="9">
        <f>(VLOOKUP(L1348,'[1]Simulation pricing per sub assy'!$D:$E,2,0))*M1348</f>
        <v>43.288799999999988</v>
      </c>
      <c r="P1348" s="30" t="s">
        <v>52</v>
      </c>
      <c r="Q1348" s="30">
        <v>2</v>
      </c>
      <c r="R1348" s="30" t="s">
        <v>18</v>
      </c>
      <c r="S1348" s="40">
        <f>(VLOOKUP(P1348,'[1]BOM Info General'!$A:$L,12,0))*Q1348</f>
        <v>5.3</v>
      </c>
      <c r="T1348" s="31" t="s">
        <v>14</v>
      </c>
      <c r="U1348" s="31">
        <v>1</v>
      </c>
      <c r="V1348" s="31" t="s">
        <v>15</v>
      </c>
      <c r="W1348" s="17">
        <f>(VLOOKUP(T1348,'[1]Simulation pricing per sub assy'!$D:$E,2,0))*U1348</f>
        <v>1.9</v>
      </c>
      <c r="X1348" s="32" t="s">
        <v>615</v>
      </c>
      <c r="Y1348" s="32">
        <v>1</v>
      </c>
      <c r="Z1348" s="32" t="s">
        <v>9</v>
      </c>
      <c r="AA1348" s="18">
        <f>(VLOOKUP(X1348,'[1]Simulation pricing per sub assy'!$D:$E,2,0))*Y1348</f>
        <v>1.5769808000000001</v>
      </c>
    </row>
    <row r="1349" spans="1:27" x14ac:dyDescent="0.35">
      <c r="A1349" s="27" t="s">
        <v>2266</v>
      </c>
      <c r="B1349" s="27" t="s">
        <v>4551</v>
      </c>
      <c r="C1349" s="42">
        <f t="shared" si="21"/>
        <v>112.6257808</v>
      </c>
      <c r="D1349" s="28" t="s">
        <v>2058</v>
      </c>
      <c r="E1349" s="28">
        <v>1</v>
      </c>
      <c r="F1349" s="28" t="s">
        <v>2059</v>
      </c>
      <c r="G1349" s="14">
        <f>(VLOOKUP(D1349,'[1]BOM Info General'!$A:$L,12,0))*E1349</f>
        <v>35.56</v>
      </c>
      <c r="H1349" s="29" t="s">
        <v>39</v>
      </c>
      <c r="I1349" s="29">
        <v>1</v>
      </c>
      <c r="J1349" s="29" t="s">
        <v>46</v>
      </c>
      <c r="K1349" s="15">
        <f>(VLOOKUP(H1349,'[1]BOM Info General'!$A:$L,12,0))*I1349</f>
        <v>24.42</v>
      </c>
      <c r="L1349" s="26" t="s">
        <v>54</v>
      </c>
      <c r="M1349" s="26">
        <v>1</v>
      </c>
      <c r="N1349" s="26" t="s">
        <v>53</v>
      </c>
      <c r="O1349" s="9">
        <f>(VLOOKUP(L1349,'[1]Simulation pricing per sub assy'!$D:$E,2,0))*M1349</f>
        <v>43.868799999999993</v>
      </c>
      <c r="P1349" s="30" t="s">
        <v>52</v>
      </c>
      <c r="Q1349" s="30">
        <v>2</v>
      </c>
      <c r="R1349" s="30" t="s">
        <v>18</v>
      </c>
      <c r="S1349" s="40">
        <f>(VLOOKUP(P1349,'[1]BOM Info General'!$A:$L,12,0))*Q1349</f>
        <v>5.3</v>
      </c>
      <c r="T1349" s="31" t="s">
        <v>14</v>
      </c>
      <c r="U1349" s="31">
        <v>1</v>
      </c>
      <c r="V1349" s="31" t="s">
        <v>15</v>
      </c>
      <c r="W1349" s="17">
        <f>(VLOOKUP(T1349,'[1]Simulation pricing per sub assy'!$D:$E,2,0))*U1349</f>
        <v>1.9</v>
      </c>
      <c r="X1349" s="32" t="s">
        <v>615</v>
      </c>
      <c r="Y1349" s="32">
        <v>1</v>
      </c>
      <c r="Z1349" s="32" t="s">
        <v>9</v>
      </c>
      <c r="AA1349" s="18">
        <f>(VLOOKUP(X1349,'[1]Simulation pricing per sub assy'!$D:$E,2,0))*Y1349</f>
        <v>1.5769808000000001</v>
      </c>
    </row>
    <row r="1350" spans="1:27" x14ac:dyDescent="0.35">
      <c r="A1350" s="27" t="s">
        <v>2267</v>
      </c>
      <c r="B1350" s="27" t="s">
        <v>4552</v>
      </c>
      <c r="C1350" s="42">
        <f t="shared" si="21"/>
        <v>112.3657808</v>
      </c>
      <c r="D1350" s="28" t="s">
        <v>2058</v>
      </c>
      <c r="E1350" s="28">
        <v>1</v>
      </c>
      <c r="F1350" s="28" t="s">
        <v>2059</v>
      </c>
      <c r="G1350" s="14">
        <f>(VLOOKUP(D1350,'[1]BOM Info General'!$A:$L,12,0))*E1350</f>
        <v>35.56</v>
      </c>
      <c r="H1350" s="29" t="s">
        <v>39</v>
      </c>
      <c r="I1350" s="29">
        <v>1</v>
      </c>
      <c r="J1350" s="29" t="s">
        <v>46</v>
      </c>
      <c r="K1350" s="15">
        <f>(VLOOKUP(H1350,'[1]BOM Info General'!$A:$L,12,0))*I1350</f>
        <v>24.42</v>
      </c>
      <c r="L1350" s="26" t="s">
        <v>60</v>
      </c>
      <c r="M1350" s="26">
        <v>1</v>
      </c>
      <c r="N1350" s="26" t="s">
        <v>57</v>
      </c>
      <c r="O1350" s="9">
        <f>(VLOOKUP(L1350,'[1]Simulation pricing per sub assy'!$D:$E,2,0))*M1350</f>
        <v>43.608799999999988</v>
      </c>
      <c r="P1350" s="30" t="s">
        <v>52</v>
      </c>
      <c r="Q1350" s="30">
        <v>2</v>
      </c>
      <c r="R1350" s="30" t="s">
        <v>18</v>
      </c>
      <c r="S1350" s="40">
        <f>(VLOOKUP(P1350,'[1]BOM Info General'!$A:$L,12,0))*Q1350</f>
        <v>5.3</v>
      </c>
      <c r="T1350" s="31" t="s">
        <v>14</v>
      </c>
      <c r="U1350" s="31">
        <v>1</v>
      </c>
      <c r="V1350" s="31" t="s">
        <v>15</v>
      </c>
      <c r="W1350" s="17">
        <f>(VLOOKUP(T1350,'[1]Simulation pricing per sub assy'!$D:$E,2,0))*U1350</f>
        <v>1.9</v>
      </c>
      <c r="X1350" s="32" t="s">
        <v>615</v>
      </c>
      <c r="Y1350" s="32">
        <v>1</v>
      </c>
      <c r="Z1350" s="32" t="s">
        <v>9</v>
      </c>
      <c r="AA1350" s="18">
        <f>(VLOOKUP(X1350,'[1]Simulation pricing per sub assy'!$D:$E,2,0))*Y1350</f>
        <v>1.5769808000000001</v>
      </c>
    </row>
    <row r="1351" spans="1:27" x14ac:dyDescent="0.35">
      <c r="A1351" s="27" t="s">
        <v>2268</v>
      </c>
      <c r="B1351" s="27" t="s">
        <v>4553</v>
      </c>
      <c r="C1351" s="42">
        <f t="shared" si="21"/>
        <v>120.0357808</v>
      </c>
      <c r="D1351" s="28" t="s">
        <v>2058</v>
      </c>
      <c r="E1351" s="28">
        <v>1</v>
      </c>
      <c r="F1351" s="28" t="s">
        <v>2059</v>
      </c>
      <c r="G1351" s="14">
        <f>(VLOOKUP(D1351,'[1]BOM Info General'!$A:$L,12,0))*E1351</f>
        <v>35.56</v>
      </c>
      <c r="H1351" s="29" t="s">
        <v>39</v>
      </c>
      <c r="I1351" s="29">
        <v>1</v>
      </c>
      <c r="J1351" s="29" t="s">
        <v>46</v>
      </c>
      <c r="K1351" s="15">
        <f>(VLOOKUP(H1351,'[1]BOM Info General'!$A:$L,12,0))*I1351</f>
        <v>24.42</v>
      </c>
      <c r="L1351" s="26" t="s">
        <v>56</v>
      </c>
      <c r="M1351" s="26">
        <v>1</v>
      </c>
      <c r="N1351" s="26" t="s">
        <v>59</v>
      </c>
      <c r="O1351" s="9">
        <f>(VLOOKUP(L1351,'[1]Simulation pricing per sub assy'!$D:$E,2,0))*M1351</f>
        <v>51.27879999999999</v>
      </c>
      <c r="P1351" s="30" t="s">
        <v>52</v>
      </c>
      <c r="Q1351" s="30">
        <v>2</v>
      </c>
      <c r="R1351" s="30" t="s">
        <v>18</v>
      </c>
      <c r="S1351" s="40">
        <f>(VLOOKUP(P1351,'[1]BOM Info General'!$A:$L,12,0))*Q1351</f>
        <v>5.3</v>
      </c>
      <c r="T1351" s="31" t="s">
        <v>14</v>
      </c>
      <c r="U1351" s="31">
        <v>1</v>
      </c>
      <c r="V1351" s="31" t="s">
        <v>15</v>
      </c>
      <c r="W1351" s="17">
        <f>(VLOOKUP(T1351,'[1]Simulation pricing per sub assy'!$D:$E,2,0))*U1351</f>
        <v>1.9</v>
      </c>
      <c r="X1351" s="32" t="s">
        <v>615</v>
      </c>
      <c r="Y1351" s="32">
        <v>1</v>
      </c>
      <c r="Z1351" s="32" t="s">
        <v>9</v>
      </c>
      <c r="AA1351" s="18">
        <f>(VLOOKUP(X1351,'[1]Simulation pricing per sub assy'!$D:$E,2,0))*Y1351</f>
        <v>1.5769808000000001</v>
      </c>
    </row>
    <row r="1352" spans="1:27" x14ac:dyDescent="0.35">
      <c r="A1352" s="27" t="s">
        <v>2269</v>
      </c>
      <c r="B1352" s="27" t="s">
        <v>4554</v>
      </c>
      <c r="C1352" s="42">
        <f t="shared" si="21"/>
        <v>111.5057808</v>
      </c>
      <c r="D1352" s="28" t="s">
        <v>2058</v>
      </c>
      <c r="E1352" s="28">
        <v>1</v>
      </c>
      <c r="F1352" s="28" t="s">
        <v>2059</v>
      </c>
      <c r="G1352" s="14">
        <f>(VLOOKUP(D1352,'[1]BOM Info General'!$A:$L,12,0))*E1352</f>
        <v>35.56</v>
      </c>
      <c r="H1352" s="29" t="s">
        <v>39</v>
      </c>
      <c r="I1352" s="29">
        <v>1</v>
      </c>
      <c r="J1352" s="29" t="s">
        <v>46</v>
      </c>
      <c r="K1352" s="15">
        <f>(VLOOKUP(H1352,'[1]BOM Info General'!$A:$L,12,0))*I1352</f>
        <v>24.42</v>
      </c>
      <c r="L1352" s="26" t="s">
        <v>523</v>
      </c>
      <c r="M1352" s="26">
        <v>1</v>
      </c>
      <c r="N1352" s="26" t="s">
        <v>61</v>
      </c>
      <c r="O1352" s="9">
        <f>(VLOOKUP(L1352,'[1]Simulation pricing per sub assy'!$D:$E,2,0))*M1352</f>
        <v>42.308799999999991</v>
      </c>
      <c r="P1352" s="30" t="s">
        <v>50</v>
      </c>
      <c r="Q1352" s="30">
        <v>2</v>
      </c>
      <c r="R1352" s="30" t="s">
        <v>611</v>
      </c>
      <c r="S1352" s="40">
        <f>(VLOOKUP(P1352,'[1]BOM Info General'!$A:$L,12,0))*Q1352</f>
        <v>5.3</v>
      </c>
      <c r="T1352" s="31" t="s">
        <v>19</v>
      </c>
      <c r="U1352" s="31">
        <v>1</v>
      </c>
      <c r="V1352" s="31" t="s">
        <v>20</v>
      </c>
      <c r="W1352" s="17">
        <f>(VLOOKUP(T1352,'[1]Simulation pricing per sub assy'!$D:$E,2,0))*U1352</f>
        <v>2.3400000000000003</v>
      </c>
      <c r="X1352" s="32" t="s">
        <v>615</v>
      </c>
      <c r="Y1352" s="32">
        <v>1</v>
      </c>
      <c r="Z1352" s="32" t="s">
        <v>9</v>
      </c>
      <c r="AA1352" s="18">
        <f>(VLOOKUP(X1352,'[1]Simulation pricing per sub assy'!$D:$E,2,0))*Y1352</f>
        <v>1.5769808000000001</v>
      </c>
    </row>
    <row r="1353" spans="1:27" x14ac:dyDescent="0.35">
      <c r="A1353" s="27" t="s">
        <v>2270</v>
      </c>
      <c r="B1353" s="27" t="s">
        <v>4555</v>
      </c>
      <c r="C1353" s="42">
        <f t="shared" si="21"/>
        <v>112.4857808</v>
      </c>
      <c r="D1353" s="28" t="s">
        <v>2058</v>
      </c>
      <c r="E1353" s="28">
        <v>1</v>
      </c>
      <c r="F1353" s="28" t="s">
        <v>2059</v>
      </c>
      <c r="G1353" s="14">
        <f>(VLOOKUP(D1353,'[1]BOM Info General'!$A:$L,12,0))*E1353</f>
        <v>35.56</v>
      </c>
      <c r="H1353" s="29" t="s">
        <v>39</v>
      </c>
      <c r="I1353" s="29">
        <v>1</v>
      </c>
      <c r="J1353" s="29" t="s">
        <v>46</v>
      </c>
      <c r="K1353" s="15">
        <f>(VLOOKUP(H1353,'[1]BOM Info General'!$A:$L,12,0))*I1353</f>
        <v>24.42</v>
      </c>
      <c r="L1353" s="26" t="s">
        <v>58</v>
      </c>
      <c r="M1353" s="26">
        <v>1</v>
      </c>
      <c r="N1353" s="26" t="s">
        <v>55</v>
      </c>
      <c r="O1353" s="9">
        <f>(VLOOKUP(L1353,'[1]Simulation pricing per sub assy'!$D:$E,2,0))*M1353</f>
        <v>43.288799999999988</v>
      </c>
      <c r="P1353" s="30" t="s">
        <v>50</v>
      </c>
      <c r="Q1353" s="30">
        <v>2</v>
      </c>
      <c r="R1353" s="30" t="s">
        <v>611</v>
      </c>
      <c r="S1353" s="40">
        <f>(VLOOKUP(P1353,'[1]BOM Info General'!$A:$L,12,0))*Q1353</f>
        <v>5.3</v>
      </c>
      <c r="T1353" s="31" t="s">
        <v>19</v>
      </c>
      <c r="U1353" s="31">
        <v>1</v>
      </c>
      <c r="V1353" s="31" t="s">
        <v>20</v>
      </c>
      <c r="W1353" s="17">
        <f>(VLOOKUP(T1353,'[1]Simulation pricing per sub assy'!$D:$E,2,0))*U1353</f>
        <v>2.3400000000000003</v>
      </c>
      <c r="X1353" s="32" t="s">
        <v>615</v>
      </c>
      <c r="Y1353" s="32">
        <v>1</v>
      </c>
      <c r="Z1353" s="32" t="s">
        <v>9</v>
      </c>
      <c r="AA1353" s="18">
        <f>(VLOOKUP(X1353,'[1]Simulation pricing per sub assy'!$D:$E,2,0))*Y1353</f>
        <v>1.5769808000000001</v>
      </c>
    </row>
    <row r="1354" spans="1:27" x14ac:dyDescent="0.35">
      <c r="A1354" s="27" t="s">
        <v>2271</v>
      </c>
      <c r="B1354" s="27" t="s">
        <v>4556</v>
      </c>
      <c r="C1354" s="42">
        <f t="shared" si="21"/>
        <v>113.0657808</v>
      </c>
      <c r="D1354" s="28" t="s">
        <v>2058</v>
      </c>
      <c r="E1354" s="28">
        <v>1</v>
      </c>
      <c r="F1354" s="28" t="s">
        <v>2059</v>
      </c>
      <c r="G1354" s="14">
        <f>(VLOOKUP(D1354,'[1]BOM Info General'!$A:$L,12,0))*E1354</f>
        <v>35.56</v>
      </c>
      <c r="H1354" s="29" t="s">
        <v>39</v>
      </c>
      <c r="I1354" s="29">
        <v>1</v>
      </c>
      <c r="J1354" s="29" t="s">
        <v>46</v>
      </c>
      <c r="K1354" s="15">
        <f>(VLOOKUP(H1354,'[1]BOM Info General'!$A:$L,12,0))*I1354</f>
        <v>24.42</v>
      </c>
      <c r="L1354" s="26" t="s">
        <v>54</v>
      </c>
      <c r="M1354" s="26">
        <v>1</v>
      </c>
      <c r="N1354" s="26" t="s">
        <v>53</v>
      </c>
      <c r="O1354" s="9">
        <f>(VLOOKUP(L1354,'[1]Simulation pricing per sub assy'!$D:$E,2,0))*M1354</f>
        <v>43.868799999999993</v>
      </c>
      <c r="P1354" s="30" t="s">
        <v>50</v>
      </c>
      <c r="Q1354" s="30">
        <v>2</v>
      </c>
      <c r="R1354" s="30" t="s">
        <v>611</v>
      </c>
      <c r="S1354" s="40">
        <f>(VLOOKUP(P1354,'[1]BOM Info General'!$A:$L,12,0))*Q1354</f>
        <v>5.3</v>
      </c>
      <c r="T1354" s="31" t="s">
        <v>19</v>
      </c>
      <c r="U1354" s="31">
        <v>1</v>
      </c>
      <c r="V1354" s="31" t="s">
        <v>20</v>
      </c>
      <c r="W1354" s="17">
        <f>(VLOOKUP(T1354,'[1]Simulation pricing per sub assy'!$D:$E,2,0))*U1354</f>
        <v>2.3400000000000003</v>
      </c>
      <c r="X1354" s="32" t="s">
        <v>615</v>
      </c>
      <c r="Y1354" s="32">
        <v>1</v>
      </c>
      <c r="Z1354" s="32" t="s">
        <v>9</v>
      </c>
      <c r="AA1354" s="18">
        <f>(VLOOKUP(X1354,'[1]Simulation pricing per sub assy'!$D:$E,2,0))*Y1354</f>
        <v>1.5769808000000001</v>
      </c>
    </row>
    <row r="1355" spans="1:27" x14ac:dyDescent="0.35">
      <c r="A1355" s="27" t="s">
        <v>2272</v>
      </c>
      <c r="B1355" s="27" t="s">
        <v>4557</v>
      </c>
      <c r="C1355" s="42">
        <f t="shared" si="21"/>
        <v>112.80578079999999</v>
      </c>
      <c r="D1355" s="28" t="s">
        <v>2058</v>
      </c>
      <c r="E1355" s="28">
        <v>1</v>
      </c>
      <c r="F1355" s="28" t="s">
        <v>2059</v>
      </c>
      <c r="G1355" s="14">
        <f>(VLOOKUP(D1355,'[1]BOM Info General'!$A:$L,12,0))*E1355</f>
        <v>35.56</v>
      </c>
      <c r="H1355" s="29" t="s">
        <v>39</v>
      </c>
      <c r="I1355" s="29">
        <v>1</v>
      </c>
      <c r="J1355" s="29" t="s">
        <v>46</v>
      </c>
      <c r="K1355" s="15">
        <f>(VLOOKUP(H1355,'[1]BOM Info General'!$A:$L,12,0))*I1355</f>
        <v>24.42</v>
      </c>
      <c r="L1355" s="26" t="s">
        <v>60</v>
      </c>
      <c r="M1355" s="26">
        <v>1</v>
      </c>
      <c r="N1355" s="26" t="s">
        <v>57</v>
      </c>
      <c r="O1355" s="9">
        <f>(VLOOKUP(L1355,'[1]Simulation pricing per sub assy'!$D:$E,2,0))*M1355</f>
        <v>43.608799999999988</v>
      </c>
      <c r="P1355" s="30" t="s">
        <v>50</v>
      </c>
      <c r="Q1355" s="30">
        <v>2</v>
      </c>
      <c r="R1355" s="30" t="s">
        <v>611</v>
      </c>
      <c r="S1355" s="40">
        <f>(VLOOKUP(P1355,'[1]BOM Info General'!$A:$L,12,0))*Q1355</f>
        <v>5.3</v>
      </c>
      <c r="T1355" s="31" t="s">
        <v>19</v>
      </c>
      <c r="U1355" s="31">
        <v>1</v>
      </c>
      <c r="V1355" s="31" t="s">
        <v>20</v>
      </c>
      <c r="W1355" s="17">
        <f>(VLOOKUP(T1355,'[1]Simulation pricing per sub assy'!$D:$E,2,0))*U1355</f>
        <v>2.3400000000000003</v>
      </c>
      <c r="X1355" s="32" t="s">
        <v>615</v>
      </c>
      <c r="Y1355" s="32">
        <v>1</v>
      </c>
      <c r="Z1355" s="32" t="s">
        <v>9</v>
      </c>
      <c r="AA1355" s="18">
        <f>(VLOOKUP(X1355,'[1]Simulation pricing per sub assy'!$D:$E,2,0))*Y1355</f>
        <v>1.5769808000000001</v>
      </c>
    </row>
    <row r="1356" spans="1:27" x14ac:dyDescent="0.35">
      <c r="A1356" s="27" t="s">
        <v>2273</v>
      </c>
      <c r="B1356" s="27" t="s">
        <v>4558</v>
      </c>
      <c r="C1356" s="42">
        <f t="shared" si="21"/>
        <v>120.4757808</v>
      </c>
      <c r="D1356" s="28" t="s">
        <v>2058</v>
      </c>
      <c r="E1356" s="28">
        <v>1</v>
      </c>
      <c r="F1356" s="28" t="s">
        <v>2059</v>
      </c>
      <c r="G1356" s="14">
        <f>(VLOOKUP(D1356,'[1]BOM Info General'!$A:$L,12,0))*E1356</f>
        <v>35.56</v>
      </c>
      <c r="H1356" s="29" t="s">
        <v>39</v>
      </c>
      <c r="I1356" s="29">
        <v>1</v>
      </c>
      <c r="J1356" s="29" t="s">
        <v>46</v>
      </c>
      <c r="K1356" s="15">
        <f>(VLOOKUP(H1356,'[1]BOM Info General'!$A:$L,12,0))*I1356</f>
        <v>24.42</v>
      </c>
      <c r="L1356" s="26" t="s">
        <v>56</v>
      </c>
      <c r="M1356" s="26">
        <v>1</v>
      </c>
      <c r="N1356" s="26" t="s">
        <v>59</v>
      </c>
      <c r="O1356" s="9">
        <f>(VLOOKUP(L1356,'[1]Simulation pricing per sub assy'!$D:$E,2,0))*M1356</f>
        <v>51.27879999999999</v>
      </c>
      <c r="P1356" s="30" t="s">
        <v>50</v>
      </c>
      <c r="Q1356" s="30">
        <v>2</v>
      </c>
      <c r="R1356" s="30" t="s">
        <v>611</v>
      </c>
      <c r="S1356" s="40">
        <f>(VLOOKUP(P1356,'[1]BOM Info General'!$A:$L,12,0))*Q1356</f>
        <v>5.3</v>
      </c>
      <c r="T1356" s="31" t="s">
        <v>19</v>
      </c>
      <c r="U1356" s="31">
        <v>1</v>
      </c>
      <c r="V1356" s="31" t="s">
        <v>20</v>
      </c>
      <c r="W1356" s="17">
        <f>(VLOOKUP(T1356,'[1]Simulation pricing per sub assy'!$D:$E,2,0))*U1356</f>
        <v>2.3400000000000003</v>
      </c>
      <c r="X1356" s="32" t="s">
        <v>615</v>
      </c>
      <c r="Y1356" s="32">
        <v>1</v>
      </c>
      <c r="Z1356" s="32" t="s">
        <v>9</v>
      </c>
      <c r="AA1356" s="18">
        <f>(VLOOKUP(X1356,'[1]Simulation pricing per sub assy'!$D:$E,2,0))*Y1356</f>
        <v>1.5769808000000001</v>
      </c>
    </row>
    <row r="1357" spans="1:27" x14ac:dyDescent="0.35">
      <c r="A1357" s="27" t="s">
        <v>2274</v>
      </c>
      <c r="B1357" s="27" t="s">
        <v>2275</v>
      </c>
      <c r="C1357" s="42">
        <f t="shared" si="21"/>
        <v>111.01578079999999</v>
      </c>
      <c r="D1357" s="33" t="s">
        <v>2058</v>
      </c>
      <c r="E1357" s="33">
        <v>1</v>
      </c>
      <c r="F1357" s="33" t="s">
        <v>2059</v>
      </c>
      <c r="G1357" s="14">
        <f>(VLOOKUP(D1357,'[1]BOM Info General'!$A:$L,12,0))*E1357</f>
        <v>35.56</v>
      </c>
      <c r="H1357" s="34" t="s">
        <v>39</v>
      </c>
      <c r="I1357" s="34">
        <v>1</v>
      </c>
      <c r="J1357" s="34" t="s">
        <v>46</v>
      </c>
      <c r="K1357" s="15">
        <f>(VLOOKUP(H1357,'[1]BOM Info General'!$A:$L,12,0))*I1357</f>
        <v>24.42</v>
      </c>
      <c r="L1357" s="35" t="s">
        <v>523</v>
      </c>
      <c r="M1357" s="35">
        <v>1</v>
      </c>
      <c r="N1357" s="35" t="s">
        <v>61</v>
      </c>
      <c r="O1357" s="9">
        <f>(VLOOKUP(L1357,'[1]Simulation pricing per sub assy'!$D:$E,2,0))*M1357</f>
        <v>42.308799999999991</v>
      </c>
      <c r="P1357" s="36" t="s">
        <v>50</v>
      </c>
      <c r="Q1357" s="36">
        <v>2</v>
      </c>
      <c r="R1357" s="36" t="s">
        <v>611</v>
      </c>
      <c r="S1357" s="40">
        <f>(VLOOKUP(P1357,'[1]BOM Info General'!$A:$L,12,0))*Q1357</f>
        <v>5.3</v>
      </c>
      <c r="T1357" s="37" t="s">
        <v>7</v>
      </c>
      <c r="U1357" s="37">
        <v>1</v>
      </c>
      <c r="V1357" s="37" t="s">
        <v>8</v>
      </c>
      <c r="W1357" s="17">
        <f>(VLOOKUP(T1357,'[1]Simulation pricing per sub assy'!$D:$E,2,0))*U1357</f>
        <v>1.85</v>
      </c>
      <c r="X1357" s="32" t="s">
        <v>615</v>
      </c>
      <c r="Y1357" s="38">
        <v>1</v>
      </c>
      <c r="Z1357" s="38" t="s">
        <v>9</v>
      </c>
      <c r="AA1357" s="18">
        <f>(VLOOKUP(X1357,'[1]Simulation pricing per sub assy'!$D:$E,2,0))*Y1357</f>
        <v>1.5769808000000001</v>
      </c>
    </row>
    <row r="1358" spans="1:27" x14ac:dyDescent="0.35">
      <c r="A1358" s="27" t="s">
        <v>2276</v>
      </c>
      <c r="B1358" s="27" t="s">
        <v>2277</v>
      </c>
      <c r="C1358" s="42">
        <f t="shared" si="21"/>
        <v>111.99578079999999</v>
      </c>
      <c r="D1358" s="33" t="s">
        <v>2058</v>
      </c>
      <c r="E1358" s="33">
        <v>1</v>
      </c>
      <c r="F1358" s="33" t="s">
        <v>2059</v>
      </c>
      <c r="G1358" s="14">
        <f>(VLOOKUP(D1358,'[1]BOM Info General'!$A:$L,12,0))*E1358</f>
        <v>35.56</v>
      </c>
      <c r="H1358" s="34" t="s">
        <v>39</v>
      </c>
      <c r="I1358" s="34">
        <v>1</v>
      </c>
      <c r="J1358" s="34" t="s">
        <v>46</v>
      </c>
      <c r="K1358" s="15">
        <f>(VLOOKUP(H1358,'[1]BOM Info General'!$A:$L,12,0))*I1358</f>
        <v>24.42</v>
      </c>
      <c r="L1358" s="35" t="s">
        <v>58</v>
      </c>
      <c r="M1358" s="35">
        <v>1</v>
      </c>
      <c r="N1358" s="35" t="s">
        <v>55</v>
      </c>
      <c r="O1358" s="9">
        <f>(VLOOKUP(L1358,'[1]Simulation pricing per sub assy'!$D:$E,2,0))*M1358</f>
        <v>43.288799999999988</v>
      </c>
      <c r="P1358" s="36" t="s">
        <v>50</v>
      </c>
      <c r="Q1358" s="36">
        <v>2</v>
      </c>
      <c r="R1358" s="36" t="s">
        <v>611</v>
      </c>
      <c r="S1358" s="40">
        <f>(VLOOKUP(P1358,'[1]BOM Info General'!$A:$L,12,0))*Q1358</f>
        <v>5.3</v>
      </c>
      <c r="T1358" s="37" t="s">
        <v>7</v>
      </c>
      <c r="U1358" s="37">
        <v>1</v>
      </c>
      <c r="V1358" s="37" t="s">
        <v>8</v>
      </c>
      <c r="W1358" s="17">
        <f>(VLOOKUP(T1358,'[1]Simulation pricing per sub assy'!$D:$E,2,0))*U1358</f>
        <v>1.85</v>
      </c>
      <c r="X1358" s="32" t="s">
        <v>615</v>
      </c>
      <c r="Y1358" s="38">
        <v>1</v>
      </c>
      <c r="Z1358" s="38" t="s">
        <v>9</v>
      </c>
      <c r="AA1358" s="18">
        <f>(VLOOKUP(X1358,'[1]Simulation pricing per sub assy'!$D:$E,2,0))*Y1358</f>
        <v>1.5769808000000001</v>
      </c>
    </row>
    <row r="1359" spans="1:27" x14ac:dyDescent="0.35">
      <c r="A1359" s="27" t="s">
        <v>2278</v>
      </c>
      <c r="B1359" s="27" t="s">
        <v>2279</v>
      </c>
      <c r="C1359" s="42">
        <f t="shared" si="21"/>
        <v>112.57578079999999</v>
      </c>
      <c r="D1359" s="33" t="s">
        <v>2058</v>
      </c>
      <c r="E1359" s="33">
        <v>1</v>
      </c>
      <c r="F1359" s="33" t="s">
        <v>2059</v>
      </c>
      <c r="G1359" s="14">
        <f>(VLOOKUP(D1359,'[1]BOM Info General'!$A:$L,12,0))*E1359</f>
        <v>35.56</v>
      </c>
      <c r="H1359" s="34" t="s">
        <v>39</v>
      </c>
      <c r="I1359" s="34">
        <v>1</v>
      </c>
      <c r="J1359" s="34" t="s">
        <v>46</v>
      </c>
      <c r="K1359" s="15">
        <f>(VLOOKUP(H1359,'[1]BOM Info General'!$A:$L,12,0))*I1359</f>
        <v>24.42</v>
      </c>
      <c r="L1359" s="35" t="s">
        <v>54</v>
      </c>
      <c r="M1359" s="35">
        <v>1</v>
      </c>
      <c r="N1359" s="35" t="s">
        <v>53</v>
      </c>
      <c r="O1359" s="9">
        <f>(VLOOKUP(L1359,'[1]Simulation pricing per sub assy'!$D:$E,2,0))*M1359</f>
        <v>43.868799999999993</v>
      </c>
      <c r="P1359" s="36" t="s">
        <v>50</v>
      </c>
      <c r="Q1359" s="36">
        <v>2</v>
      </c>
      <c r="R1359" s="36" t="s">
        <v>611</v>
      </c>
      <c r="S1359" s="40">
        <f>(VLOOKUP(P1359,'[1]BOM Info General'!$A:$L,12,0))*Q1359</f>
        <v>5.3</v>
      </c>
      <c r="T1359" s="37" t="s">
        <v>7</v>
      </c>
      <c r="U1359" s="37">
        <v>1</v>
      </c>
      <c r="V1359" s="37" t="s">
        <v>8</v>
      </c>
      <c r="W1359" s="17">
        <f>(VLOOKUP(T1359,'[1]Simulation pricing per sub assy'!$D:$E,2,0))*U1359</f>
        <v>1.85</v>
      </c>
      <c r="X1359" s="32" t="s">
        <v>615</v>
      </c>
      <c r="Y1359" s="38">
        <v>1</v>
      </c>
      <c r="Z1359" s="38" t="s">
        <v>9</v>
      </c>
      <c r="AA1359" s="18">
        <f>(VLOOKUP(X1359,'[1]Simulation pricing per sub assy'!$D:$E,2,0))*Y1359</f>
        <v>1.5769808000000001</v>
      </c>
    </row>
    <row r="1360" spans="1:27" x14ac:dyDescent="0.35">
      <c r="A1360" s="27" t="s">
        <v>2280</v>
      </c>
      <c r="B1360" s="27" t="s">
        <v>2281</v>
      </c>
      <c r="C1360" s="42">
        <f t="shared" si="21"/>
        <v>112.31578079999998</v>
      </c>
      <c r="D1360" s="33" t="s">
        <v>2058</v>
      </c>
      <c r="E1360" s="33">
        <v>1</v>
      </c>
      <c r="F1360" s="33" t="s">
        <v>2059</v>
      </c>
      <c r="G1360" s="14">
        <f>(VLOOKUP(D1360,'[1]BOM Info General'!$A:$L,12,0))*E1360</f>
        <v>35.56</v>
      </c>
      <c r="H1360" s="34" t="s">
        <v>39</v>
      </c>
      <c r="I1360" s="34">
        <v>1</v>
      </c>
      <c r="J1360" s="34" t="s">
        <v>46</v>
      </c>
      <c r="K1360" s="15">
        <f>(VLOOKUP(H1360,'[1]BOM Info General'!$A:$L,12,0))*I1360</f>
        <v>24.42</v>
      </c>
      <c r="L1360" s="35" t="s">
        <v>60</v>
      </c>
      <c r="M1360" s="35">
        <v>1</v>
      </c>
      <c r="N1360" s="35" t="s">
        <v>57</v>
      </c>
      <c r="O1360" s="9">
        <f>(VLOOKUP(L1360,'[1]Simulation pricing per sub assy'!$D:$E,2,0))*M1360</f>
        <v>43.608799999999988</v>
      </c>
      <c r="P1360" s="36" t="s">
        <v>50</v>
      </c>
      <c r="Q1360" s="36">
        <v>2</v>
      </c>
      <c r="R1360" s="36" t="s">
        <v>611</v>
      </c>
      <c r="S1360" s="40">
        <f>(VLOOKUP(P1360,'[1]BOM Info General'!$A:$L,12,0))*Q1360</f>
        <v>5.3</v>
      </c>
      <c r="T1360" s="37" t="s">
        <v>7</v>
      </c>
      <c r="U1360" s="37">
        <v>1</v>
      </c>
      <c r="V1360" s="37" t="s">
        <v>8</v>
      </c>
      <c r="W1360" s="17">
        <f>(VLOOKUP(T1360,'[1]Simulation pricing per sub assy'!$D:$E,2,0))*U1360</f>
        <v>1.85</v>
      </c>
      <c r="X1360" s="32" t="s">
        <v>615</v>
      </c>
      <c r="Y1360" s="38">
        <v>1</v>
      </c>
      <c r="Z1360" s="38" t="s">
        <v>9</v>
      </c>
      <c r="AA1360" s="18">
        <f>(VLOOKUP(X1360,'[1]Simulation pricing per sub assy'!$D:$E,2,0))*Y1360</f>
        <v>1.5769808000000001</v>
      </c>
    </row>
    <row r="1361" spans="1:27" x14ac:dyDescent="0.35">
      <c r="A1361" s="27" t="s">
        <v>2282</v>
      </c>
      <c r="B1361" s="27" t="s">
        <v>2283</v>
      </c>
      <c r="C1361" s="42">
        <f t="shared" si="21"/>
        <v>119.98578079999999</v>
      </c>
      <c r="D1361" s="33" t="s">
        <v>2058</v>
      </c>
      <c r="E1361" s="33">
        <v>1</v>
      </c>
      <c r="F1361" s="33" t="s">
        <v>2059</v>
      </c>
      <c r="G1361" s="14">
        <f>(VLOOKUP(D1361,'[1]BOM Info General'!$A:$L,12,0))*E1361</f>
        <v>35.56</v>
      </c>
      <c r="H1361" s="34" t="s">
        <v>39</v>
      </c>
      <c r="I1361" s="34">
        <v>1</v>
      </c>
      <c r="J1361" s="34" t="s">
        <v>46</v>
      </c>
      <c r="K1361" s="15">
        <f>(VLOOKUP(H1361,'[1]BOM Info General'!$A:$L,12,0))*I1361</f>
        <v>24.42</v>
      </c>
      <c r="L1361" s="35" t="s">
        <v>56</v>
      </c>
      <c r="M1361" s="35">
        <v>1</v>
      </c>
      <c r="N1361" s="35" t="s">
        <v>59</v>
      </c>
      <c r="O1361" s="9">
        <f>(VLOOKUP(L1361,'[1]Simulation pricing per sub assy'!$D:$E,2,0))*M1361</f>
        <v>51.27879999999999</v>
      </c>
      <c r="P1361" s="36" t="s">
        <v>50</v>
      </c>
      <c r="Q1361" s="36">
        <v>2</v>
      </c>
      <c r="R1361" s="36" t="s">
        <v>611</v>
      </c>
      <c r="S1361" s="40">
        <f>(VLOOKUP(P1361,'[1]BOM Info General'!$A:$L,12,0))*Q1361</f>
        <v>5.3</v>
      </c>
      <c r="T1361" s="37" t="s">
        <v>7</v>
      </c>
      <c r="U1361" s="37">
        <v>1</v>
      </c>
      <c r="V1361" s="37" t="s">
        <v>8</v>
      </c>
      <c r="W1361" s="17">
        <f>(VLOOKUP(T1361,'[1]Simulation pricing per sub assy'!$D:$E,2,0))*U1361</f>
        <v>1.85</v>
      </c>
      <c r="X1361" s="32" t="s">
        <v>615</v>
      </c>
      <c r="Y1361" s="38">
        <v>1</v>
      </c>
      <c r="Z1361" s="38" t="s">
        <v>9</v>
      </c>
      <c r="AA1361" s="18">
        <f>(VLOOKUP(X1361,'[1]Simulation pricing per sub assy'!$D:$E,2,0))*Y1361</f>
        <v>1.5769808000000001</v>
      </c>
    </row>
    <row r="1362" spans="1:27" x14ac:dyDescent="0.35">
      <c r="A1362" s="27" t="s">
        <v>2284</v>
      </c>
      <c r="B1362" s="27" t="s">
        <v>2285</v>
      </c>
      <c r="C1362" s="42">
        <f t="shared" si="21"/>
        <v>111.21578079999999</v>
      </c>
      <c r="D1362" s="33" t="s">
        <v>2058</v>
      </c>
      <c r="E1362" s="33">
        <v>1</v>
      </c>
      <c r="F1362" s="33" t="s">
        <v>2059</v>
      </c>
      <c r="G1362" s="14">
        <f>(VLOOKUP(D1362,'[1]BOM Info General'!$A:$L,12,0))*E1362</f>
        <v>35.56</v>
      </c>
      <c r="H1362" s="34" t="s">
        <v>39</v>
      </c>
      <c r="I1362" s="34">
        <v>1</v>
      </c>
      <c r="J1362" s="34" t="s">
        <v>46</v>
      </c>
      <c r="K1362" s="15">
        <f>(VLOOKUP(H1362,'[1]BOM Info General'!$A:$L,12,0))*I1362</f>
        <v>24.42</v>
      </c>
      <c r="L1362" s="35" t="s">
        <v>523</v>
      </c>
      <c r="M1362" s="35">
        <v>1</v>
      </c>
      <c r="N1362" s="35" t="s">
        <v>61</v>
      </c>
      <c r="O1362" s="9">
        <f>(VLOOKUP(L1362,'[1]Simulation pricing per sub assy'!$D:$E,2,0))*M1362</f>
        <v>42.308799999999991</v>
      </c>
      <c r="P1362" s="36" t="s">
        <v>50</v>
      </c>
      <c r="Q1362" s="36">
        <v>2</v>
      </c>
      <c r="R1362" s="36" t="s">
        <v>16</v>
      </c>
      <c r="S1362" s="40">
        <f>(VLOOKUP(P1362,'[1]BOM Info General'!$A:$L,12,0))*Q1362</f>
        <v>5.3</v>
      </c>
      <c r="T1362" s="37" t="s">
        <v>10</v>
      </c>
      <c r="U1362" s="37">
        <v>1</v>
      </c>
      <c r="V1362" s="37" t="s">
        <v>11</v>
      </c>
      <c r="W1362" s="17">
        <f>(VLOOKUP(T1362,'[1]Simulation pricing per sub assy'!$D:$E,2,0))*U1362</f>
        <v>2.0499999999999998</v>
      </c>
      <c r="X1362" s="32" t="s">
        <v>615</v>
      </c>
      <c r="Y1362" s="38">
        <v>1</v>
      </c>
      <c r="Z1362" s="38" t="s">
        <v>9</v>
      </c>
      <c r="AA1362" s="18">
        <f>(VLOOKUP(X1362,'[1]Simulation pricing per sub assy'!$D:$E,2,0))*Y1362</f>
        <v>1.5769808000000001</v>
      </c>
    </row>
    <row r="1363" spans="1:27" x14ac:dyDescent="0.35">
      <c r="A1363" s="27" t="s">
        <v>2286</v>
      </c>
      <c r="B1363" s="27" t="s">
        <v>2287</v>
      </c>
      <c r="C1363" s="42">
        <f t="shared" si="21"/>
        <v>112.19578079999999</v>
      </c>
      <c r="D1363" s="33" t="s">
        <v>2058</v>
      </c>
      <c r="E1363" s="33">
        <v>1</v>
      </c>
      <c r="F1363" s="33" t="s">
        <v>2059</v>
      </c>
      <c r="G1363" s="14">
        <f>(VLOOKUP(D1363,'[1]BOM Info General'!$A:$L,12,0))*E1363</f>
        <v>35.56</v>
      </c>
      <c r="H1363" s="34" t="s">
        <v>39</v>
      </c>
      <c r="I1363" s="34">
        <v>1</v>
      </c>
      <c r="J1363" s="34" t="s">
        <v>46</v>
      </c>
      <c r="K1363" s="15">
        <f>(VLOOKUP(H1363,'[1]BOM Info General'!$A:$L,12,0))*I1363</f>
        <v>24.42</v>
      </c>
      <c r="L1363" s="35" t="s">
        <v>58</v>
      </c>
      <c r="M1363" s="35">
        <v>1</v>
      </c>
      <c r="N1363" s="35" t="s">
        <v>55</v>
      </c>
      <c r="O1363" s="9">
        <f>(VLOOKUP(L1363,'[1]Simulation pricing per sub assy'!$D:$E,2,0))*M1363</f>
        <v>43.288799999999988</v>
      </c>
      <c r="P1363" s="36" t="s">
        <v>50</v>
      </c>
      <c r="Q1363" s="36">
        <v>2</v>
      </c>
      <c r="R1363" s="36" t="s">
        <v>16</v>
      </c>
      <c r="S1363" s="40">
        <f>(VLOOKUP(P1363,'[1]BOM Info General'!$A:$L,12,0))*Q1363</f>
        <v>5.3</v>
      </c>
      <c r="T1363" s="37" t="s">
        <v>10</v>
      </c>
      <c r="U1363" s="37">
        <v>1</v>
      </c>
      <c r="V1363" s="37" t="s">
        <v>11</v>
      </c>
      <c r="W1363" s="17">
        <f>(VLOOKUP(T1363,'[1]Simulation pricing per sub assy'!$D:$E,2,0))*U1363</f>
        <v>2.0499999999999998</v>
      </c>
      <c r="X1363" s="32" t="s">
        <v>615</v>
      </c>
      <c r="Y1363" s="38">
        <v>1</v>
      </c>
      <c r="Z1363" s="38" t="s">
        <v>9</v>
      </c>
      <c r="AA1363" s="18">
        <f>(VLOOKUP(X1363,'[1]Simulation pricing per sub assy'!$D:$E,2,0))*Y1363</f>
        <v>1.5769808000000001</v>
      </c>
    </row>
    <row r="1364" spans="1:27" x14ac:dyDescent="0.35">
      <c r="A1364" s="27" t="s">
        <v>2288</v>
      </c>
      <c r="B1364" s="27" t="s">
        <v>2289</v>
      </c>
      <c r="C1364" s="42">
        <f t="shared" si="21"/>
        <v>112.77578079999999</v>
      </c>
      <c r="D1364" s="33" t="s">
        <v>2058</v>
      </c>
      <c r="E1364" s="33">
        <v>1</v>
      </c>
      <c r="F1364" s="33" t="s">
        <v>2059</v>
      </c>
      <c r="G1364" s="14">
        <f>(VLOOKUP(D1364,'[1]BOM Info General'!$A:$L,12,0))*E1364</f>
        <v>35.56</v>
      </c>
      <c r="H1364" s="34" t="s">
        <v>39</v>
      </c>
      <c r="I1364" s="34">
        <v>1</v>
      </c>
      <c r="J1364" s="34" t="s">
        <v>46</v>
      </c>
      <c r="K1364" s="15">
        <f>(VLOOKUP(H1364,'[1]BOM Info General'!$A:$L,12,0))*I1364</f>
        <v>24.42</v>
      </c>
      <c r="L1364" s="35" t="s">
        <v>54</v>
      </c>
      <c r="M1364" s="35">
        <v>1</v>
      </c>
      <c r="N1364" s="35" t="s">
        <v>53</v>
      </c>
      <c r="O1364" s="9">
        <f>(VLOOKUP(L1364,'[1]Simulation pricing per sub assy'!$D:$E,2,0))*M1364</f>
        <v>43.868799999999993</v>
      </c>
      <c r="P1364" s="36" t="s">
        <v>50</v>
      </c>
      <c r="Q1364" s="36">
        <v>2</v>
      </c>
      <c r="R1364" s="36" t="s">
        <v>16</v>
      </c>
      <c r="S1364" s="40">
        <f>(VLOOKUP(P1364,'[1]BOM Info General'!$A:$L,12,0))*Q1364</f>
        <v>5.3</v>
      </c>
      <c r="T1364" s="37" t="s">
        <v>10</v>
      </c>
      <c r="U1364" s="37">
        <v>1</v>
      </c>
      <c r="V1364" s="37" t="s">
        <v>11</v>
      </c>
      <c r="W1364" s="17">
        <f>(VLOOKUP(T1364,'[1]Simulation pricing per sub assy'!$D:$E,2,0))*U1364</f>
        <v>2.0499999999999998</v>
      </c>
      <c r="X1364" s="32" t="s">
        <v>615</v>
      </c>
      <c r="Y1364" s="38">
        <v>1</v>
      </c>
      <c r="Z1364" s="38" t="s">
        <v>9</v>
      </c>
      <c r="AA1364" s="18">
        <f>(VLOOKUP(X1364,'[1]Simulation pricing per sub assy'!$D:$E,2,0))*Y1364</f>
        <v>1.5769808000000001</v>
      </c>
    </row>
    <row r="1365" spans="1:27" x14ac:dyDescent="0.35">
      <c r="A1365" s="27" t="s">
        <v>2290</v>
      </c>
      <c r="B1365" s="27" t="s">
        <v>2291</v>
      </c>
      <c r="C1365" s="42">
        <f t="shared" si="21"/>
        <v>112.51578079999999</v>
      </c>
      <c r="D1365" s="33" t="s">
        <v>2058</v>
      </c>
      <c r="E1365" s="33">
        <v>1</v>
      </c>
      <c r="F1365" s="33" t="s">
        <v>2059</v>
      </c>
      <c r="G1365" s="14">
        <f>(VLOOKUP(D1365,'[1]BOM Info General'!$A:$L,12,0))*E1365</f>
        <v>35.56</v>
      </c>
      <c r="H1365" s="34" t="s">
        <v>39</v>
      </c>
      <c r="I1365" s="34">
        <v>1</v>
      </c>
      <c r="J1365" s="34" t="s">
        <v>46</v>
      </c>
      <c r="K1365" s="15">
        <f>(VLOOKUP(H1365,'[1]BOM Info General'!$A:$L,12,0))*I1365</f>
        <v>24.42</v>
      </c>
      <c r="L1365" s="35" t="s">
        <v>60</v>
      </c>
      <c r="M1365" s="35">
        <v>1</v>
      </c>
      <c r="N1365" s="35" t="s">
        <v>57</v>
      </c>
      <c r="O1365" s="9">
        <f>(VLOOKUP(L1365,'[1]Simulation pricing per sub assy'!$D:$E,2,0))*M1365</f>
        <v>43.608799999999988</v>
      </c>
      <c r="P1365" s="36" t="s">
        <v>50</v>
      </c>
      <c r="Q1365" s="36">
        <v>2</v>
      </c>
      <c r="R1365" s="36" t="s">
        <v>16</v>
      </c>
      <c r="S1365" s="40">
        <f>(VLOOKUP(P1365,'[1]BOM Info General'!$A:$L,12,0))*Q1365</f>
        <v>5.3</v>
      </c>
      <c r="T1365" s="37" t="s">
        <v>10</v>
      </c>
      <c r="U1365" s="37">
        <v>1</v>
      </c>
      <c r="V1365" s="37" t="s">
        <v>11</v>
      </c>
      <c r="W1365" s="17">
        <f>(VLOOKUP(T1365,'[1]Simulation pricing per sub assy'!$D:$E,2,0))*U1365</f>
        <v>2.0499999999999998</v>
      </c>
      <c r="X1365" s="32" t="s">
        <v>615</v>
      </c>
      <c r="Y1365" s="38">
        <v>1</v>
      </c>
      <c r="Z1365" s="38" t="s">
        <v>9</v>
      </c>
      <c r="AA1365" s="18">
        <f>(VLOOKUP(X1365,'[1]Simulation pricing per sub assy'!$D:$E,2,0))*Y1365</f>
        <v>1.5769808000000001</v>
      </c>
    </row>
    <row r="1366" spans="1:27" x14ac:dyDescent="0.35">
      <c r="A1366" s="27" t="s">
        <v>2292</v>
      </c>
      <c r="B1366" s="27" t="s">
        <v>2293</v>
      </c>
      <c r="C1366" s="42">
        <f t="shared" si="21"/>
        <v>120.18578079999999</v>
      </c>
      <c r="D1366" s="33" t="s">
        <v>2058</v>
      </c>
      <c r="E1366" s="33">
        <v>1</v>
      </c>
      <c r="F1366" s="33" t="s">
        <v>2059</v>
      </c>
      <c r="G1366" s="14">
        <f>(VLOOKUP(D1366,'[1]BOM Info General'!$A:$L,12,0))*E1366</f>
        <v>35.56</v>
      </c>
      <c r="H1366" s="34" t="s">
        <v>39</v>
      </c>
      <c r="I1366" s="34">
        <v>1</v>
      </c>
      <c r="J1366" s="34" t="s">
        <v>46</v>
      </c>
      <c r="K1366" s="15">
        <f>(VLOOKUP(H1366,'[1]BOM Info General'!$A:$L,12,0))*I1366</f>
        <v>24.42</v>
      </c>
      <c r="L1366" s="35" t="s">
        <v>56</v>
      </c>
      <c r="M1366" s="35">
        <v>1</v>
      </c>
      <c r="N1366" s="35" t="s">
        <v>59</v>
      </c>
      <c r="O1366" s="9">
        <f>(VLOOKUP(L1366,'[1]Simulation pricing per sub assy'!$D:$E,2,0))*M1366</f>
        <v>51.27879999999999</v>
      </c>
      <c r="P1366" s="36" t="s">
        <v>50</v>
      </c>
      <c r="Q1366" s="36">
        <v>2</v>
      </c>
      <c r="R1366" s="36" t="s">
        <v>16</v>
      </c>
      <c r="S1366" s="40">
        <f>(VLOOKUP(P1366,'[1]BOM Info General'!$A:$L,12,0))*Q1366</f>
        <v>5.3</v>
      </c>
      <c r="T1366" s="37" t="s">
        <v>10</v>
      </c>
      <c r="U1366" s="37">
        <v>1</v>
      </c>
      <c r="V1366" s="37" t="s">
        <v>11</v>
      </c>
      <c r="W1366" s="17">
        <f>(VLOOKUP(T1366,'[1]Simulation pricing per sub assy'!$D:$E,2,0))*U1366</f>
        <v>2.0499999999999998</v>
      </c>
      <c r="X1366" s="32" t="s">
        <v>615</v>
      </c>
      <c r="Y1366" s="38">
        <v>1</v>
      </c>
      <c r="Z1366" s="38" t="s">
        <v>9</v>
      </c>
      <c r="AA1366" s="18">
        <f>(VLOOKUP(X1366,'[1]Simulation pricing per sub assy'!$D:$E,2,0))*Y1366</f>
        <v>1.5769808000000001</v>
      </c>
    </row>
    <row r="1367" spans="1:27" x14ac:dyDescent="0.35">
      <c r="A1367" s="27" t="s">
        <v>2294</v>
      </c>
      <c r="B1367" s="27" t="s">
        <v>2295</v>
      </c>
      <c r="C1367" s="42">
        <f t="shared" si="21"/>
        <v>111.0657808</v>
      </c>
      <c r="D1367" s="33" t="s">
        <v>2058</v>
      </c>
      <c r="E1367" s="33">
        <v>1</v>
      </c>
      <c r="F1367" s="33" t="s">
        <v>2059</v>
      </c>
      <c r="G1367" s="14">
        <f>(VLOOKUP(D1367,'[1]BOM Info General'!$A:$L,12,0))*E1367</f>
        <v>35.56</v>
      </c>
      <c r="H1367" s="34" t="s">
        <v>39</v>
      </c>
      <c r="I1367" s="34">
        <v>1</v>
      </c>
      <c r="J1367" s="34" t="s">
        <v>46</v>
      </c>
      <c r="K1367" s="15">
        <f>(VLOOKUP(H1367,'[1]BOM Info General'!$A:$L,12,0))*I1367</f>
        <v>24.42</v>
      </c>
      <c r="L1367" s="35" t="s">
        <v>523</v>
      </c>
      <c r="M1367" s="35">
        <v>1</v>
      </c>
      <c r="N1367" s="35" t="s">
        <v>61</v>
      </c>
      <c r="O1367" s="9">
        <f>(VLOOKUP(L1367,'[1]Simulation pricing per sub assy'!$D:$E,2,0))*M1367</f>
        <v>42.308799999999991</v>
      </c>
      <c r="P1367" s="36" t="s">
        <v>50</v>
      </c>
      <c r="Q1367" s="36">
        <v>2</v>
      </c>
      <c r="R1367" s="36" t="s">
        <v>16</v>
      </c>
      <c r="S1367" s="40">
        <f>(VLOOKUP(P1367,'[1]BOM Info General'!$A:$L,12,0))*Q1367</f>
        <v>5.3</v>
      </c>
      <c r="T1367" s="37" t="s">
        <v>12</v>
      </c>
      <c r="U1367" s="37">
        <v>1</v>
      </c>
      <c r="V1367" s="37" t="s">
        <v>13</v>
      </c>
      <c r="W1367" s="17">
        <f>(VLOOKUP(T1367,'[1]Simulation pricing per sub assy'!$D:$E,2,0))*U1367</f>
        <v>1.9</v>
      </c>
      <c r="X1367" s="32" t="s">
        <v>615</v>
      </c>
      <c r="Y1367" s="38">
        <v>1</v>
      </c>
      <c r="Z1367" s="38" t="s">
        <v>9</v>
      </c>
      <c r="AA1367" s="18">
        <f>(VLOOKUP(X1367,'[1]Simulation pricing per sub assy'!$D:$E,2,0))*Y1367</f>
        <v>1.5769808000000001</v>
      </c>
    </row>
    <row r="1368" spans="1:27" x14ac:dyDescent="0.35">
      <c r="A1368" s="27" t="s">
        <v>2296</v>
      </c>
      <c r="B1368" s="27" t="s">
        <v>2297</v>
      </c>
      <c r="C1368" s="42">
        <f t="shared" si="21"/>
        <v>112.0457808</v>
      </c>
      <c r="D1368" s="33" t="s">
        <v>2058</v>
      </c>
      <c r="E1368" s="33">
        <v>1</v>
      </c>
      <c r="F1368" s="33" t="s">
        <v>2059</v>
      </c>
      <c r="G1368" s="14">
        <f>(VLOOKUP(D1368,'[1]BOM Info General'!$A:$L,12,0))*E1368</f>
        <v>35.56</v>
      </c>
      <c r="H1368" s="34" t="s">
        <v>39</v>
      </c>
      <c r="I1368" s="34">
        <v>1</v>
      </c>
      <c r="J1368" s="34" t="s">
        <v>46</v>
      </c>
      <c r="K1368" s="15">
        <f>(VLOOKUP(H1368,'[1]BOM Info General'!$A:$L,12,0))*I1368</f>
        <v>24.42</v>
      </c>
      <c r="L1368" s="35" t="s">
        <v>58</v>
      </c>
      <c r="M1368" s="35">
        <v>1</v>
      </c>
      <c r="N1368" s="35" t="s">
        <v>55</v>
      </c>
      <c r="O1368" s="9">
        <f>(VLOOKUP(L1368,'[1]Simulation pricing per sub assy'!$D:$E,2,0))*M1368</f>
        <v>43.288799999999988</v>
      </c>
      <c r="P1368" s="36" t="s">
        <v>50</v>
      </c>
      <c r="Q1368" s="36">
        <v>2</v>
      </c>
      <c r="R1368" s="36" t="s">
        <v>16</v>
      </c>
      <c r="S1368" s="40">
        <f>(VLOOKUP(P1368,'[1]BOM Info General'!$A:$L,12,0))*Q1368</f>
        <v>5.3</v>
      </c>
      <c r="T1368" s="37" t="s">
        <v>12</v>
      </c>
      <c r="U1368" s="37">
        <v>1</v>
      </c>
      <c r="V1368" s="37" t="s">
        <v>13</v>
      </c>
      <c r="W1368" s="17">
        <f>(VLOOKUP(T1368,'[1]Simulation pricing per sub assy'!$D:$E,2,0))*U1368</f>
        <v>1.9</v>
      </c>
      <c r="X1368" s="32" t="s">
        <v>615</v>
      </c>
      <c r="Y1368" s="38">
        <v>1</v>
      </c>
      <c r="Z1368" s="38" t="s">
        <v>9</v>
      </c>
      <c r="AA1368" s="18">
        <f>(VLOOKUP(X1368,'[1]Simulation pricing per sub assy'!$D:$E,2,0))*Y1368</f>
        <v>1.5769808000000001</v>
      </c>
    </row>
    <row r="1369" spans="1:27" x14ac:dyDescent="0.35">
      <c r="A1369" s="27" t="s">
        <v>2298</v>
      </c>
      <c r="B1369" s="27" t="s">
        <v>2299</v>
      </c>
      <c r="C1369" s="42">
        <f t="shared" si="21"/>
        <v>112.6257808</v>
      </c>
      <c r="D1369" s="33" t="s">
        <v>2058</v>
      </c>
      <c r="E1369" s="33">
        <v>1</v>
      </c>
      <c r="F1369" s="33" t="s">
        <v>2059</v>
      </c>
      <c r="G1369" s="14">
        <f>(VLOOKUP(D1369,'[1]BOM Info General'!$A:$L,12,0))*E1369</f>
        <v>35.56</v>
      </c>
      <c r="H1369" s="34" t="s">
        <v>39</v>
      </c>
      <c r="I1369" s="34">
        <v>1</v>
      </c>
      <c r="J1369" s="34" t="s">
        <v>46</v>
      </c>
      <c r="K1369" s="15">
        <f>(VLOOKUP(H1369,'[1]BOM Info General'!$A:$L,12,0))*I1369</f>
        <v>24.42</v>
      </c>
      <c r="L1369" s="35" t="s">
        <v>54</v>
      </c>
      <c r="M1369" s="35">
        <v>1</v>
      </c>
      <c r="N1369" s="35" t="s">
        <v>53</v>
      </c>
      <c r="O1369" s="9">
        <f>(VLOOKUP(L1369,'[1]Simulation pricing per sub assy'!$D:$E,2,0))*M1369</f>
        <v>43.868799999999993</v>
      </c>
      <c r="P1369" s="36" t="s">
        <v>50</v>
      </c>
      <c r="Q1369" s="36">
        <v>2</v>
      </c>
      <c r="R1369" s="36" t="s">
        <v>16</v>
      </c>
      <c r="S1369" s="40">
        <f>(VLOOKUP(P1369,'[1]BOM Info General'!$A:$L,12,0))*Q1369</f>
        <v>5.3</v>
      </c>
      <c r="T1369" s="37" t="s">
        <v>12</v>
      </c>
      <c r="U1369" s="37">
        <v>1</v>
      </c>
      <c r="V1369" s="37" t="s">
        <v>13</v>
      </c>
      <c r="W1369" s="17">
        <f>(VLOOKUP(T1369,'[1]Simulation pricing per sub assy'!$D:$E,2,0))*U1369</f>
        <v>1.9</v>
      </c>
      <c r="X1369" s="32" t="s">
        <v>615</v>
      </c>
      <c r="Y1369" s="38">
        <v>1</v>
      </c>
      <c r="Z1369" s="38" t="s">
        <v>9</v>
      </c>
      <c r="AA1369" s="18">
        <f>(VLOOKUP(X1369,'[1]Simulation pricing per sub assy'!$D:$E,2,0))*Y1369</f>
        <v>1.5769808000000001</v>
      </c>
    </row>
    <row r="1370" spans="1:27" x14ac:dyDescent="0.35">
      <c r="A1370" s="27" t="s">
        <v>2300</v>
      </c>
      <c r="B1370" s="27" t="s">
        <v>2301</v>
      </c>
      <c r="C1370" s="42">
        <f t="shared" si="21"/>
        <v>112.3657808</v>
      </c>
      <c r="D1370" s="33" t="s">
        <v>2058</v>
      </c>
      <c r="E1370" s="33">
        <v>1</v>
      </c>
      <c r="F1370" s="33" t="s">
        <v>2059</v>
      </c>
      <c r="G1370" s="14">
        <f>(VLOOKUP(D1370,'[1]BOM Info General'!$A:$L,12,0))*E1370</f>
        <v>35.56</v>
      </c>
      <c r="H1370" s="34" t="s">
        <v>39</v>
      </c>
      <c r="I1370" s="34">
        <v>1</v>
      </c>
      <c r="J1370" s="34" t="s">
        <v>46</v>
      </c>
      <c r="K1370" s="15">
        <f>(VLOOKUP(H1370,'[1]BOM Info General'!$A:$L,12,0))*I1370</f>
        <v>24.42</v>
      </c>
      <c r="L1370" s="35" t="s">
        <v>60</v>
      </c>
      <c r="M1370" s="35">
        <v>1</v>
      </c>
      <c r="N1370" s="35" t="s">
        <v>57</v>
      </c>
      <c r="O1370" s="9">
        <f>(VLOOKUP(L1370,'[1]Simulation pricing per sub assy'!$D:$E,2,0))*M1370</f>
        <v>43.608799999999988</v>
      </c>
      <c r="P1370" s="36" t="s">
        <v>50</v>
      </c>
      <c r="Q1370" s="36">
        <v>2</v>
      </c>
      <c r="R1370" s="36" t="s">
        <v>16</v>
      </c>
      <c r="S1370" s="40">
        <f>(VLOOKUP(P1370,'[1]BOM Info General'!$A:$L,12,0))*Q1370</f>
        <v>5.3</v>
      </c>
      <c r="T1370" s="37" t="s">
        <v>12</v>
      </c>
      <c r="U1370" s="37">
        <v>1</v>
      </c>
      <c r="V1370" s="37" t="s">
        <v>13</v>
      </c>
      <c r="W1370" s="17">
        <f>(VLOOKUP(T1370,'[1]Simulation pricing per sub assy'!$D:$E,2,0))*U1370</f>
        <v>1.9</v>
      </c>
      <c r="X1370" s="32" t="s">
        <v>615</v>
      </c>
      <c r="Y1370" s="38">
        <v>1</v>
      </c>
      <c r="Z1370" s="38" t="s">
        <v>9</v>
      </c>
      <c r="AA1370" s="18">
        <f>(VLOOKUP(X1370,'[1]Simulation pricing per sub assy'!$D:$E,2,0))*Y1370</f>
        <v>1.5769808000000001</v>
      </c>
    </row>
    <row r="1371" spans="1:27" x14ac:dyDescent="0.35">
      <c r="A1371" s="27" t="s">
        <v>2302</v>
      </c>
      <c r="B1371" s="27" t="s">
        <v>2303</v>
      </c>
      <c r="C1371" s="42">
        <f t="shared" si="21"/>
        <v>120.0357808</v>
      </c>
      <c r="D1371" s="33" t="s">
        <v>2058</v>
      </c>
      <c r="E1371" s="33">
        <v>1</v>
      </c>
      <c r="F1371" s="33" t="s">
        <v>2059</v>
      </c>
      <c r="G1371" s="14">
        <f>(VLOOKUP(D1371,'[1]BOM Info General'!$A:$L,12,0))*E1371</f>
        <v>35.56</v>
      </c>
      <c r="H1371" s="34" t="s">
        <v>39</v>
      </c>
      <c r="I1371" s="34">
        <v>1</v>
      </c>
      <c r="J1371" s="34" t="s">
        <v>46</v>
      </c>
      <c r="K1371" s="15">
        <f>(VLOOKUP(H1371,'[1]BOM Info General'!$A:$L,12,0))*I1371</f>
        <v>24.42</v>
      </c>
      <c r="L1371" s="35" t="s">
        <v>56</v>
      </c>
      <c r="M1371" s="35">
        <v>1</v>
      </c>
      <c r="N1371" s="35" t="s">
        <v>59</v>
      </c>
      <c r="O1371" s="9">
        <f>(VLOOKUP(L1371,'[1]Simulation pricing per sub assy'!$D:$E,2,0))*M1371</f>
        <v>51.27879999999999</v>
      </c>
      <c r="P1371" s="36" t="s">
        <v>50</v>
      </c>
      <c r="Q1371" s="36">
        <v>2</v>
      </c>
      <c r="R1371" s="36" t="s">
        <v>16</v>
      </c>
      <c r="S1371" s="40">
        <f>(VLOOKUP(P1371,'[1]BOM Info General'!$A:$L,12,0))*Q1371</f>
        <v>5.3</v>
      </c>
      <c r="T1371" s="37" t="s">
        <v>12</v>
      </c>
      <c r="U1371" s="37">
        <v>1</v>
      </c>
      <c r="V1371" s="37" t="s">
        <v>13</v>
      </c>
      <c r="W1371" s="17">
        <f>(VLOOKUP(T1371,'[1]Simulation pricing per sub assy'!$D:$E,2,0))*U1371</f>
        <v>1.9</v>
      </c>
      <c r="X1371" s="32" t="s">
        <v>615</v>
      </c>
      <c r="Y1371" s="38">
        <v>1</v>
      </c>
      <c r="Z1371" s="38" t="s">
        <v>9</v>
      </c>
      <c r="AA1371" s="18">
        <f>(VLOOKUP(X1371,'[1]Simulation pricing per sub assy'!$D:$E,2,0))*Y1371</f>
        <v>1.5769808000000001</v>
      </c>
    </row>
    <row r="1372" spans="1:27" x14ac:dyDescent="0.35">
      <c r="A1372" s="27" t="s">
        <v>2304</v>
      </c>
      <c r="B1372" s="27" t="s">
        <v>2305</v>
      </c>
      <c r="C1372" s="42">
        <f t="shared" si="21"/>
        <v>111.0657808</v>
      </c>
      <c r="D1372" s="33" t="s">
        <v>2058</v>
      </c>
      <c r="E1372" s="33">
        <v>1</v>
      </c>
      <c r="F1372" s="33" t="s">
        <v>2059</v>
      </c>
      <c r="G1372" s="14">
        <f>(VLOOKUP(D1372,'[1]BOM Info General'!$A:$L,12,0))*E1372</f>
        <v>35.56</v>
      </c>
      <c r="H1372" s="34" t="s">
        <v>39</v>
      </c>
      <c r="I1372" s="34">
        <v>1</v>
      </c>
      <c r="J1372" s="34" t="s">
        <v>46</v>
      </c>
      <c r="K1372" s="15">
        <f>(VLOOKUP(H1372,'[1]BOM Info General'!$A:$L,12,0))*I1372</f>
        <v>24.42</v>
      </c>
      <c r="L1372" s="35" t="s">
        <v>523</v>
      </c>
      <c r="M1372" s="35">
        <v>1</v>
      </c>
      <c r="N1372" s="35" t="s">
        <v>61</v>
      </c>
      <c r="O1372" s="9">
        <f>(VLOOKUP(L1372,'[1]Simulation pricing per sub assy'!$D:$E,2,0))*M1372</f>
        <v>42.308799999999991</v>
      </c>
      <c r="P1372" s="36" t="s">
        <v>50</v>
      </c>
      <c r="Q1372" s="36">
        <v>2</v>
      </c>
      <c r="R1372" s="36" t="s">
        <v>16</v>
      </c>
      <c r="S1372" s="40">
        <f>(VLOOKUP(P1372,'[1]BOM Info General'!$A:$L,12,0))*Q1372</f>
        <v>5.3</v>
      </c>
      <c r="T1372" s="37" t="s">
        <v>14</v>
      </c>
      <c r="U1372" s="37">
        <v>1</v>
      </c>
      <c r="V1372" s="37" t="s">
        <v>15</v>
      </c>
      <c r="W1372" s="17">
        <f>(VLOOKUP(T1372,'[1]Simulation pricing per sub assy'!$D:$E,2,0))*U1372</f>
        <v>1.9</v>
      </c>
      <c r="X1372" s="32" t="s">
        <v>615</v>
      </c>
      <c r="Y1372" s="38">
        <v>1</v>
      </c>
      <c r="Z1372" s="38" t="s">
        <v>9</v>
      </c>
      <c r="AA1372" s="18">
        <f>(VLOOKUP(X1372,'[1]Simulation pricing per sub assy'!$D:$E,2,0))*Y1372</f>
        <v>1.5769808000000001</v>
      </c>
    </row>
    <row r="1373" spans="1:27" x14ac:dyDescent="0.35">
      <c r="A1373" s="27" t="s">
        <v>2306</v>
      </c>
      <c r="B1373" s="27" t="s">
        <v>2307</v>
      </c>
      <c r="C1373" s="42">
        <f t="shared" si="21"/>
        <v>112.0457808</v>
      </c>
      <c r="D1373" s="33" t="s">
        <v>2058</v>
      </c>
      <c r="E1373" s="33">
        <v>1</v>
      </c>
      <c r="F1373" s="33" t="s">
        <v>2059</v>
      </c>
      <c r="G1373" s="14">
        <f>(VLOOKUP(D1373,'[1]BOM Info General'!$A:$L,12,0))*E1373</f>
        <v>35.56</v>
      </c>
      <c r="H1373" s="34" t="s">
        <v>39</v>
      </c>
      <c r="I1373" s="34">
        <v>1</v>
      </c>
      <c r="J1373" s="34" t="s">
        <v>46</v>
      </c>
      <c r="K1373" s="15">
        <f>(VLOOKUP(H1373,'[1]BOM Info General'!$A:$L,12,0))*I1373</f>
        <v>24.42</v>
      </c>
      <c r="L1373" s="35" t="s">
        <v>58</v>
      </c>
      <c r="M1373" s="35">
        <v>1</v>
      </c>
      <c r="N1373" s="35" t="s">
        <v>55</v>
      </c>
      <c r="O1373" s="9">
        <f>(VLOOKUP(L1373,'[1]Simulation pricing per sub assy'!$D:$E,2,0))*M1373</f>
        <v>43.288799999999988</v>
      </c>
      <c r="P1373" s="36" t="s">
        <v>50</v>
      </c>
      <c r="Q1373" s="36">
        <v>2</v>
      </c>
      <c r="R1373" s="36" t="s">
        <v>16</v>
      </c>
      <c r="S1373" s="40">
        <f>(VLOOKUP(P1373,'[1]BOM Info General'!$A:$L,12,0))*Q1373</f>
        <v>5.3</v>
      </c>
      <c r="T1373" s="37" t="s">
        <v>14</v>
      </c>
      <c r="U1373" s="37">
        <v>1</v>
      </c>
      <c r="V1373" s="37" t="s">
        <v>15</v>
      </c>
      <c r="W1373" s="17">
        <f>(VLOOKUP(T1373,'[1]Simulation pricing per sub assy'!$D:$E,2,0))*U1373</f>
        <v>1.9</v>
      </c>
      <c r="X1373" s="32" t="s">
        <v>615</v>
      </c>
      <c r="Y1373" s="38">
        <v>1</v>
      </c>
      <c r="Z1373" s="38" t="s">
        <v>9</v>
      </c>
      <c r="AA1373" s="18">
        <f>(VLOOKUP(X1373,'[1]Simulation pricing per sub assy'!$D:$E,2,0))*Y1373</f>
        <v>1.5769808000000001</v>
      </c>
    </row>
    <row r="1374" spans="1:27" x14ac:dyDescent="0.35">
      <c r="A1374" s="27" t="s">
        <v>2308</v>
      </c>
      <c r="B1374" s="27" t="s">
        <v>2309</v>
      </c>
      <c r="C1374" s="42">
        <f t="shared" si="21"/>
        <v>112.6257808</v>
      </c>
      <c r="D1374" s="33" t="s">
        <v>2058</v>
      </c>
      <c r="E1374" s="33">
        <v>1</v>
      </c>
      <c r="F1374" s="33" t="s">
        <v>2059</v>
      </c>
      <c r="G1374" s="14">
        <f>(VLOOKUP(D1374,'[1]BOM Info General'!$A:$L,12,0))*E1374</f>
        <v>35.56</v>
      </c>
      <c r="H1374" s="34" t="s">
        <v>39</v>
      </c>
      <c r="I1374" s="34">
        <v>1</v>
      </c>
      <c r="J1374" s="34" t="s">
        <v>46</v>
      </c>
      <c r="K1374" s="15">
        <f>(VLOOKUP(H1374,'[1]BOM Info General'!$A:$L,12,0))*I1374</f>
        <v>24.42</v>
      </c>
      <c r="L1374" s="35" t="s">
        <v>54</v>
      </c>
      <c r="M1374" s="35">
        <v>1</v>
      </c>
      <c r="N1374" s="35" t="s">
        <v>53</v>
      </c>
      <c r="O1374" s="9">
        <f>(VLOOKUP(L1374,'[1]Simulation pricing per sub assy'!$D:$E,2,0))*M1374</f>
        <v>43.868799999999993</v>
      </c>
      <c r="P1374" s="36" t="s">
        <v>50</v>
      </c>
      <c r="Q1374" s="36">
        <v>2</v>
      </c>
      <c r="R1374" s="36" t="s">
        <v>16</v>
      </c>
      <c r="S1374" s="40">
        <f>(VLOOKUP(P1374,'[1]BOM Info General'!$A:$L,12,0))*Q1374</f>
        <v>5.3</v>
      </c>
      <c r="T1374" s="37" t="s">
        <v>14</v>
      </c>
      <c r="U1374" s="37">
        <v>1</v>
      </c>
      <c r="V1374" s="37" t="s">
        <v>15</v>
      </c>
      <c r="W1374" s="17">
        <f>(VLOOKUP(T1374,'[1]Simulation pricing per sub assy'!$D:$E,2,0))*U1374</f>
        <v>1.9</v>
      </c>
      <c r="X1374" s="32" t="s">
        <v>615</v>
      </c>
      <c r="Y1374" s="38">
        <v>1</v>
      </c>
      <c r="Z1374" s="38" t="s">
        <v>9</v>
      </c>
      <c r="AA1374" s="18">
        <f>(VLOOKUP(X1374,'[1]Simulation pricing per sub assy'!$D:$E,2,0))*Y1374</f>
        <v>1.5769808000000001</v>
      </c>
    </row>
    <row r="1375" spans="1:27" x14ac:dyDescent="0.35">
      <c r="A1375" s="27" t="s">
        <v>2310</v>
      </c>
      <c r="B1375" s="27" t="s">
        <v>2311</v>
      </c>
      <c r="C1375" s="42">
        <f t="shared" si="21"/>
        <v>112.3657808</v>
      </c>
      <c r="D1375" s="33" t="s">
        <v>2058</v>
      </c>
      <c r="E1375" s="33">
        <v>1</v>
      </c>
      <c r="F1375" s="33" t="s">
        <v>2059</v>
      </c>
      <c r="G1375" s="14">
        <f>(VLOOKUP(D1375,'[1]BOM Info General'!$A:$L,12,0))*E1375</f>
        <v>35.56</v>
      </c>
      <c r="H1375" s="34" t="s">
        <v>39</v>
      </c>
      <c r="I1375" s="34">
        <v>1</v>
      </c>
      <c r="J1375" s="34" t="s">
        <v>46</v>
      </c>
      <c r="K1375" s="15">
        <f>(VLOOKUP(H1375,'[1]BOM Info General'!$A:$L,12,0))*I1375</f>
        <v>24.42</v>
      </c>
      <c r="L1375" s="35" t="s">
        <v>60</v>
      </c>
      <c r="M1375" s="35">
        <v>1</v>
      </c>
      <c r="N1375" s="35" t="s">
        <v>57</v>
      </c>
      <c r="O1375" s="9">
        <f>(VLOOKUP(L1375,'[1]Simulation pricing per sub assy'!$D:$E,2,0))*M1375</f>
        <v>43.608799999999988</v>
      </c>
      <c r="P1375" s="36" t="s">
        <v>50</v>
      </c>
      <c r="Q1375" s="36">
        <v>2</v>
      </c>
      <c r="R1375" s="36" t="s">
        <v>16</v>
      </c>
      <c r="S1375" s="40">
        <f>(VLOOKUP(P1375,'[1]BOM Info General'!$A:$L,12,0))*Q1375</f>
        <v>5.3</v>
      </c>
      <c r="T1375" s="37" t="s">
        <v>14</v>
      </c>
      <c r="U1375" s="37">
        <v>1</v>
      </c>
      <c r="V1375" s="37" t="s">
        <v>15</v>
      </c>
      <c r="W1375" s="17">
        <f>(VLOOKUP(T1375,'[1]Simulation pricing per sub assy'!$D:$E,2,0))*U1375</f>
        <v>1.9</v>
      </c>
      <c r="X1375" s="32" t="s">
        <v>615</v>
      </c>
      <c r="Y1375" s="38">
        <v>1</v>
      </c>
      <c r="Z1375" s="38" t="s">
        <v>9</v>
      </c>
      <c r="AA1375" s="18">
        <f>(VLOOKUP(X1375,'[1]Simulation pricing per sub assy'!$D:$E,2,0))*Y1375</f>
        <v>1.5769808000000001</v>
      </c>
    </row>
    <row r="1376" spans="1:27" x14ac:dyDescent="0.35">
      <c r="A1376" s="27" t="s">
        <v>2312</v>
      </c>
      <c r="B1376" s="27" t="s">
        <v>2313</v>
      </c>
      <c r="C1376" s="42">
        <f t="shared" si="21"/>
        <v>120.0357808</v>
      </c>
      <c r="D1376" s="33" t="s">
        <v>2058</v>
      </c>
      <c r="E1376" s="33">
        <v>1</v>
      </c>
      <c r="F1376" s="33" t="s">
        <v>2059</v>
      </c>
      <c r="G1376" s="14">
        <f>(VLOOKUP(D1376,'[1]BOM Info General'!$A:$L,12,0))*E1376</f>
        <v>35.56</v>
      </c>
      <c r="H1376" s="34" t="s">
        <v>39</v>
      </c>
      <c r="I1376" s="34">
        <v>1</v>
      </c>
      <c r="J1376" s="34" t="s">
        <v>46</v>
      </c>
      <c r="K1376" s="15">
        <f>(VLOOKUP(H1376,'[1]BOM Info General'!$A:$L,12,0))*I1376</f>
        <v>24.42</v>
      </c>
      <c r="L1376" s="35" t="s">
        <v>56</v>
      </c>
      <c r="M1376" s="35">
        <v>1</v>
      </c>
      <c r="N1376" s="35" t="s">
        <v>59</v>
      </c>
      <c r="O1376" s="9">
        <f>(VLOOKUP(L1376,'[1]Simulation pricing per sub assy'!$D:$E,2,0))*M1376</f>
        <v>51.27879999999999</v>
      </c>
      <c r="P1376" s="36" t="s">
        <v>50</v>
      </c>
      <c r="Q1376" s="36">
        <v>2</v>
      </c>
      <c r="R1376" s="36" t="s">
        <v>16</v>
      </c>
      <c r="S1376" s="40">
        <f>(VLOOKUP(P1376,'[1]BOM Info General'!$A:$L,12,0))*Q1376</f>
        <v>5.3</v>
      </c>
      <c r="T1376" s="37" t="s">
        <v>14</v>
      </c>
      <c r="U1376" s="37">
        <v>1</v>
      </c>
      <c r="V1376" s="37" t="s">
        <v>15</v>
      </c>
      <c r="W1376" s="17">
        <f>(VLOOKUP(T1376,'[1]Simulation pricing per sub assy'!$D:$E,2,0))*U1376</f>
        <v>1.9</v>
      </c>
      <c r="X1376" s="32" t="s">
        <v>615</v>
      </c>
      <c r="Y1376" s="38">
        <v>1</v>
      </c>
      <c r="Z1376" s="38" t="s">
        <v>9</v>
      </c>
      <c r="AA1376" s="18">
        <f>(VLOOKUP(X1376,'[1]Simulation pricing per sub assy'!$D:$E,2,0))*Y1376</f>
        <v>1.5769808000000001</v>
      </c>
    </row>
    <row r="1377" spans="1:27" x14ac:dyDescent="0.35">
      <c r="A1377" s="27" t="s">
        <v>2314</v>
      </c>
      <c r="B1377" s="27" t="s">
        <v>2315</v>
      </c>
      <c r="C1377" s="42">
        <f t="shared" si="21"/>
        <v>111.21578079999999</v>
      </c>
      <c r="D1377" s="33" t="s">
        <v>2058</v>
      </c>
      <c r="E1377" s="33">
        <v>1</v>
      </c>
      <c r="F1377" s="33" t="s">
        <v>2059</v>
      </c>
      <c r="G1377" s="14">
        <f>(VLOOKUP(D1377,'[1]BOM Info General'!$A:$L,12,0))*E1377</f>
        <v>35.56</v>
      </c>
      <c r="H1377" s="34" t="s">
        <v>39</v>
      </c>
      <c r="I1377" s="34">
        <v>1</v>
      </c>
      <c r="J1377" s="34" t="s">
        <v>46</v>
      </c>
      <c r="K1377" s="15">
        <f>(VLOOKUP(H1377,'[1]BOM Info General'!$A:$L,12,0))*I1377</f>
        <v>24.42</v>
      </c>
      <c r="L1377" s="35" t="s">
        <v>523</v>
      </c>
      <c r="M1377" s="35">
        <v>1</v>
      </c>
      <c r="N1377" s="35" t="s">
        <v>61</v>
      </c>
      <c r="O1377" s="9">
        <f>(VLOOKUP(L1377,'[1]Simulation pricing per sub assy'!$D:$E,2,0))*M1377</f>
        <v>42.308799999999991</v>
      </c>
      <c r="P1377" s="36" t="s">
        <v>51</v>
      </c>
      <c r="Q1377" s="36">
        <v>2</v>
      </c>
      <c r="R1377" s="36" t="s">
        <v>17</v>
      </c>
      <c r="S1377" s="40">
        <f>(VLOOKUP(P1377,'[1]BOM Info General'!$A:$L,12,0))*Q1377</f>
        <v>5.3</v>
      </c>
      <c r="T1377" s="37" t="s">
        <v>10</v>
      </c>
      <c r="U1377" s="37">
        <v>1</v>
      </c>
      <c r="V1377" s="37" t="s">
        <v>11</v>
      </c>
      <c r="W1377" s="17">
        <f>(VLOOKUP(T1377,'[1]Simulation pricing per sub assy'!$D:$E,2,0))*U1377</f>
        <v>2.0499999999999998</v>
      </c>
      <c r="X1377" s="32" t="s">
        <v>615</v>
      </c>
      <c r="Y1377" s="38">
        <v>1</v>
      </c>
      <c r="Z1377" s="38" t="s">
        <v>9</v>
      </c>
      <c r="AA1377" s="18">
        <f>(VLOOKUP(X1377,'[1]Simulation pricing per sub assy'!$D:$E,2,0))*Y1377</f>
        <v>1.5769808000000001</v>
      </c>
    </row>
    <row r="1378" spans="1:27" x14ac:dyDescent="0.35">
      <c r="A1378" s="27" t="s">
        <v>2316</v>
      </c>
      <c r="B1378" s="27" t="s">
        <v>2317</v>
      </c>
      <c r="C1378" s="42">
        <f t="shared" si="21"/>
        <v>112.19578079999999</v>
      </c>
      <c r="D1378" s="33" t="s">
        <v>2058</v>
      </c>
      <c r="E1378" s="33">
        <v>1</v>
      </c>
      <c r="F1378" s="33" t="s">
        <v>2059</v>
      </c>
      <c r="G1378" s="14">
        <f>(VLOOKUP(D1378,'[1]BOM Info General'!$A:$L,12,0))*E1378</f>
        <v>35.56</v>
      </c>
      <c r="H1378" s="34" t="s">
        <v>39</v>
      </c>
      <c r="I1378" s="34">
        <v>1</v>
      </c>
      <c r="J1378" s="34" t="s">
        <v>46</v>
      </c>
      <c r="K1378" s="15">
        <f>(VLOOKUP(H1378,'[1]BOM Info General'!$A:$L,12,0))*I1378</f>
        <v>24.42</v>
      </c>
      <c r="L1378" s="35" t="s">
        <v>58</v>
      </c>
      <c r="M1378" s="35">
        <v>1</v>
      </c>
      <c r="N1378" s="35" t="s">
        <v>55</v>
      </c>
      <c r="O1378" s="9">
        <f>(VLOOKUP(L1378,'[1]Simulation pricing per sub assy'!$D:$E,2,0))*M1378</f>
        <v>43.288799999999988</v>
      </c>
      <c r="P1378" s="36" t="s">
        <v>51</v>
      </c>
      <c r="Q1378" s="36">
        <v>2</v>
      </c>
      <c r="R1378" s="36" t="s">
        <v>17</v>
      </c>
      <c r="S1378" s="40">
        <f>(VLOOKUP(P1378,'[1]BOM Info General'!$A:$L,12,0))*Q1378</f>
        <v>5.3</v>
      </c>
      <c r="T1378" s="37" t="s">
        <v>10</v>
      </c>
      <c r="U1378" s="37">
        <v>1</v>
      </c>
      <c r="V1378" s="37" t="s">
        <v>11</v>
      </c>
      <c r="W1378" s="17">
        <f>(VLOOKUP(T1378,'[1]Simulation pricing per sub assy'!$D:$E,2,0))*U1378</f>
        <v>2.0499999999999998</v>
      </c>
      <c r="X1378" s="32" t="s">
        <v>615</v>
      </c>
      <c r="Y1378" s="38">
        <v>1</v>
      </c>
      <c r="Z1378" s="38" t="s">
        <v>9</v>
      </c>
      <c r="AA1378" s="18">
        <f>(VLOOKUP(X1378,'[1]Simulation pricing per sub assy'!$D:$E,2,0))*Y1378</f>
        <v>1.5769808000000001</v>
      </c>
    </row>
    <row r="1379" spans="1:27" x14ac:dyDescent="0.35">
      <c r="A1379" s="27" t="s">
        <v>2318</v>
      </c>
      <c r="B1379" s="27" t="s">
        <v>2319</v>
      </c>
      <c r="C1379" s="42">
        <f t="shared" si="21"/>
        <v>112.77578079999999</v>
      </c>
      <c r="D1379" s="33" t="s">
        <v>2058</v>
      </c>
      <c r="E1379" s="33">
        <v>1</v>
      </c>
      <c r="F1379" s="33" t="s">
        <v>2059</v>
      </c>
      <c r="G1379" s="14">
        <f>(VLOOKUP(D1379,'[1]BOM Info General'!$A:$L,12,0))*E1379</f>
        <v>35.56</v>
      </c>
      <c r="H1379" s="34" t="s">
        <v>39</v>
      </c>
      <c r="I1379" s="34">
        <v>1</v>
      </c>
      <c r="J1379" s="34" t="s">
        <v>46</v>
      </c>
      <c r="K1379" s="15">
        <f>(VLOOKUP(H1379,'[1]BOM Info General'!$A:$L,12,0))*I1379</f>
        <v>24.42</v>
      </c>
      <c r="L1379" s="35" t="s">
        <v>54</v>
      </c>
      <c r="M1379" s="35">
        <v>1</v>
      </c>
      <c r="N1379" s="35" t="s">
        <v>53</v>
      </c>
      <c r="O1379" s="9">
        <f>(VLOOKUP(L1379,'[1]Simulation pricing per sub assy'!$D:$E,2,0))*M1379</f>
        <v>43.868799999999993</v>
      </c>
      <c r="P1379" s="36" t="s">
        <v>51</v>
      </c>
      <c r="Q1379" s="36">
        <v>2</v>
      </c>
      <c r="R1379" s="36" t="s">
        <v>17</v>
      </c>
      <c r="S1379" s="40">
        <f>(VLOOKUP(P1379,'[1]BOM Info General'!$A:$L,12,0))*Q1379</f>
        <v>5.3</v>
      </c>
      <c r="T1379" s="37" t="s">
        <v>10</v>
      </c>
      <c r="U1379" s="37">
        <v>1</v>
      </c>
      <c r="V1379" s="37" t="s">
        <v>11</v>
      </c>
      <c r="W1379" s="17">
        <f>(VLOOKUP(T1379,'[1]Simulation pricing per sub assy'!$D:$E,2,0))*U1379</f>
        <v>2.0499999999999998</v>
      </c>
      <c r="X1379" s="32" t="s">
        <v>615</v>
      </c>
      <c r="Y1379" s="38">
        <v>1</v>
      </c>
      <c r="Z1379" s="38" t="s">
        <v>9</v>
      </c>
      <c r="AA1379" s="18">
        <f>(VLOOKUP(X1379,'[1]Simulation pricing per sub assy'!$D:$E,2,0))*Y1379</f>
        <v>1.5769808000000001</v>
      </c>
    </row>
    <row r="1380" spans="1:27" x14ac:dyDescent="0.35">
      <c r="A1380" s="27" t="s">
        <v>2320</v>
      </c>
      <c r="B1380" s="27" t="s">
        <v>2321</v>
      </c>
      <c r="C1380" s="42">
        <f t="shared" si="21"/>
        <v>112.51578079999999</v>
      </c>
      <c r="D1380" s="33" t="s">
        <v>2058</v>
      </c>
      <c r="E1380" s="33">
        <v>1</v>
      </c>
      <c r="F1380" s="33" t="s">
        <v>2059</v>
      </c>
      <c r="G1380" s="14">
        <f>(VLOOKUP(D1380,'[1]BOM Info General'!$A:$L,12,0))*E1380</f>
        <v>35.56</v>
      </c>
      <c r="H1380" s="34" t="s">
        <v>39</v>
      </c>
      <c r="I1380" s="34">
        <v>1</v>
      </c>
      <c r="J1380" s="34" t="s">
        <v>46</v>
      </c>
      <c r="K1380" s="15">
        <f>(VLOOKUP(H1380,'[1]BOM Info General'!$A:$L,12,0))*I1380</f>
        <v>24.42</v>
      </c>
      <c r="L1380" s="35" t="s">
        <v>60</v>
      </c>
      <c r="M1380" s="35">
        <v>1</v>
      </c>
      <c r="N1380" s="35" t="s">
        <v>57</v>
      </c>
      <c r="O1380" s="9">
        <f>(VLOOKUP(L1380,'[1]Simulation pricing per sub assy'!$D:$E,2,0))*M1380</f>
        <v>43.608799999999988</v>
      </c>
      <c r="P1380" s="36" t="s">
        <v>51</v>
      </c>
      <c r="Q1380" s="36">
        <v>2</v>
      </c>
      <c r="R1380" s="36" t="s">
        <v>17</v>
      </c>
      <c r="S1380" s="40">
        <f>(VLOOKUP(P1380,'[1]BOM Info General'!$A:$L,12,0))*Q1380</f>
        <v>5.3</v>
      </c>
      <c r="T1380" s="37" t="s">
        <v>10</v>
      </c>
      <c r="U1380" s="37">
        <v>1</v>
      </c>
      <c r="V1380" s="37" t="s">
        <v>11</v>
      </c>
      <c r="W1380" s="17">
        <f>(VLOOKUP(T1380,'[1]Simulation pricing per sub assy'!$D:$E,2,0))*U1380</f>
        <v>2.0499999999999998</v>
      </c>
      <c r="X1380" s="32" t="s">
        <v>615</v>
      </c>
      <c r="Y1380" s="38">
        <v>1</v>
      </c>
      <c r="Z1380" s="38" t="s">
        <v>9</v>
      </c>
      <c r="AA1380" s="18">
        <f>(VLOOKUP(X1380,'[1]Simulation pricing per sub assy'!$D:$E,2,0))*Y1380</f>
        <v>1.5769808000000001</v>
      </c>
    </row>
    <row r="1381" spans="1:27" x14ac:dyDescent="0.35">
      <c r="A1381" s="27" t="s">
        <v>2322</v>
      </c>
      <c r="B1381" s="27" t="s">
        <v>2323</v>
      </c>
      <c r="C1381" s="42">
        <f t="shared" si="21"/>
        <v>120.18578079999999</v>
      </c>
      <c r="D1381" s="33" t="s">
        <v>2058</v>
      </c>
      <c r="E1381" s="33">
        <v>1</v>
      </c>
      <c r="F1381" s="33" t="s">
        <v>2059</v>
      </c>
      <c r="G1381" s="14">
        <f>(VLOOKUP(D1381,'[1]BOM Info General'!$A:$L,12,0))*E1381</f>
        <v>35.56</v>
      </c>
      <c r="H1381" s="34" t="s">
        <v>39</v>
      </c>
      <c r="I1381" s="34">
        <v>1</v>
      </c>
      <c r="J1381" s="34" t="s">
        <v>46</v>
      </c>
      <c r="K1381" s="15">
        <f>(VLOOKUP(H1381,'[1]BOM Info General'!$A:$L,12,0))*I1381</f>
        <v>24.42</v>
      </c>
      <c r="L1381" s="35" t="s">
        <v>56</v>
      </c>
      <c r="M1381" s="35">
        <v>1</v>
      </c>
      <c r="N1381" s="35" t="s">
        <v>59</v>
      </c>
      <c r="O1381" s="9">
        <f>(VLOOKUP(L1381,'[1]Simulation pricing per sub assy'!$D:$E,2,0))*M1381</f>
        <v>51.27879999999999</v>
      </c>
      <c r="P1381" s="36" t="s">
        <v>51</v>
      </c>
      <c r="Q1381" s="36">
        <v>2</v>
      </c>
      <c r="R1381" s="36" t="s">
        <v>17</v>
      </c>
      <c r="S1381" s="40">
        <f>(VLOOKUP(P1381,'[1]BOM Info General'!$A:$L,12,0))*Q1381</f>
        <v>5.3</v>
      </c>
      <c r="T1381" s="37" t="s">
        <v>10</v>
      </c>
      <c r="U1381" s="37">
        <v>1</v>
      </c>
      <c r="V1381" s="37" t="s">
        <v>11</v>
      </c>
      <c r="W1381" s="17">
        <f>(VLOOKUP(T1381,'[1]Simulation pricing per sub assy'!$D:$E,2,0))*U1381</f>
        <v>2.0499999999999998</v>
      </c>
      <c r="X1381" s="32" t="s">
        <v>615</v>
      </c>
      <c r="Y1381" s="38">
        <v>1</v>
      </c>
      <c r="Z1381" s="38" t="s">
        <v>9</v>
      </c>
      <c r="AA1381" s="18">
        <f>(VLOOKUP(X1381,'[1]Simulation pricing per sub assy'!$D:$E,2,0))*Y1381</f>
        <v>1.5769808000000001</v>
      </c>
    </row>
    <row r="1382" spans="1:27" x14ac:dyDescent="0.35">
      <c r="A1382" s="27" t="s">
        <v>2324</v>
      </c>
      <c r="B1382" s="27" t="s">
        <v>2325</v>
      </c>
      <c r="C1382" s="42">
        <f t="shared" si="21"/>
        <v>111.0657808</v>
      </c>
      <c r="D1382" s="33" t="s">
        <v>2058</v>
      </c>
      <c r="E1382" s="33">
        <v>1</v>
      </c>
      <c r="F1382" s="33" t="s">
        <v>2059</v>
      </c>
      <c r="G1382" s="14">
        <f>(VLOOKUP(D1382,'[1]BOM Info General'!$A:$L,12,0))*E1382</f>
        <v>35.56</v>
      </c>
      <c r="H1382" s="34" t="s">
        <v>39</v>
      </c>
      <c r="I1382" s="34">
        <v>1</v>
      </c>
      <c r="J1382" s="34" t="s">
        <v>46</v>
      </c>
      <c r="K1382" s="15">
        <f>(VLOOKUP(H1382,'[1]BOM Info General'!$A:$L,12,0))*I1382</f>
        <v>24.42</v>
      </c>
      <c r="L1382" s="35" t="s">
        <v>523</v>
      </c>
      <c r="M1382" s="35">
        <v>1</v>
      </c>
      <c r="N1382" s="35" t="s">
        <v>61</v>
      </c>
      <c r="O1382" s="9">
        <f>(VLOOKUP(L1382,'[1]Simulation pricing per sub assy'!$D:$E,2,0))*M1382</f>
        <v>42.308799999999991</v>
      </c>
      <c r="P1382" s="36" t="s">
        <v>51</v>
      </c>
      <c r="Q1382" s="36">
        <v>2</v>
      </c>
      <c r="R1382" s="36" t="s">
        <v>17</v>
      </c>
      <c r="S1382" s="40">
        <f>(VLOOKUP(P1382,'[1]BOM Info General'!$A:$L,12,0))*Q1382</f>
        <v>5.3</v>
      </c>
      <c r="T1382" s="37" t="s">
        <v>12</v>
      </c>
      <c r="U1382" s="37">
        <v>1</v>
      </c>
      <c r="V1382" s="37" t="s">
        <v>13</v>
      </c>
      <c r="W1382" s="17">
        <f>(VLOOKUP(T1382,'[1]Simulation pricing per sub assy'!$D:$E,2,0))*U1382</f>
        <v>1.9</v>
      </c>
      <c r="X1382" s="32" t="s">
        <v>615</v>
      </c>
      <c r="Y1382" s="38">
        <v>1</v>
      </c>
      <c r="Z1382" s="38" t="s">
        <v>9</v>
      </c>
      <c r="AA1382" s="18">
        <f>(VLOOKUP(X1382,'[1]Simulation pricing per sub assy'!$D:$E,2,0))*Y1382</f>
        <v>1.5769808000000001</v>
      </c>
    </row>
    <row r="1383" spans="1:27" x14ac:dyDescent="0.35">
      <c r="A1383" s="27" t="s">
        <v>2326</v>
      </c>
      <c r="B1383" s="27" t="s">
        <v>2327</v>
      </c>
      <c r="C1383" s="42">
        <f t="shared" si="21"/>
        <v>112.0457808</v>
      </c>
      <c r="D1383" s="33" t="s">
        <v>2058</v>
      </c>
      <c r="E1383" s="33">
        <v>1</v>
      </c>
      <c r="F1383" s="33" t="s">
        <v>2059</v>
      </c>
      <c r="G1383" s="14">
        <f>(VLOOKUP(D1383,'[1]BOM Info General'!$A:$L,12,0))*E1383</f>
        <v>35.56</v>
      </c>
      <c r="H1383" s="34" t="s">
        <v>39</v>
      </c>
      <c r="I1383" s="34">
        <v>1</v>
      </c>
      <c r="J1383" s="34" t="s">
        <v>46</v>
      </c>
      <c r="K1383" s="15">
        <f>(VLOOKUP(H1383,'[1]BOM Info General'!$A:$L,12,0))*I1383</f>
        <v>24.42</v>
      </c>
      <c r="L1383" s="35" t="s">
        <v>58</v>
      </c>
      <c r="M1383" s="35">
        <v>1</v>
      </c>
      <c r="N1383" s="35" t="s">
        <v>55</v>
      </c>
      <c r="O1383" s="9">
        <f>(VLOOKUP(L1383,'[1]Simulation pricing per sub assy'!$D:$E,2,0))*M1383</f>
        <v>43.288799999999988</v>
      </c>
      <c r="P1383" s="36" t="s">
        <v>51</v>
      </c>
      <c r="Q1383" s="36">
        <v>2</v>
      </c>
      <c r="R1383" s="36" t="s">
        <v>17</v>
      </c>
      <c r="S1383" s="40">
        <f>(VLOOKUP(P1383,'[1]BOM Info General'!$A:$L,12,0))*Q1383</f>
        <v>5.3</v>
      </c>
      <c r="T1383" s="37" t="s">
        <v>12</v>
      </c>
      <c r="U1383" s="37">
        <v>1</v>
      </c>
      <c r="V1383" s="37" t="s">
        <v>13</v>
      </c>
      <c r="W1383" s="17">
        <f>(VLOOKUP(T1383,'[1]Simulation pricing per sub assy'!$D:$E,2,0))*U1383</f>
        <v>1.9</v>
      </c>
      <c r="X1383" s="32" t="s">
        <v>615</v>
      </c>
      <c r="Y1383" s="38">
        <v>1</v>
      </c>
      <c r="Z1383" s="38" t="s">
        <v>9</v>
      </c>
      <c r="AA1383" s="18">
        <f>(VLOOKUP(X1383,'[1]Simulation pricing per sub assy'!$D:$E,2,0))*Y1383</f>
        <v>1.5769808000000001</v>
      </c>
    </row>
    <row r="1384" spans="1:27" x14ac:dyDescent="0.35">
      <c r="A1384" s="27" t="s">
        <v>2328</v>
      </c>
      <c r="B1384" s="27" t="s">
        <v>2329</v>
      </c>
      <c r="C1384" s="42">
        <f t="shared" si="21"/>
        <v>112.6257808</v>
      </c>
      <c r="D1384" s="33" t="s">
        <v>2058</v>
      </c>
      <c r="E1384" s="33">
        <v>1</v>
      </c>
      <c r="F1384" s="33" t="s">
        <v>2059</v>
      </c>
      <c r="G1384" s="14">
        <f>(VLOOKUP(D1384,'[1]BOM Info General'!$A:$L,12,0))*E1384</f>
        <v>35.56</v>
      </c>
      <c r="H1384" s="34" t="s">
        <v>39</v>
      </c>
      <c r="I1384" s="34">
        <v>1</v>
      </c>
      <c r="J1384" s="34" t="s">
        <v>46</v>
      </c>
      <c r="K1384" s="15">
        <f>(VLOOKUP(H1384,'[1]BOM Info General'!$A:$L,12,0))*I1384</f>
        <v>24.42</v>
      </c>
      <c r="L1384" s="35" t="s">
        <v>54</v>
      </c>
      <c r="M1384" s="35">
        <v>1</v>
      </c>
      <c r="N1384" s="35" t="s">
        <v>53</v>
      </c>
      <c r="O1384" s="9">
        <f>(VLOOKUP(L1384,'[1]Simulation pricing per sub assy'!$D:$E,2,0))*M1384</f>
        <v>43.868799999999993</v>
      </c>
      <c r="P1384" s="36" t="s">
        <v>51</v>
      </c>
      <c r="Q1384" s="36">
        <v>2</v>
      </c>
      <c r="R1384" s="36" t="s">
        <v>17</v>
      </c>
      <c r="S1384" s="40">
        <f>(VLOOKUP(P1384,'[1]BOM Info General'!$A:$L,12,0))*Q1384</f>
        <v>5.3</v>
      </c>
      <c r="T1384" s="37" t="s">
        <v>12</v>
      </c>
      <c r="U1384" s="37">
        <v>1</v>
      </c>
      <c r="V1384" s="37" t="s">
        <v>13</v>
      </c>
      <c r="W1384" s="17">
        <f>(VLOOKUP(T1384,'[1]Simulation pricing per sub assy'!$D:$E,2,0))*U1384</f>
        <v>1.9</v>
      </c>
      <c r="X1384" s="32" t="s">
        <v>615</v>
      </c>
      <c r="Y1384" s="38">
        <v>1</v>
      </c>
      <c r="Z1384" s="38" t="s">
        <v>9</v>
      </c>
      <c r="AA1384" s="18">
        <f>(VLOOKUP(X1384,'[1]Simulation pricing per sub assy'!$D:$E,2,0))*Y1384</f>
        <v>1.5769808000000001</v>
      </c>
    </row>
    <row r="1385" spans="1:27" x14ac:dyDescent="0.35">
      <c r="A1385" s="27" t="s">
        <v>2330</v>
      </c>
      <c r="B1385" s="27" t="s">
        <v>2331</v>
      </c>
      <c r="C1385" s="42">
        <f t="shared" si="21"/>
        <v>112.3657808</v>
      </c>
      <c r="D1385" s="33" t="s">
        <v>2058</v>
      </c>
      <c r="E1385" s="33">
        <v>1</v>
      </c>
      <c r="F1385" s="33" t="s">
        <v>2059</v>
      </c>
      <c r="G1385" s="14">
        <f>(VLOOKUP(D1385,'[1]BOM Info General'!$A:$L,12,0))*E1385</f>
        <v>35.56</v>
      </c>
      <c r="H1385" s="34" t="s">
        <v>39</v>
      </c>
      <c r="I1385" s="34">
        <v>1</v>
      </c>
      <c r="J1385" s="34" t="s">
        <v>46</v>
      </c>
      <c r="K1385" s="15">
        <f>(VLOOKUP(H1385,'[1]BOM Info General'!$A:$L,12,0))*I1385</f>
        <v>24.42</v>
      </c>
      <c r="L1385" s="35" t="s">
        <v>60</v>
      </c>
      <c r="M1385" s="35">
        <v>1</v>
      </c>
      <c r="N1385" s="35" t="s">
        <v>57</v>
      </c>
      <c r="O1385" s="9">
        <f>(VLOOKUP(L1385,'[1]Simulation pricing per sub assy'!$D:$E,2,0))*M1385</f>
        <v>43.608799999999988</v>
      </c>
      <c r="P1385" s="36" t="s">
        <v>51</v>
      </c>
      <c r="Q1385" s="36">
        <v>2</v>
      </c>
      <c r="R1385" s="36" t="s">
        <v>17</v>
      </c>
      <c r="S1385" s="40">
        <f>(VLOOKUP(P1385,'[1]BOM Info General'!$A:$L,12,0))*Q1385</f>
        <v>5.3</v>
      </c>
      <c r="T1385" s="37" t="s">
        <v>12</v>
      </c>
      <c r="U1385" s="37">
        <v>1</v>
      </c>
      <c r="V1385" s="37" t="s">
        <v>13</v>
      </c>
      <c r="W1385" s="17">
        <f>(VLOOKUP(T1385,'[1]Simulation pricing per sub assy'!$D:$E,2,0))*U1385</f>
        <v>1.9</v>
      </c>
      <c r="X1385" s="32" t="s">
        <v>615</v>
      </c>
      <c r="Y1385" s="38">
        <v>1</v>
      </c>
      <c r="Z1385" s="38" t="s">
        <v>9</v>
      </c>
      <c r="AA1385" s="18">
        <f>(VLOOKUP(X1385,'[1]Simulation pricing per sub assy'!$D:$E,2,0))*Y1385</f>
        <v>1.5769808000000001</v>
      </c>
    </row>
    <row r="1386" spans="1:27" x14ac:dyDescent="0.35">
      <c r="A1386" s="27" t="s">
        <v>2332</v>
      </c>
      <c r="B1386" s="27" t="s">
        <v>2333</v>
      </c>
      <c r="C1386" s="42">
        <f t="shared" si="21"/>
        <v>120.0357808</v>
      </c>
      <c r="D1386" s="33" t="s">
        <v>2058</v>
      </c>
      <c r="E1386" s="33">
        <v>1</v>
      </c>
      <c r="F1386" s="33" t="s">
        <v>2059</v>
      </c>
      <c r="G1386" s="14">
        <f>(VLOOKUP(D1386,'[1]BOM Info General'!$A:$L,12,0))*E1386</f>
        <v>35.56</v>
      </c>
      <c r="H1386" s="34" t="s">
        <v>39</v>
      </c>
      <c r="I1386" s="34">
        <v>1</v>
      </c>
      <c r="J1386" s="34" t="s">
        <v>46</v>
      </c>
      <c r="K1386" s="15">
        <f>(VLOOKUP(H1386,'[1]BOM Info General'!$A:$L,12,0))*I1386</f>
        <v>24.42</v>
      </c>
      <c r="L1386" s="35" t="s">
        <v>56</v>
      </c>
      <c r="M1386" s="35">
        <v>1</v>
      </c>
      <c r="N1386" s="35" t="s">
        <v>59</v>
      </c>
      <c r="O1386" s="9">
        <f>(VLOOKUP(L1386,'[1]Simulation pricing per sub assy'!$D:$E,2,0))*M1386</f>
        <v>51.27879999999999</v>
      </c>
      <c r="P1386" s="36" t="s">
        <v>51</v>
      </c>
      <c r="Q1386" s="36">
        <v>2</v>
      </c>
      <c r="R1386" s="36" t="s">
        <v>17</v>
      </c>
      <c r="S1386" s="40">
        <f>(VLOOKUP(P1386,'[1]BOM Info General'!$A:$L,12,0))*Q1386</f>
        <v>5.3</v>
      </c>
      <c r="T1386" s="37" t="s">
        <v>12</v>
      </c>
      <c r="U1386" s="37">
        <v>1</v>
      </c>
      <c r="V1386" s="37" t="s">
        <v>13</v>
      </c>
      <c r="W1386" s="17">
        <f>(VLOOKUP(T1386,'[1]Simulation pricing per sub assy'!$D:$E,2,0))*U1386</f>
        <v>1.9</v>
      </c>
      <c r="X1386" s="32" t="s">
        <v>615</v>
      </c>
      <c r="Y1386" s="38">
        <v>1</v>
      </c>
      <c r="Z1386" s="38" t="s">
        <v>9</v>
      </c>
      <c r="AA1386" s="18">
        <f>(VLOOKUP(X1386,'[1]Simulation pricing per sub assy'!$D:$E,2,0))*Y1386</f>
        <v>1.5769808000000001</v>
      </c>
    </row>
    <row r="1387" spans="1:27" x14ac:dyDescent="0.35">
      <c r="A1387" s="27" t="s">
        <v>2334</v>
      </c>
      <c r="B1387" s="27" t="s">
        <v>2335</v>
      </c>
      <c r="C1387" s="42">
        <f t="shared" si="21"/>
        <v>111.0657808</v>
      </c>
      <c r="D1387" s="33" t="s">
        <v>2058</v>
      </c>
      <c r="E1387" s="33">
        <v>1</v>
      </c>
      <c r="F1387" s="33" t="s">
        <v>2059</v>
      </c>
      <c r="G1387" s="14">
        <f>(VLOOKUP(D1387,'[1]BOM Info General'!$A:$L,12,0))*E1387</f>
        <v>35.56</v>
      </c>
      <c r="H1387" s="34" t="s">
        <v>39</v>
      </c>
      <c r="I1387" s="34">
        <v>1</v>
      </c>
      <c r="J1387" s="34" t="s">
        <v>46</v>
      </c>
      <c r="K1387" s="15">
        <f>(VLOOKUP(H1387,'[1]BOM Info General'!$A:$L,12,0))*I1387</f>
        <v>24.42</v>
      </c>
      <c r="L1387" s="35" t="s">
        <v>523</v>
      </c>
      <c r="M1387" s="35">
        <v>1</v>
      </c>
      <c r="N1387" s="35" t="s">
        <v>61</v>
      </c>
      <c r="O1387" s="9">
        <f>(VLOOKUP(L1387,'[1]Simulation pricing per sub assy'!$D:$E,2,0))*M1387</f>
        <v>42.308799999999991</v>
      </c>
      <c r="P1387" s="36" t="s">
        <v>51</v>
      </c>
      <c r="Q1387" s="36">
        <v>2</v>
      </c>
      <c r="R1387" s="36" t="s">
        <v>17</v>
      </c>
      <c r="S1387" s="40">
        <f>(VLOOKUP(P1387,'[1]BOM Info General'!$A:$L,12,0))*Q1387</f>
        <v>5.3</v>
      </c>
      <c r="T1387" s="37" t="s">
        <v>14</v>
      </c>
      <c r="U1387" s="37">
        <v>1</v>
      </c>
      <c r="V1387" s="37" t="s">
        <v>15</v>
      </c>
      <c r="W1387" s="17">
        <f>(VLOOKUP(T1387,'[1]Simulation pricing per sub assy'!$D:$E,2,0))*U1387</f>
        <v>1.9</v>
      </c>
      <c r="X1387" s="32" t="s">
        <v>615</v>
      </c>
      <c r="Y1387" s="38">
        <v>1</v>
      </c>
      <c r="Z1387" s="38" t="s">
        <v>9</v>
      </c>
      <c r="AA1387" s="18">
        <f>(VLOOKUP(X1387,'[1]Simulation pricing per sub assy'!$D:$E,2,0))*Y1387</f>
        <v>1.5769808000000001</v>
      </c>
    </row>
    <row r="1388" spans="1:27" x14ac:dyDescent="0.35">
      <c r="A1388" s="27" t="s">
        <v>2336</v>
      </c>
      <c r="B1388" s="27" t="s">
        <v>2337</v>
      </c>
      <c r="C1388" s="42">
        <f t="shared" si="21"/>
        <v>112.0457808</v>
      </c>
      <c r="D1388" s="33" t="s">
        <v>2058</v>
      </c>
      <c r="E1388" s="33">
        <v>1</v>
      </c>
      <c r="F1388" s="33" t="s">
        <v>2059</v>
      </c>
      <c r="G1388" s="14">
        <f>(VLOOKUP(D1388,'[1]BOM Info General'!$A:$L,12,0))*E1388</f>
        <v>35.56</v>
      </c>
      <c r="H1388" s="34" t="s">
        <v>39</v>
      </c>
      <c r="I1388" s="34">
        <v>1</v>
      </c>
      <c r="J1388" s="34" t="s">
        <v>46</v>
      </c>
      <c r="K1388" s="15">
        <f>(VLOOKUP(H1388,'[1]BOM Info General'!$A:$L,12,0))*I1388</f>
        <v>24.42</v>
      </c>
      <c r="L1388" s="35" t="s">
        <v>58</v>
      </c>
      <c r="M1388" s="35">
        <v>1</v>
      </c>
      <c r="N1388" s="35" t="s">
        <v>55</v>
      </c>
      <c r="O1388" s="9">
        <f>(VLOOKUP(L1388,'[1]Simulation pricing per sub assy'!$D:$E,2,0))*M1388</f>
        <v>43.288799999999988</v>
      </c>
      <c r="P1388" s="36" t="s">
        <v>51</v>
      </c>
      <c r="Q1388" s="36">
        <v>2</v>
      </c>
      <c r="R1388" s="36" t="s">
        <v>17</v>
      </c>
      <c r="S1388" s="40">
        <f>(VLOOKUP(P1388,'[1]BOM Info General'!$A:$L,12,0))*Q1388</f>
        <v>5.3</v>
      </c>
      <c r="T1388" s="37" t="s">
        <v>14</v>
      </c>
      <c r="U1388" s="37">
        <v>1</v>
      </c>
      <c r="V1388" s="37" t="s">
        <v>15</v>
      </c>
      <c r="W1388" s="17">
        <f>(VLOOKUP(T1388,'[1]Simulation pricing per sub assy'!$D:$E,2,0))*U1388</f>
        <v>1.9</v>
      </c>
      <c r="X1388" s="32" t="s">
        <v>615</v>
      </c>
      <c r="Y1388" s="38">
        <v>1</v>
      </c>
      <c r="Z1388" s="38" t="s">
        <v>9</v>
      </c>
      <c r="AA1388" s="18">
        <f>(VLOOKUP(X1388,'[1]Simulation pricing per sub assy'!$D:$E,2,0))*Y1388</f>
        <v>1.5769808000000001</v>
      </c>
    </row>
    <row r="1389" spans="1:27" x14ac:dyDescent="0.35">
      <c r="A1389" s="27" t="s">
        <v>2338</v>
      </c>
      <c r="B1389" s="27" t="s">
        <v>2339</v>
      </c>
      <c r="C1389" s="42">
        <f t="shared" si="21"/>
        <v>112.6257808</v>
      </c>
      <c r="D1389" s="33" t="s">
        <v>2058</v>
      </c>
      <c r="E1389" s="33">
        <v>1</v>
      </c>
      <c r="F1389" s="33" t="s">
        <v>2059</v>
      </c>
      <c r="G1389" s="14">
        <f>(VLOOKUP(D1389,'[1]BOM Info General'!$A:$L,12,0))*E1389</f>
        <v>35.56</v>
      </c>
      <c r="H1389" s="34" t="s">
        <v>39</v>
      </c>
      <c r="I1389" s="34">
        <v>1</v>
      </c>
      <c r="J1389" s="34" t="s">
        <v>46</v>
      </c>
      <c r="K1389" s="15">
        <f>(VLOOKUP(H1389,'[1]BOM Info General'!$A:$L,12,0))*I1389</f>
        <v>24.42</v>
      </c>
      <c r="L1389" s="35" t="s">
        <v>54</v>
      </c>
      <c r="M1389" s="35">
        <v>1</v>
      </c>
      <c r="N1389" s="35" t="s">
        <v>53</v>
      </c>
      <c r="O1389" s="9">
        <f>(VLOOKUP(L1389,'[1]Simulation pricing per sub assy'!$D:$E,2,0))*M1389</f>
        <v>43.868799999999993</v>
      </c>
      <c r="P1389" s="36" t="s">
        <v>51</v>
      </c>
      <c r="Q1389" s="36">
        <v>2</v>
      </c>
      <c r="R1389" s="36" t="s">
        <v>17</v>
      </c>
      <c r="S1389" s="40">
        <f>(VLOOKUP(P1389,'[1]BOM Info General'!$A:$L,12,0))*Q1389</f>
        <v>5.3</v>
      </c>
      <c r="T1389" s="37" t="s">
        <v>14</v>
      </c>
      <c r="U1389" s="37">
        <v>1</v>
      </c>
      <c r="V1389" s="37" t="s">
        <v>15</v>
      </c>
      <c r="W1389" s="17">
        <f>(VLOOKUP(T1389,'[1]Simulation pricing per sub assy'!$D:$E,2,0))*U1389</f>
        <v>1.9</v>
      </c>
      <c r="X1389" s="32" t="s">
        <v>615</v>
      </c>
      <c r="Y1389" s="38">
        <v>1</v>
      </c>
      <c r="Z1389" s="38" t="s">
        <v>9</v>
      </c>
      <c r="AA1389" s="18">
        <f>(VLOOKUP(X1389,'[1]Simulation pricing per sub assy'!$D:$E,2,0))*Y1389</f>
        <v>1.5769808000000001</v>
      </c>
    </row>
    <row r="1390" spans="1:27" x14ac:dyDescent="0.35">
      <c r="A1390" s="27" t="s">
        <v>2340</v>
      </c>
      <c r="B1390" s="27" t="s">
        <v>2341</v>
      </c>
      <c r="C1390" s="42">
        <f t="shared" si="21"/>
        <v>112.3657808</v>
      </c>
      <c r="D1390" s="33" t="s">
        <v>2058</v>
      </c>
      <c r="E1390" s="33">
        <v>1</v>
      </c>
      <c r="F1390" s="33" t="s">
        <v>2059</v>
      </c>
      <c r="G1390" s="14">
        <f>(VLOOKUP(D1390,'[1]BOM Info General'!$A:$L,12,0))*E1390</f>
        <v>35.56</v>
      </c>
      <c r="H1390" s="34" t="s">
        <v>39</v>
      </c>
      <c r="I1390" s="34">
        <v>1</v>
      </c>
      <c r="J1390" s="34" t="s">
        <v>46</v>
      </c>
      <c r="K1390" s="15">
        <f>(VLOOKUP(H1390,'[1]BOM Info General'!$A:$L,12,0))*I1390</f>
        <v>24.42</v>
      </c>
      <c r="L1390" s="35" t="s">
        <v>60</v>
      </c>
      <c r="M1390" s="35">
        <v>1</v>
      </c>
      <c r="N1390" s="35" t="s">
        <v>57</v>
      </c>
      <c r="O1390" s="9">
        <f>(VLOOKUP(L1390,'[1]Simulation pricing per sub assy'!$D:$E,2,0))*M1390</f>
        <v>43.608799999999988</v>
      </c>
      <c r="P1390" s="36" t="s">
        <v>51</v>
      </c>
      <c r="Q1390" s="36">
        <v>2</v>
      </c>
      <c r="R1390" s="36" t="s">
        <v>17</v>
      </c>
      <c r="S1390" s="40">
        <f>(VLOOKUP(P1390,'[1]BOM Info General'!$A:$L,12,0))*Q1390</f>
        <v>5.3</v>
      </c>
      <c r="T1390" s="37" t="s">
        <v>14</v>
      </c>
      <c r="U1390" s="37">
        <v>1</v>
      </c>
      <c r="V1390" s="37" t="s">
        <v>15</v>
      </c>
      <c r="W1390" s="17">
        <f>(VLOOKUP(T1390,'[1]Simulation pricing per sub assy'!$D:$E,2,0))*U1390</f>
        <v>1.9</v>
      </c>
      <c r="X1390" s="32" t="s">
        <v>615</v>
      </c>
      <c r="Y1390" s="38">
        <v>1</v>
      </c>
      <c r="Z1390" s="38" t="s">
        <v>9</v>
      </c>
      <c r="AA1390" s="18">
        <f>(VLOOKUP(X1390,'[1]Simulation pricing per sub assy'!$D:$E,2,0))*Y1390</f>
        <v>1.5769808000000001</v>
      </c>
    </row>
    <row r="1391" spans="1:27" x14ac:dyDescent="0.35">
      <c r="A1391" s="27" t="s">
        <v>2342</v>
      </c>
      <c r="B1391" s="27" t="s">
        <v>2343</v>
      </c>
      <c r="C1391" s="42">
        <f t="shared" si="21"/>
        <v>120.0357808</v>
      </c>
      <c r="D1391" s="33" t="s">
        <v>2058</v>
      </c>
      <c r="E1391" s="33">
        <v>1</v>
      </c>
      <c r="F1391" s="33" t="s">
        <v>2059</v>
      </c>
      <c r="G1391" s="14">
        <f>(VLOOKUP(D1391,'[1]BOM Info General'!$A:$L,12,0))*E1391</f>
        <v>35.56</v>
      </c>
      <c r="H1391" s="34" t="s">
        <v>39</v>
      </c>
      <c r="I1391" s="34">
        <v>1</v>
      </c>
      <c r="J1391" s="34" t="s">
        <v>46</v>
      </c>
      <c r="K1391" s="15">
        <f>(VLOOKUP(H1391,'[1]BOM Info General'!$A:$L,12,0))*I1391</f>
        <v>24.42</v>
      </c>
      <c r="L1391" s="35" t="s">
        <v>56</v>
      </c>
      <c r="M1391" s="35">
        <v>1</v>
      </c>
      <c r="N1391" s="35" t="s">
        <v>59</v>
      </c>
      <c r="O1391" s="9">
        <f>(VLOOKUP(L1391,'[1]Simulation pricing per sub assy'!$D:$E,2,0))*M1391</f>
        <v>51.27879999999999</v>
      </c>
      <c r="P1391" s="36" t="s">
        <v>51</v>
      </c>
      <c r="Q1391" s="36">
        <v>2</v>
      </c>
      <c r="R1391" s="36" t="s">
        <v>17</v>
      </c>
      <c r="S1391" s="40">
        <f>(VLOOKUP(P1391,'[1]BOM Info General'!$A:$L,12,0))*Q1391</f>
        <v>5.3</v>
      </c>
      <c r="T1391" s="37" t="s">
        <v>14</v>
      </c>
      <c r="U1391" s="37">
        <v>1</v>
      </c>
      <c r="V1391" s="37" t="s">
        <v>15</v>
      </c>
      <c r="W1391" s="17">
        <f>(VLOOKUP(T1391,'[1]Simulation pricing per sub assy'!$D:$E,2,0))*U1391</f>
        <v>1.9</v>
      </c>
      <c r="X1391" s="32" t="s">
        <v>615</v>
      </c>
      <c r="Y1391" s="38">
        <v>1</v>
      </c>
      <c r="Z1391" s="38" t="s">
        <v>9</v>
      </c>
      <c r="AA1391" s="18">
        <f>(VLOOKUP(X1391,'[1]Simulation pricing per sub assy'!$D:$E,2,0))*Y1391</f>
        <v>1.5769808000000001</v>
      </c>
    </row>
    <row r="1392" spans="1:27" x14ac:dyDescent="0.35">
      <c r="A1392" s="27" t="s">
        <v>2344</v>
      </c>
      <c r="B1392" s="27" t="s">
        <v>2345</v>
      </c>
      <c r="C1392" s="42">
        <f t="shared" si="21"/>
        <v>111.21578079999999</v>
      </c>
      <c r="D1392" s="33" t="s">
        <v>2058</v>
      </c>
      <c r="E1392" s="33">
        <v>1</v>
      </c>
      <c r="F1392" s="33" t="s">
        <v>2059</v>
      </c>
      <c r="G1392" s="14">
        <f>(VLOOKUP(D1392,'[1]BOM Info General'!$A:$L,12,0))*E1392</f>
        <v>35.56</v>
      </c>
      <c r="H1392" s="34" t="s">
        <v>39</v>
      </c>
      <c r="I1392" s="34">
        <v>1</v>
      </c>
      <c r="J1392" s="34" t="s">
        <v>46</v>
      </c>
      <c r="K1392" s="15">
        <f>(VLOOKUP(H1392,'[1]BOM Info General'!$A:$L,12,0))*I1392</f>
        <v>24.42</v>
      </c>
      <c r="L1392" s="35" t="s">
        <v>523</v>
      </c>
      <c r="M1392" s="35">
        <v>1</v>
      </c>
      <c r="N1392" s="35" t="s">
        <v>61</v>
      </c>
      <c r="O1392" s="9">
        <f>(VLOOKUP(L1392,'[1]Simulation pricing per sub assy'!$D:$E,2,0))*M1392</f>
        <v>42.308799999999991</v>
      </c>
      <c r="P1392" s="36" t="s">
        <v>52</v>
      </c>
      <c r="Q1392" s="36">
        <v>2</v>
      </c>
      <c r="R1392" s="36" t="s">
        <v>18</v>
      </c>
      <c r="S1392" s="40">
        <f>(VLOOKUP(P1392,'[1]BOM Info General'!$A:$L,12,0))*Q1392</f>
        <v>5.3</v>
      </c>
      <c r="T1392" s="37" t="s">
        <v>10</v>
      </c>
      <c r="U1392" s="37">
        <v>1</v>
      </c>
      <c r="V1392" s="37" t="s">
        <v>11</v>
      </c>
      <c r="W1392" s="17">
        <f>(VLOOKUP(T1392,'[1]Simulation pricing per sub assy'!$D:$E,2,0))*U1392</f>
        <v>2.0499999999999998</v>
      </c>
      <c r="X1392" s="32" t="s">
        <v>615</v>
      </c>
      <c r="Y1392" s="38">
        <v>1</v>
      </c>
      <c r="Z1392" s="38" t="s">
        <v>9</v>
      </c>
      <c r="AA1392" s="18">
        <f>(VLOOKUP(X1392,'[1]Simulation pricing per sub assy'!$D:$E,2,0))*Y1392</f>
        <v>1.5769808000000001</v>
      </c>
    </row>
    <row r="1393" spans="1:27" x14ac:dyDescent="0.35">
      <c r="A1393" s="27" t="s">
        <v>2346</v>
      </c>
      <c r="B1393" s="27" t="s">
        <v>2347</v>
      </c>
      <c r="C1393" s="42">
        <f t="shared" si="21"/>
        <v>112.19578079999999</v>
      </c>
      <c r="D1393" s="33" t="s">
        <v>2058</v>
      </c>
      <c r="E1393" s="33">
        <v>1</v>
      </c>
      <c r="F1393" s="33" t="s">
        <v>2059</v>
      </c>
      <c r="G1393" s="14">
        <f>(VLOOKUP(D1393,'[1]BOM Info General'!$A:$L,12,0))*E1393</f>
        <v>35.56</v>
      </c>
      <c r="H1393" s="34" t="s">
        <v>39</v>
      </c>
      <c r="I1393" s="34">
        <v>1</v>
      </c>
      <c r="J1393" s="34" t="s">
        <v>46</v>
      </c>
      <c r="K1393" s="15">
        <f>(VLOOKUP(H1393,'[1]BOM Info General'!$A:$L,12,0))*I1393</f>
        <v>24.42</v>
      </c>
      <c r="L1393" s="35" t="s">
        <v>58</v>
      </c>
      <c r="M1393" s="35">
        <v>1</v>
      </c>
      <c r="N1393" s="35" t="s">
        <v>55</v>
      </c>
      <c r="O1393" s="9">
        <f>(VLOOKUP(L1393,'[1]Simulation pricing per sub assy'!$D:$E,2,0))*M1393</f>
        <v>43.288799999999988</v>
      </c>
      <c r="P1393" s="36" t="s">
        <v>52</v>
      </c>
      <c r="Q1393" s="36">
        <v>2</v>
      </c>
      <c r="R1393" s="36" t="s">
        <v>18</v>
      </c>
      <c r="S1393" s="40">
        <f>(VLOOKUP(P1393,'[1]BOM Info General'!$A:$L,12,0))*Q1393</f>
        <v>5.3</v>
      </c>
      <c r="T1393" s="37" t="s">
        <v>10</v>
      </c>
      <c r="U1393" s="37">
        <v>1</v>
      </c>
      <c r="V1393" s="37" t="s">
        <v>11</v>
      </c>
      <c r="W1393" s="17">
        <f>(VLOOKUP(T1393,'[1]Simulation pricing per sub assy'!$D:$E,2,0))*U1393</f>
        <v>2.0499999999999998</v>
      </c>
      <c r="X1393" s="32" t="s">
        <v>615</v>
      </c>
      <c r="Y1393" s="38">
        <v>1</v>
      </c>
      <c r="Z1393" s="38" t="s">
        <v>9</v>
      </c>
      <c r="AA1393" s="18">
        <f>(VLOOKUP(X1393,'[1]Simulation pricing per sub assy'!$D:$E,2,0))*Y1393</f>
        <v>1.5769808000000001</v>
      </c>
    </row>
    <row r="1394" spans="1:27" x14ac:dyDescent="0.35">
      <c r="A1394" s="27" t="s">
        <v>2348</v>
      </c>
      <c r="B1394" s="27" t="s">
        <v>2349</v>
      </c>
      <c r="C1394" s="42">
        <f t="shared" si="21"/>
        <v>112.77578079999999</v>
      </c>
      <c r="D1394" s="33" t="s">
        <v>2058</v>
      </c>
      <c r="E1394" s="33">
        <v>1</v>
      </c>
      <c r="F1394" s="33" t="s">
        <v>2059</v>
      </c>
      <c r="G1394" s="14">
        <f>(VLOOKUP(D1394,'[1]BOM Info General'!$A:$L,12,0))*E1394</f>
        <v>35.56</v>
      </c>
      <c r="H1394" s="34" t="s">
        <v>39</v>
      </c>
      <c r="I1394" s="34">
        <v>1</v>
      </c>
      <c r="J1394" s="34" t="s">
        <v>46</v>
      </c>
      <c r="K1394" s="15">
        <f>(VLOOKUP(H1394,'[1]BOM Info General'!$A:$L,12,0))*I1394</f>
        <v>24.42</v>
      </c>
      <c r="L1394" s="35" t="s">
        <v>54</v>
      </c>
      <c r="M1394" s="35">
        <v>1</v>
      </c>
      <c r="N1394" s="35" t="s">
        <v>53</v>
      </c>
      <c r="O1394" s="9">
        <f>(VLOOKUP(L1394,'[1]Simulation pricing per sub assy'!$D:$E,2,0))*M1394</f>
        <v>43.868799999999993</v>
      </c>
      <c r="P1394" s="36" t="s">
        <v>52</v>
      </c>
      <c r="Q1394" s="36">
        <v>2</v>
      </c>
      <c r="R1394" s="36" t="s">
        <v>18</v>
      </c>
      <c r="S1394" s="40">
        <f>(VLOOKUP(P1394,'[1]BOM Info General'!$A:$L,12,0))*Q1394</f>
        <v>5.3</v>
      </c>
      <c r="T1394" s="37" t="s">
        <v>10</v>
      </c>
      <c r="U1394" s="37">
        <v>1</v>
      </c>
      <c r="V1394" s="37" t="s">
        <v>11</v>
      </c>
      <c r="W1394" s="17">
        <f>(VLOOKUP(T1394,'[1]Simulation pricing per sub assy'!$D:$E,2,0))*U1394</f>
        <v>2.0499999999999998</v>
      </c>
      <c r="X1394" s="32" t="s">
        <v>615</v>
      </c>
      <c r="Y1394" s="38">
        <v>1</v>
      </c>
      <c r="Z1394" s="38" t="s">
        <v>9</v>
      </c>
      <c r="AA1394" s="18">
        <f>(VLOOKUP(X1394,'[1]Simulation pricing per sub assy'!$D:$E,2,0))*Y1394</f>
        <v>1.5769808000000001</v>
      </c>
    </row>
    <row r="1395" spans="1:27" x14ac:dyDescent="0.35">
      <c r="A1395" s="27" t="s">
        <v>2350</v>
      </c>
      <c r="B1395" s="27" t="s">
        <v>2351</v>
      </c>
      <c r="C1395" s="42">
        <f t="shared" si="21"/>
        <v>112.51578079999999</v>
      </c>
      <c r="D1395" s="33" t="s">
        <v>2058</v>
      </c>
      <c r="E1395" s="33">
        <v>1</v>
      </c>
      <c r="F1395" s="33" t="s">
        <v>2059</v>
      </c>
      <c r="G1395" s="14">
        <f>(VLOOKUP(D1395,'[1]BOM Info General'!$A:$L,12,0))*E1395</f>
        <v>35.56</v>
      </c>
      <c r="H1395" s="34" t="s">
        <v>39</v>
      </c>
      <c r="I1395" s="34">
        <v>1</v>
      </c>
      <c r="J1395" s="34" t="s">
        <v>46</v>
      </c>
      <c r="K1395" s="15">
        <f>(VLOOKUP(H1395,'[1]BOM Info General'!$A:$L,12,0))*I1395</f>
        <v>24.42</v>
      </c>
      <c r="L1395" s="35" t="s">
        <v>60</v>
      </c>
      <c r="M1395" s="35">
        <v>1</v>
      </c>
      <c r="N1395" s="35" t="s">
        <v>57</v>
      </c>
      <c r="O1395" s="9">
        <f>(VLOOKUP(L1395,'[1]Simulation pricing per sub assy'!$D:$E,2,0))*M1395</f>
        <v>43.608799999999988</v>
      </c>
      <c r="P1395" s="36" t="s">
        <v>52</v>
      </c>
      <c r="Q1395" s="36">
        <v>2</v>
      </c>
      <c r="R1395" s="36" t="s">
        <v>18</v>
      </c>
      <c r="S1395" s="40">
        <f>(VLOOKUP(P1395,'[1]BOM Info General'!$A:$L,12,0))*Q1395</f>
        <v>5.3</v>
      </c>
      <c r="T1395" s="37" t="s">
        <v>10</v>
      </c>
      <c r="U1395" s="37">
        <v>1</v>
      </c>
      <c r="V1395" s="37" t="s">
        <v>11</v>
      </c>
      <c r="W1395" s="17">
        <f>(VLOOKUP(T1395,'[1]Simulation pricing per sub assy'!$D:$E,2,0))*U1395</f>
        <v>2.0499999999999998</v>
      </c>
      <c r="X1395" s="32" t="s">
        <v>615</v>
      </c>
      <c r="Y1395" s="38">
        <v>1</v>
      </c>
      <c r="Z1395" s="38" t="s">
        <v>9</v>
      </c>
      <c r="AA1395" s="18">
        <f>(VLOOKUP(X1395,'[1]Simulation pricing per sub assy'!$D:$E,2,0))*Y1395</f>
        <v>1.5769808000000001</v>
      </c>
    </row>
    <row r="1396" spans="1:27" x14ac:dyDescent="0.35">
      <c r="A1396" s="27" t="s">
        <v>2352</v>
      </c>
      <c r="B1396" s="27" t="s">
        <v>2353</v>
      </c>
      <c r="C1396" s="42">
        <f t="shared" si="21"/>
        <v>120.18578079999999</v>
      </c>
      <c r="D1396" s="33" t="s">
        <v>2058</v>
      </c>
      <c r="E1396" s="33">
        <v>1</v>
      </c>
      <c r="F1396" s="33" t="s">
        <v>2059</v>
      </c>
      <c r="G1396" s="14">
        <f>(VLOOKUP(D1396,'[1]BOM Info General'!$A:$L,12,0))*E1396</f>
        <v>35.56</v>
      </c>
      <c r="H1396" s="34" t="s">
        <v>39</v>
      </c>
      <c r="I1396" s="34">
        <v>1</v>
      </c>
      <c r="J1396" s="34" t="s">
        <v>46</v>
      </c>
      <c r="K1396" s="15">
        <f>(VLOOKUP(H1396,'[1]BOM Info General'!$A:$L,12,0))*I1396</f>
        <v>24.42</v>
      </c>
      <c r="L1396" s="35" t="s">
        <v>56</v>
      </c>
      <c r="M1396" s="35">
        <v>1</v>
      </c>
      <c r="N1396" s="35" t="s">
        <v>59</v>
      </c>
      <c r="O1396" s="9">
        <f>(VLOOKUP(L1396,'[1]Simulation pricing per sub assy'!$D:$E,2,0))*M1396</f>
        <v>51.27879999999999</v>
      </c>
      <c r="P1396" s="36" t="s">
        <v>52</v>
      </c>
      <c r="Q1396" s="36">
        <v>2</v>
      </c>
      <c r="R1396" s="36" t="s">
        <v>18</v>
      </c>
      <c r="S1396" s="40">
        <f>(VLOOKUP(P1396,'[1]BOM Info General'!$A:$L,12,0))*Q1396</f>
        <v>5.3</v>
      </c>
      <c r="T1396" s="37" t="s">
        <v>10</v>
      </c>
      <c r="U1396" s="37">
        <v>1</v>
      </c>
      <c r="V1396" s="37" t="s">
        <v>11</v>
      </c>
      <c r="W1396" s="17">
        <f>(VLOOKUP(T1396,'[1]Simulation pricing per sub assy'!$D:$E,2,0))*U1396</f>
        <v>2.0499999999999998</v>
      </c>
      <c r="X1396" s="32" t="s">
        <v>615</v>
      </c>
      <c r="Y1396" s="38">
        <v>1</v>
      </c>
      <c r="Z1396" s="38" t="s">
        <v>9</v>
      </c>
      <c r="AA1396" s="18">
        <f>(VLOOKUP(X1396,'[1]Simulation pricing per sub assy'!$D:$E,2,0))*Y1396</f>
        <v>1.5769808000000001</v>
      </c>
    </row>
    <row r="1397" spans="1:27" x14ac:dyDescent="0.35">
      <c r="A1397" s="27" t="s">
        <v>2354</v>
      </c>
      <c r="B1397" s="27" t="s">
        <v>2355</v>
      </c>
      <c r="C1397" s="42">
        <f t="shared" si="21"/>
        <v>111.0657808</v>
      </c>
      <c r="D1397" s="33" t="s">
        <v>2058</v>
      </c>
      <c r="E1397" s="33">
        <v>1</v>
      </c>
      <c r="F1397" s="33" t="s">
        <v>2059</v>
      </c>
      <c r="G1397" s="14">
        <f>(VLOOKUP(D1397,'[1]BOM Info General'!$A:$L,12,0))*E1397</f>
        <v>35.56</v>
      </c>
      <c r="H1397" s="34" t="s">
        <v>39</v>
      </c>
      <c r="I1397" s="34">
        <v>1</v>
      </c>
      <c r="J1397" s="34" t="s">
        <v>46</v>
      </c>
      <c r="K1397" s="15">
        <f>(VLOOKUP(H1397,'[1]BOM Info General'!$A:$L,12,0))*I1397</f>
        <v>24.42</v>
      </c>
      <c r="L1397" s="35" t="s">
        <v>523</v>
      </c>
      <c r="M1397" s="35">
        <v>1</v>
      </c>
      <c r="N1397" s="35" t="s">
        <v>61</v>
      </c>
      <c r="O1397" s="9">
        <f>(VLOOKUP(L1397,'[1]Simulation pricing per sub assy'!$D:$E,2,0))*M1397</f>
        <v>42.308799999999991</v>
      </c>
      <c r="P1397" s="36" t="s">
        <v>52</v>
      </c>
      <c r="Q1397" s="36">
        <v>2</v>
      </c>
      <c r="R1397" s="36" t="s">
        <v>18</v>
      </c>
      <c r="S1397" s="40">
        <f>(VLOOKUP(P1397,'[1]BOM Info General'!$A:$L,12,0))*Q1397</f>
        <v>5.3</v>
      </c>
      <c r="T1397" s="37" t="s">
        <v>12</v>
      </c>
      <c r="U1397" s="37">
        <v>1</v>
      </c>
      <c r="V1397" s="37" t="s">
        <v>13</v>
      </c>
      <c r="W1397" s="17">
        <f>(VLOOKUP(T1397,'[1]Simulation pricing per sub assy'!$D:$E,2,0))*U1397</f>
        <v>1.9</v>
      </c>
      <c r="X1397" s="32" t="s">
        <v>615</v>
      </c>
      <c r="Y1397" s="38">
        <v>1</v>
      </c>
      <c r="Z1397" s="38" t="s">
        <v>9</v>
      </c>
      <c r="AA1397" s="18">
        <f>(VLOOKUP(X1397,'[1]Simulation pricing per sub assy'!$D:$E,2,0))*Y1397</f>
        <v>1.5769808000000001</v>
      </c>
    </row>
    <row r="1398" spans="1:27" x14ac:dyDescent="0.35">
      <c r="A1398" s="27" t="s">
        <v>2356</v>
      </c>
      <c r="B1398" s="27" t="s">
        <v>2357</v>
      </c>
      <c r="C1398" s="42">
        <f t="shared" si="21"/>
        <v>112.0457808</v>
      </c>
      <c r="D1398" s="33" t="s">
        <v>2058</v>
      </c>
      <c r="E1398" s="33">
        <v>1</v>
      </c>
      <c r="F1398" s="33" t="s">
        <v>2059</v>
      </c>
      <c r="G1398" s="14">
        <f>(VLOOKUP(D1398,'[1]BOM Info General'!$A:$L,12,0))*E1398</f>
        <v>35.56</v>
      </c>
      <c r="H1398" s="34" t="s">
        <v>39</v>
      </c>
      <c r="I1398" s="34">
        <v>1</v>
      </c>
      <c r="J1398" s="34" t="s">
        <v>46</v>
      </c>
      <c r="K1398" s="15">
        <f>(VLOOKUP(H1398,'[1]BOM Info General'!$A:$L,12,0))*I1398</f>
        <v>24.42</v>
      </c>
      <c r="L1398" s="35" t="s">
        <v>58</v>
      </c>
      <c r="M1398" s="35">
        <v>1</v>
      </c>
      <c r="N1398" s="35" t="s">
        <v>55</v>
      </c>
      <c r="O1398" s="9">
        <f>(VLOOKUP(L1398,'[1]Simulation pricing per sub assy'!$D:$E,2,0))*M1398</f>
        <v>43.288799999999988</v>
      </c>
      <c r="P1398" s="36" t="s">
        <v>52</v>
      </c>
      <c r="Q1398" s="36">
        <v>2</v>
      </c>
      <c r="R1398" s="36" t="s">
        <v>18</v>
      </c>
      <c r="S1398" s="40">
        <f>(VLOOKUP(P1398,'[1]BOM Info General'!$A:$L,12,0))*Q1398</f>
        <v>5.3</v>
      </c>
      <c r="T1398" s="37" t="s">
        <v>12</v>
      </c>
      <c r="U1398" s="37">
        <v>1</v>
      </c>
      <c r="V1398" s="37" t="s">
        <v>13</v>
      </c>
      <c r="W1398" s="17">
        <f>(VLOOKUP(T1398,'[1]Simulation pricing per sub assy'!$D:$E,2,0))*U1398</f>
        <v>1.9</v>
      </c>
      <c r="X1398" s="32" t="s">
        <v>615</v>
      </c>
      <c r="Y1398" s="38">
        <v>1</v>
      </c>
      <c r="Z1398" s="38" t="s">
        <v>9</v>
      </c>
      <c r="AA1398" s="18">
        <f>(VLOOKUP(X1398,'[1]Simulation pricing per sub assy'!$D:$E,2,0))*Y1398</f>
        <v>1.5769808000000001</v>
      </c>
    </row>
    <row r="1399" spans="1:27" x14ac:dyDescent="0.35">
      <c r="A1399" s="27" t="s">
        <v>2358</v>
      </c>
      <c r="B1399" s="27" t="s">
        <v>2359</v>
      </c>
      <c r="C1399" s="42">
        <f t="shared" si="21"/>
        <v>112.6257808</v>
      </c>
      <c r="D1399" s="33" t="s">
        <v>2058</v>
      </c>
      <c r="E1399" s="33">
        <v>1</v>
      </c>
      <c r="F1399" s="33" t="s">
        <v>2059</v>
      </c>
      <c r="G1399" s="14">
        <f>(VLOOKUP(D1399,'[1]BOM Info General'!$A:$L,12,0))*E1399</f>
        <v>35.56</v>
      </c>
      <c r="H1399" s="34" t="s">
        <v>39</v>
      </c>
      <c r="I1399" s="34">
        <v>1</v>
      </c>
      <c r="J1399" s="34" t="s">
        <v>46</v>
      </c>
      <c r="K1399" s="15">
        <f>(VLOOKUP(H1399,'[1]BOM Info General'!$A:$L,12,0))*I1399</f>
        <v>24.42</v>
      </c>
      <c r="L1399" s="35" t="s">
        <v>54</v>
      </c>
      <c r="M1399" s="35">
        <v>1</v>
      </c>
      <c r="N1399" s="35" t="s">
        <v>53</v>
      </c>
      <c r="O1399" s="9">
        <f>(VLOOKUP(L1399,'[1]Simulation pricing per sub assy'!$D:$E,2,0))*M1399</f>
        <v>43.868799999999993</v>
      </c>
      <c r="P1399" s="36" t="s">
        <v>52</v>
      </c>
      <c r="Q1399" s="36">
        <v>2</v>
      </c>
      <c r="R1399" s="36" t="s">
        <v>18</v>
      </c>
      <c r="S1399" s="40">
        <f>(VLOOKUP(P1399,'[1]BOM Info General'!$A:$L,12,0))*Q1399</f>
        <v>5.3</v>
      </c>
      <c r="T1399" s="37" t="s">
        <v>12</v>
      </c>
      <c r="U1399" s="37">
        <v>1</v>
      </c>
      <c r="V1399" s="37" t="s">
        <v>13</v>
      </c>
      <c r="W1399" s="17">
        <f>(VLOOKUP(T1399,'[1]Simulation pricing per sub assy'!$D:$E,2,0))*U1399</f>
        <v>1.9</v>
      </c>
      <c r="X1399" s="32" t="s">
        <v>615</v>
      </c>
      <c r="Y1399" s="38">
        <v>1</v>
      </c>
      <c r="Z1399" s="38" t="s">
        <v>9</v>
      </c>
      <c r="AA1399" s="18">
        <f>(VLOOKUP(X1399,'[1]Simulation pricing per sub assy'!$D:$E,2,0))*Y1399</f>
        <v>1.5769808000000001</v>
      </c>
    </row>
    <row r="1400" spans="1:27" x14ac:dyDescent="0.35">
      <c r="A1400" s="27" t="s">
        <v>2360</v>
      </c>
      <c r="B1400" s="27" t="s">
        <v>2361</v>
      </c>
      <c r="C1400" s="42">
        <f t="shared" si="21"/>
        <v>112.3657808</v>
      </c>
      <c r="D1400" s="33" t="s">
        <v>2058</v>
      </c>
      <c r="E1400" s="33">
        <v>1</v>
      </c>
      <c r="F1400" s="33" t="s">
        <v>2059</v>
      </c>
      <c r="G1400" s="14">
        <f>(VLOOKUP(D1400,'[1]BOM Info General'!$A:$L,12,0))*E1400</f>
        <v>35.56</v>
      </c>
      <c r="H1400" s="34" t="s">
        <v>39</v>
      </c>
      <c r="I1400" s="34">
        <v>1</v>
      </c>
      <c r="J1400" s="34" t="s">
        <v>46</v>
      </c>
      <c r="K1400" s="15">
        <f>(VLOOKUP(H1400,'[1]BOM Info General'!$A:$L,12,0))*I1400</f>
        <v>24.42</v>
      </c>
      <c r="L1400" s="35" t="s">
        <v>60</v>
      </c>
      <c r="M1400" s="35">
        <v>1</v>
      </c>
      <c r="N1400" s="35" t="s">
        <v>57</v>
      </c>
      <c r="O1400" s="9">
        <f>(VLOOKUP(L1400,'[1]Simulation pricing per sub assy'!$D:$E,2,0))*M1400</f>
        <v>43.608799999999988</v>
      </c>
      <c r="P1400" s="36" t="s">
        <v>52</v>
      </c>
      <c r="Q1400" s="36">
        <v>2</v>
      </c>
      <c r="R1400" s="36" t="s">
        <v>18</v>
      </c>
      <c r="S1400" s="40">
        <f>(VLOOKUP(P1400,'[1]BOM Info General'!$A:$L,12,0))*Q1400</f>
        <v>5.3</v>
      </c>
      <c r="T1400" s="37" t="s">
        <v>12</v>
      </c>
      <c r="U1400" s="37">
        <v>1</v>
      </c>
      <c r="V1400" s="37" t="s">
        <v>13</v>
      </c>
      <c r="W1400" s="17">
        <f>(VLOOKUP(T1400,'[1]Simulation pricing per sub assy'!$D:$E,2,0))*U1400</f>
        <v>1.9</v>
      </c>
      <c r="X1400" s="32" t="s">
        <v>615</v>
      </c>
      <c r="Y1400" s="38">
        <v>1</v>
      </c>
      <c r="Z1400" s="38" t="s">
        <v>9</v>
      </c>
      <c r="AA1400" s="18">
        <f>(VLOOKUP(X1400,'[1]Simulation pricing per sub assy'!$D:$E,2,0))*Y1400</f>
        <v>1.5769808000000001</v>
      </c>
    </row>
    <row r="1401" spans="1:27" x14ac:dyDescent="0.35">
      <c r="A1401" s="27" t="s">
        <v>2362</v>
      </c>
      <c r="B1401" s="27" t="s">
        <v>2363</v>
      </c>
      <c r="C1401" s="42">
        <f t="shared" si="21"/>
        <v>120.0357808</v>
      </c>
      <c r="D1401" s="33" t="s">
        <v>2058</v>
      </c>
      <c r="E1401" s="33">
        <v>1</v>
      </c>
      <c r="F1401" s="33" t="s">
        <v>2059</v>
      </c>
      <c r="G1401" s="14">
        <f>(VLOOKUP(D1401,'[1]BOM Info General'!$A:$L,12,0))*E1401</f>
        <v>35.56</v>
      </c>
      <c r="H1401" s="34" t="s">
        <v>39</v>
      </c>
      <c r="I1401" s="34">
        <v>1</v>
      </c>
      <c r="J1401" s="34" t="s">
        <v>46</v>
      </c>
      <c r="K1401" s="15">
        <f>(VLOOKUP(H1401,'[1]BOM Info General'!$A:$L,12,0))*I1401</f>
        <v>24.42</v>
      </c>
      <c r="L1401" s="35" t="s">
        <v>56</v>
      </c>
      <c r="M1401" s="35">
        <v>1</v>
      </c>
      <c r="N1401" s="35" t="s">
        <v>59</v>
      </c>
      <c r="O1401" s="9">
        <f>(VLOOKUP(L1401,'[1]Simulation pricing per sub assy'!$D:$E,2,0))*M1401</f>
        <v>51.27879999999999</v>
      </c>
      <c r="P1401" s="36" t="s">
        <v>52</v>
      </c>
      <c r="Q1401" s="36">
        <v>2</v>
      </c>
      <c r="R1401" s="36" t="s">
        <v>18</v>
      </c>
      <c r="S1401" s="40">
        <f>(VLOOKUP(P1401,'[1]BOM Info General'!$A:$L,12,0))*Q1401</f>
        <v>5.3</v>
      </c>
      <c r="T1401" s="37" t="s">
        <v>12</v>
      </c>
      <c r="U1401" s="37">
        <v>1</v>
      </c>
      <c r="V1401" s="37" t="s">
        <v>13</v>
      </c>
      <c r="W1401" s="17">
        <f>(VLOOKUP(T1401,'[1]Simulation pricing per sub assy'!$D:$E,2,0))*U1401</f>
        <v>1.9</v>
      </c>
      <c r="X1401" s="32" t="s">
        <v>615</v>
      </c>
      <c r="Y1401" s="38">
        <v>1</v>
      </c>
      <c r="Z1401" s="38" t="s">
        <v>9</v>
      </c>
      <c r="AA1401" s="18">
        <f>(VLOOKUP(X1401,'[1]Simulation pricing per sub assy'!$D:$E,2,0))*Y1401</f>
        <v>1.5769808000000001</v>
      </c>
    </row>
    <row r="1402" spans="1:27" x14ac:dyDescent="0.35">
      <c r="A1402" s="27" t="s">
        <v>2364</v>
      </c>
      <c r="B1402" s="27" t="s">
        <v>2365</v>
      </c>
      <c r="C1402" s="42">
        <f t="shared" si="21"/>
        <v>111.0657808</v>
      </c>
      <c r="D1402" s="33" t="s">
        <v>2058</v>
      </c>
      <c r="E1402" s="33">
        <v>1</v>
      </c>
      <c r="F1402" s="33" t="s">
        <v>2059</v>
      </c>
      <c r="G1402" s="14">
        <f>(VLOOKUP(D1402,'[1]BOM Info General'!$A:$L,12,0))*E1402</f>
        <v>35.56</v>
      </c>
      <c r="H1402" s="34" t="s">
        <v>39</v>
      </c>
      <c r="I1402" s="34">
        <v>1</v>
      </c>
      <c r="J1402" s="34" t="s">
        <v>46</v>
      </c>
      <c r="K1402" s="15">
        <f>(VLOOKUP(H1402,'[1]BOM Info General'!$A:$L,12,0))*I1402</f>
        <v>24.42</v>
      </c>
      <c r="L1402" s="35" t="s">
        <v>523</v>
      </c>
      <c r="M1402" s="35">
        <v>1</v>
      </c>
      <c r="N1402" s="35" t="s">
        <v>61</v>
      </c>
      <c r="O1402" s="9">
        <f>(VLOOKUP(L1402,'[1]Simulation pricing per sub assy'!$D:$E,2,0))*M1402</f>
        <v>42.308799999999991</v>
      </c>
      <c r="P1402" s="36" t="s">
        <v>52</v>
      </c>
      <c r="Q1402" s="36">
        <v>2</v>
      </c>
      <c r="R1402" s="36" t="s">
        <v>18</v>
      </c>
      <c r="S1402" s="40">
        <f>(VLOOKUP(P1402,'[1]BOM Info General'!$A:$L,12,0))*Q1402</f>
        <v>5.3</v>
      </c>
      <c r="T1402" s="37" t="s">
        <v>14</v>
      </c>
      <c r="U1402" s="37">
        <v>1</v>
      </c>
      <c r="V1402" s="37" t="s">
        <v>15</v>
      </c>
      <c r="W1402" s="17">
        <f>(VLOOKUP(T1402,'[1]Simulation pricing per sub assy'!$D:$E,2,0))*U1402</f>
        <v>1.9</v>
      </c>
      <c r="X1402" s="32" t="s">
        <v>615</v>
      </c>
      <c r="Y1402" s="38">
        <v>1</v>
      </c>
      <c r="Z1402" s="38" t="s">
        <v>9</v>
      </c>
      <c r="AA1402" s="18">
        <f>(VLOOKUP(X1402,'[1]Simulation pricing per sub assy'!$D:$E,2,0))*Y1402</f>
        <v>1.5769808000000001</v>
      </c>
    </row>
    <row r="1403" spans="1:27" x14ac:dyDescent="0.35">
      <c r="A1403" s="27" t="s">
        <v>2366</v>
      </c>
      <c r="B1403" s="27" t="s">
        <v>2367</v>
      </c>
      <c r="C1403" s="42">
        <f t="shared" si="21"/>
        <v>112.0457808</v>
      </c>
      <c r="D1403" s="33" t="s">
        <v>2058</v>
      </c>
      <c r="E1403" s="33">
        <v>1</v>
      </c>
      <c r="F1403" s="33" t="s">
        <v>2059</v>
      </c>
      <c r="G1403" s="14">
        <f>(VLOOKUP(D1403,'[1]BOM Info General'!$A:$L,12,0))*E1403</f>
        <v>35.56</v>
      </c>
      <c r="H1403" s="34" t="s">
        <v>39</v>
      </c>
      <c r="I1403" s="34">
        <v>1</v>
      </c>
      <c r="J1403" s="34" t="s">
        <v>46</v>
      </c>
      <c r="K1403" s="15">
        <f>(VLOOKUP(H1403,'[1]BOM Info General'!$A:$L,12,0))*I1403</f>
        <v>24.42</v>
      </c>
      <c r="L1403" s="35" t="s">
        <v>58</v>
      </c>
      <c r="M1403" s="35">
        <v>1</v>
      </c>
      <c r="N1403" s="35" t="s">
        <v>55</v>
      </c>
      <c r="O1403" s="9">
        <f>(VLOOKUP(L1403,'[1]Simulation pricing per sub assy'!$D:$E,2,0))*M1403</f>
        <v>43.288799999999988</v>
      </c>
      <c r="P1403" s="36" t="s">
        <v>52</v>
      </c>
      <c r="Q1403" s="36">
        <v>2</v>
      </c>
      <c r="R1403" s="36" t="s">
        <v>18</v>
      </c>
      <c r="S1403" s="40">
        <f>(VLOOKUP(P1403,'[1]BOM Info General'!$A:$L,12,0))*Q1403</f>
        <v>5.3</v>
      </c>
      <c r="T1403" s="37" t="s">
        <v>14</v>
      </c>
      <c r="U1403" s="37">
        <v>1</v>
      </c>
      <c r="V1403" s="37" t="s">
        <v>15</v>
      </c>
      <c r="W1403" s="17">
        <f>(VLOOKUP(T1403,'[1]Simulation pricing per sub assy'!$D:$E,2,0))*U1403</f>
        <v>1.9</v>
      </c>
      <c r="X1403" s="32" t="s">
        <v>615</v>
      </c>
      <c r="Y1403" s="38">
        <v>1</v>
      </c>
      <c r="Z1403" s="38" t="s">
        <v>9</v>
      </c>
      <c r="AA1403" s="18">
        <f>(VLOOKUP(X1403,'[1]Simulation pricing per sub assy'!$D:$E,2,0))*Y1403</f>
        <v>1.5769808000000001</v>
      </c>
    </row>
    <row r="1404" spans="1:27" x14ac:dyDescent="0.35">
      <c r="A1404" s="27" t="s">
        <v>2368</v>
      </c>
      <c r="B1404" s="27" t="s">
        <v>2369</v>
      </c>
      <c r="C1404" s="42">
        <f t="shared" si="21"/>
        <v>112.6257808</v>
      </c>
      <c r="D1404" s="33" t="s">
        <v>2058</v>
      </c>
      <c r="E1404" s="33">
        <v>1</v>
      </c>
      <c r="F1404" s="33" t="s">
        <v>2059</v>
      </c>
      <c r="G1404" s="14">
        <f>(VLOOKUP(D1404,'[1]BOM Info General'!$A:$L,12,0))*E1404</f>
        <v>35.56</v>
      </c>
      <c r="H1404" s="34" t="s">
        <v>39</v>
      </c>
      <c r="I1404" s="34">
        <v>1</v>
      </c>
      <c r="J1404" s="34" t="s">
        <v>46</v>
      </c>
      <c r="K1404" s="15">
        <f>(VLOOKUP(H1404,'[1]BOM Info General'!$A:$L,12,0))*I1404</f>
        <v>24.42</v>
      </c>
      <c r="L1404" s="35" t="s">
        <v>54</v>
      </c>
      <c r="M1404" s="35">
        <v>1</v>
      </c>
      <c r="N1404" s="35" t="s">
        <v>53</v>
      </c>
      <c r="O1404" s="9">
        <f>(VLOOKUP(L1404,'[1]Simulation pricing per sub assy'!$D:$E,2,0))*M1404</f>
        <v>43.868799999999993</v>
      </c>
      <c r="P1404" s="36" t="s">
        <v>52</v>
      </c>
      <c r="Q1404" s="36">
        <v>2</v>
      </c>
      <c r="R1404" s="36" t="s">
        <v>18</v>
      </c>
      <c r="S1404" s="40">
        <f>(VLOOKUP(P1404,'[1]BOM Info General'!$A:$L,12,0))*Q1404</f>
        <v>5.3</v>
      </c>
      <c r="T1404" s="37" t="s">
        <v>14</v>
      </c>
      <c r="U1404" s="37">
        <v>1</v>
      </c>
      <c r="V1404" s="37" t="s">
        <v>15</v>
      </c>
      <c r="W1404" s="17">
        <f>(VLOOKUP(T1404,'[1]Simulation pricing per sub assy'!$D:$E,2,0))*U1404</f>
        <v>1.9</v>
      </c>
      <c r="X1404" s="32" t="s">
        <v>615</v>
      </c>
      <c r="Y1404" s="38">
        <v>1</v>
      </c>
      <c r="Z1404" s="38" t="s">
        <v>9</v>
      </c>
      <c r="AA1404" s="18">
        <f>(VLOOKUP(X1404,'[1]Simulation pricing per sub assy'!$D:$E,2,0))*Y1404</f>
        <v>1.5769808000000001</v>
      </c>
    </row>
    <row r="1405" spans="1:27" x14ac:dyDescent="0.35">
      <c r="A1405" s="27" t="s">
        <v>2370</v>
      </c>
      <c r="B1405" s="27" t="s">
        <v>2371</v>
      </c>
      <c r="C1405" s="42">
        <f t="shared" si="21"/>
        <v>112.3657808</v>
      </c>
      <c r="D1405" s="33" t="s">
        <v>2058</v>
      </c>
      <c r="E1405" s="33">
        <v>1</v>
      </c>
      <c r="F1405" s="33" t="s">
        <v>2059</v>
      </c>
      <c r="G1405" s="14">
        <f>(VLOOKUP(D1405,'[1]BOM Info General'!$A:$L,12,0))*E1405</f>
        <v>35.56</v>
      </c>
      <c r="H1405" s="34" t="s">
        <v>39</v>
      </c>
      <c r="I1405" s="34">
        <v>1</v>
      </c>
      <c r="J1405" s="34" t="s">
        <v>46</v>
      </c>
      <c r="K1405" s="15">
        <f>(VLOOKUP(H1405,'[1]BOM Info General'!$A:$L,12,0))*I1405</f>
        <v>24.42</v>
      </c>
      <c r="L1405" s="35" t="s">
        <v>60</v>
      </c>
      <c r="M1405" s="35">
        <v>1</v>
      </c>
      <c r="N1405" s="35" t="s">
        <v>57</v>
      </c>
      <c r="O1405" s="9">
        <f>(VLOOKUP(L1405,'[1]Simulation pricing per sub assy'!$D:$E,2,0))*M1405</f>
        <v>43.608799999999988</v>
      </c>
      <c r="P1405" s="36" t="s">
        <v>52</v>
      </c>
      <c r="Q1405" s="36">
        <v>2</v>
      </c>
      <c r="R1405" s="36" t="s">
        <v>18</v>
      </c>
      <c r="S1405" s="40">
        <f>(VLOOKUP(P1405,'[1]BOM Info General'!$A:$L,12,0))*Q1405</f>
        <v>5.3</v>
      </c>
      <c r="T1405" s="37" t="s">
        <v>14</v>
      </c>
      <c r="U1405" s="37">
        <v>1</v>
      </c>
      <c r="V1405" s="37" t="s">
        <v>15</v>
      </c>
      <c r="W1405" s="17">
        <f>(VLOOKUP(T1405,'[1]Simulation pricing per sub assy'!$D:$E,2,0))*U1405</f>
        <v>1.9</v>
      </c>
      <c r="X1405" s="32" t="s">
        <v>615</v>
      </c>
      <c r="Y1405" s="38">
        <v>1</v>
      </c>
      <c r="Z1405" s="38" t="s">
        <v>9</v>
      </c>
      <c r="AA1405" s="18">
        <f>(VLOOKUP(X1405,'[1]Simulation pricing per sub assy'!$D:$E,2,0))*Y1405</f>
        <v>1.5769808000000001</v>
      </c>
    </row>
    <row r="1406" spans="1:27" x14ac:dyDescent="0.35">
      <c r="A1406" s="27" t="s">
        <v>2372</v>
      </c>
      <c r="B1406" s="27" t="s">
        <v>2373</v>
      </c>
      <c r="C1406" s="42">
        <f t="shared" si="21"/>
        <v>120.0357808</v>
      </c>
      <c r="D1406" s="33" t="s">
        <v>2058</v>
      </c>
      <c r="E1406" s="33">
        <v>1</v>
      </c>
      <c r="F1406" s="33" t="s">
        <v>2059</v>
      </c>
      <c r="G1406" s="14">
        <f>(VLOOKUP(D1406,'[1]BOM Info General'!$A:$L,12,0))*E1406</f>
        <v>35.56</v>
      </c>
      <c r="H1406" s="34" t="s">
        <v>39</v>
      </c>
      <c r="I1406" s="34">
        <v>1</v>
      </c>
      <c r="J1406" s="34" t="s">
        <v>46</v>
      </c>
      <c r="K1406" s="15">
        <f>(VLOOKUP(H1406,'[1]BOM Info General'!$A:$L,12,0))*I1406</f>
        <v>24.42</v>
      </c>
      <c r="L1406" s="35" t="s">
        <v>56</v>
      </c>
      <c r="M1406" s="35">
        <v>1</v>
      </c>
      <c r="N1406" s="35" t="s">
        <v>59</v>
      </c>
      <c r="O1406" s="9">
        <f>(VLOOKUP(L1406,'[1]Simulation pricing per sub assy'!$D:$E,2,0))*M1406</f>
        <v>51.27879999999999</v>
      </c>
      <c r="P1406" s="36" t="s">
        <v>52</v>
      </c>
      <c r="Q1406" s="36">
        <v>2</v>
      </c>
      <c r="R1406" s="36" t="s">
        <v>18</v>
      </c>
      <c r="S1406" s="40">
        <f>(VLOOKUP(P1406,'[1]BOM Info General'!$A:$L,12,0))*Q1406</f>
        <v>5.3</v>
      </c>
      <c r="T1406" s="37" t="s">
        <v>14</v>
      </c>
      <c r="U1406" s="37">
        <v>1</v>
      </c>
      <c r="V1406" s="37" t="s">
        <v>15</v>
      </c>
      <c r="W1406" s="17">
        <f>(VLOOKUP(T1406,'[1]Simulation pricing per sub assy'!$D:$E,2,0))*U1406</f>
        <v>1.9</v>
      </c>
      <c r="X1406" s="32" t="s">
        <v>615</v>
      </c>
      <c r="Y1406" s="38">
        <v>1</v>
      </c>
      <c r="Z1406" s="38" t="s">
        <v>9</v>
      </c>
      <c r="AA1406" s="18">
        <f>(VLOOKUP(X1406,'[1]Simulation pricing per sub assy'!$D:$E,2,0))*Y1406</f>
        <v>1.5769808000000001</v>
      </c>
    </row>
    <row r="1407" spans="1:27" x14ac:dyDescent="0.35">
      <c r="A1407" s="27" t="s">
        <v>2374</v>
      </c>
      <c r="B1407" s="27" t="s">
        <v>2375</v>
      </c>
      <c r="C1407" s="42">
        <f t="shared" si="21"/>
        <v>111.5057808</v>
      </c>
      <c r="D1407" s="33" t="s">
        <v>2058</v>
      </c>
      <c r="E1407" s="33">
        <v>1</v>
      </c>
      <c r="F1407" s="33" t="s">
        <v>2059</v>
      </c>
      <c r="G1407" s="14">
        <f>(VLOOKUP(D1407,'[1]BOM Info General'!$A:$L,12,0))*E1407</f>
        <v>35.56</v>
      </c>
      <c r="H1407" s="34" t="s">
        <v>39</v>
      </c>
      <c r="I1407" s="34">
        <v>1</v>
      </c>
      <c r="J1407" s="34" t="s">
        <v>46</v>
      </c>
      <c r="K1407" s="15">
        <f>(VLOOKUP(H1407,'[1]BOM Info General'!$A:$L,12,0))*I1407</f>
        <v>24.42</v>
      </c>
      <c r="L1407" s="35" t="s">
        <v>523</v>
      </c>
      <c r="M1407" s="35">
        <v>1</v>
      </c>
      <c r="N1407" s="35" t="s">
        <v>61</v>
      </c>
      <c r="O1407" s="9">
        <f>(VLOOKUP(L1407,'[1]Simulation pricing per sub assy'!$D:$E,2,0))*M1407</f>
        <v>42.308799999999991</v>
      </c>
      <c r="P1407" s="36" t="s">
        <v>50</v>
      </c>
      <c r="Q1407" s="36">
        <v>2</v>
      </c>
      <c r="R1407" s="36" t="s">
        <v>611</v>
      </c>
      <c r="S1407" s="40">
        <f>(VLOOKUP(P1407,'[1]BOM Info General'!$A:$L,12,0))*Q1407</f>
        <v>5.3</v>
      </c>
      <c r="T1407" s="37" t="s">
        <v>19</v>
      </c>
      <c r="U1407" s="37">
        <v>1</v>
      </c>
      <c r="V1407" s="37" t="s">
        <v>20</v>
      </c>
      <c r="W1407" s="17">
        <f>(VLOOKUP(T1407,'[1]Simulation pricing per sub assy'!$D:$E,2,0))*U1407</f>
        <v>2.3400000000000003</v>
      </c>
      <c r="X1407" s="32" t="s">
        <v>615</v>
      </c>
      <c r="Y1407" s="38">
        <v>1</v>
      </c>
      <c r="Z1407" s="38" t="s">
        <v>9</v>
      </c>
      <c r="AA1407" s="18">
        <f>(VLOOKUP(X1407,'[1]Simulation pricing per sub assy'!$D:$E,2,0))*Y1407</f>
        <v>1.5769808000000001</v>
      </c>
    </row>
    <row r="1408" spans="1:27" x14ac:dyDescent="0.35">
      <c r="A1408" s="27" t="s">
        <v>2376</v>
      </c>
      <c r="B1408" s="27" t="s">
        <v>2377</v>
      </c>
      <c r="C1408" s="42">
        <f t="shared" si="21"/>
        <v>112.4857808</v>
      </c>
      <c r="D1408" s="33" t="s">
        <v>2058</v>
      </c>
      <c r="E1408" s="33">
        <v>1</v>
      </c>
      <c r="F1408" s="33" t="s">
        <v>2059</v>
      </c>
      <c r="G1408" s="14">
        <f>(VLOOKUP(D1408,'[1]BOM Info General'!$A:$L,12,0))*E1408</f>
        <v>35.56</v>
      </c>
      <c r="H1408" s="34" t="s">
        <v>39</v>
      </c>
      <c r="I1408" s="34">
        <v>1</v>
      </c>
      <c r="J1408" s="34" t="s">
        <v>46</v>
      </c>
      <c r="K1408" s="15">
        <f>(VLOOKUP(H1408,'[1]BOM Info General'!$A:$L,12,0))*I1408</f>
        <v>24.42</v>
      </c>
      <c r="L1408" s="35" t="s">
        <v>58</v>
      </c>
      <c r="M1408" s="35">
        <v>1</v>
      </c>
      <c r="N1408" s="35" t="s">
        <v>55</v>
      </c>
      <c r="O1408" s="9">
        <f>(VLOOKUP(L1408,'[1]Simulation pricing per sub assy'!$D:$E,2,0))*M1408</f>
        <v>43.288799999999988</v>
      </c>
      <c r="P1408" s="36" t="s">
        <v>50</v>
      </c>
      <c r="Q1408" s="36">
        <v>2</v>
      </c>
      <c r="R1408" s="36" t="s">
        <v>611</v>
      </c>
      <c r="S1408" s="40">
        <f>(VLOOKUP(P1408,'[1]BOM Info General'!$A:$L,12,0))*Q1408</f>
        <v>5.3</v>
      </c>
      <c r="T1408" s="37" t="s">
        <v>19</v>
      </c>
      <c r="U1408" s="37">
        <v>1</v>
      </c>
      <c r="V1408" s="37" t="s">
        <v>20</v>
      </c>
      <c r="W1408" s="17">
        <f>(VLOOKUP(T1408,'[1]Simulation pricing per sub assy'!$D:$E,2,0))*U1408</f>
        <v>2.3400000000000003</v>
      </c>
      <c r="X1408" s="32" t="s">
        <v>615</v>
      </c>
      <c r="Y1408" s="38">
        <v>1</v>
      </c>
      <c r="Z1408" s="38" t="s">
        <v>9</v>
      </c>
      <c r="AA1408" s="18">
        <f>(VLOOKUP(X1408,'[1]Simulation pricing per sub assy'!$D:$E,2,0))*Y1408</f>
        <v>1.5769808000000001</v>
      </c>
    </row>
    <row r="1409" spans="1:27" x14ac:dyDescent="0.35">
      <c r="A1409" s="27" t="s">
        <v>2378</v>
      </c>
      <c r="B1409" s="27" t="s">
        <v>2379</v>
      </c>
      <c r="C1409" s="42">
        <f t="shared" si="21"/>
        <v>113.0657808</v>
      </c>
      <c r="D1409" s="33" t="s">
        <v>2058</v>
      </c>
      <c r="E1409" s="33">
        <v>1</v>
      </c>
      <c r="F1409" s="33" t="s">
        <v>2059</v>
      </c>
      <c r="G1409" s="14">
        <f>(VLOOKUP(D1409,'[1]BOM Info General'!$A:$L,12,0))*E1409</f>
        <v>35.56</v>
      </c>
      <c r="H1409" s="34" t="s">
        <v>39</v>
      </c>
      <c r="I1409" s="34">
        <v>1</v>
      </c>
      <c r="J1409" s="34" t="s">
        <v>46</v>
      </c>
      <c r="K1409" s="15">
        <f>(VLOOKUP(H1409,'[1]BOM Info General'!$A:$L,12,0))*I1409</f>
        <v>24.42</v>
      </c>
      <c r="L1409" s="35" t="s">
        <v>54</v>
      </c>
      <c r="M1409" s="35">
        <v>1</v>
      </c>
      <c r="N1409" s="35" t="s">
        <v>53</v>
      </c>
      <c r="O1409" s="9">
        <f>(VLOOKUP(L1409,'[1]Simulation pricing per sub assy'!$D:$E,2,0))*M1409</f>
        <v>43.868799999999993</v>
      </c>
      <c r="P1409" s="36" t="s">
        <v>50</v>
      </c>
      <c r="Q1409" s="36">
        <v>2</v>
      </c>
      <c r="R1409" s="36" t="s">
        <v>611</v>
      </c>
      <c r="S1409" s="40">
        <f>(VLOOKUP(P1409,'[1]BOM Info General'!$A:$L,12,0))*Q1409</f>
        <v>5.3</v>
      </c>
      <c r="T1409" s="37" t="s">
        <v>19</v>
      </c>
      <c r="U1409" s="37">
        <v>1</v>
      </c>
      <c r="V1409" s="37" t="s">
        <v>20</v>
      </c>
      <c r="W1409" s="17">
        <f>(VLOOKUP(T1409,'[1]Simulation pricing per sub assy'!$D:$E,2,0))*U1409</f>
        <v>2.3400000000000003</v>
      </c>
      <c r="X1409" s="32" t="s">
        <v>615</v>
      </c>
      <c r="Y1409" s="38">
        <v>1</v>
      </c>
      <c r="Z1409" s="38" t="s">
        <v>9</v>
      </c>
      <c r="AA1409" s="18">
        <f>(VLOOKUP(X1409,'[1]Simulation pricing per sub assy'!$D:$E,2,0))*Y1409</f>
        <v>1.5769808000000001</v>
      </c>
    </row>
    <row r="1410" spans="1:27" x14ac:dyDescent="0.35">
      <c r="A1410" s="27" t="s">
        <v>2380</v>
      </c>
      <c r="B1410" s="27" t="s">
        <v>2381</v>
      </c>
      <c r="C1410" s="42">
        <f t="shared" si="21"/>
        <v>112.80578079999999</v>
      </c>
      <c r="D1410" s="33" t="s">
        <v>2058</v>
      </c>
      <c r="E1410" s="33">
        <v>1</v>
      </c>
      <c r="F1410" s="33" t="s">
        <v>2059</v>
      </c>
      <c r="G1410" s="14">
        <f>(VLOOKUP(D1410,'[1]BOM Info General'!$A:$L,12,0))*E1410</f>
        <v>35.56</v>
      </c>
      <c r="H1410" s="34" t="s">
        <v>39</v>
      </c>
      <c r="I1410" s="34">
        <v>1</v>
      </c>
      <c r="J1410" s="34" t="s">
        <v>46</v>
      </c>
      <c r="K1410" s="15">
        <f>(VLOOKUP(H1410,'[1]BOM Info General'!$A:$L,12,0))*I1410</f>
        <v>24.42</v>
      </c>
      <c r="L1410" s="35" t="s">
        <v>60</v>
      </c>
      <c r="M1410" s="35">
        <v>1</v>
      </c>
      <c r="N1410" s="35" t="s">
        <v>57</v>
      </c>
      <c r="O1410" s="9">
        <f>(VLOOKUP(L1410,'[1]Simulation pricing per sub assy'!$D:$E,2,0))*M1410</f>
        <v>43.608799999999988</v>
      </c>
      <c r="P1410" s="36" t="s">
        <v>50</v>
      </c>
      <c r="Q1410" s="36">
        <v>2</v>
      </c>
      <c r="R1410" s="36" t="s">
        <v>611</v>
      </c>
      <c r="S1410" s="40">
        <f>(VLOOKUP(P1410,'[1]BOM Info General'!$A:$L,12,0))*Q1410</f>
        <v>5.3</v>
      </c>
      <c r="T1410" s="37" t="s">
        <v>19</v>
      </c>
      <c r="U1410" s="37">
        <v>1</v>
      </c>
      <c r="V1410" s="37" t="s">
        <v>20</v>
      </c>
      <c r="W1410" s="17">
        <f>(VLOOKUP(T1410,'[1]Simulation pricing per sub assy'!$D:$E,2,0))*U1410</f>
        <v>2.3400000000000003</v>
      </c>
      <c r="X1410" s="32" t="s">
        <v>615</v>
      </c>
      <c r="Y1410" s="38">
        <v>1</v>
      </c>
      <c r="Z1410" s="38" t="s">
        <v>9</v>
      </c>
      <c r="AA1410" s="18">
        <f>(VLOOKUP(X1410,'[1]Simulation pricing per sub assy'!$D:$E,2,0))*Y1410</f>
        <v>1.5769808000000001</v>
      </c>
    </row>
    <row r="1411" spans="1:27" x14ac:dyDescent="0.35">
      <c r="A1411" s="27" t="s">
        <v>2382</v>
      </c>
      <c r="B1411" s="27" t="s">
        <v>2383</v>
      </c>
      <c r="C1411" s="42">
        <f t="shared" ref="C1411:C1474" si="22">SUM(G1411+K1411+O1411+S1411+W1411+AA1411)</f>
        <v>120.4757808</v>
      </c>
      <c r="D1411" s="33" t="s">
        <v>2058</v>
      </c>
      <c r="E1411" s="33">
        <v>1</v>
      </c>
      <c r="F1411" s="33" t="s">
        <v>2059</v>
      </c>
      <c r="G1411" s="14">
        <f>(VLOOKUP(D1411,'[1]BOM Info General'!$A:$L,12,0))*E1411</f>
        <v>35.56</v>
      </c>
      <c r="H1411" s="34" t="s">
        <v>39</v>
      </c>
      <c r="I1411" s="34">
        <v>1</v>
      </c>
      <c r="J1411" s="34" t="s">
        <v>46</v>
      </c>
      <c r="K1411" s="15">
        <f>(VLOOKUP(H1411,'[1]BOM Info General'!$A:$L,12,0))*I1411</f>
        <v>24.42</v>
      </c>
      <c r="L1411" s="35" t="s">
        <v>56</v>
      </c>
      <c r="M1411" s="35">
        <v>1</v>
      </c>
      <c r="N1411" s="35" t="s">
        <v>59</v>
      </c>
      <c r="O1411" s="9">
        <f>(VLOOKUP(L1411,'[1]Simulation pricing per sub assy'!$D:$E,2,0))*M1411</f>
        <v>51.27879999999999</v>
      </c>
      <c r="P1411" s="36" t="s">
        <v>50</v>
      </c>
      <c r="Q1411" s="36">
        <v>2</v>
      </c>
      <c r="R1411" s="36" t="s">
        <v>611</v>
      </c>
      <c r="S1411" s="40">
        <f>(VLOOKUP(P1411,'[1]BOM Info General'!$A:$L,12,0))*Q1411</f>
        <v>5.3</v>
      </c>
      <c r="T1411" s="37" t="s">
        <v>19</v>
      </c>
      <c r="U1411" s="37">
        <v>1</v>
      </c>
      <c r="V1411" s="37" t="s">
        <v>20</v>
      </c>
      <c r="W1411" s="17">
        <f>(VLOOKUP(T1411,'[1]Simulation pricing per sub assy'!$D:$E,2,0))*U1411</f>
        <v>2.3400000000000003</v>
      </c>
      <c r="X1411" s="32" t="s">
        <v>615</v>
      </c>
      <c r="Y1411" s="38">
        <v>1</v>
      </c>
      <c r="Z1411" s="38" t="s">
        <v>9</v>
      </c>
      <c r="AA1411" s="18">
        <f>(VLOOKUP(X1411,'[1]Simulation pricing per sub assy'!$D:$E,2,0))*Y1411</f>
        <v>1.5769808000000001</v>
      </c>
    </row>
    <row r="1412" spans="1:27" x14ac:dyDescent="0.35">
      <c r="A1412" s="27" t="s">
        <v>2384</v>
      </c>
      <c r="B1412" s="27" t="s">
        <v>2385</v>
      </c>
      <c r="C1412" s="42">
        <f t="shared" si="22"/>
        <v>111.01578079999999</v>
      </c>
      <c r="D1412" s="33" t="s">
        <v>2058</v>
      </c>
      <c r="E1412" s="33">
        <v>1</v>
      </c>
      <c r="F1412" s="33" t="s">
        <v>2059</v>
      </c>
      <c r="G1412" s="14">
        <f>(VLOOKUP(D1412,'[1]BOM Info General'!$A:$L,12,0))*E1412</f>
        <v>35.56</v>
      </c>
      <c r="H1412" s="34" t="s">
        <v>39</v>
      </c>
      <c r="I1412" s="34">
        <v>1</v>
      </c>
      <c r="J1412" s="34" t="s">
        <v>46</v>
      </c>
      <c r="K1412" s="15">
        <f>(VLOOKUP(H1412,'[1]BOM Info General'!$A:$L,12,0))*I1412</f>
        <v>24.42</v>
      </c>
      <c r="L1412" s="35" t="s">
        <v>523</v>
      </c>
      <c r="M1412" s="35">
        <v>1</v>
      </c>
      <c r="N1412" s="35" t="s">
        <v>61</v>
      </c>
      <c r="O1412" s="9">
        <f>(VLOOKUP(L1412,'[1]Simulation pricing per sub assy'!$D:$E,2,0))*M1412</f>
        <v>42.308799999999991</v>
      </c>
      <c r="P1412" s="36" t="s">
        <v>50</v>
      </c>
      <c r="Q1412" s="36">
        <v>2</v>
      </c>
      <c r="R1412" s="36" t="s">
        <v>611</v>
      </c>
      <c r="S1412" s="40">
        <f>(VLOOKUP(P1412,'[1]BOM Info General'!$A:$L,12,0))*Q1412</f>
        <v>5.3</v>
      </c>
      <c r="T1412" s="37" t="s">
        <v>7</v>
      </c>
      <c r="U1412" s="37">
        <v>1</v>
      </c>
      <c r="V1412" s="37" t="s">
        <v>8</v>
      </c>
      <c r="W1412" s="17">
        <f>(VLOOKUP(T1412,'[1]Simulation pricing per sub assy'!$D:$E,2,0))*U1412</f>
        <v>1.85</v>
      </c>
      <c r="X1412" s="32" t="s">
        <v>615</v>
      </c>
      <c r="Y1412" s="38">
        <v>1</v>
      </c>
      <c r="Z1412" s="38" t="s">
        <v>9</v>
      </c>
      <c r="AA1412" s="18">
        <f>(VLOOKUP(X1412,'[1]Simulation pricing per sub assy'!$D:$E,2,0))*Y1412</f>
        <v>1.5769808000000001</v>
      </c>
    </row>
    <row r="1413" spans="1:27" x14ac:dyDescent="0.35">
      <c r="A1413" s="27" t="s">
        <v>2386</v>
      </c>
      <c r="B1413" s="27" t="s">
        <v>2387</v>
      </c>
      <c r="C1413" s="42">
        <f t="shared" si="22"/>
        <v>111.99578079999999</v>
      </c>
      <c r="D1413" s="33" t="s">
        <v>2058</v>
      </c>
      <c r="E1413" s="33">
        <v>1</v>
      </c>
      <c r="F1413" s="33" t="s">
        <v>2059</v>
      </c>
      <c r="G1413" s="14">
        <f>(VLOOKUP(D1413,'[1]BOM Info General'!$A:$L,12,0))*E1413</f>
        <v>35.56</v>
      </c>
      <c r="H1413" s="34" t="s">
        <v>39</v>
      </c>
      <c r="I1413" s="34">
        <v>1</v>
      </c>
      <c r="J1413" s="34" t="s">
        <v>46</v>
      </c>
      <c r="K1413" s="15">
        <f>(VLOOKUP(H1413,'[1]BOM Info General'!$A:$L,12,0))*I1413</f>
        <v>24.42</v>
      </c>
      <c r="L1413" s="35" t="s">
        <v>58</v>
      </c>
      <c r="M1413" s="35">
        <v>1</v>
      </c>
      <c r="N1413" s="35" t="s">
        <v>55</v>
      </c>
      <c r="O1413" s="9">
        <f>(VLOOKUP(L1413,'[1]Simulation pricing per sub assy'!$D:$E,2,0))*M1413</f>
        <v>43.288799999999988</v>
      </c>
      <c r="P1413" s="36" t="s">
        <v>50</v>
      </c>
      <c r="Q1413" s="36">
        <v>2</v>
      </c>
      <c r="R1413" s="36" t="s">
        <v>611</v>
      </c>
      <c r="S1413" s="40">
        <f>(VLOOKUP(P1413,'[1]BOM Info General'!$A:$L,12,0))*Q1413</f>
        <v>5.3</v>
      </c>
      <c r="T1413" s="37" t="s">
        <v>7</v>
      </c>
      <c r="U1413" s="37">
        <v>1</v>
      </c>
      <c r="V1413" s="37" t="s">
        <v>8</v>
      </c>
      <c r="W1413" s="17">
        <f>(VLOOKUP(T1413,'[1]Simulation pricing per sub assy'!$D:$E,2,0))*U1413</f>
        <v>1.85</v>
      </c>
      <c r="X1413" s="32" t="s">
        <v>615</v>
      </c>
      <c r="Y1413" s="38">
        <v>1</v>
      </c>
      <c r="Z1413" s="38" t="s">
        <v>9</v>
      </c>
      <c r="AA1413" s="18">
        <f>(VLOOKUP(X1413,'[1]Simulation pricing per sub assy'!$D:$E,2,0))*Y1413</f>
        <v>1.5769808000000001</v>
      </c>
    </row>
    <row r="1414" spans="1:27" x14ac:dyDescent="0.35">
      <c r="A1414" s="27" t="s">
        <v>2388</v>
      </c>
      <c r="B1414" s="27" t="s">
        <v>2389</v>
      </c>
      <c r="C1414" s="42">
        <f t="shared" si="22"/>
        <v>112.57578079999999</v>
      </c>
      <c r="D1414" s="33" t="s">
        <v>2058</v>
      </c>
      <c r="E1414" s="33">
        <v>1</v>
      </c>
      <c r="F1414" s="33" t="s">
        <v>2059</v>
      </c>
      <c r="G1414" s="14">
        <f>(VLOOKUP(D1414,'[1]BOM Info General'!$A:$L,12,0))*E1414</f>
        <v>35.56</v>
      </c>
      <c r="H1414" s="34" t="s">
        <v>39</v>
      </c>
      <c r="I1414" s="34">
        <v>1</v>
      </c>
      <c r="J1414" s="34" t="s">
        <v>46</v>
      </c>
      <c r="K1414" s="15">
        <f>(VLOOKUP(H1414,'[1]BOM Info General'!$A:$L,12,0))*I1414</f>
        <v>24.42</v>
      </c>
      <c r="L1414" s="35" t="s">
        <v>54</v>
      </c>
      <c r="M1414" s="35">
        <v>1</v>
      </c>
      <c r="N1414" s="35" t="s">
        <v>53</v>
      </c>
      <c r="O1414" s="9">
        <f>(VLOOKUP(L1414,'[1]Simulation pricing per sub assy'!$D:$E,2,0))*M1414</f>
        <v>43.868799999999993</v>
      </c>
      <c r="P1414" s="36" t="s">
        <v>50</v>
      </c>
      <c r="Q1414" s="36">
        <v>2</v>
      </c>
      <c r="R1414" s="36" t="s">
        <v>611</v>
      </c>
      <c r="S1414" s="40">
        <f>(VLOOKUP(P1414,'[1]BOM Info General'!$A:$L,12,0))*Q1414</f>
        <v>5.3</v>
      </c>
      <c r="T1414" s="37" t="s">
        <v>7</v>
      </c>
      <c r="U1414" s="37">
        <v>1</v>
      </c>
      <c r="V1414" s="37" t="s">
        <v>8</v>
      </c>
      <c r="W1414" s="17">
        <f>(VLOOKUP(T1414,'[1]Simulation pricing per sub assy'!$D:$E,2,0))*U1414</f>
        <v>1.85</v>
      </c>
      <c r="X1414" s="32" t="s">
        <v>615</v>
      </c>
      <c r="Y1414" s="38">
        <v>1</v>
      </c>
      <c r="Z1414" s="38" t="s">
        <v>9</v>
      </c>
      <c r="AA1414" s="18">
        <f>(VLOOKUP(X1414,'[1]Simulation pricing per sub assy'!$D:$E,2,0))*Y1414</f>
        <v>1.5769808000000001</v>
      </c>
    </row>
    <row r="1415" spans="1:27" x14ac:dyDescent="0.35">
      <c r="A1415" s="27" t="s">
        <v>2390</v>
      </c>
      <c r="B1415" s="27" t="s">
        <v>2391</v>
      </c>
      <c r="C1415" s="42">
        <f t="shared" si="22"/>
        <v>112.31578079999998</v>
      </c>
      <c r="D1415" s="33" t="s">
        <v>2058</v>
      </c>
      <c r="E1415" s="33">
        <v>1</v>
      </c>
      <c r="F1415" s="33" t="s">
        <v>2059</v>
      </c>
      <c r="G1415" s="14">
        <f>(VLOOKUP(D1415,'[1]BOM Info General'!$A:$L,12,0))*E1415</f>
        <v>35.56</v>
      </c>
      <c r="H1415" s="34" t="s">
        <v>39</v>
      </c>
      <c r="I1415" s="34">
        <v>1</v>
      </c>
      <c r="J1415" s="34" t="s">
        <v>46</v>
      </c>
      <c r="K1415" s="15">
        <f>(VLOOKUP(H1415,'[1]BOM Info General'!$A:$L,12,0))*I1415</f>
        <v>24.42</v>
      </c>
      <c r="L1415" s="35" t="s">
        <v>60</v>
      </c>
      <c r="M1415" s="35">
        <v>1</v>
      </c>
      <c r="N1415" s="35" t="s">
        <v>57</v>
      </c>
      <c r="O1415" s="9">
        <f>(VLOOKUP(L1415,'[1]Simulation pricing per sub assy'!$D:$E,2,0))*M1415</f>
        <v>43.608799999999988</v>
      </c>
      <c r="P1415" s="36" t="s">
        <v>50</v>
      </c>
      <c r="Q1415" s="36">
        <v>2</v>
      </c>
      <c r="R1415" s="36" t="s">
        <v>611</v>
      </c>
      <c r="S1415" s="40">
        <f>(VLOOKUP(P1415,'[1]BOM Info General'!$A:$L,12,0))*Q1415</f>
        <v>5.3</v>
      </c>
      <c r="T1415" s="37" t="s">
        <v>7</v>
      </c>
      <c r="U1415" s="37">
        <v>1</v>
      </c>
      <c r="V1415" s="37" t="s">
        <v>8</v>
      </c>
      <c r="W1415" s="17">
        <f>(VLOOKUP(T1415,'[1]Simulation pricing per sub assy'!$D:$E,2,0))*U1415</f>
        <v>1.85</v>
      </c>
      <c r="X1415" s="32" t="s">
        <v>615</v>
      </c>
      <c r="Y1415" s="38">
        <v>1</v>
      </c>
      <c r="Z1415" s="38" t="s">
        <v>9</v>
      </c>
      <c r="AA1415" s="18">
        <f>(VLOOKUP(X1415,'[1]Simulation pricing per sub assy'!$D:$E,2,0))*Y1415</f>
        <v>1.5769808000000001</v>
      </c>
    </row>
    <row r="1416" spans="1:27" x14ac:dyDescent="0.35">
      <c r="A1416" s="27" t="s">
        <v>2392</v>
      </c>
      <c r="B1416" s="27" t="s">
        <v>2393</v>
      </c>
      <c r="C1416" s="42">
        <f t="shared" si="22"/>
        <v>119.98578079999999</v>
      </c>
      <c r="D1416" s="33" t="s">
        <v>2058</v>
      </c>
      <c r="E1416" s="33">
        <v>1</v>
      </c>
      <c r="F1416" s="33" t="s">
        <v>2059</v>
      </c>
      <c r="G1416" s="14">
        <f>(VLOOKUP(D1416,'[1]BOM Info General'!$A:$L,12,0))*E1416</f>
        <v>35.56</v>
      </c>
      <c r="H1416" s="34" t="s">
        <v>39</v>
      </c>
      <c r="I1416" s="34">
        <v>1</v>
      </c>
      <c r="J1416" s="34" t="s">
        <v>46</v>
      </c>
      <c r="K1416" s="15">
        <f>(VLOOKUP(H1416,'[1]BOM Info General'!$A:$L,12,0))*I1416</f>
        <v>24.42</v>
      </c>
      <c r="L1416" s="35" t="s">
        <v>56</v>
      </c>
      <c r="M1416" s="35">
        <v>1</v>
      </c>
      <c r="N1416" s="35" t="s">
        <v>59</v>
      </c>
      <c r="O1416" s="9">
        <f>(VLOOKUP(L1416,'[1]Simulation pricing per sub assy'!$D:$E,2,0))*M1416</f>
        <v>51.27879999999999</v>
      </c>
      <c r="P1416" s="36" t="s">
        <v>50</v>
      </c>
      <c r="Q1416" s="36">
        <v>2</v>
      </c>
      <c r="R1416" s="36" t="s">
        <v>611</v>
      </c>
      <c r="S1416" s="40">
        <f>(VLOOKUP(P1416,'[1]BOM Info General'!$A:$L,12,0))*Q1416</f>
        <v>5.3</v>
      </c>
      <c r="T1416" s="37" t="s">
        <v>7</v>
      </c>
      <c r="U1416" s="37">
        <v>1</v>
      </c>
      <c r="V1416" s="37" t="s">
        <v>8</v>
      </c>
      <c r="W1416" s="17">
        <f>(VLOOKUP(T1416,'[1]Simulation pricing per sub assy'!$D:$E,2,0))*U1416</f>
        <v>1.85</v>
      </c>
      <c r="X1416" s="32" t="s">
        <v>615</v>
      </c>
      <c r="Y1416" s="38">
        <v>1</v>
      </c>
      <c r="Z1416" s="38" t="s">
        <v>9</v>
      </c>
      <c r="AA1416" s="18">
        <f>(VLOOKUP(X1416,'[1]Simulation pricing per sub assy'!$D:$E,2,0))*Y1416</f>
        <v>1.5769808000000001</v>
      </c>
    </row>
    <row r="1417" spans="1:27" x14ac:dyDescent="0.35">
      <c r="A1417" s="27" t="s">
        <v>2394</v>
      </c>
      <c r="B1417" s="27" t="s">
        <v>2395</v>
      </c>
      <c r="C1417" s="42">
        <f t="shared" si="22"/>
        <v>111.21578079999999</v>
      </c>
      <c r="D1417" s="33" t="s">
        <v>2058</v>
      </c>
      <c r="E1417" s="33">
        <v>1</v>
      </c>
      <c r="F1417" s="33" t="s">
        <v>2059</v>
      </c>
      <c r="G1417" s="14">
        <f>(VLOOKUP(D1417,'[1]BOM Info General'!$A:$L,12,0))*E1417</f>
        <v>35.56</v>
      </c>
      <c r="H1417" s="34" t="s">
        <v>39</v>
      </c>
      <c r="I1417" s="34">
        <v>1</v>
      </c>
      <c r="J1417" s="34" t="s">
        <v>46</v>
      </c>
      <c r="K1417" s="15">
        <f>(VLOOKUP(H1417,'[1]BOM Info General'!$A:$L,12,0))*I1417</f>
        <v>24.42</v>
      </c>
      <c r="L1417" s="35" t="s">
        <v>523</v>
      </c>
      <c r="M1417" s="35">
        <v>1</v>
      </c>
      <c r="N1417" s="35" t="s">
        <v>61</v>
      </c>
      <c r="O1417" s="9">
        <f>(VLOOKUP(L1417,'[1]Simulation pricing per sub assy'!$D:$E,2,0))*M1417</f>
        <v>42.308799999999991</v>
      </c>
      <c r="P1417" s="36" t="s">
        <v>50</v>
      </c>
      <c r="Q1417" s="36">
        <v>2</v>
      </c>
      <c r="R1417" s="36" t="s">
        <v>16</v>
      </c>
      <c r="S1417" s="40">
        <f>(VLOOKUP(P1417,'[1]BOM Info General'!$A:$L,12,0))*Q1417</f>
        <v>5.3</v>
      </c>
      <c r="T1417" s="37" t="s">
        <v>10</v>
      </c>
      <c r="U1417" s="37">
        <v>1</v>
      </c>
      <c r="V1417" s="37" t="s">
        <v>11</v>
      </c>
      <c r="W1417" s="17">
        <f>(VLOOKUP(T1417,'[1]Simulation pricing per sub assy'!$D:$E,2,0))*U1417</f>
        <v>2.0499999999999998</v>
      </c>
      <c r="X1417" s="32" t="s">
        <v>615</v>
      </c>
      <c r="Y1417" s="38">
        <v>1</v>
      </c>
      <c r="Z1417" s="38" t="s">
        <v>9</v>
      </c>
      <c r="AA1417" s="18">
        <f>(VLOOKUP(X1417,'[1]Simulation pricing per sub assy'!$D:$E,2,0))*Y1417</f>
        <v>1.5769808000000001</v>
      </c>
    </row>
    <row r="1418" spans="1:27" x14ac:dyDescent="0.35">
      <c r="A1418" s="27" t="s">
        <v>2396</v>
      </c>
      <c r="B1418" s="27" t="s">
        <v>2397</v>
      </c>
      <c r="C1418" s="42">
        <f t="shared" si="22"/>
        <v>112.19578079999999</v>
      </c>
      <c r="D1418" s="33" t="s">
        <v>2058</v>
      </c>
      <c r="E1418" s="33">
        <v>1</v>
      </c>
      <c r="F1418" s="33" t="s">
        <v>2059</v>
      </c>
      <c r="G1418" s="14">
        <f>(VLOOKUP(D1418,'[1]BOM Info General'!$A:$L,12,0))*E1418</f>
        <v>35.56</v>
      </c>
      <c r="H1418" s="34" t="s">
        <v>39</v>
      </c>
      <c r="I1418" s="34">
        <v>1</v>
      </c>
      <c r="J1418" s="34" t="s">
        <v>46</v>
      </c>
      <c r="K1418" s="15">
        <f>(VLOOKUP(H1418,'[1]BOM Info General'!$A:$L,12,0))*I1418</f>
        <v>24.42</v>
      </c>
      <c r="L1418" s="35" t="s">
        <v>58</v>
      </c>
      <c r="M1418" s="35">
        <v>1</v>
      </c>
      <c r="N1418" s="35" t="s">
        <v>55</v>
      </c>
      <c r="O1418" s="9">
        <f>(VLOOKUP(L1418,'[1]Simulation pricing per sub assy'!$D:$E,2,0))*M1418</f>
        <v>43.288799999999988</v>
      </c>
      <c r="P1418" s="36" t="s">
        <v>50</v>
      </c>
      <c r="Q1418" s="36">
        <v>2</v>
      </c>
      <c r="R1418" s="36" t="s">
        <v>16</v>
      </c>
      <c r="S1418" s="40">
        <f>(VLOOKUP(P1418,'[1]BOM Info General'!$A:$L,12,0))*Q1418</f>
        <v>5.3</v>
      </c>
      <c r="T1418" s="37" t="s">
        <v>10</v>
      </c>
      <c r="U1418" s="37">
        <v>1</v>
      </c>
      <c r="V1418" s="37" t="s">
        <v>11</v>
      </c>
      <c r="W1418" s="17">
        <f>(VLOOKUP(T1418,'[1]Simulation pricing per sub assy'!$D:$E,2,0))*U1418</f>
        <v>2.0499999999999998</v>
      </c>
      <c r="X1418" s="32" t="s">
        <v>615</v>
      </c>
      <c r="Y1418" s="38">
        <v>1</v>
      </c>
      <c r="Z1418" s="38" t="s">
        <v>9</v>
      </c>
      <c r="AA1418" s="18">
        <f>(VLOOKUP(X1418,'[1]Simulation pricing per sub assy'!$D:$E,2,0))*Y1418</f>
        <v>1.5769808000000001</v>
      </c>
    </row>
    <row r="1419" spans="1:27" x14ac:dyDescent="0.35">
      <c r="A1419" s="27" t="s">
        <v>2398</v>
      </c>
      <c r="B1419" s="27" t="s">
        <v>2399</v>
      </c>
      <c r="C1419" s="42">
        <f t="shared" si="22"/>
        <v>112.77578079999999</v>
      </c>
      <c r="D1419" s="33" t="s">
        <v>2058</v>
      </c>
      <c r="E1419" s="33">
        <v>1</v>
      </c>
      <c r="F1419" s="33" t="s">
        <v>2059</v>
      </c>
      <c r="G1419" s="14">
        <f>(VLOOKUP(D1419,'[1]BOM Info General'!$A:$L,12,0))*E1419</f>
        <v>35.56</v>
      </c>
      <c r="H1419" s="34" t="s">
        <v>39</v>
      </c>
      <c r="I1419" s="34">
        <v>1</v>
      </c>
      <c r="J1419" s="34" t="s">
        <v>46</v>
      </c>
      <c r="K1419" s="15">
        <f>(VLOOKUP(H1419,'[1]BOM Info General'!$A:$L,12,0))*I1419</f>
        <v>24.42</v>
      </c>
      <c r="L1419" s="35" t="s">
        <v>54</v>
      </c>
      <c r="M1419" s="35">
        <v>1</v>
      </c>
      <c r="N1419" s="35" t="s">
        <v>53</v>
      </c>
      <c r="O1419" s="9">
        <f>(VLOOKUP(L1419,'[1]Simulation pricing per sub assy'!$D:$E,2,0))*M1419</f>
        <v>43.868799999999993</v>
      </c>
      <c r="P1419" s="36" t="s">
        <v>50</v>
      </c>
      <c r="Q1419" s="36">
        <v>2</v>
      </c>
      <c r="R1419" s="36" t="s">
        <v>16</v>
      </c>
      <c r="S1419" s="40">
        <f>(VLOOKUP(P1419,'[1]BOM Info General'!$A:$L,12,0))*Q1419</f>
        <v>5.3</v>
      </c>
      <c r="T1419" s="37" t="s">
        <v>10</v>
      </c>
      <c r="U1419" s="37">
        <v>1</v>
      </c>
      <c r="V1419" s="37" t="s">
        <v>11</v>
      </c>
      <c r="W1419" s="17">
        <f>(VLOOKUP(T1419,'[1]Simulation pricing per sub assy'!$D:$E,2,0))*U1419</f>
        <v>2.0499999999999998</v>
      </c>
      <c r="X1419" s="32" t="s">
        <v>615</v>
      </c>
      <c r="Y1419" s="38">
        <v>1</v>
      </c>
      <c r="Z1419" s="38" t="s">
        <v>9</v>
      </c>
      <c r="AA1419" s="18">
        <f>(VLOOKUP(X1419,'[1]Simulation pricing per sub assy'!$D:$E,2,0))*Y1419</f>
        <v>1.5769808000000001</v>
      </c>
    </row>
    <row r="1420" spans="1:27" x14ac:dyDescent="0.35">
      <c r="A1420" s="27" t="s">
        <v>2400</v>
      </c>
      <c r="B1420" s="27" t="s">
        <v>2401</v>
      </c>
      <c r="C1420" s="42">
        <f t="shared" si="22"/>
        <v>112.51578079999999</v>
      </c>
      <c r="D1420" s="33" t="s">
        <v>2058</v>
      </c>
      <c r="E1420" s="33">
        <v>1</v>
      </c>
      <c r="F1420" s="33" t="s">
        <v>2059</v>
      </c>
      <c r="G1420" s="14">
        <f>(VLOOKUP(D1420,'[1]BOM Info General'!$A:$L,12,0))*E1420</f>
        <v>35.56</v>
      </c>
      <c r="H1420" s="34" t="s">
        <v>39</v>
      </c>
      <c r="I1420" s="34">
        <v>1</v>
      </c>
      <c r="J1420" s="34" t="s">
        <v>46</v>
      </c>
      <c r="K1420" s="15">
        <f>(VLOOKUP(H1420,'[1]BOM Info General'!$A:$L,12,0))*I1420</f>
        <v>24.42</v>
      </c>
      <c r="L1420" s="35" t="s">
        <v>60</v>
      </c>
      <c r="M1420" s="35">
        <v>1</v>
      </c>
      <c r="N1420" s="35" t="s">
        <v>57</v>
      </c>
      <c r="O1420" s="9">
        <f>(VLOOKUP(L1420,'[1]Simulation pricing per sub assy'!$D:$E,2,0))*M1420</f>
        <v>43.608799999999988</v>
      </c>
      <c r="P1420" s="36" t="s">
        <v>50</v>
      </c>
      <c r="Q1420" s="36">
        <v>2</v>
      </c>
      <c r="R1420" s="36" t="s">
        <v>16</v>
      </c>
      <c r="S1420" s="40">
        <f>(VLOOKUP(P1420,'[1]BOM Info General'!$A:$L,12,0))*Q1420</f>
        <v>5.3</v>
      </c>
      <c r="T1420" s="37" t="s">
        <v>10</v>
      </c>
      <c r="U1420" s="37">
        <v>1</v>
      </c>
      <c r="V1420" s="37" t="s">
        <v>11</v>
      </c>
      <c r="W1420" s="17">
        <f>(VLOOKUP(T1420,'[1]Simulation pricing per sub assy'!$D:$E,2,0))*U1420</f>
        <v>2.0499999999999998</v>
      </c>
      <c r="X1420" s="32" t="s">
        <v>615</v>
      </c>
      <c r="Y1420" s="38">
        <v>1</v>
      </c>
      <c r="Z1420" s="38" t="s">
        <v>9</v>
      </c>
      <c r="AA1420" s="18">
        <f>(VLOOKUP(X1420,'[1]Simulation pricing per sub assy'!$D:$E,2,0))*Y1420</f>
        <v>1.5769808000000001</v>
      </c>
    </row>
    <row r="1421" spans="1:27" x14ac:dyDescent="0.35">
      <c r="A1421" s="27" t="s">
        <v>2402</v>
      </c>
      <c r="B1421" s="27" t="s">
        <v>2403</v>
      </c>
      <c r="C1421" s="42">
        <f t="shared" si="22"/>
        <v>120.18578079999999</v>
      </c>
      <c r="D1421" s="33" t="s">
        <v>2058</v>
      </c>
      <c r="E1421" s="33">
        <v>1</v>
      </c>
      <c r="F1421" s="33" t="s">
        <v>2059</v>
      </c>
      <c r="G1421" s="14">
        <f>(VLOOKUP(D1421,'[1]BOM Info General'!$A:$L,12,0))*E1421</f>
        <v>35.56</v>
      </c>
      <c r="H1421" s="34" t="s">
        <v>39</v>
      </c>
      <c r="I1421" s="34">
        <v>1</v>
      </c>
      <c r="J1421" s="34" t="s">
        <v>46</v>
      </c>
      <c r="K1421" s="15">
        <f>(VLOOKUP(H1421,'[1]BOM Info General'!$A:$L,12,0))*I1421</f>
        <v>24.42</v>
      </c>
      <c r="L1421" s="35" t="s">
        <v>56</v>
      </c>
      <c r="M1421" s="35">
        <v>1</v>
      </c>
      <c r="N1421" s="35" t="s">
        <v>59</v>
      </c>
      <c r="O1421" s="9">
        <f>(VLOOKUP(L1421,'[1]Simulation pricing per sub assy'!$D:$E,2,0))*M1421</f>
        <v>51.27879999999999</v>
      </c>
      <c r="P1421" s="36" t="s">
        <v>50</v>
      </c>
      <c r="Q1421" s="36">
        <v>2</v>
      </c>
      <c r="R1421" s="36" t="s">
        <v>16</v>
      </c>
      <c r="S1421" s="40">
        <f>(VLOOKUP(P1421,'[1]BOM Info General'!$A:$L,12,0))*Q1421</f>
        <v>5.3</v>
      </c>
      <c r="T1421" s="37" t="s">
        <v>10</v>
      </c>
      <c r="U1421" s="37">
        <v>1</v>
      </c>
      <c r="V1421" s="37" t="s">
        <v>11</v>
      </c>
      <c r="W1421" s="17">
        <f>(VLOOKUP(T1421,'[1]Simulation pricing per sub assy'!$D:$E,2,0))*U1421</f>
        <v>2.0499999999999998</v>
      </c>
      <c r="X1421" s="32" t="s">
        <v>615</v>
      </c>
      <c r="Y1421" s="38">
        <v>1</v>
      </c>
      <c r="Z1421" s="38" t="s">
        <v>9</v>
      </c>
      <c r="AA1421" s="18">
        <f>(VLOOKUP(X1421,'[1]Simulation pricing per sub assy'!$D:$E,2,0))*Y1421</f>
        <v>1.5769808000000001</v>
      </c>
    </row>
    <row r="1422" spans="1:27" x14ac:dyDescent="0.35">
      <c r="A1422" s="27" t="s">
        <v>2404</v>
      </c>
      <c r="B1422" s="27" t="s">
        <v>2405</v>
      </c>
      <c r="C1422" s="42">
        <f t="shared" si="22"/>
        <v>111.0657808</v>
      </c>
      <c r="D1422" s="33" t="s">
        <v>2058</v>
      </c>
      <c r="E1422" s="33">
        <v>1</v>
      </c>
      <c r="F1422" s="33" t="s">
        <v>2059</v>
      </c>
      <c r="G1422" s="14">
        <f>(VLOOKUP(D1422,'[1]BOM Info General'!$A:$L,12,0))*E1422</f>
        <v>35.56</v>
      </c>
      <c r="H1422" s="34" t="s">
        <v>39</v>
      </c>
      <c r="I1422" s="34">
        <v>1</v>
      </c>
      <c r="J1422" s="34" t="s">
        <v>46</v>
      </c>
      <c r="K1422" s="15">
        <f>(VLOOKUP(H1422,'[1]BOM Info General'!$A:$L,12,0))*I1422</f>
        <v>24.42</v>
      </c>
      <c r="L1422" s="35" t="s">
        <v>523</v>
      </c>
      <c r="M1422" s="35">
        <v>1</v>
      </c>
      <c r="N1422" s="35" t="s">
        <v>61</v>
      </c>
      <c r="O1422" s="9">
        <f>(VLOOKUP(L1422,'[1]Simulation pricing per sub assy'!$D:$E,2,0))*M1422</f>
        <v>42.308799999999991</v>
      </c>
      <c r="P1422" s="36" t="s">
        <v>50</v>
      </c>
      <c r="Q1422" s="36">
        <v>2</v>
      </c>
      <c r="R1422" s="36" t="s">
        <v>16</v>
      </c>
      <c r="S1422" s="40">
        <f>(VLOOKUP(P1422,'[1]BOM Info General'!$A:$L,12,0))*Q1422</f>
        <v>5.3</v>
      </c>
      <c r="T1422" s="37" t="s">
        <v>12</v>
      </c>
      <c r="U1422" s="37">
        <v>1</v>
      </c>
      <c r="V1422" s="37" t="s">
        <v>13</v>
      </c>
      <c r="W1422" s="17">
        <f>(VLOOKUP(T1422,'[1]Simulation pricing per sub assy'!$D:$E,2,0))*U1422</f>
        <v>1.9</v>
      </c>
      <c r="X1422" s="32" t="s">
        <v>615</v>
      </c>
      <c r="Y1422" s="38">
        <v>1</v>
      </c>
      <c r="Z1422" s="38" t="s">
        <v>9</v>
      </c>
      <c r="AA1422" s="18">
        <f>(VLOOKUP(X1422,'[1]Simulation pricing per sub assy'!$D:$E,2,0))*Y1422</f>
        <v>1.5769808000000001</v>
      </c>
    </row>
    <row r="1423" spans="1:27" x14ac:dyDescent="0.35">
      <c r="A1423" s="27" t="s">
        <v>2406</v>
      </c>
      <c r="B1423" s="27" t="s">
        <v>2407</v>
      </c>
      <c r="C1423" s="42">
        <f t="shared" si="22"/>
        <v>112.0457808</v>
      </c>
      <c r="D1423" s="33" t="s">
        <v>2058</v>
      </c>
      <c r="E1423" s="33">
        <v>1</v>
      </c>
      <c r="F1423" s="33" t="s">
        <v>2059</v>
      </c>
      <c r="G1423" s="14">
        <f>(VLOOKUP(D1423,'[1]BOM Info General'!$A:$L,12,0))*E1423</f>
        <v>35.56</v>
      </c>
      <c r="H1423" s="34" t="s">
        <v>39</v>
      </c>
      <c r="I1423" s="34">
        <v>1</v>
      </c>
      <c r="J1423" s="34" t="s">
        <v>46</v>
      </c>
      <c r="K1423" s="15">
        <f>(VLOOKUP(H1423,'[1]BOM Info General'!$A:$L,12,0))*I1423</f>
        <v>24.42</v>
      </c>
      <c r="L1423" s="35" t="s">
        <v>58</v>
      </c>
      <c r="M1423" s="35">
        <v>1</v>
      </c>
      <c r="N1423" s="35" t="s">
        <v>55</v>
      </c>
      <c r="O1423" s="9">
        <f>(VLOOKUP(L1423,'[1]Simulation pricing per sub assy'!$D:$E,2,0))*M1423</f>
        <v>43.288799999999988</v>
      </c>
      <c r="P1423" s="36" t="s">
        <v>50</v>
      </c>
      <c r="Q1423" s="36">
        <v>2</v>
      </c>
      <c r="R1423" s="36" t="s">
        <v>16</v>
      </c>
      <c r="S1423" s="40">
        <f>(VLOOKUP(P1423,'[1]BOM Info General'!$A:$L,12,0))*Q1423</f>
        <v>5.3</v>
      </c>
      <c r="T1423" s="37" t="s">
        <v>12</v>
      </c>
      <c r="U1423" s="37">
        <v>1</v>
      </c>
      <c r="V1423" s="37" t="s">
        <v>13</v>
      </c>
      <c r="W1423" s="17">
        <f>(VLOOKUP(T1423,'[1]Simulation pricing per sub assy'!$D:$E,2,0))*U1423</f>
        <v>1.9</v>
      </c>
      <c r="X1423" s="32" t="s">
        <v>615</v>
      </c>
      <c r="Y1423" s="38">
        <v>1</v>
      </c>
      <c r="Z1423" s="38" t="s">
        <v>9</v>
      </c>
      <c r="AA1423" s="18">
        <f>(VLOOKUP(X1423,'[1]Simulation pricing per sub assy'!$D:$E,2,0))*Y1423</f>
        <v>1.5769808000000001</v>
      </c>
    </row>
    <row r="1424" spans="1:27" x14ac:dyDescent="0.35">
      <c r="A1424" s="27" t="s">
        <v>2408</v>
      </c>
      <c r="B1424" s="27" t="s">
        <v>2409</v>
      </c>
      <c r="C1424" s="42">
        <f t="shared" si="22"/>
        <v>112.6257808</v>
      </c>
      <c r="D1424" s="33" t="s">
        <v>2058</v>
      </c>
      <c r="E1424" s="33">
        <v>1</v>
      </c>
      <c r="F1424" s="33" t="s">
        <v>2059</v>
      </c>
      <c r="G1424" s="14">
        <f>(VLOOKUP(D1424,'[1]BOM Info General'!$A:$L,12,0))*E1424</f>
        <v>35.56</v>
      </c>
      <c r="H1424" s="34" t="s">
        <v>39</v>
      </c>
      <c r="I1424" s="34">
        <v>1</v>
      </c>
      <c r="J1424" s="34" t="s">
        <v>46</v>
      </c>
      <c r="K1424" s="15">
        <f>(VLOOKUP(H1424,'[1]BOM Info General'!$A:$L,12,0))*I1424</f>
        <v>24.42</v>
      </c>
      <c r="L1424" s="35" t="s">
        <v>54</v>
      </c>
      <c r="M1424" s="35">
        <v>1</v>
      </c>
      <c r="N1424" s="35" t="s">
        <v>53</v>
      </c>
      <c r="O1424" s="9">
        <f>(VLOOKUP(L1424,'[1]Simulation pricing per sub assy'!$D:$E,2,0))*M1424</f>
        <v>43.868799999999993</v>
      </c>
      <c r="P1424" s="36" t="s">
        <v>50</v>
      </c>
      <c r="Q1424" s="36">
        <v>2</v>
      </c>
      <c r="R1424" s="36" t="s">
        <v>16</v>
      </c>
      <c r="S1424" s="40">
        <f>(VLOOKUP(P1424,'[1]BOM Info General'!$A:$L,12,0))*Q1424</f>
        <v>5.3</v>
      </c>
      <c r="T1424" s="37" t="s">
        <v>12</v>
      </c>
      <c r="U1424" s="37">
        <v>1</v>
      </c>
      <c r="V1424" s="37" t="s">
        <v>13</v>
      </c>
      <c r="W1424" s="17">
        <f>(VLOOKUP(T1424,'[1]Simulation pricing per sub assy'!$D:$E,2,0))*U1424</f>
        <v>1.9</v>
      </c>
      <c r="X1424" s="32" t="s">
        <v>615</v>
      </c>
      <c r="Y1424" s="38">
        <v>1</v>
      </c>
      <c r="Z1424" s="38" t="s">
        <v>9</v>
      </c>
      <c r="AA1424" s="18">
        <f>(VLOOKUP(X1424,'[1]Simulation pricing per sub assy'!$D:$E,2,0))*Y1424</f>
        <v>1.5769808000000001</v>
      </c>
    </row>
    <row r="1425" spans="1:27" x14ac:dyDescent="0.35">
      <c r="A1425" s="27" t="s">
        <v>2410</v>
      </c>
      <c r="B1425" s="27" t="s">
        <v>2411</v>
      </c>
      <c r="C1425" s="42">
        <f t="shared" si="22"/>
        <v>112.3657808</v>
      </c>
      <c r="D1425" s="33" t="s">
        <v>2058</v>
      </c>
      <c r="E1425" s="33">
        <v>1</v>
      </c>
      <c r="F1425" s="33" t="s">
        <v>2059</v>
      </c>
      <c r="G1425" s="14">
        <f>(VLOOKUP(D1425,'[1]BOM Info General'!$A:$L,12,0))*E1425</f>
        <v>35.56</v>
      </c>
      <c r="H1425" s="34" t="s">
        <v>39</v>
      </c>
      <c r="I1425" s="34">
        <v>1</v>
      </c>
      <c r="J1425" s="34" t="s">
        <v>46</v>
      </c>
      <c r="K1425" s="15">
        <f>(VLOOKUP(H1425,'[1]BOM Info General'!$A:$L,12,0))*I1425</f>
        <v>24.42</v>
      </c>
      <c r="L1425" s="35" t="s">
        <v>60</v>
      </c>
      <c r="M1425" s="35">
        <v>1</v>
      </c>
      <c r="N1425" s="35" t="s">
        <v>57</v>
      </c>
      <c r="O1425" s="9">
        <f>(VLOOKUP(L1425,'[1]Simulation pricing per sub assy'!$D:$E,2,0))*M1425</f>
        <v>43.608799999999988</v>
      </c>
      <c r="P1425" s="36" t="s">
        <v>50</v>
      </c>
      <c r="Q1425" s="36">
        <v>2</v>
      </c>
      <c r="R1425" s="36" t="s">
        <v>16</v>
      </c>
      <c r="S1425" s="40">
        <f>(VLOOKUP(P1425,'[1]BOM Info General'!$A:$L,12,0))*Q1425</f>
        <v>5.3</v>
      </c>
      <c r="T1425" s="37" t="s">
        <v>12</v>
      </c>
      <c r="U1425" s="37">
        <v>1</v>
      </c>
      <c r="V1425" s="37" t="s">
        <v>13</v>
      </c>
      <c r="W1425" s="17">
        <f>(VLOOKUP(T1425,'[1]Simulation pricing per sub assy'!$D:$E,2,0))*U1425</f>
        <v>1.9</v>
      </c>
      <c r="X1425" s="32" t="s">
        <v>615</v>
      </c>
      <c r="Y1425" s="38">
        <v>1</v>
      </c>
      <c r="Z1425" s="38" t="s">
        <v>9</v>
      </c>
      <c r="AA1425" s="18">
        <f>(VLOOKUP(X1425,'[1]Simulation pricing per sub assy'!$D:$E,2,0))*Y1425</f>
        <v>1.5769808000000001</v>
      </c>
    </row>
    <row r="1426" spans="1:27" x14ac:dyDescent="0.35">
      <c r="A1426" s="27" t="s">
        <v>2412</v>
      </c>
      <c r="B1426" s="27" t="s">
        <v>2413</v>
      </c>
      <c r="C1426" s="42">
        <f t="shared" si="22"/>
        <v>120.0357808</v>
      </c>
      <c r="D1426" s="33" t="s">
        <v>2058</v>
      </c>
      <c r="E1426" s="33">
        <v>1</v>
      </c>
      <c r="F1426" s="33" t="s">
        <v>2059</v>
      </c>
      <c r="G1426" s="14">
        <f>(VLOOKUP(D1426,'[1]BOM Info General'!$A:$L,12,0))*E1426</f>
        <v>35.56</v>
      </c>
      <c r="H1426" s="34" t="s">
        <v>39</v>
      </c>
      <c r="I1426" s="34">
        <v>1</v>
      </c>
      <c r="J1426" s="34" t="s">
        <v>46</v>
      </c>
      <c r="K1426" s="15">
        <f>(VLOOKUP(H1426,'[1]BOM Info General'!$A:$L,12,0))*I1426</f>
        <v>24.42</v>
      </c>
      <c r="L1426" s="35" t="s">
        <v>56</v>
      </c>
      <c r="M1426" s="35">
        <v>1</v>
      </c>
      <c r="N1426" s="35" t="s">
        <v>59</v>
      </c>
      <c r="O1426" s="9">
        <f>(VLOOKUP(L1426,'[1]Simulation pricing per sub assy'!$D:$E,2,0))*M1426</f>
        <v>51.27879999999999</v>
      </c>
      <c r="P1426" s="36" t="s">
        <v>50</v>
      </c>
      <c r="Q1426" s="36">
        <v>2</v>
      </c>
      <c r="R1426" s="36" t="s">
        <v>16</v>
      </c>
      <c r="S1426" s="40">
        <f>(VLOOKUP(P1426,'[1]BOM Info General'!$A:$L,12,0))*Q1426</f>
        <v>5.3</v>
      </c>
      <c r="T1426" s="37" t="s">
        <v>12</v>
      </c>
      <c r="U1426" s="37">
        <v>1</v>
      </c>
      <c r="V1426" s="37" t="s">
        <v>13</v>
      </c>
      <c r="W1426" s="17">
        <f>(VLOOKUP(T1426,'[1]Simulation pricing per sub assy'!$D:$E,2,0))*U1426</f>
        <v>1.9</v>
      </c>
      <c r="X1426" s="32" t="s">
        <v>615</v>
      </c>
      <c r="Y1426" s="38">
        <v>1</v>
      </c>
      <c r="Z1426" s="38" t="s">
        <v>9</v>
      </c>
      <c r="AA1426" s="18">
        <f>(VLOOKUP(X1426,'[1]Simulation pricing per sub assy'!$D:$E,2,0))*Y1426</f>
        <v>1.5769808000000001</v>
      </c>
    </row>
    <row r="1427" spans="1:27" x14ac:dyDescent="0.35">
      <c r="A1427" s="27" t="s">
        <v>2414</v>
      </c>
      <c r="B1427" s="27" t="s">
        <v>2415</v>
      </c>
      <c r="C1427" s="42">
        <f t="shared" si="22"/>
        <v>111.0657808</v>
      </c>
      <c r="D1427" s="33" t="s">
        <v>2058</v>
      </c>
      <c r="E1427" s="33">
        <v>1</v>
      </c>
      <c r="F1427" s="33" t="s">
        <v>2059</v>
      </c>
      <c r="G1427" s="14">
        <f>(VLOOKUP(D1427,'[1]BOM Info General'!$A:$L,12,0))*E1427</f>
        <v>35.56</v>
      </c>
      <c r="H1427" s="34" t="s">
        <v>39</v>
      </c>
      <c r="I1427" s="34">
        <v>1</v>
      </c>
      <c r="J1427" s="34" t="s">
        <v>46</v>
      </c>
      <c r="K1427" s="15">
        <f>(VLOOKUP(H1427,'[1]BOM Info General'!$A:$L,12,0))*I1427</f>
        <v>24.42</v>
      </c>
      <c r="L1427" s="35" t="s">
        <v>523</v>
      </c>
      <c r="M1427" s="35">
        <v>1</v>
      </c>
      <c r="N1427" s="35" t="s">
        <v>61</v>
      </c>
      <c r="O1427" s="9">
        <f>(VLOOKUP(L1427,'[1]Simulation pricing per sub assy'!$D:$E,2,0))*M1427</f>
        <v>42.308799999999991</v>
      </c>
      <c r="P1427" s="36" t="s">
        <v>50</v>
      </c>
      <c r="Q1427" s="36">
        <v>2</v>
      </c>
      <c r="R1427" s="36" t="s">
        <v>16</v>
      </c>
      <c r="S1427" s="40">
        <f>(VLOOKUP(P1427,'[1]BOM Info General'!$A:$L,12,0))*Q1427</f>
        <v>5.3</v>
      </c>
      <c r="T1427" s="37" t="s">
        <v>14</v>
      </c>
      <c r="U1427" s="37">
        <v>1</v>
      </c>
      <c r="V1427" s="37" t="s">
        <v>15</v>
      </c>
      <c r="W1427" s="17">
        <f>(VLOOKUP(T1427,'[1]Simulation pricing per sub assy'!$D:$E,2,0))*U1427</f>
        <v>1.9</v>
      </c>
      <c r="X1427" s="32" t="s">
        <v>615</v>
      </c>
      <c r="Y1427" s="38">
        <v>1</v>
      </c>
      <c r="Z1427" s="38" t="s">
        <v>9</v>
      </c>
      <c r="AA1427" s="18">
        <f>(VLOOKUP(X1427,'[1]Simulation pricing per sub assy'!$D:$E,2,0))*Y1427</f>
        <v>1.5769808000000001</v>
      </c>
    </row>
    <row r="1428" spans="1:27" x14ac:dyDescent="0.35">
      <c r="A1428" s="27" t="s">
        <v>2416</v>
      </c>
      <c r="B1428" s="27" t="s">
        <v>2417</v>
      </c>
      <c r="C1428" s="42">
        <f t="shared" si="22"/>
        <v>112.0457808</v>
      </c>
      <c r="D1428" s="33" t="s">
        <v>2058</v>
      </c>
      <c r="E1428" s="33">
        <v>1</v>
      </c>
      <c r="F1428" s="33" t="s">
        <v>2059</v>
      </c>
      <c r="G1428" s="14">
        <f>(VLOOKUP(D1428,'[1]BOM Info General'!$A:$L,12,0))*E1428</f>
        <v>35.56</v>
      </c>
      <c r="H1428" s="34" t="s">
        <v>39</v>
      </c>
      <c r="I1428" s="34">
        <v>1</v>
      </c>
      <c r="J1428" s="34" t="s">
        <v>46</v>
      </c>
      <c r="K1428" s="15">
        <f>(VLOOKUP(H1428,'[1]BOM Info General'!$A:$L,12,0))*I1428</f>
        <v>24.42</v>
      </c>
      <c r="L1428" s="35" t="s">
        <v>58</v>
      </c>
      <c r="M1428" s="35">
        <v>1</v>
      </c>
      <c r="N1428" s="35" t="s">
        <v>55</v>
      </c>
      <c r="O1428" s="9">
        <f>(VLOOKUP(L1428,'[1]Simulation pricing per sub assy'!$D:$E,2,0))*M1428</f>
        <v>43.288799999999988</v>
      </c>
      <c r="P1428" s="36" t="s">
        <v>50</v>
      </c>
      <c r="Q1428" s="36">
        <v>2</v>
      </c>
      <c r="R1428" s="36" t="s">
        <v>16</v>
      </c>
      <c r="S1428" s="40">
        <f>(VLOOKUP(P1428,'[1]BOM Info General'!$A:$L,12,0))*Q1428</f>
        <v>5.3</v>
      </c>
      <c r="T1428" s="37" t="s">
        <v>14</v>
      </c>
      <c r="U1428" s="37">
        <v>1</v>
      </c>
      <c r="V1428" s="37" t="s">
        <v>15</v>
      </c>
      <c r="W1428" s="17">
        <f>(VLOOKUP(T1428,'[1]Simulation pricing per sub assy'!$D:$E,2,0))*U1428</f>
        <v>1.9</v>
      </c>
      <c r="X1428" s="32" t="s">
        <v>615</v>
      </c>
      <c r="Y1428" s="38">
        <v>1</v>
      </c>
      <c r="Z1428" s="38" t="s">
        <v>9</v>
      </c>
      <c r="AA1428" s="18">
        <f>(VLOOKUP(X1428,'[1]Simulation pricing per sub assy'!$D:$E,2,0))*Y1428</f>
        <v>1.5769808000000001</v>
      </c>
    </row>
    <row r="1429" spans="1:27" x14ac:dyDescent="0.35">
      <c r="A1429" s="27" t="s">
        <v>2418</v>
      </c>
      <c r="B1429" s="27" t="s">
        <v>2419</v>
      </c>
      <c r="C1429" s="42">
        <f t="shared" si="22"/>
        <v>112.6257808</v>
      </c>
      <c r="D1429" s="33" t="s">
        <v>2058</v>
      </c>
      <c r="E1429" s="33">
        <v>1</v>
      </c>
      <c r="F1429" s="33" t="s">
        <v>2059</v>
      </c>
      <c r="G1429" s="14">
        <f>(VLOOKUP(D1429,'[1]BOM Info General'!$A:$L,12,0))*E1429</f>
        <v>35.56</v>
      </c>
      <c r="H1429" s="34" t="s">
        <v>39</v>
      </c>
      <c r="I1429" s="34">
        <v>1</v>
      </c>
      <c r="J1429" s="34" t="s">
        <v>46</v>
      </c>
      <c r="K1429" s="15">
        <f>(VLOOKUP(H1429,'[1]BOM Info General'!$A:$L,12,0))*I1429</f>
        <v>24.42</v>
      </c>
      <c r="L1429" s="35" t="s">
        <v>54</v>
      </c>
      <c r="M1429" s="35">
        <v>1</v>
      </c>
      <c r="N1429" s="35" t="s">
        <v>53</v>
      </c>
      <c r="O1429" s="9">
        <f>(VLOOKUP(L1429,'[1]Simulation pricing per sub assy'!$D:$E,2,0))*M1429</f>
        <v>43.868799999999993</v>
      </c>
      <c r="P1429" s="36" t="s">
        <v>50</v>
      </c>
      <c r="Q1429" s="36">
        <v>2</v>
      </c>
      <c r="R1429" s="36" t="s">
        <v>16</v>
      </c>
      <c r="S1429" s="40">
        <f>(VLOOKUP(P1429,'[1]BOM Info General'!$A:$L,12,0))*Q1429</f>
        <v>5.3</v>
      </c>
      <c r="T1429" s="37" t="s">
        <v>14</v>
      </c>
      <c r="U1429" s="37">
        <v>1</v>
      </c>
      <c r="V1429" s="37" t="s">
        <v>15</v>
      </c>
      <c r="W1429" s="17">
        <f>(VLOOKUP(T1429,'[1]Simulation pricing per sub assy'!$D:$E,2,0))*U1429</f>
        <v>1.9</v>
      </c>
      <c r="X1429" s="32" t="s">
        <v>615</v>
      </c>
      <c r="Y1429" s="38">
        <v>1</v>
      </c>
      <c r="Z1429" s="38" t="s">
        <v>9</v>
      </c>
      <c r="AA1429" s="18">
        <f>(VLOOKUP(X1429,'[1]Simulation pricing per sub assy'!$D:$E,2,0))*Y1429</f>
        <v>1.5769808000000001</v>
      </c>
    </row>
    <row r="1430" spans="1:27" x14ac:dyDescent="0.35">
      <c r="A1430" s="27" t="s">
        <v>2420</v>
      </c>
      <c r="B1430" s="27" t="s">
        <v>2421</v>
      </c>
      <c r="C1430" s="42">
        <f t="shared" si="22"/>
        <v>112.3657808</v>
      </c>
      <c r="D1430" s="33" t="s">
        <v>2058</v>
      </c>
      <c r="E1430" s="33">
        <v>1</v>
      </c>
      <c r="F1430" s="33" t="s">
        <v>2059</v>
      </c>
      <c r="G1430" s="14">
        <f>(VLOOKUP(D1430,'[1]BOM Info General'!$A:$L,12,0))*E1430</f>
        <v>35.56</v>
      </c>
      <c r="H1430" s="34" t="s">
        <v>39</v>
      </c>
      <c r="I1430" s="34">
        <v>1</v>
      </c>
      <c r="J1430" s="34" t="s">
        <v>46</v>
      </c>
      <c r="K1430" s="15">
        <f>(VLOOKUP(H1430,'[1]BOM Info General'!$A:$L,12,0))*I1430</f>
        <v>24.42</v>
      </c>
      <c r="L1430" s="35" t="s">
        <v>60</v>
      </c>
      <c r="M1430" s="35">
        <v>1</v>
      </c>
      <c r="N1430" s="35" t="s">
        <v>57</v>
      </c>
      <c r="O1430" s="9">
        <f>(VLOOKUP(L1430,'[1]Simulation pricing per sub assy'!$D:$E,2,0))*M1430</f>
        <v>43.608799999999988</v>
      </c>
      <c r="P1430" s="36" t="s">
        <v>50</v>
      </c>
      <c r="Q1430" s="36">
        <v>2</v>
      </c>
      <c r="R1430" s="36" t="s">
        <v>16</v>
      </c>
      <c r="S1430" s="40">
        <f>(VLOOKUP(P1430,'[1]BOM Info General'!$A:$L,12,0))*Q1430</f>
        <v>5.3</v>
      </c>
      <c r="T1430" s="37" t="s">
        <v>14</v>
      </c>
      <c r="U1430" s="37">
        <v>1</v>
      </c>
      <c r="V1430" s="37" t="s">
        <v>15</v>
      </c>
      <c r="W1430" s="17">
        <f>(VLOOKUP(T1430,'[1]Simulation pricing per sub assy'!$D:$E,2,0))*U1430</f>
        <v>1.9</v>
      </c>
      <c r="X1430" s="32" t="s">
        <v>615</v>
      </c>
      <c r="Y1430" s="38">
        <v>1</v>
      </c>
      <c r="Z1430" s="38" t="s">
        <v>9</v>
      </c>
      <c r="AA1430" s="18">
        <f>(VLOOKUP(X1430,'[1]Simulation pricing per sub assy'!$D:$E,2,0))*Y1430</f>
        <v>1.5769808000000001</v>
      </c>
    </row>
    <row r="1431" spans="1:27" x14ac:dyDescent="0.35">
      <c r="A1431" s="27" t="s">
        <v>2422</v>
      </c>
      <c r="B1431" s="27" t="s">
        <v>2423</v>
      </c>
      <c r="C1431" s="42">
        <f t="shared" si="22"/>
        <v>120.0357808</v>
      </c>
      <c r="D1431" s="33" t="s">
        <v>2058</v>
      </c>
      <c r="E1431" s="33">
        <v>1</v>
      </c>
      <c r="F1431" s="33" t="s">
        <v>2059</v>
      </c>
      <c r="G1431" s="14">
        <f>(VLOOKUP(D1431,'[1]BOM Info General'!$A:$L,12,0))*E1431</f>
        <v>35.56</v>
      </c>
      <c r="H1431" s="34" t="s">
        <v>39</v>
      </c>
      <c r="I1431" s="34">
        <v>1</v>
      </c>
      <c r="J1431" s="34" t="s">
        <v>46</v>
      </c>
      <c r="K1431" s="15">
        <f>(VLOOKUP(H1431,'[1]BOM Info General'!$A:$L,12,0))*I1431</f>
        <v>24.42</v>
      </c>
      <c r="L1431" s="35" t="s">
        <v>56</v>
      </c>
      <c r="M1431" s="35">
        <v>1</v>
      </c>
      <c r="N1431" s="35" t="s">
        <v>59</v>
      </c>
      <c r="O1431" s="9">
        <f>(VLOOKUP(L1431,'[1]Simulation pricing per sub assy'!$D:$E,2,0))*M1431</f>
        <v>51.27879999999999</v>
      </c>
      <c r="P1431" s="36" t="s">
        <v>50</v>
      </c>
      <c r="Q1431" s="36">
        <v>2</v>
      </c>
      <c r="R1431" s="36" t="s">
        <v>16</v>
      </c>
      <c r="S1431" s="40">
        <f>(VLOOKUP(P1431,'[1]BOM Info General'!$A:$L,12,0))*Q1431</f>
        <v>5.3</v>
      </c>
      <c r="T1431" s="37" t="s">
        <v>14</v>
      </c>
      <c r="U1431" s="37">
        <v>1</v>
      </c>
      <c r="V1431" s="37" t="s">
        <v>15</v>
      </c>
      <c r="W1431" s="17">
        <f>(VLOOKUP(T1431,'[1]Simulation pricing per sub assy'!$D:$E,2,0))*U1431</f>
        <v>1.9</v>
      </c>
      <c r="X1431" s="32" t="s">
        <v>615</v>
      </c>
      <c r="Y1431" s="38">
        <v>1</v>
      </c>
      <c r="Z1431" s="38" t="s">
        <v>9</v>
      </c>
      <c r="AA1431" s="18">
        <f>(VLOOKUP(X1431,'[1]Simulation pricing per sub assy'!$D:$E,2,0))*Y1431</f>
        <v>1.5769808000000001</v>
      </c>
    </row>
    <row r="1432" spans="1:27" x14ac:dyDescent="0.35">
      <c r="A1432" s="27" t="s">
        <v>2424</v>
      </c>
      <c r="B1432" s="27" t="s">
        <v>2425</v>
      </c>
      <c r="C1432" s="42">
        <f t="shared" si="22"/>
        <v>111.21578079999999</v>
      </c>
      <c r="D1432" s="33" t="s">
        <v>2058</v>
      </c>
      <c r="E1432" s="33">
        <v>1</v>
      </c>
      <c r="F1432" s="33" t="s">
        <v>2059</v>
      </c>
      <c r="G1432" s="14">
        <f>(VLOOKUP(D1432,'[1]BOM Info General'!$A:$L,12,0))*E1432</f>
        <v>35.56</v>
      </c>
      <c r="H1432" s="34" t="s">
        <v>39</v>
      </c>
      <c r="I1432" s="34">
        <v>1</v>
      </c>
      <c r="J1432" s="34" t="s">
        <v>46</v>
      </c>
      <c r="K1432" s="15">
        <f>(VLOOKUP(H1432,'[1]BOM Info General'!$A:$L,12,0))*I1432</f>
        <v>24.42</v>
      </c>
      <c r="L1432" s="35" t="s">
        <v>523</v>
      </c>
      <c r="M1432" s="35">
        <v>1</v>
      </c>
      <c r="N1432" s="35" t="s">
        <v>61</v>
      </c>
      <c r="O1432" s="9">
        <f>(VLOOKUP(L1432,'[1]Simulation pricing per sub assy'!$D:$E,2,0))*M1432</f>
        <v>42.308799999999991</v>
      </c>
      <c r="P1432" s="36" t="s">
        <v>51</v>
      </c>
      <c r="Q1432" s="36">
        <v>2</v>
      </c>
      <c r="R1432" s="36" t="s">
        <v>17</v>
      </c>
      <c r="S1432" s="40">
        <f>(VLOOKUP(P1432,'[1]BOM Info General'!$A:$L,12,0))*Q1432</f>
        <v>5.3</v>
      </c>
      <c r="T1432" s="37" t="s">
        <v>10</v>
      </c>
      <c r="U1432" s="37">
        <v>1</v>
      </c>
      <c r="V1432" s="37" t="s">
        <v>11</v>
      </c>
      <c r="W1432" s="17">
        <f>(VLOOKUP(T1432,'[1]Simulation pricing per sub assy'!$D:$E,2,0))*U1432</f>
        <v>2.0499999999999998</v>
      </c>
      <c r="X1432" s="32" t="s">
        <v>615</v>
      </c>
      <c r="Y1432" s="38">
        <v>1</v>
      </c>
      <c r="Z1432" s="38" t="s">
        <v>9</v>
      </c>
      <c r="AA1432" s="18">
        <f>(VLOOKUP(X1432,'[1]Simulation pricing per sub assy'!$D:$E,2,0))*Y1432</f>
        <v>1.5769808000000001</v>
      </c>
    </row>
    <row r="1433" spans="1:27" x14ac:dyDescent="0.35">
      <c r="A1433" s="27" t="s">
        <v>2426</v>
      </c>
      <c r="B1433" s="27" t="s">
        <v>2427</v>
      </c>
      <c r="C1433" s="42">
        <f t="shared" si="22"/>
        <v>112.19578079999999</v>
      </c>
      <c r="D1433" s="33" t="s">
        <v>2058</v>
      </c>
      <c r="E1433" s="33">
        <v>1</v>
      </c>
      <c r="F1433" s="33" t="s">
        <v>2059</v>
      </c>
      <c r="G1433" s="14">
        <f>(VLOOKUP(D1433,'[1]BOM Info General'!$A:$L,12,0))*E1433</f>
        <v>35.56</v>
      </c>
      <c r="H1433" s="34" t="s">
        <v>39</v>
      </c>
      <c r="I1433" s="34">
        <v>1</v>
      </c>
      <c r="J1433" s="34" t="s">
        <v>46</v>
      </c>
      <c r="K1433" s="15">
        <f>(VLOOKUP(H1433,'[1]BOM Info General'!$A:$L,12,0))*I1433</f>
        <v>24.42</v>
      </c>
      <c r="L1433" s="35" t="s">
        <v>58</v>
      </c>
      <c r="M1433" s="35">
        <v>1</v>
      </c>
      <c r="N1433" s="35" t="s">
        <v>55</v>
      </c>
      <c r="O1433" s="9">
        <f>(VLOOKUP(L1433,'[1]Simulation pricing per sub assy'!$D:$E,2,0))*M1433</f>
        <v>43.288799999999988</v>
      </c>
      <c r="P1433" s="36" t="s">
        <v>51</v>
      </c>
      <c r="Q1433" s="36">
        <v>2</v>
      </c>
      <c r="R1433" s="36" t="s">
        <v>17</v>
      </c>
      <c r="S1433" s="40">
        <f>(VLOOKUP(P1433,'[1]BOM Info General'!$A:$L,12,0))*Q1433</f>
        <v>5.3</v>
      </c>
      <c r="T1433" s="37" t="s">
        <v>10</v>
      </c>
      <c r="U1433" s="37">
        <v>1</v>
      </c>
      <c r="V1433" s="37" t="s">
        <v>11</v>
      </c>
      <c r="W1433" s="17">
        <f>(VLOOKUP(T1433,'[1]Simulation pricing per sub assy'!$D:$E,2,0))*U1433</f>
        <v>2.0499999999999998</v>
      </c>
      <c r="X1433" s="32" t="s">
        <v>615</v>
      </c>
      <c r="Y1433" s="38">
        <v>1</v>
      </c>
      <c r="Z1433" s="38" t="s">
        <v>9</v>
      </c>
      <c r="AA1433" s="18">
        <f>(VLOOKUP(X1433,'[1]Simulation pricing per sub assy'!$D:$E,2,0))*Y1433</f>
        <v>1.5769808000000001</v>
      </c>
    </row>
    <row r="1434" spans="1:27" x14ac:dyDescent="0.35">
      <c r="A1434" s="27" t="s">
        <v>2428</v>
      </c>
      <c r="B1434" s="27" t="s">
        <v>2429</v>
      </c>
      <c r="C1434" s="42">
        <f t="shared" si="22"/>
        <v>112.77578079999999</v>
      </c>
      <c r="D1434" s="33" t="s">
        <v>2058</v>
      </c>
      <c r="E1434" s="33">
        <v>1</v>
      </c>
      <c r="F1434" s="33" t="s">
        <v>2059</v>
      </c>
      <c r="G1434" s="14">
        <f>(VLOOKUP(D1434,'[1]BOM Info General'!$A:$L,12,0))*E1434</f>
        <v>35.56</v>
      </c>
      <c r="H1434" s="34" t="s">
        <v>39</v>
      </c>
      <c r="I1434" s="34">
        <v>1</v>
      </c>
      <c r="J1434" s="34" t="s">
        <v>46</v>
      </c>
      <c r="K1434" s="15">
        <f>(VLOOKUP(H1434,'[1]BOM Info General'!$A:$L,12,0))*I1434</f>
        <v>24.42</v>
      </c>
      <c r="L1434" s="35" t="s">
        <v>54</v>
      </c>
      <c r="M1434" s="35">
        <v>1</v>
      </c>
      <c r="N1434" s="35" t="s">
        <v>53</v>
      </c>
      <c r="O1434" s="9">
        <f>(VLOOKUP(L1434,'[1]Simulation pricing per sub assy'!$D:$E,2,0))*M1434</f>
        <v>43.868799999999993</v>
      </c>
      <c r="P1434" s="36" t="s">
        <v>51</v>
      </c>
      <c r="Q1434" s="36">
        <v>2</v>
      </c>
      <c r="R1434" s="36" t="s">
        <v>17</v>
      </c>
      <c r="S1434" s="40">
        <f>(VLOOKUP(P1434,'[1]BOM Info General'!$A:$L,12,0))*Q1434</f>
        <v>5.3</v>
      </c>
      <c r="T1434" s="37" t="s">
        <v>10</v>
      </c>
      <c r="U1434" s="37">
        <v>1</v>
      </c>
      <c r="V1434" s="37" t="s">
        <v>11</v>
      </c>
      <c r="W1434" s="17">
        <f>(VLOOKUP(T1434,'[1]Simulation pricing per sub assy'!$D:$E,2,0))*U1434</f>
        <v>2.0499999999999998</v>
      </c>
      <c r="X1434" s="32" t="s">
        <v>615</v>
      </c>
      <c r="Y1434" s="38">
        <v>1</v>
      </c>
      <c r="Z1434" s="38" t="s">
        <v>9</v>
      </c>
      <c r="AA1434" s="18">
        <f>(VLOOKUP(X1434,'[1]Simulation pricing per sub assy'!$D:$E,2,0))*Y1434</f>
        <v>1.5769808000000001</v>
      </c>
    </row>
    <row r="1435" spans="1:27" x14ac:dyDescent="0.35">
      <c r="A1435" s="27" t="s">
        <v>2430</v>
      </c>
      <c r="B1435" s="27" t="s">
        <v>2431</v>
      </c>
      <c r="C1435" s="42">
        <f t="shared" si="22"/>
        <v>112.51578079999999</v>
      </c>
      <c r="D1435" s="33" t="s">
        <v>2058</v>
      </c>
      <c r="E1435" s="33">
        <v>1</v>
      </c>
      <c r="F1435" s="33" t="s">
        <v>2059</v>
      </c>
      <c r="G1435" s="14">
        <f>(VLOOKUP(D1435,'[1]BOM Info General'!$A:$L,12,0))*E1435</f>
        <v>35.56</v>
      </c>
      <c r="H1435" s="34" t="s">
        <v>39</v>
      </c>
      <c r="I1435" s="34">
        <v>1</v>
      </c>
      <c r="J1435" s="34" t="s">
        <v>46</v>
      </c>
      <c r="K1435" s="15">
        <f>(VLOOKUP(H1435,'[1]BOM Info General'!$A:$L,12,0))*I1435</f>
        <v>24.42</v>
      </c>
      <c r="L1435" s="35" t="s">
        <v>60</v>
      </c>
      <c r="M1435" s="35">
        <v>1</v>
      </c>
      <c r="N1435" s="35" t="s">
        <v>57</v>
      </c>
      <c r="O1435" s="9">
        <f>(VLOOKUP(L1435,'[1]Simulation pricing per sub assy'!$D:$E,2,0))*M1435</f>
        <v>43.608799999999988</v>
      </c>
      <c r="P1435" s="36" t="s">
        <v>51</v>
      </c>
      <c r="Q1435" s="36">
        <v>2</v>
      </c>
      <c r="R1435" s="36" t="s">
        <v>17</v>
      </c>
      <c r="S1435" s="40">
        <f>(VLOOKUP(P1435,'[1]BOM Info General'!$A:$L,12,0))*Q1435</f>
        <v>5.3</v>
      </c>
      <c r="T1435" s="37" t="s">
        <v>10</v>
      </c>
      <c r="U1435" s="37">
        <v>1</v>
      </c>
      <c r="V1435" s="37" t="s">
        <v>11</v>
      </c>
      <c r="W1435" s="17">
        <f>(VLOOKUP(T1435,'[1]Simulation pricing per sub assy'!$D:$E,2,0))*U1435</f>
        <v>2.0499999999999998</v>
      </c>
      <c r="X1435" s="32" t="s">
        <v>615</v>
      </c>
      <c r="Y1435" s="38">
        <v>1</v>
      </c>
      <c r="Z1435" s="38" t="s">
        <v>9</v>
      </c>
      <c r="AA1435" s="18">
        <f>(VLOOKUP(X1435,'[1]Simulation pricing per sub assy'!$D:$E,2,0))*Y1435</f>
        <v>1.5769808000000001</v>
      </c>
    </row>
    <row r="1436" spans="1:27" x14ac:dyDescent="0.35">
      <c r="A1436" s="27" t="s">
        <v>2432</v>
      </c>
      <c r="B1436" s="27" t="s">
        <v>2433</v>
      </c>
      <c r="C1436" s="42">
        <f t="shared" si="22"/>
        <v>120.18578079999999</v>
      </c>
      <c r="D1436" s="33" t="s">
        <v>2058</v>
      </c>
      <c r="E1436" s="33">
        <v>1</v>
      </c>
      <c r="F1436" s="33" t="s">
        <v>2059</v>
      </c>
      <c r="G1436" s="14">
        <f>(VLOOKUP(D1436,'[1]BOM Info General'!$A:$L,12,0))*E1436</f>
        <v>35.56</v>
      </c>
      <c r="H1436" s="34" t="s">
        <v>39</v>
      </c>
      <c r="I1436" s="34">
        <v>1</v>
      </c>
      <c r="J1436" s="34" t="s">
        <v>46</v>
      </c>
      <c r="K1436" s="15">
        <f>(VLOOKUP(H1436,'[1]BOM Info General'!$A:$L,12,0))*I1436</f>
        <v>24.42</v>
      </c>
      <c r="L1436" s="35" t="s">
        <v>56</v>
      </c>
      <c r="M1436" s="35">
        <v>1</v>
      </c>
      <c r="N1436" s="35" t="s">
        <v>59</v>
      </c>
      <c r="O1436" s="9">
        <f>(VLOOKUP(L1436,'[1]Simulation pricing per sub assy'!$D:$E,2,0))*M1436</f>
        <v>51.27879999999999</v>
      </c>
      <c r="P1436" s="36" t="s">
        <v>51</v>
      </c>
      <c r="Q1436" s="36">
        <v>2</v>
      </c>
      <c r="R1436" s="36" t="s">
        <v>17</v>
      </c>
      <c r="S1436" s="40">
        <f>(VLOOKUP(P1436,'[1]BOM Info General'!$A:$L,12,0))*Q1436</f>
        <v>5.3</v>
      </c>
      <c r="T1436" s="37" t="s">
        <v>10</v>
      </c>
      <c r="U1436" s="37">
        <v>1</v>
      </c>
      <c r="V1436" s="37" t="s">
        <v>11</v>
      </c>
      <c r="W1436" s="17">
        <f>(VLOOKUP(T1436,'[1]Simulation pricing per sub assy'!$D:$E,2,0))*U1436</f>
        <v>2.0499999999999998</v>
      </c>
      <c r="X1436" s="32" t="s">
        <v>615</v>
      </c>
      <c r="Y1436" s="38">
        <v>1</v>
      </c>
      <c r="Z1436" s="38" t="s">
        <v>9</v>
      </c>
      <c r="AA1436" s="18">
        <f>(VLOOKUP(X1436,'[1]Simulation pricing per sub assy'!$D:$E,2,0))*Y1436</f>
        <v>1.5769808000000001</v>
      </c>
    </row>
    <row r="1437" spans="1:27" x14ac:dyDescent="0.35">
      <c r="A1437" s="27" t="s">
        <v>2434</v>
      </c>
      <c r="B1437" s="27" t="s">
        <v>2435</v>
      </c>
      <c r="C1437" s="42">
        <f t="shared" si="22"/>
        <v>111.0657808</v>
      </c>
      <c r="D1437" s="33" t="s">
        <v>2058</v>
      </c>
      <c r="E1437" s="33">
        <v>1</v>
      </c>
      <c r="F1437" s="33" t="s">
        <v>2059</v>
      </c>
      <c r="G1437" s="14">
        <f>(VLOOKUP(D1437,'[1]BOM Info General'!$A:$L,12,0))*E1437</f>
        <v>35.56</v>
      </c>
      <c r="H1437" s="34" t="s">
        <v>39</v>
      </c>
      <c r="I1437" s="34">
        <v>1</v>
      </c>
      <c r="J1437" s="34" t="s">
        <v>46</v>
      </c>
      <c r="K1437" s="15">
        <f>(VLOOKUP(H1437,'[1]BOM Info General'!$A:$L,12,0))*I1437</f>
        <v>24.42</v>
      </c>
      <c r="L1437" s="35" t="s">
        <v>523</v>
      </c>
      <c r="M1437" s="35">
        <v>1</v>
      </c>
      <c r="N1437" s="35" t="s">
        <v>61</v>
      </c>
      <c r="O1437" s="9">
        <f>(VLOOKUP(L1437,'[1]Simulation pricing per sub assy'!$D:$E,2,0))*M1437</f>
        <v>42.308799999999991</v>
      </c>
      <c r="P1437" s="36" t="s">
        <v>51</v>
      </c>
      <c r="Q1437" s="36">
        <v>2</v>
      </c>
      <c r="R1437" s="36" t="s">
        <v>17</v>
      </c>
      <c r="S1437" s="40">
        <f>(VLOOKUP(P1437,'[1]BOM Info General'!$A:$L,12,0))*Q1437</f>
        <v>5.3</v>
      </c>
      <c r="T1437" s="37" t="s">
        <v>12</v>
      </c>
      <c r="U1437" s="37">
        <v>1</v>
      </c>
      <c r="V1437" s="37" t="s">
        <v>13</v>
      </c>
      <c r="W1437" s="17">
        <f>(VLOOKUP(T1437,'[1]Simulation pricing per sub assy'!$D:$E,2,0))*U1437</f>
        <v>1.9</v>
      </c>
      <c r="X1437" s="32" t="s">
        <v>615</v>
      </c>
      <c r="Y1437" s="38">
        <v>1</v>
      </c>
      <c r="Z1437" s="38" t="s">
        <v>9</v>
      </c>
      <c r="AA1437" s="18">
        <f>(VLOOKUP(X1437,'[1]Simulation pricing per sub assy'!$D:$E,2,0))*Y1437</f>
        <v>1.5769808000000001</v>
      </c>
    </row>
    <row r="1438" spans="1:27" x14ac:dyDescent="0.35">
      <c r="A1438" s="27" t="s">
        <v>2436</v>
      </c>
      <c r="B1438" s="27" t="s">
        <v>2437</v>
      </c>
      <c r="C1438" s="42">
        <f t="shared" si="22"/>
        <v>112.0457808</v>
      </c>
      <c r="D1438" s="33" t="s">
        <v>2058</v>
      </c>
      <c r="E1438" s="33">
        <v>1</v>
      </c>
      <c r="F1438" s="33" t="s">
        <v>2059</v>
      </c>
      <c r="G1438" s="14">
        <f>(VLOOKUP(D1438,'[1]BOM Info General'!$A:$L,12,0))*E1438</f>
        <v>35.56</v>
      </c>
      <c r="H1438" s="34" t="s">
        <v>39</v>
      </c>
      <c r="I1438" s="34">
        <v>1</v>
      </c>
      <c r="J1438" s="34" t="s">
        <v>46</v>
      </c>
      <c r="K1438" s="15">
        <f>(VLOOKUP(H1438,'[1]BOM Info General'!$A:$L,12,0))*I1438</f>
        <v>24.42</v>
      </c>
      <c r="L1438" s="35" t="s">
        <v>58</v>
      </c>
      <c r="M1438" s="35">
        <v>1</v>
      </c>
      <c r="N1438" s="35" t="s">
        <v>55</v>
      </c>
      <c r="O1438" s="9">
        <f>(VLOOKUP(L1438,'[1]Simulation pricing per sub assy'!$D:$E,2,0))*M1438</f>
        <v>43.288799999999988</v>
      </c>
      <c r="P1438" s="36" t="s">
        <v>51</v>
      </c>
      <c r="Q1438" s="36">
        <v>2</v>
      </c>
      <c r="R1438" s="36" t="s">
        <v>17</v>
      </c>
      <c r="S1438" s="40">
        <f>(VLOOKUP(P1438,'[1]BOM Info General'!$A:$L,12,0))*Q1438</f>
        <v>5.3</v>
      </c>
      <c r="T1438" s="37" t="s">
        <v>12</v>
      </c>
      <c r="U1438" s="37">
        <v>1</v>
      </c>
      <c r="V1438" s="37" t="s">
        <v>13</v>
      </c>
      <c r="W1438" s="17">
        <f>(VLOOKUP(T1438,'[1]Simulation pricing per sub assy'!$D:$E,2,0))*U1438</f>
        <v>1.9</v>
      </c>
      <c r="X1438" s="32" t="s">
        <v>615</v>
      </c>
      <c r="Y1438" s="38">
        <v>1</v>
      </c>
      <c r="Z1438" s="38" t="s">
        <v>9</v>
      </c>
      <c r="AA1438" s="18">
        <f>(VLOOKUP(X1438,'[1]Simulation pricing per sub assy'!$D:$E,2,0))*Y1438</f>
        <v>1.5769808000000001</v>
      </c>
    </row>
    <row r="1439" spans="1:27" x14ac:dyDescent="0.35">
      <c r="A1439" s="27" t="s">
        <v>2438</v>
      </c>
      <c r="B1439" s="27" t="s">
        <v>2439</v>
      </c>
      <c r="C1439" s="42">
        <f t="shared" si="22"/>
        <v>112.6257808</v>
      </c>
      <c r="D1439" s="33" t="s">
        <v>2058</v>
      </c>
      <c r="E1439" s="33">
        <v>1</v>
      </c>
      <c r="F1439" s="33" t="s">
        <v>2059</v>
      </c>
      <c r="G1439" s="14">
        <f>(VLOOKUP(D1439,'[1]BOM Info General'!$A:$L,12,0))*E1439</f>
        <v>35.56</v>
      </c>
      <c r="H1439" s="34" t="s">
        <v>39</v>
      </c>
      <c r="I1439" s="34">
        <v>1</v>
      </c>
      <c r="J1439" s="34" t="s">
        <v>46</v>
      </c>
      <c r="K1439" s="15">
        <f>(VLOOKUP(H1439,'[1]BOM Info General'!$A:$L,12,0))*I1439</f>
        <v>24.42</v>
      </c>
      <c r="L1439" s="35" t="s">
        <v>54</v>
      </c>
      <c r="M1439" s="35">
        <v>1</v>
      </c>
      <c r="N1439" s="35" t="s">
        <v>53</v>
      </c>
      <c r="O1439" s="9">
        <f>(VLOOKUP(L1439,'[1]Simulation pricing per sub assy'!$D:$E,2,0))*M1439</f>
        <v>43.868799999999993</v>
      </c>
      <c r="P1439" s="36" t="s">
        <v>51</v>
      </c>
      <c r="Q1439" s="36">
        <v>2</v>
      </c>
      <c r="R1439" s="36" t="s">
        <v>17</v>
      </c>
      <c r="S1439" s="40">
        <f>(VLOOKUP(P1439,'[1]BOM Info General'!$A:$L,12,0))*Q1439</f>
        <v>5.3</v>
      </c>
      <c r="T1439" s="37" t="s">
        <v>12</v>
      </c>
      <c r="U1439" s="37">
        <v>1</v>
      </c>
      <c r="V1439" s="37" t="s">
        <v>13</v>
      </c>
      <c r="W1439" s="17">
        <f>(VLOOKUP(T1439,'[1]Simulation pricing per sub assy'!$D:$E,2,0))*U1439</f>
        <v>1.9</v>
      </c>
      <c r="X1439" s="32" t="s">
        <v>615</v>
      </c>
      <c r="Y1439" s="38">
        <v>1</v>
      </c>
      <c r="Z1439" s="38" t="s">
        <v>9</v>
      </c>
      <c r="AA1439" s="18">
        <f>(VLOOKUP(X1439,'[1]Simulation pricing per sub assy'!$D:$E,2,0))*Y1439</f>
        <v>1.5769808000000001</v>
      </c>
    </row>
    <row r="1440" spans="1:27" x14ac:dyDescent="0.35">
      <c r="A1440" s="27" t="s">
        <v>2440</v>
      </c>
      <c r="B1440" s="27" t="s">
        <v>2441</v>
      </c>
      <c r="C1440" s="42">
        <f t="shared" si="22"/>
        <v>112.3657808</v>
      </c>
      <c r="D1440" s="33" t="s">
        <v>2058</v>
      </c>
      <c r="E1440" s="33">
        <v>1</v>
      </c>
      <c r="F1440" s="33" t="s">
        <v>2059</v>
      </c>
      <c r="G1440" s="14">
        <f>(VLOOKUP(D1440,'[1]BOM Info General'!$A:$L,12,0))*E1440</f>
        <v>35.56</v>
      </c>
      <c r="H1440" s="34" t="s">
        <v>39</v>
      </c>
      <c r="I1440" s="34">
        <v>1</v>
      </c>
      <c r="J1440" s="34" t="s">
        <v>46</v>
      </c>
      <c r="K1440" s="15">
        <f>(VLOOKUP(H1440,'[1]BOM Info General'!$A:$L,12,0))*I1440</f>
        <v>24.42</v>
      </c>
      <c r="L1440" s="35" t="s">
        <v>60</v>
      </c>
      <c r="M1440" s="35">
        <v>1</v>
      </c>
      <c r="N1440" s="35" t="s">
        <v>57</v>
      </c>
      <c r="O1440" s="9">
        <f>(VLOOKUP(L1440,'[1]Simulation pricing per sub assy'!$D:$E,2,0))*M1440</f>
        <v>43.608799999999988</v>
      </c>
      <c r="P1440" s="36" t="s">
        <v>51</v>
      </c>
      <c r="Q1440" s="36">
        <v>2</v>
      </c>
      <c r="R1440" s="36" t="s">
        <v>17</v>
      </c>
      <c r="S1440" s="40">
        <f>(VLOOKUP(P1440,'[1]BOM Info General'!$A:$L,12,0))*Q1440</f>
        <v>5.3</v>
      </c>
      <c r="T1440" s="37" t="s">
        <v>12</v>
      </c>
      <c r="U1440" s="37">
        <v>1</v>
      </c>
      <c r="V1440" s="37" t="s">
        <v>13</v>
      </c>
      <c r="W1440" s="17">
        <f>(VLOOKUP(T1440,'[1]Simulation pricing per sub assy'!$D:$E,2,0))*U1440</f>
        <v>1.9</v>
      </c>
      <c r="X1440" s="32" t="s">
        <v>615</v>
      </c>
      <c r="Y1440" s="38">
        <v>1</v>
      </c>
      <c r="Z1440" s="38" t="s">
        <v>9</v>
      </c>
      <c r="AA1440" s="18">
        <f>(VLOOKUP(X1440,'[1]Simulation pricing per sub assy'!$D:$E,2,0))*Y1440</f>
        <v>1.5769808000000001</v>
      </c>
    </row>
    <row r="1441" spans="1:27" x14ac:dyDescent="0.35">
      <c r="A1441" s="27" t="s">
        <v>2442</v>
      </c>
      <c r="B1441" s="27" t="s">
        <v>2443</v>
      </c>
      <c r="C1441" s="42">
        <f t="shared" si="22"/>
        <v>120.0357808</v>
      </c>
      <c r="D1441" s="33" t="s">
        <v>2058</v>
      </c>
      <c r="E1441" s="33">
        <v>1</v>
      </c>
      <c r="F1441" s="33" t="s">
        <v>2059</v>
      </c>
      <c r="G1441" s="14">
        <f>(VLOOKUP(D1441,'[1]BOM Info General'!$A:$L,12,0))*E1441</f>
        <v>35.56</v>
      </c>
      <c r="H1441" s="34" t="s">
        <v>39</v>
      </c>
      <c r="I1441" s="34">
        <v>1</v>
      </c>
      <c r="J1441" s="34" t="s">
        <v>46</v>
      </c>
      <c r="K1441" s="15">
        <f>(VLOOKUP(H1441,'[1]BOM Info General'!$A:$L,12,0))*I1441</f>
        <v>24.42</v>
      </c>
      <c r="L1441" s="35" t="s">
        <v>56</v>
      </c>
      <c r="M1441" s="35">
        <v>1</v>
      </c>
      <c r="N1441" s="35" t="s">
        <v>59</v>
      </c>
      <c r="O1441" s="9">
        <f>(VLOOKUP(L1441,'[1]Simulation pricing per sub assy'!$D:$E,2,0))*M1441</f>
        <v>51.27879999999999</v>
      </c>
      <c r="P1441" s="36" t="s">
        <v>51</v>
      </c>
      <c r="Q1441" s="36">
        <v>2</v>
      </c>
      <c r="R1441" s="36" t="s">
        <v>17</v>
      </c>
      <c r="S1441" s="40">
        <f>(VLOOKUP(P1441,'[1]BOM Info General'!$A:$L,12,0))*Q1441</f>
        <v>5.3</v>
      </c>
      <c r="T1441" s="37" t="s">
        <v>12</v>
      </c>
      <c r="U1441" s="37">
        <v>1</v>
      </c>
      <c r="V1441" s="37" t="s">
        <v>13</v>
      </c>
      <c r="W1441" s="17">
        <f>(VLOOKUP(T1441,'[1]Simulation pricing per sub assy'!$D:$E,2,0))*U1441</f>
        <v>1.9</v>
      </c>
      <c r="X1441" s="32" t="s">
        <v>615</v>
      </c>
      <c r="Y1441" s="38">
        <v>1</v>
      </c>
      <c r="Z1441" s="38" t="s">
        <v>9</v>
      </c>
      <c r="AA1441" s="18">
        <f>(VLOOKUP(X1441,'[1]Simulation pricing per sub assy'!$D:$E,2,0))*Y1441</f>
        <v>1.5769808000000001</v>
      </c>
    </row>
    <row r="1442" spans="1:27" x14ac:dyDescent="0.35">
      <c r="A1442" s="27" t="s">
        <v>2444</v>
      </c>
      <c r="B1442" s="27" t="s">
        <v>2445</v>
      </c>
      <c r="C1442" s="42">
        <f t="shared" si="22"/>
        <v>111.0657808</v>
      </c>
      <c r="D1442" s="33" t="s">
        <v>2058</v>
      </c>
      <c r="E1442" s="33">
        <v>1</v>
      </c>
      <c r="F1442" s="33" t="s">
        <v>2059</v>
      </c>
      <c r="G1442" s="14">
        <f>(VLOOKUP(D1442,'[1]BOM Info General'!$A:$L,12,0))*E1442</f>
        <v>35.56</v>
      </c>
      <c r="H1442" s="34" t="s">
        <v>39</v>
      </c>
      <c r="I1442" s="34">
        <v>1</v>
      </c>
      <c r="J1442" s="34" t="s">
        <v>46</v>
      </c>
      <c r="K1442" s="15">
        <f>(VLOOKUP(H1442,'[1]BOM Info General'!$A:$L,12,0))*I1442</f>
        <v>24.42</v>
      </c>
      <c r="L1442" s="35" t="s">
        <v>523</v>
      </c>
      <c r="M1442" s="35">
        <v>1</v>
      </c>
      <c r="N1442" s="35" t="s">
        <v>61</v>
      </c>
      <c r="O1442" s="9">
        <f>(VLOOKUP(L1442,'[1]Simulation pricing per sub assy'!$D:$E,2,0))*M1442</f>
        <v>42.308799999999991</v>
      </c>
      <c r="P1442" s="36" t="s">
        <v>51</v>
      </c>
      <c r="Q1442" s="36">
        <v>2</v>
      </c>
      <c r="R1442" s="36" t="s">
        <v>17</v>
      </c>
      <c r="S1442" s="40">
        <f>(VLOOKUP(P1442,'[1]BOM Info General'!$A:$L,12,0))*Q1442</f>
        <v>5.3</v>
      </c>
      <c r="T1442" s="37" t="s">
        <v>14</v>
      </c>
      <c r="U1442" s="37">
        <v>1</v>
      </c>
      <c r="V1442" s="37" t="s">
        <v>15</v>
      </c>
      <c r="W1442" s="17">
        <f>(VLOOKUP(T1442,'[1]Simulation pricing per sub assy'!$D:$E,2,0))*U1442</f>
        <v>1.9</v>
      </c>
      <c r="X1442" s="32" t="s">
        <v>615</v>
      </c>
      <c r="Y1442" s="38">
        <v>1</v>
      </c>
      <c r="Z1442" s="38" t="s">
        <v>9</v>
      </c>
      <c r="AA1442" s="18">
        <f>(VLOOKUP(X1442,'[1]Simulation pricing per sub assy'!$D:$E,2,0))*Y1442</f>
        <v>1.5769808000000001</v>
      </c>
    </row>
    <row r="1443" spans="1:27" x14ac:dyDescent="0.35">
      <c r="A1443" s="27" t="s">
        <v>2446</v>
      </c>
      <c r="B1443" s="27" t="s">
        <v>2447</v>
      </c>
      <c r="C1443" s="42">
        <f t="shared" si="22"/>
        <v>112.0457808</v>
      </c>
      <c r="D1443" s="33" t="s">
        <v>2058</v>
      </c>
      <c r="E1443" s="33">
        <v>1</v>
      </c>
      <c r="F1443" s="33" t="s">
        <v>2059</v>
      </c>
      <c r="G1443" s="14">
        <f>(VLOOKUP(D1443,'[1]BOM Info General'!$A:$L,12,0))*E1443</f>
        <v>35.56</v>
      </c>
      <c r="H1443" s="34" t="s">
        <v>39</v>
      </c>
      <c r="I1443" s="34">
        <v>1</v>
      </c>
      <c r="J1443" s="34" t="s">
        <v>46</v>
      </c>
      <c r="K1443" s="15">
        <f>(VLOOKUP(H1443,'[1]BOM Info General'!$A:$L,12,0))*I1443</f>
        <v>24.42</v>
      </c>
      <c r="L1443" s="35" t="s">
        <v>58</v>
      </c>
      <c r="M1443" s="35">
        <v>1</v>
      </c>
      <c r="N1443" s="35" t="s">
        <v>55</v>
      </c>
      <c r="O1443" s="9">
        <f>(VLOOKUP(L1443,'[1]Simulation pricing per sub assy'!$D:$E,2,0))*M1443</f>
        <v>43.288799999999988</v>
      </c>
      <c r="P1443" s="36" t="s">
        <v>51</v>
      </c>
      <c r="Q1443" s="36">
        <v>2</v>
      </c>
      <c r="R1443" s="36" t="s">
        <v>17</v>
      </c>
      <c r="S1443" s="40">
        <f>(VLOOKUP(P1443,'[1]BOM Info General'!$A:$L,12,0))*Q1443</f>
        <v>5.3</v>
      </c>
      <c r="T1443" s="37" t="s">
        <v>14</v>
      </c>
      <c r="U1443" s="37">
        <v>1</v>
      </c>
      <c r="V1443" s="37" t="s">
        <v>15</v>
      </c>
      <c r="W1443" s="17">
        <f>(VLOOKUP(T1443,'[1]Simulation pricing per sub assy'!$D:$E,2,0))*U1443</f>
        <v>1.9</v>
      </c>
      <c r="X1443" s="32" t="s">
        <v>615</v>
      </c>
      <c r="Y1443" s="38">
        <v>1</v>
      </c>
      <c r="Z1443" s="38" t="s">
        <v>9</v>
      </c>
      <c r="AA1443" s="18">
        <f>(VLOOKUP(X1443,'[1]Simulation pricing per sub assy'!$D:$E,2,0))*Y1443</f>
        <v>1.5769808000000001</v>
      </c>
    </row>
    <row r="1444" spans="1:27" x14ac:dyDescent="0.35">
      <c r="A1444" s="27" t="s">
        <v>2448</v>
      </c>
      <c r="B1444" s="27" t="s">
        <v>2449</v>
      </c>
      <c r="C1444" s="42">
        <f t="shared" si="22"/>
        <v>112.6257808</v>
      </c>
      <c r="D1444" s="33" t="s">
        <v>2058</v>
      </c>
      <c r="E1444" s="33">
        <v>1</v>
      </c>
      <c r="F1444" s="33" t="s">
        <v>2059</v>
      </c>
      <c r="G1444" s="14">
        <f>(VLOOKUP(D1444,'[1]BOM Info General'!$A:$L,12,0))*E1444</f>
        <v>35.56</v>
      </c>
      <c r="H1444" s="34" t="s">
        <v>39</v>
      </c>
      <c r="I1444" s="34">
        <v>1</v>
      </c>
      <c r="J1444" s="34" t="s">
        <v>46</v>
      </c>
      <c r="K1444" s="15">
        <f>(VLOOKUP(H1444,'[1]BOM Info General'!$A:$L,12,0))*I1444</f>
        <v>24.42</v>
      </c>
      <c r="L1444" s="35" t="s">
        <v>54</v>
      </c>
      <c r="M1444" s="35">
        <v>1</v>
      </c>
      <c r="N1444" s="35" t="s">
        <v>53</v>
      </c>
      <c r="O1444" s="9">
        <f>(VLOOKUP(L1444,'[1]Simulation pricing per sub assy'!$D:$E,2,0))*M1444</f>
        <v>43.868799999999993</v>
      </c>
      <c r="P1444" s="36" t="s">
        <v>51</v>
      </c>
      <c r="Q1444" s="36">
        <v>2</v>
      </c>
      <c r="R1444" s="36" t="s">
        <v>17</v>
      </c>
      <c r="S1444" s="40">
        <f>(VLOOKUP(P1444,'[1]BOM Info General'!$A:$L,12,0))*Q1444</f>
        <v>5.3</v>
      </c>
      <c r="T1444" s="37" t="s">
        <v>14</v>
      </c>
      <c r="U1444" s="37">
        <v>1</v>
      </c>
      <c r="V1444" s="37" t="s">
        <v>15</v>
      </c>
      <c r="W1444" s="17">
        <f>(VLOOKUP(T1444,'[1]Simulation pricing per sub assy'!$D:$E,2,0))*U1444</f>
        <v>1.9</v>
      </c>
      <c r="X1444" s="32" t="s">
        <v>615</v>
      </c>
      <c r="Y1444" s="38">
        <v>1</v>
      </c>
      <c r="Z1444" s="38" t="s">
        <v>9</v>
      </c>
      <c r="AA1444" s="18">
        <f>(VLOOKUP(X1444,'[1]Simulation pricing per sub assy'!$D:$E,2,0))*Y1444</f>
        <v>1.5769808000000001</v>
      </c>
    </row>
    <row r="1445" spans="1:27" x14ac:dyDescent="0.35">
      <c r="A1445" s="27" t="s">
        <v>2450</v>
      </c>
      <c r="B1445" s="27" t="s">
        <v>2451</v>
      </c>
      <c r="C1445" s="42">
        <f t="shared" si="22"/>
        <v>112.3657808</v>
      </c>
      <c r="D1445" s="33" t="s">
        <v>2058</v>
      </c>
      <c r="E1445" s="33">
        <v>1</v>
      </c>
      <c r="F1445" s="33" t="s">
        <v>2059</v>
      </c>
      <c r="G1445" s="14">
        <f>(VLOOKUP(D1445,'[1]BOM Info General'!$A:$L,12,0))*E1445</f>
        <v>35.56</v>
      </c>
      <c r="H1445" s="34" t="s">
        <v>39</v>
      </c>
      <c r="I1445" s="34">
        <v>1</v>
      </c>
      <c r="J1445" s="34" t="s">
        <v>46</v>
      </c>
      <c r="K1445" s="15">
        <f>(VLOOKUP(H1445,'[1]BOM Info General'!$A:$L,12,0))*I1445</f>
        <v>24.42</v>
      </c>
      <c r="L1445" s="35" t="s">
        <v>60</v>
      </c>
      <c r="M1445" s="35">
        <v>1</v>
      </c>
      <c r="N1445" s="35" t="s">
        <v>57</v>
      </c>
      <c r="O1445" s="9">
        <f>(VLOOKUP(L1445,'[1]Simulation pricing per sub assy'!$D:$E,2,0))*M1445</f>
        <v>43.608799999999988</v>
      </c>
      <c r="P1445" s="36" t="s">
        <v>51</v>
      </c>
      <c r="Q1445" s="36">
        <v>2</v>
      </c>
      <c r="R1445" s="36" t="s">
        <v>17</v>
      </c>
      <c r="S1445" s="40">
        <f>(VLOOKUP(P1445,'[1]BOM Info General'!$A:$L,12,0))*Q1445</f>
        <v>5.3</v>
      </c>
      <c r="T1445" s="37" t="s">
        <v>14</v>
      </c>
      <c r="U1445" s="37">
        <v>1</v>
      </c>
      <c r="V1445" s="37" t="s">
        <v>15</v>
      </c>
      <c r="W1445" s="17">
        <f>(VLOOKUP(T1445,'[1]Simulation pricing per sub assy'!$D:$E,2,0))*U1445</f>
        <v>1.9</v>
      </c>
      <c r="X1445" s="32" t="s">
        <v>615</v>
      </c>
      <c r="Y1445" s="38">
        <v>1</v>
      </c>
      <c r="Z1445" s="38" t="s">
        <v>9</v>
      </c>
      <c r="AA1445" s="18">
        <f>(VLOOKUP(X1445,'[1]Simulation pricing per sub assy'!$D:$E,2,0))*Y1445</f>
        <v>1.5769808000000001</v>
      </c>
    </row>
    <row r="1446" spans="1:27" x14ac:dyDescent="0.35">
      <c r="A1446" s="27" t="s">
        <v>2452</v>
      </c>
      <c r="B1446" s="27" t="s">
        <v>2453</v>
      </c>
      <c r="C1446" s="42">
        <f t="shared" si="22"/>
        <v>120.0357808</v>
      </c>
      <c r="D1446" s="33" t="s">
        <v>2058</v>
      </c>
      <c r="E1446" s="33">
        <v>1</v>
      </c>
      <c r="F1446" s="33" t="s">
        <v>2059</v>
      </c>
      <c r="G1446" s="14">
        <f>(VLOOKUP(D1446,'[1]BOM Info General'!$A:$L,12,0))*E1446</f>
        <v>35.56</v>
      </c>
      <c r="H1446" s="34" t="s">
        <v>39</v>
      </c>
      <c r="I1446" s="34">
        <v>1</v>
      </c>
      <c r="J1446" s="34" t="s">
        <v>46</v>
      </c>
      <c r="K1446" s="15">
        <f>(VLOOKUP(H1446,'[1]BOM Info General'!$A:$L,12,0))*I1446</f>
        <v>24.42</v>
      </c>
      <c r="L1446" s="35" t="s">
        <v>56</v>
      </c>
      <c r="M1446" s="35">
        <v>1</v>
      </c>
      <c r="N1446" s="35" t="s">
        <v>59</v>
      </c>
      <c r="O1446" s="9">
        <f>(VLOOKUP(L1446,'[1]Simulation pricing per sub assy'!$D:$E,2,0))*M1446</f>
        <v>51.27879999999999</v>
      </c>
      <c r="P1446" s="36" t="s">
        <v>51</v>
      </c>
      <c r="Q1446" s="36">
        <v>2</v>
      </c>
      <c r="R1446" s="36" t="s">
        <v>17</v>
      </c>
      <c r="S1446" s="40">
        <f>(VLOOKUP(P1446,'[1]BOM Info General'!$A:$L,12,0))*Q1446</f>
        <v>5.3</v>
      </c>
      <c r="T1446" s="37" t="s">
        <v>14</v>
      </c>
      <c r="U1446" s="37">
        <v>1</v>
      </c>
      <c r="V1446" s="37" t="s">
        <v>15</v>
      </c>
      <c r="W1446" s="17">
        <f>(VLOOKUP(T1446,'[1]Simulation pricing per sub assy'!$D:$E,2,0))*U1446</f>
        <v>1.9</v>
      </c>
      <c r="X1446" s="32" t="s">
        <v>615</v>
      </c>
      <c r="Y1446" s="38">
        <v>1</v>
      </c>
      <c r="Z1446" s="38" t="s">
        <v>9</v>
      </c>
      <c r="AA1446" s="18">
        <f>(VLOOKUP(X1446,'[1]Simulation pricing per sub assy'!$D:$E,2,0))*Y1446</f>
        <v>1.5769808000000001</v>
      </c>
    </row>
    <row r="1447" spans="1:27" x14ac:dyDescent="0.35">
      <c r="A1447" s="27" t="s">
        <v>2454</v>
      </c>
      <c r="B1447" s="27" t="s">
        <v>2455</v>
      </c>
      <c r="C1447" s="42">
        <f t="shared" si="22"/>
        <v>111.21578079999999</v>
      </c>
      <c r="D1447" s="33" t="s">
        <v>2058</v>
      </c>
      <c r="E1447" s="33">
        <v>1</v>
      </c>
      <c r="F1447" s="33" t="s">
        <v>2059</v>
      </c>
      <c r="G1447" s="14">
        <f>(VLOOKUP(D1447,'[1]BOM Info General'!$A:$L,12,0))*E1447</f>
        <v>35.56</v>
      </c>
      <c r="H1447" s="34" t="s">
        <v>39</v>
      </c>
      <c r="I1447" s="34">
        <v>1</v>
      </c>
      <c r="J1447" s="34" t="s">
        <v>46</v>
      </c>
      <c r="K1447" s="15">
        <f>(VLOOKUP(H1447,'[1]BOM Info General'!$A:$L,12,0))*I1447</f>
        <v>24.42</v>
      </c>
      <c r="L1447" s="35" t="s">
        <v>523</v>
      </c>
      <c r="M1447" s="35">
        <v>1</v>
      </c>
      <c r="N1447" s="35" t="s">
        <v>61</v>
      </c>
      <c r="O1447" s="9">
        <f>(VLOOKUP(L1447,'[1]Simulation pricing per sub assy'!$D:$E,2,0))*M1447</f>
        <v>42.308799999999991</v>
      </c>
      <c r="P1447" s="36" t="s">
        <v>52</v>
      </c>
      <c r="Q1447" s="36">
        <v>2</v>
      </c>
      <c r="R1447" s="36" t="s">
        <v>18</v>
      </c>
      <c r="S1447" s="40">
        <f>(VLOOKUP(P1447,'[1]BOM Info General'!$A:$L,12,0))*Q1447</f>
        <v>5.3</v>
      </c>
      <c r="T1447" s="37" t="s">
        <v>10</v>
      </c>
      <c r="U1447" s="37">
        <v>1</v>
      </c>
      <c r="V1447" s="37" t="s">
        <v>11</v>
      </c>
      <c r="W1447" s="17">
        <f>(VLOOKUP(T1447,'[1]Simulation pricing per sub assy'!$D:$E,2,0))*U1447</f>
        <v>2.0499999999999998</v>
      </c>
      <c r="X1447" s="32" t="s">
        <v>615</v>
      </c>
      <c r="Y1447" s="38">
        <v>1</v>
      </c>
      <c r="Z1447" s="38" t="s">
        <v>9</v>
      </c>
      <c r="AA1447" s="18">
        <f>(VLOOKUP(X1447,'[1]Simulation pricing per sub assy'!$D:$E,2,0))*Y1447</f>
        <v>1.5769808000000001</v>
      </c>
    </row>
    <row r="1448" spans="1:27" x14ac:dyDescent="0.35">
      <c r="A1448" s="27" t="s">
        <v>2456</v>
      </c>
      <c r="B1448" s="27" t="s">
        <v>2457</v>
      </c>
      <c r="C1448" s="42">
        <f t="shared" si="22"/>
        <v>112.19578079999999</v>
      </c>
      <c r="D1448" s="33" t="s">
        <v>2058</v>
      </c>
      <c r="E1448" s="33">
        <v>1</v>
      </c>
      <c r="F1448" s="33" t="s">
        <v>2059</v>
      </c>
      <c r="G1448" s="14">
        <f>(VLOOKUP(D1448,'[1]BOM Info General'!$A:$L,12,0))*E1448</f>
        <v>35.56</v>
      </c>
      <c r="H1448" s="34" t="s">
        <v>39</v>
      </c>
      <c r="I1448" s="34">
        <v>1</v>
      </c>
      <c r="J1448" s="34" t="s">
        <v>46</v>
      </c>
      <c r="K1448" s="15">
        <f>(VLOOKUP(H1448,'[1]BOM Info General'!$A:$L,12,0))*I1448</f>
        <v>24.42</v>
      </c>
      <c r="L1448" s="35" t="s">
        <v>58</v>
      </c>
      <c r="M1448" s="35">
        <v>1</v>
      </c>
      <c r="N1448" s="35" t="s">
        <v>55</v>
      </c>
      <c r="O1448" s="9">
        <f>(VLOOKUP(L1448,'[1]Simulation pricing per sub assy'!$D:$E,2,0))*M1448</f>
        <v>43.288799999999988</v>
      </c>
      <c r="P1448" s="36" t="s">
        <v>52</v>
      </c>
      <c r="Q1448" s="36">
        <v>2</v>
      </c>
      <c r="R1448" s="36" t="s">
        <v>18</v>
      </c>
      <c r="S1448" s="40">
        <f>(VLOOKUP(P1448,'[1]BOM Info General'!$A:$L,12,0))*Q1448</f>
        <v>5.3</v>
      </c>
      <c r="T1448" s="37" t="s">
        <v>10</v>
      </c>
      <c r="U1448" s="37">
        <v>1</v>
      </c>
      <c r="V1448" s="37" t="s">
        <v>11</v>
      </c>
      <c r="W1448" s="17">
        <f>(VLOOKUP(T1448,'[1]Simulation pricing per sub assy'!$D:$E,2,0))*U1448</f>
        <v>2.0499999999999998</v>
      </c>
      <c r="X1448" s="32" t="s">
        <v>615</v>
      </c>
      <c r="Y1448" s="38">
        <v>1</v>
      </c>
      <c r="Z1448" s="38" t="s">
        <v>9</v>
      </c>
      <c r="AA1448" s="18">
        <f>(VLOOKUP(X1448,'[1]Simulation pricing per sub assy'!$D:$E,2,0))*Y1448</f>
        <v>1.5769808000000001</v>
      </c>
    </row>
    <row r="1449" spans="1:27" x14ac:dyDescent="0.35">
      <c r="A1449" s="27" t="s">
        <v>2458</v>
      </c>
      <c r="B1449" s="27" t="s">
        <v>2459</v>
      </c>
      <c r="C1449" s="42">
        <f t="shared" si="22"/>
        <v>112.77578079999999</v>
      </c>
      <c r="D1449" s="33" t="s">
        <v>2058</v>
      </c>
      <c r="E1449" s="33">
        <v>1</v>
      </c>
      <c r="F1449" s="33" t="s">
        <v>2059</v>
      </c>
      <c r="G1449" s="14">
        <f>(VLOOKUP(D1449,'[1]BOM Info General'!$A:$L,12,0))*E1449</f>
        <v>35.56</v>
      </c>
      <c r="H1449" s="34" t="s">
        <v>39</v>
      </c>
      <c r="I1449" s="34">
        <v>1</v>
      </c>
      <c r="J1449" s="34" t="s">
        <v>46</v>
      </c>
      <c r="K1449" s="15">
        <f>(VLOOKUP(H1449,'[1]BOM Info General'!$A:$L,12,0))*I1449</f>
        <v>24.42</v>
      </c>
      <c r="L1449" s="35" t="s">
        <v>54</v>
      </c>
      <c r="M1449" s="35">
        <v>1</v>
      </c>
      <c r="N1449" s="35" t="s">
        <v>53</v>
      </c>
      <c r="O1449" s="9">
        <f>(VLOOKUP(L1449,'[1]Simulation pricing per sub assy'!$D:$E,2,0))*M1449</f>
        <v>43.868799999999993</v>
      </c>
      <c r="P1449" s="36" t="s">
        <v>52</v>
      </c>
      <c r="Q1449" s="36">
        <v>2</v>
      </c>
      <c r="R1449" s="36" t="s">
        <v>18</v>
      </c>
      <c r="S1449" s="40">
        <f>(VLOOKUP(P1449,'[1]BOM Info General'!$A:$L,12,0))*Q1449</f>
        <v>5.3</v>
      </c>
      <c r="T1449" s="37" t="s">
        <v>10</v>
      </c>
      <c r="U1449" s="37">
        <v>1</v>
      </c>
      <c r="V1449" s="37" t="s">
        <v>11</v>
      </c>
      <c r="W1449" s="17">
        <f>(VLOOKUP(T1449,'[1]Simulation pricing per sub assy'!$D:$E,2,0))*U1449</f>
        <v>2.0499999999999998</v>
      </c>
      <c r="X1449" s="32" t="s">
        <v>615</v>
      </c>
      <c r="Y1449" s="38">
        <v>1</v>
      </c>
      <c r="Z1449" s="38" t="s">
        <v>9</v>
      </c>
      <c r="AA1449" s="18">
        <f>(VLOOKUP(X1449,'[1]Simulation pricing per sub assy'!$D:$E,2,0))*Y1449</f>
        <v>1.5769808000000001</v>
      </c>
    </row>
    <row r="1450" spans="1:27" x14ac:dyDescent="0.35">
      <c r="A1450" s="27" t="s">
        <v>2460</v>
      </c>
      <c r="B1450" s="27" t="s">
        <v>2461</v>
      </c>
      <c r="C1450" s="42">
        <f t="shared" si="22"/>
        <v>112.51578079999999</v>
      </c>
      <c r="D1450" s="33" t="s">
        <v>2058</v>
      </c>
      <c r="E1450" s="33">
        <v>1</v>
      </c>
      <c r="F1450" s="33" t="s">
        <v>2059</v>
      </c>
      <c r="G1450" s="14">
        <f>(VLOOKUP(D1450,'[1]BOM Info General'!$A:$L,12,0))*E1450</f>
        <v>35.56</v>
      </c>
      <c r="H1450" s="34" t="s">
        <v>39</v>
      </c>
      <c r="I1450" s="34">
        <v>1</v>
      </c>
      <c r="J1450" s="34" t="s">
        <v>46</v>
      </c>
      <c r="K1450" s="15">
        <f>(VLOOKUP(H1450,'[1]BOM Info General'!$A:$L,12,0))*I1450</f>
        <v>24.42</v>
      </c>
      <c r="L1450" s="35" t="s">
        <v>60</v>
      </c>
      <c r="M1450" s="35">
        <v>1</v>
      </c>
      <c r="N1450" s="35" t="s">
        <v>57</v>
      </c>
      <c r="O1450" s="9">
        <f>(VLOOKUP(L1450,'[1]Simulation pricing per sub assy'!$D:$E,2,0))*M1450</f>
        <v>43.608799999999988</v>
      </c>
      <c r="P1450" s="36" t="s">
        <v>52</v>
      </c>
      <c r="Q1450" s="36">
        <v>2</v>
      </c>
      <c r="R1450" s="36" t="s">
        <v>18</v>
      </c>
      <c r="S1450" s="40">
        <f>(VLOOKUP(P1450,'[1]BOM Info General'!$A:$L,12,0))*Q1450</f>
        <v>5.3</v>
      </c>
      <c r="T1450" s="37" t="s">
        <v>10</v>
      </c>
      <c r="U1450" s="37">
        <v>1</v>
      </c>
      <c r="V1450" s="37" t="s">
        <v>11</v>
      </c>
      <c r="W1450" s="17">
        <f>(VLOOKUP(T1450,'[1]Simulation pricing per sub assy'!$D:$E,2,0))*U1450</f>
        <v>2.0499999999999998</v>
      </c>
      <c r="X1450" s="32" t="s">
        <v>615</v>
      </c>
      <c r="Y1450" s="38">
        <v>1</v>
      </c>
      <c r="Z1450" s="38" t="s">
        <v>9</v>
      </c>
      <c r="AA1450" s="18">
        <f>(VLOOKUP(X1450,'[1]Simulation pricing per sub assy'!$D:$E,2,0))*Y1450</f>
        <v>1.5769808000000001</v>
      </c>
    </row>
    <row r="1451" spans="1:27" x14ac:dyDescent="0.35">
      <c r="A1451" s="27" t="s">
        <v>2462</v>
      </c>
      <c r="B1451" s="27" t="s">
        <v>2463</v>
      </c>
      <c r="C1451" s="42">
        <f t="shared" si="22"/>
        <v>120.18578079999999</v>
      </c>
      <c r="D1451" s="33" t="s">
        <v>2058</v>
      </c>
      <c r="E1451" s="33">
        <v>1</v>
      </c>
      <c r="F1451" s="33" t="s">
        <v>2059</v>
      </c>
      <c r="G1451" s="14">
        <f>(VLOOKUP(D1451,'[1]BOM Info General'!$A:$L,12,0))*E1451</f>
        <v>35.56</v>
      </c>
      <c r="H1451" s="34" t="s">
        <v>39</v>
      </c>
      <c r="I1451" s="34">
        <v>1</v>
      </c>
      <c r="J1451" s="34" t="s">
        <v>46</v>
      </c>
      <c r="K1451" s="15">
        <f>(VLOOKUP(H1451,'[1]BOM Info General'!$A:$L,12,0))*I1451</f>
        <v>24.42</v>
      </c>
      <c r="L1451" s="35" t="s">
        <v>56</v>
      </c>
      <c r="M1451" s="35">
        <v>1</v>
      </c>
      <c r="N1451" s="35" t="s">
        <v>59</v>
      </c>
      <c r="O1451" s="9">
        <f>(VLOOKUP(L1451,'[1]Simulation pricing per sub assy'!$D:$E,2,0))*M1451</f>
        <v>51.27879999999999</v>
      </c>
      <c r="P1451" s="36" t="s">
        <v>52</v>
      </c>
      <c r="Q1451" s="36">
        <v>2</v>
      </c>
      <c r="R1451" s="36" t="s">
        <v>18</v>
      </c>
      <c r="S1451" s="40">
        <f>(VLOOKUP(P1451,'[1]BOM Info General'!$A:$L,12,0))*Q1451</f>
        <v>5.3</v>
      </c>
      <c r="T1451" s="37" t="s">
        <v>10</v>
      </c>
      <c r="U1451" s="37">
        <v>1</v>
      </c>
      <c r="V1451" s="37" t="s">
        <v>11</v>
      </c>
      <c r="W1451" s="17">
        <f>(VLOOKUP(T1451,'[1]Simulation pricing per sub assy'!$D:$E,2,0))*U1451</f>
        <v>2.0499999999999998</v>
      </c>
      <c r="X1451" s="32" t="s">
        <v>615</v>
      </c>
      <c r="Y1451" s="38">
        <v>1</v>
      </c>
      <c r="Z1451" s="38" t="s">
        <v>9</v>
      </c>
      <c r="AA1451" s="18">
        <f>(VLOOKUP(X1451,'[1]Simulation pricing per sub assy'!$D:$E,2,0))*Y1451</f>
        <v>1.5769808000000001</v>
      </c>
    </row>
    <row r="1452" spans="1:27" x14ac:dyDescent="0.35">
      <c r="A1452" s="27" t="s">
        <v>2464</v>
      </c>
      <c r="B1452" s="27" t="s">
        <v>2465</v>
      </c>
      <c r="C1452" s="42">
        <f t="shared" si="22"/>
        <v>111.0657808</v>
      </c>
      <c r="D1452" s="33" t="s">
        <v>2058</v>
      </c>
      <c r="E1452" s="33">
        <v>1</v>
      </c>
      <c r="F1452" s="33" t="s">
        <v>2059</v>
      </c>
      <c r="G1452" s="14">
        <f>(VLOOKUP(D1452,'[1]BOM Info General'!$A:$L,12,0))*E1452</f>
        <v>35.56</v>
      </c>
      <c r="H1452" s="34" t="s">
        <v>39</v>
      </c>
      <c r="I1452" s="34">
        <v>1</v>
      </c>
      <c r="J1452" s="34" t="s">
        <v>46</v>
      </c>
      <c r="K1452" s="15">
        <f>(VLOOKUP(H1452,'[1]BOM Info General'!$A:$L,12,0))*I1452</f>
        <v>24.42</v>
      </c>
      <c r="L1452" s="35" t="s">
        <v>523</v>
      </c>
      <c r="M1452" s="35">
        <v>1</v>
      </c>
      <c r="N1452" s="35" t="s">
        <v>61</v>
      </c>
      <c r="O1452" s="9">
        <f>(VLOOKUP(L1452,'[1]Simulation pricing per sub assy'!$D:$E,2,0))*M1452</f>
        <v>42.308799999999991</v>
      </c>
      <c r="P1452" s="36" t="s">
        <v>52</v>
      </c>
      <c r="Q1452" s="36">
        <v>2</v>
      </c>
      <c r="R1452" s="36" t="s">
        <v>18</v>
      </c>
      <c r="S1452" s="40">
        <f>(VLOOKUP(P1452,'[1]BOM Info General'!$A:$L,12,0))*Q1452</f>
        <v>5.3</v>
      </c>
      <c r="T1452" s="37" t="s">
        <v>12</v>
      </c>
      <c r="U1452" s="37">
        <v>1</v>
      </c>
      <c r="V1452" s="37" t="s">
        <v>13</v>
      </c>
      <c r="W1452" s="17">
        <f>(VLOOKUP(T1452,'[1]Simulation pricing per sub assy'!$D:$E,2,0))*U1452</f>
        <v>1.9</v>
      </c>
      <c r="X1452" s="32" t="s">
        <v>615</v>
      </c>
      <c r="Y1452" s="38">
        <v>1</v>
      </c>
      <c r="Z1452" s="38" t="s">
        <v>9</v>
      </c>
      <c r="AA1452" s="18">
        <f>(VLOOKUP(X1452,'[1]Simulation pricing per sub assy'!$D:$E,2,0))*Y1452</f>
        <v>1.5769808000000001</v>
      </c>
    </row>
    <row r="1453" spans="1:27" x14ac:dyDescent="0.35">
      <c r="A1453" s="27" t="s">
        <v>2466</v>
      </c>
      <c r="B1453" s="27" t="s">
        <v>2467</v>
      </c>
      <c r="C1453" s="42">
        <f t="shared" si="22"/>
        <v>112.0457808</v>
      </c>
      <c r="D1453" s="33" t="s">
        <v>2058</v>
      </c>
      <c r="E1453" s="33">
        <v>1</v>
      </c>
      <c r="F1453" s="33" t="s">
        <v>2059</v>
      </c>
      <c r="G1453" s="14">
        <f>(VLOOKUP(D1453,'[1]BOM Info General'!$A:$L,12,0))*E1453</f>
        <v>35.56</v>
      </c>
      <c r="H1453" s="34" t="s">
        <v>39</v>
      </c>
      <c r="I1453" s="34">
        <v>1</v>
      </c>
      <c r="J1453" s="34" t="s">
        <v>46</v>
      </c>
      <c r="K1453" s="15">
        <f>(VLOOKUP(H1453,'[1]BOM Info General'!$A:$L,12,0))*I1453</f>
        <v>24.42</v>
      </c>
      <c r="L1453" s="35" t="s">
        <v>58</v>
      </c>
      <c r="M1453" s="35">
        <v>1</v>
      </c>
      <c r="N1453" s="35" t="s">
        <v>55</v>
      </c>
      <c r="O1453" s="9">
        <f>(VLOOKUP(L1453,'[1]Simulation pricing per sub assy'!$D:$E,2,0))*M1453</f>
        <v>43.288799999999988</v>
      </c>
      <c r="P1453" s="36" t="s">
        <v>52</v>
      </c>
      <c r="Q1453" s="36">
        <v>2</v>
      </c>
      <c r="R1453" s="36" t="s">
        <v>18</v>
      </c>
      <c r="S1453" s="40">
        <f>(VLOOKUP(P1453,'[1]BOM Info General'!$A:$L,12,0))*Q1453</f>
        <v>5.3</v>
      </c>
      <c r="T1453" s="37" t="s">
        <v>12</v>
      </c>
      <c r="U1453" s="37">
        <v>1</v>
      </c>
      <c r="V1453" s="37" t="s">
        <v>13</v>
      </c>
      <c r="W1453" s="17">
        <f>(VLOOKUP(T1453,'[1]Simulation pricing per sub assy'!$D:$E,2,0))*U1453</f>
        <v>1.9</v>
      </c>
      <c r="X1453" s="32" t="s">
        <v>615</v>
      </c>
      <c r="Y1453" s="38">
        <v>1</v>
      </c>
      <c r="Z1453" s="38" t="s">
        <v>9</v>
      </c>
      <c r="AA1453" s="18">
        <f>(VLOOKUP(X1453,'[1]Simulation pricing per sub assy'!$D:$E,2,0))*Y1453</f>
        <v>1.5769808000000001</v>
      </c>
    </row>
    <row r="1454" spans="1:27" x14ac:dyDescent="0.35">
      <c r="A1454" s="27" t="s">
        <v>2468</v>
      </c>
      <c r="B1454" s="27" t="s">
        <v>2469</v>
      </c>
      <c r="C1454" s="42">
        <f t="shared" si="22"/>
        <v>112.6257808</v>
      </c>
      <c r="D1454" s="33" t="s">
        <v>2058</v>
      </c>
      <c r="E1454" s="33">
        <v>1</v>
      </c>
      <c r="F1454" s="33" t="s">
        <v>2059</v>
      </c>
      <c r="G1454" s="14">
        <f>(VLOOKUP(D1454,'[1]BOM Info General'!$A:$L,12,0))*E1454</f>
        <v>35.56</v>
      </c>
      <c r="H1454" s="34" t="s">
        <v>39</v>
      </c>
      <c r="I1454" s="34">
        <v>1</v>
      </c>
      <c r="J1454" s="34" t="s">
        <v>46</v>
      </c>
      <c r="K1454" s="15">
        <f>(VLOOKUP(H1454,'[1]BOM Info General'!$A:$L,12,0))*I1454</f>
        <v>24.42</v>
      </c>
      <c r="L1454" s="35" t="s">
        <v>54</v>
      </c>
      <c r="M1454" s="35">
        <v>1</v>
      </c>
      <c r="N1454" s="35" t="s">
        <v>53</v>
      </c>
      <c r="O1454" s="9">
        <f>(VLOOKUP(L1454,'[1]Simulation pricing per sub assy'!$D:$E,2,0))*M1454</f>
        <v>43.868799999999993</v>
      </c>
      <c r="P1454" s="36" t="s">
        <v>52</v>
      </c>
      <c r="Q1454" s="36">
        <v>2</v>
      </c>
      <c r="R1454" s="36" t="s">
        <v>18</v>
      </c>
      <c r="S1454" s="40">
        <f>(VLOOKUP(P1454,'[1]BOM Info General'!$A:$L,12,0))*Q1454</f>
        <v>5.3</v>
      </c>
      <c r="T1454" s="37" t="s">
        <v>12</v>
      </c>
      <c r="U1454" s="37">
        <v>1</v>
      </c>
      <c r="V1454" s="37" t="s">
        <v>13</v>
      </c>
      <c r="W1454" s="17">
        <f>(VLOOKUP(T1454,'[1]Simulation pricing per sub assy'!$D:$E,2,0))*U1454</f>
        <v>1.9</v>
      </c>
      <c r="X1454" s="32" t="s">
        <v>615</v>
      </c>
      <c r="Y1454" s="38">
        <v>1</v>
      </c>
      <c r="Z1454" s="38" t="s">
        <v>9</v>
      </c>
      <c r="AA1454" s="18">
        <f>(VLOOKUP(X1454,'[1]Simulation pricing per sub assy'!$D:$E,2,0))*Y1454</f>
        <v>1.5769808000000001</v>
      </c>
    </row>
    <row r="1455" spans="1:27" x14ac:dyDescent="0.35">
      <c r="A1455" s="27" t="s">
        <v>2470</v>
      </c>
      <c r="B1455" s="27" t="s">
        <v>2471</v>
      </c>
      <c r="C1455" s="42">
        <f t="shared" si="22"/>
        <v>112.3657808</v>
      </c>
      <c r="D1455" s="33" t="s">
        <v>2058</v>
      </c>
      <c r="E1455" s="33">
        <v>1</v>
      </c>
      <c r="F1455" s="33" t="s">
        <v>2059</v>
      </c>
      <c r="G1455" s="14">
        <f>(VLOOKUP(D1455,'[1]BOM Info General'!$A:$L,12,0))*E1455</f>
        <v>35.56</v>
      </c>
      <c r="H1455" s="34" t="s">
        <v>39</v>
      </c>
      <c r="I1455" s="34">
        <v>1</v>
      </c>
      <c r="J1455" s="34" t="s">
        <v>46</v>
      </c>
      <c r="K1455" s="15">
        <f>(VLOOKUP(H1455,'[1]BOM Info General'!$A:$L,12,0))*I1455</f>
        <v>24.42</v>
      </c>
      <c r="L1455" s="35" t="s">
        <v>60</v>
      </c>
      <c r="M1455" s="35">
        <v>1</v>
      </c>
      <c r="N1455" s="35" t="s">
        <v>57</v>
      </c>
      <c r="O1455" s="9">
        <f>(VLOOKUP(L1455,'[1]Simulation pricing per sub assy'!$D:$E,2,0))*M1455</f>
        <v>43.608799999999988</v>
      </c>
      <c r="P1455" s="36" t="s">
        <v>52</v>
      </c>
      <c r="Q1455" s="36">
        <v>2</v>
      </c>
      <c r="R1455" s="36" t="s">
        <v>18</v>
      </c>
      <c r="S1455" s="40">
        <f>(VLOOKUP(P1455,'[1]BOM Info General'!$A:$L,12,0))*Q1455</f>
        <v>5.3</v>
      </c>
      <c r="T1455" s="37" t="s">
        <v>12</v>
      </c>
      <c r="U1455" s="37">
        <v>1</v>
      </c>
      <c r="V1455" s="37" t="s">
        <v>13</v>
      </c>
      <c r="W1455" s="17">
        <f>(VLOOKUP(T1455,'[1]Simulation pricing per sub assy'!$D:$E,2,0))*U1455</f>
        <v>1.9</v>
      </c>
      <c r="X1455" s="32" t="s">
        <v>615</v>
      </c>
      <c r="Y1455" s="38">
        <v>1</v>
      </c>
      <c r="Z1455" s="38" t="s">
        <v>9</v>
      </c>
      <c r="AA1455" s="18">
        <f>(VLOOKUP(X1455,'[1]Simulation pricing per sub assy'!$D:$E,2,0))*Y1455</f>
        <v>1.5769808000000001</v>
      </c>
    </row>
    <row r="1456" spans="1:27" x14ac:dyDescent="0.35">
      <c r="A1456" s="27" t="s">
        <v>2472</v>
      </c>
      <c r="B1456" s="27" t="s">
        <v>2473</v>
      </c>
      <c r="C1456" s="42">
        <f t="shared" si="22"/>
        <v>120.0357808</v>
      </c>
      <c r="D1456" s="33" t="s">
        <v>2058</v>
      </c>
      <c r="E1456" s="33">
        <v>1</v>
      </c>
      <c r="F1456" s="33" t="s">
        <v>2059</v>
      </c>
      <c r="G1456" s="14">
        <f>(VLOOKUP(D1456,'[1]BOM Info General'!$A:$L,12,0))*E1456</f>
        <v>35.56</v>
      </c>
      <c r="H1456" s="34" t="s">
        <v>39</v>
      </c>
      <c r="I1456" s="34">
        <v>1</v>
      </c>
      <c r="J1456" s="34" t="s">
        <v>46</v>
      </c>
      <c r="K1456" s="15">
        <f>(VLOOKUP(H1456,'[1]BOM Info General'!$A:$L,12,0))*I1456</f>
        <v>24.42</v>
      </c>
      <c r="L1456" s="35" t="s">
        <v>56</v>
      </c>
      <c r="M1456" s="35">
        <v>1</v>
      </c>
      <c r="N1456" s="35" t="s">
        <v>59</v>
      </c>
      <c r="O1456" s="9">
        <f>(VLOOKUP(L1456,'[1]Simulation pricing per sub assy'!$D:$E,2,0))*M1456</f>
        <v>51.27879999999999</v>
      </c>
      <c r="P1456" s="36" t="s">
        <v>52</v>
      </c>
      <c r="Q1456" s="36">
        <v>2</v>
      </c>
      <c r="R1456" s="36" t="s">
        <v>18</v>
      </c>
      <c r="S1456" s="40">
        <f>(VLOOKUP(P1456,'[1]BOM Info General'!$A:$L,12,0))*Q1456</f>
        <v>5.3</v>
      </c>
      <c r="T1456" s="37" t="s">
        <v>12</v>
      </c>
      <c r="U1456" s="37">
        <v>1</v>
      </c>
      <c r="V1456" s="37" t="s">
        <v>13</v>
      </c>
      <c r="W1456" s="17">
        <f>(VLOOKUP(T1456,'[1]Simulation pricing per sub assy'!$D:$E,2,0))*U1456</f>
        <v>1.9</v>
      </c>
      <c r="X1456" s="32" t="s">
        <v>615</v>
      </c>
      <c r="Y1456" s="38">
        <v>1</v>
      </c>
      <c r="Z1456" s="38" t="s">
        <v>9</v>
      </c>
      <c r="AA1456" s="18">
        <f>(VLOOKUP(X1456,'[1]Simulation pricing per sub assy'!$D:$E,2,0))*Y1456</f>
        <v>1.5769808000000001</v>
      </c>
    </row>
    <row r="1457" spans="1:27" x14ac:dyDescent="0.35">
      <c r="A1457" s="27" t="s">
        <v>2474</v>
      </c>
      <c r="B1457" s="27" t="s">
        <v>2475</v>
      </c>
      <c r="C1457" s="42">
        <f t="shared" si="22"/>
        <v>111.0657808</v>
      </c>
      <c r="D1457" s="33" t="s">
        <v>2058</v>
      </c>
      <c r="E1457" s="33">
        <v>1</v>
      </c>
      <c r="F1457" s="33" t="s">
        <v>2059</v>
      </c>
      <c r="G1457" s="14">
        <f>(VLOOKUP(D1457,'[1]BOM Info General'!$A:$L,12,0))*E1457</f>
        <v>35.56</v>
      </c>
      <c r="H1457" s="34" t="s">
        <v>39</v>
      </c>
      <c r="I1457" s="34">
        <v>1</v>
      </c>
      <c r="J1457" s="34" t="s">
        <v>46</v>
      </c>
      <c r="K1457" s="15">
        <f>(VLOOKUP(H1457,'[1]BOM Info General'!$A:$L,12,0))*I1457</f>
        <v>24.42</v>
      </c>
      <c r="L1457" s="35" t="s">
        <v>523</v>
      </c>
      <c r="M1457" s="35">
        <v>1</v>
      </c>
      <c r="N1457" s="35" t="s">
        <v>61</v>
      </c>
      <c r="O1457" s="9">
        <f>(VLOOKUP(L1457,'[1]Simulation pricing per sub assy'!$D:$E,2,0))*M1457</f>
        <v>42.308799999999991</v>
      </c>
      <c r="P1457" s="36" t="s">
        <v>52</v>
      </c>
      <c r="Q1457" s="36">
        <v>2</v>
      </c>
      <c r="R1457" s="36" t="s">
        <v>18</v>
      </c>
      <c r="S1457" s="40">
        <f>(VLOOKUP(P1457,'[1]BOM Info General'!$A:$L,12,0))*Q1457</f>
        <v>5.3</v>
      </c>
      <c r="T1457" s="37" t="s">
        <v>14</v>
      </c>
      <c r="U1457" s="37">
        <v>1</v>
      </c>
      <c r="V1457" s="37" t="s">
        <v>15</v>
      </c>
      <c r="W1457" s="17">
        <f>(VLOOKUP(T1457,'[1]Simulation pricing per sub assy'!$D:$E,2,0))*U1457</f>
        <v>1.9</v>
      </c>
      <c r="X1457" s="32" t="s">
        <v>615</v>
      </c>
      <c r="Y1457" s="38">
        <v>1</v>
      </c>
      <c r="Z1457" s="38" t="s">
        <v>9</v>
      </c>
      <c r="AA1457" s="18">
        <f>(VLOOKUP(X1457,'[1]Simulation pricing per sub assy'!$D:$E,2,0))*Y1457</f>
        <v>1.5769808000000001</v>
      </c>
    </row>
    <row r="1458" spans="1:27" x14ac:dyDescent="0.35">
      <c r="A1458" s="27" t="s">
        <v>2476</v>
      </c>
      <c r="B1458" s="27" t="s">
        <v>2477</v>
      </c>
      <c r="C1458" s="42">
        <f t="shared" si="22"/>
        <v>112.0457808</v>
      </c>
      <c r="D1458" s="33" t="s">
        <v>2058</v>
      </c>
      <c r="E1458" s="33">
        <v>1</v>
      </c>
      <c r="F1458" s="33" t="s">
        <v>2059</v>
      </c>
      <c r="G1458" s="14">
        <f>(VLOOKUP(D1458,'[1]BOM Info General'!$A:$L,12,0))*E1458</f>
        <v>35.56</v>
      </c>
      <c r="H1458" s="34" t="s">
        <v>39</v>
      </c>
      <c r="I1458" s="34">
        <v>1</v>
      </c>
      <c r="J1458" s="34" t="s">
        <v>46</v>
      </c>
      <c r="K1458" s="15">
        <f>(VLOOKUP(H1458,'[1]BOM Info General'!$A:$L,12,0))*I1458</f>
        <v>24.42</v>
      </c>
      <c r="L1458" s="35" t="s">
        <v>58</v>
      </c>
      <c r="M1458" s="35">
        <v>1</v>
      </c>
      <c r="N1458" s="35" t="s">
        <v>55</v>
      </c>
      <c r="O1458" s="9">
        <f>(VLOOKUP(L1458,'[1]Simulation pricing per sub assy'!$D:$E,2,0))*M1458</f>
        <v>43.288799999999988</v>
      </c>
      <c r="P1458" s="36" t="s">
        <v>52</v>
      </c>
      <c r="Q1458" s="36">
        <v>2</v>
      </c>
      <c r="R1458" s="36" t="s">
        <v>18</v>
      </c>
      <c r="S1458" s="40">
        <f>(VLOOKUP(P1458,'[1]BOM Info General'!$A:$L,12,0))*Q1458</f>
        <v>5.3</v>
      </c>
      <c r="T1458" s="37" t="s">
        <v>14</v>
      </c>
      <c r="U1458" s="37">
        <v>1</v>
      </c>
      <c r="V1458" s="37" t="s">
        <v>15</v>
      </c>
      <c r="W1458" s="17">
        <f>(VLOOKUP(T1458,'[1]Simulation pricing per sub assy'!$D:$E,2,0))*U1458</f>
        <v>1.9</v>
      </c>
      <c r="X1458" s="32" t="s">
        <v>615</v>
      </c>
      <c r="Y1458" s="38">
        <v>1</v>
      </c>
      <c r="Z1458" s="38" t="s">
        <v>9</v>
      </c>
      <c r="AA1458" s="18">
        <f>(VLOOKUP(X1458,'[1]Simulation pricing per sub assy'!$D:$E,2,0))*Y1458</f>
        <v>1.5769808000000001</v>
      </c>
    </row>
    <row r="1459" spans="1:27" x14ac:dyDescent="0.35">
      <c r="A1459" s="27" t="s">
        <v>2478</v>
      </c>
      <c r="B1459" s="27" t="s">
        <v>2479</v>
      </c>
      <c r="C1459" s="42">
        <f t="shared" si="22"/>
        <v>112.6257808</v>
      </c>
      <c r="D1459" s="33" t="s">
        <v>2058</v>
      </c>
      <c r="E1459" s="33">
        <v>1</v>
      </c>
      <c r="F1459" s="33" t="s">
        <v>2059</v>
      </c>
      <c r="G1459" s="14">
        <f>(VLOOKUP(D1459,'[1]BOM Info General'!$A:$L,12,0))*E1459</f>
        <v>35.56</v>
      </c>
      <c r="H1459" s="34" t="s">
        <v>39</v>
      </c>
      <c r="I1459" s="34">
        <v>1</v>
      </c>
      <c r="J1459" s="34" t="s">
        <v>46</v>
      </c>
      <c r="K1459" s="15">
        <f>(VLOOKUP(H1459,'[1]BOM Info General'!$A:$L,12,0))*I1459</f>
        <v>24.42</v>
      </c>
      <c r="L1459" s="35" t="s">
        <v>54</v>
      </c>
      <c r="M1459" s="35">
        <v>1</v>
      </c>
      <c r="N1459" s="35" t="s">
        <v>53</v>
      </c>
      <c r="O1459" s="9">
        <f>(VLOOKUP(L1459,'[1]Simulation pricing per sub assy'!$D:$E,2,0))*M1459</f>
        <v>43.868799999999993</v>
      </c>
      <c r="P1459" s="36" t="s">
        <v>52</v>
      </c>
      <c r="Q1459" s="36">
        <v>2</v>
      </c>
      <c r="R1459" s="36" t="s">
        <v>18</v>
      </c>
      <c r="S1459" s="40">
        <f>(VLOOKUP(P1459,'[1]BOM Info General'!$A:$L,12,0))*Q1459</f>
        <v>5.3</v>
      </c>
      <c r="T1459" s="37" t="s">
        <v>14</v>
      </c>
      <c r="U1459" s="37">
        <v>1</v>
      </c>
      <c r="V1459" s="37" t="s">
        <v>15</v>
      </c>
      <c r="W1459" s="17">
        <f>(VLOOKUP(T1459,'[1]Simulation pricing per sub assy'!$D:$E,2,0))*U1459</f>
        <v>1.9</v>
      </c>
      <c r="X1459" s="32" t="s">
        <v>615</v>
      </c>
      <c r="Y1459" s="38">
        <v>1</v>
      </c>
      <c r="Z1459" s="38" t="s">
        <v>9</v>
      </c>
      <c r="AA1459" s="18">
        <f>(VLOOKUP(X1459,'[1]Simulation pricing per sub assy'!$D:$E,2,0))*Y1459</f>
        <v>1.5769808000000001</v>
      </c>
    </row>
    <row r="1460" spans="1:27" x14ac:dyDescent="0.35">
      <c r="A1460" s="27" t="s">
        <v>2480</v>
      </c>
      <c r="B1460" s="27" t="s">
        <v>2481</v>
      </c>
      <c r="C1460" s="42">
        <f t="shared" si="22"/>
        <v>112.3657808</v>
      </c>
      <c r="D1460" s="33" t="s">
        <v>2058</v>
      </c>
      <c r="E1460" s="33">
        <v>1</v>
      </c>
      <c r="F1460" s="33" t="s">
        <v>2059</v>
      </c>
      <c r="G1460" s="14">
        <f>(VLOOKUP(D1460,'[1]BOM Info General'!$A:$L,12,0))*E1460</f>
        <v>35.56</v>
      </c>
      <c r="H1460" s="34" t="s">
        <v>39</v>
      </c>
      <c r="I1460" s="34">
        <v>1</v>
      </c>
      <c r="J1460" s="34" t="s">
        <v>46</v>
      </c>
      <c r="K1460" s="15">
        <f>(VLOOKUP(H1460,'[1]BOM Info General'!$A:$L,12,0))*I1460</f>
        <v>24.42</v>
      </c>
      <c r="L1460" s="35" t="s">
        <v>60</v>
      </c>
      <c r="M1460" s="35">
        <v>1</v>
      </c>
      <c r="N1460" s="35" t="s">
        <v>57</v>
      </c>
      <c r="O1460" s="9">
        <f>(VLOOKUP(L1460,'[1]Simulation pricing per sub assy'!$D:$E,2,0))*M1460</f>
        <v>43.608799999999988</v>
      </c>
      <c r="P1460" s="36" t="s">
        <v>52</v>
      </c>
      <c r="Q1460" s="36">
        <v>2</v>
      </c>
      <c r="R1460" s="36" t="s">
        <v>18</v>
      </c>
      <c r="S1460" s="40">
        <f>(VLOOKUP(P1460,'[1]BOM Info General'!$A:$L,12,0))*Q1460</f>
        <v>5.3</v>
      </c>
      <c r="T1460" s="37" t="s">
        <v>14</v>
      </c>
      <c r="U1460" s="37">
        <v>1</v>
      </c>
      <c r="V1460" s="37" t="s">
        <v>15</v>
      </c>
      <c r="W1460" s="17">
        <f>(VLOOKUP(T1460,'[1]Simulation pricing per sub assy'!$D:$E,2,0))*U1460</f>
        <v>1.9</v>
      </c>
      <c r="X1460" s="32" t="s">
        <v>615</v>
      </c>
      <c r="Y1460" s="38">
        <v>1</v>
      </c>
      <c r="Z1460" s="38" t="s">
        <v>9</v>
      </c>
      <c r="AA1460" s="18">
        <f>(VLOOKUP(X1460,'[1]Simulation pricing per sub assy'!$D:$E,2,0))*Y1460</f>
        <v>1.5769808000000001</v>
      </c>
    </row>
    <row r="1461" spans="1:27" x14ac:dyDescent="0.35">
      <c r="A1461" s="27" t="s">
        <v>2482</v>
      </c>
      <c r="B1461" s="27" t="s">
        <v>2483</v>
      </c>
      <c r="C1461" s="42">
        <f t="shared" si="22"/>
        <v>120.0357808</v>
      </c>
      <c r="D1461" s="33" t="s">
        <v>2058</v>
      </c>
      <c r="E1461" s="33">
        <v>1</v>
      </c>
      <c r="F1461" s="33" t="s">
        <v>2059</v>
      </c>
      <c r="G1461" s="14">
        <f>(VLOOKUP(D1461,'[1]BOM Info General'!$A:$L,12,0))*E1461</f>
        <v>35.56</v>
      </c>
      <c r="H1461" s="34" t="s">
        <v>39</v>
      </c>
      <c r="I1461" s="34">
        <v>1</v>
      </c>
      <c r="J1461" s="34" t="s">
        <v>46</v>
      </c>
      <c r="K1461" s="15">
        <f>(VLOOKUP(H1461,'[1]BOM Info General'!$A:$L,12,0))*I1461</f>
        <v>24.42</v>
      </c>
      <c r="L1461" s="35" t="s">
        <v>56</v>
      </c>
      <c r="M1461" s="35">
        <v>1</v>
      </c>
      <c r="N1461" s="35" t="s">
        <v>59</v>
      </c>
      <c r="O1461" s="9">
        <f>(VLOOKUP(L1461,'[1]Simulation pricing per sub assy'!$D:$E,2,0))*M1461</f>
        <v>51.27879999999999</v>
      </c>
      <c r="P1461" s="36" t="s">
        <v>52</v>
      </c>
      <c r="Q1461" s="36">
        <v>2</v>
      </c>
      <c r="R1461" s="36" t="s">
        <v>18</v>
      </c>
      <c r="S1461" s="40">
        <f>(VLOOKUP(P1461,'[1]BOM Info General'!$A:$L,12,0))*Q1461</f>
        <v>5.3</v>
      </c>
      <c r="T1461" s="37" t="s">
        <v>14</v>
      </c>
      <c r="U1461" s="37">
        <v>1</v>
      </c>
      <c r="V1461" s="37" t="s">
        <v>15</v>
      </c>
      <c r="W1461" s="17">
        <f>(VLOOKUP(T1461,'[1]Simulation pricing per sub assy'!$D:$E,2,0))*U1461</f>
        <v>1.9</v>
      </c>
      <c r="X1461" s="32" t="s">
        <v>615</v>
      </c>
      <c r="Y1461" s="38">
        <v>1</v>
      </c>
      <c r="Z1461" s="38" t="s">
        <v>9</v>
      </c>
      <c r="AA1461" s="18">
        <f>(VLOOKUP(X1461,'[1]Simulation pricing per sub assy'!$D:$E,2,0))*Y1461</f>
        <v>1.5769808000000001</v>
      </c>
    </row>
    <row r="1462" spans="1:27" x14ac:dyDescent="0.35">
      <c r="A1462" s="27" t="s">
        <v>2484</v>
      </c>
      <c r="B1462" s="27" t="s">
        <v>2485</v>
      </c>
      <c r="C1462" s="42">
        <f t="shared" si="22"/>
        <v>111.5057808</v>
      </c>
      <c r="D1462" s="33" t="s">
        <v>2058</v>
      </c>
      <c r="E1462" s="33">
        <v>1</v>
      </c>
      <c r="F1462" s="33" t="s">
        <v>2059</v>
      </c>
      <c r="G1462" s="14">
        <f>(VLOOKUP(D1462,'[1]BOM Info General'!$A:$L,12,0))*E1462</f>
        <v>35.56</v>
      </c>
      <c r="H1462" s="34" t="s">
        <v>39</v>
      </c>
      <c r="I1462" s="34">
        <v>1</v>
      </c>
      <c r="J1462" s="34" t="s">
        <v>46</v>
      </c>
      <c r="K1462" s="15">
        <f>(VLOOKUP(H1462,'[1]BOM Info General'!$A:$L,12,0))*I1462</f>
        <v>24.42</v>
      </c>
      <c r="L1462" s="35" t="s">
        <v>523</v>
      </c>
      <c r="M1462" s="35">
        <v>1</v>
      </c>
      <c r="N1462" s="35" t="s">
        <v>61</v>
      </c>
      <c r="O1462" s="9">
        <f>(VLOOKUP(L1462,'[1]Simulation pricing per sub assy'!$D:$E,2,0))*M1462</f>
        <v>42.308799999999991</v>
      </c>
      <c r="P1462" s="36" t="s">
        <v>50</v>
      </c>
      <c r="Q1462" s="36">
        <v>2</v>
      </c>
      <c r="R1462" s="36" t="s">
        <v>611</v>
      </c>
      <c r="S1462" s="40">
        <f>(VLOOKUP(P1462,'[1]BOM Info General'!$A:$L,12,0))*Q1462</f>
        <v>5.3</v>
      </c>
      <c r="T1462" s="37" t="s">
        <v>19</v>
      </c>
      <c r="U1462" s="37">
        <v>1</v>
      </c>
      <c r="V1462" s="37" t="s">
        <v>20</v>
      </c>
      <c r="W1462" s="17">
        <f>(VLOOKUP(T1462,'[1]Simulation pricing per sub assy'!$D:$E,2,0))*U1462</f>
        <v>2.3400000000000003</v>
      </c>
      <c r="X1462" s="32" t="s">
        <v>615</v>
      </c>
      <c r="Y1462" s="38">
        <v>1</v>
      </c>
      <c r="Z1462" s="38" t="s">
        <v>9</v>
      </c>
      <c r="AA1462" s="18">
        <f>(VLOOKUP(X1462,'[1]Simulation pricing per sub assy'!$D:$E,2,0))*Y1462</f>
        <v>1.5769808000000001</v>
      </c>
    </row>
    <row r="1463" spans="1:27" x14ac:dyDescent="0.35">
      <c r="A1463" s="27" t="s">
        <v>2486</v>
      </c>
      <c r="B1463" s="27" t="s">
        <v>2487</v>
      </c>
      <c r="C1463" s="42">
        <f t="shared" si="22"/>
        <v>112.4857808</v>
      </c>
      <c r="D1463" s="33" t="s">
        <v>2058</v>
      </c>
      <c r="E1463" s="33">
        <v>1</v>
      </c>
      <c r="F1463" s="33" t="s">
        <v>2059</v>
      </c>
      <c r="G1463" s="14">
        <f>(VLOOKUP(D1463,'[1]BOM Info General'!$A:$L,12,0))*E1463</f>
        <v>35.56</v>
      </c>
      <c r="H1463" s="34" t="s">
        <v>39</v>
      </c>
      <c r="I1463" s="34">
        <v>1</v>
      </c>
      <c r="J1463" s="34" t="s">
        <v>46</v>
      </c>
      <c r="K1463" s="15">
        <f>(VLOOKUP(H1463,'[1]BOM Info General'!$A:$L,12,0))*I1463</f>
        <v>24.42</v>
      </c>
      <c r="L1463" s="35" t="s">
        <v>58</v>
      </c>
      <c r="M1463" s="35">
        <v>1</v>
      </c>
      <c r="N1463" s="35" t="s">
        <v>55</v>
      </c>
      <c r="O1463" s="9">
        <f>(VLOOKUP(L1463,'[1]Simulation pricing per sub assy'!$D:$E,2,0))*M1463</f>
        <v>43.288799999999988</v>
      </c>
      <c r="P1463" s="36" t="s">
        <v>50</v>
      </c>
      <c r="Q1463" s="36">
        <v>2</v>
      </c>
      <c r="R1463" s="36" t="s">
        <v>611</v>
      </c>
      <c r="S1463" s="40">
        <f>(VLOOKUP(P1463,'[1]BOM Info General'!$A:$L,12,0))*Q1463</f>
        <v>5.3</v>
      </c>
      <c r="T1463" s="37" t="s">
        <v>19</v>
      </c>
      <c r="U1463" s="37">
        <v>1</v>
      </c>
      <c r="V1463" s="37" t="s">
        <v>20</v>
      </c>
      <c r="W1463" s="17">
        <f>(VLOOKUP(T1463,'[1]Simulation pricing per sub assy'!$D:$E,2,0))*U1463</f>
        <v>2.3400000000000003</v>
      </c>
      <c r="X1463" s="32" t="s">
        <v>615</v>
      </c>
      <c r="Y1463" s="38">
        <v>1</v>
      </c>
      <c r="Z1463" s="38" t="s">
        <v>9</v>
      </c>
      <c r="AA1463" s="18">
        <f>(VLOOKUP(X1463,'[1]Simulation pricing per sub assy'!$D:$E,2,0))*Y1463</f>
        <v>1.5769808000000001</v>
      </c>
    </row>
    <row r="1464" spans="1:27" x14ac:dyDescent="0.35">
      <c r="A1464" s="27" t="s">
        <v>2488</v>
      </c>
      <c r="B1464" s="27" t="s">
        <v>2489</v>
      </c>
      <c r="C1464" s="42">
        <f t="shared" si="22"/>
        <v>113.0657808</v>
      </c>
      <c r="D1464" s="33" t="s">
        <v>2058</v>
      </c>
      <c r="E1464" s="33">
        <v>1</v>
      </c>
      <c r="F1464" s="33" t="s">
        <v>2059</v>
      </c>
      <c r="G1464" s="14">
        <f>(VLOOKUP(D1464,'[1]BOM Info General'!$A:$L,12,0))*E1464</f>
        <v>35.56</v>
      </c>
      <c r="H1464" s="34" t="s">
        <v>39</v>
      </c>
      <c r="I1464" s="34">
        <v>1</v>
      </c>
      <c r="J1464" s="34" t="s">
        <v>46</v>
      </c>
      <c r="K1464" s="15">
        <f>(VLOOKUP(H1464,'[1]BOM Info General'!$A:$L,12,0))*I1464</f>
        <v>24.42</v>
      </c>
      <c r="L1464" s="35" t="s">
        <v>54</v>
      </c>
      <c r="M1464" s="35">
        <v>1</v>
      </c>
      <c r="N1464" s="35" t="s">
        <v>53</v>
      </c>
      <c r="O1464" s="9">
        <f>(VLOOKUP(L1464,'[1]Simulation pricing per sub assy'!$D:$E,2,0))*M1464</f>
        <v>43.868799999999993</v>
      </c>
      <c r="P1464" s="36" t="s">
        <v>50</v>
      </c>
      <c r="Q1464" s="36">
        <v>2</v>
      </c>
      <c r="R1464" s="36" t="s">
        <v>611</v>
      </c>
      <c r="S1464" s="40">
        <f>(VLOOKUP(P1464,'[1]BOM Info General'!$A:$L,12,0))*Q1464</f>
        <v>5.3</v>
      </c>
      <c r="T1464" s="37" t="s">
        <v>19</v>
      </c>
      <c r="U1464" s="37">
        <v>1</v>
      </c>
      <c r="V1464" s="37" t="s">
        <v>20</v>
      </c>
      <c r="W1464" s="17">
        <f>(VLOOKUP(T1464,'[1]Simulation pricing per sub assy'!$D:$E,2,0))*U1464</f>
        <v>2.3400000000000003</v>
      </c>
      <c r="X1464" s="32" t="s">
        <v>615</v>
      </c>
      <c r="Y1464" s="38">
        <v>1</v>
      </c>
      <c r="Z1464" s="38" t="s">
        <v>9</v>
      </c>
      <c r="AA1464" s="18">
        <f>(VLOOKUP(X1464,'[1]Simulation pricing per sub assy'!$D:$E,2,0))*Y1464</f>
        <v>1.5769808000000001</v>
      </c>
    </row>
    <row r="1465" spans="1:27" x14ac:dyDescent="0.35">
      <c r="A1465" s="27" t="s">
        <v>2490</v>
      </c>
      <c r="B1465" s="27" t="s">
        <v>2491</v>
      </c>
      <c r="C1465" s="42">
        <f t="shared" si="22"/>
        <v>112.80578079999999</v>
      </c>
      <c r="D1465" s="33" t="s">
        <v>2058</v>
      </c>
      <c r="E1465" s="33">
        <v>1</v>
      </c>
      <c r="F1465" s="33" t="s">
        <v>2059</v>
      </c>
      <c r="G1465" s="14">
        <f>(VLOOKUP(D1465,'[1]BOM Info General'!$A:$L,12,0))*E1465</f>
        <v>35.56</v>
      </c>
      <c r="H1465" s="34" t="s">
        <v>39</v>
      </c>
      <c r="I1465" s="34">
        <v>1</v>
      </c>
      <c r="J1465" s="34" t="s">
        <v>46</v>
      </c>
      <c r="K1465" s="15">
        <f>(VLOOKUP(H1465,'[1]BOM Info General'!$A:$L,12,0))*I1465</f>
        <v>24.42</v>
      </c>
      <c r="L1465" s="35" t="s">
        <v>60</v>
      </c>
      <c r="M1465" s="35">
        <v>1</v>
      </c>
      <c r="N1465" s="35" t="s">
        <v>57</v>
      </c>
      <c r="O1465" s="9">
        <f>(VLOOKUP(L1465,'[1]Simulation pricing per sub assy'!$D:$E,2,0))*M1465</f>
        <v>43.608799999999988</v>
      </c>
      <c r="P1465" s="36" t="s">
        <v>50</v>
      </c>
      <c r="Q1465" s="36">
        <v>2</v>
      </c>
      <c r="R1465" s="36" t="s">
        <v>611</v>
      </c>
      <c r="S1465" s="40">
        <f>(VLOOKUP(P1465,'[1]BOM Info General'!$A:$L,12,0))*Q1465</f>
        <v>5.3</v>
      </c>
      <c r="T1465" s="37" t="s">
        <v>19</v>
      </c>
      <c r="U1465" s="37">
        <v>1</v>
      </c>
      <c r="V1465" s="37" t="s">
        <v>20</v>
      </c>
      <c r="W1465" s="17">
        <f>(VLOOKUP(T1465,'[1]Simulation pricing per sub assy'!$D:$E,2,0))*U1465</f>
        <v>2.3400000000000003</v>
      </c>
      <c r="X1465" s="32" t="s">
        <v>615</v>
      </c>
      <c r="Y1465" s="38">
        <v>1</v>
      </c>
      <c r="Z1465" s="38" t="s">
        <v>9</v>
      </c>
      <c r="AA1465" s="18">
        <f>(VLOOKUP(X1465,'[1]Simulation pricing per sub assy'!$D:$E,2,0))*Y1465</f>
        <v>1.5769808000000001</v>
      </c>
    </row>
    <row r="1466" spans="1:27" x14ac:dyDescent="0.35">
      <c r="A1466" s="27" t="s">
        <v>2492</v>
      </c>
      <c r="B1466" s="27" t="s">
        <v>2493</v>
      </c>
      <c r="C1466" s="42">
        <f t="shared" si="22"/>
        <v>120.4757808</v>
      </c>
      <c r="D1466" s="33" t="s">
        <v>2058</v>
      </c>
      <c r="E1466" s="33">
        <v>1</v>
      </c>
      <c r="F1466" s="33" t="s">
        <v>2059</v>
      </c>
      <c r="G1466" s="14">
        <f>(VLOOKUP(D1466,'[1]BOM Info General'!$A:$L,12,0))*E1466</f>
        <v>35.56</v>
      </c>
      <c r="H1466" s="34" t="s">
        <v>39</v>
      </c>
      <c r="I1466" s="34">
        <v>1</v>
      </c>
      <c r="J1466" s="34" t="s">
        <v>46</v>
      </c>
      <c r="K1466" s="15">
        <f>(VLOOKUP(H1466,'[1]BOM Info General'!$A:$L,12,0))*I1466</f>
        <v>24.42</v>
      </c>
      <c r="L1466" s="35" t="s">
        <v>56</v>
      </c>
      <c r="M1466" s="35">
        <v>1</v>
      </c>
      <c r="N1466" s="35" t="s">
        <v>59</v>
      </c>
      <c r="O1466" s="9">
        <f>(VLOOKUP(L1466,'[1]Simulation pricing per sub assy'!$D:$E,2,0))*M1466</f>
        <v>51.27879999999999</v>
      </c>
      <c r="P1466" s="36" t="s">
        <v>50</v>
      </c>
      <c r="Q1466" s="36">
        <v>2</v>
      </c>
      <c r="R1466" s="36" t="s">
        <v>611</v>
      </c>
      <c r="S1466" s="40">
        <f>(VLOOKUP(P1466,'[1]BOM Info General'!$A:$L,12,0))*Q1466</f>
        <v>5.3</v>
      </c>
      <c r="T1466" s="37" t="s">
        <v>19</v>
      </c>
      <c r="U1466" s="37">
        <v>1</v>
      </c>
      <c r="V1466" s="37" t="s">
        <v>20</v>
      </c>
      <c r="W1466" s="17">
        <f>(VLOOKUP(T1466,'[1]Simulation pricing per sub assy'!$D:$E,2,0))*U1466</f>
        <v>2.3400000000000003</v>
      </c>
      <c r="X1466" s="32" t="s">
        <v>615</v>
      </c>
      <c r="Y1466" s="38">
        <v>1</v>
      </c>
      <c r="Z1466" s="38" t="s">
        <v>9</v>
      </c>
      <c r="AA1466" s="18">
        <f>(VLOOKUP(X1466,'[1]Simulation pricing per sub assy'!$D:$E,2,0))*Y1466</f>
        <v>1.5769808000000001</v>
      </c>
    </row>
    <row r="1467" spans="1:27" x14ac:dyDescent="0.35">
      <c r="A1467" s="27" t="s">
        <v>2494</v>
      </c>
      <c r="B1467" s="27" t="s">
        <v>2495</v>
      </c>
      <c r="C1467" s="42">
        <f t="shared" si="22"/>
        <v>111.01578079999999</v>
      </c>
      <c r="D1467" s="33" t="s">
        <v>2058</v>
      </c>
      <c r="E1467" s="33">
        <v>1</v>
      </c>
      <c r="F1467" s="33" t="s">
        <v>2059</v>
      </c>
      <c r="G1467" s="14">
        <f>(VLOOKUP(D1467,'[1]BOM Info General'!$A:$L,12,0))*E1467</f>
        <v>35.56</v>
      </c>
      <c r="H1467" s="34" t="s">
        <v>39</v>
      </c>
      <c r="I1467" s="34">
        <v>1</v>
      </c>
      <c r="J1467" s="34" t="s">
        <v>46</v>
      </c>
      <c r="K1467" s="15">
        <f>(VLOOKUP(H1467,'[1]BOM Info General'!$A:$L,12,0))*I1467</f>
        <v>24.42</v>
      </c>
      <c r="L1467" s="35" t="s">
        <v>523</v>
      </c>
      <c r="M1467" s="35">
        <v>1</v>
      </c>
      <c r="N1467" s="35" t="s">
        <v>61</v>
      </c>
      <c r="O1467" s="9">
        <f>(VLOOKUP(L1467,'[1]Simulation pricing per sub assy'!$D:$E,2,0))*M1467</f>
        <v>42.308799999999991</v>
      </c>
      <c r="P1467" s="36" t="s">
        <v>50</v>
      </c>
      <c r="Q1467" s="36">
        <v>2</v>
      </c>
      <c r="R1467" s="36" t="s">
        <v>611</v>
      </c>
      <c r="S1467" s="40">
        <f>(VLOOKUP(P1467,'[1]BOM Info General'!$A:$L,12,0))*Q1467</f>
        <v>5.3</v>
      </c>
      <c r="T1467" s="37" t="s">
        <v>7</v>
      </c>
      <c r="U1467" s="37">
        <v>1</v>
      </c>
      <c r="V1467" s="37" t="s">
        <v>8</v>
      </c>
      <c r="W1467" s="17">
        <f>(VLOOKUP(T1467,'[1]Simulation pricing per sub assy'!$D:$E,2,0))*U1467</f>
        <v>1.85</v>
      </c>
      <c r="X1467" s="32" t="s">
        <v>615</v>
      </c>
      <c r="Y1467" s="38">
        <v>1</v>
      </c>
      <c r="Z1467" s="38" t="s">
        <v>9</v>
      </c>
      <c r="AA1467" s="18">
        <f>(VLOOKUP(X1467,'[1]Simulation pricing per sub assy'!$D:$E,2,0))*Y1467</f>
        <v>1.5769808000000001</v>
      </c>
    </row>
    <row r="1468" spans="1:27" x14ac:dyDescent="0.35">
      <c r="A1468" s="27" t="s">
        <v>2496</v>
      </c>
      <c r="B1468" s="27" t="s">
        <v>2497</v>
      </c>
      <c r="C1468" s="42">
        <f t="shared" si="22"/>
        <v>111.99578079999999</v>
      </c>
      <c r="D1468" s="33" t="s">
        <v>2058</v>
      </c>
      <c r="E1468" s="33">
        <v>1</v>
      </c>
      <c r="F1468" s="33" t="s">
        <v>2059</v>
      </c>
      <c r="G1468" s="14">
        <f>(VLOOKUP(D1468,'[1]BOM Info General'!$A:$L,12,0))*E1468</f>
        <v>35.56</v>
      </c>
      <c r="H1468" s="34" t="s">
        <v>39</v>
      </c>
      <c r="I1468" s="34">
        <v>1</v>
      </c>
      <c r="J1468" s="34" t="s">
        <v>46</v>
      </c>
      <c r="K1468" s="15">
        <f>(VLOOKUP(H1468,'[1]BOM Info General'!$A:$L,12,0))*I1468</f>
        <v>24.42</v>
      </c>
      <c r="L1468" s="35" t="s">
        <v>58</v>
      </c>
      <c r="M1468" s="35">
        <v>1</v>
      </c>
      <c r="N1468" s="35" t="s">
        <v>55</v>
      </c>
      <c r="O1468" s="9">
        <f>(VLOOKUP(L1468,'[1]Simulation pricing per sub assy'!$D:$E,2,0))*M1468</f>
        <v>43.288799999999988</v>
      </c>
      <c r="P1468" s="36" t="s">
        <v>50</v>
      </c>
      <c r="Q1468" s="36">
        <v>2</v>
      </c>
      <c r="R1468" s="36" t="s">
        <v>611</v>
      </c>
      <c r="S1468" s="40">
        <f>(VLOOKUP(P1468,'[1]BOM Info General'!$A:$L,12,0))*Q1468</f>
        <v>5.3</v>
      </c>
      <c r="T1468" s="37" t="s">
        <v>7</v>
      </c>
      <c r="U1468" s="37">
        <v>1</v>
      </c>
      <c r="V1468" s="37" t="s">
        <v>8</v>
      </c>
      <c r="W1468" s="17">
        <f>(VLOOKUP(T1468,'[1]Simulation pricing per sub assy'!$D:$E,2,0))*U1468</f>
        <v>1.85</v>
      </c>
      <c r="X1468" s="32" t="s">
        <v>615</v>
      </c>
      <c r="Y1468" s="38">
        <v>1</v>
      </c>
      <c r="Z1468" s="38" t="s">
        <v>9</v>
      </c>
      <c r="AA1468" s="18">
        <f>(VLOOKUP(X1468,'[1]Simulation pricing per sub assy'!$D:$E,2,0))*Y1468</f>
        <v>1.5769808000000001</v>
      </c>
    </row>
    <row r="1469" spans="1:27" x14ac:dyDescent="0.35">
      <c r="A1469" s="27" t="s">
        <v>2498</v>
      </c>
      <c r="B1469" s="27" t="s">
        <v>2499</v>
      </c>
      <c r="C1469" s="42">
        <f t="shared" si="22"/>
        <v>112.57578079999999</v>
      </c>
      <c r="D1469" s="33" t="s">
        <v>2058</v>
      </c>
      <c r="E1469" s="33">
        <v>1</v>
      </c>
      <c r="F1469" s="33" t="s">
        <v>2059</v>
      </c>
      <c r="G1469" s="14">
        <f>(VLOOKUP(D1469,'[1]BOM Info General'!$A:$L,12,0))*E1469</f>
        <v>35.56</v>
      </c>
      <c r="H1469" s="34" t="s">
        <v>39</v>
      </c>
      <c r="I1469" s="34">
        <v>1</v>
      </c>
      <c r="J1469" s="34" t="s">
        <v>46</v>
      </c>
      <c r="K1469" s="15">
        <f>(VLOOKUP(H1469,'[1]BOM Info General'!$A:$L,12,0))*I1469</f>
        <v>24.42</v>
      </c>
      <c r="L1469" s="35" t="s">
        <v>54</v>
      </c>
      <c r="M1469" s="35">
        <v>1</v>
      </c>
      <c r="N1469" s="35" t="s">
        <v>53</v>
      </c>
      <c r="O1469" s="9">
        <f>(VLOOKUP(L1469,'[1]Simulation pricing per sub assy'!$D:$E,2,0))*M1469</f>
        <v>43.868799999999993</v>
      </c>
      <c r="P1469" s="36" t="s">
        <v>50</v>
      </c>
      <c r="Q1469" s="36">
        <v>2</v>
      </c>
      <c r="R1469" s="36" t="s">
        <v>611</v>
      </c>
      <c r="S1469" s="40">
        <f>(VLOOKUP(P1469,'[1]BOM Info General'!$A:$L,12,0))*Q1469</f>
        <v>5.3</v>
      </c>
      <c r="T1469" s="37" t="s">
        <v>7</v>
      </c>
      <c r="U1469" s="37">
        <v>1</v>
      </c>
      <c r="V1469" s="37" t="s">
        <v>8</v>
      </c>
      <c r="W1469" s="17">
        <f>(VLOOKUP(T1469,'[1]Simulation pricing per sub assy'!$D:$E,2,0))*U1469</f>
        <v>1.85</v>
      </c>
      <c r="X1469" s="32" t="s">
        <v>615</v>
      </c>
      <c r="Y1469" s="38">
        <v>1</v>
      </c>
      <c r="Z1469" s="38" t="s">
        <v>9</v>
      </c>
      <c r="AA1469" s="18">
        <f>(VLOOKUP(X1469,'[1]Simulation pricing per sub assy'!$D:$E,2,0))*Y1469</f>
        <v>1.5769808000000001</v>
      </c>
    </row>
    <row r="1470" spans="1:27" x14ac:dyDescent="0.35">
      <c r="A1470" s="27" t="s">
        <v>2500</v>
      </c>
      <c r="B1470" s="27" t="s">
        <v>2501</v>
      </c>
      <c r="C1470" s="42">
        <f t="shared" si="22"/>
        <v>112.31578079999998</v>
      </c>
      <c r="D1470" s="33" t="s">
        <v>2058</v>
      </c>
      <c r="E1470" s="33">
        <v>1</v>
      </c>
      <c r="F1470" s="33" t="s">
        <v>2059</v>
      </c>
      <c r="G1470" s="14">
        <f>(VLOOKUP(D1470,'[1]BOM Info General'!$A:$L,12,0))*E1470</f>
        <v>35.56</v>
      </c>
      <c r="H1470" s="34" t="s">
        <v>39</v>
      </c>
      <c r="I1470" s="34">
        <v>1</v>
      </c>
      <c r="J1470" s="34" t="s">
        <v>46</v>
      </c>
      <c r="K1470" s="15">
        <f>(VLOOKUP(H1470,'[1]BOM Info General'!$A:$L,12,0))*I1470</f>
        <v>24.42</v>
      </c>
      <c r="L1470" s="35" t="s">
        <v>60</v>
      </c>
      <c r="M1470" s="35">
        <v>1</v>
      </c>
      <c r="N1470" s="35" t="s">
        <v>57</v>
      </c>
      <c r="O1470" s="9">
        <f>(VLOOKUP(L1470,'[1]Simulation pricing per sub assy'!$D:$E,2,0))*M1470</f>
        <v>43.608799999999988</v>
      </c>
      <c r="P1470" s="36" t="s">
        <v>50</v>
      </c>
      <c r="Q1470" s="36">
        <v>2</v>
      </c>
      <c r="R1470" s="36" t="s">
        <v>611</v>
      </c>
      <c r="S1470" s="40">
        <f>(VLOOKUP(P1470,'[1]BOM Info General'!$A:$L,12,0))*Q1470</f>
        <v>5.3</v>
      </c>
      <c r="T1470" s="37" t="s">
        <v>7</v>
      </c>
      <c r="U1470" s="37">
        <v>1</v>
      </c>
      <c r="V1470" s="37" t="s">
        <v>8</v>
      </c>
      <c r="W1470" s="17">
        <f>(VLOOKUP(T1470,'[1]Simulation pricing per sub assy'!$D:$E,2,0))*U1470</f>
        <v>1.85</v>
      </c>
      <c r="X1470" s="32" t="s">
        <v>615</v>
      </c>
      <c r="Y1470" s="38">
        <v>1</v>
      </c>
      <c r="Z1470" s="38" t="s">
        <v>9</v>
      </c>
      <c r="AA1470" s="18">
        <f>(VLOOKUP(X1470,'[1]Simulation pricing per sub assy'!$D:$E,2,0))*Y1470</f>
        <v>1.5769808000000001</v>
      </c>
    </row>
    <row r="1471" spans="1:27" x14ac:dyDescent="0.35">
      <c r="A1471" s="27" t="s">
        <v>2502</v>
      </c>
      <c r="B1471" s="27" t="s">
        <v>2503</v>
      </c>
      <c r="C1471" s="42">
        <f t="shared" si="22"/>
        <v>119.98578079999999</v>
      </c>
      <c r="D1471" s="33" t="s">
        <v>2058</v>
      </c>
      <c r="E1471" s="33">
        <v>1</v>
      </c>
      <c r="F1471" s="33" t="s">
        <v>2059</v>
      </c>
      <c r="G1471" s="14">
        <f>(VLOOKUP(D1471,'[1]BOM Info General'!$A:$L,12,0))*E1471</f>
        <v>35.56</v>
      </c>
      <c r="H1471" s="34" t="s">
        <v>39</v>
      </c>
      <c r="I1471" s="34">
        <v>1</v>
      </c>
      <c r="J1471" s="34" t="s">
        <v>46</v>
      </c>
      <c r="K1471" s="15">
        <f>(VLOOKUP(H1471,'[1]BOM Info General'!$A:$L,12,0))*I1471</f>
        <v>24.42</v>
      </c>
      <c r="L1471" s="35" t="s">
        <v>56</v>
      </c>
      <c r="M1471" s="35">
        <v>1</v>
      </c>
      <c r="N1471" s="35" t="s">
        <v>59</v>
      </c>
      <c r="O1471" s="9">
        <f>(VLOOKUP(L1471,'[1]Simulation pricing per sub assy'!$D:$E,2,0))*M1471</f>
        <v>51.27879999999999</v>
      </c>
      <c r="P1471" s="36" t="s">
        <v>50</v>
      </c>
      <c r="Q1471" s="36">
        <v>2</v>
      </c>
      <c r="R1471" s="36" t="s">
        <v>611</v>
      </c>
      <c r="S1471" s="40">
        <f>(VLOOKUP(P1471,'[1]BOM Info General'!$A:$L,12,0))*Q1471</f>
        <v>5.3</v>
      </c>
      <c r="T1471" s="37" t="s">
        <v>7</v>
      </c>
      <c r="U1471" s="37">
        <v>1</v>
      </c>
      <c r="V1471" s="37" t="s">
        <v>8</v>
      </c>
      <c r="W1471" s="17">
        <f>(VLOOKUP(T1471,'[1]Simulation pricing per sub assy'!$D:$E,2,0))*U1471</f>
        <v>1.85</v>
      </c>
      <c r="X1471" s="32" t="s">
        <v>615</v>
      </c>
      <c r="Y1471" s="38">
        <v>1</v>
      </c>
      <c r="Z1471" s="38" t="s">
        <v>9</v>
      </c>
      <c r="AA1471" s="18">
        <f>(VLOOKUP(X1471,'[1]Simulation pricing per sub assy'!$D:$E,2,0))*Y1471</f>
        <v>1.5769808000000001</v>
      </c>
    </row>
    <row r="1472" spans="1:27" x14ac:dyDescent="0.35">
      <c r="A1472" s="27" t="s">
        <v>2504</v>
      </c>
      <c r="B1472" s="27" t="s">
        <v>2505</v>
      </c>
      <c r="C1472" s="42">
        <f t="shared" si="22"/>
        <v>111.21578079999999</v>
      </c>
      <c r="D1472" s="33" t="s">
        <v>2058</v>
      </c>
      <c r="E1472" s="33">
        <v>1</v>
      </c>
      <c r="F1472" s="33" t="s">
        <v>2059</v>
      </c>
      <c r="G1472" s="14">
        <f>(VLOOKUP(D1472,'[1]BOM Info General'!$A:$L,12,0))*E1472</f>
        <v>35.56</v>
      </c>
      <c r="H1472" s="34" t="s">
        <v>39</v>
      </c>
      <c r="I1472" s="34">
        <v>1</v>
      </c>
      <c r="J1472" s="34" t="s">
        <v>46</v>
      </c>
      <c r="K1472" s="15">
        <f>(VLOOKUP(H1472,'[1]BOM Info General'!$A:$L,12,0))*I1472</f>
        <v>24.42</v>
      </c>
      <c r="L1472" s="35" t="s">
        <v>523</v>
      </c>
      <c r="M1472" s="35">
        <v>1</v>
      </c>
      <c r="N1472" s="35" t="s">
        <v>61</v>
      </c>
      <c r="O1472" s="9">
        <f>(VLOOKUP(L1472,'[1]Simulation pricing per sub assy'!$D:$E,2,0))*M1472</f>
        <v>42.308799999999991</v>
      </c>
      <c r="P1472" s="36" t="s">
        <v>50</v>
      </c>
      <c r="Q1472" s="36">
        <v>2</v>
      </c>
      <c r="R1472" s="36" t="s">
        <v>16</v>
      </c>
      <c r="S1472" s="40">
        <f>(VLOOKUP(P1472,'[1]BOM Info General'!$A:$L,12,0))*Q1472</f>
        <v>5.3</v>
      </c>
      <c r="T1472" s="37" t="s">
        <v>10</v>
      </c>
      <c r="U1472" s="37">
        <v>1</v>
      </c>
      <c r="V1472" s="37" t="s">
        <v>11</v>
      </c>
      <c r="W1472" s="17">
        <f>(VLOOKUP(T1472,'[1]Simulation pricing per sub assy'!$D:$E,2,0))*U1472</f>
        <v>2.0499999999999998</v>
      </c>
      <c r="X1472" s="32" t="s">
        <v>615</v>
      </c>
      <c r="Y1472" s="38">
        <v>1</v>
      </c>
      <c r="Z1472" s="38" t="s">
        <v>9</v>
      </c>
      <c r="AA1472" s="18">
        <f>(VLOOKUP(X1472,'[1]Simulation pricing per sub assy'!$D:$E,2,0))*Y1472</f>
        <v>1.5769808000000001</v>
      </c>
    </row>
    <row r="1473" spans="1:27" x14ac:dyDescent="0.35">
      <c r="A1473" s="27" t="s">
        <v>2506</v>
      </c>
      <c r="B1473" s="27" t="s">
        <v>2507</v>
      </c>
      <c r="C1473" s="42">
        <f t="shared" si="22"/>
        <v>112.19578079999999</v>
      </c>
      <c r="D1473" s="33" t="s">
        <v>2058</v>
      </c>
      <c r="E1473" s="33">
        <v>1</v>
      </c>
      <c r="F1473" s="33" t="s">
        <v>2059</v>
      </c>
      <c r="G1473" s="14">
        <f>(VLOOKUP(D1473,'[1]BOM Info General'!$A:$L,12,0))*E1473</f>
        <v>35.56</v>
      </c>
      <c r="H1473" s="34" t="s">
        <v>39</v>
      </c>
      <c r="I1473" s="34">
        <v>1</v>
      </c>
      <c r="J1473" s="34" t="s">
        <v>46</v>
      </c>
      <c r="K1473" s="15">
        <f>(VLOOKUP(H1473,'[1]BOM Info General'!$A:$L,12,0))*I1473</f>
        <v>24.42</v>
      </c>
      <c r="L1473" s="35" t="s">
        <v>58</v>
      </c>
      <c r="M1473" s="35">
        <v>1</v>
      </c>
      <c r="N1473" s="35" t="s">
        <v>55</v>
      </c>
      <c r="O1473" s="9">
        <f>(VLOOKUP(L1473,'[1]Simulation pricing per sub assy'!$D:$E,2,0))*M1473</f>
        <v>43.288799999999988</v>
      </c>
      <c r="P1473" s="36" t="s">
        <v>50</v>
      </c>
      <c r="Q1473" s="36">
        <v>2</v>
      </c>
      <c r="R1473" s="36" t="s">
        <v>16</v>
      </c>
      <c r="S1473" s="40">
        <f>(VLOOKUP(P1473,'[1]BOM Info General'!$A:$L,12,0))*Q1473</f>
        <v>5.3</v>
      </c>
      <c r="T1473" s="37" t="s">
        <v>10</v>
      </c>
      <c r="U1473" s="37">
        <v>1</v>
      </c>
      <c r="V1473" s="37" t="s">
        <v>11</v>
      </c>
      <c r="W1473" s="17">
        <f>(VLOOKUP(T1473,'[1]Simulation pricing per sub assy'!$D:$E,2,0))*U1473</f>
        <v>2.0499999999999998</v>
      </c>
      <c r="X1473" s="32" t="s">
        <v>615</v>
      </c>
      <c r="Y1473" s="38">
        <v>1</v>
      </c>
      <c r="Z1473" s="38" t="s">
        <v>9</v>
      </c>
      <c r="AA1473" s="18">
        <f>(VLOOKUP(X1473,'[1]Simulation pricing per sub assy'!$D:$E,2,0))*Y1473</f>
        <v>1.5769808000000001</v>
      </c>
    </row>
    <row r="1474" spans="1:27" x14ac:dyDescent="0.35">
      <c r="A1474" s="27" t="s">
        <v>2508</v>
      </c>
      <c r="B1474" s="27" t="s">
        <v>2509</v>
      </c>
      <c r="C1474" s="42">
        <f t="shared" si="22"/>
        <v>112.77578079999999</v>
      </c>
      <c r="D1474" s="33" t="s">
        <v>2058</v>
      </c>
      <c r="E1474" s="33">
        <v>1</v>
      </c>
      <c r="F1474" s="33" t="s">
        <v>2059</v>
      </c>
      <c r="G1474" s="14">
        <f>(VLOOKUP(D1474,'[1]BOM Info General'!$A:$L,12,0))*E1474</f>
        <v>35.56</v>
      </c>
      <c r="H1474" s="34" t="s">
        <v>39</v>
      </c>
      <c r="I1474" s="34">
        <v>1</v>
      </c>
      <c r="J1474" s="34" t="s">
        <v>46</v>
      </c>
      <c r="K1474" s="15">
        <f>(VLOOKUP(H1474,'[1]BOM Info General'!$A:$L,12,0))*I1474</f>
        <v>24.42</v>
      </c>
      <c r="L1474" s="35" t="s">
        <v>54</v>
      </c>
      <c r="M1474" s="35">
        <v>1</v>
      </c>
      <c r="N1474" s="35" t="s">
        <v>53</v>
      </c>
      <c r="O1474" s="9">
        <f>(VLOOKUP(L1474,'[1]Simulation pricing per sub assy'!$D:$E,2,0))*M1474</f>
        <v>43.868799999999993</v>
      </c>
      <c r="P1474" s="36" t="s">
        <v>50</v>
      </c>
      <c r="Q1474" s="36">
        <v>2</v>
      </c>
      <c r="R1474" s="36" t="s">
        <v>16</v>
      </c>
      <c r="S1474" s="40">
        <f>(VLOOKUP(P1474,'[1]BOM Info General'!$A:$L,12,0))*Q1474</f>
        <v>5.3</v>
      </c>
      <c r="T1474" s="37" t="s">
        <v>10</v>
      </c>
      <c r="U1474" s="37">
        <v>1</v>
      </c>
      <c r="V1474" s="37" t="s">
        <v>11</v>
      </c>
      <c r="W1474" s="17">
        <f>(VLOOKUP(T1474,'[1]Simulation pricing per sub assy'!$D:$E,2,0))*U1474</f>
        <v>2.0499999999999998</v>
      </c>
      <c r="X1474" s="32" t="s">
        <v>615</v>
      </c>
      <c r="Y1474" s="38">
        <v>1</v>
      </c>
      <c r="Z1474" s="38" t="s">
        <v>9</v>
      </c>
      <c r="AA1474" s="18">
        <f>(VLOOKUP(X1474,'[1]Simulation pricing per sub assy'!$D:$E,2,0))*Y1474</f>
        <v>1.5769808000000001</v>
      </c>
    </row>
    <row r="1475" spans="1:27" x14ac:dyDescent="0.35">
      <c r="A1475" s="27" t="s">
        <v>2510</v>
      </c>
      <c r="B1475" s="27" t="s">
        <v>2511</v>
      </c>
      <c r="C1475" s="42">
        <f t="shared" ref="C1475:C1538" si="23">SUM(G1475+K1475+O1475+S1475+W1475+AA1475)</f>
        <v>112.51578079999999</v>
      </c>
      <c r="D1475" s="33" t="s">
        <v>2058</v>
      </c>
      <c r="E1475" s="33">
        <v>1</v>
      </c>
      <c r="F1475" s="33" t="s">
        <v>2059</v>
      </c>
      <c r="G1475" s="14">
        <f>(VLOOKUP(D1475,'[1]BOM Info General'!$A:$L,12,0))*E1475</f>
        <v>35.56</v>
      </c>
      <c r="H1475" s="34" t="s">
        <v>39</v>
      </c>
      <c r="I1475" s="34">
        <v>1</v>
      </c>
      <c r="J1475" s="34" t="s">
        <v>46</v>
      </c>
      <c r="K1475" s="15">
        <f>(VLOOKUP(H1475,'[1]BOM Info General'!$A:$L,12,0))*I1475</f>
        <v>24.42</v>
      </c>
      <c r="L1475" s="35" t="s">
        <v>60</v>
      </c>
      <c r="M1475" s="35">
        <v>1</v>
      </c>
      <c r="N1475" s="35" t="s">
        <v>57</v>
      </c>
      <c r="O1475" s="9">
        <f>(VLOOKUP(L1475,'[1]Simulation pricing per sub assy'!$D:$E,2,0))*M1475</f>
        <v>43.608799999999988</v>
      </c>
      <c r="P1475" s="36" t="s">
        <v>50</v>
      </c>
      <c r="Q1475" s="36">
        <v>2</v>
      </c>
      <c r="R1475" s="36" t="s">
        <v>16</v>
      </c>
      <c r="S1475" s="40">
        <f>(VLOOKUP(P1475,'[1]BOM Info General'!$A:$L,12,0))*Q1475</f>
        <v>5.3</v>
      </c>
      <c r="T1475" s="37" t="s">
        <v>10</v>
      </c>
      <c r="U1475" s="37">
        <v>1</v>
      </c>
      <c r="V1475" s="37" t="s">
        <v>11</v>
      </c>
      <c r="W1475" s="17">
        <f>(VLOOKUP(T1475,'[1]Simulation pricing per sub assy'!$D:$E,2,0))*U1475</f>
        <v>2.0499999999999998</v>
      </c>
      <c r="X1475" s="32" t="s">
        <v>615</v>
      </c>
      <c r="Y1475" s="38">
        <v>1</v>
      </c>
      <c r="Z1475" s="38" t="s">
        <v>9</v>
      </c>
      <c r="AA1475" s="18">
        <f>(VLOOKUP(X1475,'[1]Simulation pricing per sub assy'!$D:$E,2,0))*Y1475</f>
        <v>1.5769808000000001</v>
      </c>
    </row>
    <row r="1476" spans="1:27" x14ac:dyDescent="0.35">
      <c r="A1476" s="27" t="s">
        <v>2512</v>
      </c>
      <c r="B1476" s="27" t="s">
        <v>2513</v>
      </c>
      <c r="C1476" s="42">
        <f t="shared" si="23"/>
        <v>120.18578079999999</v>
      </c>
      <c r="D1476" s="33" t="s">
        <v>2058</v>
      </c>
      <c r="E1476" s="33">
        <v>1</v>
      </c>
      <c r="F1476" s="33" t="s">
        <v>2059</v>
      </c>
      <c r="G1476" s="14">
        <f>(VLOOKUP(D1476,'[1]BOM Info General'!$A:$L,12,0))*E1476</f>
        <v>35.56</v>
      </c>
      <c r="H1476" s="34" t="s">
        <v>39</v>
      </c>
      <c r="I1476" s="34">
        <v>1</v>
      </c>
      <c r="J1476" s="34" t="s">
        <v>46</v>
      </c>
      <c r="K1476" s="15">
        <f>(VLOOKUP(H1476,'[1]BOM Info General'!$A:$L,12,0))*I1476</f>
        <v>24.42</v>
      </c>
      <c r="L1476" s="35" t="s">
        <v>56</v>
      </c>
      <c r="M1476" s="35">
        <v>1</v>
      </c>
      <c r="N1476" s="35" t="s">
        <v>59</v>
      </c>
      <c r="O1476" s="9">
        <f>(VLOOKUP(L1476,'[1]Simulation pricing per sub assy'!$D:$E,2,0))*M1476</f>
        <v>51.27879999999999</v>
      </c>
      <c r="P1476" s="36" t="s">
        <v>50</v>
      </c>
      <c r="Q1476" s="36">
        <v>2</v>
      </c>
      <c r="R1476" s="36" t="s">
        <v>16</v>
      </c>
      <c r="S1476" s="40">
        <f>(VLOOKUP(P1476,'[1]BOM Info General'!$A:$L,12,0))*Q1476</f>
        <v>5.3</v>
      </c>
      <c r="T1476" s="37" t="s">
        <v>10</v>
      </c>
      <c r="U1476" s="37">
        <v>1</v>
      </c>
      <c r="V1476" s="37" t="s">
        <v>11</v>
      </c>
      <c r="W1476" s="17">
        <f>(VLOOKUP(T1476,'[1]Simulation pricing per sub assy'!$D:$E,2,0))*U1476</f>
        <v>2.0499999999999998</v>
      </c>
      <c r="X1476" s="32" t="s">
        <v>615</v>
      </c>
      <c r="Y1476" s="38">
        <v>1</v>
      </c>
      <c r="Z1476" s="38" t="s">
        <v>9</v>
      </c>
      <c r="AA1476" s="18">
        <f>(VLOOKUP(X1476,'[1]Simulation pricing per sub assy'!$D:$E,2,0))*Y1476</f>
        <v>1.5769808000000001</v>
      </c>
    </row>
    <row r="1477" spans="1:27" x14ac:dyDescent="0.35">
      <c r="A1477" s="27" t="s">
        <v>2514</v>
      </c>
      <c r="B1477" s="27" t="s">
        <v>2515</v>
      </c>
      <c r="C1477" s="42">
        <f t="shared" si="23"/>
        <v>111.0657808</v>
      </c>
      <c r="D1477" s="33" t="s">
        <v>2058</v>
      </c>
      <c r="E1477" s="33">
        <v>1</v>
      </c>
      <c r="F1477" s="33" t="s">
        <v>2059</v>
      </c>
      <c r="G1477" s="14">
        <f>(VLOOKUP(D1477,'[1]BOM Info General'!$A:$L,12,0))*E1477</f>
        <v>35.56</v>
      </c>
      <c r="H1477" s="34" t="s">
        <v>39</v>
      </c>
      <c r="I1477" s="34">
        <v>1</v>
      </c>
      <c r="J1477" s="34" t="s">
        <v>46</v>
      </c>
      <c r="K1477" s="15">
        <f>(VLOOKUP(H1477,'[1]BOM Info General'!$A:$L,12,0))*I1477</f>
        <v>24.42</v>
      </c>
      <c r="L1477" s="35" t="s">
        <v>523</v>
      </c>
      <c r="M1477" s="35">
        <v>1</v>
      </c>
      <c r="N1477" s="35" t="s">
        <v>61</v>
      </c>
      <c r="O1477" s="9">
        <f>(VLOOKUP(L1477,'[1]Simulation pricing per sub assy'!$D:$E,2,0))*M1477</f>
        <v>42.308799999999991</v>
      </c>
      <c r="P1477" s="36" t="s">
        <v>50</v>
      </c>
      <c r="Q1477" s="36">
        <v>2</v>
      </c>
      <c r="R1477" s="36" t="s">
        <v>16</v>
      </c>
      <c r="S1477" s="40">
        <f>(VLOOKUP(P1477,'[1]BOM Info General'!$A:$L,12,0))*Q1477</f>
        <v>5.3</v>
      </c>
      <c r="T1477" s="37" t="s">
        <v>12</v>
      </c>
      <c r="U1477" s="37">
        <v>1</v>
      </c>
      <c r="V1477" s="37" t="s">
        <v>13</v>
      </c>
      <c r="W1477" s="17">
        <f>(VLOOKUP(T1477,'[1]Simulation pricing per sub assy'!$D:$E,2,0))*U1477</f>
        <v>1.9</v>
      </c>
      <c r="X1477" s="32" t="s">
        <v>615</v>
      </c>
      <c r="Y1477" s="38">
        <v>1</v>
      </c>
      <c r="Z1477" s="38" t="s">
        <v>9</v>
      </c>
      <c r="AA1477" s="18">
        <f>(VLOOKUP(X1477,'[1]Simulation pricing per sub assy'!$D:$E,2,0))*Y1477</f>
        <v>1.5769808000000001</v>
      </c>
    </row>
    <row r="1478" spans="1:27" x14ac:dyDescent="0.35">
      <c r="A1478" s="27" t="s">
        <v>2516</v>
      </c>
      <c r="B1478" s="27" t="s">
        <v>2517</v>
      </c>
      <c r="C1478" s="42">
        <f t="shared" si="23"/>
        <v>112.0457808</v>
      </c>
      <c r="D1478" s="33" t="s">
        <v>2058</v>
      </c>
      <c r="E1478" s="33">
        <v>1</v>
      </c>
      <c r="F1478" s="33" t="s">
        <v>2059</v>
      </c>
      <c r="G1478" s="14">
        <f>(VLOOKUP(D1478,'[1]BOM Info General'!$A:$L,12,0))*E1478</f>
        <v>35.56</v>
      </c>
      <c r="H1478" s="34" t="s">
        <v>39</v>
      </c>
      <c r="I1478" s="34">
        <v>1</v>
      </c>
      <c r="J1478" s="34" t="s">
        <v>46</v>
      </c>
      <c r="K1478" s="15">
        <f>(VLOOKUP(H1478,'[1]BOM Info General'!$A:$L,12,0))*I1478</f>
        <v>24.42</v>
      </c>
      <c r="L1478" s="35" t="s">
        <v>58</v>
      </c>
      <c r="M1478" s="35">
        <v>1</v>
      </c>
      <c r="N1478" s="35" t="s">
        <v>55</v>
      </c>
      <c r="O1478" s="9">
        <f>(VLOOKUP(L1478,'[1]Simulation pricing per sub assy'!$D:$E,2,0))*M1478</f>
        <v>43.288799999999988</v>
      </c>
      <c r="P1478" s="36" t="s">
        <v>50</v>
      </c>
      <c r="Q1478" s="36">
        <v>2</v>
      </c>
      <c r="R1478" s="36" t="s">
        <v>16</v>
      </c>
      <c r="S1478" s="40">
        <f>(VLOOKUP(P1478,'[1]BOM Info General'!$A:$L,12,0))*Q1478</f>
        <v>5.3</v>
      </c>
      <c r="T1478" s="37" t="s">
        <v>12</v>
      </c>
      <c r="U1478" s="37">
        <v>1</v>
      </c>
      <c r="V1478" s="37" t="s">
        <v>13</v>
      </c>
      <c r="W1478" s="17">
        <f>(VLOOKUP(T1478,'[1]Simulation pricing per sub assy'!$D:$E,2,0))*U1478</f>
        <v>1.9</v>
      </c>
      <c r="X1478" s="32" t="s">
        <v>615</v>
      </c>
      <c r="Y1478" s="38">
        <v>1</v>
      </c>
      <c r="Z1478" s="38" t="s">
        <v>9</v>
      </c>
      <c r="AA1478" s="18">
        <f>(VLOOKUP(X1478,'[1]Simulation pricing per sub assy'!$D:$E,2,0))*Y1478</f>
        <v>1.5769808000000001</v>
      </c>
    </row>
    <row r="1479" spans="1:27" x14ac:dyDescent="0.35">
      <c r="A1479" s="27" t="s">
        <v>2518</v>
      </c>
      <c r="B1479" s="27" t="s">
        <v>2519</v>
      </c>
      <c r="C1479" s="42">
        <f t="shared" si="23"/>
        <v>112.6257808</v>
      </c>
      <c r="D1479" s="33" t="s">
        <v>2058</v>
      </c>
      <c r="E1479" s="33">
        <v>1</v>
      </c>
      <c r="F1479" s="33" t="s">
        <v>2059</v>
      </c>
      <c r="G1479" s="14">
        <f>(VLOOKUP(D1479,'[1]BOM Info General'!$A:$L,12,0))*E1479</f>
        <v>35.56</v>
      </c>
      <c r="H1479" s="34" t="s">
        <v>39</v>
      </c>
      <c r="I1479" s="34">
        <v>1</v>
      </c>
      <c r="J1479" s="34" t="s">
        <v>46</v>
      </c>
      <c r="K1479" s="15">
        <f>(VLOOKUP(H1479,'[1]BOM Info General'!$A:$L,12,0))*I1479</f>
        <v>24.42</v>
      </c>
      <c r="L1479" s="35" t="s">
        <v>54</v>
      </c>
      <c r="M1479" s="35">
        <v>1</v>
      </c>
      <c r="N1479" s="35" t="s">
        <v>53</v>
      </c>
      <c r="O1479" s="9">
        <f>(VLOOKUP(L1479,'[1]Simulation pricing per sub assy'!$D:$E,2,0))*M1479</f>
        <v>43.868799999999993</v>
      </c>
      <c r="P1479" s="36" t="s">
        <v>50</v>
      </c>
      <c r="Q1479" s="36">
        <v>2</v>
      </c>
      <c r="R1479" s="36" t="s">
        <v>16</v>
      </c>
      <c r="S1479" s="40">
        <f>(VLOOKUP(P1479,'[1]BOM Info General'!$A:$L,12,0))*Q1479</f>
        <v>5.3</v>
      </c>
      <c r="T1479" s="37" t="s">
        <v>12</v>
      </c>
      <c r="U1479" s="37">
        <v>1</v>
      </c>
      <c r="V1479" s="37" t="s">
        <v>13</v>
      </c>
      <c r="W1479" s="17">
        <f>(VLOOKUP(T1479,'[1]Simulation pricing per sub assy'!$D:$E,2,0))*U1479</f>
        <v>1.9</v>
      </c>
      <c r="X1479" s="32" t="s">
        <v>615</v>
      </c>
      <c r="Y1479" s="38">
        <v>1</v>
      </c>
      <c r="Z1479" s="38" t="s">
        <v>9</v>
      </c>
      <c r="AA1479" s="18">
        <f>(VLOOKUP(X1479,'[1]Simulation pricing per sub assy'!$D:$E,2,0))*Y1479</f>
        <v>1.5769808000000001</v>
      </c>
    </row>
    <row r="1480" spans="1:27" x14ac:dyDescent="0.35">
      <c r="A1480" s="27" t="s">
        <v>2520</v>
      </c>
      <c r="B1480" s="27" t="s">
        <v>2521</v>
      </c>
      <c r="C1480" s="42">
        <f t="shared" si="23"/>
        <v>112.3657808</v>
      </c>
      <c r="D1480" s="33" t="s">
        <v>2058</v>
      </c>
      <c r="E1480" s="33">
        <v>1</v>
      </c>
      <c r="F1480" s="33" t="s">
        <v>2059</v>
      </c>
      <c r="G1480" s="14">
        <f>(VLOOKUP(D1480,'[1]BOM Info General'!$A:$L,12,0))*E1480</f>
        <v>35.56</v>
      </c>
      <c r="H1480" s="34" t="s">
        <v>39</v>
      </c>
      <c r="I1480" s="34">
        <v>1</v>
      </c>
      <c r="J1480" s="34" t="s">
        <v>46</v>
      </c>
      <c r="K1480" s="15">
        <f>(VLOOKUP(H1480,'[1]BOM Info General'!$A:$L,12,0))*I1480</f>
        <v>24.42</v>
      </c>
      <c r="L1480" s="35" t="s">
        <v>60</v>
      </c>
      <c r="M1480" s="35">
        <v>1</v>
      </c>
      <c r="N1480" s="35" t="s">
        <v>57</v>
      </c>
      <c r="O1480" s="9">
        <f>(VLOOKUP(L1480,'[1]Simulation pricing per sub assy'!$D:$E,2,0))*M1480</f>
        <v>43.608799999999988</v>
      </c>
      <c r="P1480" s="36" t="s">
        <v>50</v>
      </c>
      <c r="Q1480" s="36">
        <v>2</v>
      </c>
      <c r="R1480" s="36" t="s">
        <v>16</v>
      </c>
      <c r="S1480" s="40">
        <f>(VLOOKUP(P1480,'[1]BOM Info General'!$A:$L,12,0))*Q1480</f>
        <v>5.3</v>
      </c>
      <c r="T1480" s="37" t="s">
        <v>12</v>
      </c>
      <c r="U1480" s="37">
        <v>1</v>
      </c>
      <c r="V1480" s="37" t="s">
        <v>13</v>
      </c>
      <c r="W1480" s="17">
        <f>(VLOOKUP(T1480,'[1]Simulation pricing per sub assy'!$D:$E,2,0))*U1480</f>
        <v>1.9</v>
      </c>
      <c r="X1480" s="32" t="s">
        <v>615</v>
      </c>
      <c r="Y1480" s="38">
        <v>1</v>
      </c>
      <c r="Z1480" s="38" t="s">
        <v>9</v>
      </c>
      <c r="AA1480" s="18">
        <f>(VLOOKUP(X1480,'[1]Simulation pricing per sub assy'!$D:$E,2,0))*Y1480</f>
        <v>1.5769808000000001</v>
      </c>
    </row>
    <row r="1481" spans="1:27" x14ac:dyDescent="0.35">
      <c r="A1481" s="27" t="s">
        <v>2522</v>
      </c>
      <c r="B1481" s="27" t="s">
        <v>2523</v>
      </c>
      <c r="C1481" s="42">
        <f t="shared" si="23"/>
        <v>120.0357808</v>
      </c>
      <c r="D1481" s="33" t="s">
        <v>2058</v>
      </c>
      <c r="E1481" s="33">
        <v>1</v>
      </c>
      <c r="F1481" s="33" t="s">
        <v>2059</v>
      </c>
      <c r="G1481" s="14">
        <f>(VLOOKUP(D1481,'[1]BOM Info General'!$A:$L,12,0))*E1481</f>
        <v>35.56</v>
      </c>
      <c r="H1481" s="34" t="s">
        <v>39</v>
      </c>
      <c r="I1481" s="34">
        <v>1</v>
      </c>
      <c r="J1481" s="34" t="s">
        <v>46</v>
      </c>
      <c r="K1481" s="15">
        <f>(VLOOKUP(H1481,'[1]BOM Info General'!$A:$L,12,0))*I1481</f>
        <v>24.42</v>
      </c>
      <c r="L1481" s="35" t="s">
        <v>56</v>
      </c>
      <c r="M1481" s="35">
        <v>1</v>
      </c>
      <c r="N1481" s="35" t="s">
        <v>59</v>
      </c>
      <c r="O1481" s="9">
        <f>(VLOOKUP(L1481,'[1]Simulation pricing per sub assy'!$D:$E,2,0))*M1481</f>
        <v>51.27879999999999</v>
      </c>
      <c r="P1481" s="36" t="s">
        <v>50</v>
      </c>
      <c r="Q1481" s="36">
        <v>2</v>
      </c>
      <c r="R1481" s="36" t="s">
        <v>16</v>
      </c>
      <c r="S1481" s="40">
        <f>(VLOOKUP(P1481,'[1]BOM Info General'!$A:$L,12,0))*Q1481</f>
        <v>5.3</v>
      </c>
      <c r="T1481" s="37" t="s">
        <v>12</v>
      </c>
      <c r="U1481" s="37">
        <v>1</v>
      </c>
      <c r="V1481" s="37" t="s">
        <v>13</v>
      </c>
      <c r="W1481" s="17">
        <f>(VLOOKUP(T1481,'[1]Simulation pricing per sub assy'!$D:$E,2,0))*U1481</f>
        <v>1.9</v>
      </c>
      <c r="X1481" s="32" t="s">
        <v>615</v>
      </c>
      <c r="Y1481" s="38">
        <v>1</v>
      </c>
      <c r="Z1481" s="38" t="s">
        <v>9</v>
      </c>
      <c r="AA1481" s="18">
        <f>(VLOOKUP(X1481,'[1]Simulation pricing per sub assy'!$D:$E,2,0))*Y1481</f>
        <v>1.5769808000000001</v>
      </c>
    </row>
    <row r="1482" spans="1:27" x14ac:dyDescent="0.35">
      <c r="A1482" s="27" t="s">
        <v>2524</v>
      </c>
      <c r="B1482" s="27" t="s">
        <v>2525</v>
      </c>
      <c r="C1482" s="42">
        <f t="shared" si="23"/>
        <v>111.0657808</v>
      </c>
      <c r="D1482" s="33" t="s">
        <v>2058</v>
      </c>
      <c r="E1482" s="33">
        <v>1</v>
      </c>
      <c r="F1482" s="33" t="s">
        <v>2059</v>
      </c>
      <c r="G1482" s="14">
        <f>(VLOOKUP(D1482,'[1]BOM Info General'!$A:$L,12,0))*E1482</f>
        <v>35.56</v>
      </c>
      <c r="H1482" s="34" t="s">
        <v>39</v>
      </c>
      <c r="I1482" s="34">
        <v>1</v>
      </c>
      <c r="J1482" s="34" t="s">
        <v>46</v>
      </c>
      <c r="K1482" s="15">
        <f>(VLOOKUP(H1482,'[1]BOM Info General'!$A:$L,12,0))*I1482</f>
        <v>24.42</v>
      </c>
      <c r="L1482" s="35" t="s">
        <v>523</v>
      </c>
      <c r="M1482" s="35">
        <v>1</v>
      </c>
      <c r="N1482" s="35" t="s">
        <v>61</v>
      </c>
      <c r="O1482" s="9">
        <f>(VLOOKUP(L1482,'[1]Simulation pricing per sub assy'!$D:$E,2,0))*M1482</f>
        <v>42.308799999999991</v>
      </c>
      <c r="P1482" s="36" t="s">
        <v>50</v>
      </c>
      <c r="Q1482" s="36">
        <v>2</v>
      </c>
      <c r="R1482" s="36" t="s">
        <v>16</v>
      </c>
      <c r="S1482" s="40">
        <f>(VLOOKUP(P1482,'[1]BOM Info General'!$A:$L,12,0))*Q1482</f>
        <v>5.3</v>
      </c>
      <c r="T1482" s="37" t="s">
        <v>14</v>
      </c>
      <c r="U1482" s="37">
        <v>1</v>
      </c>
      <c r="V1482" s="37" t="s">
        <v>15</v>
      </c>
      <c r="W1482" s="17">
        <f>(VLOOKUP(T1482,'[1]Simulation pricing per sub assy'!$D:$E,2,0))*U1482</f>
        <v>1.9</v>
      </c>
      <c r="X1482" s="32" t="s">
        <v>615</v>
      </c>
      <c r="Y1482" s="38">
        <v>1</v>
      </c>
      <c r="Z1482" s="38" t="s">
        <v>9</v>
      </c>
      <c r="AA1482" s="18">
        <f>(VLOOKUP(X1482,'[1]Simulation pricing per sub assy'!$D:$E,2,0))*Y1482</f>
        <v>1.5769808000000001</v>
      </c>
    </row>
    <row r="1483" spans="1:27" x14ac:dyDescent="0.35">
      <c r="A1483" s="27" t="s">
        <v>2526</v>
      </c>
      <c r="B1483" s="27" t="s">
        <v>2527</v>
      </c>
      <c r="C1483" s="42">
        <f t="shared" si="23"/>
        <v>112.0457808</v>
      </c>
      <c r="D1483" s="33" t="s">
        <v>2058</v>
      </c>
      <c r="E1483" s="33">
        <v>1</v>
      </c>
      <c r="F1483" s="33" t="s">
        <v>2059</v>
      </c>
      <c r="G1483" s="14">
        <f>(VLOOKUP(D1483,'[1]BOM Info General'!$A:$L,12,0))*E1483</f>
        <v>35.56</v>
      </c>
      <c r="H1483" s="34" t="s">
        <v>39</v>
      </c>
      <c r="I1483" s="34">
        <v>1</v>
      </c>
      <c r="J1483" s="34" t="s">
        <v>46</v>
      </c>
      <c r="K1483" s="15">
        <f>(VLOOKUP(H1483,'[1]BOM Info General'!$A:$L,12,0))*I1483</f>
        <v>24.42</v>
      </c>
      <c r="L1483" s="35" t="s">
        <v>58</v>
      </c>
      <c r="M1483" s="35">
        <v>1</v>
      </c>
      <c r="N1483" s="35" t="s">
        <v>55</v>
      </c>
      <c r="O1483" s="9">
        <f>(VLOOKUP(L1483,'[1]Simulation pricing per sub assy'!$D:$E,2,0))*M1483</f>
        <v>43.288799999999988</v>
      </c>
      <c r="P1483" s="36" t="s">
        <v>50</v>
      </c>
      <c r="Q1483" s="36">
        <v>2</v>
      </c>
      <c r="R1483" s="36" t="s">
        <v>16</v>
      </c>
      <c r="S1483" s="40">
        <f>(VLOOKUP(P1483,'[1]BOM Info General'!$A:$L,12,0))*Q1483</f>
        <v>5.3</v>
      </c>
      <c r="T1483" s="37" t="s">
        <v>14</v>
      </c>
      <c r="U1483" s="37">
        <v>1</v>
      </c>
      <c r="V1483" s="37" t="s">
        <v>15</v>
      </c>
      <c r="W1483" s="17">
        <f>(VLOOKUP(T1483,'[1]Simulation pricing per sub assy'!$D:$E,2,0))*U1483</f>
        <v>1.9</v>
      </c>
      <c r="X1483" s="32" t="s">
        <v>615</v>
      </c>
      <c r="Y1483" s="38">
        <v>1</v>
      </c>
      <c r="Z1483" s="38" t="s">
        <v>9</v>
      </c>
      <c r="AA1483" s="18">
        <f>(VLOOKUP(X1483,'[1]Simulation pricing per sub assy'!$D:$E,2,0))*Y1483</f>
        <v>1.5769808000000001</v>
      </c>
    </row>
    <row r="1484" spans="1:27" x14ac:dyDescent="0.35">
      <c r="A1484" s="27" t="s">
        <v>2528</v>
      </c>
      <c r="B1484" s="27" t="s">
        <v>2529</v>
      </c>
      <c r="C1484" s="42">
        <f t="shared" si="23"/>
        <v>112.6257808</v>
      </c>
      <c r="D1484" s="33" t="s">
        <v>2058</v>
      </c>
      <c r="E1484" s="33">
        <v>1</v>
      </c>
      <c r="F1484" s="33" t="s">
        <v>2059</v>
      </c>
      <c r="G1484" s="14">
        <f>(VLOOKUP(D1484,'[1]BOM Info General'!$A:$L,12,0))*E1484</f>
        <v>35.56</v>
      </c>
      <c r="H1484" s="34" t="s">
        <v>39</v>
      </c>
      <c r="I1484" s="34">
        <v>1</v>
      </c>
      <c r="J1484" s="34" t="s">
        <v>46</v>
      </c>
      <c r="K1484" s="15">
        <f>(VLOOKUP(H1484,'[1]BOM Info General'!$A:$L,12,0))*I1484</f>
        <v>24.42</v>
      </c>
      <c r="L1484" s="35" t="s">
        <v>54</v>
      </c>
      <c r="M1484" s="35">
        <v>1</v>
      </c>
      <c r="N1484" s="35" t="s">
        <v>53</v>
      </c>
      <c r="O1484" s="9">
        <f>(VLOOKUP(L1484,'[1]Simulation pricing per sub assy'!$D:$E,2,0))*M1484</f>
        <v>43.868799999999993</v>
      </c>
      <c r="P1484" s="36" t="s">
        <v>50</v>
      </c>
      <c r="Q1484" s="36">
        <v>2</v>
      </c>
      <c r="R1484" s="36" t="s">
        <v>16</v>
      </c>
      <c r="S1484" s="40">
        <f>(VLOOKUP(P1484,'[1]BOM Info General'!$A:$L,12,0))*Q1484</f>
        <v>5.3</v>
      </c>
      <c r="T1484" s="37" t="s">
        <v>14</v>
      </c>
      <c r="U1484" s="37">
        <v>1</v>
      </c>
      <c r="V1484" s="37" t="s">
        <v>15</v>
      </c>
      <c r="W1484" s="17">
        <f>(VLOOKUP(T1484,'[1]Simulation pricing per sub assy'!$D:$E,2,0))*U1484</f>
        <v>1.9</v>
      </c>
      <c r="X1484" s="32" t="s">
        <v>615</v>
      </c>
      <c r="Y1484" s="38">
        <v>1</v>
      </c>
      <c r="Z1484" s="38" t="s">
        <v>9</v>
      </c>
      <c r="AA1484" s="18">
        <f>(VLOOKUP(X1484,'[1]Simulation pricing per sub assy'!$D:$E,2,0))*Y1484</f>
        <v>1.5769808000000001</v>
      </c>
    </row>
    <row r="1485" spans="1:27" x14ac:dyDescent="0.35">
      <c r="A1485" s="27" t="s">
        <v>2530</v>
      </c>
      <c r="B1485" s="27" t="s">
        <v>2531</v>
      </c>
      <c r="C1485" s="42">
        <f t="shared" si="23"/>
        <v>112.3657808</v>
      </c>
      <c r="D1485" s="33" t="s">
        <v>2058</v>
      </c>
      <c r="E1485" s="33">
        <v>1</v>
      </c>
      <c r="F1485" s="33" t="s">
        <v>2059</v>
      </c>
      <c r="G1485" s="14">
        <f>(VLOOKUP(D1485,'[1]BOM Info General'!$A:$L,12,0))*E1485</f>
        <v>35.56</v>
      </c>
      <c r="H1485" s="34" t="s">
        <v>39</v>
      </c>
      <c r="I1485" s="34">
        <v>1</v>
      </c>
      <c r="J1485" s="34" t="s">
        <v>46</v>
      </c>
      <c r="K1485" s="15">
        <f>(VLOOKUP(H1485,'[1]BOM Info General'!$A:$L,12,0))*I1485</f>
        <v>24.42</v>
      </c>
      <c r="L1485" s="35" t="s">
        <v>60</v>
      </c>
      <c r="M1485" s="35">
        <v>1</v>
      </c>
      <c r="N1485" s="35" t="s">
        <v>57</v>
      </c>
      <c r="O1485" s="9">
        <f>(VLOOKUP(L1485,'[1]Simulation pricing per sub assy'!$D:$E,2,0))*M1485</f>
        <v>43.608799999999988</v>
      </c>
      <c r="P1485" s="36" t="s">
        <v>50</v>
      </c>
      <c r="Q1485" s="36">
        <v>2</v>
      </c>
      <c r="R1485" s="36" t="s">
        <v>16</v>
      </c>
      <c r="S1485" s="40">
        <f>(VLOOKUP(P1485,'[1]BOM Info General'!$A:$L,12,0))*Q1485</f>
        <v>5.3</v>
      </c>
      <c r="T1485" s="37" t="s">
        <v>14</v>
      </c>
      <c r="U1485" s="37">
        <v>1</v>
      </c>
      <c r="V1485" s="37" t="s">
        <v>15</v>
      </c>
      <c r="W1485" s="17">
        <f>(VLOOKUP(T1485,'[1]Simulation pricing per sub assy'!$D:$E,2,0))*U1485</f>
        <v>1.9</v>
      </c>
      <c r="X1485" s="32" t="s">
        <v>615</v>
      </c>
      <c r="Y1485" s="38">
        <v>1</v>
      </c>
      <c r="Z1485" s="38" t="s">
        <v>9</v>
      </c>
      <c r="AA1485" s="18">
        <f>(VLOOKUP(X1485,'[1]Simulation pricing per sub assy'!$D:$E,2,0))*Y1485</f>
        <v>1.5769808000000001</v>
      </c>
    </row>
    <row r="1486" spans="1:27" x14ac:dyDescent="0.35">
      <c r="A1486" s="27" t="s">
        <v>2532</v>
      </c>
      <c r="B1486" s="27" t="s">
        <v>2533</v>
      </c>
      <c r="C1486" s="42">
        <f t="shared" si="23"/>
        <v>120.0357808</v>
      </c>
      <c r="D1486" s="33" t="s">
        <v>2058</v>
      </c>
      <c r="E1486" s="33">
        <v>1</v>
      </c>
      <c r="F1486" s="33" t="s">
        <v>2059</v>
      </c>
      <c r="G1486" s="14">
        <f>(VLOOKUP(D1486,'[1]BOM Info General'!$A:$L,12,0))*E1486</f>
        <v>35.56</v>
      </c>
      <c r="H1486" s="34" t="s">
        <v>39</v>
      </c>
      <c r="I1486" s="34">
        <v>1</v>
      </c>
      <c r="J1486" s="34" t="s">
        <v>46</v>
      </c>
      <c r="K1486" s="15">
        <f>(VLOOKUP(H1486,'[1]BOM Info General'!$A:$L,12,0))*I1486</f>
        <v>24.42</v>
      </c>
      <c r="L1486" s="35" t="s">
        <v>56</v>
      </c>
      <c r="M1486" s="35">
        <v>1</v>
      </c>
      <c r="N1486" s="35" t="s">
        <v>59</v>
      </c>
      <c r="O1486" s="9">
        <f>(VLOOKUP(L1486,'[1]Simulation pricing per sub assy'!$D:$E,2,0))*M1486</f>
        <v>51.27879999999999</v>
      </c>
      <c r="P1486" s="36" t="s">
        <v>50</v>
      </c>
      <c r="Q1486" s="36">
        <v>2</v>
      </c>
      <c r="R1486" s="36" t="s">
        <v>16</v>
      </c>
      <c r="S1486" s="40">
        <f>(VLOOKUP(P1486,'[1]BOM Info General'!$A:$L,12,0))*Q1486</f>
        <v>5.3</v>
      </c>
      <c r="T1486" s="37" t="s">
        <v>14</v>
      </c>
      <c r="U1486" s="37">
        <v>1</v>
      </c>
      <c r="V1486" s="37" t="s">
        <v>15</v>
      </c>
      <c r="W1486" s="17">
        <f>(VLOOKUP(T1486,'[1]Simulation pricing per sub assy'!$D:$E,2,0))*U1486</f>
        <v>1.9</v>
      </c>
      <c r="X1486" s="32" t="s">
        <v>615</v>
      </c>
      <c r="Y1486" s="38">
        <v>1</v>
      </c>
      <c r="Z1486" s="38" t="s">
        <v>9</v>
      </c>
      <c r="AA1486" s="18">
        <f>(VLOOKUP(X1486,'[1]Simulation pricing per sub assy'!$D:$E,2,0))*Y1486</f>
        <v>1.5769808000000001</v>
      </c>
    </row>
    <row r="1487" spans="1:27" x14ac:dyDescent="0.35">
      <c r="A1487" s="27" t="s">
        <v>2534</v>
      </c>
      <c r="B1487" s="27" t="s">
        <v>2535</v>
      </c>
      <c r="C1487" s="42">
        <f t="shared" si="23"/>
        <v>111.21578079999999</v>
      </c>
      <c r="D1487" s="33" t="s">
        <v>2058</v>
      </c>
      <c r="E1487" s="33">
        <v>1</v>
      </c>
      <c r="F1487" s="33" t="s">
        <v>2059</v>
      </c>
      <c r="G1487" s="14">
        <f>(VLOOKUP(D1487,'[1]BOM Info General'!$A:$L,12,0))*E1487</f>
        <v>35.56</v>
      </c>
      <c r="H1487" s="34" t="s">
        <v>39</v>
      </c>
      <c r="I1487" s="34">
        <v>1</v>
      </c>
      <c r="J1487" s="34" t="s">
        <v>46</v>
      </c>
      <c r="K1487" s="15">
        <f>(VLOOKUP(H1487,'[1]BOM Info General'!$A:$L,12,0))*I1487</f>
        <v>24.42</v>
      </c>
      <c r="L1487" s="35" t="s">
        <v>523</v>
      </c>
      <c r="M1487" s="35">
        <v>1</v>
      </c>
      <c r="N1487" s="35" t="s">
        <v>61</v>
      </c>
      <c r="O1487" s="9">
        <f>(VLOOKUP(L1487,'[1]Simulation pricing per sub assy'!$D:$E,2,0))*M1487</f>
        <v>42.308799999999991</v>
      </c>
      <c r="P1487" s="36" t="s">
        <v>51</v>
      </c>
      <c r="Q1487" s="36">
        <v>2</v>
      </c>
      <c r="R1487" s="36" t="s">
        <v>17</v>
      </c>
      <c r="S1487" s="40">
        <f>(VLOOKUP(P1487,'[1]BOM Info General'!$A:$L,12,0))*Q1487</f>
        <v>5.3</v>
      </c>
      <c r="T1487" s="37" t="s">
        <v>10</v>
      </c>
      <c r="U1487" s="37">
        <v>1</v>
      </c>
      <c r="V1487" s="37" t="s">
        <v>11</v>
      </c>
      <c r="W1487" s="17">
        <f>(VLOOKUP(T1487,'[1]Simulation pricing per sub assy'!$D:$E,2,0))*U1487</f>
        <v>2.0499999999999998</v>
      </c>
      <c r="X1487" s="32" t="s">
        <v>615</v>
      </c>
      <c r="Y1487" s="38">
        <v>1</v>
      </c>
      <c r="Z1487" s="38" t="s">
        <v>9</v>
      </c>
      <c r="AA1487" s="18">
        <f>(VLOOKUP(X1487,'[1]Simulation pricing per sub assy'!$D:$E,2,0))*Y1487</f>
        <v>1.5769808000000001</v>
      </c>
    </row>
    <row r="1488" spans="1:27" x14ac:dyDescent="0.35">
      <c r="A1488" s="27" t="s">
        <v>2536</v>
      </c>
      <c r="B1488" s="27" t="s">
        <v>2537</v>
      </c>
      <c r="C1488" s="42">
        <f t="shared" si="23"/>
        <v>112.19578079999999</v>
      </c>
      <c r="D1488" s="33" t="s">
        <v>2058</v>
      </c>
      <c r="E1488" s="33">
        <v>1</v>
      </c>
      <c r="F1488" s="33" t="s">
        <v>2059</v>
      </c>
      <c r="G1488" s="14">
        <f>(VLOOKUP(D1488,'[1]BOM Info General'!$A:$L,12,0))*E1488</f>
        <v>35.56</v>
      </c>
      <c r="H1488" s="34" t="s">
        <v>39</v>
      </c>
      <c r="I1488" s="34">
        <v>1</v>
      </c>
      <c r="J1488" s="34" t="s">
        <v>46</v>
      </c>
      <c r="K1488" s="15">
        <f>(VLOOKUP(H1488,'[1]BOM Info General'!$A:$L,12,0))*I1488</f>
        <v>24.42</v>
      </c>
      <c r="L1488" s="35" t="s">
        <v>58</v>
      </c>
      <c r="M1488" s="35">
        <v>1</v>
      </c>
      <c r="N1488" s="35" t="s">
        <v>55</v>
      </c>
      <c r="O1488" s="9">
        <f>(VLOOKUP(L1488,'[1]Simulation pricing per sub assy'!$D:$E,2,0))*M1488</f>
        <v>43.288799999999988</v>
      </c>
      <c r="P1488" s="36" t="s">
        <v>51</v>
      </c>
      <c r="Q1488" s="36">
        <v>2</v>
      </c>
      <c r="R1488" s="36" t="s">
        <v>17</v>
      </c>
      <c r="S1488" s="40">
        <f>(VLOOKUP(P1488,'[1]BOM Info General'!$A:$L,12,0))*Q1488</f>
        <v>5.3</v>
      </c>
      <c r="T1488" s="37" t="s">
        <v>10</v>
      </c>
      <c r="U1488" s="37">
        <v>1</v>
      </c>
      <c r="V1488" s="37" t="s">
        <v>11</v>
      </c>
      <c r="W1488" s="17">
        <f>(VLOOKUP(T1488,'[1]Simulation pricing per sub assy'!$D:$E,2,0))*U1488</f>
        <v>2.0499999999999998</v>
      </c>
      <c r="X1488" s="32" t="s">
        <v>615</v>
      </c>
      <c r="Y1488" s="38">
        <v>1</v>
      </c>
      <c r="Z1488" s="38" t="s">
        <v>9</v>
      </c>
      <c r="AA1488" s="18">
        <f>(VLOOKUP(X1488,'[1]Simulation pricing per sub assy'!$D:$E,2,0))*Y1488</f>
        <v>1.5769808000000001</v>
      </c>
    </row>
    <row r="1489" spans="1:27" x14ac:dyDescent="0.35">
      <c r="A1489" s="27" t="s">
        <v>2538</v>
      </c>
      <c r="B1489" s="27" t="s">
        <v>2539</v>
      </c>
      <c r="C1489" s="42">
        <f t="shared" si="23"/>
        <v>112.77578079999999</v>
      </c>
      <c r="D1489" s="33" t="s">
        <v>2058</v>
      </c>
      <c r="E1489" s="33">
        <v>1</v>
      </c>
      <c r="F1489" s="33" t="s">
        <v>2059</v>
      </c>
      <c r="G1489" s="14">
        <f>(VLOOKUP(D1489,'[1]BOM Info General'!$A:$L,12,0))*E1489</f>
        <v>35.56</v>
      </c>
      <c r="H1489" s="34" t="s">
        <v>39</v>
      </c>
      <c r="I1489" s="34">
        <v>1</v>
      </c>
      <c r="J1489" s="34" t="s">
        <v>46</v>
      </c>
      <c r="K1489" s="15">
        <f>(VLOOKUP(H1489,'[1]BOM Info General'!$A:$L,12,0))*I1489</f>
        <v>24.42</v>
      </c>
      <c r="L1489" s="35" t="s">
        <v>54</v>
      </c>
      <c r="M1489" s="35">
        <v>1</v>
      </c>
      <c r="N1489" s="35" t="s">
        <v>53</v>
      </c>
      <c r="O1489" s="9">
        <f>(VLOOKUP(L1489,'[1]Simulation pricing per sub assy'!$D:$E,2,0))*M1489</f>
        <v>43.868799999999993</v>
      </c>
      <c r="P1489" s="36" t="s">
        <v>51</v>
      </c>
      <c r="Q1489" s="36">
        <v>2</v>
      </c>
      <c r="R1489" s="36" t="s">
        <v>17</v>
      </c>
      <c r="S1489" s="40">
        <f>(VLOOKUP(P1489,'[1]BOM Info General'!$A:$L,12,0))*Q1489</f>
        <v>5.3</v>
      </c>
      <c r="T1489" s="37" t="s">
        <v>10</v>
      </c>
      <c r="U1489" s="37">
        <v>1</v>
      </c>
      <c r="V1489" s="37" t="s">
        <v>11</v>
      </c>
      <c r="W1489" s="17">
        <f>(VLOOKUP(T1489,'[1]Simulation pricing per sub assy'!$D:$E,2,0))*U1489</f>
        <v>2.0499999999999998</v>
      </c>
      <c r="X1489" s="32" t="s">
        <v>615</v>
      </c>
      <c r="Y1489" s="38">
        <v>1</v>
      </c>
      <c r="Z1489" s="38" t="s">
        <v>9</v>
      </c>
      <c r="AA1489" s="18">
        <f>(VLOOKUP(X1489,'[1]Simulation pricing per sub assy'!$D:$E,2,0))*Y1489</f>
        <v>1.5769808000000001</v>
      </c>
    </row>
    <row r="1490" spans="1:27" x14ac:dyDescent="0.35">
      <c r="A1490" s="27" t="s">
        <v>2540</v>
      </c>
      <c r="B1490" s="27" t="s">
        <v>2541</v>
      </c>
      <c r="C1490" s="42">
        <f t="shared" si="23"/>
        <v>112.51578079999999</v>
      </c>
      <c r="D1490" s="33" t="s">
        <v>2058</v>
      </c>
      <c r="E1490" s="33">
        <v>1</v>
      </c>
      <c r="F1490" s="33" t="s">
        <v>2059</v>
      </c>
      <c r="G1490" s="14">
        <f>(VLOOKUP(D1490,'[1]BOM Info General'!$A:$L,12,0))*E1490</f>
        <v>35.56</v>
      </c>
      <c r="H1490" s="34" t="s">
        <v>39</v>
      </c>
      <c r="I1490" s="34">
        <v>1</v>
      </c>
      <c r="J1490" s="34" t="s">
        <v>46</v>
      </c>
      <c r="K1490" s="15">
        <f>(VLOOKUP(H1490,'[1]BOM Info General'!$A:$L,12,0))*I1490</f>
        <v>24.42</v>
      </c>
      <c r="L1490" s="35" t="s">
        <v>60</v>
      </c>
      <c r="M1490" s="35">
        <v>1</v>
      </c>
      <c r="N1490" s="35" t="s">
        <v>57</v>
      </c>
      <c r="O1490" s="9">
        <f>(VLOOKUP(L1490,'[1]Simulation pricing per sub assy'!$D:$E,2,0))*M1490</f>
        <v>43.608799999999988</v>
      </c>
      <c r="P1490" s="36" t="s">
        <v>51</v>
      </c>
      <c r="Q1490" s="36">
        <v>2</v>
      </c>
      <c r="R1490" s="36" t="s">
        <v>17</v>
      </c>
      <c r="S1490" s="40">
        <f>(VLOOKUP(P1490,'[1]BOM Info General'!$A:$L,12,0))*Q1490</f>
        <v>5.3</v>
      </c>
      <c r="T1490" s="37" t="s">
        <v>10</v>
      </c>
      <c r="U1490" s="37">
        <v>1</v>
      </c>
      <c r="V1490" s="37" t="s">
        <v>11</v>
      </c>
      <c r="W1490" s="17">
        <f>(VLOOKUP(T1490,'[1]Simulation pricing per sub assy'!$D:$E,2,0))*U1490</f>
        <v>2.0499999999999998</v>
      </c>
      <c r="X1490" s="32" t="s">
        <v>615</v>
      </c>
      <c r="Y1490" s="38">
        <v>1</v>
      </c>
      <c r="Z1490" s="38" t="s">
        <v>9</v>
      </c>
      <c r="AA1490" s="18">
        <f>(VLOOKUP(X1490,'[1]Simulation pricing per sub assy'!$D:$E,2,0))*Y1490</f>
        <v>1.5769808000000001</v>
      </c>
    </row>
    <row r="1491" spans="1:27" x14ac:dyDescent="0.35">
      <c r="A1491" s="27" t="s">
        <v>2542</v>
      </c>
      <c r="B1491" s="27" t="s">
        <v>2543</v>
      </c>
      <c r="C1491" s="42">
        <f t="shared" si="23"/>
        <v>120.18578079999999</v>
      </c>
      <c r="D1491" s="33" t="s">
        <v>2058</v>
      </c>
      <c r="E1491" s="33">
        <v>1</v>
      </c>
      <c r="F1491" s="33" t="s">
        <v>2059</v>
      </c>
      <c r="G1491" s="14">
        <f>(VLOOKUP(D1491,'[1]BOM Info General'!$A:$L,12,0))*E1491</f>
        <v>35.56</v>
      </c>
      <c r="H1491" s="34" t="s">
        <v>39</v>
      </c>
      <c r="I1491" s="34">
        <v>1</v>
      </c>
      <c r="J1491" s="34" t="s">
        <v>46</v>
      </c>
      <c r="K1491" s="15">
        <f>(VLOOKUP(H1491,'[1]BOM Info General'!$A:$L,12,0))*I1491</f>
        <v>24.42</v>
      </c>
      <c r="L1491" s="35" t="s">
        <v>56</v>
      </c>
      <c r="M1491" s="35">
        <v>1</v>
      </c>
      <c r="N1491" s="35" t="s">
        <v>59</v>
      </c>
      <c r="O1491" s="9">
        <f>(VLOOKUP(L1491,'[1]Simulation pricing per sub assy'!$D:$E,2,0))*M1491</f>
        <v>51.27879999999999</v>
      </c>
      <c r="P1491" s="36" t="s">
        <v>51</v>
      </c>
      <c r="Q1491" s="36">
        <v>2</v>
      </c>
      <c r="R1491" s="36" t="s">
        <v>17</v>
      </c>
      <c r="S1491" s="40">
        <f>(VLOOKUP(P1491,'[1]BOM Info General'!$A:$L,12,0))*Q1491</f>
        <v>5.3</v>
      </c>
      <c r="T1491" s="37" t="s">
        <v>10</v>
      </c>
      <c r="U1491" s="37">
        <v>1</v>
      </c>
      <c r="V1491" s="37" t="s">
        <v>11</v>
      </c>
      <c r="W1491" s="17">
        <f>(VLOOKUP(T1491,'[1]Simulation pricing per sub assy'!$D:$E,2,0))*U1491</f>
        <v>2.0499999999999998</v>
      </c>
      <c r="X1491" s="32" t="s">
        <v>615</v>
      </c>
      <c r="Y1491" s="38">
        <v>1</v>
      </c>
      <c r="Z1491" s="38" t="s">
        <v>9</v>
      </c>
      <c r="AA1491" s="18">
        <f>(VLOOKUP(X1491,'[1]Simulation pricing per sub assy'!$D:$E,2,0))*Y1491</f>
        <v>1.5769808000000001</v>
      </c>
    </row>
    <row r="1492" spans="1:27" x14ac:dyDescent="0.35">
      <c r="A1492" s="27" t="s">
        <v>2544</v>
      </c>
      <c r="B1492" s="27" t="s">
        <v>2545</v>
      </c>
      <c r="C1492" s="42">
        <f t="shared" si="23"/>
        <v>111.0657808</v>
      </c>
      <c r="D1492" s="33" t="s">
        <v>2058</v>
      </c>
      <c r="E1492" s="33">
        <v>1</v>
      </c>
      <c r="F1492" s="33" t="s">
        <v>2059</v>
      </c>
      <c r="G1492" s="14">
        <f>(VLOOKUP(D1492,'[1]BOM Info General'!$A:$L,12,0))*E1492</f>
        <v>35.56</v>
      </c>
      <c r="H1492" s="34" t="s">
        <v>39</v>
      </c>
      <c r="I1492" s="34">
        <v>1</v>
      </c>
      <c r="J1492" s="34" t="s">
        <v>46</v>
      </c>
      <c r="K1492" s="15">
        <f>(VLOOKUP(H1492,'[1]BOM Info General'!$A:$L,12,0))*I1492</f>
        <v>24.42</v>
      </c>
      <c r="L1492" s="35" t="s">
        <v>523</v>
      </c>
      <c r="M1492" s="35">
        <v>1</v>
      </c>
      <c r="N1492" s="35" t="s">
        <v>61</v>
      </c>
      <c r="O1492" s="9">
        <f>(VLOOKUP(L1492,'[1]Simulation pricing per sub assy'!$D:$E,2,0))*M1492</f>
        <v>42.308799999999991</v>
      </c>
      <c r="P1492" s="36" t="s">
        <v>51</v>
      </c>
      <c r="Q1492" s="36">
        <v>2</v>
      </c>
      <c r="R1492" s="36" t="s">
        <v>17</v>
      </c>
      <c r="S1492" s="40">
        <f>(VLOOKUP(P1492,'[1]BOM Info General'!$A:$L,12,0))*Q1492</f>
        <v>5.3</v>
      </c>
      <c r="T1492" s="37" t="s">
        <v>12</v>
      </c>
      <c r="U1492" s="37">
        <v>1</v>
      </c>
      <c r="V1492" s="37" t="s">
        <v>13</v>
      </c>
      <c r="W1492" s="17">
        <f>(VLOOKUP(T1492,'[1]Simulation pricing per sub assy'!$D:$E,2,0))*U1492</f>
        <v>1.9</v>
      </c>
      <c r="X1492" s="32" t="s">
        <v>615</v>
      </c>
      <c r="Y1492" s="38">
        <v>1</v>
      </c>
      <c r="Z1492" s="38" t="s">
        <v>9</v>
      </c>
      <c r="AA1492" s="18">
        <f>(VLOOKUP(X1492,'[1]Simulation pricing per sub assy'!$D:$E,2,0))*Y1492</f>
        <v>1.5769808000000001</v>
      </c>
    </row>
    <row r="1493" spans="1:27" x14ac:dyDescent="0.35">
      <c r="A1493" s="27" t="s">
        <v>2546</v>
      </c>
      <c r="B1493" s="27" t="s">
        <v>2547</v>
      </c>
      <c r="C1493" s="42">
        <f t="shared" si="23"/>
        <v>112.0457808</v>
      </c>
      <c r="D1493" s="33" t="s">
        <v>2058</v>
      </c>
      <c r="E1493" s="33">
        <v>1</v>
      </c>
      <c r="F1493" s="33" t="s">
        <v>2059</v>
      </c>
      <c r="G1493" s="14">
        <f>(VLOOKUP(D1493,'[1]BOM Info General'!$A:$L,12,0))*E1493</f>
        <v>35.56</v>
      </c>
      <c r="H1493" s="34" t="s">
        <v>39</v>
      </c>
      <c r="I1493" s="34">
        <v>1</v>
      </c>
      <c r="J1493" s="34" t="s">
        <v>46</v>
      </c>
      <c r="K1493" s="15">
        <f>(VLOOKUP(H1493,'[1]BOM Info General'!$A:$L,12,0))*I1493</f>
        <v>24.42</v>
      </c>
      <c r="L1493" s="35" t="s">
        <v>58</v>
      </c>
      <c r="M1493" s="35">
        <v>1</v>
      </c>
      <c r="N1493" s="35" t="s">
        <v>55</v>
      </c>
      <c r="O1493" s="9">
        <f>(VLOOKUP(L1493,'[1]Simulation pricing per sub assy'!$D:$E,2,0))*M1493</f>
        <v>43.288799999999988</v>
      </c>
      <c r="P1493" s="36" t="s">
        <v>51</v>
      </c>
      <c r="Q1493" s="36">
        <v>2</v>
      </c>
      <c r="R1493" s="36" t="s">
        <v>17</v>
      </c>
      <c r="S1493" s="40">
        <f>(VLOOKUP(P1493,'[1]BOM Info General'!$A:$L,12,0))*Q1493</f>
        <v>5.3</v>
      </c>
      <c r="T1493" s="37" t="s">
        <v>12</v>
      </c>
      <c r="U1493" s="37">
        <v>1</v>
      </c>
      <c r="V1493" s="37" t="s">
        <v>13</v>
      </c>
      <c r="W1493" s="17">
        <f>(VLOOKUP(T1493,'[1]Simulation pricing per sub assy'!$D:$E,2,0))*U1493</f>
        <v>1.9</v>
      </c>
      <c r="X1493" s="32" t="s">
        <v>615</v>
      </c>
      <c r="Y1493" s="38">
        <v>1</v>
      </c>
      <c r="Z1493" s="38" t="s">
        <v>9</v>
      </c>
      <c r="AA1493" s="18">
        <f>(VLOOKUP(X1493,'[1]Simulation pricing per sub assy'!$D:$E,2,0))*Y1493</f>
        <v>1.5769808000000001</v>
      </c>
    </row>
    <row r="1494" spans="1:27" x14ac:dyDescent="0.35">
      <c r="A1494" s="27" t="s">
        <v>2548</v>
      </c>
      <c r="B1494" s="27" t="s">
        <v>2549</v>
      </c>
      <c r="C1494" s="42">
        <f t="shared" si="23"/>
        <v>112.6257808</v>
      </c>
      <c r="D1494" s="33" t="s">
        <v>2058</v>
      </c>
      <c r="E1494" s="33">
        <v>1</v>
      </c>
      <c r="F1494" s="33" t="s">
        <v>2059</v>
      </c>
      <c r="G1494" s="14">
        <f>(VLOOKUP(D1494,'[1]BOM Info General'!$A:$L,12,0))*E1494</f>
        <v>35.56</v>
      </c>
      <c r="H1494" s="34" t="s">
        <v>39</v>
      </c>
      <c r="I1494" s="34">
        <v>1</v>
      </c>
      <c r="J1494" s="34" t="s">
        <v>46</v>
      </c>
      <c r="K1494" s="15">
        <f>(VLOOKUP(H1494,'[1]BOM Info General'!$A:$L,12,0))*I1494</f>
        <v>24.42</v>
      </c>
      <c r="L1494" s="35" t="s">
        <v>54</v>
      </c>
      <c r="M1494" s="35">
        <v>1</v>
      </c>
      <c r="N1494" s="35" t="s">
        <v>53</v>
      </c>
      <c r="O1494" s="9">
        <f>(VLOOKUP(L1494,'[1]Simulation pricing per sub assy'!$D:$E,2,0))*M1494</f>
        <v>43.868799999999993</v>
      </c>
      <c r="P1494" s="36" t="s">
        <v>51</v>
      </c>
      <c r="Q1494" s="36">
        <v>2</v>
      </c>
      <c r="R1494" s="36" t="s">
        <v>17</v>
      </c>
      <c r="S1494" s="40">
        <f>(VLOOKUP(P1494,'[1]BOM Info General'!$A:$L,12,0))*Q1494</f>
        <v>5.3</v>
      </c>
      <c r="T1494" s="37" t="s">
        <v>12</v>
      </c>
      <c r="U1494" s="37">
        <v>1</v>
      </c>
      <c r="V1494" s="37" t="s">
        <v>13</v>
      </c>
      <c r="W1494" s="17">
        <f>(VLOOKUP(T1494,'[1]Simulation pricing per sub assy'!$D:$E,2,0))*U1494</f>
        <v>1.9</v>
      </c>
      <c r="X1494" s="32" t="s">
        <v>615</v>
      </c>
      <c r="Y1494" s="38">
        <v>1</v>
      </c>
      <c r="Z1494" s="38" t="s">
        <v>9</v>
      </c>
      <c r="AA1494" s="18">
        <f>(VLOOKUP(X1494,'[1]Simulation pricing per sub assy'!$D:$E,2,0))*Y1494</f>
        <v>1.5769808000000001</v>
      </c>
    </row>
    <row r="1495" spans="1:27" x14ac:dyDescent="0.35">
      <c r="A1495" s="27" t="s">
        <v>2550</v>
      </c>
      <c r="B1495" s="27" t="s">
        <v>2551</v>
      </c>
      <c r="C1495" s="42">
        <f t="shared" si="23"/>
        <v>112.3657808</v>
      </c>
      <c r="D1495" s="33" t="s">
        <v>2058</v>
      </c>
      <c r="E1495" s="33">
        <v>1</v>
      </c>
      <c r="F1495" s="33" t="s">
        <v>2059</v>
      </c>
      <c r="G1495" s="14">
        <f>(VLOOKUP(D1495,'[1]BOM Info General'!$A:$L,12,0))*E1495</f>
        <v>35.56</v>
      </c>
      <c r="H1495" s="34" t="s">
        <v>39</v>
      </c>
      <c r="I1495" s="34">
        <v>1</v>
      </c>
      <c r="J1495" s="34" t="s">
        <v>46</v>
      </c>
      <c r="K1495" s="15">
        <f>(VLOOKUP(H1495,'[1]BOM Info General'!$A:$L,12,0))*I1495</f>
        <v>24.42</v>
      </c>
      <c r="L1495" s="35" t="s">
        <v>60</v>
      </c>
      <c r="M1495" s="35">
        <v>1</v>
      </c>
      <c r="N1495" s="35" t="s">
        <v>57</v>
      </c>
      <c r="O1495" s="9">
        <f>(VLOOKUP(L1495,'[1]Simulation pricing per sub assy'!$D:$E,2,0))*M1495</f>
        <v>43.608799999999988</v>
      </c>
      <c r="P1495" s="36" t="s">
        <v>51</v>
      </c>
      <c r="Q1495" s="36">
        <v>2</v>
      </c>
      <c r="R1495" s="36" t="s">
        <v>17</v>
      </c>
      <c r="S1495" s="40">
        <f>(VLOOKUP(P1495,'[1]BOM Info General'!$A:$L,12,0))*Q1495</f>
        <v>5.3</v>
      </c>
      <c r="T1495" s="37" t="s">
        <v>12</v>
      </c>
      <c r="U1495" s="37">
        <v>1</v>
      </c>
      <c r="V1495" s="37" t="s">
        <v>13</v>
      </c>
      <c r="W1495" s="17">
        <f>(VLOOKUP(T1495,'[1]Simulation pricing per sub assy'!$D:$E,2,0))*U1495</f>
        <v>1.9</v>
      </c>
      <c r="X1495" s="32" t="s">
        <v>615</v>
      </c>
      <c r="Y1495" s="38">
        <v>1</v>
      </c>
      <c r="Z1495" s="38" t="s">
        <v>9</v>
      </c>
      <c r="AA1495" s="18">
        <f>(VLOOKUP(X1495,'[1]Simulation pricing per sub assy'!$D:$E,2,0))*Y1495</f>
        <v>1.5769808000000001</v>
      </c>
    </row>
    <row r="1496" spans="1:27" x14ac:dyDescent="0.35">
      <c r="A1496" s="27" t="s">
        <v>2552</v>
      </c>
      <c r="B1496" s="27" t="s">
        <v>2553</v>
      </c>
      <c r="C1496" s="42">
        <f t="shared" si="23"/>
        <v>120.0357808</v>
      </c>
      <c r="D1496" s="33" t="s">
        <v>2058</v>
      </c>
      <c r="E1496" s="33">
        <v>1</v>
      </c>
      <c r="F1496" s="33" t="s">
        <v>2059</v>
      </c>
      <c r="G1496" s="14">
        <f>(VLOOKUP(D1496,'[1]BOM Info General'!$A:$L,12,0))*E1496</f>
        <v>35.56</v>
      </c>
      <c r="H1496" s="34" t="s">
        <v>39</v>
      </c>
      <c r="I1496" s="34">
        <v>1</v>
      </c>
      <c r="J1496" s="34" t="s">
        <v>46</v>
      </c>
      <c r="K1496" s="15">
        <f>(VLOOKUP(H1496,'[1]BOM Info General'!$A:$L,12,0))*I1496</f>
        <v>24.42</v>
      </c>
      <c r="L1496" s="35" t="s">
        <v>56</v>
      </c>
      <c r="M1496" s="35">
        <v>1</v>
      </c>
      <c r="N1496" s="35" t="s">
        <v>59</v>
      </c>
      <c r="O1496" s="9">
        <f>(VLOOKUP(L1496,'[1]Simulation pricing per sub assy'!$D:$E,2,0))*M1496</f>
        <v>51.27879999999999</v>
      </c>
      <c r="P1496" s="36" t="s">
        <v>51</v>
      </c>
      <c r="Q1496" s="36">
        <v>2</v>
      </c>
      <c r="R1496" s="36" t="s">
        <v>17</v>
      </c>
      <c r="S1496" s="40">
        <f>(VLOOKUP(P1496,'[1]BOM Info General'!$A:$L,12,0))*Q1496</f>
        <v>5.3</v>
      </c>
      <c r="T1496" s="37" t="s">
        <v>12</v>
      </c>
      <c r="U1496" s="37">
        <v>1</v>
      </c>
      <c r="V1496" s="37" t="s">
        <v>13</v>
      </c>
      <c r="W1496" s="17">
        <f>(VLOOKUP(T1496,'[1]Simulation pricing per sub assy'!$D:$E,2,0))*U1496</f>
        <v>1.9</v>
      </c>
      <c r="X1496" s="32" t="s">
        <v>615</v>
      </c>
      <c r="Y1496" s="38">
        <v>1</v>
      </c>
      <c r="Z1496" s="38" t="s">
        <v>9</v>
      </c>
      <c r="AA1496" s="18">
        <f>(VLOOKUP(X1496,'[1]Simulation pricing per sub assy'!$D:$E,2,0))*Y1496</f>
        <v>1.5769808000000001</v>
      </c>
    </row>
    <row r="1497" spans="1:27" x14ac:dyDescent="0.35">
      <c r="A1497" s="27" t="s">
        <v>2554</v>
      </c>
      <c r="B1497" s="27" t="s">
        <v>2555</v>
      </c>
      <c r="C1497" s="42">
        <f t="shared" si="23"/>
        <v>111.0657808</v>
      </c>
      <c r="D1497" s="33" t="s">
        <v>2058</v>
      </c>
      <c r="E1497" s="33">
        <v>1</v>
      </c>
      <c r="F1497" s="33" t="s">
        <v>2059</v>
      </c>
      <c r="G1497" s="14">
        <f>(VLOOKUP(D1497,'[1]BOM Info General'!$A:$L,12,0))*E1497</f>
        <v>35.56</v>
      </c>
      <c r="H1497" s="34" t="s">
        <v>39</v>
      </c>
      <c r="I1497" s="34">
        <v>1</v>
      </c>
      <c r="J1497" s="34" t="s">
        <v>46</v>
      </c>
      <c r="K1497" s="15">
        <f>(VLOOKUP(H1497,'[1]BOM Info General'!$A:$L,12,0))*I1497</f>
        <v>24.42</v>
      </c>
      <c r="L1497" s="35" t="s">
        <v>523</v>
      </c>
      <c r="M1497" s="35">
        <v>1</v>
      </c>
      <c r="N1497" s="35" t="s">
        <v>61</v>
      </c>
      <c r="O1497" s="9">
        <f>(VLOOKUP(L1497,'[1]Simulation pricing per sub assy'!$D:$E,2,0))*M1497</f>
        <v>42.308799999999991</v>
      </c>
      <c r="P1497" s="36" t="s">
        <v>51</v>
      </c>
      <c r="Q1497" s="36">
        <v>2</v>
      </c>
      <c r="R1497" s="36" t="s">
        <v>17</v>
      </c>
      <c r="S1497" s="40">
        <f>(VLOOKUP(P1497,'[1]BOM Info General'!$A:$L,12,0))*Q1497</f>
        <v>5.3</v>
      </c>
      <c r="T1497" s="37" t="s">
        <v>14</v>
      </c>
      <c r="U1497" s="37">
        <v>1</v>
      </c>
      <c r="V1497" s="37" t="s">
        <v>15</v>
      </c>
      <c r="W1497" s="17">
        <f>(VLOOKUP(T1497,'[1]Simulation pricing per sub assy'!$D:$E,2,0))*U1497</f>
        <v>1.9</v>
      </c>
      <c r="X1497" s="32" t="s">
        <v>615</v>
      </c>
      <c r="Y1497" s="38">
        <v>1</v>
      </c>
      <c r="Z1497" s="38" t="s">
        <v>9</v>
      </c>
      <c r="AA1497" s="18">
        <f>(VLOOKUP(X1497,'[1]Simulation pricing per sub assy'!$D:$E,2,0))*Y1497</f>
        <v>1.5769808000000001</v>
      </c>
    </row>
    <row r="1498" spans="1:27" x14ac:dyDescent="0.35">
      <c r="A1498" s="27" t="s">
        <v>2556</v>
      </c>
      <c r="B1498" s="27" t="s">
        <v>2557</v>
      </c>
      <c r="C1498" s="42">
        <f t="shared" si="23"/>
        <v>112.0457808</v>
      </c>
      <c r="D1498" s="33" t="s">
        <v>2058</v>
      </c>
      <c r="E1498" s="33">
        <v>1</v>
      </c>
      <c r="F1498" s="33" t="s">
        <v>2059</v>
      </c>
      <c r="G1498" s="14">
        <f>(VLOOKUP(D1498,'[1]BOM Info General'!$A:$L,12,0))*E1498</f>
        <v>35.56</v>
      </c>
      <c r="H1498" s="34" t="s">
        <v>39</v>
      </c>
      <c r="I1498" s="34">
        <v>1</v>
      </c>
      <c r="J1498" s="34" t="s">
        <v>46</v>
      </c>
      <c r="K1498" s="15">
        <f>(VLOOKUP(H1498,'[1]BOM Info General'!$A:$L,12,0))*I1498</f>
        <v>24.42</v>
      </c>
      <c r="L1498" s="35" t="s">
        <v>58</v>
      </c>
      <c r="M1498" s="35">
        <v>1</v>
      </c>
      <c r="N1498" s="35" t="s">
        <v>55</v>
      </c>
      <c r="O1498" s="9">
        <f>(VLOOKUP(L1498,'[1]Simulation pricing per sub assy'!$D:$E,2,0))*M1498</f>
        <v>43.288799999999988</v>
      </c>
      <c r="P1498" s="36" t="s">
        <v>51</v>
      </c>
      <c r="Q1498" s="36">
        <v>2</v>
      </c>
      <c r="R1498" s="36" t="s">
        <v>17</v>
      </c>
      <c r="S1498" s="40">
        <f>(VLOOKUP(P1498,'[1]BOM Info General'!$A:$L,12,0))*Q1498</f>
        <v>5.3</v>
      </c>
      <c r="T1498" s="37" t="s">
        <v>14</v>
      </c>
      <c r="U1498" s="37">
        <v>1</v>
      </c>
      <c r="V1498" s="37" t="s">
        <v>15</v>
      </c>
      <c r="W1498" s="17">
        <f>(VLOOKUP(T1498,'[1]Simulation pricing per sub assy'!$D:$E,2,0))*U1498</f>
        <v>1.9</v>
      </c>
      <c r="X1498" s="32" t="s">
        <v>615</v>
      </c>
      <c r="Y1498" s="38">
        <v>1</v>
      </c>
      <c r="Z1498" s="38" t="s">
        <v>9</v>
      </c>
      <c r="AA1498" s="18">
        <f>(VLOOKUP(X1498,'[1]Simulation pricing per sub assy'!$D:$E,2,0))*Y1498</f>
        <v>1.5769808000000001</v>
      </c>
    </row>
    <row r="1499" spans="1:27" x14ac:dyDescent="0.35">
      <c r="A1499" s="27" t="s">
        <v>2558</v>
      </c>
      <c r="B1499" s="27" t="s">
        <v>2559</v>
      </c>
      <c r="C1499" s="42">
        <f t="shared" si="23"/>
        <v>112.6257808</v>
      </c>
      <c r="D1499" s="33" t="s">
        <v>2058</v>
      </c>
      <c r="E1499" s="33">
        <v>1</v>
      </c>
      <c r="F1499" s="33" t="s">
        <v>2059</v>
      </c>
      <c r="G1499" s="14">
        <f>(VLOOKUP(D1499,'[1]BOM Info General'!$A:$L,12,0))*E1499</f>
        <v>35.56</v>
      </c>
      <c r="H1499" s="34" t="s">
        <v>39</v>
      </c>
      <c r="I1499" s="34">
        <v>1</v>
      </c>
      <c r="J1499" s="34" t="s">
        <v>46</v>
      </c>
      <c r="K1499" s="15">
        <f>(VLOOKUP(H1499,'[1]BOM Info General'!$A:$L,12,0))*I1499</f>
        <v>24.42</v>
      </c>
      <c r="L1499" s="35" t="s">
        <v>54</v>
      </c>
      <c r="M1499" s="35">
        <v>1</v>
      </c>
      <c r="N1499" s="35" t="s">
        <v>53</v>
      </c>
      <c r="O1499" s="9">
        <f>(VLOOKUP(L1499,'[1]Simulation pricing per sub assy'!$D:$E,2,0))*M1499</f>
        <v>43.868799999999993</v>
      </c>
      <c r="P1499" s="36" t="s">
        <v>51</v>
      </c>
      <c r="Q1499" s="36">
        <v>2</v>
      </c>
      <c r="R1499" s="36" t="s">
        <v>17</v>
      </c>
      <c r="S1499" s="40">
        <f>(VLOOKUP(P1499,'[1]BOM Info General'!$A:$L,12,0))*Q1499</f>
        <v>5.3</v>
      </c>
      <c r="T1499" s="37" t="s">
        <v>14</v>
      </c>
      <c r="U1499" s="37">
        <v>1</v>
      </c>
      <c r="V1499" s="37" t="s">
        <v>15</v>
      </c>
      <c r="W1499" s="17">
        <f>(VLOOKUP(T1499,'[1]Simulation pricing per sub assy'!$D:$E,2,0))*U1499</f>
        <v>1.9</v>
      </c>
      <c r="X1499" s="32" t="s">
        <v>615</v>
      </c>
      <c r="Y1499" s="38">
        <v>1</v>
      </c>
      <c r="Z1499" s="38" t="s">
        <v>9</v>
      </c>
      <c r="AA1499" s="18">
        <f>(VLOOKUP(X1499,'[1]Simulation pricing per sub assy'!$D:$E,2,0))*Y1499</f>
        <v>1.5769808000000001</v>
      </c>
    </row>
    <row r="1500" spans="1:27" x14ac:dyDescent="0.35">
      <c r="A1500" s="27" t="s">
        <v>2560</v>
      </c>
      <c r="B1500" s="27" t="s">
        <v>2561</v>
      </c>
      <c r="C1500" s="42">
        <f t="shared" si="23"/>
        <v>112.3657808</v>
      </c>
      <c r="D1500" s="33" t="s">
        <v>2058</v>
      </c>
      <c r="E1500" s="33">
        <v>1</v>
      </c>
      <c r="F1500" s="33" t="s">
        <v>2059</v>
      </c>
      <c r="G1500" s="14">
        <f>(VLOOKUP(D1500,'[1]BOM Info General'!$A:$L,12,0))*E1500</f>
        <v>35.56</v>
      </c>
      <c r="H1500" s="34" t="s">
        <v>39</v>
      </c>
      <c r="I1500" s="34">
        <v>1</v>
      </c>
      <c r="J1500" s="34" t="s">
        <v>46</v>
      </c>
      <c r="K1500" s="15">
        <f>(VLOOKUP(H1500,'[1]BOM Info General'!$A:$L,12,0))*I1500</f>
        <v>24.42</v>
      </c>
      <c r="L1500" s="35" t="s">
        <v>60</v>
      </c>
      <c r="M1500" s="35">
        <v>1</v>
      </c>
      <c r="N1500" s="35" t="s">
        <v>57</v>
      </c>
      <c r="O1500" s="9">
        <f>(VLOOKUP(L1500,'[1]Simulation pricing per sub assy'!$D:$E,2,0))*M1500</f>
        <v>43.608799999999988</v>
      </c>
      <c r="P1500" s="36" t="s">
        <v>51</v>
      </c>
      <c r="Q1500" s="36">
        <v>2</v>
      </c>
      <c r="R1500" s="36" t="s">
        <v>17</v>
      </c>
      <c r="S1500" s="40">
        <f>(VLOOKUP(P1500,'[1]BOM Info General'!$A:$L,12,0))*Q1500</f>
        <v>5.3</v>
      </c>
      <c r="T1500" s="37" t="s">
        <v>14</v>
      </c>
      <c r="U1500" s="37">
        <v>1</v>
      </c>
      <c r="V1500" s="37" t="s">
        <v>15</v>
      </c>
      <c r="W1500" s="17">
        <f>(VLOOKUP(T1500,'[1]Simulation pricing per sub assy'!$D:$E,2,0))*U1500</f>
        <v>1.9</v>
      </c>
      <c r="X1500" s="32" t="s">
        <v>615</v>
      </c>
      <c r="Y1500" s="38">
        <v>1</v>
      </c>
      <c r="Z1500" s="38" t="s">
        <v>9</v>
      </c>
      <c r="AA1500" s="18">
        <f>(VLOOKUP(X1500,'[1]Simulation pricing per sub assy'!$D:$E,2,0))*Y1500</f>
        <v>1.5769808000000001</v>
      </c>
    </row>
    <row r="1501" spans="1:27" x14ac:dyDescent="0.35">
      <c r="A1501" s="27" t="s">
        <v>2562</v>
      </c>
      <c r="B1501" s="27" t="s">
        <v>2563</v>
      </c>
      <c r="C1501" s="42">
        <f t="shared" si="23"/>
        <v>120.0357808</v>
      </c>
      <c r="D1501" s="33" t="s">
        <v>2058</v>
      </c>
      <c r="E1501" s="33">
        <v>1</v>
      </c>
      <c r="F1501" s="33" t="s">
        <v>2059</v>
      </c>
      <c r="G1501" s="14">
        <f>(VLOOKUP(D1501,'[1]BOM Info General'!$A:$L,12,0))*E1501</f>
        <v>35.56</v>
      </c>
      <c r="H1501" s="34" t="s">
        <v>39</v>
      </c>
      <c r="I1501" s="34">
        <v>1</v>
      </c>
      <c r="J1501" s="34" t="s">
        <v>46</v>
      </c>
      <c r="K1501" s="15">
        <f>(VLOOKUP(H1501,'[1]BOM Info General'!$A:$L,12,0))*I1501</f>
        <v>24.42</v>
      </c>
      <c r="L1501" s="35" t="s">
        <v>56</v>
      </c>
      <c r="M1501" s="35">
        <v>1</v>
      </c>
      <c r="N1501" s="35" t="s">
        <v>59</v>
      </c>
      <c r="O1501" s="9">
        <f>(VLOOKUP(L1501,'[1]Simulation pricing per sub assy'!$D:$E,2,0))*M1501</f>
        <v>51.27879999999999</v>
      </c>
      <c r="P1501" s="36" t="s">
        <v>51</v>
      </c>
      <c r="Q1501" s="36">
        <v>2</v>
      </c>
      <c r="R1501" s="36" t="s">
        <v>17</v>
      </c>
      <c r="S1501" s="40">
        <f>(VLOOKUP(P1501,'[1]BOM Info General'!$A:$L,12,0))*Q1501</f>
        <v>5.3</v>
      </c>
      <c r="T1501" s="37" t="s">
        <v>14</v>
      </c>
      <c r="U1501" s="37">
        <v>1</v>
      </c>
      <c r="V1501" s="37" t="s">
        <v>15</v>
      </c>
      <c r="W1501" s="17">
        <f>(VLOOKUP(T1501,'[1]Simulation pricing per sub assy'!$D:$E,2,0))*U1501</f>
        <v>1.9</v>
      </c>
      <c r="X1501" s="32" t="s">
        <v>615</v>
      </c>
      <c r="Y1501" s="38">
        <v>1</v>
      </c>
      <c r="Z1501" s="38" t="s">
        <v>9</v>
      </c>
      <c r="AA1501" s="18">
        <f>(VLOOKUP(X1501,'[1]Simulation pricing per sub assy'!$D:$E,2,0))*Y1501</f>
        <v>1.5769808000000001</v>
      </c>
    </row>
    <row r="1502" spans="1:27" x14ac:dyDescent="0.35">
      <c r="A1502" s="27" t="s">
        <v>2564</v>
      </c>
      <c r="B1502" s="27" t="s">
        <v>2565</v>
      </c>
      <c r="C1502" s="42">
        <f t="shared" si="23"/>
        <v>111.21578079999999</v>
      </c>
      <c r="D1502" s="33" t="s">
        <v>2058</v>
      </c>
      <c r="E1502" s="33">
        <v>1</v>
      </c>
      <c r="F1502" s="33" t="s">
        <v>2059</v>
      </c>
      <c r="G1502" s="14">
        <f>(VLOOKUP(D1502,'[1]BOM Info General'!$A:$L,12,0))*E1502</f>
        <v>35.56</v>
      </c>
      <c r="H1502" s="34" t="s">
        <v>39</v>
      </c>
      <c r="I1502" s="34">
        <v>1</v>
      </c>
      <c r="J1502" s="34" t="s">
        <v>46</v>
      </c>
      <c r="K1502" s="15">
        <f>(VLOOKUP(H1502,'[1]BOM Info General'!$A:$L,12,0))*I1502</f>
        <v>24.42</v>
      </c>
      <c r="L1502" s="35" t="s">
        <v>523</v>
      </c>
      <c r="M1502" s="35">
        <v>1</v>
      </c>
      <c r="N1502" s="35" t="s">
        <v>61</v>
      </c>
      <c r="O1502" s="9">
        <f>(VLOOKUP(L1502,'[1]Simulation pricing per sub assy'!$D:$E,2,0))*M1502</f>
        <v>42.308799999999991</v>
      </c>
      <c r="P1502" s="36" t="s">
        <v>52</v>
      </c>
      <c r="Q1502" s="36">
        <v>2</v>
      </c>
      <c r="R1502" s="36" t="s">
        <v>18</v>
      </c>
      <c r="S1502" s="40">
        <f>(VLOOKUP(P1502,'[1]BOM Info General'!$A:$L,12,0))*Q1502</f>
        <v>5.3</v>
      </c>
      <c r="T1502" s="37" t="s">
        <v>10</v>
      </c>
      <c r="U1502" s="37">
        <v>1</v>
      </c>
      <c r="V1502" s="37" t="s">
        <v>11</v>
      </c>
      <c r="W1502" s="17">
        <f>(VLOOKUP(T1502,'[1]Simulation pricing per sub assy'!$D:$E,2,0))*U1502</f>
        <v>2.0499999999999998</v>
      </c>
      <c r="X1502" s="32" t="s">
        <v>615</v>
      </c>
      <c r="Y1502" s="38">
        <v>1</v>
      </c>
      <c r="Z1502" s="38" t="s">
        <v>9</v>
      </c>
      <c r="AA1502" s="18">
        <f>(VLOOKUP(X1502,'[1]Simulation pricing per sub assy'!$D:$E,2,0))*Y1502</f>
        <v>1.5769808000000001</v>
      </c>
    </row>
    <row r="1503" spans="1:27" x14ac:dyDescent="0.35">
      <c r="A1503" s="27" t="s">
        <v>2566</v>
      </c>
      <c r="B1503" s="27" t="s">
        <v>2567</v>
      </c>
      <c r="C1503" s="42">
        <f t="shared" si="23"/>
        <v>112.19578079999999</v>
      </c>
      <c r="D1503" s="33" t="s">
        <v>2058</v>
      </c>
      <c r="E1503" s="33">
        <v>1</v>
      </c>
      <c r="F1503" s="33" t="s">
        <v>2059</v>
      </c>
      <c r="G1503" s="14">
        <f>(VLOOKUP(D1503,'[1]BOM Info General'!$A:$L,12,0))*E1503</f>
        <v>35.56</v>
      </c>
      <c r="H1503" s="34" t="s">
        <v>39</v>
      </c>
      <c r="I1503" s="34">
        <v>1</v>
      </c>
      <c r="J1503" s="34" t="s">
        <v>46</v>
      </c>
      <c r="K1503" s="15">
        <f>(VLOOKUP(H1503,'[1]BOM Info General'!$A:$L,12,0))*I1503</f>
        <v>24.42</v>
      </c>
      <c r="L1503" s="35" t="s">
        <v>58</v>
      </c>
      <c r="M1503" s="35">
        <v>1</v>
      </c>
      <c r="N1503" s="35" t="s">
        <v>55</v>
      </c>
      <c r="O1503" s="9">
        <f>(VLOOKUP(L1503,'[1]Simulation pricing per sub assy'!$D:$E,2,0))*M1503</f>
        <v>43.288799999999988</v>
      </c>
      <c r="P1503" s="36" t="s">
        <v>52</v>
      </c>
      <c r="Q1503" s="36">
        <v>2</v>
      </c>
      <c r="R1503" s="36" t="s">
        <v>18</v>
      </c>
      <c r="S1503" s="40">
        <f>(VLOOKUP(P1503,'[1]BOM Info General'!$A:$L,12,0))*Q1503</f>
        <v>5.3</v>
      </c>
      <c r="T1503" s="37" t="s">
        <v>10</v>
      </c>
      <c r="U1503" s="37">
        <v>1</v>
      </c>
      <c r="V1503" s="37" t="s">
        <v>11</v>
      </c>
      <c r="W1503" s="17">
        <f>(VLOOKUP(T1503,'[1]Simulation pricing per sub assy'!$D:$E,2,0))*U1503</f>
        <v>2.0499999999999998</v>
      </c>
      <c r="X1503" s="32" t="s">
        <v>615</v>
      </c>
      <c r="Y1503" s="38">
        <v>1</v>
      </c>
      <c r="Z1503" s="38" t="s">
        <v>9</v>
      </c>
      <c r="AA1503" s="18">
        <f>(VLOOKUP(X1503,'[1]Simulation pricing per sub assy'!$D:$E,2,0))*Y1503</f>
        <v>1.5769808000000001</v>
      </c>
    </row>
    <row r="1504" spans="1:27" x14ac:dyDescent="0.35">
      <c r="A1504" s="27" t="s">
        <v>2568</v>
      </c>
      <c r="B1504" s="27" t="s">
        <v>2569</v>
      </c>
      <c r="C1504" s="42">
        <f t="shared" si="23"/>
        <v>112.77578079999999</v>
      </c>
      <c r="D1504" s="33" t="s">
        <v>2058</v>
      </c>
      <c r="E1504" s="33">
        <v>1</v>
      </c>
      <c r="F1504" s="33" t="s">
        <v>2059</v>
      </c>
      <c r="G1504" s="14">
        <f>(VLOOKUP(D1504,'[1]BOM Info General'!$A:$L,12,0))*E1504</f>
        <v>35.56</v>
      </c>
      <c r="H1504" s="34" t="s">
        <v>39</v>
      </c>
      <c r="I1504" s="34">
        <v>1</v>
      </c>
      <c r="J1504" s="34" t="s">
        <v>46</v>
      </c>
      <c r="K1504" s="15">
        <f>(VLOOKUP(H1504,'[1]BOM Info General'!$A:$L,12,0))*I1504</f>
        <v>24.42</v>
      </c>
      <c r="L1504" s="35" t="s">
        <v>54</v>
      </c>
      <c r="M1504" s="35">
        <v>1</v>
      </c>
      <c r="N1504" s="35" t="s">
        <v>53</v>
      </c>
      <c r="O1504" s="9">
        <f>(VLOOKUP(L1504,'[1]Simulation pricing per sub assy'!$D:$E,2,0))*M1504</f>
        <v>43.868799999999993</v>
      </c>
      <c r="P1504" s="36" t="s">
        <v>52</v>
      </c>
      <c r="Q1504" s="36">
        <v>2</v>
      </c>
      <c r="R1504" s="36" t="s">
        <v>18</v>
      </c>
      <c r="S1504" s="40">
        <f>(VLOOKUP(P1504,'[1]BOM Info General'!$A:$L,12,0))*Q1504</f>
        <v>5.3</v>
      </c>
      <c r="T1504" s="37" t="s">
        <v>10</v>
      </c>
      <c r="U1504" s="37">
        <v>1</v>
      </c>
      <c r="V1504" s="37" t="s">
        <v>11</v>
      </c>
      <c r="W1504" s="17">
        <f>(VLOOKUP(T1504,'[1]Simulation pricing per sub assy'!$D:$E,2,0))*U1504</f>
        <v>2.0499999999999998</v>
      </c>
      <c r="X1504" s="32" t="s">
        <v>615</v>
      </c>
      <c r="Y1504" s="38">
        <v>1</v>
      </c>
      <c r="Z1504" s="38" t="s">
        <v>9</v>
      </c>
      <c r="AA1504" s="18">
        <f>(VLOOKUP(X1504,'[1]Simulation pricing per sub assy'!$D:$E,2,0))*Y1504</f>
        <v>1.5769808000000001</v>
      </c>
    </row>
    <row r="1505" spans="1:27" x14ac:dyDescent="0.35">
      <c r="A1505" s="27" t="s">
        <v>2570</v>
      </c>
      <c r="B1505" s="27" t="s">
        <v>2571</v>
      </c>
      <c r="C1505" s="42">
        <f t="shared" si="23"/>
        <v>112.51578079999999</v>
      </c>
      <c r="D1505" s="33" t="s">
        <v>2058</v>
      </c>
      <c r="E1505" s="33">
        <v>1</v>
      </c>
      <c r="F1505" s="33" t="s">
        <v>2059</v>
      </c>
      <c r="G1505" s="14">
        <f>(VLOOKUP(D1505,'[1]BOM Info General'!$A:$L,12,0))*E1505</f>
        <v>35.56</v>
      </c>
      <c r="H1505" s="34" t="s">
        <v>39</v>
      </c>
      <c r="I1505" s="34">
        <v>1</v>
      </c>
      <c r="J1505" s="34" t="s">
        <v>46</v>
      </c>
      <c r="K1505" s="15">
        <f>(VLOOKUP(H1505,'[1]BOM Info General'!$A:$L,12,0))*I1505</f>
        <v>24.42</v>
      </c>
      <c r="L1505" s="35" t="s">
        <v>60</v>
      </c>
      <c r="M1505" s="35">
        <v>1</v>
      </c>
      <c r="N1505" s="35" t="s">
        <v>57</v>
      </c>
      <c r="O1505" s="9">
        <f>(VLOOKUP(L1505,'[1]Simulation pricing per sub assy'!$D:$E,2,0))*M1505</f>
        <v>43.608799999999988</v>
      </c>
      <c r="P1505" s="36" t="s">
        <v>52</v>
      </c>
      <c r="Q1505" s="36">
        <v>2</v>
      </c>
      <c r="R1505" s="36" t="s">
        <v>18</v>
      </c>
      <c r="S1505" s="40">
        <f>(VLOOKUP(P1505,'[1]BOM Info General'!$A:$L,12,0))*Q1505</f>
        <v>5.3</v>
      </c>
      <c r="T1505" s="37" t="s">
        <v>10</v>
      </c>
      <c r="U1505" s="37">
        <v>1</v>
      </c>
      <c r="V1505" s="37" t="s">
        <v>11</v>
      </c>
      <c r="W1505" s="17">
        <f>(VLOOKUP(T1505,'[1]Simulation pricing per sub assy'!$D:$E,2,0))*U1505</f>
        <v>2.0499999999999998</v>
      </c>
      <c r="X1505" s="32" t="s">
        <v>615</v>
      </c>
      <c r="Y1505" s="38">
        <v>1</v>
      </c>
      <c r="Z1505" s="38" t="s">
        <v>9</v>
      </c>
      <c r="AA1505" s="18">
        <f>(VLOOKUP(X1505,'[1]Simulation pricing per sub assy'!$D:$E,2,0))*Y1505</f>
        <v>1.5769808000000001</v>
      </c>
    </row>
    <row r="1506" spans="1:27" x14ac:dyDescent="0.35">
      <c r="A1506" s="27" t="s">
        <v>2572</v>
      </c>
      <c r="B1506" s="27" t="s">
        <v>2573</v>
      </c>
      <c r="C1506" s="42">
        <f t="shared" si="23"/>
        <v>120.18578079999999</v>
      </c>
      <c r="D1506" s="33" t="s">
        <v>2058</v>
      </c>
      <c r="E1506" s="33">
        <v>1</v>
      </c>
      <c r="F1506" s="33" t="s">
        <v>2059</v>
      </c>
      <c r="G1506" s="14">
        <f>(VLOOKUP(D1506,'[1]BOM Info General'!$A:$L,12,0))*E1506</f>
        <v>35.56</v>
      </c>
      <c r="H1506" s="34" t="s">
        <v>39</v>
      </c>
      <c r="I1506" s="34">
        <v>1</v>
      </c>
      <c r="J1506" s="34" t="s">
        <v>46</v>
      </c>
      <c r="K1506" s="15">
        <f>(VLOOKUP(H1506,'[1]BOM Info General'!$A:$L,12,0))*I1506</f>
        <v>24.42</v>
      </c>
      <c r="L1506" s="35" t="s">
        <v>56</v>
      </c>
      <c r="M1506" s="35">
        <v>1</v>
      </c>
      <c r="N1506" s="35" t="s">
        <v>59</v>
      </c>
      <c r="O1506" s="9">
        <f>(VLOOKUP(L1506,'[1]Simulation pricing per sub assy'!$D:$E,2,0))*M1506</f>
        <v>51.27879999999999</v>
      </c>
      <c r="P1506" s="36" t="s">
        <v>52</v>
      </c>
      <c r="Q1506" s="36">
        <v>2</v>
      </c>
      <c r="R1506" s="36" t="s">
        <v>18</v>
      </c>
      <c r="S1506" s="40">
        <f>(VLOOKUP(P1506,'[1]BOM Info General'!$A:$L,12,0))*Q1506</f>
        <v>5.3</v>
      </c>
      <c r="T1506" s="37" t="s">
        <v>10</v>
      </c>
      <c r="U1506" s="37">
        <v>1</v>
      </c>
      <c r="V1506" s="37" t="s">
        <v>11</v>
      </c>
      <c r="W1506" s="17">
        <f>(VLOOKUP(T1506,'[1]Simulation pricing per sub assy'!$D:$E,2,0))*U1506</f>
        <v>2.0499999999999998</v>
      </c>
      <c r="X1506" s="32" t="s">
        <v>615</v>
      </c>
      <c r="Y1506" s="38">
        <v>1</v>
      </c>
      <c r="Z1506" s="38" t="s">
        <v>9</v>
      </c>
      <c r="AA1506" s="18">
        <f>(VLOOKUP(X1506,'[1]Simulation pricing per sub assy'!$D:$E,2,0))*Y1506</f>
        <v>1.5769808000000001</v>
      </c>
    </row>
    <row r="1507" spans="1:27" x14ac:dyDescent="0.35">
      <c r="A1507" s="27" t="s">
        <v>2574</v>
      </c>
      <c r="B1507" s="27" t="s">
        <v>2575</v>
      </c>
      <c r="C1507" s="42">
        <f t="shared" si="23"/>
        <v>111.0657808</v>
      </c>
      <c r="D1507" s="33" t="s">
        <v>2058</v>
      </c>
      <c r="E1507" s="33">
        <v>1</v>
      </c>
      <c r="F1507" s="33" t="s">
        <v>2059</v>
      </c>
      <c r="G1507" s="14">
        <f>(VLOOKUP(D1507,'[1]BOM Info General'!$A:$L,12,0))*E1507</f>
        <v>35.56</v>
      </c>
      <c r="H1507" s="34" t="s">
        <v>39</v>
      </c>
      <c r="I1507" s="34">
        <v>1</v>
      </c>
      <c r="J1507" s="34" t="s">
        <v>46</v>
      </c>
      <c r="K1507" s="15">
        <f>(VLOOKUP(H1507,'[1]BOM Info General'!$A:$L,12,0))*I1507</f>
        <v>24.42</v>
      </c>
      <c r="L1507" s="35" t="s">
        <v>523</v>
      </c>
      <c r="M1507" s="35">
        <v>1</v>
      </c>
      <c r="N1507" s="35" t="s">
        <v>61</v>
      </c>
      <c r="O1507" s="9">
        <f>(VLOOKUP(L1507,'[1]Simulation pricing per sub assy'!$D:$E,2,0))*M1507</f>
        <v>42.308799999999991</v>
      </c>
      <c r="P1507" s="36" t="s">
        <v>52</v>
      </c>
      <c r="Q1507" s="36">
        <v>2</v>
      </c>
      <c r="R1507" s="36" t="s">
        <v>18</v>
      </c>
      <c r="S1507" s="40">
        <f>(VLOOKUP(P1507,'[1]BOM Info General'!$A:$L,12,0))*Q1507</f>
        <v>5.3</v>
      </c>
      <c r="T1507" s="37" t="s">
        <v>12</v>
      </c>
      <c r="U1507" s="37">
        <v>1</v>
      </c>
      <c r="V1507" s="37" t="s">
        <v>13</v>
      </c>
      <c r="W1507" s="17">
        <f>(VLOOKUP(T1507,'[1]Simulation pricing per sub assy'!$D:$E,2,0))*U1507</f>
        <v>1.9</v>
      </c>
      <c r="X1507" s="32" t="s">
        <v>615</v>
      </c>
      <c r="Y1507" s="38">
        <v>1</v>
      </c>
      <c r="Z1507" s="38" t="s">
        <v>9</v>
      </c>
      <c r="AA1507" s="18">
        <f>(VLOOKUP(X1507,'[1]Simulation pricing per sub assy'!$D:$E,2,0))*Y1507</f>
        <v>1.5769808000000001</v>
      </c>
    </row>
    <row r="1508" spans="1:27" x14ac:dyDescent="0.35">
      <c r="A1508" s="27" t="s">
        <v>2576</v>
      </c>
      <c r="B1508" s="27" t="s">
        <v>2577</v>
      </c>
      <c r="C1508" s="42">
        <f t="shared" si="23"/>
        <v>112.0457808</v>
      </c>
      <c r="D1508" s="33" t="s">
        <v>2058</v>
      </c>
      <c r="E1508" s="33">
        <v>1</v>
      </c>
      <c r="F1508" s="33" t="s">
        <v>2059</v>
      </c>
      <c r="G1508" s="14">
        <f>(VLOOKUP(D1508,'[1]BOM Info General'!$A:$L,12,0))*E1508</f>
        <v>35.56</v>
      </c>
      <c r="H1508" s="34" t="s">
        <v>39</v>
      </c>
      <c r="I1508" s="34">
        <v>1</v>
      </c>
      <c r="J1508" s="34" t="s">
        <v>46</v>
      </c>
      <c r="K1508" s="15">
        <f>(VLOOKUP(H1508,'[1]BOM Info General'!$A:$L,12,0))*I1508</f>
        <v>24.42</v>
      </c>
      <c r="L1508" s="35" t="s">
        <v>58</v>
      </c>
      <c r="M1508" s="35">
        <v>1</v>
      </c>
      <c r="N1508" s="35" t="s">
        <v>55</v>
      </c>
      <c r="O1508" s="9">
        <f>(VLOOKUP(L1508,'[1]Simulation pricing per sub assy'!$D:$E,2,0))*M1508</f>
        <v>43.288799999999988</v>
      </c>
      <c r="P1508" s="36" t="s">
        <v>52</v>
      </c>
      <c r="Q1508" s="36">
        <v>2</v>
      </c>
      <c r="R1508" s="36" t="s">
        <v>18</v>
      </c>
      <c r="S1508" s="40">
        <f>(VLOOKUP(P1508,'[1]BOM Info General'!$A:$L,12,0))*Q1508</f>
        <v>5.3</v>
      </c>
      <c r="T1508" s="37" t="s">
        <v>12</v>
      </c>
      <c r="U1508" s="37">
        <v>1</v>
      </c>
      <c r="V1508" s="37" t="s">
        <v>13</v>
      </c>
      <c r="W1508" s="17">
        <f>(VLOOKUP(T1508,'[1]Simulation pricing per sub assy'!$D:$E,2,0))*U1508</f>
        <v>1.9</v>
      </c>
      <c r="X1508" s="32" t="s">
        <v>615</v>
      </c>
      <c r="Y1508" s="38">
        <v>1</v>
      </c>
      <c r="Z1508" s="38" t="s">
        <v>9</v>
      </c>
      <c r="AA1508" s="18">
        <f>(VLOOKUP(X1508,'[1]Simulation pricing per sub assy'!$D:$E,2,0))*Y1508</f>
        <v>1.5769808000000001</v>
      </c>
    </row>
    <row r="1509" spans="1:27" x14ac:dyDescent="0.35">
      <c r="A1509" s="27" t="s">
        <v>2578</v>
      </c>
      <c r="B1509" s="27" t="s">
        <v>2579</v>
      </c>
      <c r="C1509" s="42">
        <f t="shared" si="23"/>
        <v>112.6257808</v>
      </c>
      <c r="D1509" s="33" t="s">
        <v>2058</v>
      </c>
      <c r="E1509" s="33">
        <v>1</v>
      </c>
      <c r="F1509" s="33" t="s">
        <v>2059</v>
      </c>
      <c r="G1509" s="14">
        <f>(VLOOKUP(D1509,'[1]BOM Info General'!$A:$L,12,0))*E1509</f>
        <v>35.56</v>
      </c>
      <c r="H1509" s="34" t="s">
        <v>39</v>
      </c>
      <c r="I1509" s="34">
        <v>1</v>
      </c>
      <c r="J1509" s="34" t="s">
        <v>46</v>
      </c>
      <c r="K1509" s="15">
        <f>(VLOOKUP(H1509,'[1]BOM Info General'!$A:$L,12,0))*I1509</f>
        <v>24.42</v>
      </c>
      <c r="L1509" s="35" t="s">
        <v>54</v>
      </c>
      <c r="M1509" s="35">
        <v>1</v>
      </c>
      <c r="N1509" s="35" t="s">
        <v>53</v>
      </c>
      <c r="O1509" s="9">
        <f>(VLOOKUP(L1509,'[1]Simulation pricing per sub assy'!$D:$E,2,0))*M1509</f>
        <v>43.868799999999993</v>
      </c>
      <c r="P1509" s="36" t="s">
        <v>52</v>
      </c>
      <c r="Q1509" s="36">
        <v>2</v>
      </c>
      <c r="R1509" s="36" t="s">
        <v>18</v>
      </c>
      <c r="S1509" s="40">
        <f>(VLOOKUP(P1509,'[1]BOM Info General'!$A:$L,12,0))*Q1509</f>
        <v>5.3</v>
      </c>
      <c r="T1509" s="37" t="s">
        <v>12</v>
      </c>
      <c r="U1509" s="37">
        <v>1</v>
      </c>
      <c r="V1509" s="37" t="s">
        <v>13</v>
      </c>
      <c r="W1509" s="17">
        <f>(VLOOKUP(T1509,'[1]Simulation pricing per sub assy'!$D:$E,2,0))*U1509</f>
        <v>1.9</v>
      </c>
      <c r="X1509" s="32" t="s">
        <v>615</v>
      </c>
      <c r="Y1509" s="38">
        <v>1</v>
      </c>
      <c r="Z1509" s="38" t="s">
        <v>9</v>
      </c>
      <c r="AA1509" s="18">
        <f>(VLOOKUP(X1509,'[1]Simulation pricing per sub assy'!$D:$E,2,0))*Y1509</f>
        <v>1.5769808000000001</v>
      </c>
    </row>
    <row r="1510" spans="1:27" x14ac:dyDescent="0.35">
      <c r="A1510" s="27" t="s">
        <v>2580</v>
      </c>
      <c r="B1510" s="27" t="s">
        <v>2581</v>
      </c>
      <c r="C1510" s="42">
        <f t="shared" si="23"/>
        <v>112.3657808</v>
      </c>
      <c r="D1510" s="33" t="s">
        <v>2058</v>
      </c>
      <c r="E1510" s="33">
        <v>1</v>
      </c>
      <c r="F1510" s="33" t="s">
        <v>2059</v>
      </c>
      <c r="G1510" s="14">
        <f>(VLOOKUP(D1510,'[1]BOM Info General'!$A:$L,12,0))*E1510</f>
        <v>35.56</v>
      </c>
      <c r="H1510" s="34" t="s">
        <v>39</v>
      </c>
      <c r="I1510" s="34">
        <v>1</v>
      </c>
      <c r="J1510" s="34" t="s">
        <v>46</v>
      </c>
      <c r="K1510" s="15">
        <f>(VLOOKUP(H1510,'[1]BOM Info General'!$A:$L,12,0))*I1510</f>
        <v>24.42</v>
      </c>
      <c r="L1510" s="35" t="s">
        <v>60</v>
      </c>
      <c r="M1510" s="35">
        <v>1</v>
      </c>
      <c r="N1510" s="35" t="s">
        <v>57</v>
      </c>
      <c r="O1510" s="9">
        <f>(VLOOKUP(L1510,'[1]Simulation pricing per sub assy'!$D:$E,2,0))*M1510</f>
        <v>43.608799999999988</v>
      </c>
      <c r="P1510" s="36" t="s">
        <v>52</v>
      </c>
      <c r="Q1510" s="36">
        <v>2</v>
      </c>
      <c r="R1510" s="36" t="s">
        <v>18</v>
      </c>
      <c r="S1510" s="40">
        <f>(VLOOKUP(P1510,'[1]BOM Info General'!$A:$L,12,0))*Q1510</f>
        <v>5.3</v>
      </c>
      <c r="T1510" s="37" t="s">
        <v>12</v>
      </c>
      <c r="U1510" s="37">
        <v>1</v>
      </c>
      <c r="V1510" s="37" t="s">
        <v>13</v>
      </c>
      <c r="W1510" s="17">
        <f>(VLOOKUP(T1510,'[1]Simulation pricing per sub assy'!$D:$E,2,0))*U1510</f>
        <v>1.9</v>
      </c>
      <c r="X1510" s="32" t="s">
        <v>615</v>
      </c>
      <c r="Y1510" s="38">
        <v>1</v>
      </c>
      <c r="Z1510" s="38" t="s">
        <v>9</v>
      </c>
      <c r="AA1510" s="18">
        <f>(VLOOKUP(X1510,'[1]Simulation pricing per sub assy'!$D:$E,2,0))*Y1510</f>
        <v>1.5769808000000001</v>
      </c>
    </row>
    <row r="1511" spans="1:27" x14ac:dyDescent="0.35">
      <c r="A1511" s="27" t="s">
        <v>2582</v>
      </c>
      <c r="B1511" s="27" t="s">
        <v>2583</v>
      </c>
      <c r="C1511" s="42">
        <f t="shared" si="23"/>
        <v>120.0357808</v>
      </c>
      <c r="D1511" s="33" t="s">
        <v>2058</v>
      </c>
      <c r="E1511" s="33">
        <v>1</v>
      </c>
      <c r="F1511" s="33" t="s">
        <v>2059</v>
      </c>
      <c r="G1511" s="14">
        <f>(VLOOKUP(D1511,'[1]BOM Info General'!$A:$L,12,0))*E1511</f>
        <v>35.56</v>
      </c>
      <c r="H1511" s="34" t="s">
        <v>39</v>
      </c>
      <c r="I1511" s="34">
        <v>1</v>
      </c>
      <c r="J1511" s="34" t="s">
        <v>46</v>
      </c>
      <c r="K1511" s="15">
        <f>(VLOOKUP(H1511,'[1]BOM Info General'!$A:$L,12,0))*I1511</f>
        <v>24.42</v>
      </c>
      <c r="L1511" s="35" t="s">
        <v>56</v>
      </c>
      <c r="M1511" s="35">
        <v>1</v>
      </c>
      <c r="N1511" s="35" t="s">
        <v>59</v>
      </c>
      <c r="O1511" s="9">
        <f>(VLOOKUP(L1511,'[1]Simulation pricing per sub assy'!$D:$E,2,0))*M1511</f>
        <v>51.27879999999999</v>
      </c>
      <c r="P1511" s="36" t="s">
        <v>52</v>
      </c>
      <c r="Q1511" s="36">
        <v>2</v>
      </c>
      <c r="R1511" s="36" t="s">
        <v>18</v>
      </c>
      <c r="S1511" s="40">
        <f>(VLOOKUP(P1511,'[1]BOM Info General'!$A:$L,12,0))*Q1511</f>
        <v>5.3</v>
      </c>
      <c r="T1511" s="37" t="s">
        <v>12</v>
      </c>
      <c r="U1511" s="37">
        <v>1</v>
      </c>
      <c r="V1511" s="37" t="s">
        <v>13</v>
      </c>
      <c r="W1511" s="17">
        <f>(VLOOKUP(T1511,'[1]Simulation pricing per sub assy'!$D:$E,2,0))*U1511</f>
        <v>1.9</v>
      </c>
      <c r="X1511" s="32" t="s">
        <v>615</v>
      </c>
      <c r="Y1511" s="38">
        <v>1</v>
      </c>
      <c r="Z1511" s="38" t="s">
        <v>9</v>
      </c>
      <c r="AA1511" s="18">
        <f>(VLOOKUP(X1511,'[1]Simulation pricing per sub assy'!$D:$E,2,0))*Y1511</f>
        <v>1.5769808000000001</v>
      </c>
    </row>
    <row r="1512" spans="1:27" x14ac:dyDescent="0.35">
      <c r="A1512" s="27" t="s">
        <v>2584</v>
      </c>
      <c r="B1512" s="27" t="s">
        <v>2585</v>
      </c>
      <c r="C1512" s="42">
        <f t="shared" si="23"/>
        <v>111.0657808</v>
      </c>
      <c r="D1512" s="33" t="s">
        <v>2058</v>
      </c>
      <c r="E1512" s="33">
        <v>1</v>
      </c>
      <c r="F1512" s="33" t="s">
        <v>2059</v>
      </c>
      <c r="G1512" s="14">
        <f>(VLOOKUP(D1512,'[1]BOM Info General'!$A:$L,12,0))*E1512</f>
        <v>35.56</v>
      </c>
      <c r="H1512" s="34" t="s">
        <v>39</v>
      </c>
      <c r="I1512" s="34">
        <v>1</v>
      </c>
      <c r="J1512" s="34" t="s">
        <v>46</v>
      </c>
      <c r="K1512" s="15">
        <f>(VLOOKUP(H1512,'[1]BOM Info General'!$A:$L,12,0))*I1512</f>
        <v>24.42</v>
      </c>
      <c r="L1512" s="35" t="s">
        <v>523</v>
      </c>
      <c r="M1512" s="35">
        <v>1</v>
      </c>
      <c r="N1512" s="35" t="s">
        <v>61</v>
      </c>
      <c r="O1512" s="9">
        <f>(VLOOKUP(L1512,'[1]Simulation pricing per sub assy'!$D:$E,2,0))*M1512</f>
        <v>42.308799999999991</v>
      </c>
      <c r="P1512" s="36" t="s">
        <v>52</v>
      </c>
      <c r="Q1512" s="36">
        <v>2</v>
      </c>
      <c r="R1512" s="36" t="s">
        <v>18</v>
      </c>
      <c r="S1512" s="40">
        <f>(VLOOKUP(P1512,'[1]BOM Info General'!$A:$L,12,0))*Q1512</f>
        <v>5.3</v>
      </c>
      <c r="T1512" s="37" t="s">
        <v>14</v>
      </c>
      <c r="U1512" s="37">
        <v>1</v>
      </c>
      <c r="V1512" s="37" t="s">
        <v>15</v>
      </c>
      <c r="W1512" s="17">
        <f>(VLOOKUP(T1512,'[1]Simulation pricing per sub assy'!$D:$E,2,0))*U1512</f>
        <v>1.9</v>
      </c>
      <c r="X1512" s="32" t="s">
        <v>615</v>
      </c>
      <c r="Y1512" s="38">
        <v>1</v>
      </c>
      <c r="Z1512" s="38" t="s">
        <v>9</v>
      </c>
      <c r="AA1512" s="18">
        <f>(VLOOKUP(X1512,'[1]Simulation pricing per sub assy'!$D:$E,2,0))*Y1512</f>
        <v>1.5769808000000001</v>
      </c>
    </row>
    <row r="1513" spans="1:27" x14ac:dyDescent="0.35">
      <c r="A1513" s="27" t="s">
        <v>2586</v>
      </c>
      <c r="B1513" s="27" t="s">
        <v>2587</v>
      </c>
      <c r="C1513" s="42">
        <f t="shared" si="23"/>
        <v>112.0457808</v>
      </c>
      <c r="D1513" s="33" t="s">
        <v>2058</v>
      </c>
      <c r="E1513" s="33">
        <v>1</v>
      </c>
      <c r="F1513" s="33" t="s">
        <v>2059</v>
      </c>
      <c r="G1513" s="14">
        <f>(VLOOKUP(D1513,'[1]BOM Info General'!$A:$L,12,0))*E1513</f>
        <v>35.56</v>
      </c>
      <c r="H1513" s="34" t="s">
        <v>39</v>
      </c>
      <c r="I1513" s="34">
        <v>1</v>
      </c>
      <c r="J1513" s="34" t="s">
        <v>46</v>
      </c>
      <c r="K1513" s="15">
        <f>(VLOOKUP(H1513,'[1]BOM Info General'!$A:$L,12,0))*I1513</f>
        <v>24.42</v>
      </c>
      <c r="L1513" s="35" t="s">
        <v>58</v>
      </c>
      <c r="M1513" s="35">
        <v>1</v>
      </c>
      <c r="N1513" s="35" t="s">
        <v>55</v>
      </c>
      <c r="O1513" s="9">
        <f>(VLOOKUP(L1513,'[1]Simulation pricing per sub assy'!$D:$E,2,0))*M1513</f>
        <v>43.288799999999988</v>
      </c>
      <c r="P1513" s="36" t="s">
        <v>52</v>
      </c>
      <c r="Q1513" s="36">
        <v>2</v>
      </c>
      <c r="R1513" s="36" t="s">
        <v>18</v>
      </c>
      <c r="S1513" s="40">
        <f>(VLOOKUP(P1513,'[1]BOM Info General'!$A:$L,12,0))*Q1513</f>
        <v>5.3</v>
      </c>
      <c r="T1513" s="37" t="s">
        <v>14</v>
      </c>
      <c r="U1513" s="37">
        <v>1</v>
      </c>
      <c r="V1513" s="37" t="s">
        <v>15</v>
      </c>
      <c r="W1513" s="17">
        <f>(VLOOKUP(T1513,'[1]Simulation pricing per sub assy'!$D:$E,2,0))*U1513</f>
        <v>1.9</v>
      </c>
      <c r="X1513" s="32" t="s">
        <v>615</v>
      </c>
      <c r="Y1513" s="38">
        <v>1</v>
      </c>
      <c r="Z1513" s="38" t="s">
        <v>9</v>
      </c>
      <c r="AA1513" s="18">
        <f>(VLOOKUP(X1513,'[1]Simulation pricing per sub assy'!$D:$E,2,0))*Y1513</f>
        <v>1.5769808000000001</v>
      </c>
    </row>
    <row r="1514" spans="1:27" x14ac:dyDescent="0.35">
      <c r="A1514" s="27" t="s">
        <v>2588</v>
      </c>
      <c r="B1514" s="27" t="s">
        <v>2589</v>
      </c>
      <c r="C1514" s="42">
        <f t="shared" si="23"/>
        <v>112.6257808</v>
      </c>
      <c r="D1514" s="33" t="s">
        <v>2058</v>
      </c>
      <c r="E1514" s="33">
        <v>1</v>
      </c>
      <c r="F1514" s="33" t="s">
        <v>2059</v>
      </c>
      <c r="G1514" s="14">
        <f>(VLOOKUP(D1514,'[1]BOM Info General'!$A:$L,12,0))*E1514</f>
        <v>35.56</v>
      </c>
      <c r="H1514" s="34" t="s">
        <v>39</v>
      </c>
      <c r="I1514" s="34">
        <v>1</v>
      </c>
      <c r="J1514" s="34" t="s">
        <v>46</v>
      </c>
      <c r="K1514" s="15">
        <f>(VLOOKUP(H1514,'[1]BOM Info General'!$A:$L,12,0))*I1514</f>
        <v>24.42</v>
      </c>
      <c r="L1514" s="35" t="s">
        <v>54</v>
      </c>
      <c r="M1514" s="35">
        <v>1</v>
      </c>
      <c r="N1514" s="35" t="s">
        <v>53</v>
      </c>
      <c r="O1514" s="9">
        <f>(VLOOKUP(L1514,'[1]Simulation pricing per sub assy'!$D:$E,2,0))*M1514</f>
        <v>43.868799999999993</v>
      </c>
      <c r="P1514" s="36" t="s">
        <v>52</v>
      </c>
      <c r="Q1514" s="36">
        <v>2</v>
      </c>
      <c r="R1514" s="36" t="s">
        <v>18</v>
      </c>
      <c r="S1514" s="40">
        <f>(VLOOKUP(P1514,'[1]BOM Info General'!$A:$L,12,0))*Q1514</f>
        <v>5.3</v>
      </c>
      <c r="T1514" s="37" t="s">
        <v>14</v>
      </c>
      <c r="U1514" s="37">
        <v>1</v>
      </c>
      <c r="V1514" s="37" t="s">
        <v>15</v>
      </c>
      <c r="W1514" s="17">
        <f>(VLOOKUP(T1514,'[1]Simulation pricing per sub assy'!$D:$E,2,0))*U1514</f>
        <v>1.9</v>
      </c>
      <c r="X1514" s="32" t="s">
        <v>615</v>
      </c>
      <c r="Y1514" s="38">
        <v>1</v>
      </c>
      <c r="Z1514" s="38" t="s">
        <v>9</v>
      </c>
      <c r="AA1514" s="18">
        <f>(VLOOKUP(X1514,'[1]Simulation pricing per sub assy'!$D:$E,2,0))*Y1514</f>
        <v>1.5769808000000001</v>
      </c>
    </row>
    <row r="1515" spans="1:27" x14ac:dyDescent="0.35">
      <c r="A1515" s="27" t="s">
        <v>2590</v>
      </c>
      <c r="B1515" s="27" t="s">
        <v>2591</v>
      </c>
      <c r="C1515" s="42">
        <f t="shared" si="23"/>
        <v>112.3657808</v>
      </c>
      <c r="D1515" s="33" t="s">
        <v>2058</v>
      </c>
      <c r="E1515" s="33">
        <v>1</v>
      </c>
      <c r="F1515" s="33" t="s">
        <v>2059</v>
      </c>
      <c r="G1515" s="14">
        <f>(VLOOKUP(D1515,'[1]BOM Info General'!$A:$L,12,0))*E1515</f>
        <v>35.56</v>
      </c>
      <c r="H1515" s="34" t="s">
        <v>39</v>
      </c>
      <c r="I1515" s="34">
        <v>1</v>
      </c>
      <c r="J1515" s="34" t="s">
        <v>46</v>
      </c>
      <c r="K1515" s="15">
        <f>(VLOOKUP(H1515,'[1]BOM Info General'!$A:$L,12,0))*I1515</f>
        <v>24.42</v>
      </c>
      <c r="L1515" s="35" t="s">
        <v>60</v>
      </c>
      <c r="M1515" s="35">
        <v>1</v>
      </c>
      <c r="N1515" s="35" t="s">
        <v>57</v>
      </c>
      <c r="O1515" s="9">
        <f>(VLOOKUP(L1515,'[1]Simulation pricing per sub assy'!$D:$E,2,0))*M1515</f>
        <v>43.608799999999988</v>
      </c>
      <c r="P1515" s="36" t="s">
        <v>52</v>
      </c>
      <c r="Q1515" s="36">
        <v>2</v>
      </c>
      <c r="R1515" s="36" t="s">
        <v>18</v>
      </c>
      <c r="S1515" s="40">
        <f>(VLOOKUP(P1515,'[1]BOM Info General'!$A:$L,12,0))*Q1515</f>
        <v>5.3</v>
      </c>
      <c r="T1515" s="37" t="s">
        <v>14</v>
      </c>
      <c r="U1515" s="37">
        <v>1</v>
      </c>
      <c r="V1515" s="37" t="s">
        <v>15</v>
      </c>
      <c r="W1515" s="17">
        <f>(VLOOKUP(T1515,'[1]Simulation pricing per sub assy'!$D:$E,2,0))*U1515</f>
        <v>1.9</v>
      </c>
      <c r="X1515" s="32" t="s">
        <v>615</v>
      </c>
      <c r="Y1515" s="38">
        <v>1</v>
      </c>
      <c r="Z1515" s="38" t="s">
        <v>9</v>
      </c>
      <c r="AA1515" s="18">
        <f>(VLOOKUP(X1515,'[1]Simulation pricing per sub assy'!$D:$E,2,0))*Y1515</f>
        <v>1.5769808000000001</v>
      </c>
    </row>
    <row r="1516" spans="1:27" x14ac:dyDescent="0.35">
      <c r="A1516" s="27" t="s">
        <v>2592</v>
      </c>
      <c r="B1516" s="27" t="s">
        <v>2593</v>
      </c>
      <c r="C1516" s="42">
        <f t="shared" si="23"/>
        <v>120.0357808</v>
      </c>
      <c r="D1516" s="33" t="s">
        <v>2058</v>
      </c>
      <c r="E1516" s="33">
        <v>1</v>
      </c>
      <c r="F1516" s="33" t="s">
        <v>2059</v>
      </c>
      <c r="G1516" s="14">
        <f>(VLOOKUP(D1516,'[1]BOM Info General'!$A:$L,12,0))*E1516</f>
        <v>35.56</v>
      </c>
      <c r="H1516" s="34" t="s">
        <v>39</v>
      </c>
      <c r="I1516" s="34">
        <v>1</v>
      </c>
      <c r="J1516" s="34" t="s">
        <v>46</v>
      </c>
      <c r="K1516" s="15">
        <f>(VLOOKUP(H1516,'[1]BOM Info General'!$A:$L,12,0))*I1516</f>
        <v>24.42</v>
      </c>
      <c r="L1516" s="35" t="s">
        <v>56</v>
      </c>
      <c r="M1516" s="35">
        <v>1</v>
      </c>
      <c r="N1516" s="35" t="s">
        <v>59</v>
      </c>
      <c r="O1516" s="9">
        <f>(VLOOKUP(L1516,'[1]Simulation pricing per sub assy'!$D:$E,2,0))*M1516</f>
        <v>51.27879999999999</v>
      </c>
      <c r="P1516" s="36" t="s">
        <v>52</v>
      </c>
      <c r="Q1516" s="36">
        <v>2</v>
      </c>
      <c r="R1516" s="36" t="s">
        <v>18</v>
      </c>
      <c r="S1516" s="40">
        <f>(VLOOKUP(P1516,'[1]BOM Info General'!$A:$L,12,0))*Q1516</f>
        <v>5.3</v>
      </c>
      <c r="T1516" s="37" t="s">
        <v>14</v>
      </c>
      <c r="U1516" s="37">
        <v>1</v>
      </c>
      <c r="V1516" s="37" t="s">
        <v>15</v>
      </c>
      <c r="W1516" s="17">
        <f>(VLOOKUP(T1516,'[1]Simulation pricing per sub assy'!$D:$E,2,0))*U1516</f>
        <v>1.9</v>
      </c>
      <c r="X1516" s="32" t="s">
        <v>615</v>
      </c>
      <c r="Y1516" s="38">
        <v>1</v>
      </c>
      <c r="Z1516" s="38" t="s">
        <v>9</v>
      </c>
      <c r="AA1516" s="18">
        <f>(VLOOKUP(X1516,'[1]Simulation pricing per sub assy'!$D:$E,2,0))*Y1516</f>
        <v>1.5769808000000001</v>
      </c>
    </row>
    <row r="1517" spans="1:27" x14ac:dyDescent="0.35">
      <c r="A1517" s="27" t="s">
        <v>2594</v>
      </c>
      <c r="B1517" s="27" t="s">
        <v>2595</v>
      </c>
      <c r="C1517" s="42">
        <f t="shared" si="23"/>
        <v>111.5057808</v>
      </c>
      <c r="D1517" s="33" t="s">
        <v>2058</v>
      </c>
      <c r="E1517" s="33">
        <v>1</v>
      </c>
      <c r="F1517" s="33" t="s">
        <v>2059</v>
      </c>
      <c r="G1517" s="14">
        <f>(VLOOKUP(D1517,'[1]BOM Info General'!$A:$L,12,0))*E1517</f>
        <v>35.56</v>
      </c>
      <c r="H1517" s="34" t="s">
        <v>39</v>
      </c>
      <c r="I1517" s="34">
        <v>1</v>
      </c>
      <c r="J1517" s="34" t="s">
        <v>46</v>
      </c>
      <c r="K1517" s="15">
        <f>(VLOOKUP(H1517,'[1]BOM Info General'!$A:$L,12,0))*I1517</f>
        <v>24.42</v>
      </c>
      <c r="L1517" s="35" t="s">
        <v>523</v>
      </c>
      <c r="M1517" s="35">
        <v>1</v>
      </c>
      <c r="N1517" s="35" t="s">
        <v>61</v>
      </c>
      <c r="O1517" s="9">
        <f>(VLOOKUP(L1517,'[1]Simulation pricing per sub assy'!$D:$E,2,0))*M1517</f>
        <v>42.308799999999991</v>
      </c>
      <c r="P1517" s="36" t="s">
        <v>50</v>
      </c>
      <c r="Q1517" s="36">
        <v>2</v>
      </c>
      <c r="R1517" s="36" t="s">
        <v>611</v>
      </c>
      <c r="S1517" s="40">
        <f>(VLOOKUP(P1517,'[1]BOM Info General'!$A:$L,12,0))*Q1517</f>
        <v>5.3</v>
      </c>
      <c r="T1517" s="37" t="s">
        <v>19</v>
      </c>
      <c r="U1517" s="37">
        <v>1</v>
      </c>
      <c r="V1517" s="37" t="s">
        <v>20</v>
      </c>
      <c r="W1517" s="17">
        <f>(VLOOKUP(T1517,'[1]Simulation pricing per sub assy'!$D:$E,2,0))*U1517</f>
        <v>2.3400000000000003</v>
      </c>
      <c r="X1517" s="32" t="s">
        <v>615</v>
      </c>
      <c r="Y1517" s="38">
        <v>1</v>
      </c>
      <c r="Z1517" s="38" t="s">
        <v>9</v>
      </c>
      <c r="AA1517" s="18">
        <f>(VLOOKUP(X1517,'[1]Simulation pricing per sub assy'!$D:$E,2,0))*Y1517</f>
        <v>1.5769808000000001</v>
      </c>
    </row>
    <row r="1518" spans="1:27" x14ac:dyDescent="0.35">
      <c r="A1518" s="27" t="s">
        <v>2596</v>
      </c>
      <c r="B1518" s="27" t="s">
        <v>2597</v>
      </c>
      <c r="C1518" s="42">
        <f t="shared" si="23"/>
        <v>112.4857808</v>
      </c>
      <c r="D1518" s="33" t="s">
        <v>2058</v>
      </c>
      <c r="E1518" s="33">
        <v>1</v>
      </c>
      <c r="F1518" s="33" t="s">
        <v>2059</v>
      </c>
      <c r="G1518" s="14">
        <f>(VLOOKUP(D1518,'[1]BOM Info General'!$A:$L,12,0))*E1518</f>
        <v>35.56</v>
      </c>
      <c r="H1518" s="34" t="s">
        <v>39</v>
      </c>
      <c r="I1518" s="34">
        <v>1</v>
      </c>
      <c r="J1518" s="34" t="s">
        <v>46</v>
      </c>
      <c r="K1518" s="15">
        <f>(VLOOKUP(H1518,'[1]BOM Info General'!$A:$L,12,0))*I1518</f>
        <v>24.42</v>
      </c>
      <c r="L1518" s="35" t="s">
        <v>58</v>
      </c>
      <c r="M1518" s="35">
        <v>1</v>
      </c>
      <c r="N1518" s="35" t="s">
        <v>55</v>
      </c>
      <c r="O1518" s="9">
        <f>(VLOOKUP(L1518,'[1]Simulation pricing per sub assy'!$D:$E,2,0))*M1518</f>
        <v>43.288799999999988</v>
      </c>
      <c r="P1518" s="36" t="s">
        <v>50</v>
      </c>
      <c r="Q1518" s="36">
        <v>2</v>
      </c>
      <c r="R1518" s="36" t="s">
        <v>611</v>
      </c>
      <c r="S1518" s="40">
        <f>(VLOOKUP(P1518,'[1]BOM Info General'!$A:$L,12,0))*Q1518</f>
        <v>5.3</v>
      </c>
      <c r="T1518" s="37" t="s">
        <v>19</v>
      </c>
      <c r="U1518" s="37">
        <v>1</v>
      </c>
      <c r="V1518" s="37" t="s">
        <v>20</v>
      </c>
      <c r="W1518" s="17">
        <f>(VLOOKUP(T1518,'[1]Simulation pricing per sub assy'!$D:$E,2,0))*U1518</f>
        <v>2.3400000000000003</v>
      </c>
      <c r="X1518" s="32" t="s">
        <v>615</v>
      </c>
      <c r="Y1518" s="38">
        <v>1</v>
      </c>
      <c r="Z1518" s="38" t="s">
        <v>9</v>
      </c>
      <c r="AA1518" s="18">
        <f>(VLOOKUP(X1518,'[1]Simulation pricing per sub assy'!$D:$E,2,0))*Y1518</f>
        <v>1.5769808000000001</v>
      </c>
    </row>
    <row r="1519" spans="1:27" x14ac:dyDescent="0.35">
      <c r="A1519" s="27" t="s">
        <v>2598</v>
      </c>
      <c r="B1519" s="27" t="s">
        <v>2599</v>
      </c>
      <c r="C1519" s="42">
        <f t="shared" si="23"/>
        <v>113.0657808</v>
      </c>
      <c r="D1519" s="33" t="s">
        <v>2058</v>
      </c>
      <c r="E1519" s="33">
        <v>1</v>
      </c>
      <c r="F1519" s="33" t="s">
        <v>2059</v>
      </c>
      <c r="G1519" s="14">
        <f>(VLOOKUP(D1519,'[1]BOM Info General'!$A:$L,12,0))*E1519</f>
        <v>35.56</v>
      </c>
      <c r="H1519" s="34" t="s">
        <v>39</v>
      </c>
      <c r="I1519" s="34">
        <v>1</v>
      </c>
      <c r="J1519" s="34" t="s">
        <v>46</v>
      </c>
      <c r="K1519" s="15">
        <f>(VLOOKUP(H1519,'[1]BOM Info General'!$A:$L,12,0))*I1519</f>
        <v>24.42</v>
      </c>
      <c r="L1519" s="35" t="s">
        <v>54</v>
      </c>
      <c r="M1519" s="35">
        <v>1</v>
      </c>
      <c r="N1519" s="35" t="s">
        <v>53</v>
      </c>
      <c r="O1519" s="9">
        <f>(VLOOKUP(L1519,'[1]Simulation pricing per sub assy'!$D:$E,2,0))*M1519</f>
        <v>43.868799999999993</v>
      </c>
      <c r="P1519" s="36" t="s">
        <v>50</v>
      </c>
      <c r="Q1519" s="36">
        <v>2</v>
      </c>
      <c r="R1519" s="36" t="s">
        <v>611</v>
      </c>
      <c r="S1519" s="40">
        <f>(VLOOKUP(P1519,'[1]BOM Info General'!$A:$L,12,0))*Q1519</f>
        <v>5.3</v>
      </c>
      <c r="T1519" s="37" t="s">
        <v>19</v>
      </c>
      <c r="U1519" s="37">
        <v>1</v>
      </c>
      <c r="V1519" s="37" t="s">
        <v>20</v>
      </c>
      <c r="W1519" s="17">
        <f>(VLOOKUP(T1519,'[1]Simulation pricing per sub assy'!$D:$E,2,0))*U1519</f>
        <v>2.3400000000000003</v>
      </c>
      <c r="X1519" s="32" t="s">
        <v>615</v>
      </c>
      <c r="Y1519" s="38">
        <v>1</v>
      </c>
      <c r="Z1519" s="38" t="s">
        <v>9</v>
      </c>
      <c r="AA1519" s="18">
        <f>(VLOOKUP(X1519,'[1]Simulation pricing per sub assy'!$D:$E,2,0))*Y1519</f>
        <v>1.5769808000000001</v>
      </c>
    </row>
    <row r="1520" spans="1:27" x14ac:dyDescent="0.35">
      <c r="A1520" s="27" t="s">
        <v>2600</v>
      </c>
      <c r="B1520" s="27" t="s">
        <v>2601</v>
      </c>
      <c r="C1520" s="42">
        <f t="shared" si="23"/>
        <v>112.80578079999999</v>
      </c>
      <c r="D1520" s="33" t="s">
        <v>2058</v>
      </c>
      <c r="E1520" s="33">
        <v>1</v>
      </c>
      <c r="F1520" s="33" t="s">
        <v>2059</v>
      </c>
      <c r="G1520" s="14">
        <f>(VLOOKUP(D1520,'[1]BOM Info General'!$A:$L,12,0))*E1520</f>
        <v>35.56</v>
      </c>
      <c r="H1520" s="34" t="s">
        <v>39</v>
      </c>
      <c r="I1520" s="34">
        <v>1</v>
      </c>
      <c r="J1520" s="34" t="s">
        <v>46</v>
      </c>
      <c r="K1520" s="15">
        <f>(VLOOKUP(H1520,'[1]BOM Info General'!$A:$L,12,0))*I1520</f>
        <v>24.42</v>
      </c>
      <c r="L1520" s="35" t="s">
        <v>60</v>
      </c>
      <c r="M1520" s="35">
        <v>1</v>
      </c>
      <c r="N1520" s="35" t="s">
        <v>57</v>
      </c>
      <c r="O1520" s="9">
        <f>(VLOOKUP(L1520,'[1]Simulation pricing per sub assy'!$D:$E,2,0))*M1520</f>
        <v>43.608799999999988</v>
      </c>
      <c r="P1520" s="36" t="s">
        <v>50</v>
      </c>
      <c r="Q1520" s="36">
        <v>2</v>
      </c>
      <c r="R1520" s="36" t="s">
        <v>611</v>
      </c>
      <c r="S1520" s="40">
        <f>(VLOOKUP(P1520,'[1]BOM Info General'!$A:$L,12,0))*Q1520</f>
        <v>5.3</v>
      </c>
      <c r="T1520" s="37" t="s">
        <v>19</v>
      </c>
      <c r="U1520" s="37">
        <v>1</v>
      </c>
      <c r="V1520" s="37" t="s">
        <v>20</v>
      </c>
      <c r="W1520" s="17">
        <f>(VLOOKUP(T1520,'[1]Simulation pricing per sub assy'!$D:$E,2,0))*U1520</f>
        <v>2.3400000000000003</v>
      </c>
      <c r="X1520" s="32" t="s">
        <v>615</v>
      </c>
      <c r="Y1520" s="38">
        <v>1</v>
      </c>
      <c r="Z1520" s="38" t="s">
        <v>9</v>
      </c>
      <c r="AA1520" s="18">
        <f>(VLOOKUP(X1520,'[1]Simulation pricing per sub assy'!$D:$E,2,0))*Y1520</f>
        <v>1.5769808000000001</v>
      </c>
    </row>
    <row r="1521" spans="1:27" x14ac:dyDescent="0.35">
      <c r="A1521" s="27" t="s">
        <v>2602</v>
      </c>
      <c r="B1521" s="27" t="s">
        <v>2603</v>
      </c>
      <c r="C1521" s="42">
        <f t="shared" si="23"/>
        <v>120.4757808</v>
      </c>
      <c r="D1521" s="33" t="s">
        <v>2058</v>
      </c>
      <c r="E1521" s="33">
        <v>1</v>
      </c>
      <c r="F1521" s="33" t="s">
        <v>2059</v>
      </c>
      <c r="G1521" s="14">
        <f>(VLOOKUP(D1521,'[1]BOM Info General'!$A:$L,12,0))*E1521</f>
        <v>35.56</v>
      </c>
      <c r="H1521" s="34" t="s">
        <v>39</v>
      </c>
      <c r="I1521" s="34">
        <v>1</v>
      </c>
      <c r="J1521" s="34" t="s">
        <v>46</v>
      </c>
      <c r="K1521" s="15">
        <f>(VLOOKUP(H1521,'[1]BOM Info General'!$A:$L,12,0))*I1521</f>
        <v>24.42</v>
      </c>
      <c r="L1521" s="35" t="s">
        <v>56</v>
      </c>
      <c r="M1521" s="35">
        <v>1</v>
      </c>
      <c r="N1521" s="35" t="s">
        <v>59</v>
      </c>
      <c r="O1521" s="9">
        <f>(VLOOKUP(L1521,'[1]Simulation pricing per sub assy'!$D:$E,2,0))*M1521</f>
        <v>51.27879999999999</v>
      </c>
      <c r="P1521" s="36" t="s">
        <v>50</v>
      </c>
      <c r="Q1521" s="36">
        <v>2</v>
      </c>
      <c r="R1521" s="36" t="s">
        <v>611</v>
      </c>
      <c r="S1521" s="40">
        <f>(VLOOKUP(P1521,'[1]BOM Info General'!$A:$L,12,0))*Q1521</f>
        <v>5.3</v>
      </c>
      <c r="T1521" s="37" t="s">
        <v>19</v>
      </c>
      <c r="U1521" s="37">
        <v>1</v>
      </c>
      <c r="V1521" s="37" t="s">
        <v>20</v>
      </c>
      <c r="W1521" s="17">
        <f>(VLOOKUP(T1521,'[1]Simulation pricing per sub assy'!$D:$E,2,0))*U1521</f>
        <v>2.3400000000000003</v>
      </c>
      <c r="X1521" s="32" t="s">
        <v>615</v>
      </c>
      <c r="Y1521" s="38">
        <v>1</v>
      </c>
      <c r="Z1521" s="38" t="s">
        <v>9</v>
      </c>
      <c r="AA1521" s="18">
        <f>(VLOOKUP(X1521,'[1]Simulation pricing per sub assy'!$D:$E,2,0))*Y1521</f>
        <v>1.5769808000000001</v>
      </c>
    </row>
    <row r="1522" spans="1:27" x14ac:dyDescent="0.35">
      <c r="A1522" s="27" t="s">
        <v>2604</v>
      </c>
      <c r="B1522" s="27" t="s">
        <v>4559</v>
      </c>
      <c r="C1522" s="42">
        <f t="shared" si="23"/>
        <v>111.01578079999999</v>
      </c>
      <c r="D1522" s="28" t="s">
        <v>2058</v>
      </c>
      <c r="E1522" s="28">
        <v>1</v>
      </c>
      <c r="F1522" s="28" t="s">
        <v>2059</v>
      </c>
      <c r="G1522" s="14">
        <f>(VLOOKUP(D1522,'[1]BOM Info General'!$A:$L,12,0))*E1522</f>
        <v>35.56</v>
      </c>
      <c r="H1522" s="29" t="s">
        <v>39</v>
      </c>
      <c r="I1522" s="29">
        <v>1</v>
      </c>
      <c r="J1522" s="29" t="s">
        <v>46</v>
      </c>
      <c r="K1522" s="15">
        <f>(VLOOKUP(H1522,'[1]BOM Info General'!$A:$L,12,0))*I1522</f>
        <v>24.42</v>
      </c>
      <c r="L1522" s="26" t="s">
        <v>523</v>
      </c>
      <c r="M1522" s="26">
        <v>1</v>
      </c>
      <c r="N1522" s="26" t="s">
        <v>61</v>
      </c>
      <c r="O1522" s="9">
        <f>(VLOOKUP(L1522,'[1]Simulation pricing per sub assy'!$D:$E,2,0))*M1522</f>
        <v>42.308799999999991</v>
      </c>
      <c r="P1522" s="30" t="s">
        <v>50</v>
      </c>
      <c r="Q1522" s="30">
        <v>2</v>
      </c>
      <c r="R1522" s="30" t="s">
        <v>611</v>
      </c>
      <c r="S1522" s="40">
        <f>(VLOOKUP(P1522,'[1]BOM Info General'!$A:$L,12,0))*Q1522</f>
        <v>5.3</v>
      </c>
      <c r="T1522" s="31" t="s">
        <v>7</v>
      </c>
      <c r="U1522" s="31">
        <v>1</v>
      </c>
      <c r="V1522" s="31" t="s">
        <v>8</v>
      </c>
      <c r="W1522" s="17">
        <f>(VLOOKUP(T1522,'[1]Simulation pricing per sub assy'!$D:$E,2,0))*U1522</f>
        <v>1.85</v>
      </c>
      <c r="X1522" s="32" t="s">
        <v>615</v>
      </c>
      <c r="Y1522" s="32">
        <v>1</v>
      </c>
      <c r="Z1522" s="32" t="s">
        <v>9</v>
      </c>
      <c r="AA1522" s="18">
        <f>(VLOOKUP(X1522,'[1]Simulation pricing per sub assy'!$D:$E,2,0))*Y1522</f>
        <v>1.5769808000000001</v>
      </c>
    </row>
    <row r="1523" spans="1:27" x14ac:dyDescent="0.35">
      <c r="A1523" s="27" t="s">
        <v>2605</v>
      </c>
      <c r="B1523" s="27" t="s">
        <v>4560</v>
      </c>
      <c r="C1523" s="42">
        <f t="shared" si="23"/>
        <v>111.99578079999999</v>
      </c>
      <c r="D1523" s="28" t="s">
        <v>2058</v>
      </c>
      <c r="E1523" s="28">
        <v>1</v>
      </c>
      <c r="F1523" s="28" t="s">
        <v>2059</v>
      </c>
      <c r="G1523" s="14">
        <f>(VLOOKUP(D1523,'[1]BOM Info General'!$A:$L,12,0))*E1523</f>
        <v>35.56</v>
      </c>
      <c r="H1523" s="29" t="s">
        <v>39</v>
      </c>
      <c r="I1523" s="29">
        <v>1</v>
      </c>
      <c r="J1523" s="29" t="s">
        <v>46</v>
      </c>
      <c r="K1523" s="15">
        <f>(VLOOKUP(H1523,'[1]BOM Info General'!$A:$L,12,0))*I1523</f>
        <v>24.42</v>
      </c>
      <c r="L1523" s="26" t="s">
        <v>58</v>
      </c>
      <c r="M1523" s="26">
        <v>1</v>
      </c>
      <c r="N1523" s="26" t="s">
        <v>55</v>
      </c>
      <c r="O1523" s="9">
        <f>(VLOOKUP(L1523,'[1]Simulation pricing per sub assy'!$D:$E,2,0))*M1523</f>
        <v>43.288799999999988</v>
      </c>
      <c r="P1523" s="30" t="s">
        <v>50</v>
      </c>
      <c r="Q1523" s="30">
        <v>2</v>
      </c>
      <c r="R1523" s="30" t="s">
        <v>611</v>
      </c>
      <c r="S1523" s="40">
        <f>(VLOOKUP(P1523,'[1]BOM Info General'!$A:$L,12,0))*Q1523</f>
        <v>5.3</v>
      </c>
      <c r="T1523" s="31" t="s">
        <v>7</v>
      </c>
      <c r="U1523" s="31">
        <v>1</v>
      </c>
      <c r="V1523" s="31" t="s">
        <v>8</v>
      </c>
      <c r="W1523" s="17">
        <f>(VLOOKUP(T1523,'[1]Simulation pricing per sub assy'!$D:$E,2,0))*U1523</f>
        <v>1.85</v>
      </c>
      <c r="X1523" s="32" t="s">
        <v>615</v>
      </c>
      <c r="Y1523" s="32">
        <v>1</v>
      </c>
      <c r="Z1523" s="32" t="s">
        <v>9</v>
      </c>
      <c r="AA1523" s="18">
        <f>(VLOOKUP(X1523,'[1]Simulation pricing per sub assy'!$D:$E,2,0))*Y1523</f>
        <v>1.5769808000000001</v>
      </c>
    </row>
    <row r="1524" spans="1:27" x14ac:dyDescent="0.35">
      <c r="A1524" s="27" t="s">
        <v>2606</v>
      </c>
      <c r="B1524" s="27" t="s">
        <v>4561</v>
      </c>
      <c r="C1524" s="42">
        <f t="shared" si="23"/>
        <v>112.57578079999999</v>
      </c>
      <c r="D1524" s="28" t="s">
        <v>2058</v>
      </c>
      <c r="E1524" s="28">
        <v>1</v>
      </c>
      <c r="F1524" s="28" t="s">
        <v>2059</v>
      </c>
      <c r="G1524" s="14">
        <f>(VLOOKUP(D1524,'[1]BOM Info General'!$A:$L,12,0))*E1524</f>
        <v>35.56</v>
      </c>
      <c r="H1524" s="29" t="s">
        <v>39</v>
      </c>
      <c r="I1524" s="29">
        <v>1</v>
      </c>
      <c r="J1524" s="29" t="s">
        <v>46</v>
      </c>
      <c r="K1524" s="15">
        <f>(VLOOKUP(H1524,'[1]BOM Info General'!$A:$L,12,0))*I1524</f>
        <v>24.42</v>
      </c>
      <c r="L1524" s="26" t="s">
        <v>54</v>
      </c>
      <c r="M1524" s="26">
        <v>1</v>
      </c>
      <c r="N1524" s="26" t="s">
        <v>53</v>
      </c>
      <c r="O1524" s="9">
        <f>(VLOOKUP(L1524,'[1]Simulation pricing per sub assy'!$D:$E,2,0))*M1524</f>
        <v>43.868799999999993</v>
      </c>
      <c r="P1524" s="30" t="s">
        <v>50</v>
      </c>
      <c r="Q1524" s="30">
        <v>2</v>
      </c>
      <c r="R1524" s="30" t="s">
        <v>611</v>
      </c>
      <c r="S1524" s="40">
        <f>(VLOOKUP(P1524,'[1]BOM Info General'!$A:$L,12,0))*Q1524</f>
        <v>5.3</v>
      </c>
      <c r="T1524" s="31" t="s">
        <v>7</v>
      </c>
      <c r="U1524" s="31">
        <v>1</v>
      </c>
      <c r="V1524" s="31" t="s">
        <v>8</v>
      </c>
      <c r="W1524" s="17">
        <f>(VLOOKUP(T1524,'[1]Simulation pricing per sub assy'!$D:$E,2,0))*U1524</f>
        <v>1.85</v>
      </c>
      <c r="X1524" s="32" t="s">
        <v>615</v>
      </c>
      <c r="Y1524" s="32">
        <v>1</v>
      </c>
      <c r="Z1524" s="32" t="s">
        <v>9</v>
      </c>
      <c r="AA1524" s="18">
        <f>(VLOOKUP(X1524,'[1]Simulation pricing per sub assy'!$D:$E,2,0))*Y1524</f>
        <v>1.5769808000000001</v>
      </c>
    </row>
    <row r="1525" spans="1:27" x14ac:dyDescent="0.35">
      <c r="A1525" s="27" t="s">
        <v>2607</v>
      </c>
      <c r="B1525" s="27" t="s">
        <v>4562</v>
      </c>
      <c r="C1525" s="42">
        <f t="shared" si="23"/>
        <v>112.31578079999998</v>
      </c>
      <c r="D1525" s="28" t="s">
        <v>2058</v>
      </c>
      <c r="E1525" s="28">
        <v>1</v>
      </c>
      <c r="F1525" s="28" t="s">
        <v>2059</v>
      </c>
      <c r="G1525" s="14">
        <f>(VLOOKUP(D1525,'[1]BOM Info General'!$A:$L,12,0))*E1525</f>
        <v>35.56</v>
      </c>
      <c r="H1525" s="29" t="s">
        <v>39</v>
      </c>
      <c r="I1525" s="29">
        <v>1</v>
      </c>
      <c r="J1525" s="29" t="s">
        <v>46</v>
      </c>
      <c r="K1525" s="15">
        <f>(VLOOKUP(H1525,'[1]BOM Info General'!$A:$L,12,0))*I1525</f>
        <v>24.42</v>
      </c>
      <c r="L1525" s="26" t="s">
        <v>60</v>
      </c>
      <c r="M1525" s="26">
        <v>1</v>
      </c>
      <c r="N1525" s="26" t="s">
        <v>57</v>
      </c>
      <c r="O1525" s="9">
        <f>(VLOOKUP(L1525,'[1]Simulation pricing per sub assy'!$D:$E,2,0))*M1525</f>
        <v>43.608799999999988</v>
      </c>
      <c r="P1525" s="30" t="s">
        <v>50</v>
      </c>
      <c r="Q1525" s="30">
        <v>2</v>
      </c>
      <c r="R1525" s="30" t="s">
        <v>611</v>
      </c>
      <c r="S1525" s="40">
        <f>(VLOOKUP(P1525,'[1]BOM Info General'!$A:$L,12,0))*Q1525</f>
        <v>5.3</v>
      </c>
      <c r="T1525" s="31" t="s">
        <v>7</v>
      </c>
      <c r="U1525" s="31">
        <v>1</v>
      </c>
      <c r="V1525" s="31" t="s">
        <v>8</v>
      </c>
      <c r="W1525" s="17">
        <f>(VLOOKUP(T1525,'[1]Simulation pricing per sub assy'!$D:$E,2,0))*U1525</f>
        <v>1.85</v>
      </c>
      <c r="X1525" s="32" t="s">
        <v>615</v>
      </c>
      <c r="Y1525" s="32">
        <v>1</v>
      </c>
      <c r="Z1525" s="32" t="s">
        <v>9</v>
      </c>
      <c r="AA1525" s="18">
        <f>(VLOOKUP(X1525,'[1]Simulation pricing per sub assy'!$D:$E,2,0))*Y1525</f>
        <v>1.5769808000000001</v>
      </c>
    </row>
    <row r="1526" spans="1:27" x14ac:dyDescent="0.35">
      <c r="A1526" s="27" t="s">
        <v>2608</v>
      </c>
      <c r="B1526" s="27" t="s">
        <v>4563</v>
      </c>
      <c r="C1526" s="42">
        <f t="shared" si="23"/>
        <v>119.98578079999999</v>
      </c>
      <c r="D1526" s="28" t="s">
        <v>2058</v>
      </c>
      <c r="E1526" s="28">
        <v>1</v>
      </c>
      <c r="F1526" s="28" t="s">
        <v>2059</v>
      </c>
      <c r="G1526" s="14">
        <f>(VLOOKUP(D1526,'[1]BOM Info General'!$A:$L,12,0))*E1526</f>
        <v>35.56</v>
      </c>
      <c r="H1526" s="29" t="s">
        <v>39</v>
      </c>
      <c r="I1526" s="29">
        <v>1</v>
      </c>
      <c r="J1526" s="29" t="s">
        <v>46</v>
      </c>
      <c r="K1526" s="15">
        <f>(VLOOKUP(H1526,'[1]BOM Info General'!$A:$L,12,0))*I1526</f>
        <v>24.42</v>
      </c>
      <c r="L1526" s="26" t="s">
        <v>56</v>
      </c>
      <c r="M1526" s="26">
        <v>1</v>
      </c>
      <c r="N1526" s="26" t="s">
        <v>59</v>
      </c>
      <c r="O1526" s="9">
        <f>(VLOOKUP(L1526,'[1]Simulation pricing per sub assy'!$D:$E,2,0))*M1526</f>
        <v>51.27879999999999</v>
      </c>
      <c r="P1526" s="30" t="s">
        <v>50</v>
      </c>
      <c r="Q1526" s="30">
        <v>2</v>
      </c>
      <c r="R1526" s="30" t="s">
        <v>611</v>
      </c>
      <c r="S1526" s="40">
        <f>(VLOOKUP(P1526,'[1]BOM Info General'!$A:$L,12,0))*Q1526</f>
        <v>5.3</v>
      </c>
      <c r="T1526" s="31" t="s">
        <v>7</v>
      </c>
      <c r="U1526" s="31">
        <v>1</v>
      </c>
      <c r="V1526" s="31" t="s">
        <v>8</v>
      </c>
      <c r="W1526" s="17">
        <f>(VLOOKUP(T1526,'[1]Simulation pricing per sub assy'!$D:$E,2,0))*U1526</f>
        <v>1.85</v>
      </c>
      <c r="X1526" s="32" t="s">
        <v>615</v>
      </c>
      <c r="Y1526" s="32">
        <v>1</v>
      </c>
      <c r="Z1526" s="32" t="s">
        <v>9</v>
      </c>
      <c r="AA1526" s="18">
        <f>(VLOOKUP(X1526,'[1]Simulation pricing per sub assy'!$D:$E,2,0))*Y1526</f>
        <v>1.5769808000000001</v>
      </c>
    </row>
    <row r="1527" spans="1:27" x14ac:dyDescent="0.35">
      <c r="A1527" s="27" t="s">
        <v>2609</v>
      </c>
      <c r="B1527" s="27" t="s">
        <v>4564</v>
      </c>
      <c r="C1527" s="42">
        <f t="shared" si="23"/>
        <v>111.21578079999999</v>
      </c>
      <c r="D1527" s="28" t="s">
        <v>2058</v>
      </c>
      <c r="E1527" s="28">
        <v>1</v>
      </c>
      <c r="F1527" s="28" t="s">
        <v>2059</v>
      </c>
      <c r="G1527" s="14">
        <f>(VLOOKUP(D1527,'[1]BOM Info General'!$A:$L,12,0))*E1527</f>
        <v>35.56</v>
      </c>
      <c r="H1527" s="29" t="s">
        <v>39</v>
      </c>
      <c r="I1527" s="29">
        <v>1</v>
      </c>
      <c r="J1527" s="29" t="s">
        <v>46</v>
      </c>
      <c r="K1527" s="15">
        <f>(VLOOKUP(H1527,'[1]BOM Info General'!$A:$L,12,0))*I1527</f>
        <v>24.42</v>
      </c>
      <c r="L1527" s="26" t="s">
        <v>523</v>
      </c>
      <c r="M1527" s="26">
        <v>1</v>
      </c>
      <c r="N1527" s="26" t="s">
        <v>61</v>
      </c>
      <c r="O1527" s="9">
        <f>(VLOOKUP(L1527,'[1]Simulation pricing per sub assy'!$D:$E,2,0))*M1527</f>
        <v>42.308799999999991</v>
      </c>
      <c r="P1527" s="30" t="s">
        <v>50</v>
      </c>
      <c r="Q1527" s="30">
        <v>2</v>
      </c>
      <c r="R1527" s="30" t="s">
        <v>16</v>
      </c>
      <c r="S1527" s="40">
        <f>(VLOOKUP(P1527,'[1]BOM Info General'!$A:$L,12,0))*Q1527</f>
        <v>5.3</v>
      </c>
      <c r="T1527" s="31" t="s">
        <v>10</v>
      </c>
      <c r="U1527" s="31">
        <v>1</v>
      </c>
      <c r="V1527" s="31" t="s">
        <v>11</v>
      </c>
      <c r="W1527" s="17">
        <f>(VLOOKUP(T1527,'[1]Simulation pricing per sub assy'!$D:$E,2,0))*U1527</f>
        <v>2.0499999999999998</v>
      </c>
      <c r="X1527" s="32" t="s">
        <v>615</v>
      </c>
      <c r="Y1527" s="32">
        <v>1</v>
      </c>
      <c r="Z1527" s="32" t="s">
        <v>9</v>
      </c>
      <c r="AA1527" s="18">
        <f>(VLOOKUP(X1527,'[1]Simulation pricing per sub assy'!$D:$E,2,0))*Y1527</f>
        <v>1.5769808000000001</v>
      </c>
    </row>
    <row r="1528" spans="1:27" x14ac:dyDescent="0.35">
      <c r="A1528" s="27" t="s">
        <v>2610</v>
      </c>
      <c r="B1528" s="27" t="s">
        <v>4565</v>
      </c>
      <c r="C1528" s="42">
        <f t="shared" si="23"/>
        <v>112.19578079999999</v>
      </c>
      <c r="D1528" s="28" t="s">
        <v>2058</v>
      </c>
      <c r="E1528" s="28">
        <v>1</v>
      </c>
      <c r="F1528" s="28" t="s">
        <v>2059</v>
      </c>
      <c r="G1528" s="14">
        <f>(VLOOKUP(D1528,'[1]BOM Info General'!$A:$L,12,0))*E1528</f>
        <v>35.56</v>
      </c>
      <c r="H1528" s="29" t="s">
        <v>39</v>
      </c>
      <c r="I1528" s="29">
        <v>1</v>
      </c>
      <c r="J1528" s="29" t="s">
        <v>46</v>
      </c>
      <c r="K1528" s="15">
        <f>(VLOOKUP(H1528,'[1]BOM Info General'!$A:$L,12,0))*I1528</f>
        <v>24.42</v>
      </c>
      <c r="L1528" s="26" t="s">
        <v>58</v>
      </c>
      <c r="M1528" s="26">
        <v>1</v>
      </c>
      <c r="N1528" s="26" t="s">
        <v>55</v>
      </c>
      <c r="O1528" s="9">
        <f>(VLOOKUP(L1528,'[1]Simulation pricing per sub assy'!$D:$E,2,0))*M1528</f>
        <v>43.288799999999988</v>
      </c>
      <c r="P1528" s="30" t="s">
        <v>50</v>
      </c>
      <c r="Q1528" s="30">
        <v>2</v>
      </c>
      <c r="R1528" s="30" t="s">
        <v>16</v>
      </c>
      <c r="S1528" s="40">
        <f>(VLOOKUP(P1528,'[1]BOM Info General'!$A:$L,12,0))*Q1528</f>
        <v>5.3</v>
      </c>
      <c r="T1528" s="31" t="s">
        <v>10</v>
      </c>
      <c r="U1528" s="31">
        <v>1</v>
      </c>
      <c r="V1528" s="31" t="s">
        <v>11</v>
      </c>
      <c r="W1528" s="17">
        <f>(VLOOKUP(T1528,'[1]Simulation pricing per sub assy'!$D:$E,2,0))*U1528</f>
        <v>2.0499999999999998</v>
      </c>
      <c r="X1528" s="32" t="s">
        <v>615</v>
      </c>
      <c r="Y1528" s="32">
        <v>1</v>
      </c>
      <c r="Z1528" s="32" t="s">
        <v>9</v>
      </c>
      <c r="AA1528" s="18">
        <f>(VLOOKUP(X1528,'[1]Simulation pricing per sub assy'!$D:$E,2,0))*Y1528</f>
        <v>1.5769808000000001</v>
      </c>
    </row>
    <row r="1529" spans="1:27" x14ac:dyDescent="0.35">
      <c r="A1529" s="27" t="s">
        <v>2611</v>
      </c>
      <c r="B1529" s="27" t="s">
        <v>4566</v>
      </c>
      <c r="C1529" s="42">
        <f t="shared" si="23"/>
        <v>112.77578079999999</v>
      </c>
      <c r="D1529" s="28" t="s">
        <v>2058</v>
      </c>
      <c r="E1529" s="28">
        <v>1</v>
      </c>
      <c r="F1529" s="28" t="s">
        <v>2059</v>
      </c>
      <c r="G1529" s="14">
        <f>(VLOOKUP(D1529,'[1]BOM Info General'!$A:$L,12,0))*E1529</f>
        <v>35.56</v>
      </c>
      <c r="H1529" s="29" t="s">
        <v>39</v>
      </c>
      <c r="I1529" s="29">
        <v>1</v>
      </c>
      <c r="J1529" s="29" t="s">
        <v>46</v>
      </c>
      <c r="K1529" s="15">
        <f>(VLOOKUP(H1529,'[1]BOM Info General'!$A:$L,12,0))*I1529</f>
        <v>24.42</v>
      </c>
      <c r="L1529" s="26" t="s">
        <v>54</v>
      </c>
      <c r="M1529" s="26">
        <v>1</v>
      </c>
      <c r="N1529" s="26" t="s">
        <v>53</v>
      </c>
      <c r="O1529" s="9">
        <f>(VLOOKUP(L1529,'[1]Simulation pricing per sub assy'!$D:$E,2,0))*M1529</f>
        <v>43.868799999999993</v>
      </c>
      <c r="P1529" s="30" t="s">
        <v>50</v>
      </c>
      <c r="Q1529" s="30">
        <v>2</v>
      </c>
      <c r="R1529" s="30" t="s">
        <v>16</v>
      </c>
      <c r="S1529" s="40">
        <f>(VLOOKUP(P1529,'[1]BOM Info General'!$A:$L,12,0))*Q1529</f>
        <v>5.3</v>
      </c>
      <c r="T1529" s="31" t="s">
        <v>10</v>
      </c>
      <c r="U1529" s="31">
        <v>1</v>
      </c>
      <c r="V1529" s="31" t="s">
        <v>11</v>
      </c>
      <c r="W1529" s="17">
        <f>(VLOOKUP(T1529,'[1]Simulation pricing per sub assy'!$D:$E,2,0))*U1529</f>
        <v>2.0499999999999998</v>
      </c>
      <c r="X1529" s="32" t="s">
        <v>615</v>
      </c>
      <c r="Y1529" s="32">
        <v>1</v>
      </c>
      <c r="Z1529" s="32" t="s">
        <v>9</v>
      </c>
      <c r="AA1529" s="18">
        <f>(VLOOKUP(X1529,'[1]Simulation pricing per sub assy'!$D:$E,2,0))*Y1529</f>
        <v>1.5769808000000001</v>
      </c>
    </row>
    <row r="1530" spans="1:27" x14ac:dyDescent="0.35">
      <c r="A1530" s="27" t="s">
        <v>2612</v>
      </c>
      <c r="B1530" s="27" t="s">
        <v>4567</v>
      </c>
      <c r="C1530" s="42">
        <f t="shared" si="23"/>
        <v>112.51578079999999</v>
      </c>
      <c r="D1530" s="28" t="s">
        <v>2058</v>
      </c>
      <c r="E1530" s="28">
        <v>1</v>
      </c>
      <c r="F1530" s="28" t="s">
        <v>2059</v>
      </c>
      <c r="G1530" s="14">
        <f>(VLOOKUP(D1530,'[1]BOM Info General'!$A:$L,12,0))*E1530</f>
        <v>35.56</v>
      </c>
      <c r="H1530" s="29" t="s">
        <v>39</v>
      </c>
      <c r="I1530" s="29">
        <v>1</v>
      </c>
      <c r="J1530" s="29" t="s">
        <v>46</v>
      </c>
      <c r="K1530" s="15">
        <f>(VLOOKUP(H1530,'[1]BOM Info General'!$A:$L,12,0))*I1530</f>
        <v>24.42</v>
      </c>
      <c r="L1530" s="26" t="s">
        <v>60</v>
      </c>
      <c r="M1530" s="26">
        <v>1</v>
      </c>
      <c r="N1530" s="26" t="s">
        <v>57</v>
      </c>
      <c r="O1530" s="9">
        <f>(VLOOKUP(L1530,'[1]Simulation pricing per sub assy'!$D:$E,2,0))*M1530</f>
        <v>43.608799999999988</v>
      </c>
      <c r="P1530" s="30" t="s">
        <v>50</v>
      </c>
      <c r="Q1530" s="30">
        <v>2</v>
      </c>
      <c r="R1530" s="30" t="s">
        <v>16</v>
      </c>
      <c r="S1530" s="40">
        <f>(VLOOKUP(P1530,'[1]BOM Info General'!$A:$L,12,0))*Q1530</f>
        <v>5.3</v>
      </c>
      <c r="T1530" s="31" t="s">
        <v>10</v>
      </c>
      <c r="U1530" s="31">
        <v>1</v>
      </c>
      <c r="V1530" s="31" t="s">
        <v>11</v>
      </c>
      <c r="W1530" s="17">
        <f>(VLOOKUP(T1530,'[1]Simulation pricing per sub assy'!$D:$E,2,0))*U1530</f>
        <v>2.0499999999999998</v>
      </c>
      <c r="X1530" s="32" t="s">
        <v>615</v>
      </c>
      <c r="Y1530" s="32">
        <v>1</v>
      </c>
      <c r="Z1530" s="32" t="s">
        <v>9</v>
      </c>
      <c r="AA1530" s="18">
        <f>(VLOOKUP(X1530,'[1]Simulation pricing per sub assy'!$D:$E,2,0))*Y1530</f>
        <v>1.5769808000000001</v>
      </c>
    </row>
    <row r="1531" spans="1:27" x14ac:dyDescent="0.35">
      <c r="A1531" s="27" t="s">
        <v>2613</v>
      </c>
      <c r="B1531" s="27" t="s">
        <v>4568</v>
      </c>
      <c r="C1531" s="42">
        <f t="shared" si="23"/>
        <v>120.18578079999999</v>
      </c>
      <c r="D1531" s="28" t="s">
        <v>2058</v>
      </c>
      <c r="E1531" s="28">
        <v>1</v>
      </c>
      <c r="F1531" s="28" t="s">
        <v>2059</v>
      </c>
      <c r="G1531" s="14">
        <f>(VLOOKUP(D1531,'[1]BOM Info General'!$A:$L,12,0))*E1531</f>
        <v>35.56</v>
      </c>
      <c r="H1531" s="29" t="s">
        <v>39</v>
      </c>
      <c r="I1531" s="29">
        <v>1</v>
      </c>
      <c r="J1531" s="29" t="s">
        <v>46</v>
      </c>
      <c r="K1531" s="15">
        <f>(VLOOKUP(H1531,'[1]BOM Info General'!$A:$L,12,0))*I1531</f>
        <v>24.42</v>
      </c>
      <c r="L1531" s="26" t="s">
        <v>56</v>
      </c>
      <c r="M1531" s="26">
        <v>1</v>
      </c>
      <c r="N1531" s="26" t="s">
        <v>59</v>
      </c>
      <c r="O1531" s="9">
        <f>(VLOOKUP(L1531,'[1]Simulation pricing per sub assy'!$D:$E,2,0))*M1531</f>
        <v>51.27879999999999</v>
      </c>
      <c r="P1531" s="30" t="s">
        <v>50</v>
      </c>
      <c r="Q1531" s="30">
        <v>2</v>
      </c>
      <c r="R1531" s="30" t="s">
        <v>16</v>
      </c>
      <c r="S1531" s="40">
        <f>(VLOOKUP(P1531,'[1]BOM Info General'!$A:$L,12,0))*Q1531</f>
        <v>5.3</v>
      </c>
      <c r="T1531" s="31" t="s">
        <v>10</v>
      </c>
      <c r="U1531" s="31">
        <v>1</v>
      </c>
      <c r="V1531" s="31" t="s">
        <v>11</v>
      </c>
      <c r="W1531" s="17">
        <f>(VLOOKUP(T1531,'[1]Simulation pricing per sub assy'!$D:$E,2,0))*U1531</f>
        <v>2.0499999999999998</v>
      </c>
      <c r="X1531" s="32" t="s">
        <v>615</v>
      </c>
      <c r="Y1531" s="32">
        <v>1</v>
      </c>
      <c r="Z1531" s="32" t="s">
        <v>9</v>
      </c>
      <c r="AA1531" s="18">
        <f>(VLOOKUP(X1531,'[1]Simulation pricing per sub assy'!$D:$E,2,0))*Y1531</f>
        <v>1.5769808000000001</v>
      </c>
    </row>
    <row r="1532" spans="1:27" x14ac:dyDescent="0.35">
      <c r="A1532" s="27" t="s">
        <v>2614</v>
      </c>
      <c r="B1532" s="27" t="s">
        <v>4569</v>
      </c>
      <c r="C1532" s="42">
        <f t="shared" si="23"/>
        <v>111.0657808</v>
      </c>
      <c r="D1532" s="28" t="s">
        <v>2058</v>
      </c>
      <c r="E1532" s="28">
        <v>1</v>
      </c>
      <c r="F1532" s="28" t="s">
        <v>2059</v>
      </c>
      <c r="G1532" s="14">
        <f>(VLOOKUP(D1532,'[1]BOM Info General'!$A:$L,12,0))*E1532</f>
        <v>35.56</v>
      </c>
      <c r="H1532" s="29" t="s">
        <v>39</v>
      </c>
      <c r="I1532" s="29">
        <v>1</v>
      </c>
      <c r="J1532" s="29" t="s">
        <v>46</v>
      </c>
      <c r="K1532" s="15">
        <f>(VLOOKUP(H1532,'[1]BOM Info General'!$A:$L,12,0))*I1532</f>
        <v>24.42</v>
      </c>
      <c r="L1532" s="26" t="s">
        <v>523</v>
      </c>
      <c r="M1532" s="26">
        <v>1</v>
      </c>
      <c r="N1532" s="26" t="s">
        <v>61</v>
      </c>
      <c r="O1532" s="9">
        <f>(VLOOKUP(L1532,'[1]Simulation pricing per sub assy'!$D:$E,2,0))*M1532</f>
        <v>42.308799999999991</v>
      </c>
      <c r="P1532" s="30" t="s">
        <v>50</v>
      </c>
      <c r="Q1532" s="30">
        <v>2</v>
      </c>
      <c r="R1532" s="30" t="s">
        <v>16</v>
      </c>
      <c r="S1532" s="40">
        <f>(VLOOKUP(P1532,'[1]BOM Info General'!$A:$L,12,0))*Q1532</f>
        <v>5.3</v>
      </c>
      <c r="T1532" s="31" t="s">
        <v>12</v>
      </c>
      <c r="U1532" s="31">
        <v>1</v>
      </c>
      <c r="V1532" s="31" t="s">
        <v>13</v>
      </c>
      <c r="W1532" s="17">
        <f>(VLOOKUP(T1532,'[1]Simulation pricing per sub assy'!$D:$E,2,0))*U1532</f>
        <v>1.9</v>
      </c>
      <c r="X1532" s="32" t="s">
        <v>615</v>
      </c>
      <c r="Y1532" s="32">
        <v>1</v>
      </c>
      <c r="Z1532" s="32" t="s">
        <v>9</v>
      </c>
      <c r="AA1532" s="18">
        <f>(VLOOKUP(X1532,'[1]Simulation pricing per sub assy'!$D:$E,2,0))*Y1532</f>
        <v>1.5769808000000001</v>
      </c>
    </row>
    <row r="1533" spans="1:27" x14ac:dyDescent="0.35">
      <c r="A1533" s="27" t="s">
        <v>2615</v>
      </c>
      <c r="B1533" s="27" t="s">
        <v>4570</v>
      </c>
      <c r="C1533" s="42">
        <f t="shared" si="23"/>
        <v>112.0457808</v>
      </c>
      <c r="D1533" s="28" t="s">
        <v>2058</v>
      </c>
      <c r="E1533" s="28">
        <v>1</v>
      </c>
      <c r="F1533" s="28" t="s">
        <v>2059</v>
      </c>
      <c r="G1533" s="14">
        <f>(VLOOKUP(D1533,'[1]BOM Info General'!$A:$L,12,0))*E1533</f>
        <v>35.56</v>
      </c>
      <c r="H1533" s="29" t="s">
        <v>39</v>
      </c>
      <c r="I1533" s="29">
        <v>1</v>
      </c>
      <c r="J1533" s="29" t="s">
        <v>46</v>
      </c>
      <c r="K1533" s="15">
        <f>(VLOOKUP(H1533,'[1]BOM Info General'!$A:$L,12,0))*I1533</f>
        <v>24.42</v>
      </c>
      <c r="L1533" s="26" t="s">
        <v>58</v>
      </c>
      <c r="M1533" s="26">
        <v>1</v>
      </c>
      <c r="N1533" s="26" t="s">
        <v>55</v>
      </c>
      <c r="O1533" s="9">
        <f>(VLOOKUP(L1533,'[1]Simulation pricing per sub assy'!$D:$E,2,0))*M1533</f>
        <v>43.288799999999988</v>
      </c>
      <c r="P1533" s="30" t="s">
        <v>50</v>
      </c>
      <c r="Q1533" s="30">
        <v>2</v>
      </c>
      <c r="R1533" s="30" t="s">
        <v>16</v>
      </c>
      <c r="S1533" s="40">
        <f>(VLOOKUP(P1533,'[1]BOM Info General'!$A:$L,12,0))*Q1533</f>
        <v>5.3</v>
      </c>
      <c r="T1533" s="31" t="s">
        <v>12</v>
      </c>
      <c r="U1533" s="31">
        <v>1</v>
      </c>
      <c r="V1533" s="31" t="s">
        <v>13</v>
      </c>
      <c r="W1533" s="17">
        <f>(VLOOKUP(T1533,'[1]Simulation pricing per sub assy'!$D:$E,2,0))*U1533</f>
        <v>1.9</v>
      </c>
      <c r="X1533" s="32" t="s">
        <v>615</v>
      </c>
      <c r="Y1533" s="32">
        <v>1</v>
      </c>
      <c r="Z1533" s="32" t="s">
        <v>9</v>
      </c>
      <c r="AA1533" s="18">
        <f>(VLOOKUP(X1533,'[1]Simulation pricing per sub assy'!$D:$E,2,0))*Y1533</f>
        <v>1.5769808000000001</v>
      </c>
    </row>
    <row r="1534" spans="1:27" x14ac:dyDescent="0.35">
      <c r="A1534" s="27" t="s">
        <v>2616</v>
      </c>
      <c r="B1534" s="27" t="s">
        <v>4571</v>
      </c>
      <c r="C1534" s="42">
        <f t="shared" si="23"/>
        <v>112.6257808</v>
      </c>
      <c r="D1534" s="28" t="s">
        <v>2058</v>
      </c>
      <c r="E1534" s="28">
        <v>1</v>
      </c>
      <c r="F1534" s="28" t="s">
        <v>2059</v>
      </c>
      <c r="G1534" s="14">
        <f>(VLOOKUP(D1534,'[1]BOM Info General'!$A:$L,12,0))*E1534</f>
        <v>35.56</v>
      </c>
      <c r="H1534" s="29" t="s">
        <v>39</v>
      </c>
      <c r="I1534" s="29">
        <v>1</v>
      </c>
      <c r="J1534" s="29" t="s">
        <v>46</v>
      </c>
      <c r="K1534" s="15">
        <f>(VLOOKUP(H1534,'[1]BOM Info General'!$A:$L,12,0))*I1534</f>
        <v>24.42</v>
      </c>
      <c r="L1534" s="26" t="s">
        <v>54</v>
      </c>
      <c r="M1534" s="26">
        <v>1</v>
      </c>
      <c r="N1534" s="26" t="s">
        <v>53</v>
      </c>
      <c r="O1534" s="9">
        <f>(VLOOKUP(L1534,'[1]Simulation pricing per sub assy'!$D:$E,2,0))*M1534</f>
        <v>43.868799999999993</v>
      </c>
      <c r="P1534" s="30" t="s">
        <v>50</v>
      </c>
      <c r="Q1534" s="30">
        <v>2</v>
      </c>
      <c r="R1534" s="30" t="s">
        <v>16</v>
      </c>
      <c r="S1534" s="40">
        <f>(VLOOKUP(P1534,'[1]BOM Info General'!$A:$L,12,0))*Q1534</f>
        <v>5.3</v>
      </c>
      <c r="T1534" s="31" t="s">
        <v>12</v>
      </c>
      <c r="U1534" s="31">
        <v>1</v>
      </c>
      <c r="V1534" s="31" t="s">
        <v>13</v>
      </c>
      <c r="W1534" s="17">
        <f>(VLOOKUP(T1534,'[1]Simulation pricing per sub assy'!$D:$E,2,0))*U1534</f>
        <v>1.9</v>
      </c>
      <c r="X1534" s="32" t="s">
        <v>615</v>
      </c>
      <c r="Y1534" s="32">
        <v>1</v>
      </c>
      <c r="Z1534" s="32" t="s">
        <v>9</v>
      </c>
      <c r="AA1534" s="18">
        <f>(VLOOKUP(X1534,'[1]Simulation pricing per sub assy'!$D:$E,2,0))*Y1534</f>
        <v>1.5769808000000001</v>
      </c>
    </row>
    <row r="1535" spans="1:27" x14ac:dyDescent="0.35">
      <c r="A1535" s="27" t="s">
        <v>2617</v>
      </c>
      <c r="B1535" s="27" t="s">
        <v>4572</v>
      </c>
      <c r="C1535" s="42">
        <f t="shared" si="23"/>
        <v>112.3657808</v>
      </c>
      <c r="D1535" s="28" t="s">
        <v>2058</v>
      </c>
      <c r="E1535" s="28">
        <v>1</v>
      </c>
      <c r="F1535" s="28" t="s">
        <v>2059</v>
      </c>
      <c r="G1535" s="14">
        <f>(VLOOKUP(D1535,'[1]BOM Info General'!$A:$L,12,0))*E1535</f>
        <v>35.56</v>
      </c>
      <c r="H1535" s="29" t="s">
        <v>39</v>
      </c>
      <c r="I1535" s="29">
        <v>1</v>
      </c>
      <c r="J1535" s="29" t="s">
        <v>46</v>
      </c>
      <c r="K1535" s="15">
        <f>(VLOOKUP(H1535,'[1]BOM Info General'!$A:$L,12,0))*I1535</f>
        <v>24.42</v>
      </c>
      <c r="L1535" s="26" t="s">
        <v>60</v>
      </c>
      <c r="M1535" s="26">
        <v>1</v>
      </c>
      <c r="N1535" s="26" t="s">
        <v>57</v>
      </c>
      <c r="O1535" s="9">
        <f>(VLOOKUP(L1535,'[1]Simulation pricing per sub assy'!$D:$E,2,0))*M1535</f>
        <v>43.608799999999988</v>
      </c>
      <c r="P1535" s="30" t="s">
        <v>50</v>
      </c>
      <c r="Q1535" s="30">
        <v>2</v>
      </c>
      <c r="R1535" s="30" t="s">
        <v>16</v>
      </c>
      <c r="S1535" s="40">
        <f>(VLOOKUP(P1535,'[1]BOM Info General'!$A:$L,12,0))*Q1535</f>
        <v>5.3</v>
      </c>
      <c r="T1535" s="31" t="s">
        <v>12</v>
      </c>
      <c r="U1535" s="31">
        <v>1</v>
      </c>
      <c r="V1535" s="31" t="s">
        <v>13</v>
      </c>
      <c r="W1535" s="17">
        <f>(VLOOKUP(T1535,'[1]Simulation pricing per sub assy'!$D:$E,2,0))*U1535</f>
        <v>1.9</v>
      </c>
      <c r="X1535" s="32" t="s">
        <v>615</v>
      </c>
      <c r="Y1535" s="32">
        <v>1</v>
      </c>
      <c r="Z1535" s="32" t="s">
        <v>9</v>
      </c>
      <c r="AA1535" s="18">
        <f>(VLOOKUP(X1535,'[1]Simulation pricing per sub assy'!$D:$E,2,0))*Y1535</f>
        <v>1.5769808000000001</v>
      </c>
    </row>
    <row r="1536" spans="1:27" x14ac:dyDescent="0.35">
      <c r="A1536" s="27" t="s">
        <v>2618</v>
      </c>
      <c r="B1536" s="27" t="s">
        <v>4573</v>
      </c>
      <c r="C1536" s="42">
        <f t="shared" si="23"/>
        <v>120.0357808</v>
      </c>
      <c r="D1536" s="28" t="s">
        <v>2058</v>
      </c>
      <c r="E1536" s="28">
        <v>1</v>
      </c>
      <c r="F1536" s="28" t="s">
        <v>2059</v>
      </c>
      <c r="G1536" s="14">
        <f>(VLOOKUP(D1536,'[1]BOM Info General'!$A:$L,12,0))*E1536</f>
        <v>35.56</v>
      </c>
      <c r="H1536" s="29" t="s">
        <v>39</v>
      </c>
      <c r="I1536" s="29">
        <v>1</v>
      </c>
      <c r="J1536" s="29" t="s">
        <v>46</v>
      </c>
      <c r="K1536" s="15">
        <f>(VLOOKUP(H1536,'[1]BOM Info General'!$A:$L,12,0))*I1536</f>
        <v>24.42</v>
      </c>
      <c r="L1536" s="26" t="s">
        <v>56</v>
      </c>
      <c r="M1536" s="26">
        <v>1</v>
      </c>
      <c r="N1536" s="26" t="s">
        <v>59</v>
      </c>
      <c r="O1536" s="9">
        <f>(VLOOKUP(L1536,'[1]Simulation pricing per sub assy'!$D:$E,2,0))*M1536</f>
        <v>51.27879999999999</v>
      </c>
      <c r="P1536" s="30" t="s">
        <v>50</v>
      </c>
      <c r="Q1536" s="30">
        <v>2</v>
      </c>
      <c r="R1536" s="30" t="s">
        <v>16</v>
      </c>
      <c r="S1536" s="40">
        <f>(VLOOKUP(P1536,'[1]BOM Info General'!$A:$L,12,0))*Q1536</f>
        <v>5.3</v>
      </c>
      <c r="T1536" s="31" t="s">
        <v>12</v>
      </c>
      <c r="U1536" s="31">
        <v>1</v>
      </c>
      <c r="V1536" s="31" t="s">
        <v>13</v>
      </c>
      <c r="W1536" s="17">
        <f>(VLOOKUP(T1536,'[1]Simulation pricing per sub assy'!$D:$E,2,0))*U1536</f>
        <v>1.9</v>
      </c>
      <c r="X1536" s="32" t="s">
        <v>615</v>
      </c>
      <c r="Y1536" s="32">
        <v>1</v>
      </c>
      <c r="Z1536" s="32" t="s">
        <v>9</v>
      </c>
      <c r="AA1536" s="18">
        <f>(VLOOKUP(X1536,'[1]Simulation pricing per sub assy'!$D:$E,2,0))*Y1536</f>
        <v>1.5769808000000001</v>
      </c>
    </row>
    <row r="1537" spans="1:27" x14ac:dyDescent="0.35">
      <c r="A1537" s="27" t="s">
        <v>2619</v>
      </c>
      <c r="B1537" s="27" t="s">
        <v>4574</v>
      </c>
      <c r="C1537" s="42">
        <f t="shared" si="23"/>
        <v>111.0657808</v>
      </c>
      <c r="D1537" s="28" t="s">
        <v>2058</v>
      </c>
      <c r="E1537" s="28">
        <v>1</v>
      </c>
      <c r="F1537" s="28" t="s">
        <v>2059</v>
      </c>
      <c r="G1537" s="14">
        <f>(VLOOKUP(D1537,'[1]BOM Info General'!$A:$L,12,0))*E1537</f>
        <v>35.56</v>
      </c>
      <c r="H1537" s="29" t="s">
        <v>39</v>
      </c>
      <c r="I1537" s="29">
        <v>1</v>
      </c>
      <c r="J1537" s="29" t="s">
        <v>46</v>
      </c>
      <c r="K1537" s="15">
        <f>(VLOOKUP(H1537,'[1]BOM Info General'!$A:$L,12,0))*I1537</f>
        <v>24.42</v>
      </c>
      <c r="L1537" s="26" t="s">
        <v>523</v>
      </c>
      <c r="M1537" s="26">
        <v>1</v>
      </c>
      <c r="N1537" s="26" t="s">
        <v>61</v>
      </c>
      <c r="O1537" s="9">
        <f>(VLOOKUP(L1537,'[1]Simulation pricing per sub assy'!$D:$E,2,0))*M1537</f>
        <v>42.308799999999991</v>
      </c>
      <c r="P1537" s="30" t="s">
        <v>50</v>
      </c>
      <c r="Q1537" s="30">
        <v>2</v>
      </c>
      <c r="R1537" s="30" t="s">
        <v>16</v>
      </c>
      <c r="S1537" s="40">
        <f>(VLOOKUP(P1537,'[1]BOM Info General'!$A:$L,12,0))*Q1537</f>
        <v>5.3</v>
      </c>
      <c r="T1537" s="31" t="s">
        <v>14</v>
      </c>
      <c r="U1537" s="31">
        <v>1</v>
      </c>
      <c r="V1537" s="31" t="s">
        <v>15</v>
      </c>
      <c r="W1537" s="17">
        <f>(VLOOKUP(T1537,'[1]Simulation pricing per sub assy'!$D:$E,2,0))*U1537</f>
        <v>1.9</v>
      </c>
      <c r="X1537" s="32" t="s">
        <v>615</v>
      </c>
      <c r="Y1537" s="32">
        <v>1</v>
      </c>
      <c r="Z1537" s="32" t="s">
        <v>9</v>
      </c>
      <c r="AA1537" s="18">
        <f>(VLOOKUP(X1537,'[1]Simulation pricing per sub assy'!$D:$E,2,0))*Y1537</f>
        <v>1.5769808000000001</v>
      </c>
    </row>
    <row r="1538" spans="1:27" x14ac:dyDescent="0.35">
      <c r="A1538" s="27" t="s">
        <v>2620</v>
      </c>
      <c r="B1538" s="27" t="s">
        <v>4575</v>
      </c>
      <c r="C1538" s="42">
        <f t="shared" si="23"/>
        <v>112.0457808</v>
      </c>
      <c r="D1538" s="28" t="s">
        <v>2058</v>
      </c>
      <c r="E1538" s="28">
        <v>1</v>
      </c>
      <c r="F1538" s="28" t="s">
        <v>2059</v>
      </c>
      <c r="G1538" s="14">
        <f>(VLOOKUP(D1538,'[1]BOM Info General'!$A:$L,12,0))*E1538</f>
        <v>35.56</v>
      </c>
      <c r="H1538" s="29" t="s">
        <v>39</v>
      </c>
      <c r="I1538" s="29">
        <v>1</v>
      </c>
      <c r="J1538" s="29" t="s">
        <v>46</v>
      </c>
      <c r="K1538" s="15">
        <f>(VLOOKUP(H1538,'[1]BOM Info General'!$A:$L,12,0))*I1538</f>
        <v>24.42</v>
      </c>
      <c r="L1538" s="26" t="s">
        <v>58</v>
      </c>
      <c r="M1538" s="26">
        <v>1</v>
      </c>
      <c r="N1538" s="26" t="s">
        <v>55</v>
      </c>
      <c r="O1538" s="9">
        <f>(VLOOKUP(L1538,'[1]Simulation pricing per sub assy'!$D:$E,2,0))*M1538</f>
        <v>43.288799999999988</v>
      </c>
      <c r="P1538" s="30" t="s">
        <v>50</v>
      </c>
      <c r="Q1538" s="30">
        <v>2</v>
      </c>
      <c r="R1538" s="30" t="s">
        <v>16</v>
      </c>
      <c r="S1538" s="40">
        <f>(VLOOKUP(P1538,'[1]BOM Info General'!$A:$L,12,0))*Q1538</f>
        <v>5.3</v>
      </c>
      <c r="T1538" s="31" t="s">
        <v>14</v>
      </c>
      <c r="U1538" s="31">
        <v>1</v>
      </c>
      <c r="V1538" s="31" t="s">
        <v>15</v>
      </c>
      <c r="W1538" s="17">
        <f>(VLOOKUP(T1538,'[1]Simulation pricing per sub assy'!$D:$E,2,0))*U1538</f>
        <v>1.9</v>
      </c>
      <c r="X1538" s="32" t="s">
        <v>615</v>
      </c>
      <c r="Y1538" s="32">
        <v>1</v>
      </c>
      <c r="Z1538" s="32" t="s">
        <v>9</v>
      </c>
      <c r="AA1538" s="18">
        <f>(VLOOKUP(X1538,'[1]Simulation pricing per sub assy'!$D:$E,2,0))*Y1538</f>
        <v>1.5769808000000001</v>
      </c>
    </row>
    <row r="1539" spans="1:27" x14ac:dyDescent="0.35">
      <c r="A1539" s="27" t="s">
        <v>2621</v>
      </c>
      <c r="B1539" s="27" t="s">
        <v>4576</v>
      </c>
      <c r="C1539" s="42">
        <f t="shared" ref="C1539:C1602" si="24">SUM(G1539+K1539+O1539+S1539+W1539+AA1539)</f>
        <v>112.6257808</v>
      </c>
      <c r="D1539" s="28" t="s">
        <v>2058</v>
      </c>
      <c r="E1539" s="28">
        <v>1</v>
      </c>
      <c r="F1539" s="28" t="s">
        <v>2059</v>
      </c>
      <c r="G1539" s="14">
        <f>(VLOOKUP(D1539,'[1]BOM Info General'!$A:$L,12,0))*E1539</f>
        <v>35.56</v>
      </c>
      <c r="H1539" s="29" t="s">
        <v>39</v>
      </c>
      <c r="I1539" s="29">
        <v>1</v>
      </c>
      <c r="J1539" s="29" t="s">
        <v>46</v>
      </c>
      <c r="K1539" s="15">
        <f>(VLOOKUP(H1539,'[1]BOM Info General'!$A:$L,12,0))*I1539</f>
        <v>24.42</v>
      </c>
      <c r="L1539" s="26" t="s">
        <v>54</v>
      </c>
      <c r="M1539" s="26">
        <v>1</v>
      </c>
      <c r="N1539" s="26" t="s">
        <v>53</v>
      </c>
      <c r="O1539" s="9">
        <f>(VLOOKUP(L1539,'[1]Simulation pricing per sub assy'!$D:$E,2,0))*M1539</f>
        <v>43.868799999999993</v>
      </c>
      <c r="P1539" s="30" t="s">
        <v>50</v>
      </c>
      <c r="Q1539" s="30">
        <v>2</v>
      </c>
      <c r="R1539" s="30" t="s">
        <v>16</v>
      </c>
      <c r="S1539" s="40">
        <f>(VLOOKUP(P1539,'[1]BOM Info General'!$A:$L,12,0))*Q1539</f>
        <v>5.3</v>
      </c>
      <c r="T1539" s="31" t="s">
        <v>14</v>
      </c>
      <c r="U1539" s="31">
        <v>1</v>
      </c>
      <c r="V1539" s="31" t="s">
        <v>15</v>
      </c>
      <c r="W1539" s="17">
        <f>(VLOOKUP(T1539,'[1]Simulation pricing per sub assy'!$D:$E,2,0))*U1539</f>
        <v>1.9</v>
      </c>
      <c r="X1539" s="32" t="s">
        <v>615</v>
      </c>
      <c r="Y1539" s="32">
        <v>1</v>
      </c>
      <c r="Z1539" s="32" t="s">
        <v>9</v>
      </c>
      <c r="AA1539" s="18">
        <f>(VLOOKUP(X1539,'[1]Simulation pricing per sub assy'!$D:$E,2,0))*Y1539</f>
        <v>1.5769808000000001</v>
      </c>
    </row>
    <row r="1540" spans="1:27" x14ac:dyDescent="0.35">
      <c r="A1540" s="27" t="s">
        <v>2622</v>
      </c>
      <c r="B1540" s="27" t="s">
        <v>4577</v>
      </c>
      <c r="C1540" s="42">
        <f t="shared" si="24"/>
        <v>112.3657808</v>
      </c>
      <c r="D1540" s="28" t="s">
        <v>2058</v>
      </c>
      <c r="E1540" s="28">
        <v>1</v>
      </c>
      <c r="F1540" s="28" t="s">
        <v>2059</v>
      </c>
      <c r="G1540" s="14">
        <f>(VLOOKUP(D1540,'[1]BOM Info General'!$A:$L,12,0))*E1540</f>
        <v>35.56</v>
      </c>
      <c r="H1540" s="29" t="s">
        <v>39</v>
      </c>
      <c r="I1540" s="29">
        <v>1</v>
      </c>
      <c r="J1540" s="29" t="s">
        <v>46</v>
      </c>
      <c r="K1540" s="15">
        <f>(VLOOKUP(H1540,'[1]BOM Info General'!$A:$L,12,0))*I1540</f>
        <v>24.42</v>
      </c>
      <c r="L1540" s="26" t="s">
        <v>60</v>
      </c>
      <c r="M1540" s="26">
        <v>1</v>
      </c>
      <c r="N1540" s="26" t="s">
        <v>57</v>
      </c>
      <c r="O1540" s="9">
        <f>(VLOOKUP(L1540,'[1]Simulation pricing per sub assy'!$D:$E,2,0))*M1540</f>
        <v>43.608799999999988</v>
      </c>
      <c r="P1540" s="30" t="s">
        <v>50</v>
      </c>
      <c r="Q1540" s="30">
        <v>2</v>
      </c>
      <c r="R1540" s="30" t="s">
        <v>16</v>
      </c>
      <c r="S1540" s="40">
        <f>(VLOOKUP(P1540,'[1]BOM Info General'!$A:$L,12,0))*Q1540</f>
        <v>5.3</v>
      </c>
      <c r="T1540" s="31" t="s">
        <v>14</v>
      </c>
      <c r="U1540" s="31">
        <v>1</v>
      </c>
      <c r="V1540" s="31" t="s">
        <v>15</v>
      </c>
      <c r="W1540" s="17">
        <f>(VLOOKUP(T1540,'[1]Simulation pricing per sub assy'!$D:$E,2,0))*U1540</f>
        <v>1.9</v>
      </c>
      <c r="X1540" s="32" t="s">
        <v>615</v>
      </c>
      <c r="Y1540" s="32">
        <v>1</v>
      </c>
      <c r="Z1540" s="32" t="s">
        <v>9</v>
      </c>
      <c r="AA1540" s="18">
        <f>(VLOOKUP(X1540,'[1]Simulation pricing per sub assy'!$D:$E,2,0))*Y1540</f>
        <v>1.5769808000000001</v>
      </c>
    </row>
    <row r="1541" spans="1:27" x14ac:dyDescent="0.35">
      <c r="A1541" s="27" t="s">
        <v>2623</v>
      </c>
      <c r="B1541" s="27" t="s">
        <v>4578</v>
      </c>
      <c r="C1541" s="42">
        <f t="shared" si="24"/>
        <v>120.0357808</v>
      </c>
      <c r="D1541" s="28" t="s">
        <v>2058</v>
      </c>
      <c r="E1541" s="28">
        <v>1</v>
      </c>
      <c r="F1541" s="28" t="s">
        <v>2059</v>
      </c>
      <c r="G1541" s="14">
        <f>(VLOOKUP(D1541,'[1]BOM Info General'!$A:$L,12,0))*E1541</f>
        <v>35.56</v>
      </c>
      <c r="H1541" s="29" t="s">
        <v>39</v>
      </c>
      <c r="I1541" s="29">
        <v>1</v>
      </c>
      <c r="J1541" s="29" t="s">
        <v>46</v>
      </c>
      <c r="K1541" s="15">
        <f>(VLOOKUP(H1541,'[1]BOM Info General'!$A:$L,12,0))*I1541</f>
        <v>24.42</v>
      </c>
      <c r="L1541" s="26" t="s">
        <v>56</v>
      </c>
      <c r="M1541" s="26">
        <v>1</v>
      </c>
      <c r="N1541" s="26" t="s">
        <v>59</v>
      </c>
      <c r="O1541" s="9">
        <f>(VLOOKUP(L1541,'[1]Simulation pricing per sub assy'!$D:$E,2,0))*M1541</f>
        <v>51.27879999999999</v>
      </c>
      <c r="P1541" s="30" t="s">
        <v>50</v>
      </c>
      <c r="Q1541" s="30">
        <v>2</v>
      </c>
      <c r="R1541" s="30" t="s">
        <v>16</v>
      </c>
      <c r="S1541" s="40">
        <f>(VLOOKUP(P1541,'[1]BOM Info General'!$A:$L,12,0))*Q1541</f>
        <v>5.3</v>
      </c>
      <c r="T1541" s="31" t="s">
        <v>14</v>
      </c>
      <c r="U1541" s="31">
        <v>1</v>
      </c>
      <c r="V1541" s="31" t="s">
        <v>15</v>
      </c>
      <c r="W1541" s="17">
        <f>(VLOOKUP(T1541,'[1]Simulation pricing per sub assy'!$D:$E,2,0))*U1541</f>
        <v>1.9</v>
      </c>
      <c r="X1541" s="32" t="s">
        <v>615</v>
      </c>
      <c r="Y1541" s="32">
        <v>1</v>
      </c>
      <c r="Z1541" s="32" t="s">
        <v>9</v>
      </c>
      <c r="AA1541" s="18">
        <f>(VLOOKUP(X1541,'[1]Simulation pricing per sub assy'!$D:$E,2,0))*Y1541</f>
        <v>1.5769808000000001</v>
      </c>
    </row>
    <row r="1542" spans="1:27" x14ac:dyDescent="0.35">
      <c r="A1542" s="27" t="s">
        <v>2624</v>
      </c>
      <c r="B1542" s="27" t="s">
        <v>4579</v>
      </c>
      <c r="C1542" s="42">
        <f t="shared" si="24"/>
        <v>111.21578079999999</v>
      </c>
      <c r="D1542" s="28" t="s">
        <v>2058</v>
      </c>
      <c r="E1542" s="28">
        <v>1</v>
      </c>
      <c r="F1542" s="28" t="s">
        <v>2059</v>
      </c>
      <c r="G1542" s="14">
        <f>(VLOOKUP(D1542,'[1]BOM Info General'!$A:$L,12,0))*E1542</f>
        <v>35.56</v>
      </c>
      <c r="H1542" s="29" t="s">
        <v>39</v>
      </c>
      <c r="I1542" s="29">
        <v>1</v>
      </c>
      <c r="J1542" s="29" t="s">
        <v>46</v>
      </c>
      <c r="K1542" s="15">
        <f>(VLOOKUP(H1542,'[1]BOM Info General'!$A:$L,12,0))*I1542</f>
        <v>24.42</v>
      </c>
      <c r="L1542" s="26" t="s">
        <v>523</v>
      </c>
      <c r="M1542" s="26">
        <v>1</v>
      </c>
      <c r="N1542" s="26" t="s">
        <v>61</v>
      </c>
      <c r="O1542" s="9">
        <f>(VLOOKUP(L1542,'[1]Simulation pricing per sub assy'!$D:$E,2,0))*M1542</f>
        <v>42.308799999999991</v>
      </c>
      <c r="P1542" s="30" t="s">
        <v>51</v>
      </c>
      <c r="Q1542" s="30">
        <v>2</v>
      </c>
      <c r="R1542" s="30" t="s">
        <v>17</v>
      </c>
      <c r="S1542" s="40">
        <f>(VLOOKUP(P1542,'[1]BOM Info General'!$A:$L,12,0))*Q1542</f>
        <v>5.3</v>
      </c>
      <c r="T1542" s="31" t="s">
        <v>10</v>
      </c>
      <c r="U1542" s="31">
        <v>1</v>
      </c>
      <c r="V1542" s="31" t="s">
        <v>11</v>
      </c>
      <c r="W1542" s="17">
        <f>(VLOOKUP(T1542,'[1]Simulation pricing per sub assy'!$D:$E,2,0))*U1542</f>
        <v>2.0499999999999998</v>
      </c>
      <c r="X1542" s="32" t="s">
        <v>615</v>
      </c>
      <c r="Y1542" s="32">
        <v>1</v>
      </c>
      <c r="Z1542" s="32" t="s">
        <v>9</v>
      </c>
      <c r="AA1542" s="18">
        <f>(VLOOKUP(X1542,'[1]Simulation pricing per sub assy'!$D:$E,2,0))*Y1542</f>
        <v>1.5769808000000001</v>
      </c>
    </row>
    <row r="1543" spans="1:27" x14ac:dyDescent="0.35">
      <c r="A1543" s="27" t="s">
        <v>2625</v>
      </c>
      <c r="B1543" s="27" t="s">
        <v>4580</v>
      </c>
      <c r="C1543" s="42">
        <f t="shared" si="24"/>
        <v>112.19578079999999</v>
      </c>
      <c r="D1543" s="28" t="s">
        <v>2058</v>
      </c>
      <c r="E1543" s="28">
        <v>1</v>
      </c>
      <c r="F1543" s="28" t="s">
        <v>2059</v>
      </c>
      <c r="G1543" s="14">
        <f>(VLOOKUP(D1543,'[1]BOM Info General'!$A:$L,12,0))*E1543</f>
        <v>35.56</v>
      </c>
      <c r="H1543" s="29" t="s">
        <v>39</v>
      </c>
      <c r="I1543" s="29">
        <v>1</v>
      </c>
      <c r="J1543" s="29" t="s">
        <v>46</v>
      </c>
      <c r="K1543" s="15">
        <f>(VLOOKUP(H1543,'[1]BOM Info General'!$A:$L,12,0))*I1543</f>
        <v>24.42</v>
      </c>
      <c r="L1543" s="26" t="s">
        <v>58</v>
      </c>
      <c r="M1543" s="26">
        <v>1</v>
      </c>
      <c r="N1543" s="26" t="s">
        <v>55</v>
      </c>
      <c r="O1543" s="9">
        <f>(VLOOKUP(L1543,'[1]Simulation pricing per sub assy'!$D:$E,2,0))*M1543</f>
        <v>43.288799999999988</v>
      </c>
      <c r="P1543" s="30" t="s">
        <v>51</v>
      </c>
      <c r="Q1543" s="30">
        <v>2</v>
      </c>
      <c r="R1543" s="30" t="s">
        <v>17</v>
      </c>
      <c r="S1543" s="40">
        <f>(VLOOKUP(P1543,'[1]BOM Info General'!$A:$L,12,0))*Q1543</f>
        <v>5.3</v>
      </c>
      <c r="T1543" s="31" t="s">
        <v>10</v>
      </c>
      <c r="U1543" s="31">
        <v>1</v>
      </c>
      <c r="V1543" s="31" t="s">
        <v>11</v>
      </c>
      <c r="W1543" s="17">
        <f>(VLOOKUP(T1543,'[1]Simulation pricing per sub assy'!$D:$E,2,0))*U1543</f>
        <v>2.0499999999999998</v>
      </c>
      <c r="X1543" s="32" t="s">
        <v>615</v>
      </c>
      <c r="Y1543" s="32">
        <v>1</v>
      </c>
      <c r="Z1543" s="32" t="s">
        <v>9</v>
      </c>
      <c r="AA1543" s="18">
        <f>(VLOOKUP(X1543,'[1]Simulation pricing per sub assy'!$D:$E,2,0))*Y1543</f>
        <v>1.5769808000000001</v>
      </c>
    </row>
    <row r="1544" spans="1:27" x14ac:dyDescent="0.35">
      <c r="A1544" s="27" t="s">
        <v>2626</v>
      </c>
      <c r="B1544" s="27" t="s">
        <v>4581</v>
      </c>
      <c r="C1544" s="42">
        <f t="shared" si="24"/>
        <v>112.77578079999999</v>
      </c>
      <c r="D1544" s="28" t="s">
        <v>2058</v>
      </c>
      <c r="E1544" s="28">
        <v>1</v>
      </c>
      <c r="F1544" s="28" t="s">
        <v>2059</v>
      </c>
      <c r="G1544" s="14">
        <f>(VLOOKUP(D1544,'[1]BOM Info General'!$A:$L,12,0))*E1544</f>
        <v>35.56</v>
      </c>
      <c r="H1544" s="29" t="s">
        <v>39</v>
      </c>
      <c r="I1544" s="29">
        <v>1</v>
      </c>
      <c r="J1544" s="29" t="s">
        <v>46</v>
      </c>
      <c r="K1544" s="15">
        <f>(VLOOKUP(H1544,'[1]BOM Info General'!$A:$L,12,0))*I1544</f>
        <v>24.42</v>
      </c>
      <c r="L1544" s="26" t="s">
        <v>54</v>
      </c>
      <c r="M1544" s="26">
        <v>1</v>
      </c>
      <c r="N1544" s="26" t="s">
        <v>53</v>
      </c>
      <c r="O1544" s="9">
        <f>(VLOOKUP(L1544,'[1]Simulation pricing per sub assy'!$D:$E,2,0))*M1544</f>
        <v>43.868799999999993</v>
      </c>
      <c r="P1544" s="30" t="s">
        <v>51</v>
      </c>
      <c r="Q1544" s="30">
        <v>2</v>
      </c>
      <c r="R1544" s="30" t="s">
        <v>17</v>
      </c>
      <c r="S1544" s="40">
        <f>(VLOOKUP(P1544,'[1]BOM Info General'!$A:$L,12,0))*Q1544</f>
        <v>5.3</v>
      </c>
      <c r="T1544" s="31" t="s">
        <v>10</v>
      </c>
      <c r="U1544" s="31">
        <v>1</v>
      </c>
      <c r="V1544" s="31" t="s">
        <v>11</v>
      </c>
      <c r="W1544" s="17">
        <f>(VLOOKUP(T1544,'[1]Simulation pricing per sub assy'!$D:$E,2,0))*U1544</f>
        <v>2.0499999999999998</v>
      </c>
      <c r="X1544" s="32" t="s">
        <v>615</v>
      </c>
      <c r="Y1544" s="32">
        <v>1</v>
      </c>
      <c r="Z1544" s="32" t="s">
        <v>9</v>
      </c>
      <c r="AA1544" s="18">
        <f>(VLOOKUP(X1544,'[1]Simulation pricing per sub assy'!$D:$E,2,0))*Y1544</f>
        <v>1.5769808000000001</v>
      </c>
    </row>
    <row r="1545" spans="1:27" x14ac:dyDescent="0.35">
      <c r="A1545" s="27" t="s">
        <v>2627</v>
      </c>
      <c r="B1545" s="27" t="s">
        <v>4582</v>
      </c>
      <c r="C1545" s="42">
        <f t="shared" si="24"/>
        <v>112.51578079999999</v>
      </c>
      <c r="D1545" s="28" t="s">
        <v>2058</v>
      </c>
      <c r="E1545" s="28">
        <v>1</v>
      </c>
      <c r="F1545" s="28" t="s">
        <v>2059</v>
      </c>
      <c r="G1545" s="14">
        <f>(VLOOKUP(D1545,'[1]BOM Info General'!$A:$L,12,0))*E1545</f>
        <v>35.56</v>
      </c>
      <c r="H1545" s="29" t="s">
        <v>39</v>
      </c>
      <c r="I1545" s="29">
        <v>1</v>
      </c>
      <c r="J1545" s="29" t="s">
        <v>46</v>
      </c>
      <c r="K1545" s="15">
        <f>(VLOOKUP(H1545,'[1]BOM Info General'!$A:$L,12,0))*I1545</f>
        <v>24.42</v>
      </c>
      <c r="L1545" s="26" t="s">
        <v>60</v>
      </c>
      <c r="M1545" s="26">
        <v>1</v>
      </c>
      <c r="N1545" s="26" t="s">
        <v>57</v>
      </c>
      <c r="O1545" s="9">
        <f>(VLOOKUP(L1545,'[1]Simulation pricing per sub assy'!$D:$E,2,0))*M1545</f>
        <v>43.608799999999988</v>
      </c>
      <c r="P1545" s="30" t="s">
        <v>51</v>
      </c>
      <c r="Q1545" s="30">
        <v>2</v>
      </c>
      <c r="R1545" s="30" t="s">
        <v>17</v>
      </c>
      <c r="S1545" s="40">
        <f>(VLOOKUP(P1545,'[1]BOM Info General'!$A:$L,12,0))*Q1545</f>
        <v>5.3</v>
      </c>
      <c r="T1545" s="31" t="s">
        <v>10</v>
      </c>
      <c r="U1545" s="31">
        <v>1</v>
      </c>
      <c r="V1545" s="31" t="s">
        <v>11</v>
      </c>
      <c r="W1545" s="17">
        <f>(VLOOKUP(T1545,'[1]Simulation pricing per sub assy'!$D:$E,2,0))*U1545</f>
        <v>2.0499999999999998</v>
      </c>
      <c r="X1545" s="32" t="s">
        <v>615</v>
      </c>
      <c r="Y1545" s="32">
        <v>1</v>
      </c>
      <c r="Z1545" s="32" t="s">
        <v>9</v>
      </c>
      <c r="AA1545" s="18">
        <f>(VLOOKUP(X1545,'[1]Simulation pricing per sub assy'!$D:$E,2,0))*Y1545</f>
        <v>1.5769808000000001</v>
      </c>
    </row>
    <row r="1546" spans="1:27" x14ac:dyDescent="0.35">
      <c r="A1546" s="27" t="s">
        <v>2628</v>
      </c>
      <c r="B1546" s="27" t="s">
        <v>4583</v>
      </c>
      <c r="C1546" s="42">
        <f t="shared" si="24"/>
        <v>120.18578079999999</v>
      </c>
      <c r="D1546" s="28" t="s">
        <v>2058</v>
      </c>
      <c r="E1546" s="28">
        <v>1</v>
      </c>
      <c r="F1546" s="28" t="s">
        <v>2059</v>
      </c>
      <c r="G1546" s="14">
        <f>(VLOOKUP(D1546,'[1]BOM Info General'!$A:$L,12,0))*E1546</f>
        <v>35.56</v>
      </c>
      <c r="H1546" s="29" t="s">
        <v>39</v>
      </c>
      <c r="I1546" s="29">
        <v>1</v>
      </c>
      <c r="J1546" s="29" t="s">
        <v>46</v>
      </c>
      <c r="K1546" s="15">
        <f>(VLOOKUP(H1546,'[1]BOM Info General'!$A:$L,12,0))*I1546</f>
        <v>24.42</v>
      </c>
      <c r="L1546" s="26" t="s">
        <v>56</v>
      </c>
      <c r="M1546" s="26">
        <v>1</v>
      </c>
      <c r="N1546" s="26" t="s">
        <v>59</v>
      </c>
      <c r="O1546" s="9">
        <f>(VLOOKUP(L1546,'[1]Simulation pricing per sub assy'!$D:$E,2,0))*M1546</f>
        <v>51.27879999999999</v>
      </c>
      <c r="P1546" s="30" t="s">
        <v>51</v>
      </c>
      <c r="Q1546" s="30">
        <v>2</v>
      </c>
      <c r="R1546" s="30" t="s">
        <v>17</v>
      </c>
      <c r="S1546" s="40">
        <f>(VLOOKUP(P1546,'[1]BOM Info General'!$A:$L,12,0))*Q1546</f>
        <v>5.3</v>
      </c>
      <c r="T1546" s="31" t="s">
        <v>10</v>
      </c>
      <c r="U1546" s="31">
        <v>1</v>
      </c>
      <c r="V1546" s="31" t="s">
        <v>11</v>
      </c>
      <c r="W1546" s="17">
        <f>(VLOOKUP(T1546,'[1]Simulation pricing per sub assy'!$D:$E,2,0))*U1546</f>
        <v>2.0499999999999998</v>
      </c>
      <c r="X1546" s="32" t="s">
        <v>615</v>
      </c>
      <c r="Y1546" s="32">
        <v>1</v>
      </c>
      <c r="Z1546" s="32" t="s">
        <v>9</v>
      </c>
      <c r="AA1546" s="18">
        <f>(VLOOKUP(X1546,'[1]Simulation pricing per sub assy'!$D:$E,2,0))*Y1546</f>
        <v>1.5769808000000001</v>
      </c>
    </row>
    <row r="1547" spans="1:27" x14ac:dyDescent="0.35">
      <c r="A1547" s="27" t="s">
        <v>2629</v>
      </c>
      <c r="B1547" s="27" t="s">
        <v>4584</v>
      </c>
      <c r="C1547" s="42">
        <f t="shared" si="24"/>
        <v>111.0657808</v>
      </c>
      <c r="D1547" s="28" t="s">
        <v>2058</v>
      </c>
      <c r="E1547" s="28">
        <v>1</v>
      </c>
      <c r="F1547" s="28" t="s">
        <v>2059</v>
      </c>
      <c r="G1547" s="14">
        <f>(VLOOKUP(D1547,'[1]BOM Info General'!$A:$L,12,0))*E1547</f>
        <v>35.56</v>
      </c>
      <c r="H1547" s="29" t="s">
        <v>39</v>
      </c>
      <c r="I1547" s="29">
        <v>1</v>
      </c>
      <c r="J1547" s="29" t="s">
        <v>46</v>
      </c>
      <c r="K1547" s="15">
        <f>(VLOOKUP(H1547,'[1]BOM Info General'!$A:$L,12,0))*I1547</f>
        <v>24.42</v>
      </c>
      <c r="L1547" s="26" t="s">
        <v>523</v>
      </c>
      <c r="M1547" s="26">
        <v>1</v>
      </c>
      <c r="N1547" s="26" t="s">
        <v>61</v>
      </c>
      <c r="O1547" s="9">
        <f>(VLOOKUP(L1547,'[1]Simulation pricing per sub assy'!$D:$E,2,0))*M1547</f>
        <v>42.308799999999991</v>
      </c>
      <c r="P1547" s="30" t="s">
        <v>51</v>
      </c>
      <c r="Q1547" s="30">
        <v>2</v>
      </c>
      <c r="R1547" s="30" t="s">
        <v>17</v>
      </c>
      <c r="S1547" s="40">
        <f>(VLOOKUP(P1547,'[1]BOM Info General'!$A:$L,12,0))*Q1547</f>
        <v>5.3</v>
      </c>
      <c r="T1547" s="31" t="s">
        <v>12</v>
      </c>
      <c r="U1547" s="31">
        <v>1</v>
      </c>
      <c r="V1547" s="31" t="s">
        <v>13</v>
      </c>
      <c r="W1547" s="17">
        <f>(VLOOKUP(T1547,'[1]Simulation pricing per sub assy'!$D:$E,2,0))*U1547</f>
        <v>1.9</v>
      </c>
      <c r="X1547" s="32" t="s">
        <v>615</v>
      </c>
      <c r="Y1547" s="32">
        <v>1</v>
      </c>
      <c r="Z1547" s="32" t="s">
        <v>9</v>
      </c>
      <c r="AA1547" s="18">
        <f>(VLOOKUP(X1547,'[1]Simulation pricing per sub assy'!$D:$E,2,0))*Y1547</f>
        <v>1.5769808000000001</v>
      </c>
    </row>
    <row r="1548" spans="1:27" x14ac:dyDescent="0.35">
      <c r="A1548" s="27" t="s">
        <v>2630</v>
      </c>
      <c r="B1548" s="27" t="s">
        <v>4585</v>
      </c>
      <c r="C1548" s="42">
        <f t="shared" si="24"/>
        <v>112.0457808</v>
      </c>
      <c r="D1548" s="28" t="s">
        <v>2058</v>
      </c>
      <c r="E1548" s="28">
        <v>1</v>
      </c>
      <c r="F1548" s="28" t="s">
        <v>2059</v>
      </c>
      <c r="G1548" s="14">
        <f>(VLOOKUP(D1548,'[1]BOM Info General'!$A:$L,12,0))*E1548</f>
        <v>35.56</v>
      </c>
      <c r="H1548" s="29" t="s">
        <v>39</v>
      </c>
      <c r="I1548" s="29">
        <v>1</v>
      </c>
      <c r="J1548" s="29" t="s">
        <v>46</v>
      </c>
      <c r="K1548" s="15">
        <f>(VLOOKUP(H1548,'[1]BOM Info General'!$A:$L,12,0))*I1548</f>
        <v>24.42</v>
      </c>
      <c r="L1548" s="26" t="s">
        <v>58</v>
      </c>
      <c r="M1548" s="26">
        <v>1</v>
      </c>
      <c r="N1548" s="26" t="s">
        <v>55</v>
      </c>
      <c r="O1548" s="9">
        <f>(VLOOKUP(L1548,'[1]Simulation pricing per sub assy'!$D:$E,2,0))*M1548</f>
        <v>43.288799999999988</v>
      </c>
      <c r="P1548" s="30" t="s">
        <v>51</v>
      </c>
      <c r="Q1548" s="30">
        <v>2</v>
      </c>
      <c r="R1548" s="30" t="s">
        <v>17</v>
      </c>
      <c r="S1548" s="40">
        <f>(VLOOKUP(P1548,'[1]BOM Info General'!$A:$L,12,0))*Q1548</f>
        <v>5.3</v>
      </c>
      <c r="T1548" s="31" t="s">
        <v>12</v>
      </c>
      <c r="U1548" s="31">
        <v>1</v>
      </c>
      <c r="V1548" s="31" t="s">
        <v>13</v>
      </c>
      <c r="W1548" s="17">
        <f>(VLOOKUP(T1548,'[1]Simulation pricing per sub assy'!$D:$E,2,0))*U1548</f>
        <v>1.9</v>
      </c>
      <c r="X1548" s="32" t="s">
        <v>615</v>
      </c>
      <c r="Y1548" s="32">
        <v>1</v>
      </c>
      <c r="Z1548" s="32" t="s">
        <v>9</v>
      </c>
      <c r="AA1548" s="18">
        <f>(VLOOKUP(X1548,'[1]Simulation pricing per sub assy'!$D:$E,2,0))*Y1548</f>
        <v>1.5769808000000001</v>
      </c>
    </row>
    <row r="1549" spans="1:27" x14ac:dyDescent="0.35">
      <c r="A1549" s="27" t="s">
        <v>2631</v>
      </c>
      <c r="B1549" s="27" t="s">
        <v>4586</v>
      </c>
      <c r="C1549" s="42">
        <f t="shared" si="24"/>
        <v>112.6257808</v>
      </c>
      <c r="D1549" s="28" t="s">
        <v>2058</v>
      </c>
      <c r="E1549" s="28">
        <v>1</v>
      </c>
      <c r="F1549" s="28" t="s">
        <v>2059</v>
      </c>
      <c r="G1549" s="14">
        <f>(VLOOKUP(D1549,'[1]BOM Info General'!$A:$L,12,0))*E1549</f>
        <v>35.56</v>
      </c>
      <c r="H1549" s="29" t="s">
        <v>39</v>
      </c>
      <c r="I1549" s="29">
        <v>1</v>
      </c>
      <c r="J1549" s="29" t="s">
        <v>46</v>
      </c>
      <c r="K1549" s="15">
        <f>(VLOOKUP(H1549,'[1]BOM Info General'!$A:$L,12,0))*I1549</f>
        <v>24.42</v>
      </c>
      <c r="L1549" s="26" t="s">
        <v>54</v>
      </c>
      <c r="M1549" s="26">
        <v>1</v>
      </c>
      <c r="N1549" s="26" t="s">
        <v>53</v>
      </c>
      <c r="O1549" s="9">
        <f>(VLOOKUP(L1549,'[1]Simulation pricing per sub assy'!$D:$E,2,0))*M1549</f>
        <v>43.868799999999993</v>
      </c>
      <c r="P1549" s="30" t="s">
        <v>51</v>
      </c>
      <c r="Q1549" s="30">
        <v>2</v>
      </c>
      <c r="R1549" s="30" t="s">
        <v>17</v>
      </c>
      <c r="S1549" s="40">
        <f>(VLOOKUP(P1549,'[1]BOM Info General'!$A:$L,12,0))*Q1549</f>
        <v>5.3</v>
      </c>
      <c r="T1549" s="31" t="s">
        <v>12</v>
      </c>
      <c r="U1549" s="31">
        <v>1</v>
      </c>
      <c r="V1549" s="31" t="s">
        <v>13</v>
      </c>
      <c r="W1549" s="17">
        <f>(VLOOKUP(T1549,'[1]Simulation pricing per sub assy'!$D:$E,2,0))*U1549</f>
        <v>1.9</v>
      </c>
      <c r="X1549" s="32" t="s">
        <v>615</v>
      </c>
      <c r="Y1549" s="32">
        <v>1</v>
      </c>
      <c r="Z1549" s="32" t="s">
        <v>9</v>
      </c>
      <c r="AA1549" s="18">
        <f>(VLOOKUP(X1549,'[1]Simulation pricing per sub assy'!$D:$E,2,0))*Y1549</f>
        <v>1.5769808000000001</v>
      </c>
    </row>
    <row r="1550" spans="1:27" x14ac:dyDescent="0.35">
      <c r="A1550" s="27" t="s">
        <v>2632</v>
      </c>
      <c r="B1550" s="27" t="s">
        <v>4587</v>
      </c>
      <c r="C1550" s="42">
        <f t="shared" si="24"/>
        <v>112.3657808</v>
      </c>
      <c r="D1550" s="28" t="s">
        <v>2058</v>
      </c>
      <c r="E1550" s="28">
        <v>1</v>
      </c>
      <c r="F1550" s="28" t="s">
        <v>2059</v>
      </c>
      <c r="G1550" s="14">
        <f>(VLOOKUP(D1550,'[1]BOM Info General'!$A:$L,12,0))*E1550</f>
        <v>35.56</v>
      </c>
      <c r="H1550" s="29" t="s">
        <v>39</v>
      </c>
      <c r="I1550" s="29">
        <v>1</v>
      </c>
      <c r="J1550" s="29" t="s">
        <v>46</v>
      </c>
      <c r="K1550" s="15">
        <f>(VLOOKUP(H1550,'[1]BOM Info General'!$A:$L,12,0))*I1550</f>
        <v>24.42</v>
      </c>
      <c r="L1550" s="26" t="s">
        <v>60</v>
      </c>
      <c r="M1550" s="26">
        <v>1</v>
      </c>
      <c r="N1550" s="26" t="s">
        <v>57</v>
      </c>
      <c r="O1550" s="9">
        <f>(VLOOKUP(L1550,'[1]Simulation pricing per sub assy'!$D:$E,2,0))*M1550</f>
        <v>43.608799999999988</v>
      </c>
      <c r="P1550" s="30" t="s">
        <v>51</v>
      </c>
      <c r="Q1550" s="30">
        <v>2</v>
      </c>
      <c r="R1550" s="30" t="s">
        <v>17</v>
      </c>
      <c r="S1550" s="40">
        <f>(VLOOKUP(P1550,'[1]BOM Info General'!$A:$L,12,0))*Q1550</f>
        <v>5.3</v>
      </c>
      <c r="T1550" s="31" t="s">
        <v>12</v>
      </c>
      <c r="U1550" s="31">
        <v>1</v>
      </c>
      <c r="V1550" s="31" t="s">
        <v>13</v>
      </c>
      <c r="W1550" s="17">
        <f>(VLOOKUP(T1550,'[1]Simulation pricing per sub assy'!$D:$E,2,0))*U1550</f>
        <v>1.9</v>
      </c>
      <c r="X1550" s="32" t="s">
        <v>615</v>
      </c>
      <c r="Y1550" s="32">
        <v>1</v>
      </c>
      <c r="Z1550" s="32" t="s">
        <v>9</v>
      </c>
      <c r="AA1550" s="18">
        <f>(VLOOKUP(X1550,'[1]Simulation pricing per sub assy'!$D:$E,2,0))*Y1550</f>
        <v>1.5769808000000001</v>
      </c>
    </row>
    <row r="1551" spans="1:27" x14ac:dyDescent="0.35">
      <c r="A1551" s="27" t="s">
        <v>2633</v>
      </c>
      <c r="B1551" s="27" t="s">
        <v>4588</v>
      </c>
      <c r="C1551" s="42">
        <f t="shared" si="24"/>
        <v>120.0357808</v>
      </c>
      <c r="D1551" s="28" t="s">
        <v>2058</v>
      </c>
      <c r="E1551" s="28">
        <v>1</v>
      </c>
      <c r="F1551" s="28" t="s">
        <v>2059</v>
      </c>
      <c r="G1551" s="14">
        <f>(VLOOKUP(D1551,'[1]BOM Info General'!$A:$L,12,0))*E1551</f>
        <v>35.56</v>
      </c>
      <c r="H1551" s="29" t="s">
        <v>39</v>
      </c>
      <c r="I1551" s="29">
        <v>1</v>
      </c>
      <c r="J1551" s="29" t="s">
        <v>46</v>
      </c>
      <c r="K1551" s="15">
        <f>(VLOOKUP(H1551,'[1]BOM Info General'!$A:$L,12,0))*I1551</f>
        <v>24.42</v>
      </c>
      <c r="L1551" s="26" t="s">
        <v>56</v>
      </c>
      <c r="M1551" s="26">
        <v>1</v>
      </c>
      <c r="N1551" s="26" t="s">
        <v>59</v>
      </c>
      <c r="O1551" s="9">
        <f>(VLOOKUP(L1551,'[1]Simulation pricing per sub assy'!$D:$E,2,0))*M1551</f>
        <v>51.27879999999999</v>
      </c>
      <c r="P1551" s="30" t="s">
        <v>51</v>
      </c>
      <c r="Q1551" s="30">
        <v>2</v>
      </c>
      <c r="R1551" s="30" t="s">
        <v>17</v>
      </c>
      <c r="S1551" s="40">
        <f>(VLOOKUP(P1551,'[1]BOM Info General'!$A:$L,12,0))*Q1551</f>
        <v>5.3</v>
      </c>
      <c r="T1551" s="31" t="s">
        <v>12</v>
      </c>
      <c r="U1551" s="31">
        <v>1</v>
      </c>
      <c r="V1551" s="31" t="s">
        <v>13</v>
      </c>
      <c r="W1551" s="17">
        <f>(VLOOKUP(T1551,'[1]Simulation pricing per sub assy'!$D:$E,2,0))*U1551</f>
        <v>1.9</v>
      </c>
      <c r="X1551" s="32" t="s">
        <v>615</v>
      </c>
      <c r="Y1551" s="32">
        <v>1</v>
      </c>
      <c r="Z1551" s="32" t="s">
        <v>9</v>
      </c>
      <c r="AA1551" s="18">
        <f>(VLOOKUP(X1551,'[1]Simulation pricing per sub assy'!$D:$E,2,0))*Y1551</f>
        <v>1.5769808000000001</v>
      </c>
    </row>
    <row r="1552" spans="1:27" x14ac:dyDescent="0.35">
      <c r="A1552" s="27" t="s">
        <v>2634</v>
      </c>
      <c r="B1552" s="27" t="s">
        <v>4589</v>
      </c>
      <c r="C1552" s="42">
        <f t="shared" si="24"/>
        <v>111.0657808</v>
      </c>
      <c r="D1552" s="28" t="s">
        <v>2058</v>
      </c>
      <c r="E1552" s="28">
        <v>1</v>
      </c>
      <c r="F1552" s="28" t="s">
        <v>2059</v>
      </c>
      <c r="G1552" s="14">
        <f>(VLOOKUP(D1552,'[1]BOM Info General'!$A:$L,12,0))*E1552</f>
        <v>35.56</v>
      </c>
      <c r="H1552" s="29" t="s">
        <v>39</v>
      </c>
      <c r="I1552" s="29">
        <v>1</v>
      </c>
      <c r="J1552" s="29" t="s">
        <v>46</v>
      </c>
      <c r="K1552" s="15">
        <f>(VLOOKUP(H1552,'[1]BOM Info General'!$A:$L,12,0))*I1552</f>
        <v>24.42</v>
      </c>
      <c r="L1552" s="26" t="s">
        <v>523</v>
      </c>
      <c r="M1552" s="26">
        <v>1</v>
      </c>
      <c r="N1552" s="26" t="s">
        <v>61</v>
      </c>
      <c r="O1552" s="9">
        <f>(VLOOKUP(L1552,'[1]Simulation pricing per sub assy'!$D:$E,2,0))*M1552</f>
        <v>42.308799999999991</v>
      </c>
      <c r="P1552" s="30" t="s">
        <v>51</v>
      </c>
      <c r="Q1552" s="30">
        <v>2</v>
      </c>
      <c r="R1552" s="30" t="s">
        <v>17</v>
      </c>
      <c r="S1552" s="40">
        <f>(VLOOKUP(P1552,'[1]BOM Info General'!$A:$L,12,0))*Q1552</f>
        <v>5.3</v>
      </c>
      <c r="T1552" s="31" t="s">
        <v>14</v>
      </c>
      <c r="U1552" s="31">
        <v>1</v>
      </c>
      <c r="V1552" s="31" t="s">
        <v>15</v>
      </c>
      <c r="W1552" s="17">
        <f>(VLOOKUP(T1552,'[1]Simulation pricing per sub assy'!$D:$E,2,0))*U1552</f>
        <v>1.9</v>
      </c>
      <c r="X1552" s="32" t="s">
        <v>615</v>
      </c>
      <c r="Y1552" s="32">
        <v>1</v>
      </c>
      <c r="Z1552" s="32" t="s">
        <v>9</v>
      </c>
      <c r="AA1552" s="18">
        <f>(VLOOKUP(X1552,'[1]Simulation pricing per sub assy'!$D:$E,2,0))*Y1552</f>
        <v>1.5769808000000001</v>
      </c>
    </row>
    <row r="1553" spans="1:27" x14ac:dyDescent="0.35">
      <c r="A1553" s="27" t="s">
        <v>2635</v>
      </c>
      <c r="B1553" s="27" t="s">
        <v>4590</v>
      </c>
      <c r="C1553" s="42">
        <f t="shared" si="24"/>
        <v>112.0457808</v>
      </c>
      <c r="D1553" s="28" t="s">
        <v>2058</v>
      </c>
      <c r="E1553" s="28">
        <v>1</v>
      </c>
      <c r="F1553" s="28" t="s">
        <v>2059</v>
      </c>
      <c r="G1553" s="14">
        <f>(VLOOKUP(D1553,'[1]BOM Info General'!$A:$L,12,0))*E1553</f>
        <v>35.56</v>
      </c>
      <c r="H1553" s="29" t="s">
        <v>39</v>
      </c>
      <c r="I1553" s="29">
        <v>1</v>
      </c>
      <c r="J1553" s="29" t="s">
        <v>46</v>
      </c>
      <c r="K1553" s="15">
        <f>(VLOOKUP(H1553,'[1]BOM Info General'!$A:$L,12,0))*I1553</f>
        <v>24.42</v>
      </c>
      <c r="L1553" s="26" t="s">
        <v>58</v>
      </c>
      <c r="M1553" s="26">
        <v>1</v>
      </c>
      <c r="N1553" s="26" t="s">
        <v>55</v>
      </c>
      <c r="O1553" s="9">
        <f>(VLOOKUP(L1553,'[1]Simulation pricing per sub assy'!$D:$E,2,0))*M1553</f>
        <v>43.288799999999988</v>
      </c>
      <c r="P1553" s="30" t="s">
        <v>51</v>
      </c>
      <c r="Q1553" s="30">
        <v>2</v>
      </c>
      <c r="R1553" s="30" t="s">
        <v>17</v>
      </c>
      <c r="S1553" s="40">
        <f>(VLOOKUP(P1553,'[1]BOM Info General'!$A:$L,12,0))*Q1553</f>
        <v>5.3</v>
      </c>
      <c r="T1553" s="31" t="s">
        <v>14</v>
      </c>
      <c r="U1553" s="31">
        <v>1</v>
      </c>
      <c r="V1553" s="31" t="s">
        <v>15</v>
      </c>
      <c r="W1553" s="17">
        <f>(VLOOKUP(T1553,'[1]Simulation pricing per sub assy'!$D:$E,2,0))*U1553</f>
        <v>1.9</v>
      </c>
      <c r="X1553" s="32" t="s">
        <v>615</v>
      </c>
      <c r="Y1553" s="32">
        <v>1</v>
      </c>
      <c r="Z1553" s="32" t="s">
        <v>9</v>
      </c>
      <c r="AA1553" s="18">
        <f>(VLOOKUP(X1553,'[1]Simulation pricing per sub assy'!$D:$E,2,0))*Y1553</f>
        <v>1.5769808000000001</v>
      </c>
    </row>
    <row r="1554" spans="1:27" x14ac:dyDescent="0.35">
      <c r="A1554" s="27" t="s">
        <v>2636</v>
      </c>
      <c r="B1554" s="27" t="s">
        <v>4591</v>
      </c>
      <c r="C1554" s="42">
        <f t="shared" si="24"/>
        <v>112.6257808</v>
      </c>
      <c r="D1554" s="28" t="s">
        <v>2058</v>
      </c>
      <c r="E1554" s="28">
        <v>1</v>
      </c>
      <c r="F1554" s="28" t="s">
        <v>2059</v>
      </c>
      <c r="G1554" s="14">
        <f>(VLOOKUP(D1554,'[1]BOM Info General'!$A:$L,12,0))*E1554</f>
        <v>35.56</v>
      </c>
      <c r="H1554" s="29" t="s">
        <v>39</v>
      </c>
      <c r="I1554" s="29">
        <v>1</v>
      </c>
      <c r="J1554" s="29" t="s">
        <v>46</v>
      </c>
      <c r="K1554" s="15">
        <f>(VLOOKUP(H1554,'[1]BOM Info General'!$A:$L,12,0))*I1554</f>
        <v>24.42</v>
      </c>
      <c r="L1554" s="26" t="s">
        <v>54</v>
      </c>
      <c r="M1554" s="26">
        <v>1</v>
      </c>
      <c r="N1554" s="26" t="s">
        <v>53</v>
      </c>
      <c r="O1554" s="9">
        <f>(VLOOKUP(L1554,'[1]Simulation pricing per sub assy'!$D:$E,2,0))*M1554</f>
        <v>43.868799999999993</v>
      </c>
      <c r="P1554" s="30" t="s">
        <v>51</v>
      </c>
      <c r="Q1554" s="30">
        <v>2</v>
      </c>
      <c r="R1554" s="30" t="s">
        <v>17</v>
      </c>
      <c r="S1554" s="40">
        <f>(VLOOKUP(P1554,'[1]BOM Info General'!$A:$L,12,0))*Q1554</f>
        <v>5.3</v>
      </c>
      <c r="T1554" s="31" t="s">
        <v>14</v>
      </c>
      <c r="U1554" s="31">
        <v>1</v>
      </c>
      <c r="V1554" s="31" t="s">
        <v>15</v>
      </c>
      <c r="W1554" s="17">
        <f>(VLOOKUP(T1554,'[1]Simulation pricing per sub assy'!$D:$E,2,0))*U1554</f>
        <v>1.9</v>
      </c>
      <c r="X1554" s="32" t="s">
        <v>615</v>
      </c>
      <c r="Y1554" s="32">
        <v>1</v>
      </c>
      <c r="Z1554" s="32" t="s">
        <v>9</v>
      </c>
      <c r="AA1554" s="18">
        <f>(VLOOKUP(X1554,'[1]Simulation pricing per sub assy'!$D:$E,2,0))*Y1554</f>
        <v>1.5769808000000001</v>
      </c>
    </row>
    <row r="1555" spans="1:27" x14ac:dyDescent="0.35">
      <c r="A1555" s="27" t="s">
        <v>2637</v>
      </c>
      <c r="B1555" s="27" t="s">
        <v>4592</v>
      </c>
      <c r="C1555" s="42">
        <f t="shared" si="24"/>
        <v>112.3657808</v>
      </c>
      <c r="D1555" s="28" t="s">
        <v>2058</v>
      </c>
      <c r="E1555" s="28">
        <v>1</v>
      </c>
      <c r="F1555" s="28" t="s">
        <v>2059</v>
      </c>
      <c r="G1555" s="14">
        <f>(VLOOKUP(D1555,'[1]BOM Info General'!$A:$L,12,0))*E1555</f>
        <v>35.56</v>
      </c>
      <c r="H1555" s="29" t="s">
        <v>39</v>
      </c>
      <c r="I1555" s="29">
        <v>1</v>
      </c>
      <c r="J1555" s="29" t="s">
        <v>46</v>
      </c>
      <c r="K1555" s="15">
        <f>(VLOOKUP(H1555,'[1]BOM Info General'!$A:$L,12,0))*I1555</f>
        <v>24.42</v>
      </c>
      <c r="L1555" s="26" t="s">
        <v>60</v>
      </c>
      <c r="M1555" s="26">
        <v>1</v>
      </c>
      <c r="N1555" s="26" t="s">
        <v>57</v>
      </c>
      <c r="O1555" s="9">
        <f>(VLOOKUP(L1555,'[1]Simulation pricing per sub assy'!$D:$E,2,0))*M1555</f>
        <v>43.608799999999988</v>
      </c>
      <c r="P1555" s="30" t="s">
        <v>51</v>
      </c>
      <c r="Q1555" s="30">
        <v>2</v>
      </c>
      <c r="R1555" s="30" t="s">
        <v>17</v>
      </c>
      <c r="S1555" s="40">
        <f>(VLOOKUP(P1555,'[1]BOM Info General'!$A:$L,12,0))*Q1555</f>
        <v>5.3</v>
      </c>
      <c r="T1555" s="31" t="s">
        <v>14</v>
      </c>
      <c r="U1555" s="31">
        <v>1</v>
      </c>
      <c r="V1555" s="31" t="s">
        <v>15</v>
      </c>
      <c r="W1555" s="17">
        <f>(VLOOKUP(T1555,'[1]Simulation pricing per sub assy'!$D:$E,2,0))*U1555</f>
        <v>1.9</v>
      </c>
      <c r="X1555" s="32" t="s">
        <v>615</v>
      </c>
      <c r="Y1555" s="32">
        <v>1</v>
      </c>
      <c r="Z1555" s="32" t="s">
        <v>9</v>
      </c>
      <c r="AA1555" s="18">
        <f>(VLOOKUP(X1555,'[1]Simulation pricing per sub assy'!$D:$E,2,0))*Y1555</f>
        <v>1.5769808000000001</v>
      </c>
    </row>
    <row r="1556" spans="1:27" x14ac:dyDescent="0.35">
      <c r="A1556" s="27" t="s">
        <v>2638</v>
      </c>
      <c r="B1556" s="27" t="s">
        <v>4593</v>
      </c>
      <c r="C1556" s="42">
        <f t="shared" si="24"/>
        <v>120.0357808</v>
      </c>
      <c r="D1556" s="28" t="s">
        <v>2058</v>
      </c>
      <c r="E1556" s="28">
        <v>1</v>
      </c>
      <c r="F1556" s="28" t="s">
        <v>2059</v>
      </c>
      <c r="G1556" s="14">
        <f>(VLOOKUP(D1556,'[1]BOM Info General'!$A:$L,12,0))*E1556</f>
        <v>35.56</v>
      </c>
      <c r="H1556" s="29" t="s">
        <v>39</v>
      </c>
      <c r="I1556" s="29">
        <v>1</v>
      </c>
      <c r="J1556" s="29" t="s">
        <v>46</v>
      </c>
      <c r="K1556" s="15">
        <f>(VLOOKUP(H1556,'[1]BOM Info General'!$A:$L,12,0))*I1556</f>
        <v>24.42</v>
      </c>
      <c r="L1556" s="26" t="s">
        <v>56</v>
      </c>
      <c r="M1556" s="26">
        <v>1</v>
      </c>
      <c r="N1556" s="26" t="s">
        <v>59</v>
      </c>
      <c r="O1556" s="9">
        <f>(VLOOKUP(L1556,'[1]Simulation pricing per sub assy'!$D:$E,2,0))*M1556</f>
        <v>51.27879999999999</v>
      </c>
      <c r="P1556" s="30" t="s">
        <v>51</v>
      </c>
      <c r="Q1556" s="30">
        <v>2</v>
      </c>
      <c r="R1556" s="30" t="s">
        <v>17</v>
      </c>
      <c r="S1556" s="40">
        <f>(VLOOKUP(P1556,'[1]BOM Info General'!$A:$L,12,0))*Q1556</f>
        <v>5.3</v>
      </c>
      <c r="T1556" s="31" t="s">
        <v>14</v>
      </c>
      <c r="U1556" s="31">
        <v>1</v>
      </c>
      <c r="V1556" s="31" t="s">
        <v>15</v>
      </c>
      <c r="W1556" s="17">
        <f>(VLOOKUP(T1556,'[1]Simulation pricing per sub assy'!$D:$E,2,0))*U1556</f>
        <v>1.9</v>
      </c>
      <c r="X1556" s="32" t="s">
        <v>615</v>
      </c>
      <c r="Y1556" s="32">
        <v>1</v>
      </c>
      <c r="Z1556" s="32" t="s">
        <v>9</v>
      </c>
      <c r="AA1556" s="18">
        <f>(VLOOKUP(X1556,'[1]Simulation pricing per sub assy'!$D:$E,2,0))*Y1556</f>
        <v>1.5769808000000001</v>
      </c>
    </row>
    <row r="1557" spans="1:27" x14ac:dyDescent="0.35">
      <c r="A1557" s="27" t="s">
        <v>2639</v>
      </c>
      <c r="B1557" s="27" t="s">
        <v>4594</v>
      </c>
      <c r="C1557" s="42">
        <f t="shared" si="24"/>
        <v>111.21578079999999</v>
      </c>
      <c r="D1557" s="28" t="s">
        <v>2058</v>
      </c>
      <c r="E1557" s="28">
        <v>1</v>
      </c>
      <c r="F1557" s="28" t="s">
        <v>2059</v>
      </c>
      <c r="G1557" s="14">
        <f>(VLOOKUP(D1557,'[1]BOM Info General'!$A:$L,12,0))*E1557</f>
        <v>35.56</v>
      </c>
      <c r="H1557" s="29" t="s">
        <v>39</v>
      </c>
      <c r="I1557" s="29">
        <v>1</v>
      </c>
      <c r="J1557" s="29" t="s">
        <v>46</v>
      </c>
      <c r="K1557" s="15">
        <f>(VLOOKUP(H1557,'[1]BOM Info General'!$A:$L,12,0))*I1557</f>
        <v>24.42</v>
      </c>
      <c r="L1557" s="26" t="s">
        <v>523</v>
      </c>
      <c r="M1557" s="26">
        <v>1</v>
      </c>
      <c r="N1557" s="26" t="s">
        <v>61</v>
      </c>
      <c r="O1557" s="9">
        <f>(VLOOKUP(L1557,'[1]Simulation pricing per sub assy'!$D:$E,2,0))*M1557</f>
        <v>42.308799999999991</v>
      </c>
      <c r="P1557" s="30" t="s">
        <v>52</v>
      </c>
      <c r="Q1557" s="30">
        <v>2</v>
      </c>
      <c r="R1557" s="30" t="s">
        <v>18</v>
      </c>
      <c r="S1557" s="40">
        <f>(VLOOKUP(P1557,'[1]BOM Info General'!$A:$L,12,0))*Q1557</f>
        <v>5.3</v>
      </c>
      <c r="T1557" s="31" t="s">
        <v>10</v>
      </c>
      <c r="U1557" s="31">
        <v>1</v>
      </c>
      <c r="V1557" s="31" t="s">
        <v>11</v>
      </c>
      <c r="W1557" s="17">
        <f>(VLOOKUP(T1557,'[1]Simulation pricing per sub assy'!$D:$E,2,0))*U1557</f>
        <v>2.0499999999999998</v>
      </c>
      <c r="X1557" s="32" t="s">
        <v>615</v>
      </c>
      <c r="Y1557" s="32">
        <v>1</v>
      </c>
      <c r="Z1557" s="32" t="s">
        <v>9</v>
      </c>
      <c r="AA1557" s="18">
        <f>(VLOOKUP(X1557,'[1]Simulation pricing per sub assy'!$D:$E,2,0))*Y1557</f>
        <v>1.5769808000000001</v>
      </c>
    </row>
    <row r="1558" spans="1:27" x14ac:dyDescent="0.35">
      <c r="A1558" s="27" t="s">
        <v>2640</v>
      </c>
      <c r="B1558" s="27" t="s">
        <v>4595</v>
      </c>
      <c r="C1558" s="42">
        <f t="shared" si="24"/>
        <v>112.19578079999999</v>
      </c>
      <c r="D1558" s="28" t="s">
        <v>2058</v>
      </c>
      <c r="E1558" s="28">
        <v>1</v>
      </c>
      <c r="F1558" s="28" t="s">
        <v>2059</v>
      </c>
      <c r="G1558" s="14">
        <f>(VLOOKUP(D1558,'[1]BOM Info General'!$A:$L,12,0))*E1558</f>
        <v>35.56</v>
      </c>
      <c r="H1558" s="29" t="s">
        <v>39</v>
      </c>
      <c r="I1558" s="29">
        <v>1</v>
      </c>
      <c r="J1558" s="29" t="s">
        <v>46</v>
      </c>
      <c r="K1558" s="15">
        <f>(VLOOKUP(H1558,'[1]BOM Info General'!$A:$L,12,0))*I1558</f>
        <v>24.42</v>
      </c>
      <c r="L1558" s="26" t="s">
        <v>58</v>
      </c>
      <c r="M1558" s="26">
        <v>1</v>
      </c>
      <c r="N1558" s="26" t="s">
        <v>55</v>
      </c>
      <c r="O1558" s="9">
        <f>(VLOOKUP(L1558,'[1]Simulation pricing per sub assy'!$D:$E,2,0))*M1558</f>
        <v>43.288799999999988</v>
      </c>
      <c r="P1558" s="30" t="s">
        <v>52</v>
      </c>
      <c r="Q1558" s="30">
        <v>2</v>
      </c>
      <c r="R1558" s="30" t="s">
        <v>18</v>
      </c>
      <c r="S1558" s="40">
        <f>(VLOOKUP(P1558,'[1]BOM Info General'!$A:$L,12,0))*Q1558</f>
        <v>5.3</v>
      </c>
      <c r="T1558" s="31" t="s">
        <v>10</v>
      </c>
      <c r="U1558" s="31">
        <v>1</v>
      </c>
      <c r="V1558" s="31" t="s">
        <v>11</v>
      </c>
      <c r="W1558" s="17">
        <f>(VLOOKUP(T1558,'[1]Simulation pricing per sub assy'!$D:$E,2,0))*U1558</f>
        <v>2.0499999999999998</v>
      </c>
      <c r="X1558" s="32" t="s">
        <v>615</v>
      </c>
      <c r="Y1558" s="32">
        <v>1</v>
      </c>
      <c r="Z1558" s="32" t="s">
        <v>9</v>
      </c>
      <c r="AA1558" s="18">
        <f>(VLOOKUP(X1558,'[1]Simulation pricing per sub assy'!$D:$E,2,0))*Y1558</f>
        <v>1.5769808000000001</v>
      </c>
    </row>
    <row r="1559" spans="1:27" x14ac:dyDescent="0.35">
      <c r="A1559" s="27" t="s">
        <v>2641</v>
      </c>
      <c r="B1559" s="27" t="s">
        <v>4596</v>
      </c>
      <c r="C1559" s="42">
        <f t="shared" si="24"/>
        <v>112.77578079999999</v>
      </c>
      <c r="D1559" s="28" t="s">
        <v>2058</v>
      </c>
      <c r="E1559" s="28">
        <v>1</v>
      </c>
      <c r="F1559" s="28" t="s">
        <v>2059</v>
      </c>
      <c r="G1559" s="14">
        <f>(VLOOKUP(D1559,'[1]BOM Info General'!$A:$L,12,0))*E1559</f>
        <v>35.56</v>
      </c>
      <c r="H1559" s="29" t="s">
        <v>39</v>
      </c>
      <c r="I1559" s="29">
        <v>1</v>
      </c>
      <c r="J1559" s="29" t="s">
        <v>46</v>
      </c>
      <c r="K1559" s="15">
        <f>(VLOOKUP(H1559,'[1]BOM Info General'!$A:$L,12,0))*I1559</f>
        <v>24.42</v>
      </c>
      <c r="L1559" s="26" t="s">
        <v>54</v>
      </c>
      <c r="M1559" s="26">
        <v>1</v>
      </c>
      <c r="N1559" s="26" t="s">
        <v>53</v>
      </c>
      <c r="O1559" s="9">
        <f>(VLOOKUP(L1559,'[1]Simulation pricing per sub assy'!$D:$E,2,0))*M1559</f>
        <v>43.868799999999993</v>
      </c>
      <c r="P1559" s="30" t="s">
        <v>52</v>
      </c>
      <c r="Q1559" s="30">
        <v>2</v>
      </c>
      <c r="R1559" s="30" t="s">
        <v>18</v>
      </c>
      <c r="S1559" s="40">
        <f>(VLOOKUP(P1559,'[1]BOM Info General'!$A:$L,12,0))*Q1559</f>
        <v>5.3</v>
      </c>
      <c r="T1559" s="31" t="s">
        <v>10</v>
      </c>
      <c r="U1559" s="31">
        <v>1</v>
      </c>
      <c r="V1559" s="31" t="s">
        <v>11</v>
      </c>
      <c r="W1559" s="17">
        <f>(VLOOKUP(T1559,'[1]Simulation pricing per sub assy'!$D:$E,2,0))*U1559</f>
        <v>2.0499999999999998</v>
      </c>
      <c r="X1559" s="32" t="s">
        <v>615</v>
      </c>
      <c r="Y1559" s="32">
        <v>1</v>
      </c>
      <c r="Z1559" s="32" t="s">
        <v>9</v>
      </c>
      <c r="AA1559" s="18">
        <f>(VLOOKUP(X1559,'[1]Simulation pricing per sub assy'!$D:$E,2,0))*Y1559</f>
        <v>1.5769808000000001</v>
      </c>
    </row>
    <row r="1560" spans="1:27" x14ac:dyDescent="0.35">
      <c r="A1560" s="27" t="s">
        <v>2642</v>
      </c>
      <c r="B1560" s="27" t="s">
        <v>4597</v>
      </c>
      <c r="C1560" s="42">
        <f t="shared" si="24"/>
        <v>112.51578079999999</v>
      </c>
      <c r="D1560" s="28" t="s">
        <v>2058</v>
      </c>
      <c r="E1560" s="28">
        <v>1</v>
      </c>
      <c r="F1560" s="28" t="s">
        <v>2059</v>
      </c>
      <c r="G1560" s="14">
        <f>(VLOOKUP(D1560,'[1]BOM Info General'!$A:$L,12,0))*E1560</f>
        <v>35.56</v>
      </c>
      <c r="H1560" s="29" t="s">
        <v>39</v>
      </c>
      <c r="I1560" s="29">
        <v>1</v>
      </c>
      <c r="J1560" s="29" t="s">
        <v>46</v>
      </c>
      <c r="K1560" s="15">
        <f>(VLOOKUP(H1560,'[1]BOM Info General'!$A:$L,12,0))*I1560</f>
        <v>24.42</v>
      </c>
      <c r="L1560" s="26" t="s">
        <v>60</v>
      </c>
      <c r="M1560" s="26">
        <v>1</v>
      </c>
      <c r="N1560" s="26" t="s">
        <v>57</v>
      </c>
      <c r="O1560" s="9">
        <f>(VLOOKUP(L1560,'[1]Simulation pricing per sub assy'!$D:$E,2,0))*M1560</f>
        <v>43.608799999999988</v>
      </c>
      <c r="P1560" s="30" t="s">
        <v>52</v>
      </c>
      <c r="Q1560" s="30">
        <v>2</v>
      </c>
      <c r="R1560" s="30" t="s">
        <v>18</v>
      </c>
      <c r="S1560" s="40">
        <f>(VLOOKUP(P1560,'[1]BOM Info General'!$A:$L,12,0))*Q1560</f>
        <v>5.3</v>
      </c>
      <c r="T1560" s="31" t="s">
        <v>10</v>
      </c>
      <c r="U1560" s="31">
        <v>1</v>
      </c>
      <c r="V1560" s="31" t="s">
        <v>11</v>
      </c>
      <c r="W1560" s="17">
        <f>(VLOOKUP(T1560,'[1]Simulation pricing per sub assy'!$D:$E,2,0))*U1560</f>
        <v>2.0499999999999998</v>
      </c>
      <c r="X1560" s="32" t="s">
        <v>615</v>
      </c>
      <c r="Y1560" s="32">
        <v>1</v>
      </c>
      <c r="Z1560" s="32" t="s">
        <v>9</v>
      </c>
      <c r="AA1560" s="18">
        <f>(VLOOKUP(X1560,'[1]Simulation pricing per sub assy'!$D:$E,2,0))*Y1560</f>
        <v>1.5769808000000001</v>
      </c>
    </row>
    <row r="1561" spans="1:27" x14ac:dyDescent="0.35">
      <c r="A1561" s="27" t="s">
        <v>2643</v>
      </c>
      <c r="B1561" s="27" t="s">
        <v>4598</v>
      </c>
      <c r="C1561" s="42">
        <f t="shared" si="24"/>
        <v>120.18578079999999</v>
      </c>
      <c r="D1561" s="28" t="s">
        <v>2058</v>
      </c>
      <c r="E1561" s="28">
        <v>1</v>
      </c>
      <c r="F1561" s="28" t="s">
        <v>2059</v>
      </c>
      <c r="G1561" s="14">
        <f>(VLOOKUP(D1561,'[1]BOM Info General'!$A:$L,12,0))*E1561</f>
        <v>35.56</v>
      </c>
      <c r="H1561" s="29" t="s">
        <v>39</v>
      </c>
      <c r="I1561" s="29">
        <v>1</v>
      </c>
      <c r="J1561" s="29" t="s">
        <v>46</v>
      </c>
      <c r="K1561" s="15">
        <f>(VLOOKUP(H1561,'[1]BOM Info General'!$A:$L,12,0))*I1561</f>
        <v>24.42</v>
      </c>
      <c r="L1561" s="26" t="s">
        <v>56</v>
      </c>
      <c r="M1561" s="26">
        <v>1</v>
      </c>
      <c r="N1561" s="26" t="s">
        <v>59</v>
      </c>
      <c r="O1561" s="9">
        <f>(VLOOKUP(L1561,'[1]Simulation pricing per sub assy'!$D:$E,2,0))*M1561</f>
        <v>51.27879999999999</v>
      </c>
      <c r="P1561" s="30" t="s">
        <v>52</v>
      </c>
      <c r="Q1561" s="30">
        <v>2</v>
      </c>
      <c r="R1561" s="30" t="s">
        <v>18</v>
      </c>
      <c r="S1561" s="40">
        <f>(VLOOKUP(P1561,'[1]BOM Info General'!$A:$L,12,0))*Q1561</f>
        <v>5.3</v>
      </c>
      <c r="T1561" s="31" t="s">
        <v>10</v>
      </c>
      <c r="U1561" s="31">
        <v>1</v>
      </c>
      <c r="V1561" s="31" t="s">
        <v>11</v>
      </c>
      <c r="W1561" s="17">
        <f>(VLOOKUP(T1561,'[1]Simulation pricing per sub assy'!$D:$E,2,0))*U1561</f>
        <v>2.0499999999999998</v>
      </c>
      <c r="X1561" s="32" t="s">
        <v>615</v>
      </c>
      <c r="Y1561" s="32">
        <v>1</v>
      </c>
      <c r="Z1561" s="32" t="s">
        <v>9</v>
      </c>
      <c r="AA1561" s="18">
        <f>(VLOOKUP(X1561,'[1]Simulation pricing per sub assy'!$D:$E,2,0))*Y1561</f>
        <v>1.5769808000000001</v>
      </c>
    </row>
    <row r="1562" spans="1:27" x14ac:dyDescent="0.35">
      <c r="A1562" s="27" t="s">
        <v>2644</v>
      </c>
      <c r="B1562" s="27" t="s">
        <v>4599</v>
      </c>
      <c r="C1562" s="42">
        <f t="shared" si="24"/>
        <v>111.0657808</v>
      </c>
      <c r="D1562" s="28" t="s">
        <v>2058</v>
      </c>
      <c r="E1562" s="28">
        <v>1</v>
      </c>
      <c r="F1562" s="28" t="s">
        <v>2059</v>
      </c>
      <c r="G1562" s="14">
        <f>(VLOOKUP(D1562,'[1]BOM Info General'!$A:$L,12,0))*E1562</f>
        <v>35.56</v>
      </c>
      <c r="H1562" s="29" t="s">
        <v>39</v>
      </c>
      <c r="I1562" s="29">
        <v>1</v>
      </c>
      <c r="J1562" s="29" t="s">
        <v>46</v>
      </c>
      <c r="K1562" s="15">
        <f>(VLOOKUP(H1562,'[1]BOM Info General'!$A:$L,12,0))*I1562</f>
        <v>24.42</v>
      </c>
      <c r="L1562" s="26" t="s">
        <v>523</v>
      </c>
      <c r="M1562" s="26">
        <v>1</v>
      </c>
      <c r="N1562" s="26" t="s">
        <v>61</v>
      </c>
      <c r="O1562" s="9">
        <f>(VLOOKUP(L1562,'[1]Simulation pricing per sub assy'!$D:$E,2,0))*M1562</f>
        <v>42.308799999999991</v>
      </c>
      <c r="P1562" s="30" t="s">
        <v>52</v>
      </c>
      <c r="Q1562" s="30">
        <v>2</v>
      </c>
      <c r="R1562" s="30" t="s">
        <v>18</v>
      </c>
      <c r="S1562" s="40">
        <f>(VLOOKUP(P1562,'[1]BOM Info General'!$A:$L,12,0))*Q1562</f>
        <v>5.3</v>
      </c>
      <c r="T1562" s="31" t="s">
        <v>12</v>
      </c>
      <c r="U1562" s="31">
        <v>1</v>
      </c>
      <c r="V1562" s="31" t="s">
        <v>13</v>
      </c>
      <c r="W1562" s="17">
        <f>(VLOOKUP(T1562,'[1]Simulation pricing per sub assy'!$D:$E,2,0))*U1562</f>
        <v>1.9</v>
      </c>
      <c r="X1562" s="32" t="s">
        <v>615</v>
      </c>
      <c r="Y1562" s="32">
        <v>1</v>
      </c>
      <c r="Z1562" s="32" t="s">
        <v>9</v>
      </c>
      <c r="AA1562" s="18">
        <f>(VLOOKUP(X1562,'[1]Simulation pricing per sub assy'!$D:$E,2,0))*Y1562</f>
        <v>1.5769808000000001</v>
      </c>
    </row>
    <row r="1563" spans="1:27" x14ac:dyDescent="0.35">
      <c r="A1563" s="27" t="s">
        <v>2645</v>
      </c>
      <c r="B1563" s="27" t="s">
        <v>4600</v>
      </c>
      <c r="C1563" s="42">
        <f t="shared" si="24"/>
        <v>112.0457808</v>
      </c>
      <c r="D1563" s="28" t="s">
        <v>2058</v>
      </c>
      <c r="E1563" s="28">
        <v>1</v>
      </c>
      <c r="F1563" s="28" t="s">
        <v>2059</v>
      </c>
      <c r="G1563" s="14">
        <f>(VLOOKUP(D1563,'[1]BOM Info General'!$A:$L,12,0))*E1563</f>
        <v>35.56</v>
      </c>
      <c r="H1563" s="29" t="s">
        <v>39</v>
      </c>
      <c r="I1563" s="29">
        <v>1</v>
      </c>
      <c r="J1563" s="29" t="s">
        <v>46</v>
      </c>
      <c r="K1563" s="15">
        <f>(VLOOKUP(H1563,'[1]BOM Info General'!$A:$L,12,0))*I1563</f>
        <v>24.42</v>
      </c>
      <c r="L1563" s="26" t="s">
        <v>58</v>
      </c>
      <c r="M1563" s="26">
        <v>1</v>
      </c>
      <c r="N1563" s="26" t="s">
        <v>55</v>
      </c>
      <c r="O1563" s="9">
        <f>(VLOOKUP(L1563,'[1]Simulation pricing per sub assy'!$D:$E,2,0))*M1563</f>
        <v>43.288799999999988</v>
      </c>
      <c r="P1563" s="30" t="s">
        <v>52</v>
      </c>
      <c r="Q1563" s="30">
        <v>2</v>
      </c>
      <c r="R1563" s="30" t="s">
        <v>18</v>
      </c>
      <c r="S1563" s="40">
        <f>(VLOOKUP(P1563,'[1]BOM Info General'!$A:$L,12,0))*Q1563</f>
        <v>5.3</v>
      </c>
      <c r="T1563" s="31" t="s">
        <v>12</v>
      </c>
      <c r="U1563" s="31">
        <v>1</v>
      </c>
      <c r="V1563" s="31" t="s">
        <v>13</v>
      </c>
      <c r="W1563" s="17">
        <f>(VLOOKUP(T1563,'[1]Simulation pricing per sub assy'!$D:$E,2,0))*U1563</f>
        <v>1.9</v>
      </c>
      <c r="X1563" s="32" t="s">
        <v>615</v>
      </c>
      <c r="Y1563" s="32">
        <v>1</v>
      </c>
      <c r="Z1563" s="32" t="s">
        <v>9</v>
      </c>
      <c r="AA1563" s="18">
        <f>(VLOOKUP(X1563,'[1]Simulation pricing per sub assy'!$D:$E,2,0))*Y1563</f>
        <v>1.5769808000000001</v>
      </c>
    </row>
    <row r="1564" spans="1:27" x14ac:dyDescent="0.35">
      <c r="A1564" s="27" t="s">
        <v>2646</v>
      </c>
      <c r="B1564" s="27" t="s">
        <v>4601</v>
      </c>
      <c r="C1564" s="42">
        <f t="shared" si="24"/>
        <v>112.6257808</v>
      </c>
      <c r="D1564" s="28" t="s">
        <v>2058</v>
      </c>
      <c r="E1564" s="28">
        <v>1</v>
      </c>
      <c r="F1564" s="28" t="s">
        <v>2059</v>
      </c>
      <c r="G1564" s="14">
        <f>(VLOOKUP(D1564,'[1]BOM Info General'!$A:$L,12,0))*E1564</f>
        <v>35.56</v>
      </c>
      <c r="H1564" s="29" t="s">
        <v>39</v>
      </c>
      <c r="I1564" s="29">
        <v>1</v>
      </c>
      <c r="J1564" s="29" t="s">
        <v>46</v>
      </c>
      <c r="K1564" s="15">
        <f>(VLOOKUP(H1564,'[1]BOM Info General'!$A:$L,12,0))*I1564</f>
        <v>24.42</v>
      </c>
      <c r="L1564" s="26" t="s">
        <v>54</v>
      </c>
      <c r="M1564" s="26">
        <v>1</v>
      </c>
      <c r="N1564" s="26" t="s">
        <v>53</v>
      </c>
      <c r="O1564" s="9">
        <f>(VLOOKUP(L1564,'[1]Simulation pricing per sub assy'!$D:$E,2,0))*M1564</f>
        <v>43.868799999999993</v>
      </c>
      <c r="P1564" s="30" t="s">
        <v>52</v>
      </c>
      <c r="Q1564" s="30">
        <v>2</v>
      </c>
      <c r="R1564" s="30" t="s">
        <v>18</v>
      </c>
      <c r="S1564" s="40">
        <f>(VLOOKUP(P1564,'[1]BOM Info General'!$A:$L,12,0))*Q1564</f>
        <v>5.3</v>
      </c>
      <c r="T1564" s="31" t="s">
        <v>12</v>
      </c>
      <c r="U1564" s="31">
        <v>1</v>
      </c>
      <c r="V1564" s="31" t="s">
        <v>13</v>
      </c>
      <c r="W1564" s="17">
        <f>(VLOOKUP(T1564,'[1]Simulation pricing per sub assy'!$D:$E,2,0))*U1564</f>
        <v>1.9</v>
      </c>
      <c r="X1564" s="32" t="s">
        <v>615</v>
      </c>
      <c r="Y1564" s="32">
        <v>1</v>
      </c>
      <c r="Z1564" s="32" t="s">
        <v>9</v>
      </c>
      <c r="AA1564" s="18">
        <f>(VLOOKUP(X1564,'[1]Simulation pricing per sub assy'!$D:$E,2,0))*Y1564</f>
        <v>1.5769808000000001</v>
      </c>
    </row>
    <row r="1565" spans="1:27" x14ac:dyDescent="0.35">
      <c r="A1565" s="27" t="s">
        <v>2647</v>
      </c>
      <c r="B1565" s="27" t="s">
        <v>4602</v>
      </c>
      <c r="C1565" s="42">
        <f t="shared" si="24"/>
        <v>112.3657808</v>
      </c>
      <c r="D1565" s="28" t="s">
        <v>2058</v>
      </c>
      <c r="E1565" s="28">
        <v>1</v>
      </c>
      <c r="F1565" s="28" t="s">
        <v>2059</v>
      </c>
      <c r="G1565" s="14">
        <f>(VLOOKUP(D1565,'[1]BOM Info General'!$A:$L,12,0))*E1565</f>
        <v>35.56</v>
      </c>
      <c r="H1565" s="29" t="s">
        <v>39</v>
      </c>
      <c r="I1565" s="29">
        <v>1</v>
      </c>
      <c r="J1565" s="29" t="s">
        <v>46</v>
      </c>
      <c r="K1565" s="15">
        <f>(VLOOKUP(H1565,'[1]BOM Info General'!$A:$L,12,0))*I1565</f>
        <v>24.42</v>
      </c>
      <c r="L1565" s="26" t="s">
        <v>60</v>
      </c>
      <c r="M1565" s="26">
        <v>1</v>
      </c>
      <c r="N1565" s="26" t="s">
        <v>57</v>
      </c>
      <c r="O1565" s="9">
        <f>(VLOOKUP(L1565,'[1]Simulation pricing per sub assy'!$D:$E,2,0))*M1565</f>
        <v>43.608799999999988</v>
      </c>
      <c r="P1565" s="30" t="s">
        <v>52</v>
      </c>
      <c r="Q1565" s="30">
        <v>2</v>
      </c>
      <c r="R1565" s="30" t="s">
        <v>18</v>
      </c>
      <c r="S1565" s="40">
        <f>(VLOOKUP(P1565,'[1]BOM Info General'!$A:$L,12,0))*Q1565</f>
        <v>5.3</v>
      </c>
      <c r="T1565" s="31" t="s">
        <v>12</v>
      </c>
      <c r="U1565" s="31">
        <v>1</v>
      </c>
      <c r="V1565" s="31" t="s">
        <v>13</v>
      </c>
      <c r="W1565" s="17">
        <f>(VLOOKUP(T1565,'[1]Simulation pricing per sub assy'!$D:$E,2,0))*U1565</f>
        <v>1.9</v>
      </c>
      <c r="X1565" s="32" t="s">
        <v>615</v>
      </c>
      <c r="Y1565" s="32">
        <v>1</v>
      </c>
      <c r="Z1565" s="32" t="s">
        <v>9</v>
      </c>
      <c r="AA1565" s="18">
        <f>(VLOOKUP(X1565,'[1]Simulation pricing per sub assy'!$D:$E,2,0))*Y1565</f>
        <v>1.5769808000000001</v>
      </c>
    </row>
    <row r="1566" spans="1:27" x14ac:dyDescent="0.35">
      <c r="A1566" s="27" t="s">
        <v>2648</v>
      </c>
      <c r="B1566" s="27" t="s">
        <v>4603</v>
      </c>
      <c r="C1566" s="42">
        <f t="shared" si="24"/>
        <v>120.0357808</v>
      </c>
      <c r="D1566" s="28" t="s">
        <v>2058</v>
      </c>
      <c r="E1566" s="28">
        <v>1</v>
      </c>
      <c r="F1566" s="28" t="s">
        <v>2059</v>
      </c>
      <c r="G1566" s="14">
        <f>(VLOOKUP(D1566,'[1]BOM Info General'!$A:$L,12,0))*E1566</f>
        <v>35.56</v>
      </c>
      <c r="H1566" s="29" t="s">
        <v>39</v>
      </c>
      <c r="I1566" s="29">
        <v>1</v>
      </c>
      <c r="J1566" s="29" t="s">
        <v>46</v>
      </c>
      <c r="K1566" s="15">
        <f>(VLOOKUP(H1566,'[1]BOM Info General'!$A:$L,12,0))*I1566</f>
        <v>24.42</v>
      </c>
      <c r="L1566" s="26" t="s">
        <v>56</v>
      </c>
      <c r="M1566" s="26">
        <v>1</v>
      </c>
      <c r="N1566" s="26" t="s">
        <v>59</v>
      </c>
      <c r="O1566" s="9">
        <f>(VLOOKUP(L1566,'[1]Simulation pricing per sub assy'!$D:$E,2,0))*M1566</f>
        <v>51.27879999999999</v>
      </c>
      <c r="P1566" s="30" t="s">
        <v>52</v>
      </c>
      <c r="Q1566" s="30">
        <v>2</v>
      </c>
      <c r="R1566" s="30" t="s">
        <v>18</v>
      </c>
      <c r="S1566" s="40">
        <f>(VLOOKUP(P1566,'[1]BOM Info General'!$A:$L,12,0))*Q1566</f>
        <v>5.3</v>
      </c>
      <c r="T1566" s="31" t="s">
        <v>12</v>
      </c>
      <c r="U1566" s="31">
        <v>1</v>
      </c>
      <c r="V1566" s="31" t="s">
        <v>13</v>
      </c>
      <c r="W1566" s="17">
        <f>(VLOOKUP(T1566,'[1]Simulation pricing per sub assy'!$D:$E,2,0))*U1566</f>
        <v>1.9</v>
      </c>
      <c r="X1566" s="32" t="s">
        <v>615</v>
      </c>
      <c r="Y1566" s="32">
        <v>1</v>
      </c>
      <c r="Z1566" s="32" t="s">
        <v>9</v>
      </c>
      <c r="AA1566" s="18">
        <f>(VLOOKUP(X1566,'[1]Simulation pricing per sub assy'!$D:$E,2,0))*Y1566</f>
        <v>1.5769808000000001</v>
      </c>
    </row>
    <row r="1567" spans="1:27" x14ac:dyDescent="0.35">
      <c r="A1567" s="27" t="s">
        <v>2649</v>
      </c>
      <c r="B1567" s="27" t="s">
        <v>4604</v>
      </c>
      <c r="C1567" s="42">
        <f t="shared" si="24"/>
        <v>111.0657808</v>
      </c>
      <c r="D1567" s="28" t="s">
        <v>2058</v>
      </c>
      <c r="E1567" s="28">
        <v>1</v>
      </c>
      <c r="F1567" s="28" t="s">
        <v>2059</v>
      </c>
      <c r="G1567" s="14">
        <f>(VLOOKUP(D1567,'[1]BOM Info General'!$A:$L,12,0))*E1567</f>
        <v>35.56</v>
      </c>
      <c r="H1567" s="29" t="s">
        <v>39</v>
      </c>
      <c r="I1567" s="29">
        <v>1</v>
      </c>
      <c r="J1567" s="29" t="s">
        <v>46</v>
      </c>
      <c r="K1567" s="15">
        <f>(VLOOKUP(H1567,'[1]BOM Info General'!$A:$L,12,0))*I1567</f>
        <v>24.42</v>
      </c>
      <c r="L1567" s="26" t="s">
        <v>523</v>
      </c>
      <c r="M1567" s="26">
        <v>1</v>
      </c>
      <c r="N1567" s="26" t="s">
        <v>61</v>
      </c>
      <c r="O1567" s="9">
        <f>(VLOOKUP(L1567,'[1]Simulation pricing per sub assy'!$D:$E,2,0))*M1567</f>
        <v>42.308799999999991</v>
      </c>
      <c r="P1567" s="30" t="s">
        <v>52</v>
      </c>
      <c r="Q1567" s="30">
        <v>2</v>
      </c>
      <c r="R1567" s="30" t="s">
        <v>18</v>
      </c>
      <c r="S1567" s="40">
        <f>(VLOOKUP(P1567,'[1]BOM Info General'!$A:$L,12,0))*Q1567</f>
        <v>5.3</v>
      </c>
      <c r="T1567" s="31" t="s">
        <v>14</v>
      </c>
      <c r="U1567" s="31">
        <v>1</v>
      </c>
      <c r="V1567" s="31" t="s">
        <v>15</v>
      </c>
      <c r="W1567" s="17">
        <f>(VLOOKUP(T1567,'[1]Simulation pricing per sub assy'!$D:$E,2,0))*U1567</f>
        <v>1.9</v>
      </c>
      <c r="X1567" s="32" t="s">
        <v>615</v>
      </c>
      <c r="Y1567" s="32">
        <v>1</v>
      </c>
      <c r="Z1567" s="32" t="s">
        <v>9</v>
      </c>
      <c r="AA1567" s="18">
        <f>(VLOOKUP(X1567,'[1]Simulation pricing per sub assy'!$D:$E,2,0))*Y1567</f>
        <v>1.5769808000000001</v>
      </c>
    </row>
    <row r="1568" spans="1:27" x14ac:dyDescent="0.35">
      <c r="A1568" s="27" t="s">
        <v>2650</v>
      </c>
      <c r="B1568" s="27" t="s">
        <v>4605</v>
      </c>
      <c r="C1568" s="42">
        <f t="shared" si="24"/>
        <v>112.0457808</v>
      </c>
      <c r="D1568" s="28" t="s">
        <v>2058</v>
      </c>
      <c r="E1568" s="28">
        <v>1</v>
      </c>
      <c r="F1568" s="28" t="s">
        <v>2059</v>
      </c>
      <c r="G1568" s="14">
        <f>(VLOOKUP(D1568,'[1]BOM Info General'!$A:$L,12,0))*E1568</f>
        <v>35.56</v>
      </c>
      <c r="H1568" s="29" t="s">
        <v>39</v>
      </c>
      <c r="I1568" s="29">
        <v>1</v>
      </c>
      <c r="J1568" s="29" t="s">
        <v>46</v>
      </c>
      <c r="K1568" s="15">
        <f>(VLOOKUP(H1568,'[1]BOM Info General'!$A:$L,12,0))*I1568</f>
        <v>24.42</v>
      </c>
      <c r="L1568" s="26" t="s">
        <v>58</v>
      </c>
      <c r="M1568" s="26">
        <v>1</v>
      </c>
      <c r="N1568" s="26" t="s">
        <v>55</v>
      </c>
      <c r="O1568" s="9">
        <f>(VLOOKUP(L1568,'[1]Simulation pricing per sub assy'!$D:$E,2,0))*M1568</f>
        <v>43.288799999999988</v>
      </c>
      <c r="P1568" s="30" t="s">
        <v>52</v>
      </c>
      <c r="Q1568" s="30">
        <v>2</v>
      </c>
      <c r="R1568" s="30" t="s">
        <v>18</v>
      </c>
      <c r="S1568" s="40">
        <f>(VLOOKUP(P1568,'[1]BOM Info General'!$A:$L,12,0))*Q1568</f>
        <v>5.3</v>
      </c>
      <c r="T1568" s="31" t="s">
        <v>14</v>
      </c>
      <c r="U1568" s="31">
        <v>1</v>
      </c>
      <c r="V1568" s="31" t="s">
        <v>15</v>
      </c>
      <c r="W1568" s="17">
        <f>(VLOOKUP(T1568,'[1]Simulation pricing per sub assy'!$D:$E,2,0))*U1568</f>
        <v>1.9</v>
      </c>
      <c r="X1568" s="32" t="s">
        <v>615</v>
      </c>
      <c r="Y1568" s="32">
        <v>1</v>
      </c>
      <c r="Z1568" s="32" t="s">
        <v>9</v>
      </c>
      <c r="AA1568" s="18">
        <f>(VLOOKUP(X1568,'[1]Simulation pricing per sub assy'!$D:$E,2,0))*Y1568</f>
        <v>1.5769808000000001</v>
      </c>
    </row>
    <row r="1569" spans="1:27" x14ac:dyDescent="0.35">
      <c r="A1569" s="27" t="s">
        <v>2651</v>
      </c>
      <c r="B1569" s="27" t="s">
        <v>4606</v>
      </c>
      <c r="C1569" s="42">
        <f t="shared" si="24"/>
        <v>112.6257808</v>
      </c>
      <c r="D1569" s="28" t="s">
        <v>2058</v>
      </c>
      <c r="E1569" s="28">
        <v>1</v>
      </c>
      <c r="F1569" s="28" t="s">
        <v>2059</v>
      </c>
      <c r="G1569" s="14">
        <f>(VLOOKUP(D1569,'[1]BOM Info General'!$A:$L,12,0))*E1569</f>
        <v>35.56</v>
      </c>
      <c r="H1569" s="29" t="s">
        <v>39</v>
      </c>
      <c r="I1569" s="29">
        <v>1</v>
      </c>
      <c r="J1569" s="29" t="s">
        <v>46</v>
      </c>
      <c r="K1569" s="15">
        <f>(VLOOKUP(H1569,'[1]BOM Info General'!$A:$L,12,0))*I1569</f>
        <v>24.42</v>
      </c>
      <c r="L1569" s="26" t="s">
        <v>54</v>
      </c>
      <c r="M1569" s="26">
        <v>1</v>
      </c>
      <c r="N1569" s="26" t="s">
        <v>53</v>
      </c>
      <c r="O1569" s="9">
        <f>(VLOOKUP(L1569,'[1]Simulation pricing per sub assy'!$D:$E,2,0))*M1569</f>
        <v>43.868799999999993</v>
      </c>
      <c r="P1569" s="30" t="s">
        <v>52</v>
      </c>
      <c r="Q1569" s="30">
        <v>2</v>
      </c>
      <c r="R1569" s="30" t="s">
        <v>18</v>
      </c>
      <c r="S1569" s="40">
        <f>(VLOOKUP(P1569,'[1]BOM Info General'!$A:$L,12,0))*Q1569</f>
        <v>5.3</v>
      </c>
      <c r="T1569" s="31" t="s">
        <v>14</v>
      </c>
      <c r="U1569" s="31">
        <v>1</v>
      </c>
      <c r="V1569" s="31" t="s">
        <v>15</v>
      </c>
      <c r="W1569" s="17">
        <f>(VLOOKUP(T1569,'[1]Simulation pricing per sub assy'!$D:$E,2,0))*U1569</f>
        <v>1.9</v>
      </c>
      <c r="X1569" s="32" t="s">
        <v>615</v>
      </c>
      <c r="Y1569" s="32">
        <v>1</v>
      </c>
      <c r="Z1569" s="32" t="s">
        <v>9</v>
      </c>
      <c r="AA1569" s="18">
        <f>(VLOOKUP(X1569,'[1]Simulation pricing per sub assy'!$D:$E,2,0))*Y1569</f>
        <v>1.5769808000000001</v>
      </c>
    </row>
    <row r="1570" spans="1:27" x14ac:dyDescent="0.35">
      <c r="A1570" s="27" t="s">
        <v>2652</v>
      </c>
      <c r="B1570" s="27" t="s">
        <v>4607</v>
      </c>
      <c r="C1570" s="42">
        <f t="shared" si="24"/>
        <v>112.3657808</v>
      </c>
      <c r="D1570" s="28" t="s">
        <v>2058</v>
      </c>
      <c r="E1570" s="28">
        <v>1</v>
      </c>
      <c r="F1570" s="28" t="s">
        <v>2059</v>
      </c>
      <c r="G1570" s="14">
        <f>(VLOOKUP(D1570,'[1]BOM Info General'!$A:$L,12,0))*E1570</f>
        <v>35.56</v>
      </c>
      <c r="H1570" s="29" t="s">
        <v>39</v>
      </c>
      <c r="I1570" s="29">
        <v>1</v>
      </c>
      <c r="J1570" s="29" t="s">
        <v>46</v>
      </c>
      <c r="K1570" s="15">
        <f>(VLOOKUP(H1570,'[1]BOM Info General'!$A:$L,12,0))*I1570</f>
        <v>24.42</v>
      </c>
      <c r="L1570" s="26" t="s">
        <v>60</v>
      </c>
      <c r="M1570" s="26">
        <v>1</v>
      </c>
      <c r="N1570" s="26" t="s">
        <v>57</v>
      </c>
      <c r="O1570" s="9">
        <f>(VLOOKUP(L1570,'[1]Simulation pricing per sub assy'!$D:$E,2,0))*M1570</f>
        <v>43.608799999999988</v>
      </c>
      <c r="P1570" s="30" t="s">
        <v>52</v>
      </c>
      <c r="Q1570" s="30">
        <v>2</v>
      </c>
      <c r="R1570" s="30" t="s">
        <v>18</v>
      </c>
      <c r="S1570" s="40">
        <f>(VLOOKUP(P1570,'[1]BOM Info General'!$A:$L,12,0))*Q1570</f>
        <v>5.3</v>
      </c>
      <c r="T1570" s="31" t="s">
        <v>14</v>
      </c>
      <c r="U1570" s="31">
        <v>1</v>
      </c>
      <c r="V1570" s="31" t="s">
        <v>15</v>
      </c>
      <c r="W1570" s="17">
        <f>(VLOOKUP(T1570,'[1]Simulation pricing per sub assy'!$D:$E,2,0))*U1570</f>
        <v>1.9</v>
      </c>
      <c r="X1570" s="32" t="s">
        <v>615</v>
      </c>
      <c r="Y1570" s="32">
        <v>1</v>
      </c>
      <c r="Z1570" s="32" t="s">
        <v>9</v>
      </c>
      <c r="AA1570" s="18">
        <f>(VLOOKUP(X1570,'[1]Simulation pricing per sub assy'!$D:$E,2,0))*Y1570</f>
        <v>1.5769808000000001</v>
      </c>
    </row>
    <row r="1571" spans="1:27" x14ac:dyDescent="0.35">
      <c r="A1571" s="27" t="s">
        <v>2653</v>
      </c>
      <c r="B1571" s="27" t="s">
        <v>4608</v>
      </c>
      <c r="C1571" s="42">
        <f t="shared" si="24"/>
        <v>120.0357808</v>
      </c>
      <c r="D1571" s="28" t="s">
        <v>2058</v>
      </c>
      <c r="E1571" s="28">
        <v>1</v>
      </c>
      <c r="F1571" s="28" t="s">
        <v>2059</v>
      </c>
      <c r="G1571" s="14">
        <f>(VLOOKUP(D1571,'[1]BOM Info General'!$A:$L,12,0))*E1571</f>
        <v>35.56</v>
      </c>
      <c r="H1571" s="29" t="s">
        <v>39</v>
      </c>
      <c r="I1571" s="29">
        <v>1</v>
      </c>
      <c r="J1571" s="29" t="s">
        <v>46</v>
      </c>
      <c r="K1571" s="15">
        <f>(VLOOKUP(H1571,'[1]BOM Info General'!$A:$L,12,0))*I1571</f>
        <v>24.42</v>
      </c>
      <c r="L1571" s="26" t="s">
        <v>56</v>
      </c>
      <c r="M1571" s="26">
        <v>1</v>
      </c>
      <c r="N1571" s="26" t="s">
        <v>59</v>
      </c>
      <c r="O1571" s="9">
        <f>(VLOOKUP(L1571,'[1]Simulation pricing per sub assy'!$D:$E,2,0))*M1571</f>
        <v>51.27879999999999</v>
      </c>
      <c r="P1571" s="30" t="s">
        <v>52</v>
      </c>
      <c r="Q1571" s="30">
        <v>2</v>
      </c>
      <c r="R1571" s="30" t="s">
        <v>18</v>
      </c>
      <c r="S1571" s="40">
        <f>(VLOOKUP(P1571,'[1]BOM Info General'!$A:$L,12,0))*Q1571</f>
        <v>5.3</v>
      </c>
      <c r="T1571" s="31" t="s">
        <v>14</v>
      </c>
      <c r="U1571" s="31">
        <v>1</v>
      </c>
      <c r="V1571" s="31" t="s">
        <v>15</v>
      </c>
      <c r="W1571" s="17">
        <f>(VLOOKUP(T1571,'[1]Simulation pricing per sub assy'!$D:$E,2,0))*U1571</f>
        <v>1.9</v>
      </c>
      <c r="X1571" s="32" t="s">
        <v>615</v>
      </c>
      <c r="Y1571" s="32">
        <v>1</v>
      </c>
      <c r="Z1571" s="32" t="s">
        <v>9</v>
      </c>
      <c r="AA1571" s="18">
        <f>(VLOOKUP(X1571,'[1]Simulation pricing per sub assy'!$D:$E,2,0))*Y1571</f>
        <v>1.5769808000000001</v>
      </c>
    </row>
    <row r="1572" spans="1:27" x14ac:dyDescent="0.35">
      <c r="A1572" s="27" t="s">
        <v>2654</v>
      </c>
      <c r="B1572" s="27" t="s">
        <v>4609</v>
      </c>
      <c r="C1572" s="42">
        <f t="shared" si="24"/>
        <v>111.5057808</v>
      </c>
      <c r="D1572" s="28" t="s">
        <v>2058</v>
      </c>
      <c r="E1572" s="28">
        <v>1</v>
      </c>
      <c r="F1572" s="28" t="s">
        <v>2059</v>
      </c>
      <c r="G1572" s="14">
        <f>(VLOOKUP(D1572,'[1]BOM Info General'!$A:$L,12,0))*E1572</f>
        <v>35.56</v>
      </c>
      <c r="H1572" s="29" t="s">
        <v>39</v>
      </c>
      <c r="I1572" s="29">
        <v>1</v>
      </c>
      <c r="J1572" s="29" t="s">
        <v>46</v>
      </c>
      <c r="K1572" s="15">
        <f>(VLOOKUP(H1572,'[1]BOM Info General'!$A:$L,12,0))*I1572</f>
        <v>24.42</v>
      </c>
      <c r="L1572" s="26" t="s">
        <v>523</v>
      </c>
      <c r="M1572" s="26">
        <v>1</v>
      </c>
      <c r="N1572" s="26" t="s">
        <v>61</v>
      </c>
      <c r="O1572" s="9">
        <f>(VLOOKUP(L1572,'[1]Simulation pricing per sub assy'!$D:$E,2,0))*M1572</f>
        <v>42.308799999999991</v>
      </c>
      <c r="P1572" s="30" t="s">
        <v>50</v>
      </c>
      <c r="Q1572" s="30">
        <v>2</v>
      </c>
      <c r="R1572" s="30" t="s">
        <v>611</v>
      </c>
      <c r="S1572" s="40">
        <f>(VLOOKUP(P1572,'[1]BOM Info General'!$A:$L,12,0))*Q1572</f>
        <v>5.3</v>
      </c>
      <c r="T1572" s="31" t="s">
        <v>19</v>
      </c>
      <c r="U1572" s="31">
        <v>1</v>
      </c>
      <c r="V1572" s="31" t="s">
        <v>20</v>
      </c>
      <c r="W1572" s="17">
        <f>(VLOOKUP(T1572,'[1]Simulation pricing per sub assy'!$D:$E,2,0))*U1572</f>
        <v>2.3400000000000003</v>
      </c>
      <c r="X1572" s="32" t="s">
        <v>615</v>
      </c>
      <c r="Y1572" s="32">
        <v>1</v>
      </c>
      <c r="Z1572" s="32" t="s">
        <v>9</v>
      </c>
      <c r="AA1572" s="18">
        <f>(VLOOKUP(X1572,'[1]Simulation pricing per sub assy'!$D:$E,2,0))*Y1572</f>
        <v>1.5769808000000001</v>
      </c>
    </row>
    <row r="1573" spans="1:27" x14ac:dyDescent="0.35">
      <c r="A1573" s="27" t="s">
        <v>2655</v>
      </c>
      <c r="B1573" s="27" t="s">
        <v>4610</v>
      </c>
      <c r="C1573" s="42">
        <f t="shared" si="24"/>
        <v>112.4857808</v>
      </c>
      <c r="D1573" s="28" t="s">
        <v>2058</v>
      </c>
      <c r="E1573" s="28">
        <v>1</v>
      </c>
      <c r="F1573" s="28" t="s">
        <v>2059</v>
      </c>
      <c r="G1573" s="14">
        <f>(VLOOKUP(D1573,'[1]BOM Info General'!$A:$L,12,0))*E1573</f>
        <v>35.56</v>
      </c>
      <c r="H1573" s="29" t="s">
        <v>39</v>
      </c>
      <c r="I1573" s="29">
        <v>1</v>
      </c>
      <c r="J1573" s="29" t="s">
        <v>46</v>
      </c>
      <c r="K1573" s="15">
        <f>(VLOOKUP(H1573,'[1]BOM Info General'!$A:$L,12,0))*I1573</f>
        <v>24.42</v>
      </c>
      <c r="L1573" s="26" t="s">
        <v>58</v>
      </c>
      <c r="M1573" s="26">
        <v>1</v>
      </c>
      <c r="N1573" s="26" t="s">
        <v>55</v>
      </c>
      <c r="O1573" s="9">
        <f>(VLOOKUP(L1573,'[1]Simulation pricing per sub assy'!$D:$E,2,0))*M1573</f>
        <v>43.288799999999988</v>
      </c>
      <c r="P1573" s="30" t="s">
        <v>50</v>
      </c>
      <c r="Q1573" s="30">
        <v>2</v>
      </c>
      <c r="R1573" s="30" t="s">
        <v>611</v>
      </c>
      <c r="S1573" s="40">
        <f>(VLOOKUP(P1573,'[1]BOM Info General'!$A:$L,12,0))*Q1573</f>
        <v>5.3</v>
      </c>
      <c r="T1573" s="31" t="s">
        <v>19</v>
      </c>
      <c r="U1573" s="31">
        <v>1</v>
      </c>
      <c r="V1573" s="31" t="s">
        <v>20</v>
      </c>
      <c r="W1573" s="17">
        <f>(VLOOKUP(T1573,'[1]Simulation pricing per sub assy'!$D:$E,2,0))*U1573</f>
        <v>2.3400000000000003</v>
      </c>
      <c r="X1573" s="32" t="s">
        <v>615</v>
      </c>
      <c r="Y1573" s="32">
        <v>1</v>
      </c>
      <c r="Z1573" s="32" t="s">
        <v>9</v>
      </c>
      <c r="AA1573" s="18">
        <f>(VLOOKUP(X1573,'[1]Simulation pricing per sub assy'!$D:$E,2,0))*Y1573</f>
        <v>1.5769808000000001</v>
      </c>
    </row>
    <row r="1574" spans="1:27" x14ac:dyDescent="0.35">
      <c r="A1574" s="27" t="s">
        <v>2656</v>
      </c>
      <c r="B1574" s="27" t="s">
        <v>4611</v>
      </c>
      <c r="C1574" s="42">
        <f t="shared" si="24"/>
        <v>113.0657808</v>
      </c>
      <c r="D1574" s="28" t="s">
        <v>2058</v>
      </c>
      <c r="E1574" s="28">
        <v>1</v>
      </c>
      <c r="F1574" s="28" t="s">
        <v>2059</v>
      </c>
      <c r="G1574" s="14">
        <f>(VLOOKUP(D1574,'[1]BOM Info General'!$A:$L,12,0))*E1574</f>
        <v>35.56</v>
      </c>
      <c r="H1574" s="29" t="s">
        <v>39</v>
      </c>
      <c r="I1574" s="29">
        <v>1</v>
      </c>
      <c r="J1574" s="29" t="s">
        <v>46</v>
      </c>
      <c r="K1574" s="15">
        <f>(VLOOKUP(H1574,'[1]BOM Info General'!$A:$L,12,0))*I1574</f>
        <v>24.42</v>
      </c>
      <c r="L1574" s="26" t="s">
        <v>54</v>
      </c>
      <c r="M1574" s="26">
        <v>1</v>
      </c>
      <c r="N1574" s="26" t="s">
        <v>53</v>
      </c>
      <c r="O1574" s="9">
        <f>(VLOOKUP(L1574,'[1]Simulation pricing per sub assy'!$D:$E,2,0))*M1574</f>
        <v>43.868799999999993</v>
      </c>
      <c r="P1574" s="30" t="s">
        <v>50</v>
      </c>
      <c r="Q1574" s="30">
        <v>2</v>
      </c>
      <c r="R1574" s="30" t="s">
        <v>611</v>
      </c>
      <c r="S1574" s="40">
        <f>(VLOOKUP(P1574,'[1]BOM Info General'!$A:$L,12,0))*Q1574</f>
        <v>5.3</v>
      </c>
      <c r="T1574" s="31" t="s">
        <v>19</v>
      </c>
      <c r="U1574" s="31">
        <v>1</v>
      </c>
      <c r="V1574" s="31" t="s">
        <v>20</v>
      </c>
      <c r="W1574" s="17">
        <f>(VLOOKUP(T1574,'[1]Simulation pricing per sub assy'!$D:$E,2,0))*U1574</f>
        <v>2.3400000000000003</v>
      </c>
      <c r="X1574" s="32" t="s">
        <v>615</v>
      </c>
      <c r="Y1574" s="32">
        <v>1</v>
      </c>
      <c r="Z1574" s="32" t="s">
        <v>9</v>
      </c>
      <c r="AA1574" s="18">
        <f>(VLOOKUP(X1574,'[1]Simulation pricing per sub assy'!$D:$E,2,0))*Y1574</f>
        <v>1.5769808000000001</v>
      </c>
    </row>
    <row r="1575" spans="1:27" x14ac:dyDescent="0.35">
      <c r="A1575" s="27" t="s">
        <v>2657</v>
      </c>
      <c r="B1575" s="27" t="s">
        <v>4612</v>
      </c>
      <c r="C1575" s="42">
        <f t="shared" si="24"/>
        <v>112.80578079999999</v>
      </c>
      <c r="D1575" s="28" t="s">
        <v>2058</v>
      </c>
      <c r="E1575" s="28">
        <v>1</v>
      </c>
      <c r="F1575" s="28" t="s">
        <v>2059</v>
      </c>
      <c r="G1575" s="14">
        <f>(VLOOKUP(D1575,'[1]BOM Info General'!$A:$L,12,0))*E1575</f>
        <v>35.56</v>
      </c>
      <c r="H1575" s="29" t="s">
        <v>39</v>
      </c>
      <c r="I1575" s="29">
        <v>1</v>
      </c>
      <c r="J1575" s="29" t="s">
        <v>46</v>
      </c>
      <c r="K1575" s="15">
        <f>(VLOOKUP(H1575,'[1]BOM Info General'!$A:$L,12,0))*I1575</f>
        <v>24.42</v>
      </c>
      <c r="L1575" s="26" t="s">
        <v>60</v>
      </c>
      <c r="M1575" s="26">
        <v>1</v>
      </c>
      <c r="N1575" s="26" t="s">
        <v>57</v>
      </c>
      <c r="O1575" s="9">
        <f>(VLOOKUP(L1575,'[1]Simulation pricing per sub assy'!$D:$E,2,0))*M1575</f>
        <v>43.608799999999988</v>
      </c>
      <c r="P1575" s="30" t="s">
        <v>50</v>
      </c>
      <c r="Q1575" s="30">
        <v>2</v>
      </c>
      <c r="R1575" s="30" t="s">
        <v>611</v>
      </c>
      <c r="S1575" s="40">
        <f>(VLOOKUP(P1575,'[1]BOM Info General'!$A:$L,12,0))*Q1575</f>
        <v>5.3</v>
      </c>
      <c r="T1575" s="31" t="s">
        <v>19</v>
      </c>
      <c r="U1575" s="31">
        <v>1</v>
      </c>
      <c r="V1575" s="31" t="s">
        <v>20</v>
      </c>
      <c r="W1575" s="17">
        <f>(VLOOKUP(T1575,'[1]Simulation pricing per sub assy'!$D:$E,2,0))*U1575</f>
        <v>2.3400000000000003</v>
      </c>
      <c r="X1575" s="32" t="s">
        <v>615</v>
      </c>
      <c r="Y1575" s="32">
        <v>1</v>
      </c>
      <c r="Z1575" s="32" t="s">
        <v>9</v>
      </c>
      <c r="AA1575" s="18">
        <f>(VLOOKUP(X1575,'[1]Simulation pricing per sub assy'!$D:$E,2,0))*Y1575</f>
        <v>1.5769808000000001</v>
      </c>
    </row>
    <row r="1576" spans="1:27" x14ac:dyDescent="0.35">
      <c r="A1576" s="27" t="s">
        <v>2658</v>
      </c>
      <c r="B1576" s="27" t="s">
        <v>4613</v>
      </c>
      <c r="C1576" s="42">
        <f t="shared" si="24"/>
        <v>120.4757808</v>
      </c>
      <c r="D1576" s="28" t="s">
        <v>2058</v>
      </c>
      <c r="E1576" s="28">
        <v>1</v>
      </c>
      <c r="F1576" s="28" t="s">
        <v>2059</v>
      </c>
      <c r="G1576" s="14">
        <f>(VLOOKUP(D1576,'[1]BOM Info General'!$A:$L,12,0))*E1576</f>
        <v>35.56</v>
      </c>
      <c r="H1576" s="29" t="s">
        <v>39</v>
      </c>
      <c r="I1576" s="29">
        <v>1</v>
      </c>
      <c r="J1576" s="29" t="s">
        <v>46</v>
      </c>
      <c r="K1576" s="15">
        <f>(VLOOKUP(H1576,'[1]BOM Info General'!$A:$L,12,0))*I1576</f>
        <v>24.42</v>
      </c>
      <c r="L1576" s="26" t="s">
        <v>56</v>
      </c>
      <c r="M1576" s="26">
        <v>1</v>
      </c>
      <c r="N1576" s="26" t="s">
        <v>59</v>
      </c>
      <c r="O1576" s="9">
        <f>(VLOOKUP(L1576,'[1]Simulation pricing per sub assy'!$D:$E,2,0))*M1576</f>
        <v>51.27879999999999</v>
      </c>
      <c r="P1576" s="30" t="s">
        <v>50</v>
      </c>
      <c r="Q1576" s="30">
        <v>2</v>
      </c>
      <c r="R1576" s="30" t="s">
        <v>611</v>
      </c>
      <c r="S1576" s="40">
        <f>(VLOOKUP(P1576,'[1]BOM Info General'!$A:$L,12,0))*Q1576</f>
        <v>5.3</v>
      </c>
      <c r="T1576" s="31" t="s">
        <v>19</v>
      </c>
      <c r="U1576" s="31">
        <v>1</v>
      </c>
      <c r="V1576" s="31" t="s">
        <v>20</v>
      </c>
      <c r="W1576" s="17">
        <f>(VLOOKUP(T1576,'[1]Simulation pricing per sub assy'!$D:$E,2,0))*U1576</f>
        <v>2.3400000000000003</v>
      </c>
      <c r="X1576" s="32" t="s">
        <v>615</v>
      </c>
      <c r="Y1576" s="32">
        <v>1</v>
      </c>
      <c r="Z1576" s="32" t="s">
        <v>9</v>
      </c>
      <c r="AA1576" s="18">
        <f>(VLOOKUP(X1576,'[1]Simulation pricing per sub assy'!$D:$E,2,0))*Y1576</f>
        <v>1.5769808000000001</v>
      </c>
    </row>
    <row r="1577" spans="1:27" x14ac:dyDescent="0.35">
      <c r="A1577" s="27" t="s">
        <v>2659</v>
      </c>
      <c r="B1577" s="27" t="s">
        <v>4614</v>
      </c>
      <c r="C1577" s="42">
        <f t="shared" si="24"/>
        <v>283.24669080000001</v>
      </c>
      <c r="D1577" s="28" t="s">
        <v>3540</v>
      </c>
      <c r="E1577" s="28">
        <v>2</v>
      </c>
      <c r="F1577" s="28" t="s">
        <v>3981</v>
      </c>
      <c r="G1577" s="14">
        <f>(VLOOKUP(D1577,'[1]BOM Info General'!$A:$L,12,0))*E1577</f>
        <v>130.12</v>
      </c>
      <c r="H1577" s="29" t="s">
        <v>40</v>
      </c>
      <c r="I1577" s="29">
        <v>1</v>
      </c>
      <c r="J1577" s="29" t="s">
        <v>45</v>
      </c>
      <c r="K1577" s="15">
        <f>(VLOOKUP(H1577,'[1]BOM Info General'!$A:$L,12,0))*I1577</f>
        <v>25.59</v>
      </c>
      <c r="L1577" s="26" t="s">
        <v>524</v>
      </c>
      <c r="M1577" s="26">
        <v>1</v>
      </c>
      <c r="N1577" s="26" t="s">
        <v>70</v>
      </c>
      <c r="O1577" s="9">
        <f>(VLOOKUP(L1577,'[1]Simulation pricing per sub assy'!$D:$E,2,0))*M1577</f>
        <v>94.656400000000033</v>
      </c>
      <c r="P1577" s="30" t="s">
        <v>50</v>
      </c>
      <c r="Q1577" s="30">
        <v>8</v>
      </c>
      <c r="R1577" s="30" t="s">
        <v>611</v>
      </c>
      <c r="S1577" s="40">
        <f>(VLOOKUP(P1577,'[1]BOM Info General'!$A:$L,12,0))*Q1577</f>
        <v>21.2</v>
      </c>
      <c r="T1577" s="31" t="s">
        <v>21</v>
      </c>
      <c r="U1577" s="31">
        <v>1</v>
      </c>
      <c r="V1577" s="31" t="s">
        <v>22</v>
      </c>
      <c r="W1577" s="17">
        <f>(VLOOKUP(T1577,'[1]Simulation pricing per sub assy'!$D:$E,2,0))*U1577</f>
        <v>7.2</v>
      </c>
      <c r="X1577" s="32" t="s">
        <v>616</v>
      </c>
      <c r="Y1577" s="32">
        <v>1</v>
      </c>
      <c r="Z1577" s="32" t="s">
        <v>23</v>
      </c>
      <c r="AA1577" s="18">
        <f>(VLOOKUP(X1577,'[1]Simulation pricing per sub assy'!$D:$E,2,0))*Y1577</f>
        <v>4.4802908000000006</v>
      </c>
    </row>
    <row r="1578" spans="1:27" x14ac:dyDescent="0.35">
      <c r="A1578" s="27" t="s">
        <v>2660</v>
      </c>
      <c r="B1578" s="27" t="s">
        <v>4615</v>
      </c>
      <c r="C1578" s="42">
        <f t="shared" si="24"/>
        <v>284.34669080000003</v>
      </c>
      <c r="D1578" s="28" t="s">
        <v>3540</v>
      </c>
      <c r="E1578" s="28">
        <v>2</v>
      </c>
      <c r="F1578" s="28" t="s">
        <v>3981</v>
      </c>
      <c r="G1578" s="14">
        <f>(VLOOKUP(D1578,'[1]BOM Info General'!$A:$L,12,0))*E1578</f>
        <v>130.12</v>
      </c>
      <c r="H1578" s="29" t="s">
        <v>40</v>
      </c>
      <c r="I1578" s="29">
        <v>1</v>
      </c>
      <c r="J1578" s="29" t="s">
        <v>45</v>
      </c>
      <c r="K1578" s="15">
        <f>(VLOOKUP(H1578,'[1]BOM Info General'!$A:$L,12,0))*I1578</f>
        <v>25.59</v>
      </c>
      <c r="L1578" s="26" t="s">
        <v>67</v>
      </c>
      <c r="M1578" s="26">
        <v>1</v>
      </c>
      <c r="N1578" s="26" t="s">
        <v>64</v>
      </c>
      <c r="O1578" s="9">
        <f>(VLOOKUP(L1578,'[1]Simulation pricing per sub assy'!$D:$E,2,0))*M1578</f>
        <v>95.756400000000042</v>
      </c>
      <c r="P1578" s="30" t="s">
        <v>50</v>
      </c>
      <c r="Q1578" s="30">
        <v>8</v>
      </c>
      <c r="R1578" s="30" t="s">
        <v>611</v>
      </c>
      <c r="S1578" s="40">
        <f>(VLOOKUP(P1578,'[1]BOM Info General'!$A:$L,12,0))*Q1578</f>
        <v>21.2</v>
      </c>
      <c r="T1578" s="31" t="s">
        <v>21</v>
      </c>
      <c r="U1578" s="31">
        <v>1</v>
      </c>
      <c r="V1578" s="31" t="s">
        <v>22</v>
      </c>
      <c r="W1578" s="17">
        <f>(VLOOKUP(T1578,'[1]Simulation pricing per sub assy'!$D:$E,2,0))*U1578</f>
        <v>7.2</v>
      </c>
      <c r="X1578" s="32" t="s">
        <v>616</v>
      </c>
      <c r="Y1578" s="32">
        <v>1</v>
      </c>
      <c r="Z1578" s="32" t="s">
        <v>23</v>
      </c>
      <c r="AA1578" s="18">
        <f>(VLOOKUP(X1578,'[1]Simulation pricing per sub assy'!$D:$E,2,0))*Y1578</f>
        <v>4.4802908000000006</v>
      </c>
    </row>
    <row r="1579" spans="1:27" x14ac:dyDescent="0.35">
      <c r="A1579" s="27" t="s">
        <v>2661</v>
      </c>
      <c r="B1579" s="27" t="s">
        <v>4616</v>
      </c>
      <c r="C1579" s="42">
        <f t="shared" si="24"/>
        <v>284.34669080000003</v>
      </c>
      <c r="D1579" s="28" t="s">
        <v>3540</v>
      </c>
      <c r="E1579" s="28">
        <v>2</v>
      </c>
      <c r="F1579" s="28" t="s">
        <v>3981</v>
      </c>
      <c r="G1579" s="14">
        <f>(VLOOKUP(D1579,'[1]BOM Info General'!$A:$L,12,0))*E1579</f>
        <v>130.12</v>
      </c>
      <c r="H1579" s="29" t="s">
        <v>40</v>
      </c>
      <c r="I1579" s="29">
        <v>1</v>
      </c>
      <c r="J1579" s="29" t="s">
        <v>45</v>
      </c>
      <c r="K1579" s="15">
        <f>(VLOOKUP(H1579,'[1]BOM Info General'!$A:$L,12,0))*I1579</f>
        <v>25.59</v>
      </c>
      <c r="L1579" s="26" t="s">
        <v>63</v>
      </c>
      <c r="M1579" s="26">
        <v>1</v>
      </c>
      <c r="N1579" s="26" t="s">
        <v>62</v>
      </c>
      <c r="O1579" s="9">
        <f>(VLOOKUP(L1579,'[1]Simulation pricing per sub assy'!$D:$E,2,0))*M1579</f>
        <v>95.756400000000042</v>
      </c>
      <c r="P1579" s="30" t="s">
        <v>50</v>
      </c>
      <c r="Q1579" s="30">
        <v>8</v>
      </c>
      <c r="R1579" s="30" t="s">
        <v>611</v>
      </c>
      <c r="S1579" s="40">
        <f>(VLOOKUP(P1579,'[1]BOM Info General'!$A:$L,12,0))*Q1579</f>
        <v>21.2</v>
      </c>
      <c r="T1579" s="31" t="s">
        <v>21</v>
      </c>
      <c r="U1579" s="31">
        <v>1</v>
      </c>
      <c r="V1579" s="31" t="s">
        <v>22</v>
      </c>
      <c r="W1579" s="17">
        <f>(VLOOKUP(T1579,'[1]Simulation pricing per sub assy'!$D:$E,2,0))*U1579</f>
        <v>7.2</v>
      </c>
      <c r="X1579" s="32" t="s">
        <v>616</v>
      </c>
      <c r="Y1579" s="32">
        <v>1</v>
      </c>
      <c r="Z1579" s="32" t="s">
        <v>23</v>
      </c>
      <c r="AA1579" s="18">
        <f>(VLOOKUP(X1579,'[1]Simulation pricing per sub assy'!$D:$E,2,0))*Y1579</f>
        <v>4.4802908000000006</v>
      </c>
    </row>
    <row r="1580" spans="1:27" x14ac:dyDescent="0.35">
      <c r="A1580" s="27" t="s">
        <v>2662</v>
      </c>
      <c r="B1580" s="27" t="s">
        <v>4617</v>
      </c>
      <c r="C1580" s="42">
        <f t="shared" si="24"/>
        <v>283.79669080000002</v>
      </c>
      <c r="D1580" s="28" t="s">
        <v>3540</v>
      </c>
      <c r="E1580" s="28">
        <v>2</v>
      </c>
      <c r="F1580" s="28" t="s">
        <v>3981</v>
      </c>
      <c r="G1580" s="14">
        <f>(VLOOKUP(D1580,'[1]BOM Info General'!$A:$L,12,0))*E1580</f>
        <v>130.12</v>
      </c>
      <c r="H1580" s="29" t="s">
        <v>40</v>
      </c>
      <c r="I1580" s="29">
        <v>1</v>
      </c>
      <c r="J1580" s="29" t="s">
        <v>45</v>
      </c>
      <c r="K1580" s="15">
        <f>(VLOOKUP(H1580,'[1]BOM Info General'!$A:$L,12,0))*I1580</f>
        <v>25.59</v>
      </c>
      <c r="L1580" s="26" t="s">
        <v>69</v>
      </c>
      <c r="M1580" s="26">
        <v>1</v>
      </c>
      <c r="N1580" s="26" t="s">
        <v>66</v>
      </c>
      <c r="O1580" s="9">
        <f>(VLOOKUP(L1580,'[1]Simulation pricing per sub assy'!$D:$E,2,0))*M1580</f>
        <v>95.206400000000031</v>
      </c>
      <c r="P1580" s="30" t="s">
        <v>50</v>
      </c>
      <c r="Q1580" s="30">
        <v>8</v>
      </c>
      <c r="R1580" s="30" t="s">
        <v>611</v>
      </c>
      <c r="S1580" s="40">
        <f>(VLOOKUP(P1580,'[1]BOM Info General'!$A:$L,12,0))*Q1580</f>
        <v>21.2</v>
      </c>
      <c r="T1580" s="31" t="s">
        <v>21</v>
      </c>
      <c r="U1580" s="31">
        <v>1</v>
      </c>
      <c r="V1580" s="31" t="s">
        <v>22</v>
      </c>
      <c r="W1580" s="17">
        <f>(VLOOKUP(T1580,'[1]Simulation pricing per sub assy'!$D:$E,2,0))*U1580</f>
        <v>7.2</v>
      </c>
      <c r="X1580" s="32" t="s">
        <v>616</v>
      </c>
      <c r="Y1580" s="32">
        <v>1</v>
      </c>
      <c r="Z1580" s="32" t="s">
        <v>23</v>
      </c>
      <c r="AA1580" s="18">
        <f>(VLOOKUP(X1580,'[1]Simulation pricing per sub assy'!$D:$E,2,0))*Y1580</f>
        <v>4.4802908000000006</v>
      </c>
    </row>
    <row r="1581" spans="1:27" x14ac:dyDescent="0.35">
      <c r="A1581" s="27" t="s">
        <v>2663</v>
      </c>
      <c r="B1581" s="27" t="s">
        <v>4618</v>
      </c>
      <c r="C1581" s="42">
        <f t="shared" si="24"/>
        <v>291.7566908</v>
      </c>
      <c r="D1581" s="28" t="s">
        <v>3540</v>
      </c>
      <c r="E1581" s="28">
        <v>2</v>
      </c>
      <c r="F1581" s="28" t="s">
        <v>3981</v>
      </c>
      <c r="G1581" s="14">
        <f>(VLOOKUP(D1581,'[1]BOM Info General'!$A:$L,12,0))*E1581</f>
        <v>130.12</v>
      </c>
      <c r="H1581" s="29" t="s">
        <v>40</v>
      </c>
      <c r="I1581" s="29">
        <v>1</v>
      </c>
      <c r="J1581" s="29" t="s">
        <v>45</v>
      </c>
      <c r="K1581" s="15">
        <f>(VLOOKUP(H1581,'[1]BOM Info General'!$A:$L,12,0))*I1581</f>
        <v>25.59</v>
      </c>
      <c r="L1581" s="26" t="s">
        <v>65</v>
      </c>
      <c r="M1581" s="26">
        <v>1</v>
      </c>
      <c r="N1581" s="26" t="s">
        <v>68</v>
      </c>
      <c r="O1581" s="9">
        <f>(VLOOKUP(L1581,'[1]Simulation pricing per sub assy'!$D:$E,2,0))*M1581</f>
        <v>103.16640000000004</v>
      </c>
      <c r="P1581" s="30" t="s">
        <v>50</v>
      </c>
      <c r="Q1581" s="30">
        <v>8</v>
      </c>
      <c r="R1581" s="30" t="s">
        <v>611</v>
      </c>
      <c r="S1581" s="40">
        <f>(VLOOKUP(P1581,'[1]BOM Info General'!$A:$L,12,0))*Q1581</f>
        <v>21.2</v>
      </c>
      <c r="T1581" s="31" t="s">
        <v>21</v>
      </c>
      <c r="U1581" s="31">
        <v>1</v>
      </c>
      <c r="V1581" s="31" t="s">
        <v>22</v>
      </c>
      <c r="W1581" s="17">
        <f>(VLOOKUP(T1581,'[1]Simulation pricing per sub assy'!$D:$E,2,0))*U1581</f>
        <v>7.2</v>
      </c>
      <c r="X1581" s="32" t="s">
        <v>616</v>
      </c>
      <c r="Y1581" s="32">
        <v>1</v>
      </c>
      <c r="Z1581" s="32" t="s">
        <v>23</v>
      </c>
      <c r="AA1581" s="18">
        <f>(VLOOKUP(X1581,'[1]Simulation pricing per sub assy'!$D:$E,2,0))*Y1581</f>
        <v>4.4802908000000006</v>
      </c>
    </row>
    <row r="1582" spans="1:27" x14ac:dyDescent="0.35">
      <c r="A1582" s="27" t="s">
        <v>2664</v>
      </c>
      <c r="B1582" s="27" t="s">
        <v>4619</v>
      </c>
      <c r="C1582" s="42">
        <f t="shared" si="24"/>
        <v>282.48669080000002</v>
      </c>
      <c r="D1582" s="28" t="s">
        <v>3540</v>
      </c>
      <c r="E1582" s="28">
        <v>2</v>
      </c>
      <c r="F1582" s="28" t="s">
        <v>3981</v>
      </c>
      <c r="G1582" s="14">
        <f>(VLOOKUP(D1582,'[1]BOM Info General'!$A:$L,12,0))*E1582</f>
        <v>130.12</v>
      </c>
      <c r="H1582" s="29" t="s">
        <v>40</v>
      </c>
      <c r="I1582" s="29">
        <v>1</v>
      </c>
      <c r="J1582" s="29" t="s">
        <v>45</v>
      </c>
      <c r="K1582" s="15">
        <f>(VLOOKUP(H1582,'[1]BOM Info General'!$A:$L,12,0))*I1582</f>
        <v>25.59</v>
      </c>
      <c r="L1582" s="26" t="s">
        <v>524</v>
      </c>
      <c r="M1582" s="26">
        <v>1</v>
      </c>
      <c r="N1582" s="26" t="s">
        <v>70</v>
      </c>
      <c r="O1582" s="9">
        <f>(VLOOKUP(L1582,'[1]Simulation pricing per sub assy'!$D:$E,2,0))*M1582</f>
        <v>94.656400000000033</v>
      </c>
      <c r="P1582" s="30" t="s">
        <v>50</v>
      </c>
      <c r="Q1582" s="30">
        <v>8</v>
      </c>
      <c r="R1582" s="30" t="s">
        <v>16</v>
      </c>
      <c r="S1582" s="40">
        <f>(VLOOKUP(P1582,'[1]BOM Info General'!$A:$L,12,0))*Q1582</f>
        <v>21.2</v>
      </c>
      <c r="T1582" s="31" t="s">
        <v>24</v>
      </c>
      <c r="U1582" s="31">
        <v>1</v>
      </c>
      <c r="V1582" s="31" t="s">
        <v>25</v>
      </c>
      <c r="W1582" s="17">
        <f>(VLOOKUP(T1582,'[1]Simulation pricing per sub assy'!$D:$E,2,0))*U1582</f>
        <v>6.44</v>
      </c>
      <c r="X1582" s="32" t="s">
        <v>616</v>
      </c>
      <c r="Y1582" s="32">
        <v>1</v>
      </c>
      <c r="Z1582" s="32" t="s">
        <v>23</v>
      </c>
      <c r="AA1582" s="18">
        <f>(VLOOKUP(X1582,'[1]Simulation pricing per sub assy'!$D:$E,2,0))*Y1582</f>
        <v>4.4802908000000006</v>
      </c>
    </row>
    <row r="1583" spans="1:27" x14ac:dyDescent="0.35">
      <c r="A1583" s="27" t="s">
        <v>2665</v>
      </c>
      <c r="B1583" s="27" t="s">
        <v>4620</v>
      </c>
      <c r="C1583" s="42">
        <f t="shared" si="24"/>
        <v>283.58669080000004</v>
      </c>
      <c r="D1583" s="28" t="s">
        <v>3540</v>
      </c>
      <c r="E1583" s="28">
        <v>2</v>
      </c>
      <c r="F1583" s="28" t="s">
        <v>3981</v>
      </c>
      <c r="G1583" s="14">
        <f>(VLOOKUP(D1583,'[1]BOM Info General'!$A:$L,12,0))*E1583</f>
        <v>130.12</v>
      </c>
      <c r="H1583" s="29" t="s">
        <v>40</v>
      </c>
      <c r="I1583" s="29">
        <v>1</v>
      </c>
      <c r="J1583" s="29" t="s">
        <v>45</v>
      </c>
      <c r="K1583" s="15">
        <f>(VLOOKUP(H1583,'[1]BOM Info General'!$A:$L,12,0))*I1583</f>
        <v>25.59</v>
      </c>
      <c r="L1583" s="26" t="s">
        <v>67</v>
      </c>
      <c r="M1583" s="26">
        <v>1</v>
      </c>
      <c r="N1583" s="26" t="s">
        <v>64</v>
      </c>
      <c r="O1583" s="9">
        <f>(VLOOKUP(L1583,'[1]Simulation pricing per sub assy'!$D:$E,2,0))*M1583</f>
        <v>95.756400000000042</v>
      </c>
      <c r="P1583" s="30" t="s">
        <v>50</v>
      </c>
      <c r="Q1583" s="30">
        <v>8</v>
      </c>
      <c r="R1583" s="30" t="s">
        <v>16</v>
      </c>
      <c r="S1583" s="40">
        <f>(VLOOKUP(P1583,'[1]BOM Info General'!$A:$L,12,0))*Q1583</f>
        <v>21.2</v>
      </c>
      <c r="T1583" s="31" t="s">
        <v>24</v>
      </c>
      <c r="U1583" s="31">
        <v>1</v>
      </c>
      <c r="V1583" s="31" t="s">
        <v>25</v>
      </c>
      <c r="W1583" s="17">
        <f>(VLOOKUP(T1583,'[1]Simulation pricing per sub assy'!$D:$E,2,0))*U1583</f>
        <v>6.44</v>
      </c>
      <c r="X1583" s="32" t="s">
        <v>616</v>
      </c>
      <c r="Y1583" s="32">
        <v>1</v>
      </c>
      <c r="Z1583" s="32" t="s">
        <v>23</v>
      </c>
      <c r="AA1583" s="18">
        <f>(VLOOKUP(X1583,'[1]Simulation pricing per sub assy'!$D:$E,2,0))*Y1583</f>
        <v>4.4802908000000006</v>
      </c>
    </row>
    <row r="1584" spans="1:27" x14ac:dyDescent="0.35">
      <c r="A1584" s="27" t="s">
        <v>2666</v>
      </c>
      <c r="B1584" s="27" t="s">
        <v>4621</v>
      </c>
      <c r="C1584" s="42">
        <f t="shared" si="24"/>
        <v>283.58669080000004</v>
      </c>
      <c r="D1584" s="28" t="s">
        <v>3540</v>
      </c>
      <c r="E1584" s="28">
        <v>2</v>
      </c>
      <c r="F1584" s="28" t="s">
        <v>3981</v>
      </c>
      <c r="G1584" s="14">
        <f>(VLOOKUP(D1584,'[1]BOM Info General'!$A:$L,12,0))*E1584</f>
        <v>130.12</v>
      </c>
      <c r="H1584" s="29" t="s">
        <v>40</v>
      </c>
      <c r="I1584" s="29">
        <v>1</v>
      </c>
      <c r="J1584" s="29" t="s">
        <v>45</v>
      </c>
      <c r="K1584" s="15">
        <f>(VLOOKUP(H1584,'[1]BOM Info General'!$A:$L,12,0))*I1584</f>
        <v>25.59</v>
      </c>
      <c r="L1584" s="26" t="s">
        <v>63</v>
      </c>
      <c r="M1584" s="26">
        <v>1</v>
      </c>
      <c r="N1584" s="26" t="s">
        <v>62</v>
      </c>
      <c r="O1584" s="9">
        <f>(VLOOKUP(L1584,'[1]Simulation pricing per sub assy'!$D:$E,2,0))*M1584</f>
        <v>95.756400000000042</v>
      </c>
      <c r="P1584" s="30" t="s">
        <v>50</v>
      </c>
      <c r="Q1584" s="30">
        <v>8</v>
      </c>
      <c r="R1584" s="30" t="s">
        <v>16</v>
      </c>
      <c r="S1584" s="40">
        <f>(VLOOKUP(P1584,'[1]BOM Info General'!$A:$L,12,0))*Q1584</f>
        <v>21.2</v>
      </c>
      <c r="T1584" s="31" t="s">
        <v>24</v>
      </c>
      <c r="U1584" s="31">
        <v>1</v>
      </c>
      <c r="V1584" s="31" t="s">
        <v>25</v>
      </c>
      <c r="W1584" s="17">
        <f>(VLOOKUP(T1584,'[1]Simulation pricing per sub assy'!$D:$E,2,0))*U1584</f>
        <v>6.44</v>
      </c>
      <c r="X1584" s="32" t="s">
        <v>616</v>
      </c>
      <c r="Y1584" s="32">
        <v>1</v>
      </c>
      <c r="Z1584" s="32" t="s">
        <v>23</v>
      </c>
      <c r="AA1584" s="18">
        <f>(VLOOKUP(X1584,'[1]Simulation pricing per sub assy'!$D:$E,2,0))*Y1584</f>
        <v>4.4802908000000006</v>
      </c>
    </row>
    <row r="1585" spans="1:27" x14ac:dyDescent="0.35">
      <c r="A1585" s="27" t="s">
        <v>2667</v>
      </c>
      <c r="B1585" s="27" t="s">
        <v>4622</v>
      </c>
      <c r="C1585" s="42">
        <f t="shared" si="24"/>
        <v>283.03669080000003</v>
      </c>
      <c r="D1585" s="28" t="s">
        <v>3540</v>
      </c>
      <c r="E1585" s="28">
        <v>2</v>
      </c>
      <c r="F1585" s="28" t="s">
        <v>3981</v>
      </c>
      <c r="G1585" s="14">
        <f>(VLOOKUP(D1585,'[1]BOM Info General'!$A:$L,12,0))*E1585</f>
        <v>130.12</v>
      </c>
      <c r="H1585" s="29" t="s">
        <v>40</v>
      </c>
      <c r="I1585" s="29">
        <v>1</v>
      </c>
      <c r="J1585" s="29" t="s">
        <v>45</v>
      </c>
      <c r="K1585" s="15">
        <f>(VLOOKUP(H1585,'[1]BOM Info General'!$A:$L,12,0))*I1585</f>
        <v>25.59</v>
      </c>
      <c r="L1585" s="26" t="s">
        <v>69</v>
      </c>
      <c r="M1585" s="26">
        <v>1</v>
      </c>
      <c r="N1585" s="26" t="s">
        <v>66</v>
      </c>
      <c r="O1585" s="9">
        <f>(VLOOKUP(L1585,'[1]Simulation pricing per sub assy'!$D:$E,2,0))*M1585</f>
        <v>95.206400000000031</v>
      </c>
      <c r="P1585" s="30" t="s">
        <v>50</v>
      </c>
      <c r="Q1585" s="30">
        <v>8</v>
      </c>
      <c r="R1585" s="30" t="s">
        <v>16</v>
      </c>
      <c r="S1585" s="40">
        <f>(VLOOKUP(P1585,'[1]BOM Info General'!$A:$L,12,0))*Q1585</f>
        <v>21.2</v>
      </c>
      <c r="T1585" s="31" t="s">
        <v>24</v>
      </c>
      <c r="U1585" s="31">
        <v>1</v>
      </c>
      <c r="V1585" s="31" t="s">
        <v>25</v>
      </c>
      <c r="W1585" s="17">
        <f>(VLOOKUP(T1585,'[1]Simulation pricing per sub assy'!$D:$E,2,0))*U1585</f>
        <v>6.44</v>
      </c>
      <c r="X1585" s="32" t="s">
        <v>616</v>
      </c>
      <c r="Y1585" s="32">
        <v>1</v>
      </c>
      <c r="Z1585" s="32" t="s">
        <v>23</v>
      </c>
      <c r="AA1585" s="18">
        <f>(VLOOKUP(X1585,'[1]Simulation pricing per sub assy'!$D:$E,2,0))*Y1585</f>
        <v>4.4802908000000006</v>
      </c>
    </row>
    <row r="1586" spans="1:27" x14ac:dyDescent="0.35">
      <c r="A1586" s="27" t="s">
        <v>2668</v>
      </c>
      <c r="B1586" s="27" t="s">
        <v>4623</v>
      </c>
      <c r="C1586" s="42">
        <f t="shared" si="24"/>
        <v>290.99669080000001</v>
      </c>
      <c r="D1586" s="28" t="s">
        <v>3540</v>
      </c>
      <c r="E1586" s="28">
        <v>2</v>
      </c>
      <c r="F1586" s="28" t="s">
        <v>3981</v>
      </c>
      <c r="G1586" s="14">
        <f>(VLOOKUP(D1586,'[1]BOM Info General'!$A:$L,12,0))*E1586</f>
        <v>130.12</v>
      </c>
      <c r="H1586" s="29" t="s">
        <v>40</v>
      </c>
      <c r="I1586" s="29">
        <v>1</v>
      </c>
      <c r="J1586" s="29" t="s">
        <v>45</v>
      </c>
      <c r="K1586" s="15">
        <f>(VLOOKUP(H1586,'[1]BOM Info General'!$A:$L,12,0))*I1586</f>
        <v>25.59</v>
      </c>
      <c r="L1586" s="26" t="s">
        <v>65</v>
      </c>
      <c r="M1586" s="26">
        <v>1</v>
      </c>
      <c r="N1586" s="26" t="s">
        <v>68</v>
      </c>
      <c r="O1586" s="9">
        <f>(VLOOKUP(L1586,'[1]Simulation pricing per sub assy'!$D:$E,2,0))*M1586</f>
        <v>103.16640000000004</v>
      </c>
      <c r="P1586" s="30" t="s">
        <v>50</v>
      </c>
      <c r="Q1586" s="30">
        <v>8</v>
      </c>
      <c r="R1586" s="30" t="s">
        <v>16</v>
      </c>
      <c r="S1586" s="40">
        <f>(VLOOKUP(P1586,'[1]BOM Info General'!$A:$L,12,0))*Q1586</f>
        <v>21.2</v>
      </c>
      <c r="T1586" s="31" t="s">
        <v>24</v>
      </c>
      <c r="U1586" s="31">
        <v>1</v>
      </c>
      <c r="V1586" s="31" t="s">
        <v>25</v>
      </c>
      <c r="W1586" s="17">
        <f>(VLOOKUP(T1586,'[1]Simulation pricing per sub assy'!$D:$E,2,0))*U1586</f>
        <v>6.44</v>
      </c>
      <c r="X1586" s="32" t="s">
        <v>616</v>
      </c>
      <c r="Y1586" s="32">
        <v>1</v>
      </c>
      <c r="Z1586" s="32" t="s">
        <v>23</v>
      </c>
      <c r="AA1586" s="18">
        <f>(VLOOKUP(X1586,'[1]Simulation pricing per sub assy'!$D:$E,2,0))*Y1586</f>
        <v>4.4802908000000006</v>
      </c>
    </row>
    <row r="1587" spans="1:27" x14ac:dyDescent="0.35">
      <c r="A1587" s="27" t="s">
        <v>2669</v>
      </c>
      <c r="B1587" s="27" t="s">
        <v>4624</v>
      </c>
      <c r="C1587" s="42">
        <f t="shared" si="24"/>
        <v>283.08669080000004</v>
      </c>
      <c r="D1587" s="28" t="s">
        <v>3540</v>
      </c>
      <c r="E1587" s="28">
        <v>2</v>
      </c>
      <c r="F1587" s="28" t="s">
        <v>3981</v>
      </c>
      <c r="G1587" s="14">
        <f>(VLOOKUP(D1587,'[1]BOM Info General'!$A:$L,12,0))*E1587</f>
        <v>130.12</v>
      </c>
      <c r="H1587" s="29" t="s">
        <v>40</v>
      </c>
      <c r="I1587" s="29">
        <v>1</v>
      </c>
      <c r="J1587" s="29" t="s">
        <v>45</v>
      </c>
      <c r="K1587" s="15">
        <f>(VLOOKUP(H1587,'[1]BOM Info General'!$A:$L,12,0))*I1587</f>
        <v>25.59</v>
      </c>
      <c r="L1587" s="26" t="s">
        <v>524</v>
      </c>
      <c r="M1587" s="26">
        <v>1</v>
      </c>
      <c r="N1587" s="26" t="s">
        <v>70</v>
      </c>
      <c r="O1587" s="9">
        <f>(VLOOKUP(L1587,'[1]Simulation pricing per sub assy'!$D:$E,2,0))*M1587</f>
        <v>94.656400000000033</v>
      </c>
      <c r="P1587" s="30" t="s">
        <v>50</v>
      </c>
      <c r="Q1587" s="30">
        <v>8</v>
      </c>
      <c r="R1587" s="30" t="s">
        <v>16</v>
      </c>
      <c r="S1587" s="40">
        <f>(VLOOKUP(P1587,'[1]BOM Info General'!$A:$L,12,0))*Q1587</f>
        <v>21.2</v>
      </c>
      <c r="T1587" s="31" t="s">
        <v>26</v>
      </c>
      <c r="U1587" s="31">
        <v>1</v>
      </c>
      <c r="V1587" s="31" t="s">
        <v>27</v>
      </c>
      <c r="W1587" s="17">
        <f>(VLOOKUP(T1587,'[1]Simulation pricing per sub assy'!$D:$E,2,0))*U1587</f>
        <v>7.04</v>
      </c>
      <c r="X1587" s="32" t="s">
        <v>616</v>
      </c>
      <c r="Y1587" s="32">
        <v>1</v>
      </c>
      <c r="Z1587" s="32" t="s">
        <v>23</v>
      </c>
      <c r="AA1587" s="18">
        <f>(VLOOKUP(X1587,'[1]Simulation pricing per sub assy'!$D:$E,2,0))*Y1587</f>
        <v>4.4802908000000006</v>
      </c>
    </row>
    <row r="1588" spans="1:27" x14ac:dyDescent="0.35">
      <c r="A1588" s="27" t="s">
        <v>2670</v>
      </c>
      <c r="B1588" s="27" t="s">
        <v>4625</v>
      </c>
      <c r="C1588" s="42">
        <f t="shared" si="24"/>
        <v>284.18669080000006</v>
      </c>
      <c r="D1588" s="28" t="s">
        <v>3540</v>
      </c>
      <c r="E1588" s="28">
        <v>2</v>
      </c>
      <c r="F1588" s="28" t="s">
        <v>3981</v>
      </c>
      <c r="G1588" s="14">
        <f>(VLOOKUP(D1588,'[1]BOM Info General'!$A:$L,12,0))*E1588</f>
        <v>130.12</v>
      </c>
      <c r="H1588" s="29" t="s">
        <v>40</v>
      </c>
      <c r="I1588" s="29">
        <v>1</v>
      </c>
      <c r="J1588" s="29" t="s">
        <v>45</v>
      </c>
      <c r="K1588" s="15">
        <f>(VLOOKUP(H1588,'[1]BOM Info General'!$A:$L,12,0))*I1588</f>
        <v>25.59</v>
      </c>
      <c r="L1588" s="26" t="s">
        <v>67</v>
      </c>
      <c r="M1588" s="26">
        <v>1</v>
      </c>
      <c r="N1588" s="26" t="s">
        <v>64</v>
      </c>
      <c r="O1588" s="9">
        <f>(VLOOKUP(L1588,'[1]Simulation pricing per sub assy'!$D:$E,2,0))*M1588</f>
        <v>95.756400000000042</v>
      </c>
      <c r="P1588" s="30" t="s">
        <v>50</v>
      </c>
      <c r="Q1588" s="30">
        <v>8</v>
      </c>
      <c r="R1588" s="30" t="s">
        <v>16</v>
      </c>
      <c r="S1588" s="40">
        <f>(VLOOKUP(P1588,'[1]BOM Info General'!$A:$L,12,0))*Q1588</f>
        <v>21.2</v>
      </c>
      <c r="T1588" s="31" t="s">
        <v>26</v>
      </c>
      <c r="U1588" s="31">
        <v>1</v>
      </c>
      <c r="V1588" s="31" t="s">
        <v>27</v>
      </c>
      <c r="W1588" s="17">
        <f>(VLOOKUP(T1588,'[1]Simulation pricing per sub assy'!$D:$E,2,0))*U1588</f>
        <v>7.04</v>
      </c>
      <c r="X1588" s="32" t="s">
        <v>616</v>
      </c>
      <c r="Y1588" s="32">
        <v>1</v>
      </c>
      <c r="Z1588" s="32" t="s">
        <v>23</v>
      </c>
      <c r="AA1588" s="18">
        <f>(VLOOKUP(X1588,'[1]Simulation pricing per sub assy'!$D:$E,2,0))*Y1588</f>
        <v>4.4802908000000006</v>
      </c>
    </row>
    <row r="1589" spans="1:27" x14ac:dyDescent="0.35">
      <c r="A1589" s="27" t="s">
        <v>2671</v>
      </c>
      <c r="B1589" s="27" t="s">
        <v>4626</v>
      </c>
      <c r="C1589" s="42">
        <f t="shared" si="24"/>
        <v>284.18669080000006</v>
      </c>
      <c r="D1589" s="28" t="s">
        <v>3540</v>
      </c>
      <c r="E1589" s="28">
        <v>2</v>
      </c>
      <c r="F1589" s="28" t="s">
        <v>3981</v>
      </c>
      <c r="G1589" s="14">
        <f>(VLOOKUP(D1589,'[1]BOM Info General'!$A:$L,12,0))*E1589</f>
        <v>130.12</v>
      </c>
      <c r="H1589" s="29" t="s">
        <v>40</v>
      </c>
      <c r="I1589" s="29">
        <v>1</v>
      </c>
      <c r="J1589" s="29" t="s">
        <v>45</v>
      </c>
      <c r="K1589" s="15">
        <f>(VLOOKUP(H1589,'[1]BOM Info General'!$A:$L,12,0))*I1589</f>
        <v>25.59</v>
      </c>
      <c r="L1589" s="26" t="s">
        <v>63</v>
      </c>
      <c r="M1589" s="26">
        <v>1</v>
      </c>
      <c r="N1589" s="26" t="s">
        <v>62</v>
      </c>
      <c r="O1589" s="9">
        <f>(VLOOKUP(L1589,'[1]Simulation pricing per sub assy'!$D:$E,2,0))*M1589</f>
        <v>95.756400000000042</v>
      </c>
      <c r="P1589" s="30" t="s">
        <v>50</v>
      </c>
      <c r="Q1589" s="30">
        <v>8</v>
      </c>
      <c r="R1589" s="30" t="s">
        <v>16</v>
      </c>
      <c r="S1589" s="40">
        <f>(VLOOKUP(P1589,'[1]BOM Info General'!$A:$L,12,0))*Q1589</f>
        <v>21.2</v>
      </c>
      <c r="T1589" s="31" t="s">
        <v>26</v>
      </c>
      <c r="U1589" s="31">
        <v>1</v>
      </c>
      <c r="V1589" s="31" t="s">
        <v>27</v>
      </c>
      <c r="W1589" s="17">
        <f>(VLOOKUP(T1589,'[1]Simulation pricing per sub assy'!$D:$E,2,0))*U1589</f>
        <v>7.04</v>
      </c>
      <c r="X1589" s="32" t="s">
        <v>616</v>
      </c>
      <c r="Y1589" s="32">
        <v>1</v>
      </c>
      <c r="Z1589" s="32" t="s">
        <v>23</v>
      </c>
      <c r="AA1589" s="18">
        <f>(VLOOKUP(X1589,'[1]Simulation pricing per sub assy'!$D:$E,2,0))*Y1589</f>
        <v>4.4802908000000006</v>
      </c>
    </row>
    <row r="1590" spans="1:27" x14ac:dyDescent="0.35">
      <c r="A1590" s="27" t="s">
        <v>2672</v>
      </c>
      <c r="B1590" s="27" t="s">
        <v>4627</v>
      </c>
      <c r="C1590" s="42">
        <f t="shared" si="24"/>
        <v>283.63669080000005</v>
      </c>
      <c r="D1590" s="28" t="s">
        <v>3540</v>
      </c>
      <c r="E1590" s="28">
        <v>2</v>
      </c>
      <c r="F1590" s="28" t="s">
        <v>3981</v>
      </c>
      <c r="G1590" s="14">
        <f>(VLOOKUP(D1590,'[1]BOM Info General'!$A:$L,12,0))*E1590</f>
        <v>130.12</v>
      </c>
      <c r="H1590" s="29" t="s">
        <v>40</v>
      </c>
      <c r="I1590" s="29">
        <v>1</v>
      </c>
      <c r="J1590" s="29" t="s">
        <v>45</v>
      </c>
      <c r="K1590" s="15">
        <f>(VLOOKUP(H1590,'[1]BOM Info General'!$A:$L,12,0))*I1590</f>
        <v>25.59</v>
      </c>
      <c r="L1590" s="26" t="s">
        <v>69</v>
      </c>
      <c r="M1590" s="26">
        <v>1</v>
      </c>
      <c r="N1590" s="26" t="s">
        <v>66</v>
      </c>
      <c r="O1590" s="9">
        <f>(VLOOKUP(L1590,'[1]Simulation pricing per sub assy'!$D:$E,2,0))*M1590</f>
        <v>95.206400000000031</v>
      </c>
      <c r="P1590" s="30" t="s">
        <v>50</v>
      </c>
      <c r="Q1590" s="30">
        <v>8</v>
      </c>
      <c r="R1590" s="30" t="s">
        <v>16</v>
      </c>
      <c r="S1590" s="40">
        <f>(VLOOKUP(P1590,'[1]BOM Info General'!$A:$L,12,0))*Q1590</f>
        <v>21.2</v>
      </c>
      <c r="T1590" s="31" t="s">
        <v>26</v>
      </c>
      <c r="U1590" s="31">
        <v>1</v>
      </c>
      <c r="V1590" s="31" t="s">
        <v>27</v>
      </c>
      <c r="W1590" s="17">
        <f>(VLOOKUP(T1590,'[1]Simulation pricing per sub assy'!$D:$E,2,0))*U1590</f>
        <v>7.04</v>
      </c>
      <c r="X1590" s="32" t="s">
        <v>616</v>
      </c>
      <c r="Y1590" s="32">
        <v>1</v>
      </c>
      <c r="Z1590" s="32" t="s">
        <v>23</v>
      </c>
      <c r="AA1590" s="18">
        <f>(VLOOKUP(X1590,'[1]Simulation pricing per sub assy'!$D:$E,2,0))*Y1590</f>
        <v>4.4802908000000006</v>
      </c>
    </row>
    <row r="1591" spans="1:27" x14ac:dyDescent="0.35">
      <c r="A1591" s="27" t="s">
        <v>2673</v>
      </c>
      <c r="B1591" s="27" t="s">
        <v>4628</v>
      </c>
      <c r="C1591" s="42">
        <f t="shared" si="24"/>
        <v>291.59669080000003</v>
      </c>
      <c r="D1591" s="28" t="s">
        <v>3540</v>
      </c>
      <c r="E1591" s="28">
        <v>2</v>
      </c>
      <c r="F1591" s="28" t="s">
        <v>3981</v>
      </c>
      <c r="G1591" s="14">
        <f>(VLOOKUP(D1591,'[1]BOM Info General'!$A:$L,12,0))*E1591</f>
        <v>130.12</v>
      </c>
      <c r="H1591" s="29" t="s">
        <v>40</v>
      </c>
      <c r="I1591" s="29">
        <v>1</v>
      </c>
      <c r="J1591" s="29" t="s">
        <v>45</v>
      </c>
      <c r="K1591" s="15">
        <f>(VLOOKUP(H1591,'[1]BOM Info General'!$A:$L,12,0))*I1591</f>
        <v>25.59</v>
      </c>
      <c r="L1591" s="26" t="s">
        <v>65</v>
      </c>
      <c r="M1591" s="26">
        <v>1</v>
      </c>
      <c r="N1591" s="26" t="s">
        <v>68</v>
      </c>
      <c r="O1591" s="9">
        <f>(VLOOKUP(L1591,'[1]Simulation pricing per sub assy'!$D:$E,2,0))*M1591</f>
        <v>103.16640000000004</v>
      </c>
      <c r="P1591" s="30" t="s">
        <v>50</v>
      </c>
      <c r="Q1591" s="30">
        <v>8</v>
      </c>
      <c r="R1591" s="30" t="s">
        <v>16</v>
      </c>
      <c r="S1591" s="40">
        <f>(VLOOKUP(P1591,'[1]BOM Info General'!$A:$L,12,0))*Q1591</f>
        <v>21.2</v>
      </c>
      <c r="T1591" s="31" t="s">
        <v>26</v>
      </c>
      <c r="U1591" s="31">
        <v>1</v>
      </c>
      <c r="V1591" s="31" t="s">
        <v>27</v>
      </c>
      <c r="W1591" s="17">
        <f>(VLOOKUP(T1591,'[1]Simulation pricing per sub assy'!$D:$E,2,0))*U1591</f>
        <v>7.04</v>
      </c>
      <c r="X1591" s="32" t="s">
        <v>616</v>
      </c>
      <c r="Y1591" s="32">
        <v>1</v>
      </c>
      <c r="Z1591" s="32" t="s">
        <v>23</v>
      </c>
      <c r="AA1591" s="18">
        <f>(VLOOKUP(X1591,'[1]Simulation pricing per sub assy'!$D:$E,2,0))*Y1591</f>
        <v>4.4802908000000006</v>
      </c>
    </row>
    <row r="1592" spans="1:27" x14ac:dyDescent="0.35">
      <c r="A1592" s="27" t="s">
        <v>2674</v>
      </c>
      <c r="B1592" s="27" t="s">
        <v>4629</v>
      </c>
      <c r="C1592" s="42">
        <f t="shared" si="24"/>
        <v>283.04669080000002</v>
      </c>
      <c r="D1592" s="28" t="s">
        <v>3540</v>
      </c>
      <c r="E1592" s="28">
        <v>2</v>
      </c>
      <c r="F1592" s="28" t="s">
        <v>3981</v>
      </c>
      <c r="G1592" s="14">
        <f>(VLOOKUP(D1592,'[1]BOM Info General'!$A:$L,12,0))*E1592</f>
        <v>130.12</v>
      </c>
      <c r="H1592" s="29" t="s">
        <v>40</v>
      </c>
      <c r="I1592" s="29">
        <v>1</v>
      </c>
      <c r="J1592" s="29" t="s">
        <v>45</v>
      </c>
      <c r="K1592" s="15">
        <f>(VLOOKUP(H1592,'[1]BOM Info General'!$A:$L,12,0))*I1592</f>
        <v>25.59</v>
      </c>
      <c r="L1592" s="26" t="s">
        <v>524</v>
      </c>
      <c r="M1592" s="26">
        <v>1</v>
      </c>
      <c r="N1592" s="26" t="s">
        <v>70</v>
      </c>
      <c r="O1592" s="9">
        <f>(VLOOKUP(L1592,'[1]Simulation pricing per sub assy'!$D:$E,2,0))*M1592</f>
        <v>94.656400000000033</v>
      </c>
      <c r="P1592" s="30" t="s">
        <v>50</v>
      </c>
      <c r="Q1592" s="30">
        <v>8</v>
      </c>
      <c r="R1592" s="30" t="s">
        <v>16</v>
      </c>
      <c r="S1592" s="40">
        <f>(VLOOKUP(P1592,'[1]BOM Info General'!$A:$L,12,0))*Q1592</f>
        <v>21.2</v>
      </c>
      <c r="T1592" s="31" t="s">
        <v>28</v>
      </c>
      <c r="U1592" s="31">
        <v>1</v>
      </c>
      <c r="V1592" s="31" t="s">
        <v>29</v>
      </c>
      <c r="W1592" s="17">
        <f>(VLOOKUP(T1592,'[1]Simulation pricing per sub assy'!$D:$E,2,0))*U1592</f>
        <v>7</v>
      </c>
      <c r="X1592" s="32" t="s">
        <v>616</v>
      </c>
      <c r="Y1592" s="32">
        <v>1</v>
      </c>
      <c r="Z1592" s="32" t="s">
        <v>23</v>
      </c>
      <c r="AA1592" s="18">
        <f>(VLOOKUP(X1592,'[1]Simulation pricing per sub assy'!$D:$E,2,0))*Y1592</f>
        <v>4.4802908000000006</v>
      </c>
    </row>
    <row r="1593" spans="1:27" x14ac:dyDescent="0.35">
      <c r="A1593" s="27" t="s">
        <v>2675</v>
      </c>
      <c r="B1593" s="27" t="s">
        <v>4630</v>
      </c>
      <c r="C1593" s="42">
        <f t="shared" si="24"/>
        <v>284.14669080000004</v>
      </c>
      <c r="D1593" s="28" t="s">
        <v>3540</v>
      </c>
      <c r="E1593" s="28">
        <v>2</v>
      </c>
      <c r="F1593" s="28" t="s">
        <v>3981</v>
      </c>
      <c r="G1593" s="14">
        <f>(VLOOKUP(D1593,'[1]BOM Info General'!$A:$L,12,0))*E1593</f>
        <v>130.12</v>
      </c>
      <c r="H1593" s="29" t="s">
        <v>40</v>
      </c>
      <c r="I1593" s="29">
        <v>1</v>
      </c>
      <c r="J1593" s="29" t="s">
        <v>45</v>
      </c>
      <c r="K1593" s="15">
        <f>(VLOOKUP(H1593,'[1]BOM Info General'!$A:$L,12,0))*I1593</f>
        <v>25.59</v>
      </c>
      <c r="L1593" s="26" t="s">
        <v>67</v>
      </c>
      <c r="M1593" s="26">
        <v>1</v>
      </c>
      <c r="N1593" s="26" t="s">
        <v>64</v>
      </c>
      <c r="O1593" s="9">
        <f>(VLOOKUP(L1593,'[1]Simulation pricing per sub assy'!$D:$E,2,0))*M1593</f>
        <v>95.756400000000042</v>
      </c>
      <c r="P1593" s="30" t="s">
        <v>50</v>
      </c>
      <c r="Q1593" s="30">
        <v>8</v>
      </c>
      <c r="R1593" s="30" t="s">
        <v>16</v>
      </c>
      <c r="S1593" s="40">
        <f>(VLOOKUP(P1593,'[1]BOM Info General'!$A:$L,12,0))*Q1593</f>
        <v>21.2</v>
      </c>
      <c r="T1593" s="31" t="s">
        <v>28</v>
      </c>
      <c r="U1593" s="31">
        <v>1</v>
      </c>
      <c r="V1593" s="31" t="s">
        <v>29</v>
      </c>
      <c r="W1593" s="17">
        <f>(VLOOKUP(T1593,'[1]Simulation pricing per sub assy'!$D:$E,2,0))*U1593</f>
        <v>7</v>
      </c>
      <c r="X1593" s="32" t="s">
        <v>616</v>
      </c>
      <c r="Y1593" s="32">
        <v>1</v>
      </c>
      <c r="Z1593" s="32" t="s">
        <v>23</v>
      </c>
      <c r="AA1593" s="18">
        <f>(VLOOKUP(X1593,'[1]Simulation pricing per sub assy'!$D:$E,2,0))*Y1593</f>
        <v>4.4802908000000006</v>
      </c>
    </row>
    <row r="1594" spans="1:27" x14ac:dyDescent="0.35">
      <c r="A1594" s="27" t="s">
        <v>2676</v>
      </c>
      <c r="B1594" s="27" t="s">
        <v>4631</v>
      </c>
      <c r="C1594" s="42">
        <f t="shared" si="24"/>
        <v>284.14669080000004</v>
      </c>
      <c r="D1594" s="28" t="s">
        <v>3540</v>
      </c>
      <c r="E1594" s="28">
        <v>2</v>
      </c>
      <c r="F1594" s="28" t="s">
        <v>3981</v>
      </c>
      <c r="G1594" s="14">
        <f>(VLOOKUP(D1594,'[1]BOM Info General'!$A:$L,12,0))*E1594</f>
        <v>130.12</v>
      </c>
      <c r="H1594" s="29" t="s">
        <v>40</v>
      </c>
      <c r="I1594" s="29">
        <v>1</v>
      </c>
      <c r="J1594" s="29" t="s">
        <v>45</v>
      </c>
      <c r="K1594" s="15">
        <f>(VLOOKUP(H1594,'[1]BOM Info General'!$A:$L,12,0))*I1594</f>
        <v>25.59</v>
      </c>
      <c r="L1594" s="26" t="s">
        <v>63</v>
      </c>
      <c r="M1594" s="26">
        <v>1</v>
      </c>
      <c r="N1594" s="26" t="s">
        <v>62</v>
      </c>
      <c r="O1594" s="9">
        <f>(VLOOKUP(L1594,'[1]Simulation pricing per sub assy'!$D:$E,2,0))*M1594</f>
        <v>95.756400000000042</v>
      </c>
      <c r="P1594" s="30" t="s">
        <v>50</v>
      </c>
      <c r="Q1594" s="30">
        <v>8</v>
      </c>
      <c r="R1594" s="30" t="s">
        <v>16</v>
      </c>
      <c r="S1594" s="40">
        <f>(VLOOKUP(P1594,'[1]BOM Info General'!$A:$L,12,0))*Q1594</f>
        <v>21.2</v>
      </c>
      <c r="T1594" s="31" t="s">
        <v>28</v>
      </c>
      <c r="U1594" s="31">
        <v>1</v>
      </c>
      <c r="V1594" s="31" t="s">
        <v>29</v>
      </c>
      <c r="W1594" s="17">
        <f>(VLOOKUP(T1594,'[1]Simulation pricing per sub assy'!$D:$E,2,0))*U1594</f>
        <v>7</v>
      </c>
      <c r="X1594" s="32" t="s">
        <v>616</v>
      </c>
      <c r="Y1594" s="32">
        <v>1</v>
      </c>
      <c r="Z1594" s="32" t="s">
        <v>23</v>
      </c>
      <c r="AA1594" s="18">
        <f>(VLOOKUP(X1594,'[1]Simulation pricing per sub assy'!$D:$E,2,0))*Y1594</f>
        <v>4.4802908000000006</v>
      </c>
    </row>
    <row r="1595" spans="1:27" x14ac:dyDescent="0.35">
      <c r="A1595" s="27" t="s">
        <v>2677</v>
      </c>
      <c r="B1595" s="27" t="s">
        <v>4632</v>
      </c>
      <c r="C1595" s="42">
        <f t="shared" si="24"/>
        <v>283.59669080000003</v>
      </c>
      <c r="D1595" s="28" t="s">
        <v>3540</v>
      </c>
      <c r="E1595" s="28">
        <v>2</v>
      </c>
      <c r="F1595" s="28" t="s">
        <v>3981</v>
      </c>
      <c r="G1595" s="14">
        <f>(VLOOKUP(D1595,'[1]BOM Info General'!$A:$L,12,0))*E1595</f>
        <v>130.12</v>
      </c>
      <c r="H1595" s="29" t="s">
        <v>40</v>
      </c>
      <c r="I1595" s="29">
        <v>1</v>
      </c>
      <c r="J1595" s="29" t="s">
        <v>45</v>
      </c>
      <c r="K1595" s="15">
        <f>(VLOOKUP(H1595,'[1]BOM Info General'!$A:$L,12,0))*I1595</f>
        <v>25.59</v>
      </c>
      <c r="L1595" s="26" t="s">
        <v>69</v>
      </c>
      <c r="M1595" s="26">
        <v>1</v>
      </c>
      <c r="N1595" s="26" t="s">
        <v>66</v>
      </c>
      <c r="O1595" s="9">
        <f>(VLOOKUP(L1595,'[1]Simulation pricing per sub assy'!$D:$E,2,0))*M1595</f>
        <v>95.206400000000031</v>
      </c>
      <c r="P1595" s="30" t="s">
        <v>50</v>
      </c>
      <c r="Q1595" s="30">
        <v>8</v>
      </c>
      <c r="R1595" s="30" t="s">
        <v>16</v>
      </c>
      <c r="S1595" s="40">
        <f>(VLOOKUP(P1595,'[1]BOM Info General'!$A:$L,12,0))*Q1595</f>
        <v>21.2</v>
      </c>
      <c r="T1595" s="31" t="s">
        <v>28</v>
      </c>
      <c r="U1595" s="31">
        <v>1</v>
      </c>
      <c r="V1595" s="31" t="s">
        <v>29</v>
      </c>
      <c r="W1595" s="17">
        <f>(VLOOKUP(T1595,'[1]Simulation pricing per sub assy'!$D:$E,2,0))*U1595</f>
        <v>7</v>
      </c>
      <c r="X1595" s="32" t="s">
        <v>616</v>
      </c>
      <c r="Y1595" s="32">
        <v>1</v>
      </c>
      <c r="Z1595" s="32" t="s">
        <v>23</v>
      </c>
      <c r="AA1595" s="18">
        <f>(VLOOKUP(X1595,'[1]Simulation pricing per sub assy'!$D:$E,2,0))*Y1595</f>
        <v>4.4802908000000006</v>
      </c>
    </row>
    <row r="1596" spans="1:27" x14ac:dyDescent="0.35">
      <c r="A1596" s="27" t="s">
        <v>2678</v>
      </c>
      <c r="B1596" s="27" t="s">
        <v>4633</v>
      </c>
      <c r="C1596" s="42">
        <f t="shared" si="24"/>
        <v>291.55669080000001</v>
      </c>
      <c r="D1596" s="28" t="s">
        <v>3540</v>
      </c>
      <c r="E1596" s="28">
        <v>2</v>
      </c>
      <c r="F1596" s="28" t="s">
        <v>3981</v>
      </c>
      <c r="G1596" s="14">
        <f>(VLOOKUP(D1596,'[1]BOM Info General'!$A:$L,12,0))*E1596</f>
        <v>130.12</v>
      </c>
      <c r="H1596" s="29" t="s">
        <v>40</v>
      </c>
      <c r="I1596" s="29">
        <v>1</v>
      </c>
      <c r="J1596" s="29" t="s">
        <v>45</v>
      </c>
      <c r="K1596" s="15">
        <f>(VLOOKUP(H1596,'[1]BOM Info General'!$A:$L,12,0))*I1596</f>
        <v>25.59</v>
      </c>
      <c r="L1596" s="26" t="s">
        <v>65</v>
      </c>
      <c r="M1596" s="26">
        <v>1</v>
      </c>
      <c r="N1596" s="26" t="s">
        <v>68</v>
      </c>
      <c r="O1596" s="9">
        <f>(VLOOKUP(L1596,'[1]Simulation pricing per sub assy'!$D:$E,2,0))*M1596</f>
        <v>103.16640000000004</v>
      </c>
      <c r="P1596" s="30" t="s">
        <v>50</v>
      </c>
      <c r="Q1596" s="30">
        <v>8</v>
      </c>
      <c r="R1596" s="30" t="s">
        <v>16</v>
      </c>
      <c r="S1596" s="40">
        <f>(VLOOKUP(P1596,'[1]BOM Info General'!$A:$L,12,0))*Q1596</f>
        <v>21.2</v>
      </c>
      <c r="T1596" s="31" t="s">
        <v>28</v>
      </c>
      <c r="U1596" s="31">
        <v>1</v>
      </c>
      <c r="V1596" s="31" t="s">
        <v>29</v>
      </c>
      <c r="W1596" s="17">
        <f>(VLOOKUP(T1596,'[1]Simulation pricing per sub assy'!$D:$E,2,0))*U1596</f>
        <v>7</v>
      </c>
      <c r="X1596" s="32" t="s">
        <v>616</v>
      </c>
      <c r="Y1596" s="32">
        <v>1</v>
      </c>
      <c r="Z1596" s="32" t="s">
        <v>23</v>
      </c>
      <c r="AA1596" s="18">
        <f>(VLOOKUP(X1596,'[1]Simulation pricing per sub assy'!$D:$E,2,0))*Y1596</f>
        <v>4.4802908000000006</v>
      </c>
    </row>
    <row r="1597" spans="1:27" x14ac:dyDescent="0.35">
      <c r="A1597" s="27" t="s">
        <v>2679</v>
      </c>
      <c r="B1597" s="27" t="s">
        <v>4634</v>
      </c>
      <c r="C1597" s="42">
        <f t="shared" si="24"/>
        <v>282.48669080000002</v>
      </c>
      <c r="D1597" s="28" t="s">
        <v>3540</v>
      </c>
      <c r="E1597" s="28">
        <v>2</v>
      </c>
      <c r="F1597" s="28" t="s">
        <v>3981</v>
      </c>
      <c r="G1597" s="14">
        <f>(VLOOKUP(D1597,'[1]BOM Info General'!$A:$L,12,0))*E1597</f>
        <v>130.12</v>
      </c>
      <c r="H1597" s="29" t="s">
        <v>40</v>
      </c>
      <c r="I1597" s="29">
        <v>1</v>
      </c>
      <c r="J1597" s="29" t="s">
        <v>45</v>
      </c>
      <c r="K1597" s="15">
        <f>(VLOOKUP(H1597,'[1]BOM Info General'!$A:$L,12,0))*I1597</f>
        <v>25.59</v>
      </c>
      <c r="L1597" s="26" t="s">
        <v>524</v>
      </c>
      <c r="M1597" s="26">
        <v>1</v>
      </c>
      <c r="N1597" s="26" t="s">
        <v>70</v>
      </c>
      <c r="O1597" s="9">
        <f>(VLOOKUP(L1597,'[1]Simulation pricing per sub assy'!$D:$E,2,0))*M1597</f>
        <v>94.656400000000033</v>
      </c>
      <c r="P1597" s="30" t="s">
        <v>51</v>
      </c>
      <c r="Q1597" s="30">
        <v>8</v>
      </c>
      <c r="R1597" s="30" t="s">
        <v>17</v>
      </c>
      <c r="S1597" s="40">
        <f>(VLOOKUP(P1597,'[1]BOM Info General'!$A:$L,12,0))*Q1597</f>
        <v>21.2</v>
      </c>
      <c r="T1597" s="31" t="s">
        <v>24</v>
      </c>
      <c r="U1597" s="31">
        <v>1</v>
      </c>
      <c r="V1597" s="31" t="s">
        <v>25</v>
      </c>
      <c r="W1597" s="17">
        <f>(VLOOKUP(T1597,'[1]Simulation pricing per sub assy'!$D:$E,2,0))*U1597</f>
        <v>6.44</v>
      </c>
      <c r="X1597" s="32" t="s">
        <v>616</v>
      </c>
      <c r="Y1597" s="32">
        <v>1</v>
      </c>
      <c r="Z1597" s="32" t="s">
        <v>23</v>
      </c>
      <c r="AA1597" s="18">
        <f>(VLOOKUP(X1597,'[1]Simulation pricing per sub assy'!$D:$E,2,0))*Y1597</f>
        <v>4.4802908000000006</v>
      </c>
    </row>
    <row r="1598" spans="1:27" x14ac:dyDescent="0.35">
      <c r="A1598" s="27" t="s">
        <v>2680</v>
      </c>
      <c r="B1598" s="27" t="s">
        <v>4635</v>
      </c>
      <c r="C1598" s="42">
        <f t="shared" si="24"/>
        <v>283.58669080000004</v>
      </c>
      <c r="D1598" s="28" t="s">
        <v>3540</v>
      </c>
      <c r="E1598" s="28">
        <v>2</v>
      </c>
      <c r="F1598" s="28" t="s">
        <v>3981</v>
      </c>
      <c r="G1598" s="14">
        <f>(VLOOKUP(D1598,'[1]BOM Info General'!$A:$L,12,0))*E1598</f>
        <v>130.12</v>
      </c>
      <c r="H1598" s="29" t="s">
        <v>40</v>
      </c>
      <c r="I1598" s="29">
        <v>1</v>
      </c>
      <c r="J1598" s="29" t="s">
        <v>45</v>
      </c>
      <c r="K1598" s="15">
        <f>(VLOOKUP(H1598,'[1]BOM Info General'!$A:$L,12,0))*I1598</f>
        <v>25.59</v>
      </c>
      <c r="L1598" s="26" t="s">
        <v>67</v>
      </c>
      <c r="M1598" s="26">
        <v>1</v>
      </c>
      <c r="N1598" s="26" t="s">
        <v>64</v>
      </c>
      <c r="O1598" s="9">
        <f>(VLOOKUP(L1598,'[1]Simulation pricing per sub assy'!$D:$E,2,0))*M1598</f>
        <v>95.756400000000042</v>
      </c>
      <c r="P1598" s="30" t="s">
        <v>51</v>
      </c>
      <c r="Q1598" s="30">
        <v>8</v>
      </c>
      <c r="R1598" s="30" t="s">
        <v>17</v>
      </c>
      <c r="S1598" s="40">
        <f>(VLOOKUP(P1598,'[1]BOM Info General'!$A:$L,12,0))*Q1598</f>
        <v>21.2</v>
      </c>
      <c r="T1598" s="31" t="s">
        <v>24</v>
      </c>
      <c r="U1598" s="31">
        <v>1</v>
      </c>
      <c r="V1598" s="31" t="s">
        <v>25</v>
      </c>
      <c r="W1598" s="17">
        <f>(VLOOKUP(T1598,'[1]Simulation pricing per sub assy'!$D:$E,2,0))*U1598</f>
        <v>6.44</v>
      </c>
      <c r="X1598" s="32" t="s">
        <v>616</v>
      </c>
      <c r="Y1598" s="32">
        <v>1</v>
      </c>
      <c r="Z1598" s="32" t="s">
        <v>23</v>
      </c>
      <c r="AA1598" s="18">
        <f>(VLOOKUP(X1598,'[1]Simulation pricing per sub assy'!$D:$E,2,0))*Y1598</f>
        <v>4.4802908000000006</v>
      </c>
    </row>
    <row r="1599" spans="1:27" x14ac:dyDescent="0.35">
      <c r="A1599" s="27" t="s">
        <v>2681</v>
      </c>
      <c r="B1599" s="27" t="s">
        <v>4636</v>
      </c>
      <c r="C1599" s="42">
        <f t="shared" si="24"/>
        <v>283.58669080000004</v>
      </c>
      <c r="D1599" s="28" t="s">
        <v>3540</v>
      </c>
      <c r="E1599" s="28">
        <v>2</v>
      </c>
      <c r="F1599" s="28" t="s">
        <v>3981</v>
      </c>
      <c r="G1599" s="14">
        <f>(VLOOKUP(D1599,'[1]BOM Info General'!$A:$L,12,0))*E1599</f>
        <v>130.12</v>
      </c>
      <c r="H1599" s="29" t="s">
        <v>40</v>
      </c>
      <c r="I1599" s="29">
        <v>1</v>
      </c>
      <c r="J1599" s="29" t="s">
        <v>45</v>
      </c>
      <c r="K1599" s="15">
        <f>(VLOOKUP(H1599,'[1]BOM Info General'!$A:$L,12,0))*I1599</f>
        <v>25.59</v>
      </c>
      <c r="L1599" s="26" t="s">
        <v>63</v>
      </c>
      <c r="M1599" s="26">
        <v>1</v>
      </c>
      <c r="N1599" s="26" t="s">
        <v>62</v>
      </c>
      <c r="O1599" s="9">
        <f>(VLOOKUP(L1599,'[1]Simulation pricing per sub assy'!$D:$E,2,0))*M1599</f>
        <v>95.756400000000042</v>
      </c>
      <c r="P1599" s="30" t="s">
        <v>51</v>
      </c>
      <c r="Q1599" s="30">
        <v>8</v>
      </c>
      <c r="R1599" s="30" t="s">
        <v>17</v>
      </c>
      <c r="S1599" s="40">
        <f>(VLOOKUP(P1599,'[1]BOM Info General'!$A:$L,12,0))*Q1599</f>
        <v>21.2</v>
      </c>
      <c r="T1599" s="31" t="s">
        <v>24</v>
      </c>
      <c r="U1599" s="31">
        <v>1</v>
      </c>
      <c r="V1599" s="31" t="s">
        <v>25</v>
      </c>
      <c r="W1599" s="17">
        <f>(VLOOKUP(T1599,'[1]Simulation pricing per sub assy'!$D:$E,2,0))*U1599</f>
        <v>6.44</v>
      </c>
      <c r="X1599" s="32" t="s">
        <v>616</v>
      </c>
      <c r="Y1599" s="32">
        <v>1</v>
      </c>
      <c r="Z1599" s="32" t="s">
        <v>23</v>
      </c>
      <c r="AA1599" s="18">
        <f>(VLOOKUP(X1599,'[1]Simulation pricing per sub assy'!$D:$E,2,0))*Y1599</f>
        <v>4.4802908000000006</v>
      </c>
    </row>
    <row r="1600" spans="1:27" x14ac:dyDescent="0.35">
      <c r="A1600" s="27" t="s">
        <v>2682</v>
      </c>
      <c r="B1600" s="27" t="s">
        <v>4637</v>
      </c>
      <c r="C1600" s="42">
        <f t="shared" si="24"/>
        <v>283.03669080000003</v>
      </c>
      <c r="D1600" s="28" t="s">
        <v>3540</v>
      </c>
      <c r="E1600" s="28">
        <v>2</v>
      </c>
      <c r="F1600" s="28" t="s">
        <v>3981</v>
      </c>
      <c r="G1600" s="14">
        <f>(VLOOKUP(D1600,'[1]BOM Info General'!$A:$L,12,0))*E1600</f>
        <v>130.12</v>
      </c>
      <c r="H1600" s="29" t="s">
        <v>40</v>
      </c>
      <c r="I1600" s="29">
        <v>1</v>
      </c>
      <c r="J1600" s="29" t="s">
        <v>45</v>
      </c>
      <c r="K1600" s="15">
        <f>(VLOOKUP(H1600,'[1]BOM Info General'!$A:$L,12,0))*I1600</f>
        <v>25.59</v>
      </c>
      <c r="L1600" s="26" t="s">
        <v>69</v>
      </c>
      <c r="M1600" s="26">
        <v>1</v>
      </c>
      <c r="N1600" s="26" t="s">
        <v>66</v>
      </c>
      <c r="O1600" s="9">
        <f>(VLOOKUP(L1600,'[1]Simulation pricing per sub assy'!$D:$E,2,0))*M1600</f>
        <v>95.206400000000031</v>
      </c>
      <c r="P1600" s="30" t="s">
        <v>51</v>
      </c>
      <c r="Q1600" s="30">
        <v>8</v>
      </c>
      <c r="R1600" s="30" t="s">
        <v>17</v>
      </c>
      <c r="S1600" s="40">
        <f>(VLOOKUP(P1600,'[1]BOM Info General'!$A:$L,12,0))*Q1600</f>
        <v>21.2</v>
      </c>
      <c r="T1600" s="31" t="s">
        <v>24</v>
      </c>
      <c r="U1600" s="31">
        <v>1</v>
      </c>
      <c r="V1600" s="31" t="s">
        <v>25</v>
      </c>
      <c r="W1600" s="17">
        <f>(VLOOKUP(T1600,'[1]Simulation pricing per sub assy'!$D:$E,2,0))*U1600</f>
        <v>6.44</v>
      </c>
      <c r="X1600" s="32" t="s">
        <v>616</v>
      </c>
      <c r="Y1600" s="32">
        <v>1</v>
      </c>
      <c r="Z1600" s="32" t="s">
        <v>23</v>
      </c>
      <c r="AA1600" s="18">
        <f>(VLOOKUP(X1600,'[1]Simulation pricing per sub assy'!$D:$E,2,0))*Y1600</f>
        <v>4.4802908000000006</v>
      </c>
    </row>
    <row r="1601" spans="1:27" x14ac:dyDescent="0.35">
      <c r="A1601" s="27" t="s">
        <v>2683</v>
      </c>
      <c r="B1601" s="27" t="s">
        <v>4638</v>
      </c>
      <c r="C1601" s="42">
        <f t="shared" si="24"/>
        <v>290.99669080000001</v>
      </c>
      <c r="D1601" s="28" t="s">
        <v>3540</v>
      </c>
      <c r="E1601" s="28">
        <v>2</v>
      </c>
      <c r="F1601" s="28" t="s">
        <v>3981</v>
      </c>
      <c r="G1601" s="14">
        <f>(VLOOKUP(D1601,'[1]BOM Info General'!$A:$L,12,0))*E1601</f>
        <v>130.12</v>
      </c>
      <c r="H1601" s="29" t="s">
        <v>40</v>
      </c>
      <c r="I1601" s="29">
        <v>1</v>
      </c>
      <c r="J1601" s="29" t="s">
        <v>45</v>
      </c>
      <c r="K1601" s="15">
        <f>(VLOOKUP(H1601,'[1]BOM Info General'!$A:$L,12,0))*I1601</f>
        <v>25.59</v>
      </c>
      <c r="L1601" s="26" t="s">
        <v>65</v>
      </c>
      <c r="M1601" s="26">
        <v>1</v>
      </c>
      <c r="N1601" s="26" t="s">
        <v>68</v>
      </c>
      <c r="O1601" s="9">
        <f>(VLOOKUP(L1601,'[1]Simulation pricing per sub assy'!$D:$E,2,0))*M1601</f>
        <v>103.16640000000004</v>
      </c>
      <c r="P1601" s="30" t="s">
        <v>51</v>
      </c>
      <c r="Q1601" s="30">
        <v>8</v>
      </c>
      <c r="R1601" s="30" t="s">
        <v>17</v>
      </c>
      <c r="S1601" s="40">
        <f>(VLOOKUP(P1601,'[1]BOM Info General'!$A:$L,12,0))*Q1601</f>
        <v>21.2</v>
      </c>
      <c r="T1601" s="31" t="s">
        <v>24</v>
      </c>
      <c r="U1601" s="31">
        <v>1</v>
      </c>
      <c r="V1601" s="31" t="s">
        <v>25</v>
      </c>
      <c r="W1601" s="17">
        <f>(VLOOKUP(T1601,'[1]Simulation pricing per sub assy'!$D:$E,2,0))*U1601</f>
        <v>6.44</v>
      </c>
      <c r="X1601" s="32" t="s">
        <v>616</v>
      </c>
      <c r="Y1601" s="32">
        <v>1</v>
      </c>
      <c r="Z1601" s="32" t="s">
        <v>23</v>
      </c>
      <c r="AA1601" s="18">
        <f>(VLOOKUP(X1601,'[1]Simulation pricing per sub assy'!$D:$E,2,0))*Y1601</f>
        <v>4.4802908000000006</v>
      </c>
    </row>
    <row r="1602" spans="1:27" x14ac:dyDescent="0.35">
      <c r="A1602" s="27" t="s">
        <v>2684</v>
      </c>
      <c r="B1602" s="27" t="s">
        <v>4639</v>
      </c>
      <c r="C1602" s="42">
        <f t="shared" si="24"/>
        <v>283.08669080000004</v>
      </c>
      <c r="D1602" s="28" t="s">
        <v>3540</v>
      </c>
      <c r="E1602" s="28">
        <v>2</v>
      </c>
      <c r="F1602" s="28" t="s">
        <v>3981</v>
      </c>
      <c r="G1602" s="14">
        <f>(VLOOKUP(D1602,'[1]BOM Info General'!$A:$L,12,0))*E1602</f>
        <v>130.12</v>
      </c>
      <c r="H1602" s="29" t="s">
        <v>40</v>
      </c>
      <c r="I1602" s="29">
        <v>1</v>
      </c>
      <c r="J1602" s="29" t="s">
        <v>45</v>
      </c>
      <c r="K1602" s="15">
        <f>(VLOOKUP(H1602,'[1]BOM Info General'!$A:$L,12,0))*I1602</f>
        <v>25.59</v>
      </c>
      <c r="L1602" s="26" t="s">
        <v>524</v>
      </c>
      <c r="M1602" s="26">
        <v>1</v>
      </c>
      <c r="N1602" s="26" t="s">
        <v>70</v>
      </c>
      <c r="O1602" s="9">
        <f>(VLOOKUP(L1602,'[1]Simulation pricing per sub assy'!$D:$E,2,0))*M1602</f>
        <v>94.656400000000033</v>
      </c>
      <c r="P1602" s="30" t="s">
        <v>51</v>
      </c>
      <c r="Q1602" s="30">
        <v>8</v>
      </c>
      <c r="R1602" s="30" t="s">
        <v>17</v>
      </c>
      <c r="S1602" s="40">
        <f>(VLOOKUP(P1602,'[1]BOM Info General'!$A:$L,12,0))*Q1602</f>
        <v>21.2</v>
      </c>
      <c r="T1602" s="31" t="s">
        <v>26</v>
      </c>
      <c r="U1602" s="31">
        <v>1</v>
      </c>
      <c r="V1602" s="31" t="s">
        <v>27</v>
      </c>
      <c r="W1602" s="17">
        <f>(VLOOKUP(T1602,'[1]Simulation pricing per sub assy'!$D:$E,2,0))*U1602</f>
        <v>7.04</v>
      </c>
      <c r="X1602" s="32" t="s">
        <v>616</v>
      </c>
      <c r="Y1602" s="32">
        <v>1</v>
      </c>
      <c r="Z1602" s="32" t="s">
        <v>23</v>
      </c>
      <c r="AA1602" s="18">
        <f>(VLOOKUP(X1602,'[1]Simulation pricing per sub assy'!$D:$E,2,0))*Y1602</f>
        <v>4.4802908000000006</v>
      </c>
    </row>
    <row r="1603" spans="1:27" x14ac:dyDescent="0.35">
      <c r="A1603" s="27" t="s">
        <v>2685</v>
      </c>
      <c r="B1603" s="27" t="s">
        <v>4640</v>
      </c>
      <c r="C1603" s="42">
        <f t="shared" ref="C1603:C1666" si="25">SUM(G1603+K1603+O1603+S1603+W1603+AA1603)</f>
        <v>284.18669080000006</v>
      </c>
      <c r="D1603" s="28" t="s">
        <v>3540</v>
      </c>
      <c r="E1603" s="28">
        <v>2</v>
      </c>
      <c r="F1603" s="28" t="s">
        <v>3981</v>
      </c>
      <c r="G1603" s="14">
        <f>(VLOOKUP(D1603,'[1]BOM Info General'!$A:$L,12,0))*E1603</f>
        <v>130.12</v>
      </c>
      <c r="H1603" s="29" t="s">
        <v>40</v>
      </c>
      <c r="I1603" s="29">
        <v>1</v>
      </c>
      <c r="J1603" s="29" t="s">
        <v>45</v>
      </c>
      <c r="K1603" s="15">
        <f>(VLOOKUP(H1603,'[1]BOM Info General'!$A:$L,12,0))*I1603</f>
        <v>25.59</v>
      </c>
      <c r="L1603" s="26" t="s">
        <v>67</v>
      </c>
      <c r="M1603" s="26">
        <v>1</v>
      </c>
      <c r="N1603" s="26" t="s">
        <v>64</v>
      </c>
      <c r="O1603" s="9">
        <f>(VLOOKUP(L1603,'[1]Simulation pricing per sub assy'!$D:$E,2,0))*M1603</f>
        <v>95.756400000000042</v>
      </c>
      <c r="P1603" s="30" t="s">
        <v>51</v>
      </c>
      <c r="Q1603" s="30">
        <v>8</v>
      </c>
      <c r="R1603" s="30" t="s">
        <v>17</v>
      </c>
      <c r="S1603" s="40">
        <f>(VLOOKUP(P1603,'[1]BOM Info General'!$A:$L,12,0))*Q1603</f>
        <v>21.2</v>
      </c>
      <c r="T1603" s="31" t="s">
        <v>26</v>
      </c>
      <c r="U1603" s="31">
        <v>1</v>
      </c>
      <c r="V1603" s="31" t="s">
        <v>27</v>
      </c>
      <c r="W1603" s="17">
        <f>(VLOOKUP(T1603,'[1]Simulation pricing per sub assy'!$D:$E,2,0))*U1603</f>
        <v>7.04</v>
      </c>
      <c r="X1603" s="32" t="s">
        <v>616</v>
      </c>
      <c r="Y1603" s="32">
        <v>1</v>
      </c>
      <c r="Z1603" s="32" t="s">
        <v>23</v>
      </c>
      <c r="AA1603" s="18">
        <f>(VLOOKUP(X1603,'[1]Simulation pricing per sub assy'!$D:$E,2,0))*Y1603</f>
        <v>4.4802908000000006</v>
      </c>
    </row>
    <row r="1604" spans="1:27" x14ac:dyDescent="0.35">
      <c r="A1604" s="27" t="s">
        <v>2686</v>
      </c>
      <c r="B1604" s="27" t="s">
        <v>4641</v>
      </c>
      <c r="C1604" s="42">
        <f t="shared" si="25"/>
        <v>284.18669080000006</v>
      </c>
      <c r="D1604" s="28" t="s">
        <v>3540</v>
      </c>
      <c r="E1604" s="28">
        <v>2</v>
      </c>
      <c r="F1604" s="28" t="s">
        <v>3981</v>
      </c>
      <c r="G1604" s="14">
        <f>(VLOOKUP(D1604,'[1]BOM Info General'!$A:$L,12,0))*E1604</f>
        <v>130.12</v>
      </c>
      <c r="H1604" s="29" t="s">
        <v>40</v>
      </c>
      <c r="I1604" s="29">
        <v>1</v>
      </c>
      <c r="J1604" s="29" t="s">
        <v>45</v>
      </c>
      <c r="K1604" s="15">
        <f>(VLOOKUP(H1604,'[1]BOM Info General'!$A:$L,12,0))*I1604</f>
        <v>25.59</v>
      </c>
      <c r="L1604" s="26" t="s">
        <v>63</v>
      </c>
      <c r="M1604" s="26">
        <v>1</v>
      </c>
      <c r="N1604" s="26" t="s">
        <v>62</v>
      </c>
      <c r="O1604" s="9">
        <f>(VLOOKUP(L1604,'[1]Simulation pricing per sub assy'!$D:$E,2,0))*M1604</f>
        <v>95.756400000000042</v>
      </c>
      <c r="P1604" s="30" t="s">
        <v>51</v>
      </c>
      <c r="Q1604" s="30">
        <v>8</v>
      </c>
      <c r="R1604" s="30" t="s">
        <v>17</v>
      </c>
      <c r="S1604" s="40">
        <f>(VLOOKUP(P1604,'[1]BOM Info General'!$A:$L,12,0))*Q1604</f>
        <v>21.2</v>
      </c>
      <c r="T1604" s="31" t="s">
        <v>26</v>
      </c>
      <c r="U1604" s="31">
        <v>1</v>
      </c>
      <c r="V1604" s="31" t="s">
        <v>27</v>
      </c>
      <c r="W1604" s="17">
        <f>(VLOOKUP(T1604,'[1]Simulation pricing per sub assy'!$D:$E,2,0))*U1604</f>
        <v>7.04</v>
      </c>
      <c r="X1604" s="32" t="s">
        <v>616</v>
      </c>
      <c r="Y1604" s="32">
        <v>1</v>
      </c>
      <c r="Z1604" s="32" t="s">
        <v>23</v>
      </c>
      <c r="AA1604" s="18">
        <f>(VLOOKUP(X1604,'[1]Simulation pricing per sub assy'!$D:$E,2,0))*Y1604</f>
        <v>4.4802908000000006</v>
      </c>
    </row>
    <row r="1605" spans="1:27" x14ac:dyDescent="0.35">
      <c r="A1605" s="27" t="s">
        <v>2687</v>
      </c>
      <c r="B1605" s="27" t="s">
        <v>4642</v>
      </c>
      <c r="C1605" s="42">
        <f t="shared" si="25"/>
        <v>283.63669080000005</v>
      </c>
      <c r="D1605" s="28" t="s">
        <v>3540</v>
      </c>
      <c r="E1605" s="28">
        <v>2</v>
      </c>
      <c r="F1605" s="28" t="s">
        <v>3981</v>
      </c>
      <c r="G1605" s="14">
        <f>(VLOOKUP(D1605,'[1]BOM Info General'!$A:$L,12,0))*E1605</f>
        <v>130.12</v>
      </c>
      <c r="H1605" s="29" t="s">
        <v>40</v>
      </c>
      <c r="I1605" s="29">
        <v>1</v>
      </c>
      <c r="J1605" s="29" t="s">
        <v>45</v>
      </c>
      <c r="K1605" s="15">
        <f>(VLOOKUP(H1605,'[1]BOM Info General'!$A:$L,12,0))*I1605</f>
        <v>25.59</v>
      </c>
      <c r="L1605" s="26" t="s">
        <v>69</v>
      </c>
      <c r="M1605" s="26">
        <v>1</v>
      </c>
      <c r="N1605" s="26" t="s">
        <v>66</v>
      </c>
      <c r="O1605" s="9">
        <f>(VLOOKUP(L1605,'[1]Simulation pricing per sub assy'!$D:$E,2,0))*M1605</f>
        <v>95.206400000000031</v>
      </c>
      <c r="P1605" s="30" t="s">
        <v>51</v>
      </c>
      <c r="Q1605" s="30">
        <v>8</v>
      </c>
      <c r="R1605" s="30" t="s">
        <v>17</v>
      </c>
      <c r="S1605" s="40">
        <f>(VLOOKUP(P1605,'[1]BOM Info General'!$A:$L,12,0))*Q1605</f>
        <v>21.2</v>
      </c>
      <c r="T1605" s="31" t="s">
        <v>26</v>
      </c>
      <c r="U1605" s="31">
        <v>1</v>
      </c>
      <c r="V1605" s="31" t="s">
        <v>27</v>
      </c>
      <c r="W1605" s="17">
        <f>(VLOOKUP(T1605,'[1]Simulation pricing per sub assy'!$D:$E,2,0))*U1605</f>
        <v>7.04</v>
      </c>
      <c r="X1605" s="32" t="s">
        <v>616</v>
      </c>
      <c r="Y1605" s="32">
        <v>1</v>
      </c>
      <c r="Z1605" s="32" t="s">
        <v>23</v>
      </c>
      <c r="AA1605" s="18">
        <f>(VLOOKUP(X1605,'[1]Simulation pricing per sub assy'!$D:$E,2,0))*Y1605</f>
        <v>4.4802908000000006</v>
      </c>
    </row>
    <row r="1606" spans="1:27" x14ac:dyDescent="0.35">
      <c r="A1606" s="27" t="s">
        <v>2688</v>
      </c>
      <c r="B1606" s="27" t="s">
        <v>4643</v>
      </c>
      <c r="C1606" s="42">
        <f t="shared" si="25"/>
        <v>291.59669080000003</v>
      </c>
      <c r="D1606" s="28" t="s">
        <v>3540</v>
      </c>
      <c r="E1606" s="28">
        <v>2</v>
      </c>
      <c r="F1606" s="28" t="s">
        <v>3981</v>
      </c>
      <c r="G1606" s="14">
        <f>(VLOOKUP(D1606,'[1]BOM Info General'!$A:$L,12,0))*E1606</f>
        <v>130.12</v>
      </c>
      <c r="H1606" s="29" t="s">
        <v>40</v>
      </c>
      <c r="I1606" s="29">
        <v>1</v>
      </c>
      <c r="J1606" s="29" t="s">
        <v>45</v>
      </c>
      <c r="K1606" s="15">
        <f>(VLOOKUP(H1606,'[1]BOM Info General'!$A:$L,12,0))*I1606</f>
        <v>25.59</v>
      </c>
      <c r="L1606" s="26" t="s">
        <v>65</v>
      </c>
      <c r="M1606" s="26">
        <v>1</v>
      </c>
      <c r="N1606" s="26" t="s">
        <v>68</v>
      </c>
      <c r="O1606" s="9">
        <f>(VLOOKUP(L1606,'[1]Simulation pricing per sub assy'!$D:$E,2,0))*M1606</f>
        <v>103.16640000000004</v>
      </c>
      <c r="P1606" s="30" t="s">
        <v>51</v>
      </c>
      <c r="Q1606" s="30">
        <v>8</v>
      </c>
      <c r="R1606" s="30" t="s">
        <v>17</v>
      </c>
      <c r="S1606" s="40">
        <f>(VLOOKUP(P1606,'[1]BOM Info General'!$A:$L,12,0))*Q1606</f>
        <v>21.2</v>
      </c>
      <c r="T1606" s="31" t="s">
        <v>26</v>
      </c>
      <c r="U1606" s="31">
        <v>1</v>
      </c>
      <c r="V1606" s="31" t="s">
        <v>27</v>
      </c>
      <c r="W1606" s="17">
        <f>(VLOOKUP(T1606,'[1]Simulation pricing per sub assy'!$D:$E,2,0))*U1606</f>
        <v>7.04</v>
      </c>
      <c r="X1606" s="32" t="s">
        <v>616</v>
      </c>
      <c r="Y1606" s="32">
        <v>1</v>
      </c>
      <c r="Z1606" s="32" t="s">
        <v>23</v>
      </c>
      <c r="AA1606" s="18">
        <f>(VLOOKUP(X1606,'[1]Simulation pricing per sub assy'!$D:$E,2,0))*Y1606</f>
        <v>4.4802908000000006</v>
      </c>
    </row>
    <row r="1607" spans="1:27" x14ac:dyDescent="0.35">
      <c r="A1607" s="27" t="s">
        <v>2689</v>
      </c>
      <c r="B1607" s="27" t="s">
        <v>4644</v>
      </c>
      <c r="C1607" s="42">
        <f t="shared" si="25"/>
        <v>283.04669080000002</v>
      </c>
      <c r="D1607" s="28" t="s">
        <v>3540</v>
      </c>
      <c r="E1607" s="28">
        <v>2</v>
      </c>
      <c r="F1607" s="28" t="s">
        <v>3981</v>
      </c>
      <c r="G1607" s="14">
        <f>(VLOOKUP(D1607,'[1]BOM Info General'!$A:$L,12,0))*E1607</f>
        <v>130.12</v>
      </c>
      <c r="H1607" s="29" t="s">
        <v>40</v>
      </c>
      <c r="I1607" s="29">
        <v>1</v>
      </c>
      <c r="J1607" s="29" t="s">
        <v>45</v>
      </c>
      <c r="K1607" s="15">
        <f>(VLOOKUP(H1607,'[1]BOM Info General'!$A:$L,12,0))*I1607</f>
        <v>25.59</v>
      </c>
      <c r="L1607" s="26" t="s">
        <v>524</v>
      </c>
      <c r="M1607" s="26">
        <v>1</v>
      </c>
      <c r="N1607" s="26" t="s">
        <v>70</v>
      </c>
      <c r="O1607" s="9">
        <f>(VLOOKUP(L1607,'[1]Simulation pricing per sub assy'!$D:$E,2,0))*M1607</f>
        <v>94.656400000000033</v>
      </c>
      <c r="P1607" s="30" t="s">
        <v>51</v>
      </c>
      <c r="Q1607" s="30">
        <v>8</v>
      </c>
      <c r="R1607" s="30" t="s">
        <v>17</v>
      </c>
      <c r="S1607" s="40">
        <f>(VLOOKUP(P1607,'[1]BOM Info General'!$A:$L,12,0))*Q1607</f>
        <v>21.2</v>
      </c>
      <c r="T1607" s="31" t="s">
        <v>28</v>
      </c>
      <c r="U1607" s="31">
        <v>1</v>
      </c>
      <c r="V1607" s="31" t="s">
        <v>29</v>
      </c>
      <c r="W1607" s="17">
        <f>(VLOOKUP(T1607,'[1]Simulation pricing per sub assy'!$D:$E,2,0))*U1607</f>
        <v>7</v>
      </c>
      <c r="X1607" s="32" t="s">
        <v>616</v>
      </c>
      <c r="Y1607" s="32">
        <v>1</v>
      </c>
      <c r="Z1607" s="32" t="s">
        <v>23</v>
      </c>
      <c r="AA1607" s="18">
        <f>(VLOOKUP(X1607,'[1]Simulation pricing per sub assy'!$D:$E,2,0))*Y1607</f>
        <v>4.4802908000000006</v>
      </c>
    </row>
    <row r="1608" spans="1:27" x14ac:dyDescent="0.35">
      <c r="A1608" s="27" t="s">
        <v>2690</v>
      </c>
      <c r="B1608" s="27" t="s">
        <v>4645</v>
      </c>
      <c r="C1608" s="42">
        <f t="shared" si="25"/>
        <v>284.14669080000004</v>
      </c>
      <c r="D1608" s="28" t="s">
        <v>3540</v>
      </c>
      <c r="E1608" s="28">
        <v>2</v>
      </c>
      <c r="F1608" s="28" t="s">
        <v>3981</v>
      </c>
      <c r="G1608" s="14">
        <f>(VLOOKUP(D1608,'[1]BOM Info General'!$A:$L,12,0))*E1608</f>
        <v>130.12</v>
      </c>
      <c r="H1608" s="29" t="s">
        <v>40</v>
      </c>
      <c r="I1608" s="29">
        <v>1</v>
      </c>
      <c r="J1608" s="29" t="s">
        <v>45</v>
      </c>
      <c r="K1608" s="15">
        <f>(VLOOKUP(H1608,'[1]BOM Info General'!$A:$L,12,0))*I1608</f>
        <v>25.59</v>
      </c>
      <c r="L1608" s="26" t="s">
        <v>67</v>
      </c>
      <c r="M1608" s="26">
        <v>1</v>
      </c>
      <c r="N1608" s="26" t="s">
        <v>64</v>
      </c>
      <c r="O1608" s="9">
        <f>(VLOOKUP(L1608,'[1]Simulation pricing per sub assy'!$D:$E,2,0))*M1608</f>
        <v>95.756400000000042</v>
      </c>
      <c r="P1608" s="30" t="s">
        <v>51</v>
      </c>
      <c r="Q1608" s="30">
        <v>8</v>
      </c>
      <c r="R1608" s="30" t="s">
        <v>17</v>
      </c>
      <c r="S1608" s="40">
        <f>(VLOOKUP(P1608,'[1]BOM Info General'!$A:$L,12,0))*Q1608</f>
        <v>21.2</v>
      </c>
      <c r="T1608" s="31" t="s">
        <v>28</v>
      </c>
      <c r="U1608" s="31">
        <v>1</v>
      </c>
      <c r="V1608" s="31" t="s">
        <v>29</v>
      </c>
      <c r="W1608" s="17">
        <f>(VLOOKUP(T1608,'[1]Simulation pricing per sub assy'!$D:$E,2,0))*U1608</f>
        <v>7</v>
      </c>
      <c r="X1608" s="32" t="s">
        <v>616</v>
      </c>
      <c r="Y1608" s="32">
        <v>1</v>
      </c>
      <c r="Z1608" s="32" t="s">
        <v>23</v>
      </c>
      <c r="AA1608" s="18">
        <f>(VLOOKUP(X1608,'[1]Simulation pricing per sub assy'!$D:$E,2,0))*Y1608</f>
        <v>4.4802908000000006</v>
      </c>
    </row>
    <row r="1609" spans="1:27" x14ac:dyDescent="0.35">
      <c r="A1609" s="27" t="s">
        <v>2691</v>
      </c>
      <c r="B1609" s="27" t="s">
        <v>4646</v>
      </c>
      <c r="C1609" s="42">
        <f t="shared" si="25"/>
        <v>284.14669080000004</v>
      </c>
      <c r="D1609" s="28" t="s">
        <v>3540</v>
      </c>
      <c r="E1609" s="28">
        <v>2</v>
      </c>
      <c r="F1609" s="28" t="s">
        <v>3981</v>
      </c>
      <c r="G1609" s="14">
        <f>(VLOOKUP(D1609,'[1]BOM Info General'!$A:$L,12,0))*E1609</f>
        <v>130.12</v>
      </c>
      <c r="H1609" s="29" t="s">
        <v>40</v>
      </c>
      <c r="I1609" s="29">
        <v>1</v>
      </c>
      <c r="J1609" s="29" t="s">
        <v>45</v>
      </c>
      <c r="K1609" s="15">
        <f>(VLOOKUP(H1609,'[1]BOM Info General'!$A:$L,12,0))*I1609</f>
        <v>25.59</v>
      </c>
      <c r="L1609" s="26" t="s">
        <v>63</v>
      </c>
      <c r="M1609" s="26">
        <v>1</v>
      </c>
      <c r="N1609" s="26" t="s">
        <v>62</v>
      </c>
      <c r="O1609" s="9">
        <f>(VLOOKUP(L1609,'[1]Simulation pricing per sub assy'!$D:$E,2,0))*M1609</f>
        <v>95.756400000000042</v>
      </c>
      <c r="P1609" s="30" t="s">
        <v>51</v>
      </c>
      <c r="Q1609" s="30">
        <v>8</v>
      </c>
      <c r="R1609" s="30" t="s">
        <v>17</v>
      </c>
      <c r="S1609" s="40">
        <f>(VLOOKUP(P1609,'[1]BOM Info General'!$A:$L,12,0))*Q1609</f>
        <v>21.2</v>
      </c>
      <c r="T1609" s="31" t="s">
        <v>28</v>
      </c>
      <c r="U1609" s="31">
        <v>1</v>
      </c>
      <c r="V1609" s="31" t="s">
        <v>29</v>
      </c>
      <c r="W1609" s="17">
        <f>(VLOOKUP(T1609,'[1]Simulation pricing per sub assy'!$D:$E,2,0))*U1609</f>
        <v>7</v>
      </c>
      <c r="X1609" s="32" t="s">
        <v>616</v>
      </c>
      <c r="Y1609" s="32">
        <v>1</v>
      </c>
      <c r="Z1609" s="32" t="s">
        <v>23</v>
      </c>
      <c r="AA1609" s="18">
        <f>(VLOOKUP(X1609,'[1]Simulation pricing per sub assy'!$D:$E,2,0))*Y1609</f>
        <v>4.4802908000000006</v>
      </c>
    </row>
    <row r="1610" spans="1:27" x14ac:dyDescent="0.35">
      <c r="A1610" s="27" t="s">
        <v>2692</v>
      </c>
      <c r="B1610" s="27" t="s">
        <v>4647</v>
      </c>
      <c r="C1610" s="42">
        <f t="shared" si="25"/>
        <v>283.59669080000003</v>
      </c>
      <c r="D1610" s="28" t="s">
        <v>3540</v>
      </c>
      <c r="E1610" s="28">
        <v>2</v>
      </c>
      <c r="F1610" s="28" t="s">
        <v>3981</v>
      </c>
      <c r="G1610" s="14">
        <f>(VLOOKUP(D1610,'[1]BOM Info General'!$A:$L,12,0))*E1610</f>
        <v>130.12</v>
      </c>
      <c r="H1610" s="29" t="s">
        <v>40</v>
      </c>
      <c r="I1610" s="29">
        <v>1</v>
      </c>
      <c r="J1610" s="29" t="s">
        <v>45</v>
      </c>
      <c r="K1610" s="15">
        <f>(VLOOKUP(H1610,'[1]BOM Info General'!$A:$L,12,0))*I1610</f>
        <v>25.59</v>
      </c>
      <c r="L1610" s="26" t="s">
        <v>69</v>
      </c>
      <c r="M1610" s="26">
        <v>1</v>
      </c>
      <c r="N1610" s="26" t="s">
        <v>66</v>
      </c>
      <c r="O1610" s="9">
        <f>(VLOOKUP(L1610,'[1]Simulation pricing per sub assy'!$D:$E,2,0))*M1610</f>
        <v>95.206400000000031</v>
      </c>
      <c r="P1610" s="30" t="s">
        <v>51</v>
      </c>
      <c r="Q1610" s="30">
        <v>8</v>
      </c>
      <c r="R1610" s="30" t="s">
        <v>17</v>
      </c>
      <c r="S1610" s="40">
        <f>(VLOOKUP(P1610,'[1]BOM Info General'!$A:$L,12,0))*Q1610</f>
        <v>21.2</v>
      </c>
      <c r="T1610" s="31" t="s">
        <v>28</v>
      </c>
      <c r="U1610" s="31">
        <v>1</v>
      </c>
      <c r="V1610" s="31" t="s">
        <v>29</v>
      </c>
      <c r="W1610" s="17">
        <f>(VLOOKUP(T1610,'[1]Simulation pricing per sub assy'!$D:$E,2,0))*U1610</f>
        <v>7</v>
      </c>
      <c r="X1610" s="32" t="s">
        <v>616</v>
      </c>
      <c r="Y1610" s="32">
        <v>1</v>
      </c>
      <c r="Z1610" s="32" t="s">
        <v>23</v>
      </c>
      <c r="AA1610" s="18">
        <f>(VLOOKUP(X1610,'[1]Simulation pricing per sub assy'!$D:$E,2,0))*Y1610</f>
        <v>4.4802908000000006</v>
      </c>
    </row>
    <row r="1611" spans="1:27" x14ac:dyDescent="0.35">
      <c r="A1611" s="27" t="s">
        <v>2693</v>
      </c>
      <c r="B1611" s="27" t="s">
        <v>4648</v>
      </c>
      <c r="C1611" s="42">
        <f t="shared" si="25"/>
        <v>291.55669080000001</v>
      </c>
      <c r="D1611" s="28" t="s">
        <v>3540</v>
      </c>
      <c r="E1611" s="28">
        <v>2</v>
      </c>
      <c r="F1611" s="28" t="s">
        <v>3981</v>
      </c>
      <c r="G1611" s="14">
        <f>(VLOOKUP(D1611,'[1]BOM Info General'!$A:$L,12,0))*E1611</f>
        <v>130.12</v>
      </c>
      <c r="H1611" s="29" t="s">
        <v>40</v>
      </c>
      <c r="I1611" s="29">
        <v>1</v>
      </c>
      <c r="J1611" s="29" t="s">
        <v>45</v>
      </c>
      <c r="K1611" s="15">
        <f>(VLOOKUP(H1611,'[1]BOM Info General'!$A:$L,12,0))*I1611</f>
        <v>25.59</v>
      </c>
      <c r="L1611" s="26" t="s">
        <v>65</v>
      </c>
      <c r="M1611" s="26">
        <v>1</v>
      </c>
      <c r="N1611" s="26" t="s">
        <v>68</v>
      </c>
      <c r="O1611" s="9">
        <f>(VLOOKUP(L1611,'[1]Simulation pricing per sub assy'!$D:$E,2,0))*M1611</f>
        <v>103.16640000000004</v>
      </c>
      <c r="P1611" s="30" t="s">
        <v>51</v>
      </c>
      <c r="Q1611" s="30">
        <v>8</v>
      </c>
      <c r="R1611" s="30" t="s">
        <v>17</v>
      </c>
      <c r="S1611" s="40">
        <f>(VLOOKUP(P1611,'[1]BOM Info General'!$A:$L,12,0))*Q1611</f>
        <v>21.2</v>
      </c>
      <c r="T1611" s="31" t="s">
        <v>28</v>
      </c>
      <c r="U1611" s="31">
        <v>1</v>
      </c>
      <c r="V1611" s="31" t="s">
        <v>29</v>
      </c>
      <c r="W1611" s="17">
        <f>(VLOOKUP(T1611,'[1]Simulation pricing per sub assy'!$D:$E,2,0))*U1611</f>
        <v>7</v>
      </c>
      <c r="X1611" s="32" t="s">
        <v>616</v>
      </c>
      <c r="Y1611" s="32">
        <v>1</v>
      </c>
      <c r="Z1611" s="32" t="s">
        <v>23</v>
      </c>
      <c r="AA1611" s="18">
        <f>(VLOOKUP(X1611,'[1]Simulation pricing per sub assy'!$D:$E,2,0))*Y1611</f>
        <v>4.4802908000000006</v>
      </c>
    </row>
    <row r="1612" spans="1:27" x14ac:dyDescent="0.35">
      <c r="A1612" s="27" t="s">
        <v>2694</v>
      </c>
      <c r="B1612" s="27" t="s">
        <v>4649</v>
      </c>
      <c r="C1612" s="42">
        <f t="shared" si="25"/>
        <v>282.48669080000002</v>
      </c>
      <c r="D1612" s="28" t="s">
        <v>3540</v>
      </c>
      <c r="E1612" s="28">
        <v>2</v>
      </c>
      <c r="F1612" s="28" t="s">
        <v>3981</v>
      </c>
      <c r="G1612" s="14">
        <f>(VLOOKUP(D1612,'[1]BOM Info General'!$A:$L,12,0))*E1612</f>
        <v>130.12</v>
      </c>
      <c r="H1612" s="29" t="s">
        <v>40</v>
      </c>
      <c r="I1612" s="29">
        <v>1</v>
      </c>
      <c r="J1612" s="29" t="s">
        <v>45</v>
      </c>
      <c r="K1612" s="15">
        <f>(VLOOKUP(H1612,'[1]BOM Info General'!$A:$L,12,0))*I1612</f>
        <v>25.59</v>
      </c>
      <c r="L1612" s="26" t="s">
        <v>524</v>
      </c>
      <c r="M1612" s="26">
        <v>1</v>
      </c>
      <c r="N1612" s="26" t="s">
        <v>70</v>
      </c>
      <c r="O1612" s="9">
        <f>(VLOOKUP(L1612,'[1]Simulation pricing per sub assy'!$D:$E,2,0))*M1612</f>
        <v>94.656400000000033</v>
      </c>
      <c r="P1612" s="30" t="s">
        <v>52</v>
      </c>
      <c r="Q1612" s="30">
        <v>8</v>
      </c>
      <c r="R1612" s="30" t="s">
        <v>18</v>
      </c>
      <c r="S1612" s="40">
        <f>(VLOOKUP(P1612,'[1]BOM Info General'!$A:$L,12,0))*Q1612</f>
        <v>21.2</v>
      </c>
      <c r="T1612" s="31" t="s">
        <v>24</v>
      </c>
      <c r="U1612" s="31">
        <v>1</v>
      </c>
      <c r="V1612" s="31" t="s">
        <v>25</v>
      </c>
      <c r="W1612" s="17">
        <f>(VLOOKUP(T1612,'[1]Simulation pricing per sub assy'!$D:$E,2,0))*U1612</f>
        <v>6.44</v>
      </c>
      <c r="X1612" s="32" t="s">
        <v>616</v>
      </c>
      <c r="Y1612" s="32">
        <v>1</v>
      </c>
      <c r="Z1612" s="32" t="s">
        <v>23</v>
      </c>
      <c r="AA1612" s="18">
        <f>(VLOOKUP(X1612,'[1]Simulation pricing per sub assy'!$D:$E,2,0))*Y1612</f>
        <v>4.4802908000000006</v>
      </c>
    </row>
    <row r="1613" spans="1:27" x14ac:dyDescent="0.35">
      <c r="A1613" s="27" t="s">
        <v>2695</v>
      </c>
      <c r="B1613" s="27" t="s">
        <v>4650</v>
      </c>
      <c r="C1613" s="42">
        <f t="shared" si="25"/>
        <v>283.58669080000004</v>
      </c>
      <c r="D1613" s="28" t="s">
        <v>3540</v>
      </c>
      <c r="E1613" s="28">
        <v>2</v>
      </c>
      <c r="F1613" s="28" t="s">
        <v>3981</v>
      </c>
      <c r="G1613" s="14">
        <f>(VLOOKUP(D1613,'[1]BOM Info General'!$A:$L,12,0))*E1613</f>
        <v>130.12</v>
      </c>
      <c r="H1613" s="29" t="s">
        <v>40</v>
      </c>
      <c r="I1613" s="29">
        <v>1</v>
      </c>
      <c r="J1613" s="29" t="s">
        <v>45</v>
      </c>
      <c r="K1613" s="15">
        <f>(VLOOKUP(H1613,'[1]BOM Info General'!$A:$L,12,0))*I1613</f>
        <v>25.59</v>
      </c>
      <c r="L1613" s="26" t="s">
        <v>67</v>
      </c>
      <c r="M1613" s="26">
        <v>1</v>
      </c>
      <c r="N1613" s="26" t="s">
        <v>64</v>
      </c>
      <c r="O1613" s="9">
        <f>(VLOOKUP(L1613,'[1]Simulation pricing per sub assy'!$D:$E,2,0))*M1613</f>
        <v>95.756400000000042</v>
      </c>
      <c r="P1613" s="30" t="s">
        <v>52</v>
      </c>
      <c r="Q1613" s="30">
        <v>8</v>
      </c>
      <c r="R1613" s="30" t="s">
        <v>18</v>
      </c>
      <c r="S1613" s="40">
        <f>(VLOOKUP(P1613,'[1]BOM Info General'!$A:$L,12,0))*Q1613</f>
        <v>21.2</v>
      </c>
      <c r="T1613" s="31" t="s">
        <v>24</v>
      </c>
      <c r="U1613" s="31">
        <v>1</v>
      </c>
      <c r="V1613" s="31" t="s">
        <v>25</v>
      </c>
      <c r="W1613" s="17">
        <f>(VLOOKUP(T1613,'[1]Simulation pricing per sub assy'!$D:$E,2,0))*U1613</f>
        <v>6.44</v>
      </c>
      <c r="X1613" s="32" t="s">
        <v>616</v>
      </c>
      <c r="Y1613" s="32">
        <v>1</v>
      </c>
      <c r="Z1613" s="32" t="s">
        <v>23</v>
      </c>
      <c r="AA1613" s="18">
        <f>(VLOOKUP(X1613,'[1]Simulation pricing per sub assy'!$D:$E,2,0))*Y1613</f>
        <v>4.4802908000000006</v>
      </c>
    </row>
    <row r="1614" spans="1:27" x14ac:dyDescent="0.35">
      <c r="A1614" s="27" t="s">
        <v>2696</v>
      </c>
      <c r="B1614" s="27" t="s">
        <v>4651</v>
      </c>
      <c r="C1614" s="42">
        <f t="shared" si="25"/>
        <v>283.58669080000004</v>
      </c>
      <c r="D1614" s="28" t="s">
        <v>3540</v>
      </c>
      <c r="E1614" s="28">
        <v>2</v>
      </c>
      <c r="F1614" s="28" t="s">
        <v>3981</v>
      </c>
      <c r="G1614" s="14">
        <f>(VLOOKUP(D1614,'[1]BOM Info General'!$A:$L,12,0))*E1614</f>
        <v>130.12</v>
      </c>
      <c r="H1614" s="29" t="s">
        <v>40</v>
      </c>
      <c r="I1614" s="29">
        <v>1</v>
      </c>
      <c r="J1614" s="29" t="s">
        <v>45</v>
      </c>
      <c r="K1614" s="15">
        <f>(VLOOKUP(H1614,'[1]BOM Info General'!$A:$L,12,0))*I1614</f>
        <v>25.59</v>
      </c>
      <c r="L1614" s="26" t="s">
        <v>63</v>
      </c>
      <c r="M1614" s="26">
        <v>1</v>
      </c>
      <c r="N1614" s="26" t="s">
        <v>62</v>
      </c>
      <c r="O1614" s="9">
        <f>(VLOOKUP(L1614,'[1]Simulation pricing per sub assy'!$D:$E,2,0))*M1614</f>
        <v>95.756400000000042</v>
      </c>
      <c r="P1614" s="30" t="s">
        <v>52</v>
      </c>
      <c r="Q1614" s="30">
        <v>8</v>
      </c>
      <c r="R1614" s="30" t="s">
        <v>18</v>
      </c>
      <c r="S1614" s="40">
        <f>(VLOOKUP(P1614,'[1]BOM Info General'!$A:$L,12,0))*Q1614</f>
        <v>21.2</v>
      </c>
      <c r="T1614" s="31" t="s">
        <v>24</v>
      </c>
      <c r="U1614" s="31">
        <v>1</v>
      </c>
      <c r="V1614" s="31" t="s">
        <v>25</v>
      </c>
      <c r="W1614" s="17">
        <f>(VLOOKUP(T1614,'[1]Simulation pricing per sub assy'!$D:$E,2,0))*U1614</f>
        <v>6.44</v>
      </c>
      <c r="X1614" s="32" t="s">
        <v>616</v>
      </c>
      <c r="Y1614" s="32">
        <v>1</v>
      </c>
      <c r="Z1614" s="32" t="s">
        <v>23</v>
      </c>
      <c r="AA1614" s="18">
        <f>(VLOOKUP(X1614,'[1]Simulation pricing per sub assy'!$D:$E,2,0))*Y1614</f>
        <v>4.4802908000000006</v>
      </c>
    </row>
    <row r="1615" spans="1:27" x14ac:dyDescent="0.35">
      <c r="A1615" s="27" t="s">
        <v>2697</v>
      </c>
      <c r="B1615" s="27" t="s">
        <v>4652</v>
      </c>
      <c r="C1615" s="42">
        <f t="shared" si="25"/>
        <v>283.03669080000003</v>
      </c>
      <c r="D1615" s="28" t="s">
        <v>3540</v>
      </c>
      <c r="E1615" s="28">
        <v>2</v>
      </c>
      <c r="F1615" s="28" t="s">
        <v>3981</v>
      </c>
      <c r="G1615" s="14">
        <f>(VLOOKUP(D1615,'[1]BOM Info General'!$A:$L,12,0))*E1615</f>
        <v>130.12</v>
      </c>
      <c r="H1615" s="29" t="s">
        <v>40</v>
      </c>
      <c r="I1615" s="29">
        <v>1</v>
      </c>
      <c r="J1615" s="29" t="s">
        <v>45</v>
      </c>
      <c r="K1615" s="15">
        <f>(VLOOKUP(H1615,'[1]BOM Info General'!$A:$L,12,0))*I1615</f>
        <v>25.59</v>
      </c>
      <c r="L1615" s="26" t="s">
        <v>69</v>
      </c>
      <c r="M1615" s="26">
        <v>1</v>
      </c>
      <c r="N1615" s="26" t="s">
        <v>66</v>
      </c>
      <c r="O1615" s="9">
        <f>(VLOOKUP(L1615,'[1]Simulation pricing per sub assy'!$D:$E,2,0))*M1615</f>
        <v>95.206400000000031</v>
      </c>
      <c r="P1615" s="30" t="s">
        <v>52</v>
      </c>
      <c r="Q1615" s="30">
        <v>8</v>
      </c>
      <c r="R1615" s="30" t="s">
        <v>18</v>
      </c>
      <c r="S1615" s="40">
        <f>(VLOOKUP(P1615,'[1]BOM Info General'!$A:$L,12,0))*Q1615</f>
        <v>21.2</v>
      </c>
      <c r="T1615" s="31" t="s">
        <v>24</v>
      </c>
      <c r="U1615" s="31">
        <v>1</v>
      </c>
      <c r="V1615" s="31" t="s">
        <v>25</v>
      </c>
      <c r="W1615" s="17">
        <f>(VLOOKUP(T1615,'[1]Simulation pricing per sub assy'!$D:$E,2,0))*U1615</f>
        <v>6.44</v>
      </c>
      <c r="X1615" s="32" t="s">
        <v>616</v>
      </c>
      <c r="Y1615" s="32">
        <v>1</v>
      </c>
      <c r="Z1615" s="32" t="s">
        <v>23</v>
      </c>
      <c r="AA1615" s="18">
        <f>(VLOOKUP(X1615,'[1]Simulation pricing per sub assy'!$D:$E,2,0))*Y1615</f>
        <v>4.4802908000000006</v>
      </c>
    </row>
    <row r="1616" spans="1:27" x14ac:dyDescent="0.35">
      <c r="A1616" s="27" t="s">
        <v>2698</v>
      </c>
      <c r="B1616" s="27" t="s">
        <v>4653</v>
      </c>
      <c r="C1616" s="42">
        <f t="shared" si="25"/>
        <v>290.99669080000001</v>
      </c>
      <c r="D1616" s="28" t="s">
        <v>3540</v>
      </c>
      <c r="E1616" s="28">
        <v>2</v>
      </c>
      <c r="F1616" s="28" t="s">
        <v>3981</v>
      </c>
      <c r="G1616" s="14">
        <f>(VLOOKUP(D1616,'[1]BOM Info General'!$A:$L,12,0))*E1616</f>
        <v>130.12</v>
      </c>
      <c r="H1616" s="29" t="s">
        <v>40</v>
      </c>
      <c r="I1616" s="29">
        <v>1</v>
      </c>
      <c r="J1616" s="29" t="s">
        <v>45</v>
      </c>
      <c r="K1616" s="15">
        <f>(VLOOKUP(H1616,'[1]BOM Info General'!$A:$L,12,0))*I1616</f>
        <v>25.59</v>
      </c>
      <c r="L1616" s="26" t="s">
        <v>65</v>
      </c>
      <c r="M1616" s="26">
        <v>1</v>
      </c>
      <c r="N1616" s="26" t="s">
        <v>68</v>
      </c>
      <c r="O1616" s="9">
        <f>(VLOOKUP(L1616,'[1]Simulation pricing per sub assy'!$D:$E,2,0))*M1616</f>
        <v>103.16640000000004</v>
      </c>
      <c r="P1616" s="30" t="s">
        <v>52</v>
      </c>
      <c r="Q1616" s="30">
        <v>8</v>
      </c>
      <c r="R1616" s="30" t="s">
        <v>18</v>
      </c>
      <c r="S1616" s="40">
        <f>(VLOOKUP(P1616,'[1]BOM Info General'!$A:$L,12,0))*Q1616</f>
        <v>21.2</v>
      </c>
      <c r="T1616" s="31" t="s">
        <v>24</v>
      </c>
      <c r="U1616" s="31">
        <v>1</v>
      </c>
      <c r="V1616" s="31" t="s">
        <v>25</v>
      </c>
      <c r="W1616" s="17">
        <f>(VLOOKUP(T1616,'[1]Simulation pricing per sub assy'!$D:$E,2,0))*U1616</f>
        <v>6.44</v>
      </c>
      <c r="X1616" s="32" t="s">
        <v>616</v>
      </c>
      <c r="Y1616" s="32">
        <v>1</v>
      </c>
      <c r="Z1616" s="32" t="s">
        <v>23</v>
      </c>
      <c r="AA1616" s="18">
        <f>(VLOOKUP(X1616,'[1]Simulation pricing per sub assy'!$D:$E,2,0))*Y1616</f>
        <v>4.4802908000000006</v>
      </c>
    </row>
    <row r="1617" spans="1:27" x14ac:dyDescent="0.35">
      <c r="A1617" s="27" t="s">
        <v>2699</v>
      </c>
      <c r="B1617" s="27" t="s">
        <v>4654</v>
      </c>
      <c r="C1617" s="42">
        <f t="shared" si="25"/>
        <v>283.08669080000004</v>
      </c>
      <c r="D1617" s="28" t="s">
        <v>3540</v>
      </c>
      <c r="E1617" s="28">
        <v>2</v>
      </c>
      <c r="F1617" s="28" t="s">
        <v>3981</v>
      </c>
      <c r="G1617" s="14">
        <f>(VLOOKUP(D1617,'[1]BOM Info General'!$A:$L,12,0))*E1617</f>
        <v>130.12</v>
      </c>
      <c r="H1617" s="29" t="s">
        <v>40</v>
      </c>
      <c r="I1617" s="29">
        <v>1</v>
      </c>
      <c r="J1617" s="29" t="s">
        <v>45</v>
      </c>
      <c r="K1617" s="15">
        <f>(VLOOKUP(H1617,'[1]BOM Info General'!$A:$L,12,0))*I1617</f>
        <v>25.59</v>
      </c>
      <c r="L1617" s="26" t="s">
        <v>524</v>
      </c>
      <c r="M1617" s="26">
        <v>1</v>
      </c>
      <c r="N1617" s="26" t="s">
        <v>70</v>
      </c>
      <c r="O1617" s="9">
        <f>(VLOOKUP(L1617,'[1]Simulation pricing per sub assy'!$D:$E,2,0))*M1617</f>
        <v>94.656400000000033</v>
      </c>
      <c r="P1617" s="30" t="s">
        <v>52</v>
      </c>
      <c r="Q1617" s="30">
        <v>8</v>
      </c>
      <c r="R1617" s="30" t="s">
        <v>18</v>
      </c>
      <c r="S1617" s="40">
        <f>(VLOOKUP(P1617,'[1]BOM Info General'!$A:$L,12,0))*Q1617</f>
        <v>21.2</v>
      </c>
      <c r="T1617" s="31" t="s">
        <v>26</v>
      </c>
      <c r="U1617" s="31">
        <v>1</v>
      </c>
      <c r="V1617" s="31" t="s">
        <v>27</v>
      </c>
      <c r="W1617" s="17">
        <f>(VLOOKUP(T1617,'[1]Simulation pricing per sub assy'!$D:$E,2,0))*U1617</f>
        <v>7.04</v>
      </c>
      <c r="X1617" s="32" t="s">
        <v>616</v>
      </c>
      <c r="Y1617" s="32">
        <v>1</v>
      </c>
      <c r="Z1617" s="32" t="s">
        <v>23</v>
      </c>
      <c r="AA1617" s="18">
        <f>(VLOOKUP(X1617,'[1]Simulation pricing per sub assy'!$D:$E,2,0))*Y1617</f>
        <v>4.4802908000000006</v>
      </c>
    </row>
    <row r="1618" spans="1:27" x14ac:dyDescent="0.35">
      <c r="A1618" s="27" t="s">
        <v>2700</v>
      </c>
      <c r="B1618" s="27" t="s">
        <v>4655</v>
      </c>
      <c r="C1618" s="42">
        <f t="shared" si="25"/>
        <v>284.18669080000006</v>
      </c>
      <c r="D1618" s="28" t="s">
        <v>3540</v>
      </c>
      <c r="E1618" s="28">
        <v>2</v>
      </c>
      <c r="F1618" s="28" t="s">
        <v>3981</v>
      </c>
      <c r="G1618" s="14">
        <f>(VLOOKUP(D1618,'[1]BOM Info General'!$A:$L,12,0))*E1618</f>
        <v>130.12</v>
      </c>
      <c r="H1618" s="29" t="s">
        <v>40</v>
      </c>
      <c r="I1618" s="29">
        <v>1</v>
      </c>
      <c r="J1618" s="29" t="s">
        <v>45</v>
      </c>
      <c r="K1618" s="15">
        <f>(VLOOKUP(H1618,'[1]BOM Info General'!$A:$L,12,0))*I1618</f>
        <v>25.59</v>
      </c>
      <c r="L1618" s="26" t="s">
        <v>67</v>
      </c>
      <c r="M1618" s="26">
        <v>1</v>
      </c>
      <c r="N1618" s="26" t="s">
        <v>64</v>
      </c>
      <c r="O1618" s="9">
        <f>(VLOOKUP(L1618,'[1]Simulation pricing per sub assy'!$D:$E,2,0))*M1618</f>
        <v>95.756400000000042</v>
      </c>
      <c r="P1618" s="30" t="s">
        <v>52</v>
      </c>
      <c r="Q1618" s="30">
        <v>8</v>
      </c>
      <c r="R1618" s="30" t="s">
        <v>18</v>
      </c>
      <c r="S1618" s="40">
        <f>(VLOOKUP(P1618,'[1]BOM Info General'!$A:$L,12,0))*Q1618</f>
        <v>21.2</v>
      </c>
      <c r="T1618" s="31" t="s">
        <v>26</v>
      </c>
      <c r="U1618" s="31">
        <v>1</v>
      </c>
      <c r="V1618" s="31" t="s">
        <v>27</v>
      </c>
      <c r="W1618" s="17">
        <f>(VLOOKUP(T1618,'[1]Simulation pricing per sub assy'!$D:$E,2,0))*U1618</f>
        <v>7.04</v>
      </c>
      <c r="X1618" s="32" t="s">
        <v>616</v>
      </c>
      <c r="Y1618" s="32">
        <v>1</v>
      </c>
      <c r="Z1618" s="32" t="s">
        <v>23</v>
      </c>
      <c r="AA1618" s="18">
        <f>(VLOOKUP(X1618,'[1]Simulation pricing per sub assy'!$D:$E,2,0))*Y1618</f>
        <v>4.4802908000000006</v>
      </c>
    </row>
    <row r="1619" spans="1:27" x14ac:dyDescent="0.35">
      <c r="A1619" s="27" t="s">
        <v>2701</v>
      </c>
      <c r="B1619" s="27" t="s">
        <v>4656</v>
      </c>
      <c r="C1619" s="42">
        <f t="shared" si="25"/>
        <v>284.18669080000006</v>
      </c>
      <c r="D1619" s="28" t="s">
        <v>3540</v>
      </c>
      <c r="E1619" s="28">
        <v>2</v>
      </c>
      <c r="F1619" s="28" t="s">
        <v>3981</v>
      </c>
      <c r="G1619" s="14">
        <f>(VLOOKUP(D1619,'[1]BOM Info General'!$A:$L,12,0))*E1619</f>
        <v>130.12</v>
      </c>
      <c r="H1619" s="29" t="s">
        <v>40</v>
      </c>
      <c r="I1619" s="29">
        <v>1</v>
      </c>
      <c r="J1619" s="29" t="s">
        <v>45</v>
      </c>
      <c r="K1619" s="15">
        <f>(VLOOKUP(H1619,'[1]BOM Info General'!$A:$L,12,0))*I1619</f>
        <v>25.59</v>
      </c>
      <c r="L1619" s="26" t="s">
        <v>63</v>
      </c>
      <c r="M1619" s="26">
        <v>1</v>
      </c>
      <c r="N1619" s="26" t="s">
        <v>62</v>
      </c>
      <c r="O1619" s="9">
        <f>(VLOOKUP(L1619,'[1]Simulation pricing per sub assy'!$D:$E,2,0))*M1619</f>
        <v>95.756400000000042</v>
      </c>
      <c r="P1619" s="30" t="s">
        <v>52</v>
      </c>
      <c r="Q1619" s="30">
        <v>8</v>
      </c>
      <c r="R1619" s="30" t="s">
        <v>18</v>
      </c>
      <c r="S1619" s="40">
        <f>(VLOOKUP(P1619,'[1]BOM Info General'!$A:$L,12,0))*Q1619</f>
        <v>21.2</v>
      </c>
      <c r="T1619" s="31" t="s">
        <v>26</v>
      </c>
      <c r="U1619" s="31">
        <v>1</v>
      </c>
      <c r="V1619" s="31" t="s">
        <v>27</v>
      </c>
      <c r="W1619" s="17">
        <f>(VLOOKUP(T1619,'[1]Simulation pricing per sub assy'!$D:$E,2,0))*U1619</f>
        <v>7.04</v>
      </c>
      <c r="X1619" s="32" t="s">
        <v>616</v>
      </c>
      <c r="Y1619" s="32">
        <v>1</v>
      </c>
      <c r="Z1619" s="32" t="s">
        <v>23</v>
      </c>
      <c r="AA1619" s="18">
        <f>(VLOOKUP(X1619,'[1]Simulation pricing per sub assy'!$D:$E,2,0))*Y1619</f>
        <v>4.4802908000000006</v>
      </c>
    </row>
    <row r="1620" spans="1:27" x14ac:dyDescent="0.35">
      <c r="A1620" s="27" t="s">
        <v>2702</v>
      </c>
      <c r="B1620" s="27" t="s">
        <v>4657</v>
      </c>
      <c r="C1620" s="42">
        <f t="shared" si="25"/>
        <v>283.63669080000005</v>
      </c>
      <c r="D1620" s="28" t="s">
        <v>3540</v>
      </c>
      <c r="E1620" s="28">
        <v>2</v>
      </c>
      <c r="F1620" s="28" t="s">
        <v>3981</v>
      </c>
      <c r="G1620" s="14">
        <f>(VLOOKUP(D1620,'[1]BOM Info General'!$A:$L,12,0))*E1620</f>
        <v>130.12</v>
      </c>
      <c r="H1620" s="29" t="s">
        <v>40</v>
      </c>
      <c r="I1620" s="29">
        <v>1</v>
      </c>
      <c r="J1620" s="29" t="s">
        <v>45</v>
      </c>
      <c r="K1620" s="15">
        <f>(VLOOKUP(H1620,'[1]BOM Info General'!$A:$L,12,0))*I1620</f>
        <v>25.59</v>
      </c>
      <c r="L1620" s="26" t="s">
        <v>69</v>
      </c>
      <c r="M1620" s="26">
        <v>1</v>
      </c>
      <c r="N1620" s="26" t="s">
        <v>66</v>
      </c>
      <c r="O1620" s="9">
        <f>(VLOOKUP(L1620,'[1]Simulation pricing per sub assy'!$D:$E,2,0))*M1620</f>
        <v>95.206400000000031</v>
      </c>
      <c r="P1620" s="30" t="s">
        <v>52</v>
      </c>
      <c r="Q1620" s="30">
        <v>8</v>
      </c>
      <c r="R1620" s="30" t="s">
        <v>18</v>
      </c>
      <c r="S1620" s="40">
        <f>(VLOOKUP(P1620,'[1]BOM Info General'!$A:$L,12,0))*Q1620</f>
        <v>21.2</v>
      </c>
      <c r="T1620" s="31" t="s">
        <v>26</v>
      </c>
      <c r="U1620" s="31">
        <v>1</v>
      </c>
      <c r="V1620" s="31" t="s">
        <v>27</v>
      </c>
      <c r="W1620" s="17">
        <f>(VLOOKUP(T1620,'[1]Simulation pricing per sub assy'!$D:$E,2,0))*U1620</f>
        <v>7.04</v>
      </c>
      <c r="X1620" s="32" t="s">
        <v>616</v>
      </c>
      <c r="Y1620" s="32">
        <v>1</v>
      </c>
      <c r="Z1620" s="32" t="s">
        <v>23</v>
      </c>
      <c r="AA1620" s="18">
        <f>(VLOOKUP(X1620,'[1]Simulation pricing per sub assy'!$D:$E,2,0))*Y1620</f>
        <v>4.4802908000000006</v>
      </c>
    </row>
    <row r="1621" spans="1:27" x14ac:dyDescent="0.35">
      <c r="A1621" s="27" t="s">
        <v>2703</v>
      </c>
      <c r="B1621" s="27" t="s">
        <v>4658</v>
      </c>
      <c r="C1621" s="42">
        <f t="shared" si="25"/>
        <v>291.59669080000003</v>
      </c>
      <c r="D1621" s="28" t="s">
        <v>3540</v>
      </c>
      <c r="E1621" s="28">
        <v>2</v>
      </c>
      <c r="F1621" s="28" t="s">
        <v>3981</v>
      </c>
      <c r="G1621" s="14">
        <f>(VLOOKUP(D1621,'[1]BOM Info General'!$A:$L,12,0))*E1621</f>
        <v>130.12</v>
      </c>
      <c r="H1621" s="29" t="s">
        <v>40</v>
      </c>
      <c r="I1621" s="29">
        <v>1</v>
      </c>
      <c r="J1621" s="29" t="s">
        <v>45</v>
      </c>
      <c r="K1621" s="15">
        <f>(VLOOKUP(H1621,'[1]BOM Info General'!$A:$L,12,0))*I1621</f>
        <v>25.59</v>
      </c>
      <c r="L1621" s="26" t="s">
        <v>65</v>
      </c>
      <c r="M1621" s="26">
        <v>1</v>
      </c>
      <c r="N1621" s="26" t="s">
        <v>68</v>
      </c>
      <c r="O1621" s="9">
        <f>(VLOOKUP(L1621,'[1]Simulation pricing per sub assy'!$D:$E,2,0))*M1621</f>
        <v>103.16640000000004</v>
      </c>
      <c r="P1621" s="30" t="s">
        <v>52</v>
      </c>
      <c r="Q1621" s="30">
        <v>8</v>
      </c>
      <c r="R1621" s="30" t="s">
        <v>18</v>
      </c>
      <c r="S1621" s="40">
        <f>(VLOOKUP(P1621,'[1]BOM Info General'!$A:$L,12,0))*Q1621</f>
        <v>21.2</v>
      </c>
      <c r="T1621" s="31" t="s">
        <v>26</v>
      </c>
      <c r="U1621" s="31">
        <v>1</v>
      </c>
      <c r="V1621" s="31" t="s">
        <v>27</v>
      </c>
      <c r="W1621" s="17">
        <f>(VLOOKUP(T1621,'[1]Simulation pricing per sub assy'!$D:$E,2,0))*U1621</f>
        <v>7.04</v>
      </c>
      <c r="X1621" s="32" t="s">
        <v>616</v>
      </c>
      <c r="Y1621" s="32">
        <v>1</v>
      </c>
      <c r="Z1621" s="32" t="s">
        <v>23</v>
      </c>
      <c r="AA1621" s="18">
        <f>(VLOOKUP(X1621,'[1]Simulation pricing per sub assy'!$D:$E,2,0))*Y1621</f>
        <v>4.4802908000000006</v>
      </c>
    </row>
    <row r="1622" spans="1:27" x14ac:dyDescent="0.35">
      <c r="A1622" s="27" t="s">
        <v>2704</v>
      </c>
      <c r="B1622" s="27" t="s">
        <v>4659</v>
      </c>
      <c r="C1622" s="42">
        <f t="shared" si="25"/>
        <v>283.04669080000002</v>
      </c>
      <c r="D1622" s="28" t="s">
        <v>3540</v>
      </c>
      <c r="E1622" s="28">
        <v>2</v>
      </c>
      <c r="F1622" s="28" t="s">
        <v>3981</v>
      </c>
      <c r="G1622" s="14">
        <f>(VLOOKUP(D1622,'[1]BOM Info General'!$A:$L,12,0))*E1622</f>
        <v>130.12</v>
      </c>
      <c r="H1622" s="29" t="s">
        <v>40</v>
      </c>
      <c r="I1622" s="29">
        <v>1</v>
      </c>
      <c r="J1622" s="29" t="s">
        <v>45</v>
      </c>
      <c r="K1622" s="15">
        <f>(VLOOKUP(H1622,'[1]BOM Info General'!$A:$L,12,0))*I1622</f>
        <v>25.59</v>
      </c>
      <c r="L1622" s="26" t="s">
        <v>524</v>
      </c>
      <c r="M1622" s="26">
        <v>1</v>
      </c>
      <c r="N1622" s="26" t="s">
        <v>70</v>
      </c>
      <c r="O1622" s="9">
        <f>(VLOOKUP(L1622,'[1]Simulation pricing per sub assy'!$D:$E,2,0))*M1622</f>
        <v>94.656400000000033</v>
      </c>
      <c r="P1622" s="30" t="s">
        <v>52</v>
      </c>
      <c r="Q1622" s="30">
        <v>8</v>
      </c>
      <c r="R1622" s="30" t="s">
        <v>18</v>
      </c>
      <c r="S1622" s="40">
        <f>(VLOOKUP(P1622,'[1]BOM Info General'!$A:$L,12,0))*Q1622</f>
        <v>21.2</v>
      </c>
      <c r="T1622" s="31" t="s">
        <v>28</v>
      </c>
      <c r="U1622" s="31">
        <v>1</v>
      </c>
      <c r="V1622" s="31" t="s">
        <v>29</v>
      </c>
      <c r="W1622" s="17">
        <f>(VLOOKUP(T1622,'[1]Simulation pricing per sub assy'!$D:$E,2,0))*U1622</f>
        <v>7</v>
      </c>
      <c r="X1622" s="32" t="s">
        <v>616</v>
      </c>
      <c r="Y1622" s="32">
        <v>1</v>
      </c>
      <c r="Z1622" s="32" t="s">
        <v>23</v>
      </c>
      <c r="AA1622" s="18">
        <f>(VLOOKUP(X1622,'[1]Simulation pricing per sub assy'!$D:$E,2,0))*Y1622</f>
        <v>4.4802908000000006</v>
      </c>
    </row>
    <row r="1623" spans="1:27" x14ac:dyDescent="0.35">
      <c r="A1623" s="27" t="s">
        <v>2705</v>
      </c>
      <c r="B1623" s="27" t="s">
        <v>4660</v>
      </c>
      <c r="C1623" s="42">
        <f t="shared" si="25"/>
        <v>284.14669080000004</v>
      </c>
      <c r="D1623" s="28" t="s">
        <v>3540</v>
      </c>
      <c r="E1623" s="28">
        <v>2</v>
      </c>
      <c r="F1623" s="28" t="s">
        <v>3981</v>
      </c>
      <c r="G1623" s="14">
        <f>(VLOOKUP(D1623,'[1]BOM Info General'!$A:$L,12,0))*E1623</f>
        <v>130.12</v>
      </c>
      <c r="H1623" s="29" t="s">
        <v>40</v>
      </c>
      <c r="I1623" s="29">
        <v>1</v>
      </c>
      <c r="J1623" s="29" t="s">
        <v>45</v>
      </c>
      <c r="K1623" s="15">
        <f>(VLOOKUP(H1623,'[1]BOM Info General'!$A:$L,12,0))*I1623</f>
        <v>25.59</v>
      </c>
      <c r="L1623" s="26" t="s">
        <v>67</v>
      </c>
      <c r="M1623" s="26">
        <v>1</v>
      </c>
      <c r="N1623" s="26" t="s">
        <v>64</v>
      </c>
      <c r="O1623" s="9">
        <f>(VLOOKUP(L1623,'[1]Simulation pricing per sub assy'!$D:$E,2,0))*M1623</f>
        <v>95.756400000000042</v>
      </c>
      <c r="P1623" s="30" t="s">
        <v>52</v>
      </c>
      <c r="Q1623" s="30">
        <v>8</v>
      </c>
      <c r="R1623" s="30" t="s">
        <v>18</v>
      </c>
      <c r="S1623" s="40">
        <f>(VLOOKUP(P1623,'[1]BOM Info General'!$A:$L,12,0))*Q1623</f>
        <v>21.2</v>
      </c>
      <c r="T1623" s="31" t="s">
        <v>28</v>
      </c>
      <c r="U1623" s="31">
        <v>1</v>
      </c>
      <c r="V1623" s="31" t="s">
        <v>29</v>
      </c>
      <c r="W1623" s="17">
        <f>(VLOOKUP(T1623,'[1]Simulation pricing per sub assy'!$D:$E,2,0))*U1623</f>
        <v>7</v>
      </c>
      <c r="X1623" s="32" t="s">
        <v>616</v>
      </c>
      <c r="Y1623" s="32">
        <v>1</v>
      </c>
      <c r="Z1623" s="32" t="s">
        <v>23</v>
      </c>
      <c r="AA1623" s="18">
        <f>(VLOOKUP(X1623,'[1]Simulation pricing per sub assy'!$D:$E,2,0))*Y1623</f>
        <v>4.4802908000000006</v>
      </c>
    </row>
    <row r="1624" spans="1:27" x14ac:dyDescent="0.35">
      <c r="A1624" s="27" t="s">
        <v>2706</v>
      </c>
      <c r="B1624" s="27" t="s">
        <v>4661</v>
      </c>
      <c r="C1624" s="42">
        <f t="shared" si="25"/>
        <v>284.14669080000004</v>
      </c>
      <c r="D1624" s="28" t="s">
        <v>3540</v>
      </c>
      <c r="E1624" s="28">
        <v>2</v>
      </c>
      <c r="F1624" s="28" t="s">
        <v>3981</v>
      </c>
      <c r="G1624" s="14">
        <f>(VLOOKUP(D1624,'[1]BOM Info General'!$A:$L,12,0))*E1624</f>
        <v>130.12</v>
      </c>
      <c r="H1624" s="29" t="s">
        <v>40</v>
      </c>
      <c r="I1624" s="29">
        <v>1</v>
      </c>
      <c r="J1624" s="29" t="s">
        <v>45</v>
      </c>
      <c r="K1624" s="15">
        <f>(VLOOKUP(H1624,'[1]BOM Info General'!$A:$L,12,0))*I1624</f>
        <v>25.59</v>
      </c>
      <c r="L1624" s="26" t="s">
        <v>63</v>
      </c>
      <c r="M1624" s="26">
        <v>1</v>
      </c>
      <c r="N1624" s="26" t="s">
        <v>62</v>
      </c>
      <c r="O1624" s="9">
        <f>(VLOOKUP(L1624,'[1]Simulation pricing per sub assy'!$D:$E,2,0))*M1624</f>
        <v>95.756400000000042</v>
      </c>
      <c r="P1624" s="30" t="s">
        <v>52</v>
      </c>
      <c r="Q1624" s="30">
        <v>8</v>
      </c>
      <c r="R1624" s="30" t="s">
        <v>18</v>
      </c>
      <c r="S1624" s="40">
        <f>(VLOOKUP(P1624,'[1]BOM Info General'!$A:$L,12,0))*Q1624</f>
        <v>21.2</v>
      </c>
      <c r="T1624" s="31" t="s">
        <v>28</v>
      </c>
      <c r="U1624" s="31">
        <v>1</v>
      </c>
      <c r="V1624" s="31" t="s">
        <v>29</v>
      </c>
      <c r="W1624" s="17">
        <f>(VLOOKUP(T1624,'[1]Simulation pricing per sub assy'!$D:$E,2,0))*U1624</f>
        <v>7</v>
      </c>
      <c r="X1624" s="32" t="s">
        <v>616</v>
      </c>
      <c r="Y1624" s="32">
        <v>1</v>
      </c>
      <c r="Z1624" s="32" t="s">
        <v>23</v>
      </c>
      <c r="AA1624" s="18">
        <f>(VLOOKUP(X1624,'[1]Simulation pricing per sub assy'!$D:$E,2,0))*Y1624</f>
        <v>4.4802908000000006</v>
      </c>
    </row>
    <row r="1625" spans="1:27" x14ac:dyDescent="0.35">
      <c r="A1625" s="27" t="s">
        <v>2707</v>
      </c>
      <c r="B1625" s="27" t="s">
        <v>4662</v>
      </c>
      <c r="C1625" s="42">
        <f t="shared" si="25"/>
        <v>283.59669080000003</v>
      </c>
      <c r="D1625" s="28" t="s">
        <v>3540</v>
      </c>
      <c r="E1625" s="28">
        <v>2</v>
      </c>
      <c r="F1625" s="28" t="s">
        <v>3981</v>
      </c>
      <c r="G1625" s="14">
        <f>(VLOOKUP(D1625,'[1]BOM Info General'!$A:$L,12,0))*E1625</f>
        <v>130.12</v>
      </c>
      <c r="H1625" s="29" t="s">
        <v>40</v>
      </c>
      <c r="I1625" s="29">
        <v>1</v>
      </c>
      <c r="J1625" s="29" t="s">
        <v>45</v>
      </c>
      <c r="K1625" s="15">
        <f>(VLOOKUP(H1625,'[1]BOM Info General'!$A:$L,12,0))*I1625</f>
        <v>25.59</v>
      </c>
      <c r="L1625" s="26" t="s">
        <v>69</v>
      </c>
      <c r="M1625" s="26">
        <v>1</v>
      </c>
      <c r="N1625" s="26" t="s">
        <v>66</v>
      </c>
      <c r="O1625" s="9">
        <f>(VLOOKUP(L1625,'[1]Simulation pricing per sub assy'!$D:$E,2,0))*M1625</f>
        <v>95.206400000000031</v>
      </c>
      <c r="P1625" s="30" t="s">
        <v>52</v>
      </c>
      <c r="Q1625" s="30">
        <v>8</v>
      </c>
      <c r="R1625" s="30" t="s">
        <v>18</v>
      </c>
      <c r="S1625" s="40">
        <f>(VLOOKUP(P1625,'[1]BOM Info General'!$A:$L,12,0))*Q1625</f>
        <v>21.2</v>
      </c>
      <c r="T1625" s="31" t="s">
        <v>28</v>
      </c>
      <c r="U1625" s="31">
        <v>1</v>
      </c>
      <c r="V1625" s="31" t="s">
        <v>29</v>
      </c>
      <c r="W1625" s="17">
        <f>(VLOOKUP(T1625,'[1]Simulation pricing per sub assy'!$D:$E,2,0))*U1625</f>
        <v>7</v>
      </c>
      <c r="X1625" s="32" t="s">
        <v>616</v>
      </c>
      <c r="Y1625" s="32">
        <v>1</v>
      </c>
      <c r="Z1625" s="32" t="s">
        <v>23</v>
      </c>
      <c r="AA1625" s="18">
        <f>(VLOOKUP(X1625,'[1]Simulation pricing per sub assy'!$D:$E,2,0))*Y1625</f>
        <v>4.4802908000000006</v>
      </c>
    </row>
    <row r="1626" spans="1:27" x14ac:dyDescent="0.35">
      <c r="A1626" s="27" t="s">
        <v>2708</v>
      </c>
      <c r="B1626" s="27" t="s">
        <v>4663</v>
      </c>
      <c r="C1626" s="42">
        <f t="shared" si="25"/>
        <v>291.55669080000001</v>
      </c>
      <c r="D1626" s="28" t="s">
        <v>3540</v>
      </c>
      <c r="E1626" s="28">
        <v>2</v>
      </c>
      <c r="F1626" s="28" t="s">
        <v>3981</v>
      </c>
      <c r="G1626" s="14">
        <f>(VLOOKUP(D1626,'[1]BOM Info General'!$A:$L,12,0))*E1626</f>
        <v>130.12</v>
      </c>
      <c r="H1626" s="29" t="s">
        <v>40</v>
      </c>
      <c r="I1626" s="29">
        <v>1</v>
      </c>
      <c r="J1626" s="29" t="s">
        <v>45</v>
      </c>
      <c r="K1626" s="15">
        <f>(VLOOKUP(H1626,'[1]BOM Info General'!$A:$L,12,0))*I1626</f>
        <v>25.59</v>
      </c>
      <c r="L1626" s="26" t="s">
        <v>65</v>
      </c>
      <c r="M1626" s="26">
        <v>1</v>
      </c>
      <c r="N1626" s="26" t="s">
        <v>68</v>
      </c>
      <c r="O1626" s="9">
        <f>(VLOOKUP(L1626,'[1]Simulation pricing per sub assy'!$D:$E,2,0))*M1626</f>
        <v>103.16640000000004</v>
      </c>
      <c r="P1626" s="30" t="s">
        <v>52</v>
      </c>
      <c r="Q1626" s="30">
        <v>8</v>
      </c>
      <c r="R1626" s="30" t="s">
        <v>18</v>
      </c>
      <c r="S1626" s="40">
        <f>(VLOOKUP(P1626,'[1]BOM Info General'!$A:$L,12,0))*Q1626</f>
        <v>21.2</v>
      </c>
      <c r="T1626" s="31" t="s">
        <v>28</v>
      </c>
      <c r="U1626" s="31">
        <v>1</v>
      </c>
      <c r="V1626" s="31" t="s">
        <v>29</v>
      </c>
      <c r="W1626" s="17">
        <f>(VLOOKUP(T1626,'[1]Simulation pricing per sub assy'!$D:$E,2,0))*U1626</f>
        <v>7</v>
      </c>
      <c r="X1626" s="32" t="s">
        <v>616</v>
      </c>
      <c r="Y1626" s="32">
        <v>1</v>
      </c>
      <c r="Z1626" s="32" t="s">
        <v>23</v>
      </c>
      <c r="AA1626" s="18">
        <f>(VLOOKUP(X1626,'[1]Simulation pricing per sub assy'!$D:$E,2,0))*Y1626</f>
        <v>4.4802908000000006</v>
      </c>
    </row>
    <row r="1627" spans="1:27" x14ac:dyDescent="0.35">
      <c r="A1627" s="27" t="s">
        <v>2709</v>
      </c>
      <c r="B1627" s="27" t="s">
        <v>4664</v>
      </c>
      <c r="C1627" s="42">
        <f t="shared" si="25"/>
        <v>284.60669080000002</v>
      </c>
      <c r="D1627" s="28" t="s">
        <v>3540</v>
      </c>
      <c r="E1627" s="28">
        <v>2</v>
      </c>
      <c r="F1627" s="28" t="s">
        <v>3981</v>
      </c>
      <c r="G1627" s="14">
        <f>(VLOOKUP(D1627,'[1]BOM Info General'!$A:$L,12,0))*E1627</f>
        <v>130.12</v>
      </c>
      <c r="H1627" s="29" t="s">
        <v>40</v>
      </c>
      <c r="I1627" s="29">
        <v>1</v>
      </c>
      <c r="J1627" s="29" t="s">
        <v>45</v>
      </c>
      <c r="K1627" s="15">
        <f>(VLOOKUP(H1627,'[1]BOM Info General'!$A:$L,12,0))*I1627</f>
        <v>25.59</v>
      </c>
      <c r="L1627" s="26" t="s">
        <v>524</v>
      </c>
      <c r="M1627" s="26">
        <v>1</v>
      </c>
      <c r="N1627" s="26" t="s">
        <v>70</v>
      </c>
      <c r="O1627" s="9">
        <f>(VLOOKUP(L1627,'[1]Simulation pricing per sub assy'!$D:$E,2,0))*M1627</f>
        <v>94.656400000000033</v>
      </c>
      <c r="P1627" s="30" t="s">
        <v>50</v>
      </c>
      <c r="Q1627" s="30">
        <v>8</v>
      </c>
      <c r="R1627" s="30" t="s">
        <v>611</v>
      </c>
      <c r="S1627" s="40">
        <f>(VLOOKUP(P1627,'[1]BOM Info General'!$A:$L,12,0))*Q1627</f>
        <v>21.2</v>
      </c>
      <c r="T1627" s="31" t="s">
        <v>30</v>
      </c>
      <c r="U1627" s="31">
        <v>1</v>
      </c>
      <c r="V1627" s="31" t="s">
        <v>31</v>
      </c>
      <c r="W1627" s="17">
        <f>(VLOOKUP(T1627,'[1]Simulation pricing per sub assy'!$D:$E,2,0))*U1627</f>
        <v>8.5599999999999987</v>
      </c>
      <c r="X1627" s="32" t="s">
        <v>616</v>
      </c>
      <c r="Y1627" s="32">
        <v>1</v>
      </c>
      <c r="Z1627" s="32" t="s">
        <v>23</v>
      </c>
      <c r="AA1627" s="18">
        <f>(VLOOKUP(X1627,'[1]Simulation pricing per sub assy'!$D:$E,2,0))*Y1627</f>
        <v>4.4802908000000006</v>
      </c>
    </row>
    <row r="1628" spans="1:27" x14ac:dyDescent="0.35">
      <c r="A1628" s="27" t="s">
        <v>2710</v>
      </c>
      <c r="B1628" s="27" t="s">
        <v>4665</v>
      </c>
      <c r="C1628" s="42">
        <f t="shared" si="25"/>
        <v>285.70669080000005</v>
      </c>
      <c r="D1628" s="28" t="s">
        <v>3540</v>
      </c>
      <c r="E1628" s="28">
        <v>2</v>
      </c>
      <c r="F1628" s="28" t="s">
        <v>3981</v>
      </c>
      <c r="G1628" s="14">
        <f>(VLOOKUP(D1628,'[1]BOM Info General'!$A:$L,12,0))*E1628</f>
        <v>130.12</v>
      </c>
      <c r="H1628" s="29" t="s">
        <v>40</v>
      </c>
      <c r="I1628" s="29">
        <v>1</v>
      </c>
      <c r="J1628" s="29" t="s">
        <v>45</v>
      </c>
      <c r="K1628" s="15">
        <f>(VLOOKUP(H1628,'[1]BOM Info General'!$A:$L,12,0))*I1628</f>
        <v>25.59</v>
      </c>
      <c r="L1628" s="26" t="s">
        <v>67</v>
      </c>
      <c r="M1628" s="26">
        <v>1</v>
      </c>
      <c r="N1628" s="26" t="s">
        <v>64</v>
      </c>
      <c r="O1628" s="9">
        <f>(VLOOKUP(L1628,'[1]Simulation pricing per sub assy'!$D:$E,2,0))*M1628</f>
        <v>95.756400000000042</v>
      </c>
      <c r="P1628" s="30" t="s">
        <v>50</v>
      </c>
      <c r="Q1628" s="30">
        <v>8</v>
      </c>
      <c r="R1628" s="30" t="s">
        <v>611</v>
      </c>
      <c r="S1628" s="40">
        <f>(VLOOKUP(P1628,'[1]BOM Info General'!$A:$L,12,0))*Q1628</f>
        <v>21.2</v>
      </c>
      <c r="T1628" s="31" t="s">
        <v>30</v>
      </c>
      <c r="U1628" s="31">
        <v>1</v>
      </c>
      <c r="V1628" s="31" t="s">
        <v>31</v>
      </c>
      <c r="W1628" s="17">
        <f>(VLOOKUP(T1628,'[1]Simulation pricing per sub assy'!$D:$E,2,0))*U1628</f>
        <v>8.5599999999999987</v>
      </c>
      <c r="X1628" s="32" t="s">
        <v>616</v>
      </c>
      <c r="Y1628" s="32">
        <v>1</v>
      </c>
      <c r="Z1628" s="32" t="s">
        <v>23</v>
      </c>
      <c r="AA1628" s="18">
        <f>(VLOOKUP(X1628,'[1]Simulation pricing per sub assy'!$D:$E,2,0))*Y1628</f>
        <v>4.4802908000000006</v>
      </c>
    </row>
    <row r="1629" spans="1:27" x14ac:dyDescent="0.35">
      <c r="A1629" s="27" t="s">
        <v>2711</v>
      </c>
      <c r="B1629" s="27" t="s">
        <v>4666</v>
      </c>
      <c r="C1629" s="42">
        <f t="shared" si="25"/>
        <v>285.70669080000005</v>
      </c>
      <c r="D1629" s="28" t="s">
        <v>3540</v>
      </c>
      <c r="E1629" s="28">
        <v>2</v>
      </c>
      <c r="F1629" s="28" t="s">
        <v>3981</v>
      </c>
      <c r="G1629" s="14">
        <f>(VLOOKUP(D1629,'[1]BOM Info General'!$A:$L,12,0))*E1629</f>
        <v>130.12</v>
      </c>
      <c r="H1629" s="29" t="s">
        <v>40</v>
      </c>
      <c r="I1629" s="29">
        <v>1</v>
      </c>
      <c r="J1629" s="29" t="s">
        <v>45</v>
      </c>
      <c r="K1629" s="15">
        <f>(VLOOKUP(H1629,'[1]BOM Info General'!$A:$L,12,0))*I1629</f>
        <v>25.59</v>
      </c>
      <c r="L1629" s="26" t="s">
        <v>63</v>
      </c>
      <c r="M1629" s="26">
        <v>1</v>
      </c>
      <c r="N1629" s="26" t="s">
        <v>62</v>
      </c>
      <c r="O1629" s="9">
        <f>(VLOOKUP(L1629,'[1]Simulation pricing per sub assy'!$D:$E,2,0))*M1629</f>
        <v>95.756400000000042</v>
      </c>
      <c r="P1629" s="30" t="s">
        <v>50</v>
      </c>
      <c r="Q1629" s="30">
        <v>8</v>
      </c>
      <c r="R1629" s="30" t="s">
        <v>611</v>
      </c>
      <c r="S1629" s="40">
        <f>(VLOOKUP(P1629,'[1]BOM Info General'!$A:$L,12,0))*Q1629</f>
        <v>21.2</v>
      </c>
      <c r="T1629" s="31" t="s">
        <v>30</v>
      </c>
      <c r="U1629" s="31">
        <v>1</v>
      </c>
      <c r="V1629" s="31" t="s">
        <v>31</v>
      </c>
      <c r="W1629" s="17">
        <f>(VLOOKUP(T1629,'[1]Simulation pricing per sub assy'!$D:$E,2,0))*U1629</f>
        <v>8.5599999999999987</v>
      </c>
      <c r="X1629" s="32" t="s">
        <v>616</v>
      </c>
      <c r="Y1629" s="32">
        <v>1</v>
      </c>
      <c r="Z1629" s="32" t="s">
        <v>23</v>
      </c>
      <c r="AA1629" s="18">
        <f>(VLOOKUP(X1629,'[1]Simulation pricing per sub assy'!$D:$E,2,0))*Y1629</f>
        <v>4.4802908000000006</v>
      </c>
    </row>
    <row r="1630" spans="1:27" x14ac:dyDescent="0.35">
      <c r="A1630" s="27" t="s">
        <v>2712</v>
      </c>
      <c r="B1630" s="27" t="s">
        <v>4667</v>
      </c>
      <c r="C1630" s="42">
        <f t="shared" si="25"/>
        <v>285.15669080000004</v>
      </c>
      <c r="D1630" s="28" t="s">
        <v>3540</v>
      </c>
      <c r="E1630" s="28">
        <v>2</v>
      </c>
      <c r="F1630" s="28" t="s">
        <v>3981</v>
      </c>
      <c r="G1630" s="14">
        <f>(VLOOKUP(D1630,'[1]BOM Info General'!$A:$L,12,0))*E1630</f>
        <v>130.12</v>
      </c>
      <c r="H1630" s="29" t="s">
        <v>40</v>
      </c>
      <c r="I1630" s="29">
        <v>1</v>
      </c>
      <c r="J1630" s="29" t="s">
        <v>45</v>
      </c>
      <c r="K1630" s="15">
        <f>(VLOOKUP(H1630,'[1]BOM Info General'!$A:$L,12,0))*I1630</f>
        <v>25.59</v>
      </c>
      <c r="L1630" s="26" t="s">
        <v>69</v>
      </c>
      <c r="M1630" s="26">
        <v>1</v>
      </c>
      <c r="N1630" s="26" t="s">
        <v>66</v>
      </c>
      <c r="O1630" s="9">
        <f>(VLOOKUP(L1630,'[1]Simulation pricing per sub assy'!$D:$E,2,0))*M1630</f>
        <v>95.206400000000031</v>
      </c>
      <c r="P1630" s="30" t="s">
        <v>50</v>
      </c>
      <c r="Q1630" s="30">
        <v>8</v>
      </c>
      <c r="R1630" s="30" t="s">
        <v>611</v>
      </c>
      <c r="S1630" s="40">
        <f>(VLOOKUP(P1630,'[1]BOM Info General'!$A:$L,12,0))*Q1630</f>
        <v>21.2</v>
      </c>
      <c r="T1630" s="31" t="s">
        <v>30</v>
      </c>
      <c r="U1630" s="31">
        <v>1</v>
      </c>
      <c r="V1630" s="31" t="s">
        <v>31</v>
      </c>
      <c r="W1630" s="17">
        <f>(VLOOKUP(T1630,'[1]Simulation pricing per sub assy'!$D:$E,2,0))*U1630</f>
        <v>8.5599999999999987</v>
      </c>
      <c r="X1630" s="32" t="s">
        <v>616</v>
      </c>
      <c r="Y1630" s="32">
        <v>1</v>
      </c>
      <c r="Z1630" s="32" t="s">
        <v>23</v>
      </c>
      <c r="AA1630" s="18">
        <f>(VLOOKUP(X1630,'[1]Simulation pricing per sub assy'!$D:$E,2,0))*Y1630</f>
        <v>4.4802908000000006</v>
      </c>
    </row>
    <row r="1631" spans="1:27" x14ac:dyDescent="0.35">
      <c r="A1631" s="27" t="s">
        <v>2713</v>
      </c>
      <c r="B1631" s="27" t="s">
        <v>4668</v>
      </c>
      <c r="C1631" s="42">
        <f t="shared" si="25"/>
        <v>293.11669080000001</v>
      </c>
      <c r="D1631" s="28" t="s">
        <v>3540</v>
      </c>
      <c r="E1631" s="28">
        <v>2</v>
      </c>
      <c r="F1631" s="28" t="s">
        <v>3981</v>
      </c>
      <c r="G1631" s="14">
        <f>(VLOOKUP(D1631,'[1]BOM Info General'!$A:$L,12,0))*E1631</f>
        <v>130.12</v>
      </c>
      <c r="H1631" s="29" t="s">
        <v>40</v>
      </c>
      <c r="I1631" s="29">
        <v>1</v>
      </c>
      <c r="J1631" s="29" t="s">
        <v>45</v>
      </c>
      <c r="K1631" s="15">
        <f>(VLOOKUP(H1631,'[1]BOM Info General'!$A:$L,12,0))*I1631</f>
        <v>25.59</v>
      </c>
      <c r="L1631" s="26" t="s">
        <v>65</v>
      </c>
      <c r="M1631" s="26">
        <v>1</v>
      </c>
      <c r="N1631" s="26" t="s">
        <v>68</v>
      </c>
      <c r="O1631" s="9">
        <f>(VLOOKUP(L1631,'[1]Simulation pricing per sub assy'!$D:$E,2,0))*M1631</f>
        <v>103.16640000000004</v>
      </c>
      <c r="P1631" s="30" t="s">
        <v>50</v>
      </c>
      <c r="Q1631" s="30">
        <v>8</v>
      </c>
      <c r="R1631" s="30" t="s">
        <v>611</v>
      </c>
      <c r="S1631" s="40">
        <f>(VLOOKUP(P1631,'[1]BOM Info General'!$A:$L,12,0))*Q1631</f>
        <v>21.2</v>
      </c>
      <c r="T1631" s="31" t="s">
        <v>30</v>
      </c>
      <c r="U1631" s="31">
        <v>1</v>
      </c>
      <c r="V1631" s="31" t="s">
        <v>31</v>
      </c>
      <c r="W1631" s="17">
        <f>(VLOOKUP(T1631,'[1]Simulation pricing per sub assy'!$D:$E,2,0))*U1631</f>
        <v>8.5599999999999987</v>
      </c>
      <c r="X1631" s="32" t="s">
        <v>616</v>
      </c>
      <c r="Y1631" s="32">
        <v>1</v>
      </c>
      <c r="Z1631" s="32" t="s">
        <v>23</v>
      </c>
      <c r="AA1631" s="18">
        <f>(VLOOKUP(X1631,'[1]Simulation pricing per sub assy'!$D:$E,2,0))*Y1631</f>
        <v>4.4802908000000006</v>
      </c>
    </row>
    <row r="1632" spans="1:27" x14ac:dyDescent="0.35">
      <c r="A1632" s="27" t="s">
        <v>2714</v>
      </c>
      <c r="B1632" s="27" t="s">
        <v>2715</v>
      </c>
      <c r="C1632" s="42">
        <f t="shared" si="25"/>
        <v>283.24669080000001</v>
      </c>
      <c r="D1632" s="33" t="s">
        <v>3540</v>
      </c>
      <c r="E1632" s="33">
        <v>2</v>
      </c>
      <c r="F1632" s="33" t="s">
        <v>3981</v>
      </c>
      <c r="G1632" s="14">
        <f>(VLOOKUP(D1632,'[1]BOM Info General'!$A:$L,12,0))*E1632</f>
        <v>130.12</v>
      </c>
      <c r="H1632" s="34" t="s">
        <v>40</v>
      </c>
      <c r="I1632" s="34">
        <v>1</v>
      </c>
      <c r="J1632" s="34" t="s">
        <v>45</v>
      </c>
      <c r="K1632" s="15">
        <f>(VLOOKUP(H1632,'[1]BOM Info General'!$A:$L,12,0))*I1632</f>
        <v>25.59</v>
      </c>
      <c r="L1632" s="35" t="s">
        <v>524</v>
      </c>
      <c r="M1632" s="35">
        <v>1</v>
      </c>
      <c r="N1632" s="35" t="s">
        <v>70</v>
      </c>
      <c r="O1632" s="9">
        <f>(VLOOKUP(L1632,'[1]Simulation pricing per sub assy'!$D:$E,2,0))*M1632</f>
        <v>94.656400000000033</v>
      </c>
      <c r="P1632" s="36" t="s">
        <v>50</v>
      </c>
      <c r="Q1632" s="36">
        <v>8</v>
      </c>
      <c r="R1632" s="36" t="s">
        <v>611</v>
      </c>
      <c r="S1632" s="40">
        <f>(VLOOKUP(P1632,'[1]BOM Info General'!$A:$L,12,0))*Q1632</f>
        <v>21.2</v>
      </c>
      <c r="T1632" s="37" t="s">
        <v>21</v>
      </c>
      <c r="U1632" s="31">
        <v>1</v>
      </c>
      <c r="V1632" s="37" t="s">
        <v>22</v>
      </c>
      <c r="W1632" s="17">
        <f>(VLOOKUP(T1632,'[1]Simulation pricing per sub assy'!$D:$E,2,0))*U1632</f>
        <v>7.2</v>
      </c>
      <c r="X1632" s="38" t="s">
        <v>616</v>
      </c>
      <c r="Y1632" s="38">
        <v>1</v>
      </c>
      <c r="Z1632" s="38" t="s">
        <v>23</v>
      </c>
      <c r="AA1632" s="18">
        <f>(VLOOKUP(X1632,'[1]Simulation pricing per sub assy'!$D:$E,2,0))*Y1632</f>
        <v>4.4802908000000006</v>
      </c>
    </row>
    <row r="1633" spans="1:27" x14ac:dyDescent="0.35">
      <c r="A1633" s="27" t="s">
        <v>2716</v>
      </c>
      <c r="B1633" s="27" t="s">
        <v>2717</v>
      </c>
      <c r="C1633" s="42">
        <f t="shared" si="25"/>
        <v>284.34669080000003</v>
      </c>
      <c r="D1633" s="33" t="s">
        <v>3540</v>
      </c>
      <c r="E1633" s="33">
        <v>2</v>
      </c>
      <c r="F1633" s="33" t="s">
        <v>3981</v>
      </c>
      <c r="G1633" s="14">
        <f>(VLOOKUP(D1633,'[1]BOM Info General'!$A:$L,12,0))*E1633</f>
        <v>130.12</v>
      </c>
      <c r="H1633" s="34" t="s">
        <v>40</v>
      </c>
      <c r="I1633" s="34">
        <v>1</v>
      </c>
      <c r="J1633" s="34" t="s">
        <v>45</v>
      </c>
      <c r="K1633" s="15">
        <f>(VLOOKUP(H1633,'[1]BOM Info General'!$A:$L,12,0))*I1633</f>
        <v>25.59</v>
      </c>
      <c r="L1633" s="35" t="s">
        <v>67</v>
      </c>
      <c r="M1633" s="35">
        <v>1</v>
      </c>
      <c r="N1633" s="35" t="s">
        <v>64</v>
      </c>
      <c r="O1633" s="9">
        <f>(VLOOKUP(L1633,'[1]Simulation pricing per sub assy'!$D:$E,2,0))*M1633</f>
        <v>95.756400000000042</v>
      </c>
      <c r="P1633" s="36" t="s">
        <v>50</v>
      </c>
      <c r="Q1633" s="36">
        <v>8</v>
      </c>
      <c r="R1633" s="36" t="s">
        <v>611</v>
      </c>
      <c r="S1633" s="40">
        <f>(VLOOKUP(P1633,'[1]BOM Info General'!$A:$L,12,0))*Q1633</f>
        <v>21.2</v>
      </c>
      <c r="T1633" s="37" t="s">
        <v>21</v>
      </c>
      <c r="U1633" s="31">
        <v>1</v>
      </c>
      <c r="V1633" s="37" t="s">
        <v>22</v>
      </c>
      <c r="W1633" s="17">
        <f>(VLOOKUP(T1633,'[1]Simulation pricing per sub assy'!$D:$E,2,0))*U1633</f>
        <v>7.2</v>
      </c>
      <c r="X1633" s="38" t="s">
        <v>616</v>
      </c>
      <c r="Y1633" s="38">
        <v>1</v>
      </c>
      <c r="Z1633" s="38" t="s">
        <v>23</v>
      </c>
      <c r="AA1633" s="18">
        <f>(VLOOKUP(X1633,'[1]Simulation pricing per sub assy'!$D:$E,2,0))*Y1633</f>
        <v>4.4802908000000006</v>
      </c>
    </row>
    <row r="1634" spans="1:27" x14ac:dyDescent="0.35">
      <c r="A1634" s="27" t="s">
        <v>2718</v>
      </c>
      <c r="B1634" s="27" t="s">
        <v>2719</v>
      </c>
      <c r="C1634" s="42">
        <f t="shared" si="25"/>
        <v>284.34669080000003</v>
      </c>
      <c r="D1634" s="33" t="s">
        <v>3540</v>
      </c>
      <c r="E1634" s="33">
        <v>2</v>
      </c>
      <c r="F1634" s="33" t="s">
        <v>3981</v>
      </c>
      <c r="G1634" s="14">
        <f>(VLOOKUP(D1634,'[1]BOM Info General'!$A:$L,12,0))*E1634</f>
        <v>130.12</v>
      </c>
      <c r="H1634" s="34" t="s">
        <v>40</v>
      </c>
      <c r="I1634" s="34">
        <v>1</v>
      </c>
      <c r="J1634" s="34" t="s">
        <v>45</v>
      </c>
      <c r="K1634" s="15">
        <f>(VLOOKUP(H1634,'[1]BOM Info General'!$A:$L,12,0))*I1634</f>
        <v>25.59</v>
      </c>
      <c r="L1634" s="35" t="s">
        <v>63</v>
      </c>
      <c r="M1634" s="35">
        <v>1</v>
      </c>
      <c r="N1634" s="35" t="s">
        <v>62</v>
      </c>
      <c r="O1634" s="9">
        <f>(VLOOKUP(L1634,'[1]Simulation pricing per sub assy'!$D:$E,2,0))*M1634</f>
        <v>95.756400000000042</v>
      </c>
      <c r="P1634" s="36" t="s">
        <v>50</v>
      </c>
      <c r="Q1634" s="36">
        <v>8</v>
      </c>
      <c r="R1634" s="36" t="s">
        <v>611</v>
      </c>
      <c r="S1634" s="40">
        <f>(VLOOKUP(P1634,'[1]BOM Info General'!$A:$L,12,0))*Q1634</f>
        <v>21.2</v>
      </c>
      <c r="T1634" s="37" t="s">
        <v>21</v>
      </c>
      <c r="U1634" s="31">
        <v>1</v>
      </c>
      <c r="V1634" s="37" t="s">
        <v>22</v>
      </c>
      <c r="W1634" s="17">
        <f>(VLOOKUP(T1634,'[1]Simulation pricing per sub assy'!$D:$E,2,0))*U1634</f>
        <v>7.2</v>
      </c>
      <c r="X1634" s="38" t="s">
        <v>616</v>
      </c>
      <c r="Y1634" s="38">
        <v>1</v>
      </c>
      <c r="Z1634" s="38" t="s">
        <v>23</v>
      </c>
      <c r="AA1634" s="18">
        <f>(VLOOKUP(X1634,'[1]Simulation pricing per sub assy'!$D:$E,2,0))*Y1634</f>
        <v>4.4802908000000006</v>
      </c>
    </row>
    <row r="1635" spans="1:27" x14ac:dyDescent="0.35">
      <c r="A1635" s="27" t="s">
        <v>2720</v>
      </c>
      <c r="B1635" s="27" t="s">
        <v>2721</v>
      </c>
      <c r="C1635" s="42">
        <f t="shared" si="25"/>
        <v>283.79669080000002</v>
      </c>
      <c r="D1635" s="33" t="s">
        <v>3540</v>
      </c>
      <c r="E1635" s="33">
        <v>2</v>
      </c>
      <c r="F1635" s="33" t="s">
        <v>3981</v>
      </c>
      <c r="G1635" s="14">
        <f>(VLOOKUP(D1635,'[1]BOM Info General'!$A:$L,12,0))*E1635</f>
        <v>130.12</v>
      </c>
      <c r="H1635" s="34" t="s">
        <v>40</v>
      </c>
      <c r="I1635" s="34">
        <v>1</v>
      </c>
      <c r="J1635" s="34" t="s">
        <v>45</v>
      </c>
      <c r="K1635" s="15">
        <f>(VLOOKUP(H1635,'[1]BOM Info General'!$A:$L,12,0))*I1635</f>
        <v>25.59</v>
      </c>
      <c r="L1635" s="35" t="s">
        <v>69</v>
      </c>
      <c r="M1635" s="35">
        <v>1</v>
      </c>
      <c r="N1635" s="35" t="s">
        <v>66</v>
      </c>
      <c r="O1635" s="9">
        <f>(VLOOKUP(L1635,'[1]Simulation pricing per sub assy'!$D:$E,2,0))*M1635</f>
        <v>95.206400000000031</v>
      </c>
      <c r="P1635" s="36" t="s">
        <v>50</v>
      </c>
      <c r="Q1635" s="36">
        <v>8</v>
      </c>
      <c r="R1635" s="36" t="s">
        <v>611</v>
      </c>
      <c r="S1635" s="40">
        <f>(VLOOKUP(P1635,'[1]BOM Info General'!$A:$L,12,0))*Q1635</f>
        <v>21.2</v>
      </c>
      <c r="T1635" s="37" t="s">
        <v>21</v>
      </c>
      <c r="U1635" s="31">
        <v>1</v>
      </c>
      <c r="V1635" s="37" t="s">
        <v>22</v>
      </c>
      <c r="W1635" s="17">
        <f>(VLOOKUP(T1635,'[1]Simulation pricing per sub assy'!$D:$E,2,0))*U1635</f>
        <v>7.2</v>
      </c>
      <c r="X1635" s="38" t="s">
        <v>616</v>
      </c>
      <c r="Y1635" s="38">
        <v>1</v>
      </c>
      <c r="Z1635" s="38" t="s">
        <v>23</v>
      </c>
      <c r="AA1635" s="18">
        <f>(VLOOKUP(X1635,'[1]Simulation pricing per sub assy'!$D:$E,2,0))*Y1635</f>
        <v>4.4802908000000006</v>
      </c>
    </row>
    <row r="1636" spans="1:27" x14ac:dyDescent="0.35">
      <c r="A1636" s="27" t="s">
        <v>2722</v>
      </c>
      <c r="B1636" s="27" t="s">
        <v>2723</v>
      </c>
      <c r="C1636" s="42">
        <f t="shared" si="25"/>
        <v>291.7566908</v>
      </c>
      <c r="D1636" s="33" t="s">
        <v>3540</v>
      </c>
      <c r="E1636" s="33">
        <v>2</v>
      </c>
      <c r="F1636" s="33" t="s">
        <v>3981</v>
      </c>
      <c r="G1636" s="14">
        <f>(VLOOKUP(D1636,'[1]BOM Info General'!$A:$L,12,0))*E1636</f>
        <v>130.12</v>
      </c>
      <c r="H1636" s="34" t="s">
        <v>40</v>
      </c>
      <c r="I1636" s="34">
        <v>1</v>
      </c>
      <c r="J1636" s="34" t="s">
        <v>45</v>
      </c>
      <c r="K1636" s="15">
        <f>(VLOOKUP(H1636,'[1]BOM Info General'!$A:$L,12,0))*I1636</f>
        <v>25.59</v>
      </c>
      <c r="L1636" s="35" t="s">
        <v>65</v>
      </c>
      <c r="M1636" s="35">
        <v>1</v>
      </c>
      <c r="N1636" s="35" t="s">
        <v>68</v>
      </c>
      <c r="O1636" s="9">
        <f>(VLOOKUP(L1636,'[1]Simulation pricing per sub assy'!$D:$E,2,0))*M1636</f>
        <v>103.16640000000004</v>
      </c>
      <c r="P1636" s="36" t="s">
        <v>50</v>
      </c>
      <c r="Q1636" s="36">
        <v>8</v>
      </c>
      <c r="R1636" s="36" t="s">
        <v>611</v>
      </c>
      <c r="S1636" s="40">
        <f>(VLOOKUP(P1636,'[1]BOM Info General'!$A:$L,12,0))*Q1636</f>
        <v>21.2</v>
      </c>
      <c r="T1636" s="37" t="s">
        <v>21</v>
      </c>
      <c r="U1636" s="31">
        <v>1</v>
      </c>
      <c r="V1636" s="37" t="s">
        <v>22</v>
      </c>
      <c r="W1636" s="17">
        <f>(VLOOKUP(T1636,'[1]Simulation pricing per sub assy'!$D:$E,2,0))*U1636</f>
        <v>7.2</v>
      </c>
      <c r="X1636" s="38" t="s">
        <v>616</v>
      </c>
      <c r="Y1636" s="38">
        <v>1</v>
      </c>
      <c r="Z1636" s="38" t="s">
        <v>23</v>
      </c>
      <c r="AA1636" s="18">
        <f>(VLOOKUP(X1636,'[1]Simulation pricing per sub assy'!$D:$E,2,0))*Y1636</f>
        <v>4.4802908000000006</v>
      </c>
    </row>
    <row r="1637" spans="1:27" x14ac:dyDescent="0.35">
      <c r="A1637" s="27" t="s">
        <v>2724</v>
      </c>
      <c r="B1637" s="27" t="s">
        <v>2725</v>
      </c>
      <c r="C1637" s="42">
        <f t="shared" si="25"/>
        <v>282.48669080000002</v>
      </c>
      <c r="D1637" s="33" t="s">
        <v>3540</v>
      </c>
      <c r="E1637" s="33">
        <v>2</v>
      </c>
      <c r="F1637" s="33" t="s">
        <v>3981</v>
      </c>
      <c r="G1637" s="14">
        <f>(VLOOKUP(D1637,'[1]BOM Info General'!$A:$L,12,0))*E1637</f>
        <v>130.12</v>
      </c>
      <c r="H1637" s="34" t="s">
        <v>40</v>
      </c>
      <c r="I1637" s="34">
        <v>1</v>
      </c>
      <c r="J1637" s="34" t="s">
        <v>45</v>
      </c>
      <c r="K1637" s="15">
        <f>(VLOOKUP(H1637,'[1]BOM Info General'!$A:$L,12,0))*I1637</f>
        <v>25.59</v>
      </c>
      <c r="L1637" s="35" t="s">
        <v>524</v>
      </c>
      <c r="M1637" s="35">
        <v>1</v>
      </c>
      <c r="N1637" s="35" t="s">
        <v>70</v>
      </c>
      <c r="O1637" s="9">
        <f>(VLOOKUP(L1637,'[1]Simulation pricing per sub assy'!$D:$E,2,0))*M1637</f>
        <v>94.656400000000033</v>
      </c>
      <c r="P1637" s="36" t="s">
        <v>50</v>
      </c>
      <c r="Q1637" s="36">
        <v>8</v>
      </c>
      <c r="R1637" s="36" t="s">
        <v>16</v>
      </c>
      <c r="S1637" s="40">
        <f>(VLOOKUP(P1637,'[1]BOM Info General'!$A:$L,12,0))*Q1637</f>
        <v>21.2</v>
      </c>
      <c r="T1637" s="37" t="s">
        <v>24</v>
      </c>
      <c r="U1637" s="31">
        <v>1</v>
      </c>
      <c r="V1637" s="37" t="s">
        <v>25</v>
      </c>
      <c r="W1637" s="17">
        <f>(VLOOKUP(T1637,'[1]Simulation pricing per sub assy'!$D:$E,2,0))*U1637</f>
        <v>6.44</v>
      </c>
      <c r="X1637" s="38" t="s">
        <v>616</v>
      </c>
      <c r="Y1637" s="38">
        <v>1</v>
      </c>
      <c r="Z1637" s="38" t="s">
        <v>23</v>
      </c>
      <c r="AA1637" s="18">
        <f>(VLOOKUP(X1637,'[1]Simulation pricing per sub assy'!$D:$E,2,0))*Y1637</f>
        <v>4.4802908000000006</v>
      </c>
    </row>
    <row r="1638" spans="1:27" x14ac:dyDescent="0.35">
      <c r="A1638" s="27" t="s">
        <v>2726</v>
      </c>
      <c r="B1638" s="27" t="s">
        <v>2727</v>
      </c>
      <c r="C1638" s="42">
        <f t="shared" si="25"/>
        <v>283.58669080000004</v>
      </c>
      <c r="D1638" s="33" t="s">
        <v>3540</v>
      </c>
      <c r="E1638" s="33">
        <v>2</v>
      </c>
      <c r="F1638" s="33" t="s">
        <v>3981</v>
      </c>
      <c r="G1638" s="14">
        <f>(VLOOKUP(D1638,'[1]BOM Info General'!$A:$L,12,0))*E1638</f>
        <v>130.12</v>
      </c>
      <c r="H1638" s="34" t="s">
        <v>40</v>
      </c>
      <c r="I1638" s="34">
        <v>1</v>
      </c>
      <c r="J1638" s="34" t="s">
        <v>45</v>
      </c>
      <c r="K1638" s="15">
        <f>(VLOOKUP(H1638,'[1]BOM Info General'!$A:$L,12,0))*I1638</f>
        <v>25.59</v>
      </c>
      <c r="L1638" s="35" t="s">
        <v>67</v>
      </c>
      <c r="M1638" s="35">
        <v>1</v>
      </c>
      <c r="N1638" s="35" t="s">
        <v>64</v>
      </c>
      <c r="O1638" s="9">
        <f>(VLOOKUP(L1638,'[1]Simulation pricing per sub assy'!$D:$E,2,0))*M1638</f>
        <v>95.756400000000042</v>
      </c>
      <c r="P1638" s="36" t="s">
        <v>50</v>
      </c>
      <c r="Q1638" s="36">
        <v>8</v>
      </c>
      <c r="R1638" s="36" t="s">
        <v>16</v>
      </c>
      <c r="S1638" s="40">
        <f>(VLOOKUP(P1638,'[1]BOM Info General'!$A:$L,12,0))*Q1638</f>
        <v>21.2</v>
      </c>
      <c r="T1638" s="37" t="s">
        <v>24</v>
      </c>
      <c r="U1638" s="31">
        <v>1</v>
      </c>
      <c r="V1638" s="37" t="s">
        <v>25</v>
      </c>
      <c r="W1638" s="17">
        <f>(VLOOKUP(T1638,'[1]Simulation pricing per sub assy'!$D:$E,2,0))*U1638</f>
        <v>6.44</v>
      </c>
      <c r="X1638" s="38" t="s">
        <v>616</v>
      </c>
      <c r="Y1638" s="38">
        <v>1</v>
      </c>
      <c r="Z1638" s="38" t="s">
        <v>23</v>
      </c>
      <c r="AA1638" s="18">
        <f>(VLOOKUP(X1638,'[1]Simulation pricing per sub assy'!$D:$E,2,0))*Y1638</f>
        <v>4.4802908000000006</v>
      </c>
    </row>
    <row r="1639" spans="1:27" x14ac:dyDescent="0.35">
      <c r="A1639" s="27" t="s">
        <v>2728</v>
      </c>
      <c r="B1639" s="27" t="s">
        <v>2729</v>
      </c>
      <c r="C1639" s="42">
        <f t="shared" si="25"/>
        <v>283.58669080000004</v>
      </c>
      <c r="D1639" s="33" t="s">
        <v>3540</v>
      </c>
      <c r="E1639" s="33">
        <v>2</v>
      </c>
      <c r="F1639" s="33" t="s">
        <v>3981</v>
      </c>
      <c r="G1639" s="14">
        <f>(VLOOKUP(D1639,'[1]BOM Info General'!$A:$L,12,0))*E1639</f>
        <v>130.12</v>
      </c>
      <c r="H1639" s="34" t="s">
        <v>40</v>
      </c>
      <c r="I1639" s="34">
        <v>1</v>
      </c>
      <c r="J1639" s="34" t="s">
        <v>45</v>
      </c>
      <c r="K1639" s="15">
        <f>(VLOOKUP(H1639,'[1]BOM Info General'!$A:$L,12,0))*I1639</f>
        <v>25.59</v>
      </c>
      <c r="L1639" s="35" t="s">
        <v>63</v>
      </c>
      <c r="M1639" s="35">
        <v>1</v>
      </c>
      <c r="N1639" s="35" t="s">
        <v>62</v>
      </c>
      <c r="O1639" s="9">
        <f>(VLOOKUP(L1639,'[1]Simulation pricing per sub assy'!$D:$E,2,0))*M1639</f>
        <v>95.756400000000042</v>
      </c>
      <c r="P1639" s="36" t="s">
        <v>50</v>
      </c>
      <c r="Q1639" s="36">
        <v>8</v>
      </c>
      <c r="R1639" s="36" t="s">
        <v>16</v>
      </c>
      <c r="S1639" s="40">
        <f>(VLOOKUP(P1639,'[1]BOM Info General'!$A:$L,12,0))*Q1639</f>
        <v>21.2</v>
      </c>
      <c r="T1639" s="37" t="s">
        <v>24</v>
      </c>
      <c r="U1639" s="31">
        <v>1</v>
      </c>
      <c r="V1639" s="37" t="s">
        <v>25</v>
      </c>
      <c r="W1639" s="17">
        <f>(VLOOKUP(T1639,'[1]Simulation pricing per sub assy'!$D:$E,2,0))*U1639</f>
        <v>6.44</v>
      </c>
      <c r="X1639" s="38" t="s">
        <v>616</v>
      </c>
      <c r="Y1639" s="38">
        <v>1</v>
      </c>
      <c r="Z1639" s="38" t="s">
        <v>23</v>
      </c>
      <c r="AA1639" s="18">
        <f>(VLOOKUP(X1639,'[1]Simulation pricing per sub assy'!$D:$E,2,0))*Y1639</f>
        <v>4.4802908000000006</v>
      </c>
    </row>
    <row r="1640" spans="1:27" x14ac:dyDescent="0.35">
      <c r="A1640" s="27" t="s">
        <v>2730</v>
      </c>
      <c r="B1640" s="27" t="s">
        <v>2731</v>
      </c>
      <c r="C1640" s="42">
        <f t="shared" si="25"/>
        <v>283.03669080000003</v>
      </c>
      <c r="D1640" s="33" t="s">
        <v>3540</v>
      </c>
      <c r="E1640" s="33">
        <v>2</v>
      </c>
      <c r="F1640" s="33" t="s">
        <v>3981</v>
      </c>
      <c r="G1640" s="14">
        <f>(VLOOKUP(D1640,'[1]BOM Info General'!$A:$L,12,0))*E1640</f>
        <v>130.12</v>
      </c>
      <c r="H1640" s="34" t="s">
        <v>40</v>
      </c>
      <c r="I1640" s="34">
        <v>1</v>
      </c>
      <c r="J1640" s="34" t="s">
        <v>45</v>
      </c>
      <c r="K1640" s="15">
        <f>(VLOOKUP(H1640,'[1]BOM Info General'!$A:$L,12,0))*I1640</f>
        <v>25.59</v>
      </c>
      <c r="L1640" s="35" t="s">
        <v>69</v>
      </c>
      <c r="M1640" s="35">
        <v>1</v>
      </c>
      <c r="N1640" s="35" t="s">
        <v>66</v>
      </c>
      <c r="O1640" s="9">
        <f>(VLOOKUP(L1640,'[1]Simulation pricing per sub assy'!$D:$E,2,0))*M1640</f>
        <v>95.206400000000031</v>
      </c>
      <c r="P1640" s="36" t="s">
        <v>50</v>
      </c>
      <c r="Q1640" s="36">
        <v>8</v>
      </c>
      <c r="R1640" s="36" t="s">
        <v>16</v>
      </c>
      <c r="S1640" s="40">
        <f>(VLOOKUP(P1640,'[1]BOM Info General'!$A:$L,12,0))*Q1640</f>
        <v>21.2</v>
      </c>
      <c r="T1640" s="37" t="s">
        <v>24</v>
      </c>
      <c r="U1640" s="31">
        <v>1</v>
      </c>
      <c r="V1640" s="37" t="s">
        <v>25</v>
      </c>
      <c r="W1640" s="17">
        <f>(VLOOKUP(T1640,'[1]Simulation pricing per sub assy'!$D:$E,2,0))*U1640</f>
        <v>6.44</v>
      </c>
      <c r="X1640" s="38" t="s">
        <v>616</v>
      </c>
      <c r="Y1640" s="38">
        <v>1</v>
      </c>
      <c r="Z1640" s="38" t="s">
        <v>23</v>
      </c>
      <c r="AA1640" s="18">
        <f>(VLOOKUP(X1640,'[1]Simulation pricing per sub assy'!$D:$E,2,0))*Y1640</f>
        <v>4.4802908000000006</v>
      </c>
    </row>
    <row r="1641" spans="1:27" x14ac:dyDescent="0.35">
      <c r="A1641" s="27" t="s">
        <v>2732</v>
      </c>
      <c r="B1641" s="27" t="s">
        <v>2733</v>
      </c>
      <c r="C1641" s="42">
        <f t="shared" si="25"/>
        <v>290.99669080000001</v>
      </c>
      <c r="D1641" s="33" t="s">
        <v>3540</v>
      </c>
      <c r="E1641" s="33">
        <v>2</v>
      </c>
      <c r="F1641" s="33" t="s">
        <v>3981</v>
      </c>
      <c r="G1641" s="14">
        <f>(VLOOKUP(D1641,'[1]BOM Info General'!$A:$L,12,0))*E1641</f>
        <v>130.12</v>
      </c>
      <c r="H1641" s="34" t="s">
        <v>40</v>
      </c>
      <c r="I1641" s="34">
        <v>1</v>
      </c>
      <c r="J1641" s="34" t="s">
        <v>45</v>
      </c>
      <c r="K1641" s="15">
        <f>(VLOOKUP(H1641,'[1]BOM Info General'!$A:$L,12,0))*I1641</f>
        <v>25.59</v>
      </c>
      <c r="L1641" s="35" t="s">
        <v>65</v>
      </c>
      <c r="M1641" s="35">
        <v>1</v>
      </c>
      <c r="N1641" s="35" t="s">
        <v>68</v>
      </c>
      <c r="O1641" s="9">
        <f>(VLOOKUP(L1641,'[1]Simulation pricing per sub assy'!$D:$E,2,0))*M1641</f>
        <v>103.16640000000004</v>
      </c>
      <c r="P1641" s="36" t="s">
        <v>50</v>
      </c>
      <c r="Q1641" s="36">
        <v>8</v>
      </c>
      <c r="R1641" s="36" t="s">
        <v>16</v>
      </c>
      <c r="S1641" s="40">
        <f>(VLOOKUP(P1641,'[1]BOM Info General'!$A:$L,12,0))*Q1641</f>
        <v>21.2</v>
      </c>
      <c r="T1641" s="37" t="s">
        <v>24</v>
      </c>
      <c r="U1641" s="31">
        <v>1</v>
      </c>
      <c r="V1641" s="37" t="s">
        <v>25</v>
      </c>
      <c r="W1641" s="17">
        <f>(VLOOKUP(T1641,'[1]Simulation pricing per sub assy'!$D:$E,2,0))*U1641</f>
        <v>6.44</v>
      </c>
      <c r="X1641" s="38" t="s">
        <v>616</v>
      </c>
      <c r="Y1641" s="38">
        <v>1</v>
      </c>
      <c r="Z1641" s="38" t="s">
        <v>23</v>
      </c>
      <c r="AA1641" s="18">
        <f>(VLOOKUP(X1641,'[1]Simulation pricing per sub assy'!$D:$E,2,0))*Y1641</f>
        <v>4.4802908000000006</v>
      </c>
    </row>
    <row r="1642" spans="1:27" x14ac:dyDescent="0.35">
      <c r="A1642" s="27" t="s">
        <v>2734</v>
      </c>
      <c r="B1642" s="27" t="s">
        <v>2735</v>
      </c>
      <c r="C1642" s="42">
        <f t="shared" si="25"/>
        <v>283.08669080000004</v>
      </c>
      <c r="D1642" s="33" t="s">
        <v>3540</v>
      </c>
      <c r="E1642" s="33">
        <v>2</v>
      </c>
      <c r="F1642" s="33" t="s">
        <v>3981</v>
      </c>
      <c r="G1642" s="14">
        <f>(VLOOKUP(D1642,'[1]BOM Info General'!$A:$L,12,0))*E1642</f>
        <v>130.12</v>
      </c>
      <c r="H1642" s="34" t="s">
        <v>40</v>
      </c>
      <c r="I1642" s="34">
        <v>1</v>
      </c>
      <c r="J1642" s="34" t="s">
        <v>45</v>
      </c>
      <c r="K1642" s="15">
        <f>(VLOOKUP(H1642,'[1]BOM Info General'!$A:$L,12,0))*I1642</f>
        <v>25.59</v>
      </c>
      <c r="L1642" s="35" t="s">
        <v>524</v>
      </c>
      <c r="M1642" s="35">
        <v>1</v>
      </c>
      <c r="N1642" s="35" t="s">
        <v>70</v>
      </c>
      <c r="O1642" s="9">
        <f>(VLOOKUP(L1642,'[1]Simulation pricing per sub assy'!$D:$E,2,0))*M1642</f>
        <v>94.656400000000033</v>
      </c>
      <c r="P1642" s="36" t="s">
        <v>50</v>
      </c>
      <c r="Q1642" s="36">
        <v>8</v>
      </c>
      <c r="R1642" s="36" t="s">
        <v>16</v>
      </c>
      <c r="S1642" s="40">
        <f>(VLOOKUP(P1642,'[1]BOM Info General'!$A:$L,12,0))*Q1642</f>
        <v>21.2</v>
      </c>
      <c r="T1642" s="37" t="s">
        <v>26</v>
      </c>
      <c r="U1642" s="31">
        <v>1</v>
      </c>
      <c r="V1642" s="37" t="s">
        <v>27</v>
      </c>
      <c r="W1642" s="17">
        <f>(VLOOKUP(T1642,'[1]Simulation pricing per sub assy'!$D:$E,2,0))*U1642</f>
        <v>7.04</v>
      </c>
      <c r="X1642" s="38" t="s">
        <v>616</v>
      </c>
      <c r="Y1642" s="38">
        <v>1</v>
      </c>
      <c r="Z1642" s="38" t="s">
        <v>23</v>
      </c>
      <c r="AA1642" s="18">
        <f>(VLOOKUP(X1642,'[1]Simulation pricing per sub assy'!$D:$E,2,0))*Y1642</f>
        <v>4.4802908000000006</v>
      </c>
    </row>
    <row r="1643" spans="1:27" x14ac:dyDescent="0.35">
      <c r="A1643" s="27" t="s">
        <v>2736</v>
      </c>
      <c r="B1643" s="27" t="s">
        <v>2737</v>
      </c>
      <c r="C1643" s="42">
        <f t="shared" si="25"/>
        <v>284.18669080000006</v>
      </c>
      <c r="D1643" s="33" t="s">
        <v>3540</v>
      </c>
      <c r="E1643" s="33">
        <v>2</v>
      </c>
      <c r="F1643" s="33" t="s">
        <v>3981</v>
      </c>
      <c r="G1643" s="14">
        <f>(VLOOKUP(D1643,'[1]BOM Info General'!$A:$L,12,0))*E1643</f>
        <v>130.12</v>
      </c>
      <c r="H1643" s="34" t="s">
        <v>40</v>
      </c>
      <c r="I1643" s="34">
        <v>1</v>
      </c>
      <c r="J1643" s="34" t="s">
        <v>45</v>
      </c>
      <c r="K1643" s="15">
        <f>(VLOOKUP(H1643,'[1]BOM Info General'!$A:$L,12,0))*I1643</f>
        <v>25.59</v>
      </c>
      <c r="L1643" s="35" t="s">
        <v>67</v>
      </c>
      <c r="M1643" s="35">
        <v>1</v>
      </c>
      <c r="N1643" s="35" t="s">
        <v>64</v>
      </c>
      <c r="O1643" s="9">
        <f>(VLOOKUP(L1643,'[1]Simulation pricing per sub assy'!$D:$E,2,0))*M1643</f>
        <v>95.756400000000042</v>
      </c>
      <c r="P1643" s="36" t="s">
        <v>50</v>
      </c>
      <c r="Q1643" s="36">
        <v>8</v>
      </c>
      <c r="R1643" s="36" t="s">
        <v>16</v>
      </c>
      <c r="S1643" s="40">
        <f>(VLOOKUP(P1643,'[1]BOM Info General'!$A:$L,12,0))*Q1643</f>
        <v>21.2</v>
      </c>
      <c r="T1643" s="37" t="s">
        <v>26</v>
      </c>
      <c r="U1643" s="31">
        <v>1</v>
      </c>
      <c r="V1643" s="37" t="s">
        <v>27</v>
      </c>
      <c r="W1643" s="17">
        <f>(VLOOKUP(T1643,'[1]Simulation pricing per sub assy'!$D:$E,2,0))*U1643</f>
        <v>7.04</v>
      </c>
      <c r="X1643" s="38" t="s">
        <v>616</v>
      </c>
      <c r="Y1643" s="38">
        <v>1</v>
      </c>
      <c r="Z1643" s="38" t="s">
        <v>23</v>
      </c>
      <c r="AA1643" s="18">
        <f>(VLOOKUP(X1643,'[1]Simulation pricing per sub assy'!$D:$E,2,0))*Y1643</f>
        <v>4.4802908000000006</v>
      </c>
    </row>
    <row r="1644" spans="1:27" x14ac:dyDescent="0.35">
      <c r="A1644" s="27" t="s">
        <v>2738</v>
      </c>
      <c r="B1644" s="27" t="s">
        <v>2739</v>
      </c>
      <c r="C1644" s="42">
        <f t="shared" si="25"/>
        <v>284.18669080000006</v>
      </c>
      <c r="D1644" s="33" t="s">
        <v>3540</v>
      </c>
      <c r="E1644" s="33">
        <v>2</v>
      </c>
      <c r="F1644" s="33" t="s">
        <v>3981</v>
      </c>
      <c r="G1644" s="14">
        <f>(VLOOKUP(D1644,'[1]BOM Info General'!$A:$L,12,0))*E1644</f>
        <v>130.12</v>
      </c>
      <c r="H1644" s="34" t="s">
        <v>40</v>
      </c>
      <c r="I1644" s="34">
        <v>1</v>
      </c>
      <c r="J1644" s="34" t="s">
        <v>45</v>
      </c>
      <c r="K1644" s="15">
        <f>(VLOOKUP(H1644,'[1]BOM Info General'!$A:$L,12,0))*I1644</f>
        <v>25.59</v>
      </c>
      <c r="L1644" s="35" t="s">
        <v>63</v>
      </c>
      <c r="M1644" s="35">
        <v>1</v>
      </c>
      <c r="N1644" s="35" t="s">
        <v>62</v>
      </c>
      <c r="O1644" s="9">
        <f>(VLOOKUP(L1644,'[1]Simulation pricing per sub assy'!$D:$E,2,0))*M1644</f>
        <v>95.756400000000042</v>
      </c>
      <c r="P1644" s="36" t="s">
        <v>50</v>
      </c>
      <c r="Q1644" s="36">
        <v>8</v>
      </c>
      <c r="R1644" s="36" t="s">
        <v>16</v>
      </c>
      <c r="S1644" s="40">
        <f>(VLOOKUP(P1644,'[1]BOM Info General'!$A:$L,12,0))*Q1644</f>
        <v>21.2</v>
      </c>
      <c r="T1644" s="37" t="s">
        <v>26</v>
      </c>
      <c r="U1644" s="31">
        <v>1</v>
      </c>
      <c r="V1644" s="37" t="s">
        <v>27</v>
      </c>
      <c r="W1644" s="17">
        <f>(VLOOKUP(T1644,'[1]Simulation pricing per sub assy'!$D:$E,2,0))*U1644</f>
        <v>7.04</v>
      </c>
      <c r="X1644" s="38" t="s">
        <v>616</v>
      </c>
      <c r="Y1644" s="38">
        <v>1</v>
      </c>
      <c r="Z1644" s="38" t="s">
        <v>23</v>
      </c>
      <c r="AA1644" s="18">
        <f>(VLOOKUP(X1644,'[1]Simulation pricing per sub assy'!$D:$E,2,0))*Y1644</f>
        <v>4.4802908000000006</v>
      </c>
    </row>
    <row r="1645" spans="1:27" x14ac:dyDescent="0.35">
      <c r="A1645" s="27" t="s">
        <v>2740</v>
      </c>
      <c r="B1645" s="27" t="s">
        <v>2741</v>
      </c>
      <c r="C1645" s="42">
        <f t="shared" si="25"/>
        <v>283.63669080000005</v>
      </c>
      <c r="D1645" s="33" t="s">
        <v>3540</v>
      </c>
      <c r="E1645" s="33">
        <v>2</v>
      </c>
      <c r="F1645" s="33" t="s">
        <v>3981</v>
      </c>
      <c r="G1645" s="14">
        <f>(VLOOKUP(D1645,'[1]BOM Info General'!$A:$L,12,0))*E1645</f>
        <v>130.12</v>
      </c>
      <c r="H1645" s="34" t="s">
        <v>40</v>
      </c>
      <c r="I1645" s="34">
        <v>1</v>
      </c>
      <c r="J1645" s="34" t="s">
        <v>45</v>
      </c>
      <c r="K1645" s="15">
        <f>(VLOOKUP(H1645,'[1]BOM Info General'!$A:$L,12,0))*I1645</f>
        <v>25.59</v>
      </c>
      <c r="L1645" s="35" t="s">
        <v>69</v>
      </c>
      <c r="M1645" s="35">
        <v>1</v>
      </c>
      <c r="N1645" s="35" t="s">
        <v>66</v>
      </c>
      <c r="O1645" s="9">
        <f>(VLOOKUP(L1645,'[1]Simulation pricing per sub assy'!$D:$E,2,0))*M1645</f>
        <v>95.206400000000031</v>
      </c>
      <c r="P1645" s="36" t="s">
        <v>50</v>
      </c>
      <c r="Q1645" s="36">
        <v>8</v>
      </c>
      <c r="R1645" s="36" t="s">
        <v>16</v>
      </c>
      <c r="S1645" s="40">
        <f>(VLOOKUP(P1645,'[1]BOM Info General'!$A:$L,12,0))*Q1645</f>
        <v>21.2</v>
      </c>
      <c r="T1645" s="37" t="s">
        <v>26</v>
      </c>
      <c r="U1645" s="31">
        <v>1</v>
      </c>
      <c r="V1645" s="37" t="s">
        <v>27</v>
      </c>
      <c r="W1645" s="17">
        <f>(VLOOKUP(T1645,'[1]Simulation pricing per sub assy'!$D:$E,2,0))*U1645</f>
        <v>7.04</v>
      </c>
      <c r="X1645" s="38" t="s">
        <v>616</v>
      </c>
      <c r="Y1645" s="38">
        <v>1</v>
      </c>
      <c r="Z1645" s="38" t="s">
        <v>23</v>
      </c>
      <c r="AA1645" s="18">
        <f>(VLOOKUP(X1645,'[1]Simulation pricing per sub assy'!$D:$E,2,0))*Y1645</f>
        <v>4.4802908000000006</v>
      </c>
    </row>
    <row r="1646" spans="1:27" x14ac:dyDescent="0.35">
      <c r="A1646" s="27" t="s">
        <v>2742</v>
      </c>
      <c r="B1646" s="27" t="s">
        <v>2743</v>
      </c>
      <c r="C1646" s="42">
        <f t="shared" si="25"/>
        <v>291.59669080000003</v>
      </c>
      <c r="D1646" s="33" t="s">
        <v>3540</v>
      </c>
      <c r="E1646" s="33">
        <v>2</v>
      </c>
      <c r="F1646" s="33" t="s">
        <v>3981</v>
      </c>
      <c r="G1646" s="14">
        <f>(VLOOKUP(D1646,'[1]BOM Info General'!$A:$L,12,0))*E1646</f>
        <v>130.12</v>
      </c>
      <c r="H1646" s="34" t="s">
        <v>40</v>
      </c>
      <c r="I1646" s="34">
        <v>1</v>
      </c>
      <c r="J1646" s="34" t="s">
        <v>45</v>
      </c>
      <c r="K1646" s="15">
        <f>(VLOOKUP(H1646,'[1]BOM Info General'!$A:$L,12,0))*I1646</f>
        <v>25.59</v>
      </c>
      <c r="L1646" s="35" t="s">
        <v>65</v>
      </c>
      <c r="M1646" s="35">
        <v>1</v>
      </c>
      <c r="N1646" s="35" t="s">
        <v>68</v>
      </c>
      <c r="O1646" s="9">
        <f>(VLOOKUP(L1646,'[1]Simulation pricing per sub assy'!$D:$E,2,0))*M1646</f>
        <v>103.16640000000004</v>
      </c>
      <c r="P1646" s="36" t="s">
        <v>50</v>
      </c>
      <c r="Q1646" s="36">
        <v>8</v>
      </c>
      <c r="R1646" s="36" t="s">
        <v>16</v>
      </c>
      <c r="S1646" s="40">
        <f>(VLOOKUP(P1646,'[1]BOM Info General'!$A:$L,12,0))*Q1646</f>
        <v>21.2</v>
      </c>
      <c r="T1646" s="37" t="s">
        <v>26</v>
      </c>
      <c r="U1646" s="31">
        <v>1</v>
      </c>
      <c r="V1646" s="37" t="s">
        <v>27</v>
      </c>
      <c r="W1646" s="17">
        <f>(VLOOKUP(T1646,'[1]Simulation pricing per sub assy'!$D:$E,2,0))*U1646</f>
        <v>7.04</v>
      </c>
      <c r="X1646" s="38" t="s">
        <v>616</v>
      </c>
      <c r="Y1646" s="38">
        <v>1</v>
      </c>
      <c r="Z1646" s="38" t="s">
        <v>23</v>
      </c>
      <c r="AA1646" s="18">
        <f>(VLOOKUP(X1646,'[1]Simulation pricing per sub assy'!$D:$E,2,0))*Y1646</f>
        <v>4.4802908000000006</v>
      </c>
    </row>
    <row r="1647" spans="1:27" x14ac:dyDescent="0.35">
      <c r="A1647" s="27" t="s">
        <v>2744</v>
      </c>
      <c r="B1647" s="27" t="s">
        <v>2745</v>
      </c>
      <c r="C1647" s="42">
        <f t="shared" si="25"/>
        <v>283.04669080000002</v>
      </c>
      <c r="D1647" s="33" t="s">
        <v>3540</v>
      </c>
      <c r="E1647" s="33">
        <v>2</v>
      </c>
      <c r="F1647" s="33" t="s">
        <v>3981</v>
      </c>
      <c r="G1647" s="14">
        <f>(VLOOKUP(D1647,'[1]BOM Info General'!$A:$L,12,0))*E1647</f>
        <v>130.12</v>
      </c>
      <c r="H1647" s="34" t="s">
        <v>40</v>
      </c>
      <c r="I1647" s="34">
        <v>1</v>
      </c>
      <c r="J1647" s="34" t="s">
        <v>45</v>
      </c>
      <c r="K1647" s="15">
        <f>(VLOOKUP(H1647,'[1]BOM Info General'!$A:$L,12,0))*I1647</f>
        <v>25.59</v>
      </c>
      <c r="L1647" s="35" t="s">
        <v>524</v>
      </c>
      <c r="M1647" s="35">
        <v>1</v>
      </c>
      <c r="N1647" s="35" t="s">
        <v>70</v>
      </c>
      <c r="O1647" s="9">
        <f>(VLOOKUP(L1647,'[1]Simulation pricing per sub assy'!$D:$E,2,0))*M1647</f>
        <v>94.656400000000033</v>
      </c>
      <c r="P1647" s="36" t="s">
        <v>50</v>
      </c>
      <c r="Q1647" s="36">
        <v>8</v>
      </c>
      <c r="R1647" s="36" t="s">
        <v>16</v>
      </c>
      <c r="S1647" s="40">
        <f>(VLOOKUP(P1647,'[1]BOM Info General'!$A:$L,12,0))*Q1647</f>
        <v>21.2</v>
      </c>
      <c r="T1647" s="37" t="s">
        <v>28</v>
      </c>
      <c r="U1647" s="31">
        <v>1</v>
      </c>
      <c r="V1647" s="37" t="s">
        <v>29</v>
      </c>
      <c r="W1647" s="17">
        <f>(VLOOKUP(T1647,'[1]Simulation pricing per sub assy'!$D:$E,2,0))*U1647</f>
        <v>7</v>
      </c>
      <c r="X1647" s="38" t="s">
        <v>616</v>
      </c>
      <c r="Y1647" s="38">
        <v>1</v>
      </c>
      <c r="Z1647" s="38" t="s">
        <v>23</v>
      </c>
      <c r="AA1647" s="18">
        <f>(VLOOKUP(X1647,'[1]Simulation pricing per sub assy'!$D:$E,2,0))*Y1647</f>
        <v>4.4802908000000006</v>
      </c>
    </row>
    <row r="1648" spans="1:27" x14ac:dyDescent="0.35">
      <c r="A1648" s="27" t="s">
        <v>2746</v>
      </c>
      <c r="B1648" s="27" t="s">
        <v>2747</v>
      </c>
      <c r="C1648" s="42">
        <f t="shared" si="25"/>
        <v>284.14669080000004</v>
      </c>
      <c r="D1648" s="33" t="s">
        <v>3540</v>
      </c>
      <c r="E1648" s="33">
        <v>2</v>
      </c>
      <c r="F1648" s="33" t="s">
        <v>3981</v>
      </c>
      <c r="G1648" s="14">
        <f>(VLOOKUP(D1648,'[1]BOM Info General'!$A:$L,12,0))*E1648</f>
        <v>130.12</v>
      </c>
      <c r="H1648" s="34" t="s">
        <v>40</v>
      </c>
      <c r="I1648" s="34">
        <v>1</v>
      </c>
      <c r="J1648" s="34" t="s">
        <v>45</v>
      </c>
      <c r="K1648" s="15">
        <f>(VLOOKUP(H1648,'[1]BOM Info General'!$A:$L,12,0))*I1648</f>
        <v>25.59</v>
      </c>
      <c r="L1648" s="35" t="s">
        <v>67</v>
      </c>
      <c r="M1648" s="35">
        <v>1</v>
      </c>
      <c r="N1648" s="35" t="s">
        <v>64</v>
      </c>
      <c r="O1648" s="9">
        <f>(VLOOKUP(L1648,'[1]Simulation pricing per sub assy'!$D:$E,2,0))*M1648</f>
        <v>95.756400000000042</v>
      </c>
      <c r="P1648" s="36" t="s">
        <v>50</v>
      </c>
      <c r="Q1648" s="36">
        <v>8</v>
      </c>
      <c r="R1648" s="36" t="s">
        <v>16</v>
      </c>
      <c r="S1648" s="40">
        <f>(VLOOKUP(P1648,'[1]BOM Info General'!$A:$L,12,0))*Q1648</f>
        <v>21.2</v>
      </c>
      <c r="T1648" s="37" t="s">
        <v>28</v>
      </c>
      <c r="U1648" s="31">
        <v>1</v>
      </c>
      <c r="V1648" s="37" t="s">
        <v>29</v>
      </c>
      <c r="W1648" s="17">
        <f>(VLOOKUP(T1648,'[1]Simulation pricing per sub assy'!$D:$E,2,0))*U1648</f>
        <v>7</v>
      </c>
      <c r="X1648" s="38" t="s">
        <v>616</v>
      </c>
      <c r="Y1648" s="38">
        <v>1</v>
      </c>
      <c r="Z1648" s="38" t="s">
        <v>23</v>
      </c>
      <c r="AA1648" s="18">
        <f>(VLOOKUP(X1648,'[1]Simulation pricing per sub assy'!$D:$E,2,0))*Y1648</f>
        <v>4.4802908000000006</v>
      </c>
    </row>
    <row r="1649" spans="1:27" x14ac:dyDescent="0.35">
      <c r="A1649" s="27" t="s">
        <v>2748</v>
      </c>
      <c r="B1649" s="27" t="s">
        <v>2749</v>
      </c>
      <c r="C1649" s="42">
        <f t="shared" si="25"/>
        <v>284.14669080000004</v>
      </c>
      <c r="D1649" s="33" t="s">
        <v>3540</v>
      </c>
      <c r="E1649" s="33">
        <v>2</v>
      </c>
      <c r="F1649" s="33" t="s">
        <v>3981</v>
      </c>
      <c r="G1649" s="14">
        <f>(VLOOKUP(D1649,'[1]BOM Info General'!$A:$L,12,0))*E1649</f>
        <v>130.12</v>
      </c>
      <c r="H1649" s="34" t="s">
        <v>40</v>
      </c>
      <c r="I1649" s="34">
        <v>1</v>
      </c>
      <c r="J1649" s="34" t="s">
        <v>45</v>
      </c>
      <c r="K1649" s="15">
        <f>(VLOOKUP(H1649,'[1]BOM Info General'!$A:$L,12,0))*I1649</f>
        <v>25.59</v>
      </c>
      <c r="L1649" s="35" t="s">
        <v>63</v>
      </c>
      <c r="M1649" s="35">
        <v>1</v>
      </c>
      <c r="N1649" s="35" t="s">
        <v>62</v>
      </c>
      <c r="O1649" s="9">
        <f>(VLOOKUP(L1649,'[1]Simulation pricing per sub assy'!$D:$E,2,0))*M1649</f>
        <v>95.756400000000042</v>
      </c>
      <c r="P1649" s="36" t="s">
        <v>50</v>
      </c>
      <c r="Q1649" s="36">
        <v>8</v>
      </c>
      <c r="R1649" s="36" t="s">
        <v>16</v>
      </c>
      <c r="S1649" s="40">
        <f>(VLOOKUP(P1649,'[1]BOM Info General'!$A:$L,12,0))*Q1649</f>
        <v>21.2</v>
      </c>
      <c r="T1649" s="37" t="s">
        <v>28</v>
      </c>
      <c r="U1649" s="31">
        <v>1</v>
      </c>
      <c r="V1649" s="37" t="s">
        <v>29</v>
      </c>
      <c r="W1649" s="17">
        <f>(VLOOKUP(T1649,'[1]Simulation pricing per sub assy'!$D:$E,2,0))*U1649</f>
        <v>7</v>
      </c>
      <c r="X1649" s="38" t="s">
        <v>616</v>
      </c>
      <c r="Y1649" s="38">
        <v>1</v>
      </c>
      <c r="Z1649" s="38" t="s">
        <v>23</v>
      </c>
      <c r="AA1649" s="18">
        <f>(VLOOKUP(X1649,'[1]Simulation pricing per sub assy'!$D:$E,2,0))*Y1649</f>
        <v>4.4802908000000006</v>
      </c>
    </row>
    <row r="1650" spans="1:27" x14ac:dyDescent="0.35">
      <c r="A1650" s="27" t="s">
        <v>2750</v>
      </c>
      <c r="B1650" s="27" t="s">
        <v>2751</v>
      </c>
      <c r="C1650" s="42">
        <f t="shared" si="25"/>
        <v>283.59669080000003</v>
      </c>
      <c r="D1650" s="33" t="s">
        <v>3540</v>
      </c>
      <c r="E1650" s="33">
        <v>2</v>
      </c>
      <c r="F1650" s="33" t="s">
        <v>3981</v>
      </c>
      <c r="G1650" s="14">
        <f>(VLOOKUP(D1650,'[1]BOM Info General'!$A:$L,12,0))*E1650</f>
        <v>130.12</v>
      </c>
      <c r="H1650" s="34" t="s">
        <v>40</v>
      </c>
      <c r="I1650" s="34">
        <v>1</v>
      </c>
      <c r="J1650" s="34" t="s">
        <v>45</v>
      </c>
      <c r="K1650" s="15">
        <f>(VLOOKUP(H1650,'[1]BOM Info General'!$A:$L,12,0))*I1650</f>
        <v>25.59</v>
      </c>
      <c r="L1650" s="35" t="s">
        <v>69</v>
      </c>
      <c r="M1650" s="35">
        <v>1</v>
      </c>
      <c r="N1650" s="35" t="s">
        <v>66</v>
      </c>
      <c r="O1650" s="9">
        <f>(VLOOKUP(L1650,'[1]Simulation pricing per sub assy'!$D:$E,2,0))*M1650</f>
        <v>95.206400000000031</v>
      </c>
      <c r="P1650" s="36" t="s">
        <v>50</v>
      </c>
      <c r="Q1650" s="36">
        <v>8</v>
      </c>
      <c r="R1650" s="36" t="s">
        <v>16</v>
      </c>
      <c r="S1650" s="40">
        <f>(VLOOKUP(P1650,'[1]BOM Info General'!$A:$L,12,0))*Q1650</f>
        <v>21.2</v>
      </c>
      <c r="T1650" s="37" t="s">
        <v>28</v>
      </c>
      <c r="U1650" s="31">
        <v>1</v>
      </c>
      <c r="V1650" s="37" t="s">
        <v>29</v>
      </c>
      <c r="W1650" s="17">
        <f>(VLOOKUP(T1650,'[1]Simulation pricing per sub assy'!$D:$E,2,0))*U1650</f>
        <v>7</v>
      </c>
      <c r="X1650" s="38" t="s">
        <v>616</v>
      </c>
      <c r="Y1650" s="38">
        <v>1</v>
      </c>
      <c r="Z1650" s="38" t="s">
        <v>23</v>
      </c>
      <c r="AA1650" s="18">
        <f>(VLOOKUP(X1650,'[1]Simulation pricing per sub assy'!$D:$E,2,0))*Y1650</f>
        <v>4.4802908000000006</v>
      </c>
    </row>
    <row r="1651" spans="1:27" x14ac:dyDescent="0.35">
      <c r="A1651" s="27" t="s">
        <v>2752</v>
      </c>
      <c r="B1651" s="27" t="s">
        <v>2753</v>
      </c>
      <c r="C1651" s="42">
        <f t="shared" si="25"/>
        <v>291.55669080000001</v>
      </c>
      <c r="D1651" s="33" t="s">
        <v>3540</v>
      </c>
      <c r="E1651" s="33">
        <v>2</v>
      </c>
      <c r="F1651" s="33" t="s">
        <v>3981</v>
      </c>
      <c r="G1651" s="14">
        <f>(VLOOKUP(D1651,'[1]BOM Info General'!$A:$L,12,0))*E1651</f>
        <v>130.12</v>
      </c>
      <c r="H1651" s="34" t="s">
        <v>40</v>
      </c>
      <c r="I1651" s="34">
        <v>1</v>
      </c>
      <c r="J1651" s="34" t="s">
        <v>45</v>
      </c>
      <c r="K1651" s="15">
        <f>(VLOOKUP(H1651,'[1]BOM Info General'!$A:$L,12,0))*I1651</f>
        <v>25.59</v>
      </c>
      <c r="L1651" s="35" t="s">
        <v>65</v>
      </c>
      <c r="M1651" s="35">
        <v>1</v>
      </c>
      <c r="N1651" s="35" t="s">
        <v>68</v>
      </c>
      <c r="O1651" s="9">
        <f>(VLOOKUP(L1651,'[1]Simulation pricing per sub assy'!$D:$E,2,0))*M1651</f>
        <v>103.16640000000004</v>
      </c>
      <c r="P1651" s="36" t="s">
        <v>50</v>
      </c>
      <c r="Q1651" s="36">
        <v>8</v>
      </c>
      <c r="R1651" s="36" t="s">
        <v>16</v>
      </c>
      <c r="S1651" s="40">
        <f>(VLOOKUP(P1651,'[1]BOM Info General'!$A:$L,12,0))*Q1651</f>
        <v>21.2</v>
      </c>
      <c r="T1651" s="37" t="s">
        <v>28</v>
      </c>
      <c r="U1651" s="31">
        <v>1</v>
      </c>
      <c r="V1651" s="37" t="s">
        <v>29</v>
      </c>
      <c r="W1651" s="17">
        <f>(VLOOKUP(T1651,'[1]Simulation pricing per sub assy'!$D:$E,2,0))*U1651</f>
        <v>7</v>
      </c>
      <c r="X1651" s="38" t="s">
        <v>616</v>
      </c>
      <c r="Y1651" s="38">
        <v>1</v>
      </c>
      <c r="Z1651" s="38" t="s">
        <v>23</v>
      </c>
      <c r="AA1651" s="18">
        <f>(VLOOKUP(X1651,'[1]Simulation pricing per sub assy'!$D:$E,2,0))*Y1651</f>
        <v>4.4802908000000006</v>
      </c>
    </row>
    <row r="1652" spans="1:27" x14ac:dyDescent="0.35">
      <c r="A1652" s="27" t="s">
        <v>2754</v>
      </c>
      <c r="B1652" s="27" t="s">
        <v>2755</v>
      </c>
      <c r="C1652" s="42">
        <f t="shared" si="25"/>
        <v>282.48669080000002</v>
      </c>
      <c r="D1652" s="33" t="s">
        <v>3540</v>
      </c>
      <c r="E1652" s="33">
        <v>2</v>
      </c>
      <c r="F1652" s="33" t="s">
        <v>3981</v>
      </c>
      <c r="G1652" s="14">
        <f>(VLOOKUP(D1652,'[1]BOM Info General'!$A:$L,12,0))*E1652</f>
        <v>130.12</v>
      </c>
      <c r="H1652" s="34" t="s">
        <v>40</v>
      </c>
      <c r="I1652" s="34">
        <v>1</v>
      </c>
      <c r="J1652" s="34" t="s">
        <v>45</v>
      </c>
      <c r="K1652" s="15">
        <f>(VLOOKUP(H1652,'[1]BOM Info General'!$A:$L,12,0))*I1652</f>
        <v>25.59</v>
      </c>
      <c r="L1652" s="35" t="s">
        <v>524</v>
      </c>
      <c r="M1652" s="35">
        <v>1</v>
      </c>
      <c r="N1652" s="35" t="s">
        <v>70</v>
      </c>
      <c r="O1652" s="9">
        <f>(VLOOKUP(L1652,'[1]Simulation pricing per sub assy'!$D:$E,2,0))*M1652</f>
        <v>94.656400000000033</v>
      </c>
      <c r="P1652" s="36" t="s">
        <v>51</v>
      </c>
      <c r="Q1652" s="36">
        <v>8</v>
      </c>
      <c r="R1652" s="36" t="s">
        <v>17</v>
      </c>
      <c r="S1652" s="40">
        <f>(VLOOKUP(P1652,'[1]BOM Info General'!$A:$L,12,0))*Q1652</f>
        <v>21.2</v>
      </c>
      <c r="T1652" s="37" t="s">
        <v>24</v>
      </c>
      <c r="U1652" s="31">
        <v>1</v>
      </c>
      <c r="V1652" s="37" t="s">
        <v>25</v>
      </c>
      <c r="W1652" s="17">
        <f>(VLOOKUP(T1652,'[1]Simulation pricing per sub assy'!$D:$E,2,0))*U1652</f>
        <v>6.44</v>
      </c>
      <c r="X1652" s="38" t="s">
        <v>616</v>
      </c>
      <c r="Y1652" s="38">
        <v>1</v>
      </c>
      <c r="Z1652" s="38" t="s">
        <v>23</v>
      </c>
      <c r="AA1652" s="18">
        <f>(VLOOKUP(X1652,'[1]Simulation pricing per sub assy'!$D:$E,2,0))*Y1652</f>
        <v>4.4802908000000006</v>
      </c>
    </row>
    <row r="1653" spans="1:27" x14ac:dyDescent="0.35">
      <c r="A1653" s="27" t="s">
        <v>2756</v>
      </c>
      <c r="B1653" s="27" t="s">
        <v>2757</v>
      </c>
      <c r="C1653" s="42">
        <f t="shared" si="25"/>
        <v>283.58669080000004</v>
      </c>
      <c r="D1653" s="33" t="s">
        <v>3540</v>
      </c>
      <c r="E1653" s="33">
        <v>2</v>
      </c>
      <c r="F1653" s="33" t="s">
        <v>3981</v>
      </c>
      <c r="G1653" s="14">
        <f>(VLOOKUP(D1653,'[1]BOM Info General'!$A:$L,12,0))*E1653</f>
        <v>130.12</v>
      </c>
      <c r="H1653" s="34" t="s">
        <v>40</v>
      </c>
      <c r="I1653" s="34">
        <v>1</v>
      </c>
      <c r="J1653" s="34" t="s">
        <v>45</v>
      </c>
      <c r="K1653" s="15">
        <f>(VLOOKUP(H1653,'[1]BOM Info General'!$A:$L,12,0))*I1653</f>
        <v>25.59</v>
      </c>
      <c r="L1653" s="35" t="s">
        <v>67</v>
      </c>
      <c r="M1653" s="35">
        <v>1</v>
      </c>
      <c r="N1653" s="35" t="s">
        <v>64</v>
      </c>
      <c r="O1653" s="9">
        <f>(VLOOKUP(L1653,'[1]Simulation pricing per sub assy'!$D:$E,2,0))*M1653</f>
        <v>95.756400000000042</v>
      </c>
      <c r="P1653" s="36" t="s">
        <v>51</v>
      </c>
      <c r="Q1653" s="36">
        <v>8</v>
      </c>
      <c r="R1653" s="36" t="s">
        <v>17</v>
      </c>
      <c r="S1653" s="40">
        <f>(VLOOKUP(P1653,'[1]BOM Info General'!$A:$L,12,0))*Q1653</f>
        <v>21.2</v>
      </c>
      <c r="T1653" s="37" t="s">
        <v>24</v>
      </c>
      <c r="U1653" s="31">
        <v>1</v>
      </c>
      <c r="V1653" s="37" t="s">
        <v>25</v>
      </c>
      <c r="W1653" s="17">
        <f>(VLOOKUP(T1653,'[1]Simulation pricing per sub assy'!$D:$E,2,0))*U1653</f>
        <v>6.44</v>
      </c>
      <c r="X1653" s="38" t="s">
        <v>616</v>
      </c>
      <c r="Y1653" s="38">
        <v>1</v>
      </c>
      <c r="Z1653" s="38" t="s">
        <v>23</v>
      </c>
      <c r="AA1653" s="18">
        <f>(VLOOKUP(X1653,'[1]Simulation pricing per sub assy'!$D:$E,2,0))*Y1653</f>
        <v>4.4802908000000006</v>
      </c>
    </row>
    <row r="1654" spans="1:27" x14ac:dyDescent="0.35">
      <c r="A1654" s="27" t="s">
        <v>2758</v>
      </c>
      <c r="B1654" s="27" t="s">
        <v>2759</v>
      </c>
      <c r="C1654" s="42">
        <f t="shared" si="25"/>
        <v>283.58669080000004</v>
      </c>
      <c r="D1654" s="33" t="s">
        <v>3540</v>
      </c>
      <c r="E1654" s="33">
        <v>2</v>
      </c>
      <c r="F1654" s="33" t="s">
        <v>3981</v>
      </c>
      <c r="G1654" s="14">
        <f>(VLOOKUP(D1654,'[1]BOM Info General'!$A:$L,12,0))*E1654</f>
        <v>130.12</v>
      </c>
      <c r="H1654" s="34" t="s">
        <v>40</v>
      </c>
      <c r="I1654" s="34">
        <v>1</v>
      </c>
      <c r="J1654" s="34" t="s">
        <v>45</v>
      </c>
      <c r="K1654" s="15">
        <f>(VLOOKUP(H1654,'[1]BOM Info General'!$A:$L,12,0))*I1654</f>
        <v>25.59</v>
      </c>
      <c r="L1654" s="35" t="s">
        <v>63</v>
      </c>
      <c r="M1654" s="35">
        <v>1</v>
      </c>
      <c r="N1654" s="35" t="s">
        <v>62</v>
      </c>
      <c r="O1654" s="9">
        <f>(VLOOKUP(L1654,'[1]Simulation pricing per sub assy'!$D:$E,2,0))*M1654</f>
        <v>95.756400000000042</v>
      </c>
      <c r="P1654" s="36" t="s">
        <v>51</v>
      </c>
      <c r="Q1654" s="36">
        <v>8</v>
      </c>
      <c r="R1654" s="36" t="s">
        <v>17</v>
      </c>
      <c r="S1654" s="40">
        <f>(VLOOKUP(P1654,'[1]BOM Info General'!$A:$L,12,0))*Q1654</f>
        <v>21.2</v>
      </c>
      <c r="T1654" s="37" t="s">
        <v>24</v>
      </c>
      <c r="U1654" s="31">
        <v>1</v>
      </c>
      <c r="V1654" s="37" t="s">
        <v>25</v>
      </c>
      <c r="W1654" s="17">
        <f>(VLOOKUP(T1654,'[1]Simulation pricing per sub assy'!$D:$E,2,0))*U1654</f>
        <v>6.44</v>
      </c>
      <c r="X1654" s="38" t="s">
        <v>616</v>
      </c>
      <c r="Y1654" s="38">
        <v>1</v>
      </c>
      <c r="Z1654" s="38" t="s">
        <v>23</v>
      </c>
      <c r="AA1654" s="18">
        <f>(VLOOKUP(X1654,'[1]Simulation pricing per sub assy'!$D:$E,2,0))*Y1654</f>
        <v>4.4802908000000006</v>
      </c>
    </row>
    <row r="1655" spans="1:27" x14ac:dyDescent="0.35">
      <c r="A1655" s="27" t="s">
        <v>2760</v>
      </c>
      <c r="B1655" s="27" t="s">
        <v>2761</v>
      </c>
      <c r="C1655" s="42">
        <f t="shared" si="25"/>
        <v>283.03669080000003</v>
      </c>
      <c r="D1655" s="33" t="s">
        <v>3540</v>
      </c>
      <c r="E1655" s="33">
        <v>2</v>
      </c>
      <c r="F1655" s="33" t="s">
        <v>3981</v>
      </c>
      <c r="G1655" s="14">
        <f>(VLOOKUP(D1655,'[1]BOM Info General'!$A:$L,12,0))*E1655</f>
        <v>130.12</v>
      </c>
      <c r="H1655" s="34" t="s">
        <v>40</v>
      </c>
      <c r="I1655" s="34">
        <v>1</v>
      </c>
      <c r="J1655" s="34" t="s">
        <v>45</v>
      </c>
      <c r="K1655" s="15">
        <f>(VLOOKUP(H1655,'[1]BOM Info General'!$A:$L,12,0))*I1655</f>
        <v>25.59</v>
      </c>
      <c r="L1655" s="35" t="s">
        <v>69</v>
      </c>
      <c r="M1655" s="35">
        <v>1</v>
      </c>
      <c r="N1655" s="35" t="s">
        <v>66</v>
      </c>
      <c r="O1655" s="9">
        <f>(VLOOKUP(L1655,'[1]Simulation pricing per sub assy'!$D:$E,2,0))*M1655</f>
        <v>95.206400000000031</v>
      </c>
      <c r="P1655" s="36" t="s">
        <v>51</v>
      </c>
      <c r="Q1655" s="36">
        <v>8</v>
      </c>
      <c r="R1655" s="36" t="s">
        <v>17</v>
      </c>
      <c r="S1655" s="40">
        <f>(VLOOKUP(P1655,'[1]BOM Info General'!$A:$L,12,0))*Q1655</f>
        <v>21.2</v>
      </c>
      <c r="T1655" s="37" t="s">
        <v>24</v>
      </c>
      <c r="U1655" s="31">
        <v>1</v>
      </c>
      <c r="V1655" s="37" t="s">
        <v>25</v>
      </c>
      <c r="W1655" s="17">
        <f>(VLOOKUP(T1655,'[1]Simulation pricing per sub assy'!$D:$E,2,0))*U1655</f>
        <v>6.44</v>
      </c>
      <c r="X1655" s="38" t="s">
        <v>616</v>
      </c>
      <c r="Y1655" s="38">
        <v>1</v>
      </c>
      <c r="Z1655" s="38" t="s">
        <v>23</v>
      </c>
      <c r="AA1655" s="18">
        <f>(VLOOKUP(X1655,'[1]Simulation pricing per sub assy'!$D:$E,2,0))*Y1655</f>
        <v>4.4802908000000006</v>
      </c>
    </row>
    <row r="1656" spans="1:27" x14ac:dyDescent="0.35">
      <c r="A1656" s="27" t="s">
        <v>2762</v>
      </c>
      <c r="B1656" s="27" t="s">
        <v>2763</v>
      </c>
      <c r="C1656" s="42">
        <f t="shared" si="25"/>
        <v>290.99669080000001</v>
      </c>
      <c r="D1656" s="33" t="s">
        <v>3540</v>
      </c>
      <c r="E1656" s="33">
        <v>2</v>
      </c>
      <c r="F1656" s="33" t="s">
        <v>3981</v>
      </c>
      <c r="G1656" s="14">
        <f>(VLOOKUP(D1656,'[1]BOM Info General'!$A:$L,12,0))*E1656</f>
        <v>130.12</v>
      </c>
      <c r="H1656" s="34" t="s">
        <v>40</v>
      </c>
      <c r="I1656" s="34">
        <v>1</v>
      </c>
      <c r="J1656" s="34" t="s">
        <v>45</v>
      </c>
      <c r="K1656" s="15">
        <f>(VLOOKUP(H1656,'[1]BOM Info General'!$A:$L,12,0))*I1656</f>
        <v>25.59</v>
      </c>
      <c r="L1656" s="35" t="s">
        <v>65</v>
      </c>
      <c r="M1656" s="35">
        <v>1</v>
      </c>
      <c r="N1656" s="35" t="s">
        <v>68</v>
      </c>
      <c r="O1656" s="9">
        <f>(VLOOKUP(L1656,'[1]Simulation pricing per sub assy'!$D:$E,2,0))*M1656</f>
        <v>103.16640000000004</v>
      </c>
      <c r="P1656" s="36" t="s">
        <v>51</v>
      </c>
      <c r="Q1656" s="36">
        <v>8</v>
      </c>
      <c r="R1656" s="36" t="s">
        <v>17</v>
      </c>
      <c r="S1656" s="40">
        <f>(VLOOKUP(P1656,'[1]BOM Info General'!$A:$L,12,0))*Q1656</f>
        <v>21.2</v>
      </c>
      <c r="T1656" s="37" t="s">
        <v>24</v>
      </c>
      <c r="U1656" s="31">
        <v>1</v>
      </c>
      <c r="V1656" s="37" t="s">
        <v>25</v>
      </c>
      <c r="W1656" s="17">
        <f>(VLOOKUP(T1656,'[1]Simulation pricing per sub assy'!$D:$E,2,0))*U1656</f>
        <v>6.44</v>
      </c>
      <c r="X1656" s="38" t="s">
        <v>616</v>
      </c>
      <c r="Y1656" s="38">
        <v>1</v>
      </c>
      <c r="Z1656" s="38" t="s">
        <v>23</v>
      </c>
      <c r="AA1656" s="18">
        <f>(VLOOKUP(X1656,'[1]Simulation pricing per sub assy'!$D:$E,2,0))*Y1656</f>
        <v>4.4802908000000006</v>
      </c>
    </row>
    <row r="1657" spans="1:27" x14ac:dyDescent="0.35">
      <c r="A1657" s="27" t="s">
        <v>2764</v>
      </c>
      <c r="B1657" s="27" t="s">
        <v>2765</v>
      </c>
      <c r="C1657" s="42">
        <f t="shared" si="25"/>
        <v>283.08669080000004</v>
      </c>
      <c r="D1657" s="33" t="s">
        <v>3540</v>
      </c>
      <c r="E1657" s="33">
        <v>2</v>
      </c>
      <c r="F1657" s="33" t="s">
        <v>3981</v>
      </c>
      <c r="G1657" s="14">
        <f>(VLOOKUP(D1657,'[1]BOM Info General'!$A:$L,12,0))*E1657</f>
        <v>130.12</v>
      </c>
      <c r="H1657" s="34" t="s">
        <v>40</v>
      </c>
      <c r="I1657" s="34">
        <v>1</v>
      </c>
      <c r="J1657" s="34" t="s">
        <v>45</v>
      </c>
      <c r="K1657" s="15">
        <f>(VLOOKUP(H1657,'[1]BOM Info General'!$A:$L,12,0))*I1657</f>
        <v>25.59</v>
      </c>
      <c r="L1657" s="35" t="s">
        <v>524</v>
      </c>
      <c r="M1657" s="35">
        <v>1</v>
      </c>
      <c r="N1657" s="35" t="s">
        <v>70</v>
      </c>
      <c r="O1657" s="9">
        <f>(VLOOKUP(L1657,'[1]Simulation pricing per sub assy'!$D:$E,2,0))*M1657</f>
        <v>94.656400000000033</v>
      </c>
      <c r="P1657" s="36" t="s">
        <v>51</v>
      </c>
      <c r="Q1657" s="36">
        <v>8</v>
      </c>
      <c r="R1657" s="36" t="s">
        <v>17</v>
      </c>
      <c r="S1657" s="40">
        <f>(VLOOKUP(P1657,'[1]BOM Info General'!$A:$L,12,0))*Q1657</f>
        <v>21.2</v>
      </c>
      <c r="T1657" s="37" t="s">
        <v>26</v>
      </c>
      <c r="U1657" s="31">
        <v>1</v>
      </c>
      <c r="V1657" s="37" t="s">
        <v>27</v>
      </c>
      <c r="W1657" s="17">
        <f>(VLOOKUP(T1657,'[1]Simulation pricing per sub assy'!$D:$E,2,0))*U1657</f>
        <v>7.04</v>
      </c>
      <c r="X1657" s="38" t="s">
        <v>616</v>
      </c>
      <c r="Y1657" s="38">
        <v>1</v>
      </c>
      <c r="Z1657" s="38" t="s">
        <v>23</v>
      </c>
      <c r="AA1657" s="18">
        <f>(VLOOKUP(X1657,'[1]Simulation pricing per sub assy'!$D:$E,2,0))*Y1657</f>
        <v>4.4802908000000006</v>
      </c>
    </row>
    <row r="1658" spans="1:27" x14ac:dyDescent="0.35">
      <c r="A1658" s="27" t="s">
        <v>2766</v>
      </c>
      <c r="B1658" s="27" t="s">
        <v>2767</v>
      </c>
      <c r="C1658" s="42">
        <f t="shared" si="25"/>
        <v>284.18669080000006</v>
      </c>
      <c r="D1658" s="33" t="s">
        <v>3540</v>
      </c>
      <c r="E1658" s="33">
        <v>2</v>
      </c>
      <c r="F1658" s="33" t="s">
        <v>3981</v>
      </c>
      <c r="G1658" s="14">
        <f>(VLOOKUP(D1658,'[1]BOM Info General'!$A:$L,12,0))*E1658</f>
        <v>130.12</v>
      </c>
      <c r="H1658" s="34" t="s">
        <v>40</v>
      </c>
      <c r="I1658" s="34">
        <v>1</v>
      </c>
      <c r="J1658" s="34" t="s">
        <v>45</v>
      </c>
      <c r="K1658" s="15">
        <f>(VLOOKUP(H1658,'[1]BOM Info General'!$A:$L,12,0))*I1658</f>
        <v>25.59</v>
      </c>
      <c r="L1658" s="35" t="s">
        <v>67</v>
      </c>
      <c r="M1658" s="35">
        <v>1</v>
      </c>
      <c r="N1658" s="35" t="s">
        <v>64</v>
      </c>
      <c r="O1658" s="9">
        <f>(VLOOKUP(L1658,'[1]Simulation pricing per sub assy'!$D:$E,2,0))*M1658</f>
        <v>95.756400000000042</v>
      </c>
      <c r="P1658" s="36" t="s">
        <v>51</v>
      </c>
      <c r="Q1658" s="36">
        <v>8</v>
      </c>
      <c r="R1658" s="36" t="s">
        <v>17</v>
      </c>
      <c r="S1658" s="40">
        <f>(VLOOKUP(P1658,'[1]BOM Info General'!$A:$L,12,0))*Q1658</f>
        <v>21.2</v>
      </c>
      <c r="T1658" s="37" t="s">
        <v>26</v>
      </c>
      <c r="U1658" s="31">
        <v>1</v>
      </c>
      <c r="V1658" s="37" t="s">
        <v>27</v>
      </c>
      <c r="W1658" s="17">
        <f>(VLOOKUP(T1658,'[1]Simulation pricing per sub assy'!$D:$E,2,0))*U1658</f>
        <v>7.04</v>
      </c>
      <c r="X1658" s="38" t="s">
        <v>616</v>
      </c>
      <c r="Y1658" s="38">
        <v>1</v>
      </c>
      <c r="Z1658" s="38" t="s">
        <v>23</v>
      </c>
      <c r="AA1658" s="18">
        <f>(VLOOKUP(X1658,'[1]Simulation pricing per sub assy'!$D:$E,2,0))*Y1658</f>
        <v>4.4802908000000006</v>
      </c>
    </row>
    <row r="1659" spans="1:27" x14ac:dyDescent="0.35">
      <c r="A1659" s="27" t="s">
        <v>2768</v>
      </c>
      <c r="B1659" s="27" t="s">
        <v>2769</v>
      </c>
      <c r="C1659" s="42">
        <f t="shared" si="25"/>
        <v>284.18669080000006</v>
      </c>
      <c r="D1659" s="33" t="s">
        <v>3540</v>
      </c>
      <c r="E1659" s="33">
        <v>2</v>
      </c>
      <c r="F1659" s="33" t="s">
        <v>3981</v>
      </c>
      <c r="G1659" s="14">
        <f>(VLOOKUP(D1659,'[1]BOM Info General'!$A:$L,12,0))*E1659</f>
        <v>130.12</v>
      </c>
      <c r="H1659" s="34" t="s">
        <v>40</v>
      </c>
      <c r="I1659" s="34">
        <v>1</v>
      </c>
      <c r="J1659" s="34" t="s">
        <v>45</v>
      </c>
      <c r="K1659" s="15">
        <f>(VLOOKUP(H1659,'[1]BOM Info General'!$A:$L,12,0))*I1659</f>
        <v>25.59</v>
      </c>
      <c r="L1659" s="35" t="s">
        <v>63</v>
      </c>
      <c r="M1659" s="35">
        <v>1</v>
      </c>
      <c r="N1659" s="35" t="s">
        <v>62</v>
      </c>
      <c r="O1659" s="9">
        <f>(VLOOKUP(L1659,'[1]Simulation pricing per sub assy'!$D:$E,2,0))*M1659</f>
        <v>95.756400000000042</v>
      </c>
      <c r="P1659" s="36" t="s">
        <v>51</v>
      </c>
      <c r="Q1659" s="36">
        <v>8</v>
      </c>
      <c r="R1659" s="36" t="s">
        <v>17</v>
      </c>
      <c r="S1659" s="40">
        <f>(VLOOKUP(P1659,'[1]BOM Info General'!$A:$L,12,0))*Q1659</f>
        <v>21.2</v>
      </c>
      <c r="T1659" s="37" t="s">
        <v>26</v>
      </c>
      <c r="U1659" s="31">
        <v>1</v>
      </c>
      <c r="V1659" s="37" t="s">
        <v>27</v>
      </c>
      <c r="W1659" s="17">
        <f>(VLOOKUP(T1659,'[1]Simulation pricing per sub assy'!$D:$E,2,0))*U1659</f>
        <v>7.04</v>
      </c>
      <c r="X1659" s="38" t="s">
        <v>616</v>
      </c>
      <c r="Y1659" s="38">
        <v>1</v>
      </c>
      <c r="Z1659" s="38" t="s">
        <v>23</v>
      </c>
      <c r="AA1659" s="18">
        <f>(VLOOKUP(X1659,'[1]Simulation pricing per sub assy'!$D:$E,2,0))*Y1659</f>
        <v>4.4802908000000006</v>
      </c>
    </row>
    <row r="1660" spans="1:27" x14ac:dyDescent="0.35">
      <c r="A1660" s="27" t="s">
        <v>2770</v>
      </c>
      <c r="B1660" s="27" t="s">
        <v>2771</v>
      </c>
      <c r="C1660" s="42">
        <f t="shared" si="25"/>
        <v>283.63669080000005</v>
      </c>
      <c r="D1660" s="33" t="s">
        <v>3540</v>
      </c>
      <c r="E1660" s="33">
        <v>2</v>
      </c>
      <c r="F1660" s="33" t="s">
        <v>3981</v>
      </c>
      <c r="G1660" s="14">
        <f>(VLOOKUP(D1660,'[1]BOM Info General'!$A:$L,12,0))*E1660</f>
        <v>130.12</v>
      </c>
      <c r="H1660" s="34" t="s">
        <v>40</v>
      </c>
      <c r="I1660" s="34">
        <v>1</v>
      </c>
      <c r="J1660" s="34" t="s">
        <v>45</v>
      </c>
      <c r="K1660" s="15">
        <f>(VLOOKUP(H1660,'[1]BOM Info General'!$A:$L,12,0))*I1660</f>
        <v>25.59</v>
      </c>
      <c r="L1660" s="35" t="s">
        <v>69</v>
      </c>
      <c r="M1660" s="35">
        <v>1</v>
      </c>
      <c r="N1660" s="35" t="s">
        <v>66</v>
      </c>
      <c r="O1660" s="9">
        <f>(VLOOKUP(L1660,'[1]Simulation pricing per sub assy'!$D:$E,2,0))*M1660</f>
        <v>95.206400000000031</v>
      </c>
      <c r="P1660" s="36" t="s">
        <v>51</v>
      </c>
      <c r="Q1660" s="36">
        <v>8</v>
      </c>
      <c r="R1660" s="36" t="s">
        <v>17</v>
      </c>
      <c r="S1660" s="40">
        <f>(VLOOKUP(P1660,'[1]BOM Info General'!$A:$L,12,0))*Q1660</f>
        <v>21.2</v>
      </c>
      <c r="T1660" s="37" t="s">
        <v>26</v>
      </c>
      <c r="U1660" s="31">
        <v>1</v>
      </c>
      <c r="V1660" s="37" t="s">
        <v>27</v>
      </c>
      <c r="W1660" s="17">
        <f>(VLOOKUP(T1660,'[1]Simulation pricing per sub assy'!$D:$E,2,0))*U1660</f>
        <v>7.04</v>
      </c>
      <c r="X1660" s="38" t="s">
        <v>616</v>
      </c>
      <c r="Y1660" s="38">
        <v>1</v>
      </c>
      <c r="Z1660" s="38" t="s">
        <v>23</v>
      </c>
      <c r="AA1660" s="18">
        <f>(VLOOKUP(X1660,'[1]Simulation pricing per sub assy'!$D:$E,2,0))*Y1660</f>
        <v>4.4802908000000006</v>
      </c>
    </row>
    <row r="1661" spans="1:27" x14ac:dyDescent="0.35">
      <c r="A1661" s="27" t="s">
        <v>2772</v>
      </c>
      <c r="B1661" s="27" t="s">
        <v>2773</v>
      </c>
      <c r="C1661" s="42">
        <f t="shared" si="25"/>
        <v>291.59669080000003</v>
      </c>
      <c r="D1661" s="33" t="s">
        <v>3540</v>
      </c>
      <c r="E1661" s="33">
        <v>2</v>
      </c>
      <c r="F1661" s="33" t="s">
        <v>3981</v>
      </c>
      <c r="G1661" s="14">
        <f>(VLOOKUP(D1661,'[1]BOM Info General'!$A:$L,12,0))*E1661</f>
        <v>130.12</v>
      </c>
      <c r="H1661" s="34" t="s">
        <v>40</v>
      </c>
      <c r="I1661" s="34">
        <v>1</v>
      </c>
      <c r="J1661" s="34" t="s">
        <v>45</v>
      </c>
      <c r="K1661" s="15">
        <f>(VLOOKUP(H1661,'[1]BOM Info General'!$A:$L,12,0))*I1661</f>
        <v>25.59</v>
      </c>
      <c r="L1661" s="35" t="s">
        <v>65</v>
      </c>
      <c r="M1661" s="35">
        <v>1</v>
      </c>
      <c r="N1661" s="35" t="s">
        <v>68</v>
      </c>
      <c r="O1661" s="9">
        <f>(VLOOKUP(L1661,'[1]Simulation pricing per sub assy'!$D:$E,2,0))*M1661</f>
        <v>103.16640000000004</v>
      </c>
      <c r="P1661" s="36" t="s">
        <v>51</v>
      </c>
      <c r="Q1661" s="36">
        <v>8</v>
      </c>
      <c r="R1661" s="36" t="s">
        <v>17</v>
      </c>
      <c r="S1661" s="40">
        <f>(VLOOKUP(P1661,'[1]BOM Info General'!$A:$L,12,0))*Q1661</f>
        <v>21.2</v>
      </c>
      <c r="T1661" s="37" t="s">
        <v>26</v>
      </c>
      <c r="U1661" s="31">
        <v>1</v>
      </c>
      <c r="V1661" s="37" t="s">
        <v>27</v>
      </c>
      <c r="W1661" s="17">
        <f>(VLOOKUP(T1661,'[1]Simulation pricing per sub assy'!$D:$E,2,0))*U1661</f>
        <v>7.04</v>
      </c>
      <c r="X1661" s="38" t="s">
        <v>616</v>
      </c>
      <c r="Y1661" s="38">
        <v>1</v>
      </c>
      <c r="Z1661" s="38" t="s">
        <v>23</v>
      </c>
      <c r="AA1661" s="18">
        <f>(VLOOKUP(X1661,'[1]Simulation pricing per sub assy'!$D:$E,2,0))*Y1661</f>
        <v>4.4802908000000006</v>
      </c>
    </row>
    <row r="1662" spans="1:27" x14ac:dyDescent="0.35">
      <c r="A1662" s="27" t="s">
        <v>2774</v>
      </c>
      <c r="B1662" s="27" t="s">
        <v>2775</v>
      </c>
      <c r="C1662" s="42">
        <f t="shared" si="25"/>
        <v>283.04669080000002</v>
      </c>
      <c r="D1662" s="33" t="s">
        <v>3540</v>
      </c>
      <c r="E1662" s="33">
        <v>2</v>
      </c>
      <c r="F1662" s="33" t="s">
        <v>3981</v>
      </c>
      <c r="G1662" s="14">
        <f>(VLOOKUP(D1662,'[1]BOM Info General'!$A:$L,12,0))*E1662</f>
        <v>130.12</v>
      </c>
      <c r="H1662" s="34" t="s">
        <v>40</v>
      </c>
      <c r="I1662" s="34">
        <v>1</v>
      </c>
      <c r="J1662" s="34" t="s">
        <v>45</v>
      </c>
      <c r="K1662" s="15">
        <f>(VLOOKUP(H1662,'[1]BOM Info General'!$A:$L,12,0))*I1662</f>
        <v>25.59</v>
      </c>
      <c r="L1662" s="35" t="s">
        <v>524</v>
      </c>
      <c r="M1662" s="35">
        <v>1</v>
      </c>
      <c r="N1662" s="35" t="s">
        <v>70</v>
      </c>
      <c r="O1662" s="9">
        <f>(VLOOKUP(L1662,'[1]Simulation pricing per sub assy'!$D:$E,2,0))*M1662</f>
        <v>94.656400000000033</v>
      </c>
      <c r="P1662" s="36" t="s">
        <v>51</v>
      </c>
      <c r="Q1662" s="36">
        <v>8</v>
      </c>
      <c r="R1662" s="36" t="s">
        <v>17</v>
      </c>
      <c r="S1662" s="40">
        <f>(VLOOKUP(P1662,'[1]BOM Info General'!$A:$L,12,0))*Q1662</f>
        <v>21.2</v>
      </c>
      <c r="T1662" s="37" t="s">
        <v>28</v>
      </c>
      <c r="U1662" s="31">
        <v>1</v>
      </c>
      <c r="V1662" s="37" t="s">
        <v>29</v>
      </c>
      <c r="W1662" s="17">
        <f>(VLOOKUP(T1662,'[1]Simulation pricing per sub assy'!$D:$E,2,0))*U1662</f>
        <v>7</v>
      </c>
      <c r="X1662" s="38" t="s">
        <v>616</v>
      </c>
      <c r="Y1662" s="38">
        <v>1</v>
      </c>
      <c r="Z1662" s="38" t="s">
        <v>23</v>
      </c>
      <c r="AA1662" s="18">
        <f>(VLOOKUP(X1662,'[1]Simulation pricing per sub assy'!$D:$E,2,0))*Y1662</f>
        <v>4.4802908000000006</v>
      </c>
    </row>
    <row r="1663" spans="1:27" x14ac:dyDescent="0.35">
      <c r="A1663" s="27" t="s">
        <v>2776</v>
      </c>
      <c r="B1663" s="27" t="s">
        <v>2777</v>
      </c>
      <c r="C1663" s="42">
        <f t="shared" si="25"/>
        <v>284.14669080000004</v>
      </c>
      <c r="D1663" s="33" t="s">
        <v>3540</v>
      </c>
      <c r="E1663" s="33">
        <v>2</v>
      </c>
      <c r="F1663" s="33" t="s">
        <v>3981</v>
      </c>
      <c r="G1663" s="14">
        <f>(VLOOKUP(D1663,'[1]BOM Info General'!$A:$L,12,0))*E1663</f>
        <v>130.12</v>
      </c>
      <c r="H1663" s="34" t="s">
        <v>40</v>
      </c>
      <c r="I1663" s="34">
        <v>1</v>
      </c>
      <c r="J1663" s="34" t="s">
        <v>45</v>
      </c>
      <c r="K1663" s="15">
        <f>(VLOOKUP(H1663,'[1]BOM Info General'!$A:$L,12,0))*I1663</f>
        <v>25.59</v>
      </c>
      <c r="L1663" s="35" t="s">
        <v>67</v>
      </c>
      <c r="M1663" s="35">
        <v>1</v>
      </c>
      <c r="N1663" s="35" t="s">
        <v>64</v>
      </c>
      <c r="O1663" s="9">
        <f>(VLOOKUP(L1663,'[1]Simulation pricing per sub assy'!$D:$E,2,0))*M1663</f>
        <v>95.756400000000042</v>
      </c>
      <c r="P1663" s="36" t="s">
        <v>51</v>
      </c>
      <c r="Q1663" s="36">
        <v>8</v>
      </c>
      <c r="R1663" s="36" t="s">
        <v>17</v>
      </c>
      <c r="S1663" s="40">
        <f>(VLOOKUP(P1663,'[1]BOM Info General'!$A:$L,12,0))*Q1663</f>
        <v>21.2</v>
      </c>
      <c r="T1663" s="37" t="s">
        <v>28</v>
      </c>
      <c r="U1663" s="31">
        <v>1</v>
      </c>
      <c r="V1663" s="37" t="s">
        <v>29</v>
      </c>
      <c r="W1663" s="17">
        <f>(VLOOKUP(T1663,'[1]Simulation pricing per sub assy'!$D:$E,2,0))*U1663</f>
        <v>7</v>
      </c>
      <c r="X1663" s="38" t="s">
        <v>616</v>
      </c>
      <c r="Y1663" s="38">
        <v>1</v>
      </c>
      <c r="Z1663" s="38" t="s">
        <v>23</v>
      </c>
      <c r="AA1663" s="18">
        <f>(VLOOKUP(X1663,'[1]Simulation pricing per sub assy'!$D:$E,2,0))*Y1663</f>
        <v>4.4802908000000006</v>
      </c>
    </row>
    <row r="1664" spans="1:27" x14ac:dyDescent="0.35">
      <c r="A1664" s="27" t="s">
        <v>2778</v>
      </c>
      <c r="B1664" s="27" t="s">
        <v>2779</v>
      </c>
      <c r="C1664" s="42">
        <f t="shared" si="25"/>
        <v>284.14669080000004</v>
      </c>
      <c r="D1664" s="33" t="s">
        <v>3540</v>
      </c>
      <c r="E1664" s="33">
        <v>2</v>
      </c>
      <c r="F1664" s="33" t="s">
        <v>3981</v>
      </c>
      <c r="G1664" s="14">
        <f>(VLOOKUP(D1664,'[1]BOM Info General'!$A:$L,12,0))*E1664</f>
        <v>130.12</v>
      </c>
      <c r="H1664" s="34" t="s">
        <v>40</v>
      </c>
      <c r="I1664" s="34">
        <v>1</v>
      </c>
      <c r="J1664" s="34" t="s">
        <v>45</v>
      </c>
      <c r="K1664" s="15">
        <f>(VLOOKUP(H1664,'[1]BOM Info General'!$A:$L,12,0))*I1664</f>
        <v>25.59</v>
      </c>
      <c r="L1664" s="35" t="s">
        <v>63</v>
      </c>
      <c r="M1664" s="35">
        <v>1</v>
      </c>
      <c r="N1664" s="35" t="s">
        <v>62</v>
      </c>
      <c r="O1664" s="9">
        <f>(VLOOKUP(L1664,'[1]Simulation pricing per sub assy'!$D:$E,2,0))*M1664</f>
        <v>95.756400000000042</v>
      </c>
      <c r="P1664" s="36" t="s">
        <v>51</v>
      </c>
      <c r="Q1664" s="36">
        <v>8</v>
      </c>
      <c r="R1664" s="36" t="s">
        <v>17</v>
      </c>
      <c r="S1664" s="40">
        <f>(VLOOKUP(P1664,'[1]BOM Info General'!$A:$L,12,0))*Q1664</f>
        <v>21.2</v>
      </c>
      <c r="T1664" s="37" t="s">
        <v>28</v>
      </c>
      <c r="U1664" s="31">
        <v>1</v>
      </c>
      <c r="V1664" s="37" t="s">
        <v>29</v>
      </c>
      <c r="W1664" s="17">
        <f>(VLOOKUP(T1664,'[1]Simulation pricing per sub assy'!$D:$E,2,0))*U1664</f>
        <v>7</v>
      </c>
      <c r="X1664" s="38" t="s">
        <v>616</v>
      </c>
      <c r="Y1664" s="38">
        <v>1</v>
      </c>
      <c r="Z1664" s="38" t="s">
        <v>23</v>
      </c>
      <c r="AA1664" s="18">
        <f>(VLOOKUP(X1664,'[1]Simulation pricing per sub assy'!$D:$E,2,0))*Y1664</f>
        <v>4.4802908000000006</v>
      </c>
    </row>
    <row r="1665" spans="1:27" x14ac:dyDescent="0.35">
      <c r="A1665" s="27" t="s">
        <v>2780</v>
      </c>
      <c r="B1665" s="27" t="s">
        <v>2781</v>
      </c>
      <c r="C1665" s="42">
        <f t="shared" si="25"/>
        <v>283.59669080000003</v>
      </c>
      <c r="D1665" s="33" t="s">
        <v>3540</v>
      </c>
      <c r="E1665" s="33">
        <v>2</v>
      </c>
      <c r="F1665" s="33" t="s">
        <v>3981</v>
      </c>
      <c r="G1665" s="14">
        <f>(VLOOKUP(D1665,'[1]BOM Info General'!$A:$L,12,0))*E1665</f>
        <v>130.12</v>
      </c>
      <c r="H1665" s="34" t="s">
        <v>40</v>
      </c>
      <c r="I1665" s="34">
        <v>1</v>
      </c>
      <c r="J1665" s="34" t="s">
        <v>45</v>
      </c>
      <c r="K1665" s="15">
        <f>(VLOOKUP(H1665,'[1]BOM Info General'!$A:$L,12,0))*I1665</f>
        <v>25.59</v>
      </c>
      <c r="L1665" s="35" t="s">
        <v>69</v>
      </c>
      <c r="M1665" s="35">
        <v>1</v>
      </c>
      <c r="N1665" s="35" t="s">
        <v>66</v>
      </c>
      <c r="O1665" s="9">
        <f>(VLOOKUP(L1665,'[1]Simulation pricing per sub assy'!$D:$E,2,0))*M1665</f>
        <v>95.206400000000031</v>
      </c>
      <c r="P1665" s="36" t="s">
        <v>51</v>
      </c>
      <c r="Q1665" s="36">
        <v>8</v>
      </c>
      <c r="R1665" s="36" t="s">
        <v>17</v>
      </c>
      <c r="S1665" s="40">
        <f>(VLOOKUP(P1665,'[1]BOM Info General'!$A:$L,12,0))*Q1665</f>
        <v>21.2</v>
      </c>
      <c r="T1665" s="37" t="s">
        <v>28</v>
      </c>
      <c r="U1665" s="31">
        <v>1</v>
      </c>
      <c r="V1665" s="37" t="s">
        <v>29</v>
      </c>
      <c r="W1665" s="17">
        <f>(VLOOKUP(T1665,'[1]Simulation pricing per sub assy'!$D:$E,2,0))*U1665</f>
        <v>7</v>
      </c>
      <c r="X1665" s="38" t="s">
        <v>616</v>
      </c>
      <c r="Y1665" s="38">
        <v>1</v>
      </c>
      <c r="Z1665" s="38" t="s">
        <v>23</v>
      </c>
      <c r="AA1665" s="18">
        <f>(VLOOKUP(X1665,'[1]Simulation pricing per sub assy'!$D:$E,2,0))*Y1665</f>
        <v>4.4802908000000006</v>
      </c>
    </row>
    <row r="1666" spans="1:27" x14ac:dyDescent="0.35">
      <c r="A1666" s="27" t="s">
        <v>2782</v>
      </c>
      <c r="B1666" s="27" t="s">
        <v>2783</v>
      </c>
      <c r="C1666" s="42">
        <f t="shared" si="25"/>
        <v>291.55669080000001</v>
      </c>
      <c r="D1666" s="33" t="s">
        <v>3540</v>
      </c>
      <c r="E1666" s="33">
        <v>2</v>
      </c>
      <c r="F1666" s="33" t="s">
        <v>3981</v>
      </c>
      <c r="G1666" s="14">
        <f>(VLOOKUP(D1666,'[1]BOM Info General'!$A:$L,12,0))*E1666</f>
        <v>130.12</v>
      </c>
      <c r="H1666" s="34" t="s">
        <v>40</v>
      </c>
      <c r="I1666" s="34">
        <v>1</v>
      </c>
      <c r="J1666" s="34" t="s">
        <v>45</v>
      </c>
      <c r="K1666" s="15">
        <f>(VLOOKUP(H1666,'[1]BOM Info General'!$A:$L,12,0))*I1666</f>
        <v>25.59</v>
      </c>
      <c r="L1666" s="35" t="s">
        <v>65</v>
      </c>
      <c r="M1666" s="35">
        <v>1</v>
      </c>
      <c r="N1666" s="35" t="s">
        <v>68</v>
      </c>
      <c r="O1666" s="9">
        <f>(VLOOKUP(L1666,'[1]Simulation pricing per sub assy'!$D:$E,2,0))*M1666</f>
        <v>103.16640000000004</v>
      </c>
      <c r="P1666" s="36" t="s">
        <v>51</v>
      </c>
      <c r="Q1666" s="36">
        <v>8</v>
      </c>
      <c r="R1666" s="36" t="s">
        <v>17</v>
      </c>
      <c r="S1666" s="40">
        <f>(VLOOKUP(P1666,'[1]BOM Info General'!$A:$L,12,0))*Q1666</f>
        <v>21.2</v>
      </c>
      <c r="T1666" s="37" t="s">
        <v>28</v>
      </c>
      <c r="U1666" s="31">
        <v>1</v>
      </c>
      <c r="V1666" s="37" t="s">
        <v>29</v>
      </c>
      <c r="W1666" s="17">
        <f>(VLOOKUP(T1666,'[1]Simulation pricing per sub assy'!$D:$E,2,0))*U1666</f>
        <v>7</v>
      </c>
      <c r="X1666" s="38" t="s">
        <v>616</v>
      </c>
      <c r="Y1666" s="38">
        <v>1</v>
      </c>
      <c r="Z1666" s="38" t="s">
        <v>23</v>
      </c>
      <c r="AA1666" s="18">
        <f>(VLOOKUP(X1666,'[1]Simulation pricing per sub assy'!$D:$E,2,0))*Y1666</f>
        <v>4.4802908000000006</v>
      </c>
    </row>
    <row r="1667" spans="1:27" x14ac:dyDescent="0.35">
      <c r="A1667" s="27" t="s">
        <v>2784</v>
      </c>
      <c r="B1667" s="27" t="s">
        <v>2785</v>
      </c>
      <c r="C1667" s="42">
        <f t="shared" ref="C1667:C1730" si="26">SUM(G1667+K1667+O1667+S1667+W1667+AA1667)</f>
        <v>282.48669080000002</v>
      </c>
      <c r="D1667" s="33" t="s">
        <v>3540</v>
      </c>
      <c r="E1667" s="33">
        <v>2</v>
      </c>
      <c r="F1667" s="33" t="s">
        <v>3981</v>
      </c>
      <c r="G1667" s="14">
        <f>(VLOOKUP(D1667,'[1]BOM Info General'!$A:$L,12,0))*E1667</f>
        <v>130.12</v>
      </c>
      <c r="H1667" s="34" t="s">
        <v>40</v>
      </c>
      <c r="I1667" s="34">
        <v>1</v>
      </c>
      <c r="J1667" s="34" t="s">
        <v>45</v>
      </c>
      <c r="K1667" s="15">
        <f>(VLOOKUP(H1667,'[1]BOM Info General'!$A:$L,12,0))*I1667</f>
        <v>25.59</v>
      </c>
      <c r="L1667" s="35" t="s">
        <v>524</v>
      </c>
      <c r="M1667" s="35">
        <v>1</v>
      </c>
      <c r="N1667" s="35" t="s">
        <v>70</v>
      </c>
      <c r="O1667" s="9">
        <f>(VLOOKUP(L1667,'[1]Simulation pricing per sub assy'!$D:$E,2,0))*M1667</f>
        <v>94.656400000000033</v>
      </c>
      <c r="P1667" s="36" t="s">
        <v>52</v>
      </c>
      <c r="Q1667" s="36">
        <v>8</v>
      </c>
      <c r="R1667" s="36" t="s">
        <v>18</v>
      </c>
      <c r="S1667" s="40">
        <f>(VLOOKUP(P1667,'[1]BOM Info General'!$A:$L,12,0))*Q1667</f>
        <v>21.2</v>
      </c>
      <c r="T1667" s="37" t="s">
        <v>24</v>
      </c>
      <c r="U1667" s="31">
        <v>1</v>
      </c>
      <c r="V1667" s="37" t="s">
        <v>25</v>
      </c>
      <c r="W1667" s="17">
        <f>(VLOOKUP(T1667,'[1]Simulation pricing per sub assy'!$D:$E,2,0))*U1667</f>
        <v>6.44</v>
      </c>
      <c r="X1667" s="38" t="s">
        <v>616</v>
      </c>
      <c r="Y1667" s="38">
        <v>1</v>
      </c>
      <c r="Z1667" s="38" t="s">
        <v>23</v>
      </c>
      <c r="AA1667" s="18">
        <f>(VLOOKUP(X1667,'[1]Simulation pricing per sub assy'!$D:$E,2,0))*Y1667</f>
        <v>4.4802908000000006</v>
      </c>
    </row>
    <row r="1668" spans="1:27" x14ac:dyDescent="0.35">
      <c r="A1668" s="27" t="s">
        <v>2786</v>
      </c>
      <c r="B1668" s="27" t="s">
        <v>2787</v>
      </c>
      <c r="C1668" s="42">
        <f t="shared" si="26"/>
        <v>283.58669080000004</v>
      </c>
      <c r="D1668" s="33" t="s">
        <v>3540</v>
      </c>
      <c r="E1668" s="33">
        <v>2</v>
      </c>
      <c r="F1668" s="33" t="s">
        <v>3981</v>
      </c>
      <c r="G1668" s="14">
        <f>(VLOOKUP(D1668,'[1]BOM Info General'!$A:$L,12,0))*E1668</f>
        <v>130.12</v>
      </c>
      <c r="H1668" s="34" t="s">
        <v>40</v>
      </c>
      <c r="I1668" s="34">
        <v>1</v>
      </c>
      <c r="J1668" s="34" t="s">
        <v>45</v>
      </c>
      <c r="K1668" s="15">
        <f>(VLOOKUP(H1668,'[1]BOM Info General'!$A:$L,12,0))*I1668</f>
        <v>25.59</v>
      </c>
      <c r="L1668" s="35" t="s">
        <v>67</v>
      </c>
      <c r="M1668" s="35">
        <v>1</v>
      </c>
      <c r="N1668" s="35" t="s">
        <v>64</v>
      </c>
      <c r="O1668" s="9">
        <f>(VLOOKUP(L1668,'[1]Simulation pricing per sub assy'!$D:$E,2,0))*M1668</f>
        <v>95.756400000000042</v>
      </c>
      <c r="P1668" s="36" t="s">
        <v>52</v>
      </c>
      <c r="Q1668" s="36">
        <v>8</v>
      </c>
      <c r="R1668" s="36" t="s">
        <v>18</v>
      </c>
      <c r="S1668" s="40">
        <f>(VLOOKUP(P1668,'[1]BOM Info General'!$A:$L,12,0))*Q1668</f>
        <v>21.2</v>
      </c>
      <c r="T1668" s="37" t="s">
        <v>24</v>
      </c>
      <c r="U1668" s="31">
        <v>1</v>
      </c>
      <c r="V1668" s="37" t="s">
        <v>25</v>
      </c>
      <c r="W1668" s="17">
        <f>(VLOOKUP(T1668,'[1]Simulation pricing per sub assy'!$D:$E,2,0))*U1668</f>
        <v>6.44</v>
      </c>
      <c r="X1668" s="38" t="s">
        <v>616</v>
      </c>
      <c r="Y1668" s="38">
        <v>1</v>
      </c>
      <c r="Z1668" s="38" t="s">
        <v>23</v>
      </c>
      <c r="AA1668" s="18">
        <f>(VLOOKUP(X1668,'[1]Simulation pricing per sub assy'!$D:$E,2,0))*Y1668</f>
        <v>4.4802908000000006</v>
      </c>
    </row>
    <row r="1669" spans="1:27" x14ac:dyDescent="0.35">
      <c r="A1669" s="27" t="s">
        <v>2788</v>
      </c>
      <c r="B1669" s="27" t="s">
        <v>2789</v>
      </c>
      <c r="C1669" s="42">
        <f t="shared" si="26"/>
        <v>283.58669080000004</v>
      </c>
      <c r="D1669" s="33" t="s">
        <v>3540</v>
      </c>
      <c r="E1669" s="33">
        <v>2</v>
      </c>
      <c r="F1669" s="33" t="s">
        <v>3981</v>
      </c>
      <c r="G1669" s="14">
        <f>(VLOOKUP(D1669,'[1]BOM Info General'!$A:$L,12,0))*E1669</f>
        <v>130.12</v>
      </c>
      <c r="H1669" s="34" t="s">
        <v>40</v>
      </c>
      <c r="I1669" s="34">
        <v>1</v>
      </c>
      <c r="J1669" s="34" t="s">
        <v>45</v>
      </c>
      <c r="K1669" s="15">
        <f>(VLOOKUP(H1669,'[1]BOM Info General'!$A:$L,12,0))*I1669</f>
        <v>25.59</v>
      </c>
      <c r="L1669" s="35" t="s">
        <v>63</v>
      </c>
      <c r="M1669" s="35">
        <v>1</v>
      </c>
      <c r="N1669" s="35" t="s">
        <v>62</v>
      </c>
      <c r="O1669" s="9">
        <f>(VLOOKUP(L1669,'[1]Simulation pricing per sub assy'!$D:$E,2,0))*M1669</f>
        <v>95.756400000000042</v>
      </c>
      <c r="P1669" s="36" t="s">
        <v>52</v>
      </c>
      <c r="Q1669" s="36">
        <v>8</v>
      </c>
      <c r="R1669" s="36" t="s">
        <v>18</v>
      </c>
      <c r="S1669" s="40">
        <f>(VLOOKUP(P1669,'[1]BOM Info General'!$A:$L,12,0))*Q1669</f>
        <v>21.2</v>
      </c>
      <c r="T1669" s="37" t="s">
        <v>24</v>
      </c>
      <c r="U1669" s="31">
        <v>1</v>
      </c>
      <c r="V1669" s="37" t="s">
        <v>25</v>
      </c>
      <c r="W1669" s="17">
        <f>(VLOOKUP(T1669,'[1]Simulation pricing per sub assy'!$D:$E,2,0))*U1669</f>
        <v>6.44</v>
      </c>
      <c r="X1669" s="38" t="s">
        <v>616</v>
      </c>
      <c r="Y1669" s="38">
        <v>1</v>
      </c>
      <c r="Z1669" s="38" t="s">
        <v>23</v>
      </c>
      <c r="AA1669" s="18">
        <f>(VLOOKUP(X1669,'[1]Simulation pricing per sub assy'!$D:$E,2,0))*Y1669</f>
        <v>4.4802908000000006</v>
      </c>
    </row>
    <row r="1670" spans="1:27" x14ac:dyDescent="0.35">
      <c r="A1670" s="27" t="s">
        <v>2790</v>
      </c>
      <c r="B1670" s="27" t="s">
        <v>2791</v>
      </c>
      <c r="C1670" s="42">
        <f t="shared" si="26"/>
        <v>283.03669080000003</v>
      </c>
      <c r="D1670" s="33" t="s">
        <v>3540</v>
      </c>
      <c r="E1670" s="33">
        <v>2</v>
      </c>
      <c r="F1670" s="33" t="s">
        <v>3981</v>
      </c>
      <c r="G1670" s="14">
        <f>(VLOOKUP(D1670,'[1]BOM Info General'!$A:$L,12,0))*E1670</f>
        <v>130.12</v>
      </c>
      <c r="H1670" s="34" t="s">
        <v>40</v>
      </c>
      <c r="I1670" s="34">
        <v>1</v>
      </c>
      <c r="J1670" s="34" t="s">
        <v>45</v>
      </c>
      <c r="K1670" s="15">
        <f>(VLOOKUP(H1670,'[1]BOM Info General'!$A:$L,12,0))*I1670</f>
        <v>25.59</v>
      </c>
      <c r="L1670" s="35" t="s">
        <v>69</v>
      </c>
      <c r="M1670" s="35">
        <v>1</v>
      </c>
      <c r="N1670" s="35" t="s">
        <v>66</v>
      </c>
      <c r="O1670" s="9">
        <f>(VLOOKUP(L1670,'[1]Simulation pricing per sub assy'!$D:$E,2,0))*M1670</f>
        <v>95.206400000000031</v>
      </c>
      <c r="P1670" s="36" t="s">
        <v>52</v>
      </c>
      <c r="Q1670" s="36">
        <v>8</v>
      </c>
      <c r="R1670" s="36" t="s">
        <v>18</v>
      </c>
      <c r="S1670" s="40">
        <f>(VLOOKUP(P1670,'[1]BOM Info General'!$A:$L,12,0))*Q1670</f>
        <v>21.2</v>
      </c>
      <c r="T1670" s="37" t="s">
        <v>24</v>
      </c>
      <c r="U1670" s="31">
        <v>1</v>
      </c>
      <c r="V1670" s="37" t="s">
        <v>25</v>
      </c>
      <c r="W1670" s="17">
        <f>(VLOOKUP(T1670,'[1]Simulation pricing per sub assy'!$D:$E,2,0))*U1670</f>
        <v>6.44</v>
      </c>
      <c r="X1670" s="38" t="s">
        <v>616</v>
      </c>
      <c r="Y1670" s="38">
        <v>1</v>
      </c>
      <c r="Z1670" s="38" t="s">
        <v>23</v>
      </c>
      <c r="AA1670" s="18">
        <f>(VLOOKUP(X1670,'[1]Simulation pricing per sub assy'!$D:$E,2,0))*Y1670</f>
        <v>4.4802908000000006</v>
      </c>
    </row>
    <row r="1671" spans="1:27" x14ac:dyDescent="0.35">
      <c r="A1671" s="27" t="s">
        <v>2792</v>
      </c>
      <c r="B1671" s="27" t="s">
        <v>2793</v>
      </c>
      <c r="C1671" s="42">
        <f t="shared" si="26"/>
        <v>290.99669080000001</v>
      </c>
      <c r="D1671" s="33" t="s">
        <v>3540</v>
      </c>
      <c r="E1671" s="33">
        <v>2</v>
      </c>
      <c r="F1671" s="33" t="s">
        <v>3981</v>
      </c>
      <c r="G1671" s="14">
        <f>(VLOOKUP(D1671,'[1]BOM Info General'!$A:$L,12,0))*E1671</f>
        <v>130.12</v>
      </c>
      <c r="H1671" s="34" t="s">
        <v>40</v>
      </c>
      <c r="I1671" s="34">
        <v>1</v>
      </c>
      <c r="J1671" s="34" t="s">
        <v>45</v>
      </c>
      <c r="K1671" s="15">
        <f>(VLOOKUP(H1671,'[1]BOM Info General'!$A:$L,12,0))*I1671</f>
        <v>25.59</v>
      </c>
      <c r="L1671" s="35" t="s">
        <v>65</v>
      </c>
      <c r="M1671" s="35">
        <v>1</v>
      </c>
      <c r="N1671" s="35" t="s">
        <v>68</v>
      </c>
      <c r="O1671" s="9">
        <f>(VLOOKUP(L1671,'[1]Simulation pricing per sub assy'!$D:$E,2,0))*M1671</f>
        <v>103.16640000000004</v>
      </c>
      <c r="P1671" s="36" t="s">
        <v>52</v>
      </c>
      <c r="Q1671" s="36">
        <v>8</v>
      </c>
      <c r="R1671" s="36" t="s">
        <v>18</v>
      </c>
      <c r="S1671" s="40">
        <f>(VLOOKUP(P1671,'[1]BOM Info General'!$A:$L,12,0))*Q1671</f>
        <v>21.2</v>
      </c>
      <c r="T1671" s="37" t="s">
        <v>24</v>
      </c>
      <c r="U1671" s="31">
        <v>1</v>
      </c>
      <c r="V1671" s="37" t="s">
        <v>25</v>
      </c>
      <c r="W1671" s="17">
        <f>(VLOOKUP(T1671,'[1]Simulation pricing per sub assy'!$D:$E,2,0))*U1671</f>
        <v>6.44</v>
      </c>
      <c r="X1671" s="38" t="s">
        <v>616</v>
      </c>
      <c r="Y1671" s="38">
        <v>1</v>
      </c>
      <c r="Z1671" s="38" t="s">
        <v>23</v>
      </c>
      <c r="AA1671" s="18">
        <f>(VLOOKUP(X1671,'[1]Simulation pricing per sub assy'!$D:$E,2,0))*Y1671</f>
        <v>4.4802908000000006</v>
      </c>
    </row>
    <row r="1672" spans="1:27" x14ac:dyDescent="0.35">
      <c r="A1672" s="27" t="s">
        <v>2794</v>
      </c>
      <c r="B1672" s="27" t="s">
        <v>2795</v>
      </c>
      <c r="C1672" s="42">
        <f t="shared" si="26"/>
        <v>283.08669080000004</v>
      </c>
      <c r="D1672" s="33" t="s">
        <v>3540</v>
      </c>
      <c r="E1672" s="33">
        <v>2</v>
      </c>
      <c r="F1672" s="33" t="s">
        <v>3981</v>
      </c>
      <c r="G1672" s="14">
        <f>(VLOOKUP(D1672,'[1]BOM Info General'!$A:$L,12,0))*E1672</f>
        <v>130.12</v>
      </c>
      <c r="H1672" s="34" t="s">
        <v>40</v>
      </c>
      <c r="I1672" s="34">
        <v>1</v>
      </c>
      <c r="J1672" s="34" t="s">
        <v>45</v>
      </c>
      <c r="K1672" s="15">
        <f>(VLOOKUP(H1672,'[1]BOM Info General'!$A:$L,12,0))*I1672</f>
        <v>25.59</v>
      </c>
      <c r="L1672" s="35" t="s">
        <v>524</v>
      </c>
      <c r="M1672" s="35">
        <v>1</v>
      </c>
      <c r="N1672" s="35" t="s">
        <v>70</v>
      </c>
      <c r="O1672" s="9">
        <f>(VLOOKUP(L1672,'[1]Simulation pricing per sub assy'!$D:$E,2,0))*M1672</f>
        <v>94.656400000000033</v>
      </c>
      <c r="P1672" s="36" t="s">
        <v>52</v>
      </c>
      <c r="Q1672" s="36">
        <v>8</v>
      </c>
      <c r="R1672" s="36" t="s">
        <v>18</v>
      </c>
      <c r="S1672" s="40">
        <f>(VLOOKUP(P1672,'[1]BOM Info General'!$A:$L,12,0))*Q1672</f>
        <v>21.2</v>
      </c>
      <c r="T1672" s="37" t="s">
        <v>26</v>
      </c>
      <c r="U1672" s="31">
        <v>1</v>
      </c>
      <c r="V1672" s="37" t="s">
        <v>27</v>
      </c>
      <c r="W1672" s="17">
        <f>(VLOOKUP(T1672,'[1]Simulation pricing per sub assy'!$D:$E,2,0))*U1672</f>
        <v>7.04</v>
      </c>
      <c r="X1672" s="38" t="s">
        <v>616</v>
      </c>
      <c r="Y1672" s="38">
        <v>1</v>
      </c>
      <c r="Z1672" s="38" t="s">
        <v>23</v>
      </c>
      <c r="AA1672" s="18">
        <f>(VLOOKUP(X1672,'[1]Simulation pricing per sub assy'!$D:$E,2,0))*Y1672</f>
        <v>4.4802908000000006</v>
      </c>
    </row>
    <row r="1673" spans="1:27" x14ac:dyDescent="0.35">
      <c r="A1673" s="27" t="s">
        <v>2796</v>
      </c>
      <c r="B1673" s="27" t="s">
        <v>2797</v>
      </c>
      <c r="C1673" s="42">
        <f t="shared" si="26"/>
        <v>284.18669080000006</v>
      </c>
      <c r="D1673" s="33" t="s">
        <v>3540</v>
      </c>
      <c r="E1673" s="33">
        <v>2</v>
      </c>
      <c r="F1673" s="33" t="s">
        <v>3981</v>
      </c>
      <c r="G1673" s="14">
        <f>(VLOOKUP(D1673,'[1]BOM Info General'!$A:$L,12,0))*E1673</f>
        <v>130.12</v>
      </c>
      <c r="H1673" s="34" t="s">
        <v>40</v>
      </c>
      <c r="I1673" s="34">
        <v>1</v>
      </c>
      <c r="J1673" s="34" t="s">
        <v>45</v>
      </c>
      <c r="K1673" s="15">
        <f>(VLOOKUP(H1673,'[1]BOM Info General'!$A:$L,12,0))*I1673</f>
        <v>25.59</v>
      </c>
      <c r="L1673" s="35" t="s">
        <v>67</v>
      </c>
      <c r="M1673" s="35">
        <v>1</v>
      </c>
      <c r="N1673" s="35" t="s">
        <v>64</v>
      </c>
      <c r="O1673" s="9">
        <f>(VLOOKUP(L1673,'[1]Simulation pricing per sub assy'!$D:$E,2,0))*M1673</f>
        <v>95.756400000000042</v>
      </c>
      <c r="P1673" s="36" t="s">
        <v>52</v>
      </c>
      <c r="Q1673" s="36">
        <v>8</v>
      </c>
      <c r="R1673" s="36" t="s">
        <v>18</v>
      </c>
      <c r="S1673" s="40">
        <f>(VLOOKUP(P1673,'[1]BOM Info General'!$A:$L,12,0))*Q1673</f>
        <v>21.2</v>
      </c>
      <c r="T1673" s="37" t="s">
        <v>26</v>
      </c>
      <c r="U1673" s="31">
        <v>1</v>
      </c>
      <c r="V1673" s="37" t="s">
        <v>27</v>
      </c>
      <c r="W1673" s="17">
        <f>(VLOOKUP(T1673,'[1]Simulation pricing per sub assy'!$D:$E,2,0))*U1673</f>
        <v>7.04</v>
      </c>
      <c r="X1673" s="38" t="s">
        <v>616</v>
      </c>
      <c r="Y1673" s="38">
        <v>1</v>
      </c>
      <c r="Z1673" s="38" t="s">
        <v>23</v>
      </c>
      <c r="AA1673" s="18">
        <f>(VLOOKUP(X1673,'[1]Simulation pricing per sub assy'!$D:$E,2,0))*Y1673</f>
        <v>4.4802908000000006</v>
      </c>
    </row>
    <row r="1674" spans="1:27" x14ac:dyDescent="0.35">
      <c r="A1674" s="27" t="s">
        <v>2798</v>
      </c>
      <c r="B1674" s="27" t="s">
        <v>2799</v>
      </c>
      <c r="C1674" s="42">
        <f t="shared" si="26"/>
        <v>284.18669080000006</v>
      </c>
      <c r="D1674" s="33" t="s">
        <v>3540</v>
      </c>
      <c r="E1674" s="33">
        <v>2</v>
      </c>
      <c r="F1674" s="33" t="s">
        <v>3981</v>
      </c>
      <c r="G1674" s="14">
        <f>(VLOOKUP(D1674,'[1]BOM Info General'!$A:$L,12,0))*E1674</f>
        <v>130.12</v>
      </c>
      <c r="H1674" s="34" t="s">
        <v>40</v>
      </c>
      <c r="I1674" s="34">
        <v>1</v>
      </c>
      <c r="J1674" s="34" t="s">
        <v>45</v>
      </c>
      <c r="K1674" s="15">
        <f>(VLOOKUP(H1674,'[1]BOM Info General'!$A:$L,12,0))*I1674</f>
        <v>25.59</v>
      </c>
      <c r="L1674" s="35" t="s">
        <v>63</v>
      </c>
      <c r="M1674" s="35">
        <v>1</v>
      </c>
      <c r="N1674" s="35" t="s">
        <v>62</v>
      </c>
      <c r="O1674" s="9">
        <f>(VLOOKUP(L1674,'[1]Simulation pricing per sub assy'!$D:$E,2,0))*M1674</f>
        <v>95.756400000000042</v>
      </c>
      <c r="P1674" s="36" t="s">
        <v>52</v>
      </c>
      <c r="Q1674" s="36">
        <v>8</v>
      </c>
      <c r="R1674" s="36" t="s">
        <v>18</v>
      </c>
      <c r="S1674" s="40">
        <f>(VLOOKUP(P1674,'[1]BOM Info General'!$A:$L,12,0))*Q1674</f>
        <v>21.2</v>
      </c>
      <c r="T1674" s="37" t="s">
        <v>26</v>
      </c>
      <c r="U1674" s="31">
        <v>1</v>
      </c>
      <c r="V1674" s="37" t="s">
        <v>27</v>
      </c>
      <c r="W1674" s="17">
        <f>(VLOOKUP(T1674,'[1]Simulation pricing per sub assy'!$D:$E,2,0))*U1674</f>
        <v>7.04</v>
      </c>
      <c r="X1674" s="38" t="s">
        <v>616</v>
      </c>
      <c r="Y1674" s="38">
        <v>1</v>
      </c>
      <c r="Z1674" s="38" t="s">
        <v>23</v>
      </c>
      <c r="AA1674" s="18">
        <f>(VLOOKUP(X1674,'[1]Simulation pricing per sub assy'!$D:$E,2,0))*Y1674</f>
        <v>4.4802908000000006</v>
      </c>
    </row>
    <row r="1675" spans="1:27" x14ac:dyDescent="0.35">
      <c r="A1675" s="27" t="s">
        <v>2800</v>
      </c>
      <c r="B1675" s="27" t="s">
        <v>2801</v>
      </c>
      <c r="C1675" s="42">
        <f t="shared" si="26"/>
        <v>283.63669080000005</v>
      </c>
      <c r="D1675" s="33" t="s">
        <v>3540</v>
      </c>
      <c r="E1675" s="33">
        <v>2</v>
      </c>
      <c r="F1675" s="33" t="s">
        <v>3981</v>
      </c>
      <c r="G1675" s="14">
        <f>(VLOOKUP(D1675,'[1]BOM Info General'!$A:$L,12,0))*E1675</f>
        <v>130.12</v>
      </c>
      <c r="H1675" s="34" t="s">
        <v>40</v>
      </c>
      <c r="I1675" s="34">
        <v>1</v>
      </c>
      <c r="J1675" s="34" t="s">
        <v>45</v>
      </c>
      <c r="K1675" s="15">
        <f>(VLOOKUP(H1675,'[1]BOM Info General'!$A:$L,12,0))*I1675</f>
        <v>25.59</v>
      </c>
      <c r="L1675" s="35" t="s">
        <v>69</v>
      </c>
      <c r="M1675" s="35">
        <v>1</v>
      </c>
      <c r="N1675" s="35" t="s">
        <v>66</v>
      </c>
      <c r="O1675" s="9">
        <f>(VLOOKUP(L1675,'[1]Simulation pricing per sub assy'!$D:$E,2,0))*M1675</f>
        <v>95.206400000000031</v>
      </c>
      <c r="P1675" s="36" t="s">
        <v>52</v>
      </c>
      <c r="Q1675" s="36">
        <v>8</v>
      </c>
      <c r="R1675" s="36" t="s">
        <v>18</v>
      </c>
      <c r="S1675" s="40">
        <f>(VLOOKUP(P1675,'[1]BOM Info General'!$A:$L,12,0))*Q1675</f>
        <v>21.2</v>
      </c>
      <c r="T1675" s="37" t="s">
        <v>26</v>
      </c>
      <c r="U1675" s="31">
        <v>1</v>
      </c>
      <c r="V1675" s="37" t="s">
        <v>27</v>
      </c>
      <c r="W1675" s="17">
        <f>(VLOOKUP(T1675,'[1]Simulation pricing per sub assy'!$D:$E,2,0))*U1675</f>
        <v>7.04</v>
      </c>
      <c r="X1675" s="38" t="s">
        <v>616</v>
      </c>
      <c r="Y1675" s="38">
        <v>1</v>
      </c>
      <c r="Z1675" s="38" t="s">
        <v>23</v>
      </c>
      <c r="AA1675" s="18">
        <f>(VLOOKUP(X1675,'[1]Simulation pricing per sub assy'!$D:$E,2,0))*Y1675</f>
        <v>4.4802908000000006</v>
      </c>
    </row>
    <row r="1676" spans="1:27" x14ac:dyDescent="0.35">
      <c r="A1676" s="27" t="s">
        <v>2802</v>
      </c>
      <c r="B1676" s="27" t="s">
        <v>2803</v>
      </c>
      <c r="C1676" s="42">
        <f t="shared" si="26"/>
        <v>291.59669080000003</v>
      </c>
      <c r="D1676" s="33" t="s">
        <v>3540</v>
      </c>
      <c r="E1676" s="33">
        <v>2</v>
      </c>
      <c r="F1676" s="33" t="s">
        <v>3981</v>
      </c>
      <c r="G1676" s="14">
        <f>(VLOOKUP(D1676,'[1]BOM Info General'!$A:$L,12,0))*E1676</f>
        <v>130.12</v>
      </c>
      <c r="H1676" s="34" t="s">
        <v>40</v>
      </c>
      <c r="I1676" s="34">
        <v>1</v>
      </c>
      <c r="J1676" s="34" t="s">
        <v>45</v>
      </c>
      <c r="K1676" s="15">
        <f>(VLOOKUP(H1676,'[1]BOM Info General'!$A:$L,12,0))*I1676</f>
        <v>25.59</v>
      </c>
      <c r="L1676" s="35" t="s">
        <v>65</v>
      </c>
      <c r="M1676" s="35">
        <v>1</v>
      </c>
      <c r="N1676" s="35" t="s">
        <v>68</v>
      </c>
      <c r="O1676" s="9">
        <f>(VLOOKUP(L1676,'[1]Simulation pricing per sub assy'!$D:$E,2,0))*M1676</f>
        <v>103.16640000000004</v>
      </c>
      <c r="P1676" s="36" t="s">
        <v>52</v>
      </c>
      <c r="Q1676" s="36">
        <v>8</v>
      </c>
      <c r="R1676" s="36" t="s">
        <v>18</v>
      </c>
      <c r="S1676" s="40">
        <f>(VLOOKUP(P1676,'[1]BOM Info General'!$A:$L,12,0))*Q1676</f>
        <v>21.2</v>
      </c>
      <c r="T1676" s="37" t="s">
        <v>26</v>
      </c>
      <c r="U1676" s="31">
        <v>1</v>
      </c>
      <c r="V1676" s="37" t="s">
        <v>27</v>
      </c>
      <c r="W1676" s="17">
        <f>(VLOOKUP(T1676,'[1]Simulation pricing per sub assy'!$D:$E,2,0))*U1676</f>
        <v>7.04</v>
      </c>
      <c r="X1676" s="38" t="s">
        <v>616</v>
      </c>
      <c r="Y1676" s="38">
        <v>1</v>
      </c>
      <c r="Z1676" s="38" t="s">
        <v>23</v>
      </c>
      <c r="AA1676" s="18">
        <f>(VLOOKUP(X1676,'[1]Simulation pricing per sub assy'!$D:$E,2,0))*Y1676</f>
        <v>4.4802908000000006</v>
      </c>
    </row>
    <row r="1677" spans="1:27" x14ac:dyDescent="0.35">
      <c r="A1677" s="27" t="s">
        <v>2804</v>
      </c>
      <c r="B1677" s="27" t="s">
        <v>2805</v>
      </c>
      <c r="C1677" s="42">
        <f t="shared" si="26"/>
        <v>283.04669080000002</v>
      </c>
      <c r="D1677" s="33" t="s">
        <v>3540</v>
      </c>
      <c r="E1677" s="33">
        <v>2</v>
      </c>
      <c r="F1677" s="33" t="s">
        <v>3981</v>
      </c>
      <c r="G1677" s="14">
        <f>(VLOOKUP(D1677,'[1]BOM Info General'!$A:$L,12,0))*E1677</f>
        <v>130.12</v>
      </c>
      <c r="H1677" s="34" t="s">
        <v>40</v>
      </c>
      <c r="I1677" s="34">
        <v>1</v>
      </c>
      <c r="J1677" s="34" t="s">
        <v>45</v>
      </c>
      <c r="K1677" s="15">
        <f>(VLOOKUP(H1677,'[1]BOM Info General'!$A:$L,12,0))*I1677</f>
        <v>25.59</v>
      </c>
      <c r="L1677" s="35" t="s">
        <v>524</v>
      </c>
      <c r="M1677" s="35">
        <v>1</v>
      </c>
      <c r="N1677" s="35" t="s">
        <v>70</v>
      </c>
      <c r="O1677" s="9">
        <f>(VLOOKUP(L1677,'[1]Simulation pricing per sub assy'!$D:$E,2,0))*M1677</f>
        <v>94.656400000000033</v>
      </c>
      <c r="P1677" s="36" t="s">
        <v>52</v>
      </c>
      <c r="Q1677" s="36">
        <v>8</v>
      </c>
      <c r="R1677" s="36" t="s">
        <v>18</v>
      </c>
      <c r="S1677" s="40">
        <f>(VLOOKUP(P1677,'[1]BOM Info General'!$A:$L,12,0))*Q1677</f>
        <v>21.2</v>
      </c>
      <c r="T1677" s="37" t="s">
        <v>28</v>
      </c>
      <c r="U1677" s="31">
        <v>1</v>
      </c>
      <c r="V1677" s="37" t="s">
        <v>29</v>
      </c>
      <c r="W1677" s="17">
        <f>(VLOOKUP(T1677,'[1]Simulation pricing per sub assy'!$D:$E,2,0))*U1677</f>
        <v>7</v>
      </c>
      <c r="X1677" s="38" t="s">
        <v>616</v>
      </c>
      <c r="Y1677" s="38">
        <v>1</v>
      </c>
      <c r="Z1677" s="38" t="s">
        <v>23</v>
      </c>
      <c r="AA1677" s="18">
        <f>(VLOOKUP(X1677,'[1]Simulation pricing per sub assy'!$D:$E,2,0))*Y1677</f>
        <v>4.4802908000000006</v>
      </c>
    </row>
    <row r="1678" spans="1:27" x14ac:dyDescent="0.35">
      <c r="A1678" s="27" t="s">
        <v>2806</v>
      </c>
      <c r="B1678" s="27" t="s">
        <v>2807</v>
      </c>
      <c r="C1678" s="42">
        <f t="shared" si="26"/>
        <v>284.14669080000004</v>
      </c>
      <c r="D1678" s="33" t="s">
        <v>3540</v>
      </c>
      <c r="E1678" s="33">
        <v>2</v>
      </c>
      <c r="F1678" s="33" t="s">
        <v>3981</v>
      </c>
      <c r="G1678" s="14">
        <f>(VLOOKUP(D1678,'[1]BOM Info General'!$A:$L,12,0))*E1678</f>
        <v>130.12</v>
      </c>
      <c r="H1678" s="34" t="s">
        <v>40</v>
      </c>
      <c r="I1678" s="34">
        <v>1</v>
      </c>
      <c r="J1678" s="34" t="s">
        <v>45</v>
      </c>
      <c r="K1678" s="15">
        <f>(VLOOKUP(H1678,'[1]BOM Info General'!$A:$L,12,0))*I1678</f>
        <v>25.59</v>
      </c>
      <c r="L1678" s="35" t="s">
        <v>67</v>
      </c>
      <c r="M1678" s="35">
        <v>1</v>
      </c>
      <c r="N1678" s="35" t="s">
        <v>64</v>
      </c>
      <c r="O1678" s="9">
        <f>(VLOOKUP(L1678,'[1]Simulation pricing per sub assy'!$D:$E,2,0))*M1678</f>
        <v>95.756400000000042</v>
      </c>
      <c r="P1678" s="36" t="s">
        <v>52</v>
      </c>
      <c r="Q1678" s="36">
        <v>8</v>
      </c>
      <c r="R1678" s="36" t="s">
        <v>18</v>
      </c>
      <c r="S1678" s="40">
        <f>(VLOOKUP(P1678,'[1]BOM Info General'!$A:$L,12,0))*Q1678</f>
        <v>21.2</v>
      </c>
      <c r="T1678" s="37" t="s">
        <v>28</v>
      </c>
      <c r="U1678" s="31">
        <v>1</v>
      </c>
      <c r="V1678" s="37" t="s">
        <v>29</v>
      </c>
      <c r="W1678" s="17">
        <f>(VLOOKUP(T1678,'[1]Simulation pricing per sub assy'!$D:$E,2,0))*U1678</f>
        <v>7</v>
      </c>
      <c r="X1678" s="38" t="s">
        <v>616</v>
      </c>
      <c r="Y1678" s="38">
        <v>1</v>
      </c>
      <c r="Z1678" s="38" t="s">
        <v>23</v>
      </c>
      <c r="AA1678" s="18">
        <f>(VLOOKUP(X1678,'[1]Simulation pricing per sub assy'!$D:$E,2,0))*Y1678</f>
        <v>4.4802908000000006</v>
      </c>
    </row>
    <row r="1679" spans="1:27" x14ac:dyDescent="0.35">
      <c r="A1679" s="27" t="s">
        <v>2808</v>
      </c>
      <c r="B1679" s="27" t="s">
        <v>2809</v>
      </c>
      <c r="C1679" s="42">
        <f t="shared" si="26"/>
        <v>284.14669080000004</v>
      </c>
      <c r="D1679" s="33" t="s">
        <v>3540</v>
      </c>
      <c r="E1679" s="33">
        <v>2</v>
      </c>
      <c r="F1679" s="33" t="s">
        <v>3981</v>
      </c>
      <c r="G1679" s="14">
        <f>(VLOOKUP(D1679,'[1]BOM Info General'!$A:$L,12,0))*E1679</f>
        <v>130.12</v>
      </c>
      <c r="H1679" s="34" t="s">
        <v>40</v>
      </c>
      <c r="I1679" s="34">
        <v>1</v>
      </c>
      <c r="J1679" s="34" t="s">
        <v>45</v>
      </c>
      <c r="K1679" s="15">
        <f>(VLOOKUP(H1679,'[1]BOM Info General'!$A:$L,12,0))*I1679</f>
        <v>25.59</v>
      </c>
      <c r="L1679" s="35" t="s">
        <v>63</v>
      </c>
      <c r="M1679" s="35">
        <v>1</v>
      </c>
      <c r="N1679" s="35" t="s">
        <v>62</v>
      </c>
      <c r="O1679" s="9">
        <f>(VLOOKUP(L1679,'[1]Simulation pricing per sub assy'!$D:$E,2,0))*M1679</f>
        <v>95.756400000000042</v>
      </c>
      <c r="P1679" s="36" t="s">
        <v>52</v>
      </c>
      <c r="Q1679" s="36">
        <v>8</v>
      </c>
      <c r="R1679" s="36" t="s">
        <v>18</v>
      </c>
      <c r="S1679" s="40">
        <f>(VLOOKUP(P1679,'[1]BOM Info General'!$A:$L,12,0))*Q1679</f>
        <v>21.2</v>
      </c>
      <c r="T1679" s="37" t="s">
        <v>28</v>
      </c>
      <c r="U1679" s="31">
        <v>1</v>
      </c>
      <c r="V1679" s="37" t="s">
        <v>29</v>
      </c>
      <c r="W1679" s="17">
        <f>(VLOOKUP(T1679,'[1]Simulation pricing per sub assy'!$D:$E,2,0))*U1679</f>
        <v>7</v>
      </c>
      <c r="X1679" s="38" t="s">
        <v>616</v>
      </c>
      <c r="Y1679" s="38">
        <v>1</v>
      </c>
      <c r="Z1679" s="38" t="s">
        <v>23</v>
      </c>
      <c r="AA1679" s="18">
        <f>(VLOOKUP(X1679,'[1]Simulation pricing per sub assy'!$D:$E,2,0))*Y1679</f>
        <v>4.4802908000000006</v>
      </c>
    </row>
    <row r="1680" spans="1:27" x14ac:dyDescent="0.35">
      <c r="A1680" s="27" t="s">
        <v>2810</v>
      </c>
      <c r="B1680" s="27" t="s">
        <v>2811</v>
      </c>
      <c r="C1680" s="42">
        <f t="shared" si="26"/>
        <v>283.59669080000003</v>
      </c>
      <c r="D1680" s="33" t="s">
        <v>3540</v>
      </c>
      <c r="E1680" s="33">
        <v>2</v>
      </c>
      <c r="F1680" s="33" t="s">
        <v>3981</v>
      </c>
      <c r="G1680" s="14">
        <f>(VLOOKUP(D1680,'[1]BOM Info General'!$A:$L,12,0))*E1680</f>
        <v>130.12</v>
      </c>
      <c r="H1680" s="34" t="s">
        <v>40</v>
      </c>
      <c r="I1680" s="34">
        <v>1</v>
      </c>
      <c r="J1680" s="34" t="s">
        <v>45</v>
      </c>
      <c r="K1680" s="15">
        <f>(VLOOKUP(H1680,'[1]BOM Info General'!$A:$L,12,0))*I1680</f>
        <v>25.59</v>
      </c>
      <c r="L1680" s="35" t="s">
        <v>69</v>
      </c>
      <c r="M1680" s="35">
        <v>1</v>
      </c>
      <c r="N1680" s="35" t="s">
        <v>66</v>
      </c>
      <c r="O1680" s="9">
        <f>(VLOOKUP(L1680,'[1]Simulation pricing per sub assy'!$D:$E,2,0))*M1680</f>
        <v>95.206400000000031</v>
      </c>
      <c r="P1680" s="36" t="s">
        <v>52</v>
      </c>
      <c r="Q1680" s="36">
        <v>8</v>
      </c>
      <c r="R1680" s="36" t="s">
        <v>18</v>
      </c>
      <c r="S1680" s="40">
        <f>(VLOOKUP(P1680,'[1]BOM Info General'!$A:$L,12,0))*Q1680</f>
        <v>21.2</v>
      </c>
      <c r="T1680" s="37" t="s">
        <v>28</v>
      </c>
      <c r="U1680" s="31">
        <v>1</v>
      </c>
      <c r="V1680" s="37" t="s">
        <v>29</v>
      </c>
      <c r="W1680" s="17">
        <f>(VLOOKUP(T1680,'[1]Simulation pricing per sub assy'!$D:$E,2,0))*U1680</f>
        <v>7</v>
      </c>
      <c r="X1680" s="38" t="s">
        <v>616</v>
      </c>
      <c r="Y1680" s="38">
        <v>1</v>
      </c>
      <c r="Z1680" s="38" t="s">
        <v>23</v>
      </c>
      <c r="AA1680" s="18">
        <f>(VLOOKUP(X1680,'[1]Simulation pricing per sub assy'!$D:$E,2,0))*Y1680</f>
        <v>4.4802908000000006</v>
      </c>
    </row>
    <row r="1681" spans="1:27" x14ac:dyDescent="0.35">
      <c r="A1681" s="27" t="s">
        <v>2812</v>
      </c>
      <c r="B1681" s="27" t="s">
        <v>2813</v>
      </c>
      <c r="C1681" s="42">
        <f t="shared" si="26"/>
        <v>291.55669080000001</v>
      </c>
      <c r="D1681" s="33" t="s">
        <v>3540</v>
      </c>
      <c r="E1681" s="33">
        <v>2</v>
      </c>
      <c r="F1681" s="33" t="s">
        <v>3981</v>
      </c>
      <c r="G1681" s="14">
        <f>(VLOOKUP(D1681,'[1]BOM Info General'!$A:$L,12,0))*E1681</f>
        <v>130.12</v>
      </c>
      <c r="H1681" s="34" t="s">
        <v>40</v>
      </c>
      <c r="I1681" s="34">
        <v>1</v>
      </c>
      <c r="J1681" s="34" t="s">
        <v>45</v>
      </c>
      <c r="K1681" s="15">
        <f>(VLOOKUP(H1681,'[1]BOM Info General'!$A:$L,12,0))*I1681</f>
        <v>25.59</v>
      </c>
      <c r="L1681" s="35" t="s">
        <v>65</v>
      </c>
      <c r="M1681" s="35">
        <v>1</v>
      </c>
      <c r="N1681" s="35" t="s">
        <v>68</v>
      </c>
      <c r="O1681" s="9">
        <f>(VLOOKUP(L1681,'[1]Simulation pricing per sub assy'!$D:$E,2,0))*M1681</f>
        <v>103.16640000000004</v>
      </c>
      <c r="P1681" s="36" t="s">
        <v>52</v>
      </c>
      <c r="Q1681" s="36">
        <v>8</v>
      </c>
      <c r="R1681" s="36" t="s">
        <v>18</v>
      </c>
      <c r="S1681" s="40">
        <f>(VLOOKUP(P1681,'[1]BOM Info General'!$A:$L,12,0))*Q1681</f>
        <v>21.2</v>
      </c>
      <c r="T1681" s="37" t="s">
        <v>28</v>
      </c>
      <c r="U1681" s="31">
        <v>1</v>
      </c>
      <c r="V1681" s="37" t="s">
        <v>29</v>
      </c>
      <c r="W1681" s="17">
        <f>(VLOOKUP(T1681,'[1]Simulation pricing per sub assy'!$D:$E,2,0))*U1681</f>
        <v>7</v>
      </c>
      <c r="X1681" s="38" t="s">
        <v>616</v>
      </c>
      <c r="Y1681" s="38">
        <v>1</v>
      </c>
      <c r="Z1681" s="38" t="s">
        <v>23</v>
      </c>
      <c r="AA1681" s="18">
        <f>(VLOOKUP(X1681,'[1]Simulation pricing per sub assy'!$D:$E,2,0))*Y1681</f>
        <v>4.4802908000000006</v>
      </c>
    </row>
    <row r="1682" spans="1:27" x14ac:dyDescent="0.35">
      <c r="A1682" s="27" t="s">
        <v>2814</v>
      </c>
      <c r="B1682" s="27" t="s">
        <v>2815</v>
      </c>
      <c r="C1682" s="42">
        <f t="shared" si="26"/>
        <v>284.60669080000002</v>
      </c>
      <c r="D1682" s="33" t="s">
        <v>3540</v>
      </c>
      <c r="E1682" s="33">
        <v>2</v>
      </c>
      <c r="F1682" s="33" t="s">
        <v>3981</v>
      </c>
      <c r="G1682" s="14">
        <f>(VLOOKUP(D1682,'[1]BOM Info General'!$A:$L,12,0))*E1682</f>
        <v>130.12</v>
      </c>
      <c r="H1682" s="34" t="s">
        <v>40</v>
      </c>
      <c r="I1682" s="34">
        <v>1</v>
      </c>
      <c r="J1682" s="34" t="s">
        <v>45</v>
      </c>
      <c r="K1682" s="15">
        <f>(VLOOKUP(H1682,'[1]BOM Info General'!$A:$L,12,0))*I1682</f>
        <v>25.59</v>
      </c>
      <c r="L1682" s="35" t="s">
        <v>524</v>
      </c>
      <c r="M1682" s="35">
        <v>1</v>
      </c>
      <c r="N1682" s="35" t="s">
        <v>70</v>
      </c>
      <c r="O1682" s="9">
        <f>(VLOOKUP(L1682,'[1]Simulation pricing per sub assy'!$D:$E,2,0))*M1682</f>
        <v>94.656400000000033</v>
      </c>
      <c r="P1682" s="36" t="s">
        <v>50</v>
      </c>
      <c r="Q1682" s="36">
        <v>8</v>
      </c>
      <c r="R1682" s="36" t="s">
        <v>611</v>
      </c>
      <c r="S1682" s="40">
        <f>(VLOOKUP(P1682,'[1]BOM Info General'!$A:$L,12,0))*Q1682</f>
        <v>21.2</v>
      </c>
      <c r="T1682" s="37" t="s">
        <v>30</v>
      </c>
      <c r="U1682" s="31">
        <v>1</v>
      </c>
      <c r="V1682" s="37" t="s">
        <v>31</v>
      </c>
      <c r="W1682" s="17">
        <f>(VLOOKUP(T1682,'[1]Simulation pricing per sub assy'!$D:$E,2,0))*U1682</f>
        <v>8.5599999999999987</v>
      </c>
      <c r="X1682" s="38" t="s">
        <v>616</v>
      </c>
      <c r="Y1682" s="38">
        <v>1</v>
      </c>
      <c r="Z1682" s="38" t="s">
        <v>23</v>
      </c>
      <c r="AA1682" s="18">
        <f>(VLOOKUP(X1682,'[1]Simulation pricing per sub assy'!$D:$E,2,0))*Y1682</f>
        <v>4.4802908000000006</v>
      </c>
    </row>
    <row r="1683" spans="1:27" x14ac:dyDescent="0.35">
      <c r="A1683" s="27" t="s">
        <v>2816</v>
      </c>
      <c r="B1683" s="27" t="s">
        <v>2817</v>
      </c>
      <c r="C1683" s="42">
        <f t="shared" si="26"/>
        <v>285.70669080000005</v>
      </c>
      <c r="D1683" s="33" t="s">
        <v>3540</v>
      </c>
      <c r="E1683" s="33">
        <v>2</v>
      </c>
      <c r="F1683" s="33" t="s">
        <v>3981</v>
      </c>
      <c r="G1683" s="14">
        <f>(VLOOKUP(D1683,'[1]BOM Info General'!$A:$L,12,0))*E1683</f>
        <v>130.12</v>
      </c>
      <c r="H1683" s="34" t="s">
        <v>40</v>
      </c>
      <c r="I1683" s="34">
        <v>1</v>
      </c>
      <c r="J1683" s="34" t="s">
        <v>45</v>
      </c>
      <c r="K1683" s="15">
        <f>(VLOOKUP(H1683,'[1]BOM Info General'!$A:$L,12,0))*I1683</f>
        <v>25.59</v>
      </c>
      <c r="L1683" s="35" t="s">
        <v>67</v>
      </c>
      <c r="M1683" s="35">
        <v>1</v>
      </c>
      <c r="N1683" s="35" t="s">
        <v>64</v>
      </c>
      <c r="O1683" s="9">
        <f>(VLOOKUP(L1683,'[1]Simulation pricing per sub assy'!$D:$E,2,0))*M1683</f>
        <v>95.756400000000042</v>
      </c>
      <c r="P1683" s="36" t="s">
        <v>50</v>
      </c>
      <c r="Q1683" s="36">
        <v>8</v>
      </c>
      <c r="R1683" s="36" t="s">
        <v>611</v>
      </c>
      <c r="S1683" s="40">
        <f>(VLOOKUP(P1683,'[1]BOM Info General'!$A:$L,12,0))*Q1683</f>
        <v>21.2</v>
      </c>
      <c r="T1683" s="37" t="s">
        <v>30</v>
      </c>
      <c r="U1683" s="31">
        <v>1</v>
      </c>
      <c r="V1683" s="37" t="s">
        <v>31</v>
      </c>
      <c r="W1683" s="17">
        <f>(VLOOKUP(T1683,'[1]Simulation pricing per sub assy'!$D:$E,2,0))*U1683</f>
        <v>8.5599999999999987</v>
      </c>
      <c r="X1683" s="38" t="s">
        <v>616</v>
      </c>
      <c r="Y1683" s="38">
        <v>1</v>
      </c>
      <c r="Z1683" s="38" t="s">
        <v>23</v>
      </c>
      <c r="AA1683" s="18">
        <f>(VLOOKUP(X1683,'[1]Simulation pricing per sub assy'!$D:$E,2,0))*Y1683</f>
        <v>4.4802908000000006</v>
      </c>
    </row>
    <row r="1684" spans="1:27" x14ac:dyDescent="0.35">
      <c r="A1684" s="27" t="s">
        <v>2818</v>
      </c>
      <c r="B1684" s="27" t="s">
        <v>2819</v>
      </c>
      <c r="C1684" s="42">
        <f t="shared" si="26"/>
        <v>285.70669080000005</v>
      </c>
      <c r="D1684" s="33" t="s">
        <v>3540</v>
      </c>
      <c r="E1684" s="33">
        <v>2</v>
      </c>
      <c r="F1684" s="33" t="s">
        <v>3981</v>
      </c>
      <c r="G1684" s="14">
        <f>(VLOOKUP(D1684,'[1]BOM Info General'!$A:$L,12,0))*E1684</f>
        <v>130.12</v>
      </c>
      <c r="H1684" s="34" t="s">
        <v>40</v>
      </c>
      <c r="I1684" s="34">
        <v>1</v>
      </c>
      <c r="J1684" s="34" t="s">
        <v>45</v>
      </c>
      <c r="K1684" s="15">
        <f>(VLOOKUP(H1684,'[1]BOM Info General'!$A:$L,12,0))*I1684</f>
        <v>25.59</v>
      </c>
      <c r="L1684" s="35" t="s">
        <v>63</v>
      </c>
      <c r="M1684" s="35">
        <v>1</v>
      </c>
      <c r="N1684" s="35" t="s">
        <v>62</v>
      </c>
      <c r="O1684" s="9">
        <f>(VLOOKUP(L1684,'[1]Simulation pricing per sub assy'!$D:$E,2,0))*M1684</f>
        <v>95.756400000000042</v>
      </c>
      <c r="P1684" s="36" t="s">
        <v>50</v>
      </c>
      <c r="Q1684" s="36">
        <v>8</v>
      </c>
      <c r="R1684" s="36" t="s">
        <v>611</v>
      </c>
      <c r="S1684" s="40">
        <f>(VLOOKUP(P1684,'[1]BOM Info General'!$A:$L,12,0))*Q1684</f>
        <v>21.2</v>
      </c>
      <c r="T1684" s="37" t="s">
        <v>30</v>
      </c>
      <c r="U1684" s="31">
        <v>1</v>
      </c>
      <c r="V1684" s="37" t="s">
        <v>31</v>
      </c>
      <c r="W1684" s="17">
        <f>(VLOOKUP(T1684,'[1]Simulation pricing per sub assy'!$D:$E,2,0))*U1684</f>
        <v>8.5599999999999987</v>
      </c>
      <c r="X1684" s="38" t="s">
        <v>616</v>
      </c>
      <c r="Y1684" s="38">
        <v>1</v>
      </c>
      <c r="Z1684" s="38" t="s">
        <v>23</v>
      </c>
      <c r="AA1684" s="18">
        <f>(VLOOKUP(X1684,'[1]Simulation pricing per sub assy'!$D:$E,2,0))*Y1684</f>
        <v>4.4802908000000006</v>
      </c>
    </row>
    <row r="1685" spans="1:27" x14ac:dyDescent="0.35">
      <c r="A1685" s="27" t="s">
        <v>2820</v>
      </c>
      <c r="B1685" s="27" t="s">
        <v>2821</v>
      </c>
      <c r="C1685" s="42">
        <f t="shared" si="26"/>
        <v>285.15669080000004</v>
      </c>
      <c r="D1685" s="33" t="s">
        <v>3540</v>
      </c>
      <c r="E1685" s="33">
        <v>2</v>
      </c>
      <c r="F1685" s="33" t="s">
        <v>3981</v>
      </c>
      <c r="G1685" s="14">
        <f>(VLOOKUP(D1685,'[1]BOM Info General'!$A:$L,12,0))*E1685</f>
        <v>130.12</v>
      </c>
      <c r="H1685" s="34" t="s">
        <v>40</v>
      </c>
      <c r="I1685" s="34">
        <v>1</v>
      </c>
      <c r="J1685" s="34" t="s">
        <v>45</v>
      </c>
      <c r="K1685" s="15">
        <f>(VLOOKUP(H1685,'[1]BOM Info General'!$A:$L,12,0))*I1685</f>
        <v>25.59</v>
      </c>
      <c r="L1685" s="35" t="s">
        <v>69</v>
      </c>
      <c r="M1685" s="35">
        <v>1</v>
      </c>
      <c r="N1685" s="35" t="s">
        <v>66</v>
      </c>
      <c r="O1685" s="9">
        <f>(VLOOKUP(L1685,'[1]Simulation pricing per sub assy'!$D:$E,2,0))*M1685</f>
        <v>95.206400000000031</v>
      </c>
      <c r="P1685" s="36" t="s">
        <v>50</v>
      </c>
      <c r="Q1685" s="36">
        <v>8</v>
      </c>
      <c r="R1685" s="36" t="s">
        <v>611</v>
      </c>
      <c r="S1685" s="40">
        <f>(VLOOKUP(P1685,'[1]BOM Info General'!$A:$L,12,0))*Q1685</f>
        <v>21.2</v>
      </c>
      <c r="T1685" s="37" t="s">
        <v>30</v>
      </c>
      <c r="U1685" s="31">
        <v>1</v>
      </c>
      <c r="V1685" s="37" t="s">
        <v>31</v>
      </c>
      <c r="W1685" s="17">
        <f>(VLOOKUP(T1685,'[1]Simulation pricing per sub assy'!$D:$E,2,0))*U1685</f>
        <v>8.5599999999999987</v>
      </c>
      <c r="X1685" s="38" t="s">
        <v>616</v>
      </c>
      <c r="Y1685" s="38">
        <v>1</v>
      </c>
      <c r="Z1685" s="38" t="s">
        <v>23</v>
      </c>
      <c r="AA1685" s="18">
        <f>(VLOOKUP(X1685,'[1]Simulation pricing per sub assy'!$D:$E,2,0))*Y1685</f>
        <v>4.4802908000000006</v>
      </c>
    </row>
    <row r="1686" spans="1:27" x14ac:dyDescent="0.35">
      <c r="A1686" s="27" t="s">
        <v>2822</v>
      </c>
      <c r="B1686" s="27" t="s">
        <v>2823</v>
      </c>
      <c r="C1686" s="42">
        <f t="shared" si="26"/>
        <v>293.11669080000001</v>
      </c>
      <c r="D1686" s="33" t="s">
        <v>3540</v>
      </c>
      <c r="E1686" s="33">
        <v>2</v>
      </c>
      <c r="F1686" s="33" t="s">
        <v>3981</v>
      </c>
      <c r="G1686" s="14">
        <f>(VLOOKUP(D1686,'[1]BOM Info General'!$A:$L,12,0))*E1686</f>
        <v>130.12</v>
      </c>
      <c r="H1686" s="34" t="s">
        <v>40</v>
      </c>
      <c r="I1686" s="34">
        <v>1</v>
      </c>
      <c r="J1686" s="34" t="s">
        <v>45</v>
      </c>
      <c r="K1686" s="15">
        <f>(VLOOKUP(H1686,'[1]BOM Info General'!$A:$L,12,0))*I1686</f>
        <v>25.59</v>
      </c>
      <c r="L1686" s="35" t="s">
        <v>65</v>
      </c>
      <c r="M1686" s="35">
        <v>1</v>
      </c>
      <c r="N1686" s="35" t="s">
        <v>68</v>
      </c>
      <c r="O1686" s="9">
        <f>(VLOOKUP(L1686,'[1]Simulation pricing per sub assy'!$D:$E,2,0))*M1686</f>
        <v>103.16640000000004</v>
      </c>
      <c r="P1686" s="36" t="s">
        <v>50</v>
      </c>
      <c r="Q1686" s="36">
        <v>8</v>
      </c>
      <c r="R1686" s="36" t="s">
        <v>611</v>
      </c>
      <c r="S1686" s="40">
        <f>(VLOOKUP(P1686,'[1]BOM Info General'!$A:$L,12,0))*Q1686</f>
        <v>21.2</v>
      </c>
      <c r="T1686" s="37" t="s">
        <v>30</v>
      </c>
      <c r="U1686" s="31">
        <v>1</v>
      </c>
      <c r="V1686" s="37" t="s">
        <v>31</v>
      </c>
      <c r="W1686" s="17">
        <f>(VLOOKUP(T1686,'[1]Simulation pricing per sub assy'!$D:$E,2,0))*U1686</f>
        <v>8.5599999999999987</v>
      </c>
      <c r="X1686" s="38" t="s">
        <v>616</v>
      </c>
      <c r="Y1686" s="38">
        <v>1</v>
      </c>
      <c r="Z1686" s="38" t="s">
        <v>23</v>
      </c>
      <c r="AA1686" s="18">
        <f>(VLOOKUP(X1686,'[1]Simulation pricing per sub assy'!$D:$E,2,0))*Y1686</f>
        <v>4.4802908000000006</v>
      </c>
    </row>
    <row r="1687" spans="1:27" x14ac:dyDescent="0.35">
      <c r="A1687" s="27" t="s">
        <v>2824</v>
      </c>
      <c r="B1687" s="27" t="s">
        <v>2825</v>
      </c>
      <c r="C1687" s="42">
        <f t="shared" si="26"/>
        <v>284.83669079999999</v>
      </c>
      <c r="D1687" s="33" t="s">
        <v>3540</v>
      </c>
      <c r="E1687" s="33">
        <v>2</v>
      </c>
      <c r="F1687" s="33" t="s">
        <v>3981</v>
      </c>
      <c r="G1687" s="14">
        <f>(VLOOKUP(D1687,'[1]BOM Info General'!$A:$L,12,0))*E1687</f>
        <v>130.12</v>
      </c>
      <c r="H1687" s="34" t="s">
        <v>41</v>
      </c>
      <c r="I1687" s="34">
        <v>1</v>
      </c>
      <c r="J1687" s="34" t="s">
        <v>47</v>
      </c>
      <c r="K1687" s="15">
        <f>(VLOOKUP(H1687,'[1]BOM Info General'!$A:$L,12,0))*I1687</f>
        <v>27.18</v>
      </c>
      <c r="L1687" s="35" t="s">
        <v>524</v>
      </c>
      <c r="M1687" s="35">
        <v>1</v>
      </c>
      <c r="N1687" s="35" t="s">
        <v>70</v>
      </c>
      <c r="O1687" s="9">
        <f>(VLOOKUP(L1687,'[1]Simulation pricing per sub assy'!$D:$E,2,0))*M1687</f>
        <v>94.656400000000033</v>
      </c>
      <c r="P1687" s="36" t="s">
        <v>50</v>
      </c>
      <c r="Q1687" s="36">
        <v>8</v>
      </c>
      <c r="R1687" s="36" t="s">
        <v>611</v>
      </c>
      <c r="S1687" s="40">
        <f>(VLOOKUP(P1687,'[1]BOM Info General'!$A:$L,12,0))*Q1687</f>
        <v>21.2</v>
      </c>
      <c r="T1687" s="37" t="s">
        <v>21</v>
      </c>
      <c r="U1687" s="31">
        <v>1</v>
      </c>
      <c r="V1687" s="37" t="s">
        <v>22</v>
      </c>
      <c r="W1687" s="17">
        <f>(VLOOKUP(T1687,'[1]Simulation pricing per sub assy'!$D:$E,2,0))*U1687</f>
        <v>7.2</v>
      </c>
      <c r="X1687" s="38" t="s">
        <v>616</v>
      </c>
      <c r="Y1687" s="38">
        <v>1</v>
      </c>
      <c r="Z1687" s="38" t="s">
        <v>23</v>
      </c>
      <c r="AA1687" s="18">
        <f>(VLOOKUP(X1687,'[1]Simulation pricing per sub assy'!$D:$E,2,0))*Y1687</f>
        <v>4.4802908000000006</v>
      </c>
    </row>
    <row r="1688" spans="1:27" x14ac:dyDescent="0.35">
      <c r="A1688" s="27" t="s">
        <v>2826</v>
      </c>
      <c r="B1688" s="27" t="s">
        <v>2827</v>
      </c>
      <c r="C1688" s="42">
        <f t="shared" si="26"/>
        <v>285.93669080000001</v>
      </c>
      <c r="D1688" s="33" t="s">
        <v>3540</v>
      </c>
      <c r="E1688" s="33">
        <v>2</v>
      </c>
      <c r="F1688" s="33" t="s">
        <v>3981</v>
      </c>
      <c r="G1688" s="14">
        <f>(VLOOKUP(D1688,'[1]BOM Info General'!$A:$L,12,0))*E1688</f>
        <v>130.12</v>
      </c>
      <c r="H1688" s="34" t="s">
        <v>41</v>
      </c>
      <c r="I1688" s="34">
        <v>1</v>
      </c>
      <c r="J1688" s="34" t="s">
        <v>47</v>
      </c>
      <c r="K1688" s="15">
        <f>(VLOOKUP(H1688,'[1]BOM Info General'!$A:$L,12,0))*I1688</f>
        <v>27.18</v>
      </c>
      <c r="L1688" s="35" t="s">
        <v>67</v>
      </c>
      <c r="M1688" s="35">
        <v>1</v>
      </c>
      <c r="N1688" s="35" t="s">
        <v>64</v>
      </c>
      <c r="O1688" s="9">
        <f>(VLOOKUP(L1688,'[1]Simulation pricing per sub assy'!$D:$E,2,0))*M1688</f>
        <v>95.756400000000042</v>
      </c>
      <c r="P1688" s="36" t="s">
        <v>50</v>
      </c>
      <c r="Q1688" s="36">
        <v>8</v>
      </c>
      <c r="R1688" s="36" t="s">
        <v>611</v>
      </c>
      <c r="S1688" s="40">
        <f>(VLOOKUP(P1688,'[1]BOM Info General'!$A:$L,12,0))*Q1688</f>
        <v>21.2</v>
      </c>
      <c r="T1688" s="37" t="s">
        <v>21</v>
      </c>
      <c r="U1688" s="31">
        <v>1</v>
      </c>
      <c r="V1688" s="37" t="s">
        <v>22</v>
      </c>
      <c r="W1688" s="17">
        <f>(VLOOKUP(T1688,'[1]Simulation pricing per sub assy'!$D:$E,2,0))*U1688</f>
        <v>7.2</v>
      </c>
      <c r="X1688" s="38" t="s">
        <v>616</v>
      </c>
      <c r="Y1688" s="38">
        <v>1</v>
      </c>
      <c r="Z1688" s="38" t="s">
        <v>23</v>
      </c>
      <c r="AA1688" s="18">
        <f>(VLOOKUP(X1688,'[1]Simulation pricing per sub assy'!$D:$E,2,0))*Y1688</f>
        <v>4.4802908000000006</v>
      </c>
    </row>
    <row r="1689" spans="1:27" x14ac:dyDescent="0.35">
      <c r="A1689" s="27" t="s">
        <v>2828</v>
      </c>
      <c r="B1689" s="27" t="s">
        <v>2829</v>
      </c>
      <c r="C1689" s="42">
        <f t="shared" si="26"/>
        <v>285.93669080000001</v>
      </c>
      <c r="D1689" s="33" t="s">
        <v>3540</v>
      </c>
      <c r="E1689" s="33">
        <v>2</v>
      </c>
      <c r="F1689" s="33" t="s">
        <v>3981</v>
      </c>
      <c r="G1689" s="14">
        <f>(VLOOKUP(D1689,'[1]BOM Info General'!$A:$L,12,0))*E1689</f>
        <v>130.12</v>
      </c>
      <c r="H1689" s="34" t="s">
        <v>41</v>
      </c>
      <c r="I1689" s="34">
        <v>1</v>
      </c>
      <c r="J1689" s="34" t="s">
        <v>47</v>
      </c>
      <c r="K1689" s="15">
        <f>(VLOOKUP(H1689,'[1]BOM Info General'!$A:$L,12,0))*I1689</f>
        <v>27.18</v>
      </c>
      <c r="L1689" s="35" t="s">
        <v>63</v>
      </c>
      <c r="M1689" s="35">
        <v>1</v>
      </c>
      <c r="N1689" s="35" t="s">
        <v>62</v>
      </c>
      <c r="O1689" s="9">
        <f>(VLOOKUP(L1689,'[1]Simulation pricing per sub assy'!$D:$E,2,0))*M1689</f>
        <v>95.756400000000042</v>
      </c>
      <c r="P1689" s="36" t="s">
        <v>50</v>
      </c>
      <c r="Q1689" s="36">
        <v>8</v>
      </c>
      <c r="R1689" s="36" t="s">
        <v>611</v>
      </c>
      <c r="S1689" s="40">
        <f>(VLOOKUP(P1689,'[1]BOM Info General'!$A:$L,12,0))*Q1689</f>
        <v>21.2</v>
      </c>
      <c r="T1689" s="37" t="s">
        <v>21</v>
      </c>
      <c r="U1689" s="31">
        <v>1</v>
      </c>
      <c r="V1689" s="37" t="s">
        <v>22</v>
      </c>
      <c r="W1689" s="17">
        <f>(VLOOKUP(T1689,'[1]Simulation pricing per sub assy'!$D:$E,2,0))*U1689</f>
        <v>7.2</v>
      </c>
      <c r="X1689" s="38" t="s">
        <v>616</v>
      </c>
      <c r="Y1689" s="38">
        <v>1</v>
      </c>
      <c r="Z1689" s="38" t="s">
        <v>23</v>
      </c>
      <c r="AA1689" s="18">
        <f>(VLOOKUP(X1689,'[1]Simulation pricing per sub assy'!$D:$E,2,0))*Y1689</f>
        <v>4.4802908000000006</v>
      </c>
    </row>
    <row r="1690" spans="1:27" x14ac:dyDescent="0.35">
      <c r="A1690" s="27" t="s">
        <v>2830</v>
      </c>
      <c r="B1690" s="27" t="s">
        <v>2831</v>
      </c>
      <c r="C1690" s="42">
        <f t="shared" si="26"/>
        <v>285.3866908</v>
      </c>
      <c r="D1690" s="33" t="s">
        <v>3540</v>
      </c>
      <c r="E1690" s="33">
        <v>2</v>
      </c>
      <c r="F1690" s="33" t="s">
        <v>3981</v>
      </c>
      <c r="G1690" s="14">
        <f>(VLOOKUP(D1690,'[1]BOM Info General'!$A:$L,12,0))*E1690</f>
        <v>130.12</v>
      </c>
      <c r="H1690" s="34" t="s">
        <v>41</v>
      </c>
      <c r="I1690" s="34">
        <v>1</v>
      </c>
      <c r="J1690" s="34" t="s">
        <v>47</v>
      </c>
      <c r="K1690" s="15">
        <f>(VLOOKUP(H1690,'[1]BOM Info General'!$A:$L,12,0))*I1690</f>
        <v>27.18</v>
      </c>
      <c r="L1690" s="35" t="s">
        <v>69</v>
      </c>
      <c r="M1690" s="35">
        <v>1</v>
      </c>
      <c r="N1690" s="35" t="s">
        <v>66</v>
      </c>
      <c r="O1690" s="9">
        <f>(VLOOKUP(L1690,'[1]Simulation pricing per sub assy'!$D:$E,2,0))*M1690</f>
        <v>95.206400000000031</v>
      </c>
      <c r="P1690" s="36" t="s">
        <v>50</v>
      </c>
      <c r="Q1690" s="36">
        <v>8</v>
      </c>
      <c r="R1690" s="36" t="s">
        <v>611</v>
      </c>
      <c r="S1690" s="40">
        <f>(VLOOKUP(P1690,'[1]BOM Info General'!$A:$L,12,0))*Q1690</f>
        <v>21.2</v>
      </c>
      <c r="T1690" s="37" t="s">
        <v>21</v>
      </c>
      <c r="U1690" s="31">
        <v>1</v>
      </c>
      <c r="V1690" s="37" t="s">
        <v>22</v>
      </c>
      <c r="W1690" s="17">
        <f>(VLOOKUP(T1690,'[1]Simulation pricing per sub assy'!$D:$E,2,0))*U1690</f>
        <v>7.2</v>
      </c>
      <c r="X1690" s="38" t="s">
        <v>616</v>
      </c>
      <c r="Y1690" s="38">
        <v>1</v>
      </c>
      <c r="Z1690" s="38" t="s">
        <v>23</v>
      </c>
      <c r="AA1690" s="18">
        <f>(VLOOKUP(X1690,'[1]Simulation pricing per sub assy'!$D:$E,2,0))*Y1690</f>
        <v>4.4802908000000006</v>
      </c>
    </row>
    <row r="1691" spans="1:27" x14ac:dyDescent="0.35">
      <c r="A1691" s="27" t="s">
        <v>2832</v>
      </c>
      <c r="B1691" s="27" t="s">
        <v>2833</v>
      </c>
      <c r="C1691" s="42">
        <f t="shared" si="26"/>
        <v>293.34669079999998</v>
      </c>
      <c r="D1691" s="33" t="s">
        <v>3540</v>
      </c>
      <c r="E1691" s="33">
        <v>2</v>
      </c>
      <c r="F1691" s="33" t="s">
        <v>3981</v>
      </c>
      <c r="G1691" s="14">
        <f>(VLOOKUP(D1691,'[1]BOM Info General'!$A:$L,12,0))*E1691</f>
        <v>130.12</v>
      </c>
      <c r="H1691" s="34" t="s">
        <v>41</v>
      </c>
      <c r="I1691" s="34">
        <v>1</v>
      </c>
      <c r="J1691" s="34" t="s">
        <v>47</v>
      </c>
      <c r="K1691" s="15">
        <f>(VLOOKUP(H1691,'[1]BOM Info General'!$A:$L,12,0))*I1691</f>
        <v>27.18</v>
      </c>
      <c r="L1691" s="35" t="s">
        <v>65</v>
      </c>
      <c r="M1691" s="35">
        <v>1</v>
      </c>
      <c r="N1691" s="35" t="s">
        <v>68</v>
      </c>
      <c r="O1691" s="9">
        <f>(VLOOKUP(L1691,'[1]Simulation pricing per sub assy'!$D:$E,2,0))*M1691</f>
        <v>103.16640000000004</v>
      </c>
      <c r="P1691" s="36" t="s">
        <v>50</v>
      </c>
      <c r="Q1691" s="36">
        <v>8</v>
      </c>
      <c r="R1691" s="36" t="s">
        <v>611</v>
      </c>
      <c r="S1691" s="40">
        <f>(VLOOKUP(P1691,'[1]BOM Info General'!$A:$L,12,0))*Q1691</f>
        <v>21.2</v>
      </c>
      <c r="T1691" s="37" t="s">
        <v>21</v>
      </c>
      <c r="U1691" s="31">
        <v>1</v>
      </c>
      <c r="V1691" s="37" t="s">
        <v>22</v>
      </c>
      <c r="W1691" s="17">
        <f>(VLOOKUP(T1691,'[1]Simulation pricing per sub assy'!$D:$E,2,0))*U1691</f>
        <v>7.2</v>
      </c>
      <c r="X1691" s="38" t="s">
        <v>616</v>
      </c>
      <c r="Y1691" s="38">
        <v>1</v>
      </c>
      <c r="Z1691" s="38" t="s">
        <v>23</v>
      </c>
      <c r="AA1691" s="18">
        <f>(VLOOKUP(X1691,'[1]Simulation pricing per sub assy'!$D:$E,2,0))*Y1691</f>
        <v>4.4802908000000006</v>
      </c>
    </row>
    <row r="1692" spans="1:27" x14ac:dyDescent="0.35">
      <c r="A1692" s="27" t="s">
        <v>2834</v>
      </c>
      <c r="B1692" s="27" t="s">
        <v>2835</v>
      </c>
      <c r="C1692" s="42">
        <f t="shared" si="26"/>
        <v>284.07669079999999</v>
      </c>
      <c r="D1692" s="33" t="s">
        <v>3540</v>
      </c>
      <c r="E1692" s="33">
        <v>2</v>
      </c>
      <c r="F1692" s="33" t="s">
        <v>3981</v>
      </c>
      <c r="G1692" s="14">
        <f>(VLOOKUP(D1692,'[1]BOM Info General'!$A:$L,12,0))*E1692</f>
        <v>130.12</v>
      </c>
      <c r="H1692" s="34" t="s">
        <v>41</v>
      </c>
      <c r="I1692" s="34">
        <v>1</v>
      </c>
      <c r="J1692" s="34" t="s">
        <v>47</v>
      </c>
      <c r="K1692" s="15">
        <f>(VLOOKUP(H1692,'[1]BOM Info General'!$A:$L,12,0))*I1692</f>
        <v>27.18</v>
      </c>
      <c r="L1692" s="35" t="s">
        <v>524</v>
      </c>
      <c r="M1692" s="35">
        <v>1</v>
      </c>
      <c r="N1692" s="35" t="s">
        <v>70</v>
      </c>
      <c r="O1692" s="9">
        <f>(VLOOKUP(L1692,'[1]Simulation pricing per sub assy'!$D:$E,2,0))*M1692</f>
        <v>94.656400000000033</v>
      </c>
      <c r="P1692" s="36" t="s">
        <v>50</v>
      </c>
      <c r="Q1692" s="36">
        <v>8</v>
      </c>
      <c r="R1692" s="36" t="s">
        <v>16</v>
      </c>
      <c r="S1692" s="40">
        <f>(VLOOKUP(P1692,'[1]BOM Info General'!$A:$L,12,0))*Q1692</f>
        <v>21.2</v>
      </c>
      <c r="T1692" s="37" t="s">
        <v>24</v>
      </c>
      <c r="U1692" s="31">
        <v>1</v>
      </c>
      <c r="V1692" s="37" t="s">
        <v>25</v>
      </c>
      <c r="W1692" s="17">
        <f>(VLOOKUP(T1692,'[1]Simulation pricing per sub assy'!$D:$E,2,0))*U1692</f>
        <v>6.44</v>
      </c>
      <c r="X1692" s="38" t="s">
        <v>616</v>
      </c>
      <c r="Y1692" s="38">
        <v>1</v>
      </c>
      <c r="Z1692" s="38" t="s">
        <v>23</v>
      </c>
      <c r="AA1692" s="18">
        <f>(VLOOKUP(X1692,'[1]Simulation pricing per sub assy'!$D:$E,2,0))*Y1692</f>
        <v>4.4802908000000006</v>
      </c>
    </row>
    <row r="1693" spans="1:27" x14ac:dyDescent="0.35">
      <c r="A1693" s="27" t="s">
        <v>2836</v>
      </c>
      <c r="B1693" s="27" t="s">
        <v>2837</v>
      </c>
      <c r="C1693" s="42">
        <f t="shared" si="26"/>
        <v>285.17669080000002</v>
      </c>
      <c r="D1693" s="33" t="s">
        <v>3540</v>
      </c>
      <c r="E1693" s="33">
        <v>2</v>
      </c>
      <c r="F1693" s="33" t="s">
        <v>3981</v>
      </c>
      <c r="G1693" s="14">
        <f>(VLOOKUP(D1693,'[1]BOM Info General'!$A:$L,12,0))*E1693</f>
        <v>130.12</v>
      </c>
      <c r="H1693" s="34" t="s">
        <v>41</v>
      </c>
      <c r="I1693" s="34">
        <v>1</v>
      </c>
      <c r="J1693" s="34" t="s">
        <v>47</v>
      </c>
      <c r="K1693" s="15">
        <f>(VLOOKUP(H1693,'[1]BOM Info General'!$A:$L,12,0))*I1693</f>
        <v>27.18</v>
      </c>
      <c r="L1693" s="35" t="s">
        <v>67</v>
      </c>
      <c r="M1693" s="35">
        <v>1</v>
      </c>
      <c r="N1693" s="35" t="s">
        <v>64</v>
      </c>
      <c r="O1693" s="9">
        <f>(VLOOKUP(L1693,'[1]Simulation pricing per sub assy'!$D:$E,2,0))*M1693</f>
        <v>95.756400000000042</v>
      </c>
      <c r="P1693" s="36" t="s">
        <v>50</v>
      </c>
      <c r="Q1693" s="36">
        <v>8</v>
      </c>
      <c r="R1693" s="36" t="s">
        <v>16</v>
      </c>
      <c r="S1693" s="40">
        <f>(VLOOKUP(P1693,'[1]BOM Info General'!$A:$L,12,0))*Q1693</f>
        <v>21.2</v>
      </c>
      <c r="T1693" s="37" t="s">
        <v>24</v>
      </c>
      <c r="U1693" s="31">
        <v>1</v>
      </c>
      <c r="V1693" s="37" t="s">
        <v>25</v>
      </c>
      <c r="W1693" s="17">
        <f>(VLOOKUP(T1693,'[1]Simulation pricing per sub assy'!$D:$E,2,0))*U1693</f>
        <v>6.44</v>
      </c>
      <c r="X1693" s="38" t="s">
        <v>616</v>
      </c>
      <c r="Y1693" s="38">
        <v>1</v>
      </c>
      <c r="Z1693" s="38" t="s">
        <v>23</v>
      </c>
      <c r="AA1693" s="18">
        <f>(VLOOKUP(X1693,'[1]Simulation pricing per sub assy'!$D:$E,2,0))*Y1693</f>
        <v>4.4802908000000006</v>
      </c>
    </row>
    <row r="1694" spans="1:27" x14ac:dyDescent="0.35">
      <c r="A1694" s="27" t="s">
        <v>2838</v>
      </c>
      <c r="B1694" s="27" t="s">
        <v>2839</v>
      </c>
      <c r="C1694" s="42">
        <f t="shared" si="26"/>
        <v>285.17669080000002</v>
      </c>
      <c r="D1694" s="33" t="s">
        <v>3540</v>
      </c>
      <c r="E1694" s="33">
        <v>2</v>
      </c>
      <c r="F1694" s="33" t="s">
        <v>3981</v>
      </c>
      <c r="G1694" s="14">
        <f>(VLOOKUP(D1694,'[1]BOM Info General'!$A:$L,12,0))*E1694</f>
        <v>130.12</v>
      </c>
      <c r="H1694" s="34" t="s">
        <v>41</v>
      </c>
      <c r="I1694" s="34">
        <v>1</v>
      </c>
      <c r="J1694" s="34" t="s">
        <v>47</v>
      </c>
      <c r="K1694" s="15">
        <f>(VLOOKUP(H1694,'[1]BOM Info General'!$A:$L,12,0))*I1694</f>
        <v>27.18</v>
      </c>
      <c r="L1694" s="35" t="s">
        <v>63</v>
      </c>
      <c r="M1694" s="35">
        <v>1</v>
      </c>
      <c r="N1694" s="35" t="s">
        <v>62</v>
      </c>
      <c r="O1694" s="9">
        <f>(VLOOKUP(L1694,'[1]Simulation pricing per sub assy'!$D:$E,2,0))*M1694</f>
        <v>95.756400000000042</v>
      </c>
      <c r="P1694" s="36" t="s">
        <v>50</v>
      </c>
      <c r="Q1694" s="36">
        <v>8</v>
      </c>
      <c r="R1694" s="36" t="s">
        <v>16</v>
      </c>
      <c r="S1694" s="40">
        <f>(VLOOKUP(P1694,'[1]BOM Info General'!$A:$L,12,0))*Q1694</f>
        <v>21.2</v>
      </c>
      <c r="T1694" s="37" t="s">
        <v>24</v>
      </c>
      <c r="U1694" s="31">
        <v>1</v>
      </c>
      <c r="V1694" s="37" t="s">
        <v>25</v>
      </c>
      <c r="W1694" s="17">
        <f>(VLOOKUP(T1694,'[1]Simulation pricing per sub assy'!$D:$E,2,0))*U1694</f>
        <v>6.44</v>
      </c>
      <c r="X1694" s="38" t="s">
        <v>616</v>
      </c>
      <c r="Y1694" s="38">
        <v>1</v>
      </c>
      <c r="Z1694" s="38" t="s">
        <v>23</v>
      </c>
      <c r="AA1694" s="18">
        <f>(VLOOKUP(X1694,'[1]Simulation pricing per sub assy'!$D:$E,2,0))*Y1694</f>
        <v>4.4802908000000006</v>
      </c>
    </row>
    <row r="1695" spans="1:27" x14ac:dyDescent="0.35">
      <c r="A1695" s="27" t="s">
        <v>2840</v>
      </c>
      <c r="B1695" s="27" t="s">
        <v>2841</v>
      </c>
      <c r="C1695" s="42">
        <f t="shared" si="26"/>
        <v>284.62669080000001</v>
      </c>
      <c r="D1695" s="33" t="s">
        <v>3540</v>
      </c>
      <c r="E1695" s="33">
        <v>2</v>
      </c>
      <c r="F1695" s="33" t="s">
        <v>3981</v>
      </c>
      <c r="G1695" s="14">
        <f>(VLOOKUP(D1695,'[1]BOM Info General'!$A:$L,12,0))*E1695</f>
        <v>130.12</v>
      </c>
      <c r="H1695" s="34" t="s">
        <v>41</v>
      </c>
      <c r="I1695" s="34">
        <v>1</v>
      </c>
      <c r="J1695" s="34" t="s">
        <v>47</v>
      </c>
      <c r="K1695" s="15">
        <f>(VLOOKUP(H1695,'[1]BOM Info General'!$A:$L,12,0))*I1695</f>
        <v>27.18</v>
      </c>
      <c r="L1695" s="35" t="s">
        <v>69</v>
      </c>
      <c r="M1695" s="35">
        <v>1</v>
      </c>
      <c r="N1695" s="35" t="s">
        <v>66</v>
      </c>
      <c r="O1695" s="9">
        <f>(VLOOKUP(L1695,'[1]Simulation pricing per sub assy'!$D:$E,2,0))*M1695</f>
        <v>95.206400000000031</v>
      </c>
      <c r="P1695" s="36" t="s">
        <v>50</v>
      </c>
      <c r="Q1695" s="36">
        <v>8</v>
      </c>
      <c r="R1695" s="36" t="s">
        <v>16</v>
      </c>
      <c r="S1695" s="40">
        <f>(VLOOKUP(P1695,'[1]BOM Info General'!$A:$L,12,0))*Q1695</f>
        <v>21.2</v>
      </c>
      <c r="T1695" s="37" t="s">
        <v>24</v>
      </c>
      <c r="U1695" s="31">
        <v>1</v>
      </c>
      <c r="V1695" s="37" t="s">
        <v>25</v>
      </c>
      <c r="W1695" s="17">
        <f>(VLOOKUP(T1695,'[1]Simulation pricing per sub assy'!$D:$E,2,0))*U1695</f>
        <v>6.44</v>
      </c>
      <c r="X1695" s="38" t="s">
        <v>616</v>
      </c>
      <c r="Y1695" s="38">
        <v>1</v>
      </c>
      <c r="Z1695" s="38" t="s">
        <v>23</v>
      </c>
      <c r="AA1695" s="18">
        <f>(VLOOKUP(X1695,'[1]Simulation pricing per sub assy'!$D:$E,2,0))*Y1695</f>
        <v>4.4802908000000006</v>
      </c>
    </row>
    <row r="1696" spans="1:27" x14ac:dyDescent="0.35">
      <c r="A1696" s="27" t="s">
        <v>2842</v>
      </c>
      <c r="B1696" s="27" t="s">
        <v>2843</v>
      </c>
      <c r="C1696" s="42">
        <f t="shared" si="26"/>
        <v>292.58669079999999</v>
      </c>
      <c r="D1696" s="33" t="s">
        <v>3540</v>
      </c>
      <c r="E1696" s="33">
        <v>2</v>
      </c>
      <c r="F1696" s="33" t="s">
        <v>3981</v>
      </c>
      <c r="G1696" s="14">
        <f>(VLOOKUP(D1696,'[1]BOM Info General'!$A:$L,12,0))*E1696</f>
        <v>130.12</v>
      </c>
      <c r="H1696" s="34" t="s">
        <v>41</v>
      </c>
      <c r="I1696" s="34">
        <v>1</v>
      </c>
      <c r="J1696" s="34" t="s">
        <v>47</v>
      </c>
      <c r="K1696" s="15">
        <f>(VLOOKUP(H1696,'[1]BOM Info General'!$A:$L,12,0))*I1696</f>
        <v>27.18</v>
      </c>
      <c r="L1696" s="35" t="s">
        <v>65</v>
      </c>
      <c r="M1696" s="35">
        <v>1</v>
      </c>
      <c r="N1696" s="35" t="s">
        <v>68</v>
      </c>
      <c r="O1696" s="9">
        <f>(VLOOKUP(L1696,'[1]Simulation pricing per sub assy'!$D:$E,2,0))*M1696</f>
        <v>103.16640000000004</v>
      </c>
      <c r="P1696" s="36" t="s">
        <v>50</v>
      </c>
      <c r="Q1696" s="36">
        <v>8</v>
      </c>
      <c r="R1696" s="36" t="s">
        <v>16</v>
      </c>
      <c r="S1696" s="40">
        <f>(VLOOKUP(P1696,'[1]BOM Info General'!$A:$L,12,0))*Q1696</f>
        <v>21.2</v>
      </c>
      <c r="T1696" s="37" t="s">
        <v>24</v>
      </c>
      <c r="U1696" s="31">
        <v>1</v>
      </c>
      <c r="V1696" s="37" t="s">
        <v>25</v>
      </c>
      <c r="W1696" s="17">
        <f>(VLOOKUP(T1696,'[1]Simulation pricing per sub assy'!$D:$E,2,0))*U1696</f>
        <v>6.44</v>
      </c>
      <c r="X1696" s="38" t="s">
        <v>616</v>
      </c>
      <c r="Y1696" s="38">
        <v>1</v>
      </c>
      <c r="Z1696" s="38" t="s">
        <v>23</v>
      </c>
      <c r="AA1696" s="18">
        <f>(VLOOKUP(X1696,'[1]Simulation pricing per sub assy'!$D:$E,2,0))*Y1696</f>
        <v>4.4802908000000006</v>
      </c>
    </row>
    <row r="1697" spans="1:27" x14ac:dyDescent="0.35">
      <c r="A1697" s="27" t="s">
        <v>2844</v>
      </c>
      <c r="B1697" s="27" t="s">
        <v>2845</v>
      </c>
      <c r="C1697" s="42">
        <f t="shared" si="26"/>
        <v>284.67669080000002</v>
      </c>
      <c r="D1697" s="33" t="s">
        <v>3540</v>
      </c>
      <c r="E1697" s="33">
        <v>2</v>
      </c>
      <c r="F1697" s="33" t="s">
        <v>3981</v>
      </c>
      <c r="G1697" s="14">
        <f>(VLOOKUP(D1697,'[1]BOM Info General'!$A:$L,12,0))*E1697</f>
        <v>130.12</v>
      </c>
      <c r="H1697" s="34" t="s">
        <v>41</v>
      </c>
      <c r="I1697" s="34">
        <v>1</v>
      </c>
      <c r="J1697" s="34" t="s">
        <v>47</v>
      </c>
      <c r="K1697" s="15">
        <f>(VLOOKUP(H1697,'[1]BOM Info General'!$A:$L,12,0))*I1697</f>
        <v>27.18</v>
      </c>
      <c r="L1697" s="35" t="s">
        <v>524</v>
      </c>
      <c r="M1697" s="35">
        <v>1</v>
      </c>
      <c r="N1697" s="35" t="s">
        <v>70</v>
      </c>
      <c r="O1697" s="9">
        <f>(VLOOKUP(L1697,'[1]Simulation pricing per sub assy'!$D:$E,2,0))*M1697</f>
        <v>94.656400000000033</v>
      </c>
      <c r="P1697" s="36" t="s">
        <v>50</v>
      </c>
      <c r="Q1697" s="36">
        <v>8</v>
      </c>
      <c r="R1697" s="36" t="s">
        <v>16</v>
      </c>
      <c r="S1697" s="40">
        <f>(VLOOKUP(P1697,'[1]BOM Info General'!$A:$L,12,0))*Q1697</f>
        <v>21.2</v>
      </c>
      <c r="T1697" s="37" t="s">
        <v>26</v>
      </c>
      <c r="U1697" s="31">
        <v>1</v>
      </c>
      <c r="V1697" s="37" t="s">
        <v>27</v>
      </c>
      <c r="W1697" s="17">
        <f>(VLOOKUP(T1697,'[1]Simulation pricing per sub assy'!$D:$E,2,0))*U1697</f>
        <v>7.04</v>
      </c>
      <c r="X1697" s="38" t="s">
        <v>616</v>
      </c>
      <c r="Y1697" s="38">
        <v>1</v>
      </c>
      <c r="Z1697" s="38" t="s">
        <v>23</v>
      </c>
      <c r="AA1697" s="18">
        <f>(VLOOKUP(X1697,'[1]Simulation pricing per sub assy'!$D:$E,2,0))*Y1697</f>
        <v>4.4802908000000006</v>
      </c>
    </row>
    <row r="1698" spans="1:27" x14ac:dyDescent="0.35">
      <c r="A1698" s="27" t="s">
        <v>2846</v>
      </c>
      <c r="B1698" s="27" t="s">
        <v>2847</v>
      </c>
      <c r="C1698" s="42">
        <f t="shared" si="26"/>
        <v>285.77669080000004</v>
      </c>
      <c r="D1698" s="33" t="s">
        <v>3540</v>
      </c>
      <c r="E1698" s="33">
        <v>2</v>
      </c>
      <c r="F1698" s="33" t="s">
        <v>3981</v>
      </c>
      <c r="G1698" s="14">
        <f>(VLOOKUP(D1698,'[1]BOM Info General'!$A:$L,12,0))*E1698</f>
        <v>130.12</v>
      </c>
      <c r="H1698" s="34" t="s">
        <v>41</v>
      </c>
      <c r="I1698" s="34">
        <v>1</v>
      </c>
      <c r="J1698" s="34" t="s">
        <v>47</v>
      </c>
      <c r="K1698" s="15">
        <f>(VLOOKUP(H1698,'[1]BOM Info General'!$A:$L,12,0))*I1698</f>
        <v>27.18</v>
      </c>
      <c r="L1698" s="35" t="s">
        <v>67</v>
      </c>
      <c r="M1698" s="35">
        <v>1</v>
      </c>
      <c r="N1698" s="35" t="s">
        <v>64</v>
      </c>
      <c r="O1698" s="9">
        <f>(VLOOKUP(L1698,'[1]Simulation pricing per sub assy'!$D:$E,2,0))*M1698</f>
        <v>95.756400000000042</v>
      </c>
      <c r="P1698" s="36" t="s">
        <v>50</v>
      </c>
      <c r="Q1698" s="36">
        <v>8</v>
      </c>
      <c r="R1698" s="36" t="s">
        <v>16</v>
      </c>
      <c r="S1698" s="40">
        <f>(VLOOKUP(P1698,'[1]BOM Info General'!$A:$L,12,0))*Q1698</f>
        <v>21.2</v>
      </c>
      <c r="T1698" s="37" t="s">
        <v>26</v>
      </c>
      <c r="U1698" s="31">
        <v>1</v>
      </c>
      <c r="V1698" s="37" t="s">
        <v>27</v>
      </c>
      <c r="W1698" s="17">
        <f>(VLOOKUP(T1698,'[1]Simulation pricing per sub assy'!$D:$E,2,0))*U1698</f>
        <v>7.04</v>
      </c>
      <c r="X1698" s="38" t="s">
        <v>616</v>
      </c>
      <c r="Y1698" s="38">
        <v>1</v>
      </c>
      <c r="Z1698" s="38" t="s">
        <v>23</v>
      </c>
      <c r="AA1698" s="18">
        <f>(VLOOKUP(X1698,'[1]Simulation pricing per sub assy'!$D:$E,2,0))*Y1698</f>
        <v>4.4802908000000006</v>
      </c>
    </row>
    <row r="1699" spans="1:27" x14ac:dyDescent="0.35">
      <c r="A1699" s="27" t="s">
        <v>2848</v>
      </c>
      <c r="B1699" s="27" t="s">
        <v>2849</v>
      </c>
      <c r="C1699" s="42">
        <f t="shared" si="26"/>
        <v>285.77669080000004</v>
      </c>
      <c r="D1699" s="33" t="s">
        <v>3540</v>
      </c>
      <c r="E1699" s="33">
        <v>2</v>
      </c>
      <c r="F1699" s="33" t="s">
        <v>3981</v>
      </c>
      <c r="G1699" s="14">
        <f>(VLOOKUP(D1699,'[1]BOM Info General'!$A:$L,12,0))*E1699</f>
        <v>130.12</v>
      </c>
      <c r="H1699" s="34" t="s">
        <v>41</v>
      </c>
      <c r="I1699" s="34">
        <v>1</v>
      </c>
      <c r="J1699" s="34" t="s">
        <v>47</v>
      </c>
      <c r="K1699" s="15">
        <f>(VLOOKUP(H1699,'[1]BOM Info General'!$A:$L,12,0))*I1699</f>
        <v>27.18</v>
      </c>
      <c r="L1699" s="35" t="s">
        <v>63</v>
      </c>
      <c r="M1699" s="35">
        <v>1</v>
      </c>
      <c r="N1699" s="35" t="s">
        <v>62</v>
      </c>
      <c r="O1699" s="9">
        <f>(VLOOKUP(L1699,'[1]Simulation pricing per sub assy'!$D:$E,2,0))*M1699</f>
        <v>95.756400000000042</v>
      </c>
      <c r="P1699" s="36" t="s">
        <v>50</v>
      </c>
      <c r="Q1699" s="36">
        <v>8</v>
      </c>
      <c r="R1699" s="36" t="s">
        <v>16</v>
      </c>
      <c r="S1699" s="40">
        <f>(VLOOKUP(P1699,'[1]BOM Info General'!$A:$L,12,0))*Q1699</f>
        <v>21.2</v>
      </c>
      <c r="T1699" s="37" t="s">
        <v>26</v>
      </c>
      <c r="U1699" s="31">
        <v>1</v>
      </c>
      <c r="V1699" s="37" t="s">
        <v>27</v>
      </c>
      <c r="W1699" s="17">
        <f>(VLOOKUP(T1699,'[1]Simulation pricing per sub assy'!$D:$E,2,0))*U1699</f>
        <v>7.04</v>
      </c>
      <c r="X1699" s="38" t="s">
        <v>616</v>
      </c>
      <c r="Y1699" s="38">
        <v>1</v>
      </c>
      <c r="Z1699" s="38" t="s">
        <v>23</v>
      </c>
      <c r="AA1699" s="18">
        <f>(VLOOKUP(X1699,'[1]Simulation pricing per sub assy'!$D:$E,2,0))*Y1699</f>
        <v>4.4802908000000006</v>
      </c>
    </row>
    <row r="1700" spans="1:27" x14ac:dyDescent="0.35">
      <c r="A1700" s="27" t="s">
        <v>2850</v>
      </c>
      <c r="B1700" s="27" t="s">
        <v>2851</v>
      </c>
      <c r="C1700" s="42">
        <f t="shared" si="26"/>
        <v>285.22669080000003</v>
      </c>
      <c r="D1700" s="33" t="s">
        <v>3540</v>
      </c>
      <c r="E1700" s="33">
        <v>2</v>
      </c>
      <c r="F1700" s="33" t="s">
        <v>3981</v>
      </c>
      <c r="G1700" s="14">
        <f>(VLOOKUP(D1700,'[1]BOM Info General'!$A:$L,12,0))*E1700</f>
        <v>130.12</v>
      </c>
      <c r="H1700" s="34" t="s">
        <v>41</v>
      </c>
      <c r="I1700" s="34">
        <v>1</v>
      </c>
      <c r="J1700" s="34" t="s">
        <v>47</v>
      </c>
      <c r="K1700" s="15">
        <f>(VLOOKUP(H1700,'[1]BOM Info General'!$A:$L,12,0))*I1700</f>
        <v>27.18</v>
      </c>
      <c r="L1700" s="35" t="s">
        <v>69</v>
      </c>
      <c r="M1700" s="35">
        <v>1</v>
      </c>
      <c r="N1700" s="35" t="s">
        <v>66</v>
      </c>
      <c r="O1700" s="9">
        <f>(VLOOKUP(L1700,'[1]Simulation pricing per sub assy'!$D:$E,2,0))*M1700</f>
        <v>95.206400000000031</v>
      </c>
      <c r="P1700" s="36" t="s">
        <v>50</v>
      </c>
      <c r="Q1700" s="36">
        <v>8</v>
      </c>
      <c r="R1700" s="36" t="s">
        <v>16</v>
      </c>
      <c r="S1700" s="40">
        <f>(VLOOKUP(P1700,'[1]BOM Info General'!$A:$L,12,0))*Q1700</f>
        <v>21.2</v>
      </c>
      <c r="T1700" s="37" t="s">
        <v>26</v>
      </c>
      <c r="U1700" s="31">
        <v>1</v>
      </c>
      <c r="V1700" s="37" t="s">
        <v>27</v>
      </c>
      <c r="W1700" s="17">
        <f>(VLOOKUP(T1700,'[1]Simulation pricing per sub assy'!$D:$E,2,0))*U1700</f>
        <v>7.04</v>
      </c>
      <c r="X1700" s="38" t="s">
        <v>616</v>
      </c>
      <c r="Y1700" s="38">
        <v>1</v>
      </c>
      <c r="Z1700" s="38" t="s">
        <v>23</v>
      </c>
      <c r="AA1700" s="18">
        <f>(VLOOKUP(X1700,'[1]Simulation pricing per sub assy'!$D:$E,2,0))*Y1700</f>
        <v>4.4802908000000006</v>
      </c>
    </row>
    <row r="1701" spans="1:27" x14ac:dyDescent="0.35">
      <c r="A1701" s="27" t="s">
        <v>2852</v>
      </c>
      <c r="B1701" s="27" t="s">
        <v>2853</v>
      </c>
      <c r="C1701" s="42">
        <f t="shared" si="26"/>
        <v>293.18669080000001</v>
      </c>
      <c r="D1701" s="33" t="s">
        <v>3540</v>
      </c>
      <c r="E1701" s="33">
        <v>2</v>
      </c>
      <c r="F1701" s="33" t="s">
        <v>3981</v>
      </c>
      <c r="G1701" s="14">
        <f>(VLOOKUP(D1701,'[1]BOM Info General'!$A:$L,12,0))*E1701</f>
        <v>130.12</v>
      </c>
      <c r="H1701" s="34" t="s">
        <v>41</v>
      </c>
      <c r="I1701" s="34">
        <v>1</v>
      </c>
      <c r="J1701" s="34" t="s">
        <v>47</v>
      </c>
      <c r="K1701" s="15">
        <f>(VLOOKUP(H1701,'[1]BOM Info General'!$A:$L,12,0))*I1701</f>
        <v>27.18</v>
      </c>
      <c r="L1701" s="35" t="s">
        <v>65</v>
      </c>
      <c r="M1701" s="35">
        <v>1</v>
      </c>
      <c r="N1701" s="35" t="s">
        <v>68</v>
      </c>
      <c r="O1701" s="9">
        <f>(VLOOKUP(L1701,'[1]Simulation pricing per sub assy'!$D:$E,2,0))*M1701</f>
        <v>103.16640000000004</v>
      </c>
      <c r="P1701" s="36" t="s">
        <v>50</v>
      </c>
      <c r="Q1701" s="36">
        <v>8</v>
      </c>
      <c r="R1701" s="36" t="s">
        <v>16</v>
      </c>
      <c r="S1701" s="40">
        <f>(VLOOKUP(P1701,'[1]BOM Info General'!$A:$L,12,0))*Q1701</f>
        <v>21.2</v>
      </c>
      <c r="T1701" s="37" t="s">
        <v>26</v>
      </c>
      <c r="U1701" s="31">
        <v>1</v>
      </c>
      <c r="V1701" s="37" t="s">
        <v>27</v>
      </c>
      <c r="W1701" s="17">
        <f>(VLOOKUP(T1701,'[1]Simulation pricing per sub assy'!$D:$E,2,0))*U1701</f>
        <v>7.04</v>
      </c>
      <c r="X1701" s="38" t="s">
        <v>616</v>
      </c>
      <c r="Y1701" s="38">
        <v>1</v>
      </c>
      <c r="Z1701" s="38" t="s">
        <v>23</v>
      </c>
      <c r="AA1701" s="18">
        <f>(VLOOKUP(X1701,'[1]Simulation pricing per sub assy'!$D:$E,2,0))*Y1701</f>
        <v>4.4802908000000006</v>
      </c>
    </row>
    <row r="1702" spans="1:27" x14ac:dyDescent="0.35">
      <c r="A1702" s="27" t="s">
        <v>2854</v>
      </c>
      <c r="B1702" s="27" t="s">
        <v>2855</v>
      </c>
      <c r="C1702" s="42">
        <f t="shared" si="26"/>
        <v>284.6366908</v>
      </c>
      <c r="D1702" s="33" t="s">
        <v>3540</v>
      </c>
      <c r="E1702" s="33">
        <v>2</v>
      </c>
      <c r="F1702" s="33" t="s">
        <v>3981</v>
      </c>
      <c r="G1702" s="14">
        <f>(VLOOKUP(D1702,'[1]BOM Info General'!$A:$L,12,0))*E1702</f>
        <v>130.12</v>
      </c>
      <c r="H1702" s="34" t="s">
        <v>41</v>
      </c>
      <c r="I1702" s="34">
        <v>1</v>
      </c>
      <c r="J1702" s="34" t="s">
        <v>47</v>
      </c>
      <c r="K1702" s="15">
        <f>(VLOOKUP(H1702,'[1]BOM Info General'!$A:$L,12,0))*I1702</f>
        <v>27.18</v>
      </c>
      <c r="L1702" s="35" t="s">
        <v>524</v>
      </c>
      <c r="M1702" s="35">
        <v>1</v>
      </c>
      <c r="N1702" s="35" t="s">
        <v>70</v>
      </c>
      <c r="O1702" s="9">
        <f>(VLOOKUP(L1702,'[1]Simulation pricing per sub assy'!$D:$E,2,0))*M1702</f>
        <v>94.656400000000033</v>
      </c>
      <c r="P1702" s="36" t="s">
        <v>50</v>
      </c>
      <c r="Q1702" s="36">
        <v>8</v>
      </c>
      <c r="R1702" s="36" t="s">
        <v>16</v>
      </c>
      <c r="S1702" s="40">
        <f>(VLOOKUP(P1702,'[1]BOM Info General'!$A:$L,12,0))*Q1702</f>
        <v>21.2</v>
      </c>
      <c r="T1702" s="37" t="s">
        <v>28</v>
      </c>
      <c r="U1702" s="31">
        <v>1</v>
      </c>
      <c r="V1702" s="37" t="s">
        <v>29</v>
      </c>
      <c r="W1702" s="17">
        <f>(VLOOKUP(T1702,'[1]Simulation pricing per sub assy'!$D:$E,2,0))*U1702</f>
        <v>7</v>
      </c>
      <c r="X1702" s="38" t="s">
        <v>616</v>
      </c>
      <c r="Y1702" s="38">
        <v>1</v>
      </c>
      <c r="Z1702" s="38" t="s">
        <v>23</v>
      </c>
      <c r="AA1702" s="18">
        <f>(VLOOKUP(X1702,'[1]Simulation pricing per sub assy'!$D:$E,2,0))*Y1702</f>
        <v>4.4802908000000006</v>
      </c>
    </row>
    <row r="1703" spans="1:27" x14ac:dyDescent="0.35">
      <c r="A1703" s="27" t="s">
        <v>2856</v>
      </c>
      <c r="B1703" s="27" t="s">
        <v>2857</v>
      </c>
      <c r="C1703" s="42">
        <f t="shared" si="26"/>
        <v>285.73669080000002</v>
      </c>
      <c r="D1703" s="33" t="s">
        <v>3540</v>
      </c>
      <c r="E1703" s="33">
        <v>2</v>
      </c>
      <c r="F1703" s="33" t="s">
        <v>3981</v>
      </c>
      <c r="G1703" s="14">
        <f>(VLOOKUP(D1703,'[1]BOM Info General'!$A:$L,12,0))*E1703</f>
        <v>130.12</v>
      </c>
      <c r="H1703" s="34" t="s">
        <v>41</v>
      </c>
      <c r="I1703" s="34">
        <v>1</v>
      </c>
      <c r="J1703" s="34" t="s">
        <v>47</v>
      </c>
      <c r="K1703" s="15">
        <f>(VLOOKUP(H1703,'[1]BOM Info General'!$A:$L,12,0))*I1703</f>
        <v>27.18</v>
      </c>
      <c r="L1703" s="35" t="s">
        <v>67</v>
      </c>
      <c r="M1703" s="35">
        <v>1</v>
      </c>
      <c r="N1703" s="35" t="s">
        <v>64</v>
      </c>
      <c r="O1703" s="9">
        <f>(VLOOKUP(L1703,'[1]Simulation pricing per sub assy'!$D:$E,2,0))*M1703</f>
        <v>95.756400000000042</v>
      </c>
      <c r="P1703" s="36" t="s">
        <v>50</v>
      </c>
      <c r="Q1703" s="36">
        <v>8</v>
      </c>
      <c r="R1703" s="36" t="s">
        <v>16</v>
      </c>
      <c r="S1703" s="40">
        <f>(VLOOKUP(P1703,'[1]BOM Info General'!$A:$L,12,0))*Q1703</f>
        <v>21.2</v>
      </c>
      <c r="T1703" s="37" t="s">
        <v>28</v>
      </c>
      <c r="U1703" s="31">
        <v>1</v>
      </c>
      <c r="V1703" s="37" t="s">
        <v>29</v>
      </c>
      <c r="W1703" s="17">
        <f>(VLOOKUP(T1703,'[1]Simulation pricing per sub assy'!$D:$E,2,0))*U1703</f>
        <v>7</v>
      </c>
      <c r="X1703" s="38" t="s">
        <v>616</v>
      </c>
      <c r="Y1703" s="38">
        <v>1</v>
      </c>
      <c r="Z1703" s="38" t="s">
        <v>23</v>
      </c>
      <c r="AA1703" s="18">
        <f>(VLOOKUP(X1703,'[1]Simulation pricing per sub assy'!$D:$E,2,0))*Y1703</f>
        <v>4.4802908000000006</v>
      </c>
    </row>
    <row r="1704" spans="1:27" x14ac:dyDescent="0.35">
      <c r="A1704" s="27" t="s">
        <v>2858</v>
      </c>
      <c r="B1704" s="27" t="s">
        <v>2859</v>
      </c>
      <c r="C1704" s="42">
        <f t="shared" si="26"/>
        <v>285.73669080000002</v>
      </c>
      <c r="D1704" s="33" t="s">
        <v>3540</v>
      </c>
      <c r="E1704" s="33">
        <v>2</v>
      </c>
      <c r="F1704" s="33" t="s">
        <v>3981</v>
      </c>
      <c r="G1704" s="14">
        <f>(VLOOKUP(D1704,'[1]BOM Info General'!$A:$L,12,0))*E1704</f>
        <v>130.12</v>
      </c>
      <c r="H1704" s="34" t="s">
        <v>41</v>
      </c>
      <c r="I1704" s="34">
        <v>1</v>
      </c>
      <c r="J1704" s="34" t="s">
        <v>47</v>
      </c>
      <c r="K1704" s="15">
        <f>(VLOOKUP(H1704,'[1]BOM Info General'!$A:$L,12,0))*I1704</f>
        <v>27.18</v>
      </c>
      <c r="L1704" s="35" t="s">
        <v>63</v>
      </c>
      <c r="M1704" s="35">
        <v>1</v>
      </c>
      <c r="N1704" s="35" t="s">
        <v>62</v>
      </c>
      <c r="O1704" s="9">
        <f>(VLOOKUP(L1704,'[1]Simulation pricing per sub assy'!$D:$E,2,0))*M1704</f>
        <v>95.756400000000042</v>
      </c>
      <c r="P1704" s="36" t="s">
        <v>50</v>
      </c>
      <c r="Q1704" s="36">
        <v>8</v>
      </c>
      <c r="R1704" s="36" t="s">
        <v>16</v>
      </c>
      <c r="S1704" s="40">
        <f>(VLOOKUP(P1704,'[1]BOM Info General'!$A:$L,12,0))*Q1704</f>
        <v>21.2</v>
      </c>
      <c r="T1704" s="37" t="s">
        <v>28</v>
      </c>
      <c r="U1704" s="31">
        <v>1</v>
      </c>
      <c r="V1704" s="37" t="s">
        <v>29</v>
      </c>
      <c r="W1704" s="17">
        <f>(VLOOKUP(T1704,'[1]Simulation pricing per sub assy'!$D:$E,2,0))*U1704</f>
        <v>7</v>
      </c>
      <c r="X1704" s="38" t="s">
        <v>616</v>
      </c>
      <c r="Y1704" s="38">
        <v>1</v>
      </c>
      <c r="Z1704" s="38" t="s">
        <v>23</v>
      </c>
      <c r="AA1704" s="18">
        <f>(VLOOKUP(X1704,'[1]Simulation pricing per sub assy'!$D:$E,2,0))*Y1704</f>
        <v>4.4802908000000006</v>
      </c>
    </row>
    <row r="1705" spans="1:27" x14ac:dyDescent="0.35">
      <c r="A1705" s="27" t="s">
        <v>2860</v>
      </c>
      <c r="B1705" s="27" t="s">
        <v>2861</v>
      </c>
      <c r="C1705" s="42">
        <f t="shared" si="26"/>
        <v>285.18669080000001</v>
      </c>
      <c r="D1705" s="33" t="s">
        <v>3540</v>
      </c>
      <c r="E1705" s="33">
        <v>2</v>
      </c>
      <c r="F1705" s="33" t="s">
        <v>3981</v>
      </c>
      <c r="G1705" s="14">
        <f>(VLOOKUP(D1705,'[1]BOM Info General'!$A:$L,12,0))*E1705</f>
        <v>130.12</v>
      </c>
      <c r="H1705" s="34" t="s">
        <v>41</v>
      </c>
      <c r="I1705" s="34">
        <v>1</v>
      </c>
      <c r="J1705" s="34" t="s">
        <v>47</v>
      </c>
      <c r="K1705" s="15">
        <f>(VLOOKUP(H1705,'[1]BOM Info General'!$A:$L,12,0))*I1705</f>
        <v>27.18</v>
      </c>
      <c r="L1705" s="35" t="s">
        <v>69</v>
      </c>
      <c r="M1705" s="35">
        <v>1</v>
      </c>
      <c r="N1705" s="35" t="s">
        <v>66</v>
      </c>
      <c r="O1705" s="9">
        <f>(VLOOKUP(L1705,'[1]Simulation pricing per sub assy'!$D:$E,2,0))*M1705</f>
        <v>95.206400000000031</v>
      </c>
      <c r="P1705" s="36" t="s">
        <v>50</v>
      </c>
      <c r="Q1705" s="36">
        <v>8</v>
      </c>
      <c r="R1705" s="36" t="s">
        <v>16</v>
      </c>
      <c r="S1705" s="40">
        <f>(VLOOKUP(P1705,'[1]BOM Info General'!$A:$L,12,0))*Q1705</f>
        <v>21.2</v>
      </c>
      <c r="T1705" s="37" t="s">
        <v>28</v>
      </c>
      <c r="U1705" s="31">
        <v>1</v>
      </c>
      <c r="V1705" s="37" t="s">
        <v>29</v>
      </c>
      <c r="W1705" s="17">
        <f>(VLOOKUP(T1705,'[1]Simulation pricing per sub assy'!$D:$E,2,0))*U1705</f>
        <v>7</v>
      </c>
      <c r="X1705" s="38" t="s">
        <v>616</v>
      </c>
      <c r="Y1705" s="38">
        <v>1</v>
      </c>
      <c r="Z1705" s="38" t="s">
        <v>23</v>
      </c>
      <c r="AA1705" s="18">
        <f>(VLOOKUP(X1705,'[1]Simulation pricing per sub assy'!$D:$E,2,0))*Y1705</f>
        <v>4.4802908000000006</v>
      </c>
    </row>
    <row r="1706" spans="1:27" x14ac:dyDescent="0.35">
      <c r="A1706" s="27" t="s">
        <v>2862</v>
      </c>
      <c r="B1706" s="27" t="s">
        <v>2863</v>
      </c>
      <c r="C1706" s="42">
        <f t="shared" si="26"/>
        <v>293.14669079999999</v>
      </c>
      <c r="D1706" s="33" t="s">
        <v>3540</v>
      </c>
      <c r="E1706" s="33">
        <v>2</v>
      </c>
      <c r="F1706" s="33" t="s">
        <v>3981</v>
      </c>
      <c r="G1706" s="14">
        <f>(VLOOKUP(D1706,'[1]BOM Info General'!$A:$L,12,0))*E1706</f>
        <v>130.12</v>
      </c>
      <c r="H1706" s="34" t="s">
        <v>41</v>
      </c>
      <c r="I1706" s="34">
        <v>1</v>
      </c>
      <c r="J1706" s="34" t="s">
        <v>47</v>
      </c>
      <c r="K1706" s="15">
        <f>(VLOOKUP(H1706,'[1]BOM Info General'!$A:$L,12,0))*I1706</f>
        <v>27.18</v>
      </c>
      <c r="L1706" s="35" t="s">
        <v>65</v>
      </c>
      <c r="M1706" s="35">
        <v>1</v>
      </c>
      <c r="N1706" s="35" t="s">
        <v>68</v>
      </c>
      <c r="O1706" s="9">
        <f>(VLOOKUP(L1706,'[1]Simulation pricing per sub assy'!$D:$E,2,0))*M1706</f>
        <v>103.16640000000004</v>
      </c>
      <c r="P1706" s="36" t="s">
        <v>50</v>
      </c>
      <c r="Q1706" s="36">
        <v>8</v>
      </c>
      <c r="R1706" s="36" t="s">
        <v>16</v>
      </c>
      <c r="S1706" s="40">
        <f>(VLOOKUP(P1706,'[1]BOM Info General'!$A:$L,12,0))*Q1706</f>
        <v>21.2</v>
      </c>
      <c r="T1706" s="37" t="s">
        <v>28</v>
      </c>
      <c r="U1706" s="31">
        <v>1</v>
      </c>
      <c r="V1706" s="37" t="s">
        <v>29</v>
      </c>
      <c r="W1706" s="17">
        <f>(VLOOKUP(T1706,'[1]Simulation pricing per sub assy'!$D:$E,2,0))*U1706</f>
        <v>7</v>
      </c>
      <c r="X1706" s="38" t="s">
        <v>616</v>
      </c>
      <c r="Y1706" s="38">
        <v>1</v>
      </c>
      <c r="Z1706" s="38" t="s">
        <v>23</v>
      </c>
      <c r="AA1706" s="18">
        <f>(VLOOKUP(X1706,'[1]Simulation pricing per sub assy'!$D:$E,2,0))*Y1706</f>
        <v>4.4802908000000006</v>
      </c>
    </row>
    <row r="1707" spans="1:27" x14ac:dyDescent="0.35">
      <c r="A1707" s="27" t="s">
        <v>2864</v>
      </c>
      <c r="B1707" s="27" t="s">
        <v>2865</v>
      </c>
      <c r="C1707" s="42">
        <f t="shared" si="26"/>
        <v>284.07669079999999</v>
      </c>
      <c r="D1707" s="33" t="s">
        <v>3540</v>
      </c>
      <c r="E1707" s="33">
        <v>2</v>
      </c>
      <c r="F1707" s="33" t="s">
        <v>3981</v>
      </c>
      <c r="G1707" s="14">
        <f>(VLOOKUP(D1707,'[1]BOM Info General'!$A:$L,12,0))*E1707</f>
        <v>130.12</v>
      </c>
      <c r="H1707" s="34" t="s">
        <v>41</v>
      </c>
      <c r="I1707" s="34">
        <v>1</v>
      </c>
      <c r="J1707" s="34" t="s">
        <v>47</v>
      </c>
      <c r="K1707" s="15">
        <f>(VLOOKUP(H1707,'[1]BOM Info General'!$A:$L,12,0))*I1707</f>
        <v>27.18</v>
      </c>
      <c r="L1707" s="35" t="s">
        <v>524</v>
      </c>
      <c r="M1707" s="35">
        <v>1</v>
      </c>
      <c r="N1707" s="35" t="s">
        <v>70</v>
      </c>
      <c r="O1707" s="9">
        <f>(VLOOKUP(L1707,'[1]Simulation pricing per sub assy'!$D:$E,2,0))*M1707</f>
        <v>94.656400000000033</v>
      </c>
      <c r="P1707" s="36" t="s">
        <v>51</v>
      </c>
      <c r="Q1707" s="36">
        <v>8</v>
      </c>
      <c r="R1707" s="36" t="s">
        <v>17</v>
      </c>
      <c r="S1707" s="40">
        <f>(VLOOKUP(P1707,'[1]BOM Info General'!$A:$L,12,0))*Q1707</f>
        <v>21.2</v>
      </c>
      <c r="T1707" s="37" t="s">
        <v>24</v>
      </c>
      <c r="U1707" s="31">
        <v>1</v>
      </c>
      <c r="V1707" s="37" t="s">
        <v>25</v>
      </c>
      <c r="W1707" s="17">
        <f>(VLOOKUP(T1707,'[1]Simulation pricing per sub assy'!$D:$E,2,0))*U1707</f>
        <v>6.44</v>
      </c>
      <c r="X1707" s="38" t="s">
        <v>616</v>
      </c>
      <c r="Y1707" s="38">
        <v>1</v>
      </c>
      <c r="Z1707" s="38" t="s">
        <v>23</v>
      </c>
      <c r="AA1707" s="18">
        <f>(VLOOKUP(X1707,'[1]Simulation pricing per sub assy'!$D:$E,2,0))*Y1707</f>
        <v>4.4802908000000006</v>
      </c>
    </row>
    <row r="1708" spans="1:27" x14ac:dyDescent="0.35">
      <c r="A1708" s="27" t="s">
        <v>2866</v>
      </c>
      <c r="B1708" s="27" t="s">
        <v>2867</v>
      </c>
      <c r="C1708" s="42">
        <f t="shared" si="26"/>
        <v>285.17669080000002</v>
      </c>
      <c r="D1708" s="33" t="s">
        <v>3540</v>
      </c>
      <c r="E1708" s="33">
        <v>2</v>
      </c>
      <c r="F1708" s="33" t="s">
        <v>3981</v>
      </c>
      <c r="G1708" s="14">
        <f>(VLOOKUP(D1708,'[1]BOM Info General'!$A:$L,12,0))*E1708</f>
        <v>130.12</v>
      </c>
      <c r="H1708" s="34" t="s">
        <v>41</v>
      </c>
      <c r="I1708" s="34">
        <v>1</v>
      </c>
      <c r="J1708" s="34" t="s">
        <v>47</v>
      </c>
      <c r="K1708" s="15">
        <f>(VLOOKUP(H1708,'[1]BOM Info General'!$A:$L,12,0))*I1708</f>
        <v>27.18</v>
      </c>
      <c r="L1708" s="35" t="s">
        <v>67</v>
      </c>
      <c r="M1708" s="35">
        <v>1</v>
      </c>
      <c r="N1708" s="35" t="s">
        <v>64</v>
      </c>
      <c r="O1708" s="9">
        <f>(VLOOKUP(L1708,'[1]Simulation pricing per sub assy'!$D:$E,2,0))*M1708</f>
        <v>95.756400000000042</v>
      </c>
      <c r="P1708" s="36" t="s">
        <v>51</v>
      </c>
      <c r="Q1708" s="36">
        <v>8</v>
      </c>
      <c r="R1708" s="36" t="s">
        <v>17</v>
      </c>
      <c r="S1708" s="40">
        <f>(VLOOKUP(P1708,'[1]BOM Info General'!$A:$L,12,0))*Q1708</f>
        <v>21.2</v>
      </c>
      <c r="T1708" s="37" t="s">
        <v>24</v>
      </c>
      <c r="U1708" s="31">
        <v>1</v>
      </c>
      <c r="V1708" s="37" t="s">
        <v>25</v>
      </c>
      <c r="W1708" s="17">
        <f>(VLOOKUP(T1708,'[1]Simulation pricing per sub assy'!$D:$E,2,0))*U1708</f>
        <v>6.44</v>
      </c>
      <c r="X1708" s="38" t="s">
        <v>616</v>
      </c>
      <c r="Y1708" s="38">
        <v>1</v>
      </c>
      <c r="Z1708" s="38" t="s">
        <v>23</v>
      </c>
      <c r="AA1708" s="18">
        <f>(VLOOKUP(X1708,'[1]Simulation pricing per sub assy'!$D:$E,2,0))*Y1708</f>
        <v>4.4802908000000006</v>
      </c>
    </row>
    <row r="1709" spans="1:27" x14ac:dyDescent="0.35">
      <c r="A1709" s="27" t="s">
        <v>2868</v>
      </c>
      <c r="B1709" s="27" t="s">
        <v>2869</v>
      </c>
      <c r="C1709" s="42">
        <f t="shared" si="26"/>
        <v>285.17669080000002</v>
      </c>
      <c r="D1709" s="33" t="s">
        <v>3540</v>
      </c>
      <c r="E1709" s="33">
        <v>2</v>
      </c>
      <c r="F1709" s="33" t="s">
        <v>3981</v>
      </c>
      <c r="G1709" s="14">
        <f>(VLOOKUP(D1709,'[1]BOM Info General'!$A:$L,12,0))*E1709</f>
        <v>130.12</v>
      </c>
      <c r="H1709" s="34" t="s">
        <v>41</v>
      </c>
      <c r="I1709" s="34">
        <v>1</v>
      </c>
      <c r="J1709" s="34" t="s">
        <v>47</v>
      </c>
      <c r="K1709" s="15">
        <f>(VLOOKUP(H1709,'[1]BOM Info General'!$A:$L,12,0))*I1709</f>
        <v>27.18</v>
      </c>
      <c r="L1709" s="35" t="s">
        <v>63</v>
      </c>
      <c r="M1709" s="35">
        <v>1</v>
      </c>
      <c r="N1709" s="35" t="s">
        <v>62</v>
      </c>
      <c r="O1709" s="9">
        <f>(VLOOKUP(L1709,'[1]Simulation pricing per sub assy'!$D:$E,2,0))*M1709</f>
        <v>95.756400000000042</v>
      </c>
      <c r="P1709" s="36" t="s">
        <v>51</v>
      </c>
      <c r="Q1709" s="36">
        <v>8</v>
      </c>
      <c r="R1709" s="36" t="s">
        <v>17</v>
      </c>
      <c r="S1709" s="40">
        <f>(VLOOKUP(P1709,'[1]BOM Info General'!$A:$L,12,0))*Q1709</f>
        <v>21.2</v>
      </c>
      <c r="T1709" s="37" t="s">
        <v>24</v>
      </c>
      <c r="U1709" s="31">
        <v>1</v>
      </c>
      <c r="V1709" s="37" t="s">
        <v>25</v>
      </c>
      <c r="W1709" s="17">
        <f>(VLOOKUP(T1709,'[1]Simulation pricing per sub assy'!$D:$E,2,0))*U1709</f>
        <v>6.44</v>
      </c>
      <c r="X1709" s="38" t="s">
        <v>616</v>
      </c>
      <c r="Y1709" s="38">
        <v>1</v>
      </c>
      <c r="Z1709" s="38" t="s">
        <v>23</v>
      </c>
      <c r="AA1709" s="18">
        <f>(VLOOKUP(X1709,'[1]Simulation pricing per sub assy'!$D:$E,2,0))*Y1709</f>
        <v>4.4802908000000006</v>
      </c>
    </row>
    <row r="1710" spans="1:27" x14ac:dyDescent="0.35">
      <c r="A1710" s="27" t="s">
        <v>2870</v>
      </c>
      <c r="B1710" s="27" t="s">
        <v>2871</v>
      </c>
      <c r="C1710" s="42">
        <f t="shared" si="26"/>
        <v>284.62669080000001</v>
      </c>
      <c r="D1710" s="33" t="s">
        <v>3540</v>
      </c>
      <c r="E1710" s="33">
        <v>2</v>
      </c>
      <c r="F1710" s="33" t="s">
        <v>3981</v>
      </c>
      <c r="G1710" s="14">
        <f>(VLOOKUP(D1710,'[1]BOM Info General'!$A:$L,12,0))*E1710</f>
        <v>130.12</v>
      </c>
      <c r="H1710" s="34" t="s">
        <v>41</v>
      </c>
      <c r="I1710" s="34">
        <v>1</v>
      </c>
      <c r="J1710" s="34" t="s">
        <v>47</v>
      </c>
      <c r="K1710" s="15">
        <f>(VLOOKUP(H1710,'[1]BOM Info General'!$A:$L,12,0))*I1710</f>
        <v>27.18</v>
      </c>
      <c r="L1710" s="35" t="s">
        <v>69</v>
      </c>
      <c r="M1710" s="35">
        <v>1</v>
      </c>
      <c r="N1710" s="35" t="s">
        <v>66</v>
      </c>
      <c r="O1710" s="9">
        <f>(VLOOKUP(L1710,'[1]Simulation pricing per sub assy'!$D:$E,2,0))*M1710</f>
        <v>95.206400000000031</v>
      </c>
      <c r="P1710" s="36" t="s">
        <v>51</v>
      </c>
      <c r="Q1710" s="36">
        <v>8</v>
      </c>
      <c r="R1710" s="36" t="s">
        <v>17</v>
      </c>
      <c r="S1710" s="40">
        <f>(VLOOKUP(P1710,'[1]BOM Info General'!$A:$L,12,0))*Q1710</f>
        <v>21.2</v>
      </c>
      <c r="T1710" s="37" t="s">
        <v>24</v>
      </c>
      <c r="U1710" s="31">
        <v>1</v>
      </c>
      <c r="V1710" s="37" t="s">
        <v>25</v>
      </c>
      <c r="W1710" s="17">
        <f>(VLOOKUP(T1710,'[1]Simulation pricing per sub assy'!$D:$E,2,0))*U1710</f>
        <v>6.44</v>
      </c>
      <c r="X1710" s="38" t="s">
        <v>616</v>
      </c>
      <c r="Y1710" s="38">
        <v>1</v>
      </c>
      <c r="Z1710" s="38" t="s">
        <v>23</v>
      </c>
      <c r="AA1710" s="18">
        <f>(VLOOKUP(X1710,'[1]Simulation pricing per sub assy'!$D:$E,2,0))*Y1710</f>
        <v>4.4802908000000006</v>
      </c>
    </row>
    <row r="1711" spans="1:27" x14ac:dyDescent="0.35">
      <c r="A1711" s="27" t="s">
        <v>2872</v>
      </c>
      <c r="B1711" s="27" t="s">
        <v>2873</v>
      </c>
      <c r="C1711" s="42">
        <f t="shared" si="26"/>
        <v>292.58669079999999</v>
      </c>
      <c r="D1711" s="33" t="s">
        <v>3540</v>
      </c>
      <c r="E1711" s="33">
        <v>2</v>
      </c>
      <c r="F1711" s="33" t="s">
        <v>3981</v>
      </c>
      <c r="G1711" s="14">
        <f>(VLOOKUP(D1711,'[1]BOM Info General'!$A:$L,12,0))*E1711</f>
        <v>130.12</v>
      </c>
      <c r="H1711" s="34" t="s">
        <v>41</v>
      </c>
      <c r="I1711" s="34">
        <v>1</v>
      </c>
      <c r="J1711" s="34" t="s">
        <v>47</v>
      </c>
      <c r="K1711" s="15">
        <f>(VLOOKUP(H1711,'[1]BOM Info General'!$A:$L,12,0))*I1711</f>
        <v>27.18</v>
      </c>
      <c r="L1711" s="35" t="s">
        <v>65</v>
      </c>
      <c r="M1711" s="35">
        <v>1</v>
      </c>
      <c r="N1711" s="35" t="s">
        <v>68</v>
      </c>
      <c r="O1711" s="9">
        <f>(VLOOKUP(L1711,'[1]Simulation pricing per sub assy'!$D:$E,2,0))*M1711</f>
        <v>103.16640000000004</v>
      </c>
      <c r="P1711" s="36" t="s">
        <v>51</v>
      </c>
      <c r="Q1711" s="36">
        <v>8</v>
      </c>
      <c r="R1711" s="36" t="s">
        <v>17</v>
      </c>
      <c r="S1711" s="40">
        <f>(VLOOKUP(P1711,'[1]BOM Info General'!$A:$L,12,0))*Q1711</f>
        <v>21.2</v>
      </c>
      <c r="T1711" s="37" t="s">
        <v>24</v>
      </c>
      <c r="U1711" s="31">
        <v>1</v>
      </c>
      <c r="V1711" s="37" t="s">
        <v>25</v>
      </c>
      <c r="W1711" s="17">
        <f>(VLOOKUP(T1711,'[1]Simulation pricing per sub assy'!$D:$E,2,0))*U1711</f>
        <v>6.44</v>
      </c>
      <c r="X1711" s="38" t="s">
        <v>616</v>
      </c>
      <c r="Y1711" s="38">
        <v>1</v>
      </c>
      <c r="Z1711" s="38" t="s">
        <v>23</v>
      </c>
      <c r="AA1711" s="18">
        <f>(VLOOKUP(X1711,'[1]Simulation pricing per sub assy'!$D:$E,2,0))*Y1711</f>
        <v>4.4802908000000006</v>
      </c>
    </row>
    <row r="1712" spans="1:27" x14ac:dyDescent="0.35">
      <c r="A1712" s="27" t="s">
        <v>2874</v>
      </c>
      <c r="B1712" s="27" t="s">
        <v>2875</v>
      </c>
      <c r="C1712" s="42">
        <f t="shared" si="26"/>
        <v>284.67669080000002</v>
      </c>
      <c r="D1712" s="33" t="s">
        <v>3540</v>
      </c>
      <c r="E1712" s="33">
        <v>2</v>
      </c>
      <c r="F1712" s="33" t="s">
        <v>3981</v>
      </c>
      <c r="G1712" s="14">
        <f>(VLOOKUP(D1712,'[1]BOM Info General'!$A:$L,12,0))*E1712</f>
        <v>130.12</v>
      </c>
      <c r="H1712" s="34" t="s">
        <v>41</v>
      </c>
      <c r="I1712" s="34">
        <v>1</v>
      </c>
      <c r="J1712" s="34" t="s">
        <v>47</v>
      </c>
      <c r="K1712" s="15">
        <f>(VLOOKUP(H1712,'[1]BOM Info General'!$A:$L,12,0))*I1712</f>
        <v>27.18</v>
      </c>
      <c r="L1712" s="35" t="s">
        <v>524</v>
      </c>
      <c r="M1712" s="35">
        <v>1</v>
      </c>
      <c r="N1712" s="35" t="s">
        <v>70</v>
      </c>
      <c r="O1712" s="9">
        <f>(VLOOKUP(L1712,'[1]Simulation pricing per sub assy'!$D:$E,2,0))*M1712</f>
        <v>94.656400000000033</v>
      </c>
      <c r="P1712" s="36" t="s">
        <v>51</v>
      </c>
      <c r="Q1712" s="36">
        <v>8</v>
      </c>
      <c r="R1712" s="36" t="s">
        <v>17</v>
      </c>
      <c r="S1712" s="40">
        <f>(VLOOKUP(P1712,'[1]BOM Info General'!$A:$L,12,0))*Q1712</f>
        <v>21.2</v>
      </c>
      <c r="T1712" s="37" t="s">
        <v>26</v>
      </c>
      <c r="U1712" s="31">
        <v>1</v>
      </c>
      <c r="V1712" s="37" t="s">
        <v>27</v>
      </c>
      <c r="W1712" s="17">
        <f>(VLOOKUP(T1712,'[1]Simulation pricing per sub assy'!$D:$E,2,0))*U1712</f>
        <v>7.04</v>
      </c>
      <c r="X1712" s="38" t="s">
        <v>616</v>
      </c>
      <c r="Y1712" s="38">
        <v>1</v>
      </c>
      <c r="Z1712" s="38" t="s">
        <v>23</v>
      </c>
      <c r="AA1712" s="18">
        <f>(VLOOKUP(X1712,'[1]Simulation pricing per sub assy'!$D:$E,2,0))*Y1712</f>
        <v>4.4802908000000006</v>
      </c>
    </row>
    <row r="1713" spans="1:27" x14ac:dyDescent="0.35">
      <c r="A1713" s="27" t="s">
        <v>2876</v>
      </c>
      <c r="B1713" s="27" t="s">
        <v>2877</v>
      </c>
      <c r="C1713" s="42">
        <f t="shared" si="26"/>
        <v>285.77669080000004</v>
      </c>
      <c r="D1713" s="33" t="s">
        <v>3540</v>
      </c>
      <c r="E1713" s="33">
        <v>2</v>
      </c>
      <c r="F1713" s="33" t="s">
        <v>3981</v>
      </c>
      <c r="G1713" s="14">
        <f>(VLOOKUP(D1713,'[1]BOM Info General'!$A:$L,12,0))*E1713</f>
        <v>130.12</v>
      </c>
      <c r="H1713" s="34" t="s">
        <v>41</v>
      </c>
      <c r="I1713" s="34">
        <v>1</v>
      </c>
      <c r="J1713" s="34" t="s">
        <v>47</v>
      </c>
      <c r="K1713" s="15">
        <f>(VLOOKUP(H1713,'[1]BOM Info General'!$A:$L,12,0))*I1713</f>
        <v>27.18</v>
      </c>
      <c r="L1713" s="35" t="s">
        <v>67</v>
      </c>
      <c r="M1713" s="35">
        <v>1</v>
      </c>
      <c r="N1713" s="35" t="s">
        <v>64</v>
      </c>
      <c r="O1713" s="9">
        <f>(VLOOKUP(L1713,'[1]Simulation pricing per sub assy'!$D:$E,2,0))*M1713</f>
        <v>95.756400000000042</v>
      </c>
      <c r="P1713" s="36" t="s">
        <v>51</v>
      </c>
      <c r="Q1713" s="36">
        <v>8</v>
      </c>
      <c r="R1713" s="36" t="s">
        <v>17</v>
      </c>
      <c r="S1713" s="40">
        <f>(VLOOKUP(P1713,'[1]BOM Info General'!$A:$L,12,0))*Q1713</f>
        <v>21.2</v>
      </c>
      <c r="T1713" s="37" t="s">
        <v>26</v>
      </c>
      <c r="U1713" s="31">
        <v>1</v>
      </c>
      <c r="V1713" s="37" t="s">
        <v>27</v>
      </c>
      <c r="W1713" s="17">
        <f>(VLOOKUP(T1713,'[1]Simulation pricing per sub assy'!$D:$E,2,0))*U1713</f>
        <v>7.04</v>
      </c>
      <c r="X1713" s="38" t="s">
        <v>616</v>
      </c>
      <c r="Y1713" s="38">
        <v>1</v>
      </c>
      <c r="Z1713" s="38" t="s">
        <v>23</v>
      </c>
      <c r="AA1713" s="18">
        <f>(VLOOKUP(X1713,'[1]Simulation pricing per sub assy'!$D:$E,2,0))*Y1713</f>
        <v>4.4802908000000006</v>
      </c>
    </row>
    <row r="1714" spans="1:27" x14ac:dyDescent="0.35">
      <c r="A1714" s="27" t="s">
        <v>2878</v>
      </c>
      <c r="B1714" s="27" t="s">
        <v>2879</v>
      </c>
      <c r="C1714" s="42">
        <f t="shared" si="26"/>
        <v>285.77669080000004</v>
      </c>
      <c r="D1714" s="33" t="s">
        <v>3540</v>
      </c>
      <c r="E1714" s="33">
        <v>2</v>
      </c>
      <c r="F1714" s="33" t="s">
        <v>3981</v>
      </c>
      <c r="G1714" s="14">
        <f>(VLOOKUP(D1714,'[1]BOM Info General'!$A:$L,12,0))*E1714</f>
        <v>130.12</v>
      </c>
      <c r="H1714" s="34" t="s">
        <v>41</v>
      </c>
      <c r="I1714" s="34">
        <v>1</v>
      </c>
      <c r="J1714" s="34" t="s">
        <v>47</v>
      </c>
      <c r="K1714" s="15">
        <f>(VLOOKUP(H1714,'[1]BOM Info General'!$A:$L,12,0))*I1714</f>
        <v>27.18</v>
      </c>
      <c r="L1714" s="35" t="s">
        <v>63</v>
      </c>
      <c r="M1714" s="35">
        <v>1</v>
      </c>
      <c r="N1714" s="35" t="s">
        <v>62</v>
      </c>
      <c r="O1714" s="9">
        <f>(VLOOKUP(L1714,'[1]Simulation pricing per sub assy'!$D:$E,2,0))*M1714</f>
        <v>95.756400000000042</v>
      </c>
      <c r="P1714" s="36" t="s">
        <v>51</v>
      </c>
      <c r="Q1714" s="36">
        <v>8</v>
      </c>
      <c r="R1714" s="36" t="s">
        <v>17</v>
      </c>
      <c r="S1714" s="40">
        <f>(VLOOKUP(P1714,'[1]BOM Info General'!$A:$L,12,0))*Q1714</f>
        <v>21.2</v>
      </c>
      <c r="T1714" s="37" t="s">
        <v>26</v>
      </c>
      <c r="U1714" s="31">
        <v>1</v>
      </c>
      <c r="V1714" s="37" t="s">
        <v>27</v>
      </c>
      <c r="W1714" s="17">
        <f>(VLOOKUP(T1714,'[1]Simulation pricing per sub assy'!$D:$E,2,0))*U1714</f>
        <v>7.04</v>
      </c>
      <c r="X1714" s="38" t="s">
        <v>616</v>
      </c>
      <c r="Y1714" s="38">
        <v>1</v>
      </c>
      <c r="Z1714" s="38" t="s">
        <v>23</v>
      </c>
      <c r="AA1714" s="18">
        <f>(VLOOKUP(X1714,'[1]Simulation pricing per sub assy'!$D:$E,2,0))*Y1714</f>
        <v>4.4802908000000006</v>
      </c>
    </row>
    <row r="1715" spans="1:27" x14ac:dyDescent="0.35">
      <c r="A1715" s="27" t="s">
        <v>2880</v>
      </c>
      <c r="B1715" s="27" t="s">
        <v>2881</v>
      </c>
      <c r="C1715" s="42">
        <f t="shared" si="26"/>
        <v>285.22669080000003</v>
      </c>
      <c r="D1715" s="33" t="s">
        <v>3540</v>
      </c>
      <c r="E1715" s="33">
        <v>2</v>
      </c>
      <c r="F1715" s="33" t="s">
        <v>3981</v>
      </c>
      <c r="G1715" s="14">
        <f>(VLOOKUP(D1715,'[1]BOM Info General'!$A:$L,12,0))*E1715</f>
        <v>130.12</v>
      </c>
      <c r="H1715" s="34" t="s">
        <v>41</v>
      </c>
      <c r="I1715" s="34">
        <v>1</v>
      </c>
      <c r="J1715" s="34" t="s">
        <v>47</v>
      </c>
      <c r="K1715" s="15">
        <f>(VLOOKUP(H1715,'[1]BOM Info General'!$A:$L,12,0))*I1715</f>
        <v>27.18</v>
      </c>
      <c r="L1715" s="35" t="s">
        <v>69</v>
      </c>
      <c r="M1715" s="35">
        <v>1</v>
      </c>
      <c r="N1715" s="35" t="s">
        <v>66</v>
      </c>
      <c r="O1715" s="9">
        <f>(VLOOKUP(L1715,'[1]Simulation pricing per sub assy'!$D:$E,2,0))*M1715</f>
        <v>95.206400000000031</v>
      </c>
      <c r="P1715" s="36" t="s">
        <v>51</v>
      </c>
      <c r="Q1715" s="36">
        <v>8</v>
      </c>
      <c r="R1715" s="36" t="s">
        <v>17</v>
      </c>
      <c r="S1715" s="40">
        <f>(VLOOKUP(P1715,'[1]BOM Info General'!$A:$L,12,0))*Q1715</f>
        <v>21.2</v>
      </c>
      <c r="T1715" s="37" t="s">
        <v>26</v>
      </c>
      <c r="U1715" s="31">
        <v>1</v>
      </c>
      <c r="V1715" s="37" t="s">
        <v>27</v>
      </c>
      <c r="W1715" s="17">
        <f>(VLOOKUP(T1715,'[1]Simulation pricing per sub assy'!$D:$E,2,0))*U1715</f>
        <v>7.04</v>
      </c>
      <c r="X1715" s="38" t="s">
        <v>616</v>
      </c>
      <c r="Y1715" s="38">
        <v>1</v>
      </c>
      <c r="Z1715" s="38" t="s">
        <v>23</v>
      </c>
      <c r="AA1715" s="18">
        <f>(VLOOKUP(X1715,'[1]Simulation pricing per sub assy'!$D:$E,2,0))*Y1715</f>
        <v>4.4802908000000006</v>
      </c>
    </row>
    <row r="1716" spans="1:27" x14ac:dyDescent="0.35">
      <c r="A1716" s="27" t="s">
        <v>2882</v>
      </c>
      <c r="B1716" s="27" t="s">
        <v>2883</v>
      </c>
      <c r="C1716" s="42">
        <f t="shared" si="26"/>
        <v>293.18669080000001</v>
      </c>
      <c r="D1716" s="33" t="s">
        <v>3540</v>
      </c>
      <c r="E1716" s="33">
        <v>2</v>
      </c>
      <c r="F1716" s="33" t="s">
        <v>3981</v>
      </c>
      <c r="G1716" s="14">
        <f>(VLOOKUP(D1716,'[1]BOM Info General'!$A:$L,12,0))*E1716</f>
        <v>130.12</v>
      </c>
      <c r="H1716" s="34" t="s">
        <v>41</v>
      </c>
      <c r="I1716" s="34">
        <v>1</v>
      </c>
      <c r="J1716" s="34" t="s">
        <v>47</v>
      </c>
      <c r="K1716" s="15">
        <f>(VLOOKUP(H1716,'[1]BOM Info General'!$A:$L,12,0))*I1716</f>
        <v>27.18</v>
      </c>
      <c r="L1716" s="35" t="s">
        <v>65</v>
      </c>
      <c r="M1716" s="35">
        <v>1</v>
      </c>
      <c r="N1716" s="35" t="s">
        <v>68</v>
      </c>
      <c r="O1716" s="9">
        <f>(VLOOKUP(L1716,'[1]Simulation pricing per sub assy'!$D:$E,2,0))*M1716</f>
        <v>103.16640000000004</v>
      </c>
      <c r="P1716" s="36" t="s">
        <v>51</v>
      </c>
      <c r="Q1716" s="36">
        <v>8</v>
      </c>
      <c r="R1716" s="36" t="s">
        <v>17</v>
      </c>
      <c r="S1716" s="40">
        <f>(VLOOKUP(P1716,'[1]BOM Info General'!$A:$L,12,0))*Q1716</f>
        <v>21.2</v>
      </c>
      <c r="T1716" s="37" t="s">
        <v>26</v>
      </c>
      <c r="U1716" s="31">
        <v>1</v>
      </c>
      <c r="V1716" s="37" t="s">
        <v>27</v>
      </c>
      <c r="W1716" s="17">
        <f>(VLOOKUP(T1716,'[1]Simulation pricing per sub assy'!$D:$E,2,0))*U1716</f>
        <v>7.04</v>
      </c>
      <c r="X1716" s="38" t="s">
        <v>616</v>
      </c>
      <c r="Y1716" s="38">
        <v>1</v>
      </c>
      <c r="Z1716" s="38" t="s">
        <v>23</v>
      </c>
      <c r="AA1716" s="18">
        <f>(VLOOKUP(X1716,'[1]Simulation pricing per sub assy'!$D:$E,2,0))*Y1716</f>
        <v>4.4802908000000006</v>
      </c>
    </row>
    <row r="1717" spans="1:27" x14ac:dyDescent="0.35">
      <c r="A1717" s="27" t="s">
        <v>2884</v>
      </c>
      <c r="B1717" s="27" t="s">
        <v>2885</v>
      </c>
      <c r="C1717" s="42">
        <f t="shared" si="26"/>
        <v>284.6366908</v>
      </c>
      <c r="D1717" s="33" t="s">
        <v>3540</v>
      </c>
      <c r="E1717" s="33">
        <v>2</v>
      </c>
      <c r="F1717" s="33" t="s">
        <v>3981</v>
      </c>
      <c r="G1717" s="14">
        <f>(VLOOKUP(D1717,'[1]BOM Info General'!$A:$L,12,0))*E1717</f>
        <v>130.12</v>
      </c>
      <c r="H1717" s="34" t="s">
        <v>41</v>
      </c>
      <c r="I1717" s="34">
        <v>1</v>
      </c>
      <c r="J1717" s="34" t="s">
        <v>47</v>
      </c>
      <c r="K1717" s="15">
        <f>(VLOOKUP(H1717,'[1]BOM Info General'!$A:$L,12,0))*I1717</f>
        <v>27.18</v>
      </c>
      <c r="L1717" s="35" t="s">
        <v>524</v>
      </c>
      <c r="M1717" s="35">
        <v>1</v>
      </c>
      <c r="N1717" s="35" t="s">
        <v>70</v>
      </c>
      <c r="O1717" s="9">
        <f>(VLOOKUP(L1717,'[1]Simulation pricing per sub assy'!$D:$E,2,0))*M1717</f>
        <v>94.656400000000033</v>
      </c>
      <c r="P1717" s="36" t="s">
        <v>51</v>
      </c>
      <c r="Q1717" s="36">
        <v>8</v>
      </c>
      <c r="R1717" s="36" t="s">
        <v>17</v>
      </c>
      <c r="S1717" s="40">
        <f>(VLOOKUP(P1717,'[1]BOM Info General'!$A:$L,12,0))*Q1717</f>
        <v>21.2</v>
      </c>
      <c r="T1717" s="37" t="s">
        <v>28</v>
      </c>
      <c r="U1717" s="31">
        <v>1</v>
      </c>
      <c r="V1717" s="37" t="s">
        <v>29</v>
      </c>
      <c r="W1717" s="17">
        <f>(VLOOKUP(T1717,'[1]Simulation pricing per sub assy'!$D:$E,2,0))*U1717</f>
        <v>7</v>
      </c>
      <c r="X1717" s="38" t="s">
        <v>616</v>
      </c>
      <c r="Y1717" s="38">
        <v>1</v>
      </c>
      <c r="Z1717" s="38" t="s">
        <v>23</v>
      </c>
      <c r="AA1717" s="18">
        <f>(VLOOKUP(X1717,'[1]Simulation pricing per sub assy'!$D:$E,2,0))*Y1717</f>
        <v>4.4802908000000006</v>
      </c>
    </row>
    <row r="1718" spans="1:27" x14ac:dyDescent="0.35">
      <c r="A1718" s="27" t="s">
        <v>2886</v>
      </c>
      <c r="B1718" s="27" t="s">
        <v>2887</v>
      </c>
      <c r="C1718" s="42">
        <f t="shared" si="26"/>
        <v>285.73669080000002</v>
      </c>
      <c r="D1718" s="33" t="s">
        <v>3540</v>
      </c>
      <c r="E1718" s="33">
        <v>2</v>
      </c>
      <c r="F1718" s="33" t="s">
        <v>3981</v>
      </c>
      <c r="G1718" s="14">
        <f>(VLOOKUP(D1718,'[1]BOM Info General'!$A:$L,12,0))*E1718</f>
        <v>130.12</v>
      </c>
      <c r="H1718" s="34" t="s">
        <v>41</v>
      </c>
      <c r="I1718" s="34">
        <v>1</v>
      </c>
      <c r="J1718" s="34" t="s">
        <v>47</v>
      </c>
      <c r="K1718" s="15">
        <f>(VLOOKUP(H1718,'[1]BOM Info General'!$A:$L,12,0))*I1718</f>
        <v>27.18</v>
      </c>
      <c r="L1718" s="35" t="s">
        <v>67</v>
      </c>
      <c r="M1718" s="35">
        <v>1</v>
      </c>
      <c r="N1718" s="35" t="s">
        <v>64</v>
      </c>
      <c r="O1718" s="9">
        <f>(VLOOKUP(L1718,'[1]Simulation pricing per sub assy'!$D:$E,2,0))*M1718</f>
        <v>95.756400000000042</v>
      </c>
      <c r="P1718" s="36" t="s">
        <v>51</v>
      </c>
      <c r="Q1718" s="36">
        <v>8</v>
      </c>
      <c r="R1718" s="36" t="s">
        <v>17</v>
      </c>
      <c r="S1718" s="40">
        <f>(VLOOKUP(P1718,'[1]BOM Info General'!$A:$L,12,0))*Q1718</f>
        <v>21.2</v>
      </c>
      <c r="T1718" s="37" t="s">
        <v>28</v>
      </c>
      <c r="U1718" s="31">
        <v>1</v>
      </c>
      <c r="V1718" s="37" t="s">
        <v>29</v>
      </c>
      <c r="W1718" s="17">
        <f>(VLOOKUP(T1718,'[1]Simulation pricing per sub assy'!$D:$E,2,0))*U1718</f>
        <v>7</v>
      </c>
      <c r="X1718" s="38" t="s">
        <v>616</v>
      </c>
      <c r="Y1718" s="38">
        <v>1</v>
      </c>
      <c r="Z1718" s="38" t="s">
        <v>23</v>
      </c>
      <c r="AA1718" s="18">
        <f>(VLOOKUP(X1718,'[1]Simulation pricing per sub assy'!$D:$E,2,0))*Y1718</f>
        <v>4.4802908000000006</v>
      </c>
    </row>
    <row r="1719" spans="1:27" x14ac:dyDescent="0.35">
      <c r="A1719" s="27" t="s">
        <v>2888</v>
      </c>
      <c r="B1719" s="27" t="s">
        <v>2889</v>
      </c>
      <c r="C1719" s="42">
        <f t="shared" si="26"/>
        <v>285.73669080000002</v>
      </c>
      <c r="D1719" s="33" t="s">
        <v>3540</v>
      </c>
      <c r="E1719" s="33">
        <v>2</v>
      </c>
      <c r="F1719" s="33" t="s">
        <v>3981</v>
      </c>
      <c r="G1719" s="14">
        <f>(VLOOKUP(D1719,'[1]BOM Info General'!$A:$L,12,0))*E1719</f>
        <v>130.12</v>
      </c>
      <c r="H1719" s="34" t="s">
        <v>41</v>
      </c>
      <c r="I1719" s="34">
        <v>1</v>
      </c>
      <c r="J1719" s="34" t="s">
        <v>47</v>
      </c>
      <c r="K1719" s="15">
        <f>(VLOOKUP(H1719,'[1]BOM Info General'!$A:$L,12,0))*I1719</f>
        <v>27.18</v>
      </c>
      <c r="L1719" s="35" t="s">
        <v>63</v>
      </c>
      <c r="M1719" s="35">
        <v>1</v>
      </c>
      <c r="N1719" s="35" t="s">
        <v>62</v>
      </c>
      <c r="O1719" s="9">
        <f>(VLOOKUP(L1719,'[1]Simulation pricing per sub assy'!$D:$E,2,0))*M1719</f>
        <v>95.756400000000042</v>
      </c>
      <c r="P1719" s="36" t="s">
        <v>51</v>
      </c>
      <c r="Q1719" s="36">
        <v>8</v>
      </c>
      <c r="R1719" s="36" t="s">
        <v>17</v>
      </c>
      <c r="S1719" s="40">
        <f>(VLOOKUP(P1719,'[1]BOM Info General'!$A:$L,12,0))*Q1719</f>
        <v>21.2</v>
      </c>
      <c r="T1719" s="37" t="s">
        <v>28</v>
      </c>
      <c r="U1719" s="31">
        <v>1</v>
      </c>
      <c r="V1719" s="37" t="s">
        <v>29</v>
      </c>
      <c r="W1719" s="17">
        <f>(VLOOKUP(T1719,'[1]Simulation pricing per sub assy'!$D:$E,2,0))*U1719</f>
        <v>7</v>
      </c>
      <c r="X1719" s="38" t="s">
        <v>616</v>
      </c>
      <c r="Y1719" s="38">
        <v>1</v>
      </c>
      <c r="Z1719" s="38" t="s">
        <v>23</v>
      </c>
      <c r="AA1719" s="18">
        <f>(VLOOKUP(X1719,'[1]Simulation pricing per sub assy'!$D:$E,2,0))*Y1719</f>
        <v>4.4802908000000006</v>
      </c>
    </row>
    <row r="1720" spans="1:27" x14ac:dyDescent="0.35">
      <c r="A1720" s="27" t="s">
        <v>2890</v>
      </c>
      <c r="B1720" s="27" t="s">
        <v>2891</v>
      </c>
      <c r="C1720" s="42">
        <f t="shared" si="26"/>
        <v>285.18669080000001</v>
      </c>
      <c r="D1720" s="33" t="s">
        <v>3540</v>
      </c>
      <c r="E1720" s="33">
        <v>2</v>
      </c>
      <c r="F1720" s="33" t="s">
        <v>3981</v>
      </c>
      <c r="G1720" s="14">
        <f>(VLOOKUP(D1720,'[1]BOM Info General'!$A:$L,12,0))*E1720</f>
        <v>130.12</v>
      </c>
      <c r="H1720" s="34" t="s">
        <v>41</v>
      </c>
      <c r="I1720" s="34">
        <v>1</v>
      </c>
      <c r="J1720" s="34" t="s">
        <v>47</v>
      </c>
      <c r="K1720" s="15">
        <f>(VLOOKUP(H1720,'[1]BOM Info General'!$A:$L,12,0))*I1720</f>
        <v>27.18</v>
      </c>
      <c r="L1720" s="35" t="s">
        <v>69</v>
      </c>
      <c r="M1720" s="35">
        <v>1</v>
      </c>
      <c r="N1720" s="35" t="s">
        <v>66</v>
      </c>
      <c r="O1720" s="9">
        <f>(VLOOKUP(L1720,'[1]Simulation pricing per sub assy'!$D:$E,2,0))*M1720</f>
        <v>95.206400000000031</v>
      </c>
      <c r="P1720" s="36" t="s">
        <v>51</v>
      </c>
      <c r="Q1720" s="36">
        <v>8</v>
      </c>
      <c r="R1720" s="36" t="s">
        <v>17</v>
      </c>
      <c r="S1720" s="40">
        <f>(VLOOKUP(P1720,'[1]BOM Info General'!$A:$L,12,0))*Q1720</f>
        <v>21.2</v>
      </c>
      <c r="T1720" s="37" t="s">
        <v>28</v>
      </c>
      <c r="U1720" s="31">
        <v>1</v>
      </c>
      <c r="V1720" s="37" t="s">
        <v>29</v>
      </c>
      <c r="W1720" s="17">
        <f>(VLOOKUP(T1720,'[1]Simulation pricing per sub assy'!$D:$E,2,0))*U1720</f>
        <v>7</v>
      </c>
      <c r="X1720" s="38" t="s">
        <v>616</v>
      </c>
      <c r="Y1720" s="38">
        <v>1</v>
      </c>
      <c r="Z1720" s="38" t="s">
        <v>23</v>
      </c>
      <c r="AA1720" s="18">
        <f>(VLOOKUP(X1720,'[1]Simulation pricing per sub assy'!$D:$E,2,0))*Y1720</f>
        <v>4.4802908000000006</v>
      </c>
    </row>
    <row r="1721" spans="1:27" x14ac:dyDescent="0.35">
      <c r="A1721" s="27" t="s">
        <v>2892</v>
      </c>
      <c r="B1721" s="27" t="s">
        <v>2893</v>
      </c>
      <c r="C1721" s="42">
        <f t="shared" si="26"/>
        <v>293.14669079999999</v>
      </c>
      <c r="D1721" s="33" t="s">
        <v>3540</v>
      </c>
      <c r="E1721" s="33">
        <v>2</v>
      </c>
      <c r="F1721" s="33" t="s">
        <v>3981</v>
      </c>
      <c r="G1721" s="14">
        <f>(VLOOKUP(D1721,'[1]BOM Info General'!$A:$L,12,0))*E1721</f>
        <v>130.12</v>
      </c>
      <c r="H1721" s="34" t="s">
        <v>41</v>
      </c>
      <c r="I1721" s="34">
        <v>1</v>
      </c>
      <c r="J1721" s="34" t="s">
        <v>47</v>
      </c>
      <c r="K1721" s="15">
        <f>(VLOOKUP(H1721,'[1]BOM Info General'!$A:$L,12,0))*I1721</f>
        <v>27.18</v>
      </c>
      <c r="L1721" s="35" t="s">
        <v>65</v>
      </c>
      <c r="M1721" s="35">
        <v>1</v>
      </c>
      <c r="N1721" s="35" t="s">
        <v>68</v>
      </c>
      <c r="O1721" s="9">
        <f>(VLOOKUP(L1721,'[1]Simulation pricing per sub assy'!$D:$E,2,0))*M1721</f>
        <v>103.16640000000004</v>
      </c>
      <c r="P1721" s="36" t="s">
        <v>51</v>
      </c>
      <c r="Q1721" s="36">
        <v>8</v>
      </c>
      <c r="R1721" s="36" t="s">
        <v>17</v>
      </c>
      <c r="S1721" s="40">
        <f>(VLOOKUP(P1721,'[1]BOM Info General'!$A:$L,12,0))*Q1721</f>
        <v>21.2</v>
      </c>
      <c r="T1721" s="37" t="s">
        <v>28</v>
      </c>
      <c r="U1721" s="31">
        <v>1</v>
      </c>
      <c r="V1721" s="37" t="s">
        <v>29</v>
      </c>
      <c r="W1721" s="17">
        <f>(VLOOKUP(T1721,'[1]Simulation pricing per sub assy'!$D:$E,2,0))*U1721</f>
        <v>7</v>
      </c>
      <c r="X1721" s="38" t="s">
        <v>616</v>
      </c>
      <c r="Y1721" s="38">
        <v>1</v>
      </c>
      <c r="Z1721" s="38" t="s">
        <v>23</v>
      </c>
      <c r="AA1721" s="18">
        <f>(VLOOKUP(X1721,'[1]Simulation pricing per sub assy'!$D:$E,2,0))*Y1721</f>
        <v>4.4802908000000006</v>
      </c>
    </row>
    <row r="1722" spans="1:27" x14ac:dyDescent="0.35">
      <c r="A1722" s="27" t="s">
        <v>2894</v>
      </c>
      <c r="B1722" s="27" t="s">
        <v>2895</v>
      </c>
      <c r="C1722" s="42">
        <f t="shared" si="26"/>
        <v>284.07669079999999</v>
      </c>
      <c r="D1722" s="33" t="s">
        <v>3540</v>
      </c>
      <c r="E1722" s="33">
        <v>2</v>
      </c>
      <c r="F1722" s="33" t="s">
        <v>3981</v>
      </c>
      <c r="G1722" s="14">
        <f>(VLOOKUP(D1722,'[1]BOM Info General'!$A:$L,12,0))*E1722</f>
        <v>130.12</v>
      </c>
      <c r="H1722" s="34" t="s">
        <v>41</v>
      </c>
      <c r="I1722" s="34">
        <v>1</v>
      </c>
      <c r="J1722" s="34" t="s">
        <v>47</v>
      </c>
      <c r="K1722" s="15">
        <f>(VLOOKUP(H1722,'[1]BOM Info General'!$A:$L,12,0))*I1722</f>
        <v>27.18</v>
      </c>
      <c r="L1722" s="35" t="s">
        <v>524</v>
      </c>
      <c r="M1722" s="35">
        <v>1</v>
      </c>
      <c r="N1722" s="35" t="s">
        <v>70</v>
      </c>
      <c r="O1722" s="9">
        <f>(VLOOKUP(L1722,'[1]Simulation pricing per sub assy'!$D:$E,2,0))*M1722</f>
        <v>94.656400000000033</v>
      </c>
      <c r="P1722" s="36" t="s">
        <v>52</v>
      </c>
      <c r="Q1722" s="36">
        <v>8</v>
      </c>
      <c r="R1722" s="36" t="s">
        <v>18</v>
      </c>
      <c r="S1722" s="40">
        <f>(VLOOKUP(P1722,'[1]BOM Info General'!$A:$L,12,0))*Q1722</f>
        <v>21.2</v>
      </c>
      <c r="T1722" s="37" t="s">
        <v>24</v>
      </c>
      <c r="U1722" s="31">
        <v>1</v>
      </c>
      <c r="V1722" s="37" t="s">
        <v>25</v>
      </c>
      <c r="W1722" s="17">
        <f>(VLOOKUP(T1722,'[1]Simulation pricing per sub assy'!$D:$E,2,0))*U1722</f>
        <v>6.44</v>
      </c>
      <c r="X1722" s="38" t="s">
        <v>616</v>
      </c>
      <c r="Y1722" s="38">
        <v>1</v>
      </c>
      <c r="Z1722" s="38" t="s">
        <v>23</v>
      </c>
      <c r="AA1722" s="18">
        <f>(VLOOKUP(X1722,'[1]Simulation pricing per sub assy'!$D:$E,2,0))*Y1722</f>
        <v>4.4802908000000006</v>
      </c>
    </row>
    <row r="1723" spans="1:27" x14ac:dyDescent="0.35">
      <c r="A1723" s="27" t="s">
        <v>2896</v>
      </c>
      <c r="B1723" s="27" t="s">
        <v>2897</v>
      </c>
      <c r="C1723" s="42">
        <f t="shared" si="26"/>
        <v>285.17669080000002</v>
      </c>
      <c r="D1723" s="33" t="s">
        <v>3540</v>
      </c>
      <c r="E1723" s="33">
        <v>2</v>
      </c>
      <c r="F1723" s="33" t="s">
        <v>3981</v>
      </c>
      <c r="G1723" s="14">
        <f>(VLOOKUP(D1723,'[1]BOM Info General'!$A:$L,12,0))*E1723</f>
        <v>130.12</v>
      </c>
      <c r="H1723" s="34" t="s">
        <v>41</v>
      </c>
      <c r="I1723" s="34">
        <v>1</v>
      </c>
      <c r="J1723" s="34" t="s">
        <v>47</v>
      </c>
      <c r="K1723" s="15">
        <f>(VLOOKUP(H1723,'[1]BOM Info General'!$A:$L,12,0))*I1723</f>
        <v>27.18</v>
      </c>
      <c r="L1723" s="35" t="s">
        <v>67</v>
      </c>
      <c r="M1723" s="35">
        <v>1</v>
      </c>
      <c r="N1723" s="35" t="s">
        <v>64</v>
      </c>
      <c r="O1723" s="9">
        <f>(VLOOKUP(L1723,'[1]Simulation pricing per sub assy'!$D:$E,2,0))*M1723</f>
        <v>95.756400000000042</v>
      </c>
      <c r="P1723" s="36" t="s">
        <v>52</v>
      </c>
      <c r="Q1723" s="36">
        <v>8</v>
      </c>
      <c r="R1723" s="36" t="s">
        <v>18</v>
      </c>
      <c r="S1723" s="40">
        <f>(VLOOKUP(P1723,'[1]BOM Info General'!$A:$L,12,0))*Q1723</f>
        <v>21.2</v>
      </c>
      <c r="T1723" s="37" t="s">
        <v>24</v>
      </c>
      <c r="U1723" s="31">
        <v>1</v>
      </c>
      <c r="V1723" s="37" t="s">
        <v>25</v>
      </c>
      <c r="W1723" s="17">
        <f>(VLOOKUP(T1723,'[1]Simulation pricing per sub assy'!$D:$E,2,0))*U1723</f>
        <v>6.44</v>
      </c>
      <c r="X1723" s="38" t="s">
        <v>616</v>
      </c>
      <c r="Y1723" s="38">
        <v>1</v>
      </c>
      <c r="Z1723" s="38" t="s">
        <v>23</v>
      </c>
      <c r="AA1723" s="18">
        <f>(VLOOKUP(X1723,'[1]Simulation pricing per sub assy'!$D:$E,2,0))*Y1723</f>
        <v>4.4802908000000006</v>
      </c>
    </row>
    <row r="1724" spans="1:27" x14ac:dyDescent="0.35">
      <c r="A1724" s="27" t="s">
        <v>2898</v>
      </c>
      <c r="B1724" s="27" t="s">
        <v>2899</v>
      </c>
      <c r="C1724" s="42">
        <f t="shared" si="26"/>
        <v>285.17669080000002</v>
      </c>
      <c r="D1724" s="33" t="s">
        <v>3540</v>
      </c>
      <c r="E1724" s="33">
        <v>2</v>
      </c>
      <c r="F1724" s="33" t="s">
        <v>3981</v>
      </c>
      <c r="G1724" s="14">
        <f>(VLOOKUP(D1724,'[1]BOM Info General'!$A:$L,12,0))*E1724</f>
        <v>130.12</v>
      </c>
      <c r="H1724" s="34" t="s">
        <v>41</v>
      </c>
      <c r="I1724" s="34">
        <v>1</v>
      </c>
      <c r="J1724" s="34" t="s">
        <v>47</v>
      </c>
      <c r="K1724" s="15">
        <f>(VLOOKUP(H1724,'[1]BOM Info General'!$A:$L,12,0))*I1724</f>
        <v>27.18</v>
      </c>
      <c r="L1724" s="35" t="s">
        <v>63</v>
      </c>
      <c r="M1724" s="35">
        <v>1</v>
      </c>
      <c r="N1724" s="35" t="s">
        <v>62</v>
      </c>
      <c r="O1724" s="9">
        <f>(VLOOKUP(L1724,'[1]Simulation pricing per sub assy'!$D:$E,2,0))*M1724</f>
        <v>95.756400000000042</v>
      </c>
      <c r="P1724" s="36" t="s">
        <v>52</v>
      </c>
      <c r="Q1724" s="36">
        <v>8</v>
      </c>
      <c r="R1724" s="36" t="s">
        <v>18</v>
      </c>
      <c r="S1724" s="40">
        <f>(VLOOKUP(P1724,'[1]BOM Info General'!$A:$L,12,0))*Q1724</f>
        <v>21.2</v>
      </c>
      <c r="T1724" s="37" t="s">
        <v>24</v>
      </c>
      <c r="U1724" s="31">
        <v>1</v>
      </c>
      <c r="V1724" s="37" t="s">
        <v>25</v>
      </c>
      <c r="W1724" s="17">
        <f>(VLOOKUP(T1724,'[1]Simulation pricing per sub assy'!$D:$E,2,0))*U1724</f>
        <v>6.44</v>
      </c>
      <c r="X1724" s="38" t="s">
        <v>616</v>
      </c>
      <c r="Y1724" s="38">
        <v>1</v>
      </c>
      <c r="Z1724" s="38" t="s">
        <v>23</v>
      </c>
      <c r="AA1724" s="18">
        <f>(VLOOKUP(X1724,'[1]Simulation pricing per sub assy'!$D:$E,2,0))*Y1724</f>
        <v>4.4802908000000006</v>
      </c>
    </row>
    <row r="1725" spans="1:27" x14ac:dyDescent="0.35">
      <c r="A1725" s="27" t="s">
        <v>2900</v>
      </c>
      <c r="B1725" s="27" t="s">
        <v>2901</v>
      </c>
      <c r="C1725" s="42">
        <f t="shared" si="26"/>
        <v>284.62669080000001</v>
      </c>
      <c r="D1725" s="33" t="s">
        <v>3540</v>
      </c>
      <c r="E1725" s="33">
        <v>2</v>
      </c>
      <c r="F1725" s="33" t="s">
        <v>3981</v>
      </c>
      <c r="G1725" s="14">
        <f>(VLOOKUP(D1725,'[1]BOM Info General'!$A:$L,12,0))*E1725</f>
        <v>130.12</v>
      </c>
      <c r="H1725" s="34" t="s">
        <v>41</v>
      </c>
      <c r="I1725" s="34">
        <v>1</v>
      </c>
      <c r="J1725" s="34" t="s">
        <v>47</v>
      </c>
      <c r="K1725" s="15">
        <f>(VLOOKUP(H1725,'[1]BOM Info General'!$A:$L,12,0))*I1725</f>
        <v>27.18</v>
      </c>
      <c r="L1725" s="35" t="s">
        <v>69</v>
      </c>
      <c r="M1725" s="35">
        <v>1</v>
      </c>
      <c r="N1725" s="35" t="s">
        <v>66</v>
      </c>
      <c r="O1725" s="9">
        <f>(VLOOKUP(L1725,'[1]Simulation pricing per sub assy'!$D:$E,2,0))*M1725</f>
        <v>95.206400000000031</v>
      </c>
      <c r="P1725" s="36" t="s">
        <v>52</v>
      </c>
      <c r="Q1725" s="36">
        <v>8</v>
      </c>
      <c r="R1725" s="36" t="s">
        <v>18</v>
      </c>
      <c r="S1725" s="40">
        <f>(VLOOKUP(P1725,'[1]BOM Info General'!$A:$L,12,0))*Q1725</f>
        <v>21.2</v>
      </c>
      <c r="T1725" s="37" t="s">
        <v>24</v>
      </c>
      <c r="U1725" s="31">
        <v>1</v>
      </c>
      <c r="V1725" s="37" t="s">
        <v>25</v>
      </c>
      <c r="W1725" s="17">
        <f>(VLOOKUP(T1725,'[1]Simulation pricing per sub assy'!$D:$E,2,0))*U1725</f>
        <v>6.44</v>
      </c>
      <c r="X1725" s="38" t="s">
        <v>616</v>
      </c>
      <c r="Y1725" s="38">
        <v>1</v>
      </c>
      <c r="Z1725" s="38" t="s">
        <v>23</v>
      </c>
      <c r="AA1725" s="18">
        <f>(VLOOKUP(X1725,'[1]Simulation pricing per sub assy'!$D:$E,2,0))*Y1725</f>
        <v>4.4802908000000006</v>
      </c>
    </row>
    <row r="1726" spans="1:27" x14ac:dyDescent="0.35">
      <c r="A1726" s="27" t="s">
        <v>2902</v>
      </c>
      <c r="B1726" s="27" t="s">
        <v>2903</v>
      </c>
      <c r="C1726" s="42">
        <f t="shared" si="26"/>
        <v>292.58669079999999</v>
      </c>
      <c r="D1726" s="33" t="s">
        <v>3540</v>
      </c>
      <c r="E1726" s="33">
        <v>2</v>
      </c>
      <c r="F1726" s="33" t="s">
        <v>3981</v>
      </c>
      <c r="G1726" s="14">
        <f>(VLOOKUP(D1726,'[1]BOM Info General'!$A:$L,12,0))*E1726</f>
        <v>130.12</v>
      </c>
      <c r="H1726" s="34" t="s">
        <v>41</v>
      </c>
      <c r="I1726" s="34">
        <v>1</v>
      </c>
      <c r="J1726" s="34" t="s">
        <v>47</v>
      </c>
      <c r="K1726" s="15">
        <f>(VLOOKUP(H1726,'[1]BOM Info General'!$A:$L,12,0))*I1726</f>
        <v>27.18</v>
      </c>
      <c r="L1726" s="35" t="s">
        <v>65</v>
      </c>
      <c r="M1726" s="35">
        <v>1</v>
      </c>
      <c r="N1726" s="35" t="s">
        <v>68</v>
      </c>
      <c r="O1726" s="9">
        <f>(VLOOKUP(L1726,'[1]Simulation pricing per sub assy'!$D:$E,2,0))*M1726</f>
        <v>103.16640000000004</v>
      </c>
      <c r="P1726" s="36" t="s">
        <v>52</v>
      </c>
      <c r="Q1726" s="36">
        <v>8</v>
      </c>
      <c r="R1726" s="36" t="s">
        <v>18</v>
      </c>
      <c r="S1726" s="40">
        <f>(VLOOKUP(P1726,'[1]BOM Info General'!$A:$L,12,0))*Q1726</f>
        <v>21.2</v>
      </c>
      <c r="T1726" s="37" t="s">
        <v>24</v>
      </c>
      <c r="U1726" s="31">
        <v>1</v>
      </c>
      <c r="V1726" s="37" t="s">
        <v>25</v>
      </c>
      <c r="W1726" s="17">
        <f>(VLOOKUP(T1726,'[1]Simulation pricing per sub assy'!$D:$E,2,0))*U1726</f>
        <v>6.44</v>
      </c>
      <c r="X1726" s="38" t="s">
        <v>616</v>
      </c>
      <c r="Y1726" s="38">
        <v>1</v>
      </c>
      <c r="Z1726" s="38" t="s">
        <v>23</v>
      </c>
      <c r="AA1726" s="18">
        <f>(VLOOKUP(X1726,'[1]Simulation pricing per sub assy'!$D:$E,2,0))*Y1726</f>
        <v>4.4802908000000006</v>
      </c>
    </row>
    <row r="1727" spans="1:27" x14ac:dyDescent="0.35">
      <c r="A1727" s="27" t="s">
        <v>2904</v>
      </c>
      <c r="B1727" s="27" t="s">
        <v>2905</v>
      </c>
      <c r="C1727" s="42">
        <f t="shared" si="26"/>
        <v>284.67669080000002</v>
      </c>
      <c r="D1727" s="33" t="s">
        <v>3540</v>
      </c>
      <c r="E1727" s="33">
        <v>2</v>
      </c>
      <c r="F1727" s="33" t="s">
        <v>3981</v>
      </c>
      <c r="G1727" s="14">
        <f>(VLOOKUP(D1727,'[1]BOM Info General'!$A:$L,12,0))*E1727</f>
        <v>130.12</v>
      </c>
      <c r="H1727" s="34" t="s">
        <v>41</v>
      </c>
      <c r="I1727" s="34">
        <v>1</v>
      </c>
      <c r="J1727" s="34" t="s">
        <v>47</v>
      </c>
      <c r="K1727" s="15">
        <f>(VLOOKUP(H1727,'[1]BOM Info General'!$A:$L,12,0))*I1727</f>
        <v>27.18</v>
      </c>
      <c r="L1727" s="35" t="s">
        <v>524</v>
      </c>
      <c r="M1727" s="35">
        <v>1</v>
      </c>
      <c r="N1727" s="35" t="s">
        <v>70</v>
      </c>
      <c r="O1727" s="9">
        <f>(VLOOKUP(L1727,'[1]Simulation pricing per sub assy'!$D:$E,2,0))*M1727</f>
        <v>94.656400000000033</v>
      </c>
      <c r="P1727" s="36" t="s">
        <v>52</v>
      </c>
      <c r="Q1727" s="36">
        <v>8</v>
      </c>
      <c r="R1727" s="36" t="s">
        <v>18</v>
      </c>
      <c r="S1727" s="40">
        <f>(VLOOKUP(P1727,'[1]BOM Info General'!$A:$L,12,0))*Q1727</f>
        <v>21.2</v>
      </c>
      <c r="T1727" s="37" t="s">
        <v>26</v>
      </c>
      <c r="U1727" s="31">
        <v>1</v>
      </c>
      <c r="V1727" s="37" t="s">
        <v>27</v>
      </c>
      <c r="W1727" s="17">
        <f>(VLOOKUP(T1727,'[1]Simulation pricing per sub assy'!$D:$E,2,0))*U1727</f>
        <v>7.04</v>
      </c>
      <c r="X1727" s="38" t="s">
        <v>616</v>
      </c>
      <c r="Y1727" s="38">
        <v>1</v>
      </c>
      <c r="Z1727" s="38" t="s">
        <v>23</v>
      </c>
      <c r="AA1727" s="18">
        <f>(VLOOKUP(X1727,'[1]Simulation pricing per sub assy'!$D:$E,2,0))*Y1727</f>
        <v>4.4802908000000006</v>
      </c>
    </row>
    <row r="1728" spans="1:27" x14ac:dyDescent="0.35">
      <c r="A1728" s="27" t="s">
        <v>2906</v>
      </c>
      <c r="B1728" s="27" t="s">
        <v>2907</v>
      </c>
      <c r="C1728" s="42">
        <f t="shared" si="26"/>
        <v>285.77669080000004</v>
      </c>
      <c r="D1728" s="33" t="s">
        <v>3540</v>
      </c>
      <c r="E1728" s="33">
        <v>2</v>
      </c>
      <c r="F1728" s="33" t="s">
        <v>3981</v>
      </c>
      <c r="G1728" s="14">
        <f>(VLOOKUP(D1728,'[1]BOM Info General'!$A:$L,12,0))*E1728</f>
        <v>130.12</v>
      </c>
      <c r="H1728" s="34" t="s">
        <v>41</v>
      </c>
      <c r="I1728" s="34">
        <v>1</v>
      </c>
      <c r="J1728" s="34" t="s">
        <v>47</v>
      </c>
      <c r="K1728" s="15">
        <f>(VLOOKUP(H1728,'[1]BOM Info General'!$A:$L,12,0))*I1728</f>
        <v>27.18</v>
      </c>
      <c r="L1728" s="35" t="s">
        <v>67</v>
      </c>
      <c r="M1728" s="35">
        <v>1</v>
      </c>
      <c r="N1728" s="35" t="s">
        <v>64</v>
      </c>
      <c r="O1728" s="9">
        <f>(VLOOKUP(L1728,'[1]Simulation pricing per sub assy'!$D:$E,2,0))*M1728</f>
        <v>95.756400000000042</v>
      </c>
      <c r="P1728" s="36" t="s">
        <v>52</v>
      </c>
      <c r="Q1728" s="36">
        <v>8</v>
      </c>
      <c r="R1728" s="36" t="s">
        <v>18</v>
      </c>
      <c r="S1728" s="40">
        <f>(VLOOKUP(P1728,'[1]BOM Info General'!$A:$L,12,0))*Q1728</f>
        <v>21.2</v>
      </c>
      <c r="T1728" s="37" t="s">
        <v>26</v>
      </c>
      <c r="U1728" s="31">
        <v>1</v>
      </c>
      <c r="V1728" s="37" t="s">
        <v>27</v>
      </c>
      <c r="W1728" s="17">
        <f>(VLOOKUP(T1728,'[1]Simulation pricing per sub assy'!$D:$E,2,0))*U1728</f>
        <v>7.04</v>
      </c>
      <c r="X1728" s="38" t="s">
        <v>616</v>
      </c>
      <c r="Y1728" s="38">
        <v>1</v>
      </c>
      <c r="Z1728" s="38" t="s">
        <v>23</v>
      </c>
      <c r="AA1728" s="18">
        <f>(VLOOKUP(X1728,'[1]Simulation pricing per sub assy'!$D:$E,2,0))*Y1728</f>
        <v>4.4802908000000006</v>
      </c>
    </row>
    <row r="1729" spans="1:27" x14ac:dyDescent="0.35">
      <c r="A1729" s="27" t="s">
        <v>2908</v>
      </c>
      <c r="B1729" s="27" t="s">
        <v>2909</v>
      </c>
      <c r="C1729" s="42">
        <f t="shared" si="26"/>
        <v>285.77669080000004</v>
      </c>
      <c r="D1729" s="33" t="s">
        <v>3540</v>
      </c>
      <c r="E1729" s="33">
        <v>2</v>
      </c>
      <c r="F1729" s="33" t="s">
        <v>3981</v>
      </c>
      <c r="G1729" s="14">
        <f>(VLOOKUP(D1729,'[1]BOM Info General'!$A:$L,12,0))*E1729</f>
        <v>130.12</v>
      </c>
      <c r="H1729" s="34" t="s">
        <v>41</v>
      </c>
      <c r="I1729" s="34">
        <v>1</v>
      </c>
      <c r="J1729" s="34" t="s">
        <v>47</v>
      </c>
      <c r="K1729" s="15">
        <f>(VLOOKUP(H1729,'[1]BOM Info General'!$A:$L,12,0))*I1729</f>
        <v>27.18</v>
      </c>
      <c r="L1729" s="35" t="s">
        <v>63</v>
      </c>
      <c r="M1729" s="35">
        <v>1</v>
      </c>
      <c r="N1729" s="35" t="s">
        <v>62</v>
      </c>
      <c r="O1729" s="9">
        <f>(VLOOKUP(L1729,'[1]Simulation pricing per sub assy'!$D:$E,2,0))*M1729</f>
        <v>95.756400000000042</v>
      </c>
      <c r="P1729" s="36" t="s">
        <v>52</v>
      </c>
      <c r="Q1729" s="36">
        <v>8</v>
      </c>
      <c r="R1729" s="36" t="s">
        <v>18</v>
      </c>
      <c r="S1729" s="40">
        <f>(VLOOKUP(P1729,'[1]BOM Info General'!$A:$L,12,0))*Q1729</f>
        <v>21.2</v>
      </c>
      <c r="T1729" s="37" t="s">
        <v>26</v>
      </c>
      <c r="U1729" s="31">
        <v>1</v>
      </c>
      <c r="V1729" s="37" t="s">
        <v>27</v>
      </c>
      <c r="W1729" s="17">
        <f>(VLOOKUP(T1729,'[1]Simulation pricing per sub assy'!$D:$E,2,0))*U1729</f>
        <v>7.04</v>
      </c>
      <c r="X1729" s="38" t="s">
        <v>616</v>
      </c>
      <c r="Y1729" s="38">
        <v>1</v>
      </c>
      <c r="Z1729" s="38" t="s">
        <v>23</v>
      </c>
      <c r="AA1729" s="18">
        <f>(VLOOKUP(X1729,'[1]Simulation pricing per sub assy'!$D:$E,2,0))*Y1729</f>
        <v>4.4802908000000006</v>
      </c>
    </row>
    <row r="1730" spans="1:27" x14ac:dyDescent="0.35">
      <c r="A1730" s="27" t="s">
        <v>2910</v>
      </c>
      <c r="B1730" s="27" t="s">
        <v>2911</v>
      </c>
      <c r="C1730" s="42">
        <f t="shared" si="26"/>
        <v>285.22669080000003</v>
      </c>
      <c r="D1730" s="33" t="s">
        <v>3540</v>
      </c>
      <c r="E1730" s="33">
        <v>2</v>
      </c>
      <c r="F1730" s="33" t="s">
        <v>3981</v>
      </c>
      <c r="G1730" s="14">
        <f>(VLOOKUP(D1730,'[1]BOM Info General'!$A:$L,12,0))*E1730</f>
        <v>130.12</v>
      </c>
      <c r="H1730" s="34" t="s">
        <v>41</v>
      </c>
      <c r="I1730" s="34">
        <v>1</v>
      </c>
      <c r="J1730" s="34" t="s">
        <v>47</v>
      </c>
      <c r="K1730" s="15">
        <f>(VLOOKUP(H1730,'[1]BOM Info General'!$A:$L,12,0))*I1730</f>
        <v>27.18</v>
      </c>
      <c r="L1730" s="35" t="s">
        <v>69</v>
      </c>
      <c r="M1730" s="35">
        <v>1</v>
      </c>
      <c r="N1730" s="35" t="s">
        <v>66</v>
      </c>
      <c r="O1730" s="9">
        <f>(VLOOKUP(L1730,'[1]Simulation pricing per sub assy'!$D:$E,2,0))*M1730</f>
        <v>95.206400000000031</v>
      </c>
      <c r="P1730" s="36" t="s">
        <v>52</v>
      </c>
      <c r="Q1730" s="36">
        <v>8</v>
      </c>
      <c r="R1730" s="36" t="s">
        <v>18</v>
      </c>
      <c r="S1730" s="40">
        <f>(VLOOKUP(P1730,'[1]BOM Info General'!$A:$L,12,0))*Q1730</f>
        <v>21.2</v>
      </c>
      <c r="T1730" s="37" t="s">
        <v>26</v>
      </c>
      <c r="U1730" s="31">
        <v>1</v>
      </c>
      <c r="V1730" s="37" t="s">
        <v>27</v>
      </c>
      <c r="W1730" s="17">
        <f>(VLOOKUP(T1730,'[1]Simulation pricing per sub assy'!$D:$E,2,0))*U1730</f>
        <v>7.04</v>
      </c>
      <c r="X1730" s="38" t="s">
        <v>616</v>
      </c>
      <c r="Y1730" s="38">
        <v>1</v>
      </c>
      <c r="Z1730" s="38" t="s">
        <v>23</v>
      </c>
      <c r="AA1730" s="18">
        <f>(VLOOKUP(X1730,'[1]Simulation pricing per sub assy'!$D:$E,2,0))*Y1730</f>
        <v>4.4802908000000006</v>
      </c>
    </row>
    <row r="1731" spans="1:27" x14ac:dyDescent="0.35">
      <c r="A1731" s="27" t="s">
        <v>2912</v>
      </c>
      <c r="B1731" s="27" t="s">
        <v>2913</v>
      </c>
      <c r="C1731" s="42">
        <f t="shared" ref="C1731:C1794" si="27">SUM(G1731+K1731+O1731+S1731+W1731+AA1731)</f>
        <v>293.18669080000001</v>
      </c>
      <c r="D1731" s="33" t="s">
        <v>3540</v>
      </c>
      <c r="E1731" s="33">
        <v>2</v>
      </c>
      <c r="F1731" s="33" t="s">
        <v>3981</v>
      </c>
      <c r="G1731" s="14">
        <f>(VLOOKUP(D1731,'[1]BOM Info General'!$A:$L,12,0))*E1731</f>
        <v>130.12</v>
      </c>
      <c r="H1731" s="34" t="s">
        <v>41</v>
      </c>
      <c r="I1731" s="34">
        <v>1</v>
      </c>
      <c r="J1731" s="34" t="s">
        <v>47</v>
      </c>
      <c r="K1731" s="15">
        <f>(VLOOKUP(H1731,'[1]BOM Info General'!$A:$L,12,0))*I1731</f>
        <v>27.18</v>
      </c>
      <c r="L1731" s="35" t="s">
        <v>65</v>
      </c>
      <c r="M1731" s="35">
        <v>1</v>
      </c>
      <c r="N1731" s="35" t="s">
        <v>68</v>
      </c>
      <c r="O1731" s="9">
        <f>(VLOOKUP(L1731,'[1]Simulation pricing per sub assy'!$D:$E,2,0))*M1731</f>
        <v>103.16640000000004</v>
      </c>
      <c r="P1731" s="36" t="s">
        <v>52</v>
      </c>
      <c r="Q1731" s="36">
        <v>8</v>
      </c>
      <c r="R1731" s="36" t="s">
        <v>18</v>
      </c>
      <c r="S1731" s="40">
        <f>(VLOOKUP(P1731,'[1]BOM Info General'!$A:$L,12,0))*Q1731</f>
        <v>21.2</v>
      </c>
      <c r="T1731" s="37" t="s">
        <v>26</v>
      </c>
      <c r="U1731" s="31">
        <v>1</v>
      </c>
      <c r="V1731" s="37" t="s">
        <v>27</v>
      </c>
      <c r="W1731" s="17">
        <f>(VLOOKUP(T1731,'[1]Simulation pricing per sub assy'!$D:$E,2,0))*U1731</f>
        <v>7.04</v>
      </c>
      <c r="X1731" s="38" t="s">
        <v>616</v>
      </c>
      <c r="Y1731" s="38">
        <v>1</v>
      </c>
      <c r="Z1731" s="38" t="s">
        <v>23</v>
      </c>
      <c r="AA1731" s="18">
        <f>(VLOOKUP(X1731,'[1]Simulation pricing per sub assy'!$D:$E,2,0))*Y1731</f>
        <v>4.4802908000000006</v>
      </c>
    </row>
    <row r="1732" spans="1:27" x14ac:dyDescent="0.35">
      <c r="A1732" s="27" t="s">
        <v>2914</v>
      </c>
      <c r="B1732" s="27" t="s">
        <v>2915</v>
      </c>
      <c r="C1732" s="42">
        <f t="shared" si="27"/>
        <v>284.6366908</v>
      </c>
      <c r="D1732" s="33" t="s">
        <v>3540</v>
      </c>
      <c r="E1732" s="33">
        <v>2</v>
      </c>
      <c r="F1732" s="33" t="s">
        <v>3981</v>
      </c>
      <c r="G1732" s="14">
        <f>(VLOOKUP(D1732,'[1]BOM Info General'!$A:$L,12,0))*E1732</f>
        <v>130.12</v>
      </c>
      <c r="H1732" s="34" t="s">
        <v>41</v>
      </c>
      <c r="I1732" s="34">
        <v>1</v>
      </c>
      <c r="J1732" s="34" t="s">
        <v>47</v>
      </c>
      <c r="K1732" s="15">
        <f>(VLOOKUP(H1732,'[1]BOM Info General'!$A:$L,12,0))*I1732</f>
        <v>27.18</v>
      </c>
      <c r="L1732" s="35" t="s">
        <v>524</v>
      </c>
      <c r="M1732" s="35">
        <v>1</v>
      </c>
      <c r="N1732" s="35" t="s">
        <v>70</v>
      </c>
      <c r="O1732" s="9">
        <f>(VLOOKUP(L1732,'[1]Simulation pricing per sub assy'!$D:$E,2,0))*M1732</f>
        <v>94.656400000000033</v>
      </c>
      <c r="P1732" s="36" t="s">
        <v>52</v>
      </c>
      <c r="Q1732" s="36">
        <v>8</v>
      </c>
      <c r="R1732" s="36" t="s">
        <v>18</v>
      </c>
      <c r="S1732" s="40">
        <f>(VLOOKUP(P1732,'[1]BOM Info General'!$A:$L,12,0))*Q1732</f>
        <v>21.2</v>
      </c>
      <c r="T1732" s="37" t="s">
        <v>28</v>
      </c>
      <c r="U1732" s="31">
        <v>1</v>
      </c>
      <c r="V1732" s="37" t="s">
        <v>29</v>
      </c>
      <c r="W1732" s="17">
        <f>(VLOOKUP(T1732,'[1]Simulation pricing per sub assy'!$D:$E,2,0))*U1732</f>
        <v>7</v>
      </c>
      <c r="X1732" s="38" t="s">
        <v>616</v>
      </c>
      <c r="Y1732" s="38">
        <v>1</v>
      </c>
      <c r="Z1732" s="38" t="s">
        <v>23</v>
      </c>
      <c r="AA1732" s="18">
        <f>(VLOOKUP(X1732,'[1]Simulation pricing per sub assy'!$D:$E,2,0))*Y1732</f>
        <v>4.4802908000000006</v>
      </c>
    </row>
    <row r="1733" spans="1:27" x14ac:dyDescent="0.35">
      <c r="A1733" s="27" t="s">
        <v>2916</v>
      </c>
      <c r="B1733" s="27" t="s">
        <v>2917</v>
      </c>
      <c r="C1733" s="42">
        <f t="shared" si="27"/>
        <v>285.73669080000002</v>
      </c>
      <c r="D1733" s="33" t="s">
        <v>3540</v>
      </c>
      <c r="E1733" s="33">
        <v>2</v>
      </c>
      <c r="F1733" s="33" t="s">
        <v>3981</v>
      </c>
      <c r="G1733" s="14">
        <f>(VLOOKUP(D1733,'[1]BOM Info General'!$A:$L,12,0))*E1733</f>
        <v>130.12</v>
      </c>
      <c r="H1733" s="34" t="s">
        <v>41</v>
      </c>
      <c r="I1733" s="34">
        <v>1</v>
      </c>
      <c r="J1733" s="34" t="s">
        <v>47</v>
      </c>
      <c r="K1733" s="15">
        <f>(VLOOKUP(H1733,'[1]BOM Info General'!$A:$L,12,0))*I1733</f>
        <v>27.18</v>
      </c>
      <c r="L1733" s="35" t="s">
        <v>67</v>
      </c>
      <c r="M1733" s="35">
        <v>1</v>
      </c>
      <c r="N1733" s="35" t="s">
        <v>64</v>
      </c>
      <c r="O1733" s="9">
        <f>(VLOOKUP(L1733,'[1]Simulation pricing per sub assy'!$D:$E,2,0))*M1733</f>
        <v>95.756400000000042</v>
      </c>
      <c r="P1733" s="36" t="s">
        <v>52</v>
      </c>
      <c r="Q1733" s="36">
        <v>8</v>
      </c>
      <c r="R1733" s="36" t="s">
        <v>18</v>
      </c>
      <c r="S1733" s="40">
        <f>(VLOOKUP(P1733,'[1]BOM Info General'!$A:$L,12,0))*Q1733</f>
        <v>21.2</v>
      </c>
      <c r="T1733" s="37" t="s">
        <v>28</v>
      </c>
      <c r="U1733" s="31">
        <v>1</v>
      </c>
      <c r="V1733" s="37" t="s">
        <v>29</v>
      </c>
      <c r="W1733" s="17">
        <f>(VLOOKUP(T1733,'[1]Simulation pricing per sub assy'!$D:$E,2,0))*U1733</f>
        <v>7</v>
      </c>
      <c r="X1733" s="38" t="s">
        <v>616</v>
      </c>
      <c r="Y1733" s="38">
        <v>1</v>
      </c>
      <c r="Z1733" s="38" t="s">
        <v>23</v>
      </c>
      <c r="AA1733" s="18">
        <f>(VLOOKUP(X1733,'[1]Simulation pricing per sub assy'!$D:$E,2,0))*Y1733</f>
        <v>4.4802908000000006</v>
      </c>
    </row>
    <row r="1734" spans="1:27" x14ac:dyDescent="0.35">
      <c r="A1734" s="27" t="s">
        <v>2918</v>
      </c>
      <c r="B1734" s="27" t="s">
        <v>2919</v>
      </c>
      <c r="C1734" s="42">
        <f t="shared" si="27"/>
        <v>285.73669080000002</v>
      </c>
      <c r="D1734" s="33" t="s">
        <v>3540</v>
      </c>
      <c r="E1734" s="33">
        <v>2</v>
      </c>
      <c r="F1734" s="33" t="s">
        <v>3981</v>
      </c>
      <c r="G1734" s="14">
        <f>(VLOOKUP(D1734,'[1]BOM Info General'!$A:$L,12,0))*E1734</f>
        <v>130.12</v>
      </c>
      <c r="H1734" s="34" t="s">
        <v>41</v>
      </c>
      <c r="I1734" s="34">
        <v>1</v>
      </c>
      <c r="J1734" s="34" t="s">
        <v>47</v>
      </c>
      <c r="K1734" s="15">
        <f>(VLOOKUP(H1734,'[1]BOM Info General'!$A:$L,12,0))*I1734</f>
        <v>27.18</v>
      </c>
      <c r="L1734" s="35" t="s">
        <v>63</v>
      </c>
      <c r="M1734" s="35">
        <v>1</v>
      </c>
      <c r="N1734" s="35" t="s">
        <v>62</v>
      </c>
      <c r="O1734" s="9">
        <f>(VLOOKUP(L1734,'[1]Simulation pricing per sub assy'!$D:$E,2,0))*M1734</f>
        <v>95.756400000000042</v>
      </c>
      <c r="P1734" s="36" t="s">
        <v>52</v>
      </c>
      <c r="Q1734" s="36">
        <v>8</v>
      </c>
      <c r="R1734" s="36" t="s">
        <v>18</v>
      </c>
      <c r="S1734" s="40">
        <f>(VLOOKUP(P1734,'[1]BOM Info General'!$A:$L,12,0))*Q1734</f>
        <v>21.2</v>
      </c>
      <c r="T1734" s="37" t="s">
        <v>28</v>
      </c>
      <c r="U1734" s="31">
        <v>1</v>
      </c>
      <c r="V1734" s="37" t="s">
        <v>29</v>
      </c>
      <c r="W1734" s="17">
        <f>(VLOOKUP(T1734,'[1]Simulation pricing per sub assy'!$D:$E,2,0))*U1734</f>
        <v>7</v>
      </c>
      <c r="X1734" s="38" t="s">
        <v>616</v>
      </c>
      <c r="Y1734" s="38">
        <v>1</v>
      </c>
      <c r="Z1734" s="38" t="s">
        <v>23</v>
      </c>
      <c r="AA1734" s="18">
        <f>(VLOOKUP(X1734,'[1]Simulation pricing per sub assy'!$D:$E,2,0))*Y1734</f>
        <v>4.4802908000000006</v>
      </c>
    </row>
    <row r="1735" spans="1:27" x14ac:dyDescent="0.35">
      <c r="A1735" s="27" t="s">
        <v>2920</v>
      </c>
      <c r="B1735" s="27" t="s">
        <v>2921</v>
      </c>
      <c r="C1735" s="42">
        <f t="shared" si="27"/>
        <v>285.18669080000001</v>
      </c>
      <c r="D1735" s="33" t="s">
        <v>3540</v>
      </c>
      <c r="E1735" s="33">
        <v>2</v>
      </c>
      <c r="F1735" s="33" t="s">
        <v>3981</v>
      </c>
      <c r="G1735" s="14">
        <f>(VLOOKUP(D1735,'[1]BOM Info General'!$A:$L,12,0))*E1735</f>
        <v>130.12</v>
      </c>
      <c r="H1735" s="34" t="s">
        <v>41</v>
      </c>
      <c r="I1735" s="34">
        <v>1</v>
      </c>
      <c r="J1735" s="34" t="s">
        <v>47</v>
      </c>
      <c r="K1735" s="15">
        <f>(VLOOKUP(H1735,'[1]BOM Info General'!$A:$L,12,0))*I1735</f>
        <v>27.18</v>
      </c>
      <c r="L1735" s="35" t="s">
        <v>69</v>
      </c>
      <c r="M1735" s="35">
        <v>1</v>
      </c>
      <c r="N1735" s="35" t="s">
        <v>66</v>
      </c>
      <c r="O1735" s="9">
        <f>(VLOOKUP(L1735,'[1]Simulation pricing per sub assy'!$D:$E,2,0))*M1735</f>
        <v>95.206400000000031</v>
      </c>
      <c r="P1735" s="36" t="s">
        <v>52</v>
      </c>
      <c r="Q1735" s="36">
        <v>8</v>
      </c>
      <c r="R1735" s="36" t="s">
        <v>18</v>
      </c>
      <c r="S1735" s="40">
        <f>(VLOOKUP(P1735,'[1]BOM Info General'!$A:$L,12,0))*Q1735</f>
        <v>21.2</v>
      </c>
      <c r="T1735" s="37" t="s">
        <v>28</v>
      </c>
      <c r="U1735" s="31">
        <v>1</v>
      </c>
      <c r="V1735" s="37" t="s">
        <v>29</v>
      </c>
      <c r="W1735" s="17">
        <f>(VLOOKUP(T1735,'[1]Simulation pricing per sub assy'!$D:$E,2,0))*U1735</f>
        <v>7</v>
      </c>
      <c r="X1735" s="38" t="s">
        <v>616</v>
      </c>
      <c r="Y1735" s="38">
        <v>1</v>
      </c>
      <c r="Z1735" s="38" t="s">
        <v>23</v>
      </c>
      <c r="AA1735" s="18">
        <f>(VLOOKUP(X1735,'[1]Simulation pricing per sub assy'!$D:$E,2,0))*Y1735</f>
        <v>4.4802908000000006</v>
      </c>
    </row>
    <row r="1736" spans="1:27" x14ac:dyDescent="0.35">
      <c r="A1736" s="27" t="s">
        <v>2922</v>
      </c>
      <c r="B1736" s="27" t="s">
        <v>2923</v>
      </c>
      <c r="C1736" s="42">
        <f t="shared" si="27"/>
        <v>293.14669079999999</v>
      </c>
      <c r="D1736" s="33" t="s">
        <v>3540</v>
      </c>
      <c r="E1736" s="33">
        <v>2</v>
      </c>
      <c r="F1736" s="33" t="s">
        <v>3981</v>
      </c>
      <c r="G1736" s="14">
        <f>(VLOOKUP(D1736,'[1]BOM Info General'!$A:$L,12,0))*E1736</f>
        <v>130.12</v>
      </c>
      <c r="H1736" s="34" t="s">
        <v>41</v>
      </c>
      <c r="I1736" s="34">
        <v>1</v>
      </c>
      <c r="J1736" s="34" t="s">
        <v>47</v>
      </c>
      <c r="K1736" s="15">
        <f>(VLOOKUP(H1736,'[1]BOM Info General'!$A:$L,12,0))*I1736</f>
        <v>27.18</v>
      </c>
      <c r="L1736" s="35" t="s">
        <v>65</v>
      </c>
      <c r="M1736" s="35">
        <v>1</v>
      </c>
      <c r="N1736" s="35" t="s">
        <v>68</v>
      </c>
      <c r="O1736" s="9">
        <f>(VLOOKUP(L1736,'[1]Simulation pricing per sub assy'!$D:$E,2,0))*M1736</f>
        <v>103.16640000000004</v>
      </c>
      <c r="P1736" s="36" t="s">
        <v>52</v>
      </c>
      <c r="Q1736" s="36">
        <v>8</v>
      </c>
      <c r="R1736" s="36" t="s">
        <v>18</v>
      </c>
      <c r="S1736" s="40">
        <f>(VLOOKUP(P1736,'[1]BOM Info General'!$A:$L,12,0))*Q1736</f>
        <v>21.2</v>
      </c>
      <c r="T1736" s="37" t="s">
        <v>28</v>
      </c>
      <c r="U1736" s="31">
        <v>1</v>
      </c>
      <c r="V1736" s="37" t="s">
        <v>29</v>
      </c>
      <c r="W1736" s="17">
        <f>(VLOOKUP(T1736,'[1]Simulation pricing per sub assy'!$D:$E,2,0))*U1736</f>
        <v>7</v>
      </c>
      <c r="X1736" s="38" t="s">
        <v>616</v>
      </c>
      <c r="Y1736" s="38">
        <v>1</v>
      </c>
      <c r="Z1736" s="38" t="s">
        <v>23</v>
      </c>
      <c r="AA1736" s="18">
        <f>(VLOOKUP(X1736,'[1]Simulation pricing per sub assy'!$D:$E,2,0))*Y1736</f>
        <v>4.4802908000000006</v>
      </c>
    </row>
    <row r="1737" spans="1:27" x14ac:dyDescent="0.35">
      <c r="A1737" s="27" t="s">
        <v>2924</v>
      </c>
      <c r="B1737" s="27" t="s">
        <v>2925</v>
      </c>
      <c r="C1737" s="42">
        <f t="shared" si="27"/>
        <v>286.1966908</v>
      </c>
      <c r="D1737" s="33" t="s">
        <v>3540</v>
      </c>
      <c r="E1737" s="33">
        <v>2</v>
      </c>
      <c r="F1737" s="33" t="s">
        <v>3981</v>
      </c>
      <c r="G1737" s="14">
        <f>(VLOOKUP(D1737,'[1]BOM Info General'!$A:$L,12,0))*E1737</f>
        <v>130.12</v>
      </c>
      <c r="H1737" s="34" t="s">
        <v>41</v>
      </c>
      <c r="I1737" s="34">
        <v>1</v>
      </c>
      <c r="J1737" s="34" t="s">
        <v>47</v>
      </c>
      <c r="K1737" s="15">
        <f>(VLOOKUP(H1737,'[1]BOM Info General'!$A:$L,12,0))*I1737</f>
        <v>27.18</v>
      </c>
      <c r="L1737" s="35" t="s">
        <v>524</v>
      </c>
      <c r="M1737" s="35">
        <v>1</v>
      </c>
      <c r="N1737" s="35" t="s">
        <v>70</v>
      </c>
      <c r="O1737" s="9">
        <f>(VLOOKUP(L1737,'[1]Simulation pricing per sub assy'!$D:$E,2,0))*M1737</f>
        <v>94.656400000000033</v>
      </c>
      <c r="P1737" s="36" t="s">
        <v>50</v>
      </c>
      <c r="Q1737" s="36">
        <v>8</v>
      </c>
      <c r="R1737" s="36" t="s">
        <v>611</v>
      </c>
      <c r="S1737" s="40">
        <f>(VLOOKUP(P1737,'[1]BOM Info General'!$A:$L,12,0))*Q1737</f>
        <v>21.2</v>
      </c>
      <c r="T1737" s="37" t="s">
        <v>30</v>
      </c>
      <c r="U1737" s="31">
        <v>1</v>
      </c>
      <c r="V1737" s="37" t="s">
        <v>31</v>
      </c>
      <c r="W1737" s="17">
        <f>(VLOOKUP(T1737,'[1]Simulation pricing per sub assy'!$D:$E,2,0))*U1737</f>
        <v>8.5599999999999987</v>
      </c>
      <c r="X1737" s="38" t="s">
        <v>616</v>
      </c>
      <c r="Y1737" s="38">
        <v>1</v>
      </c>
      <c r="Z1737" s="38" t="s">
        <v>23</v>
      </c>
      <c r="AA1737" s="18">
        <f>(VLOOKUP(X1737,'[1]Simulation pricing per sub assy'!$D:$E,2,0))*Y1737</f>
        <v>4.4802908000000006</v>
      </c>
    </row>
    <row r="1738" spans="1:27" x14ac:dyDescent="0.35">
      <c r="A1738" s="27" t="s">
        <v>2926</v>
      </c>
      <c r="B1738" s="27" t="s">
        <v>2927</v>
      </c>
      <c r="C1738" s="42">
        <f t="shared" si="27"/>
        <v>287.29669080000002</v>
      </c>
      <c r="D1738" s="33" t="s">
        <v>3540</v>
      </c>
      <c r="E1738" s="33">
        <v>2</v>
      </c>
      <c r="F1738" s="33" t="s">
        <v>3981</v>
      </c>
      <c r="G1738" s="14">
        <f>(VLOOKUP(D1738,'[1]BOM Info General'!$A:$L,12,0))*E1738</f>
        <v>130.12</v>
      </c>
      <c r="H1738" s="34" t="s">
        <v>41</v>
      </c>
      <c r="I1738" s="34">
        <v>1</v>
      </c>
      <c r="J1738" s="34" t="s">
        <v>47</v>
      </c>
      <c r="K1738" s="15">
        <f>(VLOOKUP(H1738,'[1]BOM Info General'!$A:$L,12,0))*I1738</f>
        <v>27.18</v>
      </c>
      <c r="L1738" s="35" t="s">
        <v>67</v>
      </c>
      <c r="M1738" s="35">
        <v>1</v>
      </c>
      <c r="N1738" s="35" t="s">
        <v>64</v>
      </c>
      <c r="O1738" s="9">
        <f>(VLOOKUP(L1738,'[1]Simulation pricing per sub assy'!$D:$E,2,0))*M1738</f>
        <v>95.756400000000042</v>
      </c>
      <c r="P1738" s="36" t="s">
        <v>50</v>
      </c>
      <c r="Q1738" s="36">
        <v>8</v>
      </c>
      <c r="R1738" s="36" t="s">
        <v>611</v>
      </c>
      <c r="S1738" s="40">
        <f>(VLOOKUP(P1738,'[1]BOM Info General'!$A:$L,12,0))*Q1738</f>
        <v>21.2</v>
      </c>
      <c r="T1738" s="37" t="s">
        <v>30</v>
      </c>
      <c r="U1738" s="31">
        <v>1</v>
      </c>
      <c r="V1738" s="37" t="s">
        <v>31</v>
      </c>
      <c r="W1738" s="17">
        <f>(VLOOKUP(T1738,'[1]Simulation pricing per sub assy'!$D:$E,2,0))*U1738</f>
        <v>8.5599999999999987</v>
      </c>
      <c r="X1738" s="38" t="s">
        <v>616</v>
      </c>
      <c r="Y1738" s="38">
        <v>1</v>
      </c>
      <c r="Z1738" s="38" t="s">
        <v>23</v>
      </c>
      <c r="AA1738" s="18">
        <f>(VLOOKUP(X1738,'[1]Simulation pricing per sub assy'!$D:$E,2,0))*Y1738</f>
        <v>4.4802908000000006</v>
      </c>
    </row>
    <row r="1739" spans="1:27" x14ac:dyDescent="0.35">
      <c r="A1739" s="27" t="s">
        <v>2928</v>
      </c>
      <c r="B1739" s="27" t="s">
        <v>2929</v>
      </c>
      <c r="C1739" s="42">
        <f t="shared" si="27"/>
        <v>287.29669080000002</v>
      </c>
      <c r="D1739" s="33" t="s">
        <v>3540</v>
      </c>
      <c r="E1739" s="33">
        <v>2</v>
      </c>
      <c r="F1739" s="33" t="s">
        <v>3981</v>
      </c>
      <c r="G1739" s="14">
        <f>(VLOOKUP(D1739,'[1]BOM Info General'!$A:$L,12,0))*E1739</f>
        <v>130.12</v>
      </c>
      <c r="H1739" s="34" t="s">
        <v>41</v>
      </c>
      <c r="I1739" s="34">
        <v>1</v>
      </c>
      <c r="J1739" s="34" t="s">
        <v>47</v>
      </c>
      <c r="K1739" s="15">
        <f>(VLOOKUP(H1739,'[1]BOM Info General'!$A:$L,12,0))*I1739</f>
        <v>27.18</v>
      </c>
      <c r="L1739" s="35" t="s">
        <v>63</v>
      </c>
      <c r="M1739" s="35">
        <v>1</v>
      </c>
      <c r="N1739" s="35" t="s">
        <v>62</v>
      </c>
      <c r="O1739" s="9">
        <f>(VLOOKUP(L1739,'[1]Simulation pricing per sub assy'!$D:$E,2,0))*M1739</f>
        <v>95.756400000000042</v>
      </c>
      <c r="P1739" s="36" t="s">
        <v>50</v>
      </c>
      <c r="Q1739" s="36">
        <v>8</v>
      </c>
      <c r="R1739" s="36" t="s">
        <v>611</v>
      </c>
      <c r="S1739" s="40">
        <f>(VLOOKUP(P1739,'[1]BOM Info General'!$A:$L,12,0))*Q1739</f>
        <v>21.2</v>
      </c>
      <c r="T1739" s="37" t="s">
        <v>30</v>
      </c>
      <c r="U1739" s="31">
        <v>1</v>
      </c>
      <c r="V1739" s="37" t="s">
        <v>31</v>
      </c>
      <c r="W1739" s="17">
        <f>(VLOOKUP(T1739,'[1]Simulation pricing per sub assy'!$D:$E,2,0))*U1739</f>
        <v>8.5599999999999987</v>
      </c>
      <c r="X1739" s="38" t="s">
        <v>616</v>
      </c>
      <c r="Y1739" s="38">
        <v>1</v>
      </c>
      <c r="Z1739" s="38" t="s">
        <v>23</v>
      </c>
      <c r="AA1739" s="18">
        <f>(VLOOKUP(X1739,'[1]Simulation pricing per sub assy'!$D:$E,2,0))*Y1739</f>
        <v>4.4802908000000006</v>
      </c>
    </row>
    <row r="1740" spans="1:27" x14ac:dyDescent="0.35">
      <c r="A1740" s="27" t="s">
        <v>2930</v>
      </c>
      <c r="B1740" s="27" t="s">
        <v>2931</v>
      </c>
      <c r="C1740" s="42">
        <f t="shared" si="27"/>
        <v>286.74669080000001</v>
      </c>
      <c r="D1740" s="33" t="s">
        <v>3540</v>
      </c>
      <c r="E1740" s="33">
        <v>2</v>
      </c>
      <c r="F1740" s="33" t="s">
        <v>3981</v>
      </c>
      <c r="G1740" s="14">
        <f>(VLOOKUP(D1740,'[1]BOM Info General'!$A:$L,12,0))*E1740</f>
        <v>130.12</v>
      </c>
      <c r="H1740" s="34" t="s">
        <v>41</v>
      </c>
      <c r="I1740" s="34">
        <v>1</v>
      </c>
      <c r="J1740" s="34" t="s">
        <v>47</v>
      </c>
      <c r="K1740" s="15">
        <f>(VLOOKUP(H1740,'[1]BOM Info General'!$A:$L,12,0))*I1740</f>
        <v>27.18</v>
      </c>
      <c r="L1740" s="35" t="s">
        <v>69</v>
      </c>
      <c r="M1740" s="35">
        <v>1</v>
      </c>
      <c r="N1740" s="35" t="s">
        <v>66</v>
      </c>
      <c r="O1740" s="9">
        <f>(VLOOKUP(L1740,'[1]Simulation pricing per sub assy'!$D:$E,2,0))*M1740</f>
        <v>95.206400000000031</v>
      </c>
      <c r="P1740" s="36" t="s">
        <v>50</v>
      </c>
      <c r="Q1740" s="36">
        <v>8</v>
      </c>
      <c r="R1740" s="36" t="s">
        <v>611</v>
      </c>
      <c r="S1740" s="40">
        <f>(VLOOKUP(P1740,'[1]BOM Info General'!$A:$L,12,0))*Q1740</f>
        <v>21.2</v>
      </c>
      <c r="T1740" s="37" t="s">
        <v>30</v>
      </c>
      <c r="U1740" s="31">
        <v>1</v>
      </c>
      <c r="V1740" s="37" t="s">
        <v>31</v>
      </c>
      <c r="W1740" s="17">
        <f>(VLOOKUP(T1740,'[1]Simulation pricing per sub assy'!$D:$E,2,0))*U1740</f>
        <v>8.5599999999999987</v>
      </c>
      <c r="X1740" s="38" t="s">
        <v>616</v>
      </c>
      <c r="Y1740" s="38">
        <v>1</v>
      </c>
      <c r="Z1740" s="38" t="s">
        <v>23</v>
      </c>
      <c r="AA1740" s="18">
        <f>(VLOOKUP(X1740,'[1]Simulation pricing per sub assy'!$D:$E,2,0))*Y1740</f>
        <v>4.4802908000000006</v>
      </c>
    </row>
    <row r="1741" spans="1:27" x14ac:dyDescent="0.35">
      <c r="A1741" s="27" t="s">
        <v>2932</v>
      </c>
      <c r="B1741" s="27" t="s">
        <v>2933</v>
      </c>
      <c r="C1741" s="42">
        <f t="shared" si="27"/>
        <v>294.70669079999999</v>
      </c>
      <c r="D1741" s="33" t="s">
        <v>3540</v>
      </c>
      <c r="E1741" s="33">
        <v>2</v>
      </c>
      <c r="F1741" s="33" t="s">
        <v>3981</v>
      </c>
      <c r="G1741" s="14">
        <f>(VLOOKUP(D1741,'[1]BOM Info General'!$A:$L,12,0))*E1741</f>
        <v>130.12</v>
      </c>
      <c r="H1741" s="34" t="s">
        <v>41</v>
      </c>
      <c r="I1741" s="34">
        <v>1</v>
      </c>
      <c r="J1741" s="34" t="s">
        <v>47</v>
      </c>
      <c r="K1741" s="15">
        <f>(VLOOKUP(H1741,'[1]BOM Info General'!$A:$L,12,0))*I1741</f>
        <v>27.18</v>
      </c>
      <c r="L1741" s="35" t="s">
        <v>65</v>
      </c>
      <c r="M1741" s="35">
        <v>1</v>
      </c>
      <c r="N1741" s="35" t="s">
        <v>68</v>
      </c>
      <c r="O1741" s="9">
        <f>(VLOOKUP(L1741,'[1]Simulation pricing per sub assy'!$D:$E,2,0))*M1741</f>
        <v>103.16640000000004</v>
      </c>
      <c r="P1741" s="36" t="s">
        <v>50</v>
      </c>
      <c r="Q1741" s="36">
        <v>8</v>
      </c>
      <c r="R1741" s="36" t="s">
        <v>611</v>
      </c>
      <c r="S1741" s="40">
        <f>(VLOOKUP(P1741,'[1]BOM Info General'!$A:$L,12,0))*Q1741</f>
        <v>21.2</v>
      </c>
      <c r="T1741" s="37" t="s">
        <v>30</v>
      </c>
      <c r="U1741" s="31">
        <v>1</v>
      </c>
      <c r="V1741" s="37" t="s">
        <v>31</v>
      </c>
      <c r="W1741" s="17">
        <f>(VLOOKUP(T1741,'[1]Simulation pricing per sub assy'!$D:$E,2,0))*U1741</f>
        <v>8.5599999999999987</v>
      </c>
      <c r="X1741" s="38" t="s">
        <v>616</v>
      </c>
      <c r="Y1741" s="38">
        <v>1</v>
      </c>
      <c r="Z1741" s="38" t="s">
        <v>23</v>
      </c>
      <c r="AA1741" s="18">
        <f>(VLOOKUP(X1741,'[1]Simulation pricing per sub assy'!$D:$E,2,0))*Y1741</f>
        <v>4.4802908000000006</v>
      </c>
    </row>
    <row r="1742" spans="1:27" x14ac:dyDescent="0.35">
      <c r="A1742" s="27" t="s">
        <v>2934</v>
      </c>
      <c r="B1742" s="27" t="s">
        <v>2935</v>
      </c>
      <c r="C1742" s="42">
        <f t="shared" si="27"/>
        <v>284.83669079999999</v>
      </c>
      <c r="D1742" s="33" t="s">
        <v>3540</v>
      </c>
      <c r="E1742" s="33">
        <v>2</v>
      </c>
      <c r="F1742" s="33" t="s">
        <v>3981</v>
      </c>
      <c r="G1742" s="14">
        <f>(VLOOKUP(D1742,'[1]BOM Info General'!$A:$L,12,0))*E1742</f>
        <v>130.12</v>
      </c>
      <c r="H1742" s="34" t="s">
        <v>41</v>
      </c>
      <c r="I1742" s="34">
        <v>1</v>
      </c>
      <c r="J1742" s="34" t="s">
        <v>47</v>
      </c>
      <c r="K1742" s="15">
        <f>(VLOOKUP(H1742,'[1]BOM Info General'!$A:$L,12,0))*I1742</f>
        <v>27.18</v>
      </c>
      <c r="L1742" s="35" t="s">
        <v>524</v>
      </c>
      <c r="M1742" s="35">
        <v>1</v>
      </c>
      <c r="N1742" s="35" t="s">
        <v>70</v>
      </c>
      <c r="O1742" s="9">
        <f>(VLOOKUP(L1742,'[1]Simulation pricing per sub assy'!$D:$E,2,0))*M1742</f>
        <v>94.656400000000033</v>
      </c>
      <c r="P1742" s="36" t="s">
        <v>50</v>
      </c>
      <c r="Q1742" s="36">
        <v>8</v>
      </c>
      <c r="R1742" s="36" t="s">
        <v>611</v>
      </c>
      <c r="S1742" s="40">
        <f>(VLOOKUP(P1742,'[1]BOM Info General'!$A:$L,12,0))*Q1742</f>
        <v>21.2</v>
      </c>
      <c r="T1742" s="37" t="s">
        <v>21</v>
      </c>
      <c r="U1742" s="31">
        <v>1</v>
      </c>
      <c r="V1742" s="37" t="s">
        <v>22</v>
      </c>
      <c r="W1742" s="17">
        <f>(VLOOKUP(T1742,'[1]Simulation pricing per sub assy'!$D:$E,2,0))*U1742</f>
        <v>7.2</v>
      </c>
      <c r="X1742" s="38" t="s">
        <v>616</v>
      </c>
      <c r="Y1742" s="38">
        <v>1</v>
      </c>
      <c r="Z1742" s="38" t="s">
        <v>23</v>
      </c>
      <c r="AA1742" s="18">
        <f>(VLOOKUP(X1742,'[1]Simulation pricing per sub assy'!$D:$E,2,0))*Y1742</f>
        <v>4.4802908000000006</v>
      </c>
    </row>
    <row r="1743" spans="1:27" x14ac:dyDescent="0.35">
      <c r="A1743" s="27" t="s">
        <v>2936</v>
      </c>
      <c r="B1743" s="27" t="s">
        <v>2937</v>
      </c>
      <c r="C1743" s="42">
        <f t="shared" si="27"/>
        <v>285.93669080000001</v>
      </c>
      <c r="D1743" s="33" t="s">
        <v>3540</v>
      </c>
      <c r="E1743" s="33">
        <v>2</v>
      </c>
      <c r="F1743" s="33" t="s">
        <v>3981</v>
      </c>
      <c r="G1743" s="14">
        <f>(VLOOKUP(D1743,'[1]BOM Info General'!$A:$L,12,0))*E1743</f>
        <v>130.12</v>
      </c>
      <c r="H1743" s="34" t="s">
        <v>41</v>
      </c>
      <c r="I1743" s="34">
        <v>1</v>
      </c>
      <c r="J1743" s="34" t="s">
        <v>47</v>
      </c>
      <c r="K1743" s="15">
        <f>(VLOOKUP(H1743,'[1]BOM Info General'!$A:$L,12,0))*I1743</f>
        <v>27.18</v>
      </c>
      <c r="L1743" s="35" t="s">
        <v>67</v>
      </c>
      <c r="M1743" s="35">
        <v>1</v>
      </c>
      <c r="N1743" s="35" t="s">
        <v>64</v>
      </c>
      <c r="O1743" s="9">
        <f>(VLOOKUP(L1743,'[1]Simulation pricing per sub assy'!$D:$E,2,0))*M1743</f>
        <v>95.756400000000042</v>
      </c>
      <c r="P1743" s="36" t="s">
        <v>50</v>
      </c>
      <c r="Q1743" s="36">
        <v>8</v>
      </c>
      <c r="R1743" s="36" t="s">
        <v>611</v>
      </c>
      <c r="S1743" s="40">
        <f>(VLOOKUP(P1743,'[1]BOM Info General'!$A:$L,12,0))*Q1743</f>
        <v>21.2</v>
      </c>
      <c r="T1743" s="37" t="s">
        <v>21</v>
      </c>
      <c r="U1743" s="31">
        <v>1</v>
      </c>
      <c r="V1743" s="37" t="s">
        <v>22</v>
      </c>
      <c r="W1743" s="17">
        <f>(VLOOKUP(T1743,'[1]Simulation pricing per sub assy'!$D:$E,2,0))*U1743</f>
        <v>7.2</v>
      </c>
      <c r="X1743" s="38" t="s">
        <v>616</v>
      </c>
      <c r="Y1743" s="38">
        <v>1</v>
      </c>
      <c r="Z1743" s="38" t="s">
        <v>23</v>
      </c>
      <c r="AA1743" s="18">
        <f>(VLOOKUP(X1743,'[1]Simulation pricing per sub assy'!$D:$E,2,0))*Y1743</f>
        <v>4.4802908000000006</v>
      </c>
    </row>
    <row r="1744" spans="1:27" x14ac:dyDescent="0.35">
      <c r="A1744" s="27" t="s">
        <v>2938</v>
      </c>
      <c r="B1744" s="27" t="s">
        <v>2939</v>
      </c>
      <c r="C1744" s="42">
        <f t="shared" si="27"/>
        <v>285.93669080000001</v>
      </c>
      <c r="D1744" s="33" t="s">
        <v>3540</v>
      </c>
      <c r="E1744" s="33">
        <v>2</v>
      </c>
      <c r="F1744" s="33" t="s">
        <v>3981</v>
      </c>
      <c r="G1744" s="14">
        <f>(VLOOKUP(D1744,'[1]BOM Info General'!$A:$L,12,0))*E1744</f>
        <v>130.12</v>
      </c>
      <c r="H1744" s="34" t="s">
        <v>41</v>
      </c>
      <c r="I1744" s="34">
        <v>1</v>
      </c>
      <c r="J1744" s="34" t="s">
        <v>47</v>
      </c>
      <c r="K1744" s="15">
        <f>(VLOOKUP(H1744,'[1]BOM Info General'!$A:$L,12,0))*I1744</f>
        <v>27.18</v>
      </c>
      <c r="L1744" s="35" t="s">
        <v>63</v>
      </c>
      <c r="M1744" s="35">
        <v>1</v>
      </c>
      <c r="N1744" s="35" t="s">
        <v>62</v>
      </c>
      <c r="O1744" s="9">
        <f>(VLOOKUP(L1744,'[1]Simulation pricing per sub assy'!$D:$E,2,0))*M1744</f>
        <v>95.756400000000042</v>
      </c>
      <c r="P1744" s="36" t="s">
        <v>50</v>
      </c>
      <c r="Q1744" s="36">
        <v>8</v>
      </c>
      <c r="R1744" s="36" t="s">
        <v>611</v>
      </c>
      <c r="S1744" s="40">
        <f>(VLOOKUP(P1744,'[1]BOM Info General'!$A:$L,12,0))*Q1744</f>
        <v>21.2</v>
      </c>
      <c r="T1744" s="37" t="s">
        <v>21</v>
      </c>
      <c r="U1744" s="31">
        <v>1</v>
      </c>
      <c r="V1744" s="37" t="s">
        <v>22</v>
      </c>
      <c r="W1744" s="17">
        <f>(VLOOKUP(T1744,'[1]Simulation pricing per sub assy'!$D:$E,2,0))*U1744</f>
        <v>7.2</v>
      </c>
      <c r="X1744" s="38" t="s">
        <v>616</v>
      </c>
      <c r="Y1744" s="38">
        <v>1</v>
      </c>
      <c r="Z1744" s="38" t="s">
        <v>23</v>
      </c>
      <c r="AA1744" s="18">
        <f>(VLOOKUP(X1744,'[1]Simulation pricing per sub assy'!$D:$E,2,0))*Y1744</f>
        <v>4.4802908000000006</v>
      </c>
    </row>
    <row r="1745" spans="1:27" x14ac:dyDescent="0.35">
      <c r="A1745" s="27" t="s">
        <v>2940</v>
      </c>
      <c r="B1745" s="27" t="s">
        <v>2941</v>
      </c>
      <c r="C1745" s="42">
        <f t="shared" si="27"/>
        <v>285.3866908</v>
      </c>
      <c r="D1745" s="33" t="s">
        <v>3540</v>
      </c>
      <c r="E1745" s="33">
        <v>2</v>
      </c>
      <c r="F1745" s="33" t="s">
        <v>3981</v>
      </c>
      <c r="G1745" s="14">
        <f>(VLOOKUP(D1745,'[1]BOM Info General'!$A:$L,12,0))*E1745</f>
        <v>130.12</v>
      </c>
      <c r="H1745" s="34" t="s">
        <v>41</v>
      </c>
      <c r="I1745" s="34">
        <v>1</v>
      </c>
      <c r="J1745" s="34" t="s">
        <v>47</v>
      </c>
      <c r="K1745" s="15">
        <f>(VLOOKUP(H1745,'[1]BOM Info General'!$A:$L,12,0))*I1745</f>
        <v>27.18</v>
      </c>
      <c r="L1745" s="35" t="s">
        <v>69</v>
      </c>
      <c r="M1745" s="35">
        <v>1</v>
      </c>
      <c r="N1745" s="35" t="s">
        <v>66</v>
      </c>
      <c r="O1745" s="9">
        <f>(VLOOKUP(L1745,'[1]Simulation pricing per sub assy'!$D:$E,2,0))*M1745</f>
        <v>95.206400000000031</v>
      </c>
      <c r="P1745" s="36" t="s">
        <v>50</v>
      </c>
      <c r="Q1745" s="36">
        <v>8</v>
      </c>
      <c r="R1745" s="36" t="s">
        <v>611</v>
      </c>
      <c r="S1745" s="40">
        <f>(VLOOKUP(P1745,'[1]BOM Info General'!$A:$L,12,0))*Q1745</f>
        <v>21.2</v>
      </c>
      <c r="T1745" s="37" t="s">
        <v>21</v>
      </c>
      <c r="U1745" s="31">
        <v>1</v>
      </c>
      <c r="V1745" s="37" t="s">
        <v>22</v>
      </c>
      <c r="W1745" s="17">
        <f>(VLOOKUP(T1745,'[1]Simulation pricing per sub assy'!$D:$E,2,0))*U1745</f>
        <v>7.2</v>
      </c>
      <c r="X1745" s="38" t="s">
        <v>616</v>
      </c>
      <c r="Y1745" s="38">
        <v>1</v>
      </c>
      <c r="Z1745" s="38" t="s">
        <v>23</v>
      </c>
      <c r="AA1745" s="18">
        <f>(VLOOKUP(X1745,'[1]Simulation pricing per sub assy'!$D:$E,2,0))*Y1745</f>
        <v>4.4802908000000006</v>
      </c>
    </row>
    <row r="1746" spans="1:27" x14ac:dyDescent="0.35">
      <c r="A1746" s="27" t="s">
        <v>2942</v>
      </c>
      <c r="B1746" s="27" t="s">
        <v>2943</v>
      </c>
      <c r="C1746" s="42">
        <f t="shared" si="27"/>
        <v>293.34669079999998</v>
      </c>
      <c r="D1746" s="33" t="s">
        <v>3540</v>
      </c>
      <c r="E1746" s="33">
        <v>2</v>
      </c>
      <c r="F1746" s="33" t="s">
        <v>3981</v>
      </c>
      <c r="G1746" s="14">
        <f>(VLOOKUP(D1746,'[1]BOM Info General'!$A:$L,12,0))*E1746</f>
        <v>130.12</v>
      </c>
      <c r="H1746" s="34" t="s">
        <v>41</v>
      </c>
      <c r="I1746" s="34">
        <v>1</v>
      </c>
      <c r="J1746" s="34" t="s">
        <v>47</v>
      </c>
      <c r="K1746" s="15">
        <f>(VLOOKUP(H1746,'[1]BOM Info General'!$A:$L,12,0))*I1746</f>
        <v>27.18</v>
      </c>
      <c r="L1746" s="35" t="s">
        <v>65</v>
      </c>
      <c r="M1746" s="35">
        <v>1</v>
      </c>
      <c r="N1746" s="35" t="s">
        <v>68</v>
      </c>
      <c r="O1746" s="9">
        <f>(VLOOKUP(L1746,'[1]Simulation pricing per sub assy'!$D:$E,2,0))*M1746</f>
        <v>103.16640000000004</v>
      </c>
      <c r="P1746" s="36" t="s">
        <v>50</v>
      </c>
      <c r="Q1746" s="36">
        <v>8</v>
      </c>
      <c r="R1746" s="36" t="s">
        <v>611</v>
      </c>
      <c r="S1746" s="40">
        <f>(VLOOKUP(P1746,'[1]BOM Info General'!$A:$L,12,0))*Q1746</f>
        <v>21.2</v>
      </c>
      <c r="T1746" s="37" t="s">
        <v>21</v>
      </c>
      <c r="U1746" s="31">
        <v>1</v>
      </c>
      <c r="V1746" s="37" t="s">
        <v>22</v>
      </c>
      <c r="W1746" s="17">
        <f>(VLOOKUP(T1746,'[1]Simulation pricing per sub assy'!$D:$E,2,0))*U1746</f>
        <v>7.2</v>
      </c>
      <c r="X1746" s="38" t="s">
        <v>616</v>
      </c>
      <c r="Y1746" s="38">
        <v>1</v>
      </c>
      <c r="Z1746" s="38" t="s">
        <v>23</v>
      </c>
      <c r="AA1746" s="18">
        <f>(VLOOKUP(X1746,'[1]Simulation pricing per sub assy'!$D:$E,2,0))*Y1746</f>
        <v>4.4802908000000006</v>
      </c>
    </row>
    <row r="1747" spans="1:27" x14ac:dyDescent="0.35">
      <c r="A1747" s="27" t="s">
        <v>2944</v>
      </c>
      <c r="B1747" s="27" t="s">
        <v>2945</v>
      </c>
      <c r="C1747" s="42">
        <f t="shared" si="27"/>
        <v>284.07669079999999</v>
      </c>
      <c r="D1747" s="33" t="s">
        <v>3540</v>
      </c>
      <c r="E1747" s="33">
        <v>2</v>
      </c>
      <c r="F1747" s="33" t="s">
        <v>3981</v>
      </c>
      <c r="G1747" s="14">
        <f>(VLOOKUP(D1747,'[1]BOM Info General'!$A:$L,12,0))*E1747</f>
        <v>130.12</v>
      </c>
      <c r="H1747" s="34" t="s">
        <v>41</v>
      </c>
      <c r="I1747" s="34">
        <v>1</v>
      </c>
      <c r="J1747" s="34" t="s">
        <v>47</v>
      </c>
      <c r="K1747" s="15">
        <f>(VLOOKUP(H1747,'[1]BOM Info General'!$A:$L,12,0))*I1747</f>
        <v>27.18</v>
      </c>
      <c r="L1747" s="35" t="s">
        <v>524</v>
      </c>
      <c r="M1747" s="35">
        <v>1</v>
      </c>
      <c r="N1747" s="35" t="s">
        <v>70</v>
      </c>
      <c r="O1747" s="9">
        <f>(VLOOKUP(L1747,'[1]Simulation pricing per sub assy'!$D:$E,2,0))*M1747</f>
        <v>94.656400000000033</v>
      </c>
      <c r="P1747" s="36" t="s">
        <v>50</v>
      </c>
      <c r="Q1747" s="36">
        <v>8</v>
      </c>
      <c r="R1747" s="36" t="s">
        <v>16</v>
      </c>
      <c r="S1747" s="40">
        <f>(VLOOKUP(P1747,'[1]BOM Info General'!$A:$L,12,0))*Q1747</f>
        <v>21.2</v>
      </c>
      <c r="T1747" s="37" t="s">
        <v>24</v>
      </c>
      <c r="U1747" s="37">
        <v>1</v>
      </c>
      <c r="V1747" s="37" t="s">
        <v>25</v>
      </c>
      <c r="W1747" s="17">
        <f>(VLOOKUP(T1747,'[1]Simulation pricing per sub assy'!$D:$E,2,0))*U1747</f>
        <v>6.44</v>
      </c>
      <c r="X1747" s="32" t="s">
        <v>616</v>
      </c>
      <c r="Y1747" s="38">
        <v>1</v>
      </c>
      <c r="Z1747" s="38" t="s">
        <v>23</v>
      </c>
      <c r="AA1747" s="18">
        <f>(VLOOKUP(X1747,'[1]Simulation pricing per sub assy'!$D:$E,2,0))*Y1747</f>
        <v>4.4802908000000006</v>
      </c>
    </row>
    <row r="1748" spans="1:27" x14ac:dyDescent="0.35">
      <c r="A1748" s="27" t="s">
        <v>2946</v>
      </c>
      <c r="B1748" s="27" t="s">
        <v>2947</v>
      </c>
      <c r="C1748" s="42">
        <f t="shared" si="27"/>
        <v>285.17669080000002</v>
      </c>
      <c r="D1748" s="33" t="s">
        <v>3540</v>
      </c>
      <c r="E1748" s="33">
        <v>2</v>
      </c>
      <c r="F1748" s="33" t="s">
        <v>3981</v>
      </c>
      <c r="G1748" s="14">
        <f>(VLOOKUP(D1748,'[1]BOM Info General'!$A:$L,12,0))*E1748</f>
        <v>130.12</v>
      </c>
      <c r="H1748" s="34" t="s">
        <v>41</v>
      </c>
      <c r="I1748" s="34">
        <v>1</v>
      </c>
      <c r="J1748" s="34" t="s">
        <v>47</v>
      </c>
      <c r="K1748" s="15">
        <f>(VLOOKUP(H1748,'[1]BOM Info General'!$A:$L,12,0))*I1748</f>
        <v>27.18</v>
      </c>
      <c r="L1748" s="35" t="s">
        <v>67</v>
      </c>
      <c r="M1748" s="35">
        <v>1</v>
      </c>
      <c r="N1748" s="35" t="s">
        <v>64</v>
      </c>
      <c r="O1748" s="9">
        <f>(VLOOKUP(L1748,'[1]Simulation pricing per sub assy'!$D:$E,2,0))*M1748</f>
        <v>95.756400000000042</v>
      </c>
      <c r="P1748" s="36" t="s">
        <v>50</v>
      </c>
      <c r="Q1748" s="36">
        <v>8</v>
      </c>
      <c r="R1748" s="36" t="s">
        <v>16</v>
      </c>
      <c r="S1748" s="40">
        <f>(VLOOKUP(P1748,'[1]BOM Info General'!$A:$L,12,0))*Q1748</f>
        <v>21.2</v>
      </c>
      <c r="T1748" s="37" t="s">
        <v>24</v>
      </c>
      <c r="U1748" s="31">
        <v>1</v>
      </c>
      <c r="V1748" s="37" t="s">
        <v>25</v>
      </c>
      <c r="W1748" s="17">
        <f>(VLOOKUP(T1748,'[1]Simulation pricing per sub assy'!$D:$E,2,0))*U1748</f>
        <v>6.44</v>
      </c>
      <c r="X1748" s="38" t="s">
        <v>616</v>
      </c>
      <c r="Y1748" s="38">
        <v>1</v>
      </c>
      <c r="Z1748" s="38" t="s">
        <v>23</v>
      </c>
      <c r="AA1748" s="18">
        <f>(VLOOKUP(X1748,'[1]Simulation pricing per sub assy'!$D:$E,2,0))*Y1748</f>
        <v>4.4802908000000006</v>
      </c>
    </row>
    <row r="1749" spans="1:27" x14ac:dyDescent="0.35">
      <c r="A1749" s="27" t="s">
        <v>2948</v>
      </c>
      <c r="B1749" s="27" t="s">
        <v>2949</v>
      </c>
      <c r="C1749" s="42">
        <f t="shared" si="27"/>
        <v>285.17669080000002</v>
      </c>
      <c r="D1749" s="33" t="s">
        <v>3540</v>
      </c>
      <c r="E1749" s="33">
        <v>2</v>
      </c>
      <c r="F1749" s="33" t="s">
        <v>3981</v>
      </c>
      <c r="G1749" s="14">
        <f>(VLOOKUP(D1749,'[1]BOM Info General'!$A:$L,12,0))*E1749</f>
        <v>130.12</v>
      </c>
      <c r="H1749" s="34" t="s">
        <v>41</v>
      </c>
      <c r="I1749" s="34">
        <v>1</v>
      </c>
      <c r="J1749" s="34" t="s">
        <v>47</v>
      </c>
      <c r="K1749" s="15">
        <f>(VLOOKUP(H1749,'[1]BOM Info General'!$A:$L,12,0))*I1749</f>
        <v>27.18</v>
      </c>
      <c r="L1749" s="35" t="s">
        <v>63</v>
      </c>
      <c r="M1749" s="35">
        <v>1</v>
      </c>
      <c r="N1749" s="35" t="s">
        <v>62</v>
      </c>
      <c r="O1749" s="9">
        <f>(VLOOKUP(L1749,'[1]Simulation pricing per sub assy'!$D:$E,2,0))*M1749</f>
        <v>95.756400000000042</v>
      </c>
      <c r="P1749" s="36" t="s">
        <v>50</v>
      </c>
      <c r="Q1749" s="36">
        <v>8</v>
      </c>
      <c r="R1749" s="36" t="s">
        <v>16</v>
      </c>
      <c r="S1749" s="40">
        <f>(VLOOKUP(P1749,'[1]BOM Info General'!$A:$L,12,0))*Q1749</f>
        <v>21.2</v>
      </c>
      <c r="T1749" s="37" t="s">
        <v>24</v>
      </c>
      <c r="U1749" s="37">
        <v>1</v>
      </c>
      <c r="V1749" s="37" t="s">
        <v>25</v>
      </c>
      <c r="W1749" s="17">
        <f>(VLOOKUP(T1749,'[1]Simulation pricing per sub assy'!$D:$E,2,0))*U1749</f>
        <v>6.44</v>
      </c>
      <c r="X1749" s="32" t="s">
        <v>616</v>
      </c>
      <c r="Y1749" s="38">
        <v>1</v>
      </c>
      <c r="Z1749" s="38" t="s">
        <v>23</v>
      </c>
      <c r="AA1749" s="18">
        <f>(VLOOKUP(X1749,'[1]Simulation pricing per sub assy'!$D:$E,2,0))*Y1749</f>
        <v>4.4802908000000006</v>
      </c>
    </row>
    <row r="1750" spans="1:27" x14ac:dyDescent="0.35">
      <c r="A1750" s="27" t="s">
        <v>2950</v>
      </c>
      <c r="B1750" s="27" t="s">
        <v>2951</v>
      </c>
      <c r="C1750" s="42">
        <f t="shared" si="27"/>
        <v>284.62669080000001</v>
      </c>
      <c r="D1750" s="33" t="s">
        <v>3540</v>
      </c>
      <c r="E1750" s="33">
        <v>2</v>
      </c>
      <c r="F1750" s="33" t="s">
        <v>3981</v>
      </c>
      <c r="G1750" s="14">
        <f>(VLOOKUP(D1750,'[1]BOM Info General'!$A:$L,12,0))*E1750</f>
        <v>130.12</v>
      </c>
      <c r="H1750" s="34" t="s">
        <v>41</v>
      </c>
      <c r="I1750" s="34">
        <v>1</v>
      </c>
      <c r="J1750" s="34" t="s">
        <v>47</v>
      </c>
      <c r="K1750" s="15">
        <f>(VLOOKUP(H1750,'[1]BOM Info General'!$A:$L,12,0))*I1750</f>
        <v>27.18</v>
      </c>
      <c r="L1750" s="35" t="s">
        <v>69</v>
      </c>
      <c r="M1750" s="35">
        <v>1</v>
      </c>
      <c r="N1750" s="35" t="s">
        <v>66</v>
      </c>
      <c r="O1750" s="9">
        <f>(VLOOKUP(L1750,'[1]Simulation pricing per sub assy'!$D:$E,2,0))*M1750</f>
        <v>95.206400000000031</v>
      </c>
      <c r="P1750" s="36" t="s">
        <v>50</v>
      </c>
      <c r="Q1750" s="36">
        <v>8</v>
      </c>
      <c r="R1750" s="36" t="s">
        <v>16</v>
      </c>
      <c r="S1750" s="40">
        <f>(VLOOKUP(P1750,'[1]BOM Info General'!$A:$L,12,0))*Q1750</f>
        <v>21.2</v>
      </c>
      <c r="T1750" s="37" t="s">
        <v>24</v>
      </c>
      <c r="U1750" s="37">
        <v>1</v>
      </c>
      <c r="V1750" s="37" t="s">
        <v>25</v>
      </c>
      <c r="W1750" s="17">
        <f>(VLOOKUP(T1750,'[1]Simulation pricing per sub assy'!$D:$E,2,0))*U1750</f>
        <v>6.44</v>
      </c>
      <c r="X1750" s="32" t="s">
        <v>616</v>
      </c>
      <c r="Y1750" s="38">
        <v>1</v>
      </c>
      <c r="Z1750" s="38" t="s">
        <v>23</v>
      </c>
      <c r="AA1750" s="18">
        <f>(VLOOKUP(X1750,'[1]Simulation pricing per sub assy'!$D:$E,2,0))*Y1750</f>
        <v>4.4802908000000006</v>
      </c>
    </row>
    <row r="1751" spans="1:27" x14ac:dyDescent="0.35">
      <c r="A1751" s="27" t="s">
        <v>2952</v>
      </c>
      <c r="B1751" s="27" t="s">
        <v>2953</v>
      </c>
      <c r="C1751" s="42">
        <f t="shared" si="27"/>
        <v>292.58669079999999</v>
      </c>
      <c r="D1751" s="33" t="s">
        <v>3540</v>
      </c>
      <c r="E1751" s="33">
        <v>2</v>
      </c>
      <c r="F1751" s="33" t="s">
        <v>3981</v>
      </c>
      <c r="G1751" s="14">
        <f>(VLOOKUP(D1751,'[1]BOM Info General'!$A:$L,12,0))*E1751</f>
        <v>130.12</v>
      </c>
      <c r="H1751" s="34" t="s">
        <v>41</v>
      </c>
      <c r="I1751" s="34">
        <v>1</v>
      </c>
      <c r="J1751" s="34" t="s">
        <v>47</v>
      </c>
      <c r="K1751" s="15">
        <f>(VLOOKUP(H1751,'[1]BOM Info General'!$A:$L,12,0))*I1751</f>
        <v>27.18</v>
      </c>
      <c r="L1751" s="35" t="s">
        <v>65</v>
      </c>
      <c r="M1751" s="35">
        <v>1</v>
      </c>
      <c r="N1751" s="35" t="s">
        <v>68</v>
      </c>
      <c r="O1751" s="9">
        <f>(VLOOKUP(L1751,'[1]Simulation pricing per sub assy'!$D:$E,2,0))*M1751</f>
        <v>103.16640000000004</v>
      </c>
      <c r="P1751" s="36" t="s">
        <v>50</v>
      </c>
      <c r="Q1751" s="36">
        <v>8</v>
      </c>
      <c r="R1751" s="36" t="s">
        <v>16</v>
      </c>
      <c r="S1751" s="40">
        <f>(VLOOKUP(P1751,'[1]BOM Info General'!$A:$L,12,0))*Q1751</f>
        <v>21.2</v>
      </c>
      <c r="T1751" s="37" t="s">
        <v>24</v>
      </c>
      <c r="U1751" s="37">
        <v>1</v>
      </c>
      <c r="V1751" s="37" t="s">
        <v>25</v>
      </c>
      <c r="W1751" s="17">
        <f>(VLOOKUP(T1751,'[1]Simulation pricing per sub assy'!$D:$E,2,0))*U1751</f>
        <v>6.44</v>
      </c>
      <c r="X1751" s="32" t="s">
        <v>616</v>
      </c>
      <c r="Y1751" s="38">
        <v>1</v>
      </c>
      <c r="Z1751" s="38" t="s">
        <v>23</v>
      </c>
      <c r="AA1751" s="18">
        <f>(VLOOKUP(X1751,'[1]Simulation pricing per sub assy'!$D:$E,2,0))*Y1751</f>
        <v>4.4802908000000006</v>
      </c>
    </row>
    <row r="1752" spans="1:27" x14ac:dyDescent="0.35">
      <c r="A1752" s="27" t="s">
        <v>2954</v>
      </c>
      <c r="B1752" s="27" t="s">
        <v>2955</v>
      </c>
      <c r="C1752" s="42">
        <f t="shared" si="27"/>
        <v>284.67669080000002</v>
      </c>
      <c r="D1752" s="33" t="s">
        <v>3540</v>
      </c>
      <c r="E1752" s="33">
        <v>2</v>
      </c>
      <c r="F1752" s="33" t="s">
        <v>3981</v>
      </c>
      <c r="G1752" s="14">
        <f>(VLOOKUP(D1752,'[1]BOM Info General'!$A:$L,12,0))*E1752</f>
        <v>130.12</v>
      </c>
      <c r="H1752" s="34" t="s">
        <v>41</v>
      </c>
      <c r="I1752" s="34">
        <v>1</v>
      </c>
      <c r="J1752" s="34" t="s">
        <v>47</v>
      </c>
      <c r="K1752" s="15">
        <f>(VLOOKUP(H1752,'[1]BOM Info General'!$A:$L,12,0))*I1752</f>
        <v>27.18</v>
      </c>
      <c r="L1752" s="35" t="s">
        <v>524</v>
      </c>
      <c r="M1752" s="35">
        <v>1</v>
      </c>
      <c r="N1752" s="35" t="s">
        <v>70</v>
      </c>
      <c r="O1752" s="9">
        <f>(VLOOKUP(L1752,'[1]Simulation pricing per sub assy'!$D:$E,2,0))*M1752</f>
        <v>94.656400000000033</v>
      </c>
      <c r="P1752" s="36" t="s">
        <v>50</v>
      </c>
      <c r="Q1752" s="36">
        <v>8</v>
      </c>
      <c r="R1752" s="36" t="s">
        <v>16</v>
      </c>
      <c r="S1752" s="40">
        <f>(VLOOKUP(P1752,'[1]BOM Info General'!$A:$L,12,0))*Q1752</f>
        <v>21.2</v>
      </c>
      <c r="T1752" s="37" t="s">
        <v>26</v>
      </c>
      <c r="U1752" s="37">
        <v>1</v>
      </c>
      <c r="V1752" s="37" t="s">
        <v>27</v>
      </c>
      <c r="W1752" s="17">
        <f>(VLOOKUP(T1752,'[1]Simulation pricing per sub assy'!$D:$E,2,0))*U1752</f>
        <v>7.04</v>
      </c>
      <c r="X1752" s="32" t="s">
        <v>616</v>
      </c>
      <c r="Y1752" s="38">
        <v>1</v>
      </c>
      <c r="Z1752" s="38" t="s">
        <v>23</v>
      </c>
      <c r="AA1752" s="18">
        <f>(VLOOKUP(X1752,'[1]Simulation pricing per sub assy'!$D:$E,2,0))*Y1752</f>
        <v>4.4802908000000006</v>
      </c>
    </row>
    <row r="1753" spans="1:27" x14ac:dyDescent="0.35">
      <c r="A1753" s="27" t="s">
        <v>2956</v>
      </c>
      <c r="B1753" s="27" t="s">
        <v>2957</v>
      </c>
      <c r="C1753" s="42">
        <f t="shared" si="27"/>
        <v>285.77669080000004</v>
      </c>
      <c r="D1753" s="33" t="s">
        <v>3540</v>
      </c>
      <c r="E1753" s="33">
        <v>2</v>
      </c>
      <c r="F1753" s="33" t="s">
        <v>3981</v>
      </c>
      <c r="G1753" s="14">
        <f>(VLOOKUP(D1753,'[1]BOM Info General'!$A:$L,12,0))*E1753</f>
        <v>130.12</v>
      </c>
      <c r="H1753" s="34" t="s">
        <v>41</v>
      </c>
      <c r="I1753" s="34">
        <v>1</v>
      </c>
      <c r="J1753" s="34" t="s">
        <v>47</v>
      </c>
      <c r="K1753" s="15">
        <f>(VLOOKUP(H1753,'[1]BOM Info General'!$A:$L,12,0))*I1753</f>
        <v>27.18</v>
      </c>
      <c r="L1753" s="35" t="s">
        <v>67</v>
      </c>
      <c r="M1753" s="35">
        <v>1</v>
      </c>
      <c r="N1753" s="35" t="s">
        <v>64</v>
      </c>
      <c r="O1753" s="9">
        <f>(VLOOKUP(L1753,'[1]Simulation pricing per sub assy'!$D:$E,2,0))*M1753</f>
        <v>95.756400000000042</v>
      </c>
      <c r="P1753" s="36" t="s">
        <v>50</v>
      </c>
      <c r="Q1753" s="36">
        <v>8</v>
      </c>
      <c r="R1753" s="36" t="s">
        <v>16</v>
      </c>
      <c r="S1753" s="40">
        <f>(VLOOKUP(P1753,'[1]BOM Info General'!$A:$L,12,0))*Q1753</f>
        <v>21.2</v>
      </c>
      <c r="T1753" s="37" t="s">
        <v>26</v>
      </c>
      <c r="U1753" s="31">
        <v>1</v>
      </c>
      <c r="V1753" s="37" t="s">
        <v>27</v>
      </c>
      <c r="W1753" s="17">
        <f>(VLOOKUP(T1753,'[1]Simulation pricing per sub assy'!$D:$E,2,0))*U1753</f>
        <v>7.04</v>
      </c>
      <c r="X1753" s="38" t="s">
        <v>616</v>
      </c>
      <c r="Y1753" s="38">
        <v>1</v>
      </c>
      <c r="Z1753" s="38" t="s">
        <v>23</v>
      </c>
      <c r="AA1753" s="18">
        <f>(VLOOKUP(X1753,'[1]Simulation pricing per sub assy'!$D:$E,2,0))*Y1753</f>
        <v>4.4802908000000006</v>
      </c>
    </row>
    <row r="1754" spans="1:27" x14ac:dyDescent="0.35">
      <c r="A1754" s="27" t="s">
        <v>2958</v>
      </c>
      <c r="B1754" s="27" t="s">
        <v>2959</v>
      </c>
      <c r="C1754" s="42">
        <f t="shared" si="27"/>
        <v>285.77669080000004</v>
      </c>
      <c r="D1754" s="33" t="s">
        <v>3540</v>
      </c>
      <c r="E1754" s="33">
        <v>2</v>
      </c>
      <c r="F1754" s="33" t="s">
        <v>3981</v>
      </c>
      <c r="G1754" s="14">
        <f>(VLOOKUP(D1754,'[1]BOM Info General'!$A:$L,12,0))*E1754</f>
        <v>130.12</v>
      </c>
      <c r="H1754" s="34" t="s">
        <v>41</v>
      </c>
      <c r="I1754" s="34">
        <v>1</v>
      </c>
      <c r="J1754" s="34" t="s">
        <v>47</v>
      </c>
      <c r="K1754" s="15">
        <f>(VLOOKUP(H1754,'[1]BOM Info General'!$A:$L,12,0))*I1754</f>
        <v>27.18</v>
      </c>
      <c r="L1754" s="35" t="s">
        <v>63</v>
      </c>
      <c r="M1754" s="35">
        <v>1</v>
      </c>
      <c r="N1754" s="35" t="s">
        <v>62</v>
      </c>
      <c r="O1754" s="9">
        <f>(VLOOKUP(L1754,'[1]Simulation pricing per sub assy'!$D:$E,2,0))*M1754</f>
        <v>95.756400000000042</v>
      </c>
      <c r="P1754" s="36" t="s">
        <v>50</v>
      </c>
      <c r="Q1754" s="36">
        <v>8</v>
      </c>
      <c r="R1754" s="36" t="s">
        <v>16</v>
      </c>
      <c r="S1754" s="40">
        <f>(VLOOKUP(P1754,'[1]BOM Info General'!$A:$L,12,0))*Q1754</f>
        <v>21.2</v>
      </c>
      <c r="T1754" s="37" t="s">
        <v>26</v>
      </c>
      <c r="U1754" s="37">
        <v>1</v>
      </c>
      <c r="V1754" s="37" t="s">
        <v>27</v>
      </c>
      <c r="W1754" s="17">
        <f>(VLOOKUP(T1754,'[1]Simulation pricing per sub assy'!$D:$E,2,0))*U1754</f>
        <v>7.04</v>
      </c>
      <c r="X1754" s="32" t="s">
        <v>616</v>
      </c>
      <c r="Y1754" s="38">
        <v>1</v>
      </c>
      <c r="Z1754" s="38" t="s">
        <v>23</v>
      </c>
      <c r="AA1754" s="18">
        <f>(VLOOKUP(X1754,'[1]Simulation pricing per sub assy'!$D:$E,2,0))*Y1754</f>
        <v>4.4802908000000006</v>
      </c>
    </row>
    <row r="1755" spans="1:27" x14ac:dyDescent="0.35">
      <c r="A1755" s="27" t="s">
        <v>2960</v>
      </c>
      <c r="B1755" s="27" t="s">
        <v>2961</v>
      </c>
      <c r="C1755" s="42">
        <f t="shared" si="27"/>
        <v>285.22669080000003</v>
      </c>
      <c r="D1755" s="33" t="s">
        <v>3540</v>
      </c>
      <c r="E1755" s="33">
        <v>2</v>
      </c>
      <c r="F1755" s="33" t="s">
        <v>3981</v>
      </c>
      <c r="G1755" s="14">
        <f>(VLOOKUP(D1755,'[1]BOM Info General'!$A:$L,12,0))*E1755</f>
        <v>130.12</v>
      </c>
      <c r="H1755" s="34" t="s">
        <v>41</v>
      </c>
      <c r="I1755" s="34">
        <v>1</v>
      </c>
      <c r="J1755" s="34" t="s">
        <v>47</v>
      </c>
      <c r="K1755" s="15">
        <f>(VLOOKUP(H1755,'[1]BOM Info General'!$A:$L,12,0))*I1755</f>
        <v>27.18</v>
      </c>
      <c r="L1755" s="35" t="s">
        <v>69</v>
      </c>
      <c r="M1755" s="35">
        <v>1</v>
      </c>
      <c r="N1755" s="35" t="s">
        <v>66</v>
      </c>
      <c r="O1755" s="9">
        <f>(VLOOKUP(L1755,'[1]Simulation pricing per sub assy'!$D:$E,2,0))*M1755</f>
        <v>95.206400000000031</v>
      </c>
      <c r="P1755" s="36" t="s">
        <v>50</v>
      </c>
      <c r="Q1755" s="36">
        <v>8</v>
      </c>
      <c r="R1755" s="36" t="s">
        <v>16</v>
      </c>
      <c r="S1755" s="40">
        <f>(VLOOKUP(P1755,'[1]BOM Info General'!$A:$L,12,0))*Q1755</f>
        <v>21.2</v>
      </c>
      <c r="T1755" s="37" t="s">
        <v>26</v>
      </c>
      <c r="U1755" s="37">
        <v>1</v>
      </c>
      <c r="V1755" s="37" t="s">
        <v>27</v>
      </c>
      <c r="W1755" s="17">
        <f>(VLOOKUP(T1755,'[1]Simulation pricing per sub assy'!$D:$E,2,0))*U1755</f>
        <v>7.04</v>
      </c>
      <c r="X1755" s="32" t="s">
        <v>616</v>
      </c>
      <c r="Y1755" s="38">
        <v>1</v>
      </c>
      <c r="Z1755" s="38" t="s">
        <v>23</v>
      </c>
      <c r="AA1755" s="18">
        <f>(VLOOKUP(X1755,'[1]Simulation pricing per sub assy'!$D:$E,2,0))*Y1755</f>
        <v>4.4802908000000006</v>
      </c>
    </row>
    <row r="1756" spans="1:27" x14ac:dyDescent="0.35">
      <c r="A1756" s="27" t="s">
        <v>2962</v>
      </c>
      <c r="B1756" s="27" t="s">
        <v>2963</v>
      </c>
      <c r="C1756" s="42">
        <f t="shared" si="27"/>
        <v>293.18669080000001</v>
      </c>
      <c r="D1756" s="33" t="s">
        <v>3540</v>
      </c>
      <c r="E1756" s="33">
        <v>2</v>
      </c>
      <c r="F1756" s="33" t="s">
        <v>3981</v>
      </c>
      <c r="G1756" s="14">
        <f>(VLOOKUP(D1756,'[1]BOM Info General'!$A:$L,12,0))*E1756</f>
        <v>130.12</v>
      </c>
      <c r="H1756" s="34" t="s">
        <v>41</v>
      </c>
      <c r="I1756" s="34">
        <v>1</v>
      </c>
      <c r="J1756" s="34" t="s">
        <v>47</v>
      </c>
      <c r="K1756" s="15">
        <f>(VLOOKUP(H1756,'[1]BOM Info General'!$A:$L,12,0))*I1756</f>
        <v>27.18</v>
      </c>
      <c r="L1756" s="35" t="s">
        <v>65</v>
      </c>
      <c r="M1756" s="35">
        <v>1</v>
      </c>
      <c r="N1756" s="35" t="s">
        <v>68</v>
      </c>
      <c r="O1756" s="9">
        <f>(VLOOKUP(L1756,'[1]Simulation pricing per sub assy'!$D:$E,2,0))*M1756</f>
        <v>103.16640000000004</v>
      </c>
      <c r="P1756" s="36" t="s">
        <v>50</v>
      </c>
      <c r="Q1756" s="36">
        <v>8</v>
      </c>
      <c r="R1756" s="36" t="s">
        <v>16</v>
      </c>
      <c r="S1756" s="40">
        <f>(VLOOKUP(P1756,'[1]BOM Info General'!$A:$L,12,0))*Q1756</f>
        <v>21.2</v>
      </c>
      <c r="T1756" s="37" t="s">
        <v>26</v>
      </c>
      <c r="U1756" s="37">
        <v>1</v>
      </c>
      <c r="V1756" s="37" t="s">
        <v>27</v>
      </c>
      <c r="W1756" s="17">
        <f>(VLOOKUP(T1756,'[1]Simulation pricing per sub assy'!$D:$E,2,0))*U1756</f>
        <v>7.04</v>
      </c>
      <c r="X1756" s="32" t="s">
        <v>616</v>
      </c>
      <c r="Y1756" s="38">
        <v>1</v>
      </c>
      <c r="Z1756" s="38" t="s">
        <v>23</v>
      </c>
      <c r="AA1756" s="18">
        <f>(VLOOKUP(X1756,'[1]Simulation pricing per sub assy'!$D:$E,2,0))*Y1756</f>
        <v>4.4802908000000006</v>
      </c>
    </row>
    <row r="1757" spans="1:27" x14ac:dyDescent="0.35">
      <c r="A1757" s="27" t="s">
        <v>2964</v>
      </c>
      <c r="B1757" s="27" t="s">
        <v>2965</v>
      </c>
      <c r="C1757" s="42">
        <f t="shared" si="27"/>
        <v>284.6366908</v>
      </c>
      <c r="D1757" s="33" t="s">
        <v>3540</v>
      </c>
      <c r="E1757" s="33">
        <v>2</v>
      </c>
      <c r="F1757" s="33" t="s">
        <v>3981</v>
      </c>
      <c r="G1757" s="14">
        <f>(VLOOKUP(D1757,'[1]BOM Info General'!$A:$L,12,0))*E1757</f>
        <v>130.12</v>
      </c>
      <c r="H1757" s="34" t="s">
        <v>41</v>
      </c>
      <c r="I1757" s="34">
        <v>1</v>
      </c>
      <c r="J1757" s="34" t="s">
        <v>47</v>
      </c>
      <c r="K1757" s="15">
        <f>(VLOOKUP(H1757,'[1]BOM Info General'!$A:$L,12,0))*I1757</f>
        <v>27.18</v>
      </c>
      <c r="L1757" s="35" t="s">
        <v>524</v>
      </c>
      <c r="M1757" s="35">
        <v>1</v>
      </c>
      <c r="N1757" s="35" t="s">
        <v>70</v>
      </c>
      <c r="O1757" s="9">
        <f>(VLOOKUP(L1757,'[1]Simulation pricing per sub assy'!$D:$E,2,0))*M1757</f>
        <v>94.656400000000033</v>
      </c>
      <c r="P1757" s="36" t="s">
        <v>50</v>
      </c>
      <c r="Q1757" s="36">
        <v>8</v>
      </c>
      <c r="R1757" s="36" t="s">
        <v>16</v>
      </c>
      <c r="S1757" s="40">
        <f>(VLOOKUP(P1757,'[1]BOM Info General'!$A:$L,12,0))*Q1757</f>
        <v>21.2</v>
      </c>
      <c r="T1757" s="37" t="s">
        <v>28</v>
      </c>
      <c r="U1757" s="37">
        <v>1</v>
      </c>
      <c r="V1757" s="37" t="s">
        <v>29</v>
      </c>
      <c r="W1757" s="17">
        <f>(VLOOKUP(T1757,'[1]Simulation pricing per sub assy'!$D:$E,2,0))*U1757</f>
        <v>7</v>
      </c>
      <c r="X1757" s="32" t="s">
        <v>616</v>
      </c>
      <c r="Y1757" s="38">
        <v>1</v>
      </c>
      <c r="Z1757" s="38" t="s">
        <v>23</v>
      </c>
      <c r="AA1757" s="18">
        <f>(VLOOKUP(X1757,'[1]Simulation pricing per sub assy'!$D:$E,2,0))*Y1757</f>
        <v>4.4802908000000006</v>
      </c>
    </row>
    <row r="1758" spans="1:27" x14ac:dyDescent="0.35">
      <c r="A1758" s="27" t="s">
        <v>2966</v>
      </c>
      <c r="B1758" s="27" t="s">
        <v>2967</v>
      </c>
      <c r="C1758" s="42">
        <f t="shared" si="27"/>
        <v>285.73669080000002</v>
      </c>
      <c r="D1758" s="33" t="s">
        <v>3540</v>
      </c>
      <c r="E1758" s="33">
        <v>2</v>
      </c>
      <c r="F1758" s="33" t="s">
        <v>3981</v>
      </c>
      <c r="G1758" s="14">
        <f>(VLOOKUP(D1758,'[1]BOM Info General'!$A:$L,12,0))*E1758</f>
        <v>130.12</v>
      </c>
      <c r="H1758" s="34" t="s">
        <v>41</v>
      </c>
      <c r="I1758" s="34">
        <v>1</v>
      </c>
      <c r="J1758" s="34" t="s">
        <v>47</v>
      </c>
      <c r="K1758" s="15">
        <f>(VLOOKUP(H1758,'[1]BOM Info General'!$A:$L,12,0))*I1758</f>
        <v>27.18</v>
      </c>
      <c r="L1758" s="35" t="s">
        <v>67</v>
      </c>
      <c r="M1758" s="35">
        <v>1</v>
      </c>
      <c r="N1758" s="35" t="s">
        <v>64</v>
      </c>
      <c r="O1758" s="9">
        <f>(VLOOKUP(L1758,'[1]Simulation pricing per sub assy'!$D:$E,2,0))*M1758</f>
        <v>95.756400000000042</v>
      </c>
      <c r="P1758" s="36" t="s">
        <v>50</v>
      </c>
      <c r="Q1758" s="36">
        <v>8</v>
      </c>
      <c r="R1758" s="36" t="s">
        <v>16</v>
      </c>
      <c r="S1758" s="40">
        <f>(VLOOKUP(P1758,'[1]BOM Info General'!$A:$L,12,0))*Q1758</f>
        <v>21.2</v>
      </c>
      <c r="T1758" s="37" t="s">
        <v>28</v>
      </c>
      <c r="U1758" s="31">
        <v>1</v>
      </c>
      <c r="V1758" s="37" t="s">
        <v>29</v>
      </c>
      <c r="W1758" s="17">
        <f>(VLOOKUP(T1758,'[1]Simulation pricing per sub assy'!$D:$E,2,0))*U1758</f>
        <v>7</v>
      </c>
      <c r="X1758" s="38" t="s">
        <v>616</v>
      </c>
      <c r="Y1758" s="38">
        <v>1</v>
      </c>
      <c r="Z1758" s="38" t="s">
        <v>23</v>
      </c>
      <c r="AA1758" s="18">
        <f>(VLOOKUP(X1758,'[1]Simulation pricing per sub assy'!$D:$E,2,0))*Y1758</f>
        <v>4.4802908000000006</v>
      </c>
    </row>
    <row r="1759" spans="1:27" x14ac:dyDescent="0.35">
      <c r="A1759" s="27" t="s">
        <v>2968</v>
      </c>
      <c r="B1759" s="27" t="s">
        <v>2969</v>
      </c>
      <c r="C1759" s="42">
        <f t="shared" si="27"/>
        <v>285.73669080000002</v>
      </c>
      <c r="D1759" s="33" t="s">
        <v>3540</v>
      </c>
      <c r="E1759" s="33">
        <v>2</v>
      </c>
      <c r="F1759" s="33" t="s">
        <v>3981</v>
      </c>
      <c r="G1759" s="14">
        <f>(VLOOKUP(D1759,'[1]BOM Info General'!$A:$L,12,0))*E1759</f>
        <v>130.12</v>
      </c>
      <c r="H1759" s="34" t="s">
        <v>41</v>
      </c>
      <c r="I1759" s="34">
        <v>1</v>
      </c>
      <c r="J1759" s="34" t="s">
        <v>47</v>
      </c>
      <c r="K1759" s="15">
        <f>(VLOOKUP(H1759,'[1]BOM Info General'!$A:$L,12,0))*I1759</f>
        <v>27.18</v>
      </c>
      <c r="L1759" s="35" t="s">
        <v>63</v>
      </c>
      <c r="M1759" s="35">
        <v>1</v>
      </c>
      <c r="N1759" s="35" t="s">
        <v>62</v>
      </c>
      <c r="O1759" s="9">
        <f>(VLOOKUP(L1759,'[1]Simulation pricing per sub assy'!$D:$E,2,0))*M1759</f>
        <v>95.756400000000042</v>
      </c>
      <c r="P1759" s="36" t="s">
        <v>50</v>
      </c>
      <c r="Q1759" s="36">
        <v>8</v>
      </c>
      <c r="R1759" s="36" t="s">
        <v>16</v>
      </c>
      <c r="S1759" s="40">
        <f>(VLOOKUP(P1759,'[1]BOM Info General'!$A:$L,12,0))*Q1759</f>
        <v>21.2</v>
      </c>
      <c r="T1759" s="37" t="s">
        <v>28</v>
      </c>
      <c r="U1759" s="37">
        <v>1</v>
      </c>
      <c r="V1759" s="37" t="s">
        <v>29</v>
      </c>
      <c r="W1759" s="17">
        <f>(VLOOKUP(T1759,'[1]Simulation pricing per sub assy'!$D:$E,2,0))*U1759</f>
        <v>7</v>
      </c>
      <c r="X1759" s="32" t="s">
        <v>616</v>
      </c>
      <c r="Y1759" s="38">
        <v>1</v>
      </c>
      <c r="Z1759" s="38" t="s">
        <v>23</v>
      </c>
      <c r="AA1759" s="18">
        <f>(VLOOKUP(X1759,'[1]Simulation pricing per sub assy'!$D:$E,2,0))*Y1759</f>
        <v>4.4802908000000006</v>
      </c>
    </row>
    <row r="1760" spans="1:27" x14ac:dyDescent="0.35">
      <c r="A1760" s="27" t="s">
        <v>2970</v>
      </c>
      <c r="B1760" s="27" t="s">
        <v>2971</v>
      </c>
      <c r="C1760" s="42">
        <f t="shared" si="27"/>
        <v>285.18669080000001</v>
      </c>
      <c r="D1760" s="33" t="s">
        <v>3540</v>
      </c>
      <c r="E1760" s="33">
        <v>2</v>
      </c>
      <c r="F1760" s="33" t="s">
        <v>3981</v>
      </c>
      <c r="G1760" s="14">
        <f>(VLOOKUP(D1760,'[1]BOM Info General'!$A:$L,12,0))*E1760</f>
        <v>130.12</v>
      </c>
      <c r="H1760" s="34" t="s">
        <v>41</v>
      </c>
      <c r="I1760" s="34">
        <v>1</v>
      </c>
      <c r="J1760" s="34" t="s">
        <v>47</v>
      </c>
      <c r="K1760" s="15">
        <f>(VLOOKUP(H1760,'[1]BOM Info General'!$A:$L,12,0))*I1760</f>
        <v>27.18</v>
      </c>
      <c r="L1760" s="35" t="s">
        <v>69</v>
      </c>
      <c r="M1760" s="35">
        <v>1</v>
      </c>
      <c r="N1760" s="35" t="s">
        <v>66</v>
      </c>
      <c r="O1760" s="9">
        <f>(VLOOKUP(L1760,'[1]Simulation pricing per sub assy'!$D:$E,2,0))*M1760</f>
        <v>95.206400000000031</v>
      </c>
      <c r="P1760" s="36" t="s">
        <v>50</v>
      </c>
      <c r="Q1760" s="36">
        <v>8</v>
      </c>
      <c r="R1760" s="36" t="s">
        <v>16</v>
      </c>
      <c r="S1760" s="40">
        <f>(VLOOKUP(P1760,'[1]BOM Info General'!$A:$L,12,0))*Q1760</f>
        <v>21.2</v>
      </c>
      <c r="T1760" s="37" t="s">
        <v>28</v>
      </c>
      <c r="U1760" s="37">
        <v>1</v>
      </c>
      <c r="V1760" s="37" t="s">
        <v>29</v>
      </c>
      <c r="W1760" s="17">
        <f>(VLOOKUP(T1760,'[1]Simulation pricing per sub assy'!$D:$E,2,0))*U1760</f>
        <v>7</v>
      </c>
      <c r="X1760" s="32" t="s">
        <v>616</v>
      </c>
      <c r="Y1760" s="38">
        <v>1</v>
      </c>
      <c r="Z1760" s="38" t="s">
        <v>23</v>
      </c>
      <c r="AA1760" s="18">
        <f>(VLOOKUP(X1760,'[1]Simulation pricing per sub assy'!$D:$E,2,0))*Y1760</f>
        <v>4.4802908000000006</v>
      </c>
    </row>
    <row r="1761" spans="1:27" x14ac:dyDescent="0.35">
      <c r="A1761" s="27" t="s">
        <v>2972</v>
      </c>
      <c r="B1761" s="27" t="s">
        <v>2973</v>
      </c>
      <c r="C1761" s="42">
        <f t="shared" si="27"/>
        <v>293.14669079999999</v>
      </c>
      <c r="D1761" s="33" t="s">
        <v>3540</v>
      </c>
      <c r="E1761" s="33">
        <v>2</v>
      </c>
      <c r="F1761" s="33" t="s">
        <v>3981</v>
      </c>
      <c r="G1761" s="14">
        <f>(VLOOKUP(D1761,'[1]BOM Info General'!$A:$L,12,0))*E1761</f>
        <v>130.12</v>
      </c>
      <c r="H1761" s="34" t="s">
        <v>41</v>
      </c>
      <c r="I1761" s="34">
        <v>1</v>
      </c>
      <c r="J1761" s="34" t="s">
        <v>47</v>
      </c>
      <c r="K1761" s="15">
        <f>(VLOOKUP(H1761,'[1]BOM Info General'!$A:$L,12,0))*I1761</f>
        <v>27.18</v>
      </c>
      <c r="L1761" s="35" t="s">
        <v>65</v>
      </c>
      <c r="M1761" s="35">
        <v>1</v>
      </c>
      <c r="N1761" s="35" t="s">
        <v>68</v>
      </c>
      <c r="O1761" s="9">
        <f>(VLOOKUP(L1761,'[1]Simulation pricing per sub assy'!$D:$E,2,0))*M1761</f>
        <v>103.16640000000004</v>
      </c>
      <c r="P1761" s="36" t="s">
        <v>50</v>
      </c>
      <c r="Q1761" s="36">
        <v>8</v>
      </c>
      <c r="R1761" s="36" t="s">
        <v>16</v>
      </c>
      <c r="S1761" s="40">
        <f>(VLOOKUP(P1761,'[1]BOM Info General'!$A:$L,12,0))*Q1761</f>
        <v>21.2</v>
      </c>
      <c r="T1761" s="37" t="s">
        <v>28</v>
      </c>
      <c r="U1761" s="37">
        <v>1</v>
      </c>
      <c r="V1761" s="37" t="s">
        <v>29</v>
      </c>
      <c r="W1761" s="17">
        <f>(VLOOKUP(T1761,'[1]Simulation pricing per sub assy'!$D:$E,2,0))*U1761</f>
        <v>7</v>
      </c>
      <c r="X1761" s="32" t="s">
        <v>616</v>
      </c>
      <c r="Y1761" s="38">
        <v>1</v>
      </c>
      <c r="Z1761" s="38" t="s">
        <v>23</v>
      </c>
      <c r="AA1761" s="18">
        <f>(VLOOKUP(X1761,'[1]Simulation pricing per sub assy'!$D:$E,2,0))*Y1761</f>
        <v>4.4802908000000006</v>
      </c>
    </row>
    <row r="1762" spans="1:27" x14ac:dyDescent="0.35">
      <c r="A1762" s="27" t="s">
        <v>2974</v>
      </c>
      <c r="B1762" s="27" t="s">
        <v>2975</v>
      </c>
      <c r="C1762" s="42">
        <f t="shared" si="27"/>
        <v>284.07669079999999</v>
      </c>
      <c r="D1762" s="33" t="s">
        <v>3540</v>
      </c>
      <c r="E1762" s="33">
        <v>2</v>
      </c>
      <c r="F1762" s="33" t="s">
        <v>3981</v>
      </c>
      <c r="G1762" s="14">
        <f>(VLOOKUP(D1762,'[1]BOM Info General'!$A:$L,12,0))*E1762</f>
        <v>130.12</v>
      </c>
      <c r="H1762" s="34" t="s">
        <v>41</v>
      </c>
      <c r="I1762" s="34">
        <v>1</v>
      </c>
      <c r="J1762" s="34" t="s">
        <v>47</v>
      </c>
      <c r="K1762" s="15">
        <f>(VLOOKUP(H1762,'[1]BOM Info General'!$A:$L,12,0))*I1762</f>
        <v>27.18</v>
      </c>
      <c r="L1762" s="35" t="s">
        <v>524</v>
      </c>
      <c r="M1762" s="35">
        <v>1</v>
      </c>
      <c r="N1762" s="35" t="s">
        <v>70</v>
      </c>
      <c r="O1762" s="9">
        <f>(VLOOKUP(L1762,'[1]Simulation pricing per sub assy'!$D:$E,2,0))*M1762</f>
        <v>94.656400000000033</v>
      </c>
      <c r="P1762" s="36" t="s">
        <v>51</v>
      </c>
      <c r="Q1762" s="36">
        <v>8</v>
      </c>
      <c r="R1762" s="36" t="s">
        <v>17</v>
      </c>
      <c r="S1762" s="40">
        <f>(VLOOKUP(P1762,'[1]BOM Info General'!$A:$L,12,0))*Q1762</f>
        <v>21.2</v>
      </c>
      <c r="T1762" s="37" t="s">
        <v>24</v>
      </c>
      <c r="U1762" s="37">
        <v>1</v>
      </c>
      <c r="V1762" s="37" t="s">
        <v>25</v>
      </c>
      <c r="W1762" s="17">
        <f>(VLOOKUP(T1762,'[1]Simulation pricing per sub assy'!$D:$E,2,0))*U1762</f>
        <v>6.44</v>
      </c>
      <c r="X1762" s="32" t="s">
        <v>616</v>
      </c>
      <c r="Y1762" s="38">
        <v>1</v>
      </c>
      <c r="Z1762" s="38" t="s">
        <v>23</v>
      </c>
      <c r="AA1762" s="18">
        <f>(VLOOKUP(X1762,'[1]Simulation pricing per sub assy'!$D:$E,2,0))*Y1762</f>
        <v>4.4802908000000006</v>
      </c>
    </row>
    <row r="1763" spans="1:27" x14ac:dyDescent="0.35">
      <c r="A1763" s="27" t="s">
        <v>2976</v>
      </c>
      <c r="B1763" s="27" t="s">
        <v>2977</v>
      </c>
      <c r="C1763" s="42">
        <f t="shared" si="27"/>
        <v>285.17669080000002</v>
      </c>
      <c r="D1763" s="33" t="s">
        <v>3540</v>
      </c>
      <c r="E1763" s="33">
        <v>2</v>
      </c>
      <c r="F1763" s="33" t="s">
        <v>3981</v>
      </c>
      <c r="G1763" s="14">
        <f>(VLOOKUP(D1763,'[1]BOM Info General'!$A:$L,12,0))*E1763</f>
        <v>130.12</v>
      </c>
      <c r="H1763" s="34" t="s">
        <v>41</v>
      </c>
      <c r="I1763" s="34">
        <v>1</v>
      </c>
      <c r="J1763" s="34" t="s">
        <v>47</v>
      </c>
      <c r="K1763" s="15">
        <f>(VLOOKUP(H1763,'[1]BOM Info General'!$A:$L,12,0))*I1763</f>
        <v>27.18</v>
      </c>
      <c r="L1763" s="35" t="s">
        <v>67</v>
      </c>
      <c r="M1763" s="35">
        <v>1</v>
      </c>
      <c r="N1763" s="35" t="s">
        <v>64</v>
      </c>
      <c r="O1763" s="9">
        <f>(VLOOKUP(L1763,'[1]Simulation pricing per sub assy'!$D:$E,2,0))*M1763</f>
        <v>95.756400000000042</v>
      </c>
      <c r="P1763" s="36" t="s">
        <v>51</v>
      </c>
      <c r="Q1763" s="36">
        <v>8</v>
      </c>
      <c r="R1763" s="36" t="s">
        <v>17</v>
      </c>
      <c r="S1763" s="40">
        <f>(VLOOKUP(P1763,'[1]BOM Info General'!$A:$L,12,0))*Q1763</f>
        <v>21.2</v>
      </c>
      <c r="T1763" s="37" t="s">
        <v>24</v>
      </c>
      <c r="U1763" s="31">
        <v>1</v>
      </c>
      <c r="V1763" s="37" t="s">
        <v>25</v>
      </c>
      <c r="W1763" s="17">
        <f>(VLOOKUP(T1763,'[1]Simulation pricing per sub assy'!$D:$E,2,0))*U1763</f>
        <v>6.44</v>
      </c>
      <c r="X1763" s="38" t="s">
        <v>616</v>
      </c>
      <c r="Y1763" s="38">
        <v>1</v>
      </c>
      <c r="Z1763" s="38" t="s">
        <v>23</v>
      </c>
      <c r="AA1763" s="18">
        <f>(VLOOKUP(X1763,'[1]Simulation pricing per sub assy'!$D:$E,2,0))*Y1763</f>
        <v>4.4802908000000006</v>
      </c>
    </row>
    <row r="1764" spans="1:27" x14ac:dyDescent="0.35">
      <c r="A1764" s="27" t="s">
        <v>2978</v>
      </c>
      <c r="B1764" s="27" t="s">
        <v>2979</v>
      </c>
      <c r="C1764" s="42">
        <f t="shared" si="27"/>
        <v>285.17669080000002</v>
      </c>
      <c r="D1764" s="33" t="s">
        <v>3540</v>
      </c>
      <c r="E1764" s="33">
        <v>2</v>
      </c>
      <c r="F1764" s="33" t="s">
        <v>3981</v>
      </c>
      <c r="G1764" s="14">
        <f>(VLOOKUP(D1764,'[1]BOM Info General'!$A:$L,12,0))*E1764</f>
        <v>130.12</v>
      </c>
      <c r="H1764" s="34" t="s">
        <v>41</v>
      </c>
      <c r="I1764" s="34">
        <v>1</v>
      </c>
      <c r="J1764" s="34" t="s">
        <v>47</v>
      </c>
      <c r="K1764" s="15">
        <f>(VLOOKUP(H1764,'[1]BOM Info General'!$A:$L,12,0))*I1764</f>
        <v>27.18</v>
      </c>
      <c r="L1764" s="35" t="s">
        <v>63</v>
      </c>
      <c r="M1764" s="35">
        <v>1</v>
      </c>
      <c r="N1764" s="35" t="s">
        <v>62</v>
      </c>
      <c r="O1764" s="9">
        <f>(VLOOKUP(L1764,'[1]Simulation pricing per sub assy'!$D:$E,2,0))*M1764</f>
        <v>95.756400000000042</v>
      </c>
      <c r="P1764" s="36" t="s">
        <v>51</v>
      </c>
      <c r="Q1764" s="36">
        <v>8</v>
      </c>
      <c r="R1764" s="36" t="s">
        <v>17</v>
      </c>
      <c r="S1764" s="40">
        <f>(VLOOKUP(P1764,'[1]BOM Info General'!$A:$L,12,0))*Q1764</f>
        <v>21.2</v>
      </c>
      <c r="T1764" s="37" t="s">
        <v>24</v>
      </c>
      <c r="U1764" s="37">
        <v>1</v>
      </c>
      <c r="V1764" s="37" t="s">
        <v>25</v>
      </c>
      <c r="W1764" s="17">
        <f>(VLOOKUP(T1764,'[1]Simulation pricing per sub assy'!$D:$E,2,0))*U1764</f>
        <v>6.44</v>
      </c>
      <c r="X1764" s="32" t="s">
        <v>616</v>
      </c>
      <c r="Y1764" s="38">
        <v>1</v>
      </c>
      <c r="Z1764" s="38" t="s">
        <v>23</v>
      </c>
      <c r="AA1764" s="18">
        <f>(VLOOKUP(X1764,'[1]Simulation pricing per sub assy'!$D:$E,2,0))*Y1764</f>
        <v>4.4802908000000006</v>
      </c>
    </row>
    <row r="1765" spans="1:27" x14ac:dyDescent="0.35">
      <c r="A1765" s="27" t="s">
        <v>2980</v>
      </c>
      <c r="B1765" s="27" t="s">
        <v>2981</v>
      </c>
      <c r="C1765" s="42">
        <f t="shared" si="27"/>
        <v>284.62669080000001</v>
      </c>
      <c r="D1765" s="33" t="s">
        <v>3540</v>
      </c>
      <c r="E1765" s="33">
        <v>2</v>
      </c>
      <c r="F1765" s="33" t="s">
        <v>3981</v>
      </c>
      <c r="G1765" s="14">
        <f>(VLOOKUP(D1765,'[1]BOM Info General'!$A:$L,12,0))*E1765</f>
        <v>130.12</v>
      </c>
      <c r="H1765" s="34" t="s">
        <v>41</v>
      </c>
      <c r="I1765" s="34">
        <v>1</v>
      </c>
      <c r="J1765" s="34" t="s">
        <v>47</v>
      </c>
      <c r="K1765" s="15">
        <f>(VLOOKUP(H1765,'[1]BOM Info General'!$A:$L,12,0))*I1765</f>
        <v>27.18</v>
      </c>
      <c r="L1765" s="35" t="s">
        <v>69</v>
      </c>
      <c r="M1765" s="35">
        <v>1</v>
      </c>
      <c r="N1765" s="35" t="s">
        <v>66</v>
      </c>
      <c r="O1765" s="9">
        <f>(VLOOKUP(L1765,'[1]Simulation pricing per sub assy'!$D:$E,2,0))*M1765</f>
        <v>95.206400000000031</v>
      </c>
      <c r="P1765" s="36" t="s">
        <v>51</v>
      </c>
      <c r="Q1765" s="36">
        <v>8</v>
      </c>
      <c r="R1765" s="36" t="s">
        <v>17</v>
      </c>
      <c r="S1765" s="40">
        <f>(VLOOKUP(P1765,'[1]BOM Info General'!$A:$L,12,0))*Q1765</f>
        <v>21.2</v>
      </c>
      <c r="T1765" s="37" t="s">
        <v>24</v>
      </c>
      <c r="U1765" s="37">
        <v>1</v>
      </c>
      <c r="V1765" s="37" t="s">
        <v>25</v>
      </c>
      <c r="W1765" s="17">
        <f>(VLOOKUP(T1765,'[1]Simulation pricing per sub assy'!$D:$E,2,0))*U1765</f>
        <v>6.44</v>
      </c>
      <c r="X1765" s="32" t="s">
        <v>616</v>
      </c>
      <c r="Y1765" s="38">
        <v>1</v>
      </c>
      <c r="Z1765" s="38" t="s">
        <v>23</v>
      </c>
      <c r="AA1765" s="18">
        <f>(VLOOKUP(X1765,'[1]Simulation pricing per sub assy'!$D:$E,2,0))*Y1765</f>
        <v>4.4802908000000006</v>
      </c>
    </row>
    <row r="1766" spans="1:27" x14ac:dyDescent="0.35">
      <c r="A1766" s="27" t="s">
        <v>2982</v>
      </c>
      <c r="B1766" s="27" t="s">
        <v>2983</v>
      </c>
      <c r="C1766" s="42">
        <f t="shared" si="27"/>
        <v>292.58669079999999</v>
      </c>
      <c r="D1766" s="33" t="s">
        <v>3540</v>
      </c>
      <c r="E1766" s="33">
        <v>2</v>
      </c>
      <c r="F1766" s="33" t="s">
        <v>3981</v>
      </c>
      <c r="G1766" s="14">
        <f>(VLOOKUP(D1766,'[1]BOM Info General'!$A:$L,12,0))*E1766</f>
        <v>130.12</v>
      </c>
      <c r="H1766" s="34" t="s">
        <v>41</v>
      </c>
      <c r="I1766" s="34">
        <v>1</v>
      </c>
      <c r="J1766" s="34" t="s">
        <v>47</v>
      </c>
      <c r="K1766" s="15">
        <f>(VLOOKUP(H1766,'[1]BOM Info General'!$A:$L,12,0))*I1766</f>
        <v>27.18</v>
      </c>
      <c r="L1766" s="35" t="s">
        <v>65</v>
      </c>
      <c r="M1766" s="35">
        <v>1</v>
      </c>
      <c r="N1766" s="35" t="s">
        <v>68</v>
      </c>
      <c r="O1766" s="9">
        <f>(VLOOKUP(L1766,'[1]Simulation pricing per sub assy'!$D:$E,2,0))*M1766</f>
        <v>103.16640000000004</v>
      </c>
      <c r="P1766" s="36" t="s">
        <v>51</v>
      </c>
      <c r="Q1766" s="36">
        <v>8</v>
      </c>
      <c r="R1766" s="36" t="s">
        <v>17</v>
      </c>
      <c r="S1766" s="40">
        <f>(VLOOKUP(P1766,'[1]BOM Info General'!$A:$L,12,0))*Q1766</f>
        <v>21.2</v>
      </c>
      <c r="T1766" s="37" t="s">
        <v>24</v>
      </c>
      <c r="U1766" s="37">
        <v>1</v>
      </c>
      <c r="V1766" s="37" t="s">
        <v>25</v>
      </c>
      <c r="W1766" s="17">
        <f>(VLOOKUP(T1766,'[1]Simulation pricing per sub assy'!$D:$E,2,0))*U1766</f>
        <v>6.44</v>
      </c>
      <c r="X1766" s="32" t="s">
        <v>616</v>
      </c>
      <c r="Y1766" s="38">
        <v>1</v>
      </c>
      <c r="Z1766" s="38" t="s">
        <v>23</v>
      </c>
      <c r="AA1766" s="18">
        <f>(VLOOKUP(X1766,'[1]Simulation pricing per sub assy'!$D:$E,2,0))*Y1766</f>
        <v>4.4802908000000006</v>
      </c>
    </row>
    <row r="1767" spans="1:27" x14ac:dyDescent="0.35">
      <c r="A1767" s="27" t="s">
        <v>2984</v>
      </c>
      <c r="B1767" s="27" t="s">
        <v>2985</v>
      </c>
      <c r="C1767" s="42">
        <f t="shared" si="27"/>
        <v>284.67669080000002</v>
      </c>
      <c r="D1767" s="33" t="s">
        <v>3540</v>
      </c>
      <c r="E1767" s="33">
        <v>2</v>
      </c>
      <c r="F1767" s="33" t="s">
        <v>3981</v>
      </c>
      <c r="G1767" s="14">
        <f>(VLOOKUP(D1767,'[1]BOM Info General'!$A:$L,12,0))*E1767</f>
        <v>130.12</v>
      </c>
      <c r="H1767" s="34" t="s">
        <v>41</v>
      </c>
      <c r="I1767" s="34">
        <v>1</v>
      </c>
      <c r="J1767" s="34" t="s">
        <v>47</v>
      </c>
      <c r="K1767" s="15">
        <f>(VLOOKUP(H1767,'[1]BOM Info General'!$A:$L,12,0))*I1767</f>
        <v>27.18</v>
      </c>
      <c r="L1767" s="35" t="s">
        <v>524</v>
      </c>
      <c r="M1767" s="35">
        <v>1</v>
      </c>
      <c r="N1767" s="35" t="s">
        <v>70</v>
      </c>
      <c r="O1767" s="9">
        <f>(VLOOKUP(L1767,'[1]Simulation pricing per sub assy'!$D:$E,2,0))*M1767</f>
        <v>94.656400000000033</v>
      </c>
      <c r="P1767" s="36" t="s">
        <v>51</v>
      </c>
      <c r="Q1767" s="36">
        <v>8</v>
      </c>
      <c r="R1767" s="36" t="s">
        <v>17</v>
      </c>
      <c r="S1767" s="40">
        <f>(VLOOKUP(P1767,'[1]BOM Info General'!$A:$L,12,0))*Q1767</f>
        <v>21.2</v>
      </c>
      <c r="T1767" s="37" t="s">
        <v>26</v>
      </c>
      <c r="U1767" s="37">
        <v>1</v>
      </c>
      <c r="V1767" s="37" t="s">
        <v>27</v>
      </c>
      <c r="W1767" s="17">
        <f>(VLOOKUP(T1767,'[1]Simulation pricing per sub assy'!$D:$E,2,0))*U1767</f>
        <v>7.04</v>
      </c>
      <c r="X1767" s="32" t="s">
        <v>616</v>
      </c>
      <c r="Y1767" s="38">
        <v>1</v>
      </c>
      <c r="Z1767" s="38" t="s">
        <v>23</v>
      </c>
      <c r="AA1767" s="18">
        <f>(VLOOKUP(X1767,'[1]Simulation pricing per sub assy'!$D:$E,2,0))*Y1767</f>
        <v>4.4802908000000006</v>
      </c>
    </row>
    <row r="1768" spans="1:27" x14ac:dyDescent="0.35">
      <c r="A1768" s="27" t="s">
        <v>2986</v>
      </c>
      <c r="B1768" s="27" t="s">
        <v>2987</v>
      </c>
      <c r="C1768" s="42">
        <f t="shared" si="27"/>
        <v>285.77669080000004</v>
      </c>
      <c r="D1768" s="33" t="s">
        <v>3540</v>
      </c>
      <c r="E1768" s="33">
        <v>2</v>
      </c>
      <c r="F1768" s="33" t="s">
        <v>3981</v>
      </c>
      <c r="G1768" s="14">
        <f>(VLOOKUP(D1768,'[1]BOM Info General'!$A:$L,12,0))*E1768</f>
        <v>130.12</v>
      </c>
      <c r="H1768" s="34" t="s">
        <v>41</v>
      </c>
      <c r="I1768" s="34">
        <v>1</v>
      </c>
      <c r="J1768" s="34" t="s">
        <v>47</v>
      </c>
      <c r="K1768" s="15">
        <f>(VLOOKUP(H1768,'[1]BOM Info General'!$A:$L,12,0))*I1768</f>
        <v>27.18</v>
      </c>
      <c r="L1768" s="35" t="s">
        <v>67</v>
      </c>
      <c r="M1768" s="35">
        <v>1</v>
      </c>
      <c r="N1768" s="35" t="s">
        <v>64</v>
      </c>
      <c r="O1768" s="9">
        <f>(VLOOKUP(L1768,'[1]Simulation pricing per sub assy'!$D:$E,2,0))*M1768</f>
        <v>95.756400000000042</v>
      </c>
      <c r="P1768" s="36" t="s">
        <v>51</v>
      </c>
      <c r="Q1768" s="36">
        <v>8</v>
      </c>
      <c r="R1768" s="36" t="s">
        <v>17</v>
      </c>
      <c r="S1768" s="40">
        <f>(VLOOKUP(P1768,'[1]BOM Info General'!$A:$L,12,0))*Q1768</f>
        <v>21.2</v>
      </c>
      <c r="T1768" s="37" t="s">
        <v>26</v>
      </c>
      <c r="U1768" s="31">
        <v>1</v>
      </c>
      <c r="V1768" s="37" t="s">
        <v>27</v>
      </c>
      <c r="W1768" s="17">
        <f>(VLOOKUP(T1768,'[1]Simulation pricing per sub assy'!$D:$E,2,0))*U1768</f>
        <v>7.04</v>
      </c>
      <c r="X1768" s="38" t="s">
        <v>616</v>
      </c>
      <c r="Y1768" s="38">
        <v>1</v>
      </c>
      <c r="Z1768" s="38" t="s">
        <v>23</v>
      </c>
      <c r="AA1768" s="18">
        <f>(VLOOKUP(X1768,'[1]Simulation pricing per sub assy'!$D:$E,2,0))*Y1768</f>
        <v>4.4802908000000006</v>
      </c>
    </row>
    <row r="1769" spans="1:27" x14ac:dyDescent="0.35">
      <c r="A1769" s="27" t="s">
        <v>2988</v>
      </c>
      <c r="B1769" s="27" t="s">
        <v>2989</v>
      </c>
      <c r="C1769" s="42">
        <f t="shared" si="27"/>
        <v>285.77669080000004</v>
      </c>
      <c r="D1769" s="33" t="s">
        <v>3540</v>
      </c>
      <c r="E1769" s="33">
        <v>2</v>
      </c>
      <c r="F1769" s="33" t="s">
        <v>3981</v>
      </c>
      <c r="G1769" s="14">
        <f>(VLOOKUP(D1769,'[1]BOM Info General'!$A:$L,12,0))*E1769</f>
        <v>130.12</v>
      </c>
      <c r="H1769" s="34" t="s">
        <v>41</v>
      </c>
      <c r="I1769" s="34">
        <v>1</v>
      </c>
      <c r="J1769" s="34" t="s">
        <v>47</v>
      </c>
      <c r="K1769" s="15">
        <f>(VLOOKUP(H1769,'[1]BOM Info General'!$A:$L,12,0))*I1769</f>
        <v>27.18</v>
      </c>
      <c r="L1769" s="35" t="s">
        <v>63</v>
      </c>
      <c r="M1769" s="35">
        <v>1</v>
      </c>
      <c r="N1769" s="35" t="s">
        <v>62</v>
      </c>
      <c r="O1769" s="9">
        <f>(VLOOKUP(L1769,'[1]Simulation pricing per sub assy'!$D:$E,2,0))*M1769</f>
        <v>95.756400000000042</v>
      </c>
      <c r="P1769" s="36" t="s">
        <v>51</v>
      </c>
      <c r="Q1769" s="36">
        <v>8</v>
      </c>
      <c r="R1769" s="36" t="s">
        <v>17</v>
      </c>
      <c r="S1769" s="40">
        <f>(VLOOKUP(P1769,'[1]BOM Info General'!$A:$L,12,0))*Q1769</f>
        <v>21.2</v>
      </c>
      <c r="T1769" s="37" t="s">
        <v>26</v>
      </c>
      <c r="U1769" s="37">
        <v>1</v>
      </c>
      <c r="V1769" s="37" t="s">
        <v>27</v>
      </c>
      <c r="W1769" s="17">
        <f>(VLOOKUP(T1769,'[1]Simulation pricing per sub assy'!$D:$E,2,0))*U1769</f>
        <v>7.04</v>
      </c>
      <c r="X1769" s="32" t="s">
        <v>616</v>
      </c>
      <c r="Y1769" s="38">
        <v>1</v>
      </c>
      <c r="Z1769" s="38" t="s">
        <v>23</v>
      </c>
      <c r="AA1769" s="18">
        <f>(VLOOKUP(X1769,'[1]Simulation pricing per sub assy'!$D:$E,2,0))*Y1769</f>
        <v>4.4802908000000006</v>
      </c>
    </row>
    <row r="1770" spans="1:27" x14ac:dyDescent="0.35">
      <c r="A1770" s="27" t="s">
        <v>2990</v>
      </c>
      <c r="B1770" s="27" t="s">
        <v>2991</v>
      </c>
      <c r="C1770" s="42">
        <f t="shared" si="27"/>
        <v>285.22669080000003</v>
      </c>
      <c r="D1770" s="33" t="s">
        <v>3540</v>
      </c>
      <c r="E1770" s="33">
        <v>2</v>
      </c>
      <c r="F1770" s="33" t="s">
        <v>3981</v>
      </c>
      <c r="G1770" s="14">
        <f>(VLOOKUP(D1770,'[1]BOM Info General'!$A:$L,12,0))*E1770</f>
        <v>130.12</v>
      </c>
      <c r="H1770" s="34" t="s">
        <v>41</v>
      </c>
      <c r="I1770" s="34">
        <v>1</v>
      </c>
      <c r="J1770" s="34" t="s">
        <v>47</v>
      </c>
      <c r="K1770" s="15">
        <f>(VLOOKUP(H1770,'[1]BOM Info General'!$A:$L,12,0))*I1770</f>
        <v>27.18</v>
      </c>
      <c r="L1770" s="35" t="s">
        <v>69</v>
      </c>
      <c r="M1770" s="35">
        <v>1</v>
      </c>
      <c r="N1770" s="35" t="s">
        <v>66</v>
      </c>
      <c r="O1770" s="9">
        <f>(VLOOKUP(L1770,'[1]Simulation pricing per sub assy'!$D:$E,2,0))*M1770</f>
        <v>95.206400000000031</v>
      </c>
      <c r="P1770" s="36" t="s">
        <v>51</v>
      </c>
      <c r="Q1770" s="36">
        <v>8</v>
      </c>
      <c r="R1770" s="36" t="s">
        <v>17</v>
      </c>
      <c r="S1770" s="40">
        <f>(VLOOKUP(P1770,'[1]BOM Info General'!$A:$L,12,0))*Q1770</f>
        <v>21.2</v>
      </c>
      <c r="T1770" s="37" t="s">
        <v>26</v>
      </c>
      <c r="U1770" s="37">
        <v>1</v>
      </c>
      <c r="V1770" s="37" t="s">
        <v>27</v>
      </c>
      <c r="W1770" s="17">
        <f>(VLOOKUP(T1770,'[1]Simulation pricing per sub assy'!$D:$E,2,0))*U1770</f>
        <v>7.04</v>
      </c>
      <c r="X1770" s="32" t="s">
        <v>616</v>
      </c>
      <c r="Y1770" s="38">
        <v>1</v>
      </c>
      <c r="Z1770" s="38" t="s">
        <v>23</v>
      </c>
      <c r="AA1770" s="18">
        <f>(VLOOKUP(X1770,'[1]Simulation pricing per sub assy'!$D:$E,2,0))*Y1770</f>
        <v>4.4802908000000006</v>
      </c>
    </row>
    <row r="1771" spans="1:27" x14ac:dyDescent="0.35">
      <c r="A1771" s="27" t="s">
        <v>2992</v>
      </c>
      <c r="B1771" s="27" t="s">
        <v>2993</v>
      </c>
      <c r="C1771" s="42">
        <f t="shared" si="27"/>
        <v>293.18669080000001</v>
      </c>
      <c r="D1771" s="33" t="s">
        <v>3540</v>
      </c>
      <c r="E1771" s="33">
        <v>2</v>
      </c>
      <c r="F1771" s="33" t="s">
        <v>3981</v>
      </c>
      <c r="G1771" s="14">
        <f>(VLOOKUP(D1771,'[1]BOM Info General'!$A:$L,12,0))*E1771</f>
        <v>130.12</v>
      </c>
      <c r="H1771" s="34" t="s">
        <v>41</v>
      </c>
      <c r="I1771" s="34">
        <v>1</v>
      </c>
      <c r="J1771" s="34" t="s">
        <v>47</v>
      </c>
      <c r="K1771" s="15">
        <f>(VLOOKUP(H1771,'[1]BOM Info General'!$A:$L,12,0))*I1771</f>
        <v>27.18</v>
      </c>
      <c r="L1771" s="35" t="s">
        <v>65</v>
      </c>
      <c r="M1771" s="35">
        <v>1</v>
      </c>
      <c r="N1771" s="35" t="s">
        <v>68</v>
      </c>
      <c r="O1771" s="9">
        <f>(VLOOKUP(L1771,'[1]Simulation pricing per sub assy'!$D:$E,2,0))*M1771</f>
        <v>103.16640000000004</v>
      </c>
      <c r="P1771" s="36" t="s">
        <v>51</v>
      </c>
      <c r="Q1771" s="36">
        <v>8</v>
      </c>
      <c r="R1771" s="36" t="s">
        <v>17</v>
      </c>
      <c r="S1771" s="40">
        <f>(VLOOKUP(P1771,'[1]BOM Info General'!$A:$L,12,0))*Q1771</f>
        <v>21.2</v>
      </c>
      <c r="T1771" s="37" t="s">
        <v>26</v>
      </c>
      <c r="U1771" s="37">
        <v>1</v>
      </c>
      <c r="V1771" s="37" t="s">
        <v>27</v>
      </c>
      <c r="W1771" s="17">
        <f>(VLOOKUP(T1771,'[1]Simulation pricing per sub assy'!$D:$E,2,0))*U1771</f>
        <v>7.04</v>
      </c>
      <c r="X1771" s="32" t="s">
        <v>616</v>
      </c>
      <c r="Y1771" s="38">
        <v>1</v>
      </c>
      <c r="Z1771" s="38" t="s">
        <v>23</v>
      </c>
      <c r="AA1771" s="18">
        <f>(VLOOKUP(X1771,'[1]Simulation pricing per sub assy'!$D:$E,2,0))*Y1771</f>
        <v>4.4802908000000006</v>
      </c>
    </row>
    <row r="1772" spans="1:27" x14ac:dyDescent="0.35">
      <c r="A1772" s="27" t="s">
        <v>2994</v>
      </c>
      <c r="B1772" s="27" t="s">
        <v>2995</v>
      </c>
      <c r="C1772" s="42">
        <f t="shared" si="27"/>
        <v>284.6366908</v>
      </c>
      <c r="D1772" s="33" t="s">
        <v>3540</v>
      </c>
      <c r="E1772" s="33">
        <v>2</v>
      </c>
      <c r="F1772" s="33" t="s">
        <v>3981</v>
      </c>
      <c r="G1772" s="14">
        <f>(VLOOKUP(D1772,'[1]BOM Info General'!$A:$L,12,0))*E1772</f>
        <v>130.12</v>
      </c>
      <c r="H1772" s="34" t="s">
        <v>41</v>
      </c>
      <c r="I1772" s="34">
        <v>1</v>
      </c>
      <c r="J1772" s="34" t="s">
        <v>47</v>
      </c>
      <c r="K1772" s="15">
        <f>(VLOOKUP(H1772,'[1]BOM Info General'!$A:$L,12,0))*I1772</f>
        <v>27.18</v>
      </c>
      <c r="L1772" s="35" t="s">
        <v>524</v>
      </c>
      <c r="M1772" s="35">
        <v>1</v>
      </c>
      <c r="N1772" s="35" t="s">
        <v>70</v>
      </c>
      <c r="O1772" s="9">
        <f>(VLOOKUP(L1772,'[1]Simulation pricing per sub assy'!$D:$E,2,0))*M1772</f>
        <v>94.656400000000033</v>
      </c>
      <c r="P1772" s="36" t="s">
        <v>51</v>
      </c>
      <c r="Q1772" s="36">
        <v>8</v>
      </c>
      <c r="R1772" s="36" t="s">
        <v>17</v>
      </c>
      <c r="S1772" s="40">
        <f>(VLOOKUP(P1772,'[1]BOM Info General'!$A:$L,12,0))*Q1772</f>
        <v>21.2</v>
      </c>
      <c r="T1772" s="37" t="s">
        <v>28</v>
      </c>
      <c r="U1772" s="37">
        <v>1</v>
      </c>
      <c r="V1772" s="37" t="s">
        <v>29</v>
      </c>
      <c r="W1772" s="17">
        <f>(VLOOKUP(T1772,'[1]Simulation pricing per sub assy'!$D:$E,2,0))*U1772</f>
        <v>7</v>
      </c>
      <c r="X1772" s="32" t="s">
        <v>616</v>
      </c>
      <c r="Y1772" s="38">
        <v>1</v>
      </c>
      <c r="Z1772" s="38" t="s">
        <v>23</v>
      </c>
      <c r="AA1772" s="18">
        <f>(VLOOKUP(X1772,'[1]Simulation pricing per sub assy'!$D:$E,2,0))*Y1772</f>
        <v>4.4802908000000006</v>
      </c>
    </row>
    <row r="1773" spans="1:27" x14ac:dyDescent="0.35">
      <c r="A1773" s="27" t="s">
        <v>2996</v>
      </c>
      <c r="B1773" s="27" t="s">
        <v>2997</v>
      </c>
      <c r="C1773" s="42">
        <f t="shared" si="27"/>
        <v>285.73669080000002</v>
      </c>
      <c r="D1773" s="33" t="s">
        <v>3540</v>
      </c>
      <c r="E1773" s="33">
        <v>2</v>
      </c>
      <c r="F1773" s="33" t="s">
        <v>3981</v>
      </c>
      <c r="G1773" s="14">
        <f>(VLOOKUP(D1773,'[1]BOM Info General'!$A:$L,12,0))*E1773</f>
        <v>130.12</v>
      </c>
      <c r="H1773" s="34" t="s">
        <v>41</v>
      </c>
      <c r="I1773" s="34">
        <v>1</v>
      </c>
      <c r="J1773" s="34" t="s">
        <v>47</v>
      </c>
      <c r="K1773" s="15">
        <f>(VLOOKUP(H1773,'[1]BOM Info General'!$A:$L,12,0))*I1773</f>
        <v>27.18</v>
      </c>
      <c r="L1773" s="35" t="s">
        <v>67</v>
      </c>
      <c r="M1773" s="35">
        <v>1</v>
      </c>
      <c r="N1773" s="35" t="s">
        <v>64</v>
      </c>
      <c r="O1773" s="9">
        <f>(VLOOKUP(L1773,'[1]Simulation pricing per sub assy'!$D:$E,2,0))*M1773</f>
        <v>95.756400000000042</v>
      </c>
      <c r="P1773" s="36" t="s">
        <v>51</v>
      </c>
      <c r="Q1773" s="36">
        <v>8</v>
      </c>
      <c r="R1773" s="36" t="s">
        <v>17</v>
      </c>
      <c r="S1773" s="40">
        <f>(VLOOKUP(P1773,'[1]BOM Info General'!$A:$L,12,0))*Q1773</f>
        <v>21.2</v>
      </c>
      <c r="T1773" s="37" t="s">
        <v>28</v>
      </c>
      <c r="U1773" s="31">
        <v>1</v>
      </c>
      <c r="V1773" s="37" t="s">
        <v>29</v>
      </c>
      <c r="W1773" s="17">
        <f>(VLOOKUP(T1773,'[1]Simulation pricing per sub assy'!$D:$E,2,0))*U1773</f>
        <v>7</v>
      </c>
      <c r="X1773" s="38" t="s">
        <v>616</v>
      </c>
      <c r="Y1773" s="38">
        <v>1</v>
      </c>
      <c r="Z1773" s="38" t="s">
        <v>23</v>
      </c>
      <c r="AA1773" s="18">
        <f>(VLOOKUP(X1773,'[1]Simulation pricing per sub assy'!$D:$E,2,0))*Y1773</f>
        <v>4.4802908000000006</v>
      </c>
    </row>
    <row r="1774" spans="1:27" x14ac:dyDescent="0.35">
      <c r="A1774" s="27" t="s">
        <v>2998</v>
      </c>
      <c r="B1774" s="27" t="s">
        <v>2999</v>
      </c>
      <c r="C1774" s="42">
        <f t="shared" si="27"/>
        <v>285.73669080000002</v>
      </c>
      <c r="D1774" s="33" t="s">
        <v>3540</v>
      </c>
      <c r="E1774" s="33">
        <v>2</v>
      </c>
      <c r="F1774" s="33" t="s">
        <v>3981</v>
      </c>
      <c r="G1774" s="14">
        <f>(VLOOKUP(D1774,'[1]BOM Info General'!$A:$L,12,0))*E1774</f>
        <v>130.12</v>
      </c>
      <c r="H1774" s="34" t="s">
        <v>41</v>
      </c>
      <c r="I1774" s="34">
        <v>1</v>
      </c>
      <c r="J1774" s="34" t="s">
        <v>47</v>
      </c>
      <c r="K1774" s="15">
        <f>(VLOOKUP(H1774,'[1]BOM Info General'!$A:$L,12,0))*I1774</f>
        <v>27.18</v>
      </c>
      <c r="L1774" s="35" t="s">
        <v>63</v>
      </c>
      <c r="M1774" s="35">
        <v>1</v>
      </c>
      <c r="N1774" s="35" t="s">
        <v>62</v>
      </c>
      <c r="O1774" s="9">
        <f>(VLOOKUP(L1774,'[1]Simulation pricing per sub assy'!$D:$E,2,0))*M1774</f>
        <v>95.756400000000042</v>
      </c>
      <c r="P1774" s="36" t="s">
        <v>51</v>
      </c>
      <c r="Q1774" s="36">
        <v>8</v>
      </c>
      <c r="R1774" s="36" t="s">
        <v>17</v>
      </c>
      <c r="S1774" s="40">
        <f>(VLOOKUP(P1774,'[1]BOM Info General'!$A:$L,12,0))*Q1774</f>
        <v>21.2</v>
      </c>
      <c r="T1774" s="37" t="s">
        <v>28</v>
      </c>
      <c r="U1774" s="37">
        <v>1</v>
      </c>
      <c r="V1774" s="37" t="s">
        <v>29</v>
      </c>
      <c r="W1774" s="17">
        <f>(VLOOKUP(T1774,'[1]Simulation pricing per sub assy'!$D:$E,2,0))*U1774</f>
        <v>7</v>
      </c>
      <c r="X1774" s="32" t="s">
        <v>616</v>
      </c>
      <c r="Y1774" s="38">
        <v>1</v>
      </c>
      <c r="Z1774" s="38" t="s">
        <v>23</v>
      </c>
      <c r="AA1774" s="18">
        <f>(VLOOKUP(X1774,'[1]Simulation pricing per sub assy'!$D:$E,2,0))*Y1774</f>
        <v>4.4802908000000006</v>
      </c>
    </row>
    <row r="1775" spans="1:27" x14ac:dyDescent="0.35">
      <c r="A1775" s="27" t="s">
        <v>3000</v>
      </c>
      <c r="B1775" s="27" t="s">
        <v>3001</v>
      </c>
      <c r="C1775" s="42">
        <f t="shared" si="27"/>
        <v>285.18669080000001</v>
      </c>
      <c r="D1775" s="33" t="s">
        <v>3540</v>
      </c>
      <c r="E1775" s="33">
        <v>2</v>
      </c>
      <c r="F1775" s="33" t="s">
        <v>3981</v>
      </c>
      <c r="G1775" s="14">
        <f>(VLOOKUP(D1775,'[1]BOM Info General'!$A:$L,12,0))*E1775</f>
        <v>130.12</v>
      </c>
      <c r="H1775" s="34" t="s">
        <v>41</v>
      </c>
      <c r="I1775" s="34">
        <v>1</v>
      </c>
      <c r="J1775" s="34" t="s">
        <v>47</v>
      </c>
      <c r="K1775" s="15">
        <f>(VLOOKUP(H1775,'[1]BOM Info General'!$A:$L,12,0))*I1775</f>
        <v>27.18</v>
      </c>
      <c r="L1775" s="35" t="s">
        <v>69</v>
      </c>
      <c r="M1775" s="35">
        <v>1</v>
      </c>
      <c r="N1775" s="35" t="s">
        <v>66</v>
      </c>
      <c r="O1775" s="9">
        <f>(VLOOKUP(L1775,'[1]Simulation pricing per sub assy'!$D:$E,2,0))*M1775</f>
        <v>95.206400000000031</v>
      </c>
      <c r="P1775" s="36" t="s">
        <v>51</v>
      </c>
      <c r="Q1775" s="36">
        <v>8</v>
      </c>
      <c r="R1775" s="36" t="s">
        <v>17</v>
      </c>
      <c r="S1775" s="40">
        <f>(VLOOKUP(P1775,'[1]BOM Info General'!$A:$L,12,0))*Q1775</f>
        <v>21.2</v>
      </c>
      <c r="T1775" s="37" t="s">
        <v>28</v>
      </c>
      <c r="U1775" s="37">
        <v>1</v>
      </c>
      <c r="V1775" s="37" t="s">
        <v>29</v>
      </c>
      <c r="W1775" s="17">
        <f>(VLOOKUP(T1775,'[1]Simulation pricing per sub assy'!$D:$E,2,0))*U1775</f>
        <v>7</v>
      </c>
      <c r="X1775" s="32" t="s">
        <v>616</v>
      </c>
      <c r="Y1775" s="38">
        <v>1</v>
      </c>
      <c r="Z1775" s="38" t="s">
        <v>23</v>
      </c>
      <c r="AA1775" s="18">
        <f>(VLOOKUP(X1775,'[1]Simulation pricing per sub assy'!$D:$E,2,0))*Y1775</f>
        <v>4.4802908000000006</v>
      </c>
    </row>
    <row r="1776" spans="1:27" x14ac:dyDescent="0.35">
      <c r="A1776" s="27" t="s">
        <v>3002</v>
      </c>
      <c r="B1776" s="27" t="s">
        <v>3003</v>
      </c>
      <c r="C1776" s="42">
        <f t="shared" si="27"/>
        <v>293.14669079999999</v>
      </c>
      <c r="D1776" s="33" t="s">
        <v>3540</v>
      </c>
      <c r="E1776" s="33">
        <v>2</v>
      </c>
      <c r="F1776" s="33" t="s">
        <v>3981</v>
      </c>
      <c r="G1776" s="14">
        <f>(VLOOKUP(D1776,'[1]BOM Info General'!$A:$L,12,0))*E1776</f>
        <v>130.12</v>
      </c>
      <c r="H1776" s="34" t="s">
        <v>41</v>
      </c>
      <c r="I1776" s="34">
        <v>1</v>
      </c>
      <c r="J1776" s="34" t="s">
        <v>47</v>
      </c>
      <c r="K1776" s="15">
        <f>(VLOOKUP(H1776,'[1]BOM Info General'!$A:$L,12,0))*I1776</f>
        <v>27.18</v>
      </c>
      <c r="L1776" s="35" t="s">
        <v>65</v>
      </c>
      <c r="M1776" s="35">
        <v>1</v>
      </c>
      <c r="N1776" s="35" t="s">
        <v>68</v>
      </c>
      <c r="O1776" s="9">
        <f>(VLOOKUP(L1776,'[1]Simulation pricing per sub assy'!$D:$E,2,0))*M1776</f>
        <v>103.16640000000004</v>
      </c>
      <c r="P1776" s="36" t="s">
        <v>51</v>
      </c>
      <c r="Q1776" s="36">
        <v>8</v>
      </c>
      <c r="R1776" s="36" t="s">
        <v>17</v>
      </c>
      <c r="S1776" s="40">
        <f>(VLOOKUP(P1776,'[1]BOM Info General'!$A:$L,12,0))*Q1776</f>
        <v>21.2</v>
      </c>
      <c r="T1776" s="37" t="s">
        <v>28</v>
      </c>
      <c r="U1776" s="37">
        <v>1</v>
      </c>
      <c r="V1776" s="37" t="s">
        <v>29</v>
      </c>
      <c r="W1776" s="17">
        <f>(VLOOKUP(T1776,'[1]Simulation pricing per sub assy'!$D:$E,2,0))*U1776</f>
        <v>7</v>
      </c>
      <c r="X1776" s="32" t="s">
        <v>616</v>
      </c>
      <c r="Y1776" s="38">
        <v>1</v>
      </c>
      <c r="Z1776" s="38" t="s">
        <v>23</v>
      </c>
      <c r="AA1776" s="18">
        <f>(VLOOKUP(X1776,'[1]Simulation pricing per sub assy'!$D:$E,2,0))*Y1776</f>
        <v>4.4802908000000006</v>
      </c>
    </row>
    <row r="1777" spans="1:27" x14ac:dyDescent="0.35">
      <c r="A1777" s="27" t="s">
        <v>3004</v>
      </c>
      <c r="B1777" s="27" t="s">
        <v>3005</v>
      </c>
      <c r="C1777" s="42">
        <f t="shared" si="27"/>
        <v>284.07669079999999</v>
      </c>
      <c r="D1777" s="33" t="s">
        <v>3540</v>
      </c>
      <c r="E1777" s="33">
        <v>2</v>
      </c>
      <c r="F1777" s="33" t="s">
        <v>3981</v>
      </c>
      <c r="G1777" s="14">
        <f>(VLOOKUP(D1777,'[1]BOM Info General'!$A:$L,12,0))*E1777</f>
        <v>130.12</v>
      </c>
      <c r="H1777" s="34" t="s">
        <v>41</v>
      </c>
      <c r="I1777" s="34">
        <v>1</v>
      </c>
      <c r="J1777" s="34" t="s">
        <v>47</v>
      </c>
      <c r="K1777" s="15">
        <f>(VLOOKUP(H1777,'[1]BOM Info General'!$A:$L,12,0))*I1777</f>
        <v>27.18</v>
      </c>
      <c r="L1777" s="35" t="s">
        <v>524</v>
      </c>
      <c r="M1777" s="35">
        <v>1</v>
      </c>
      <c r="N1777" s="35" t="s">
        <v>70</v>
      </c>
      <c r="O1777" s="9">
        <f>(VLOOKUP(L1777,'[1]Simulation pricing per sub assy'!$D:$E,2,0))*M1777</f>
        <v>94.656400000000033</v>
      </c>
      <c r="P1777" s="36" t="s">
        <v>52</v>
      </c>
      <c r="Q1777" s="36">
        <v>8</v>
      </c>
      <c r="R1777" s="36" t="s">
        <v>18</v>
      </c>
      <c r="S1777" s="40">
        <f>(VLOOKUP(P1777,'[1]BOM Info General'!$A:$L,12,0))*Q1777</f>
        <v>21.2</v>
      </c>
      <c r="T1777" s="37" t="s">
        <v>24</v>
      </c>
      <c r="U1777" s="37">
        <v>1</v>
      </c>
      <c r="V1777" s="37" t="s">
        <v>25</v>
      </c>
      <c r="W1777" s="17">
        <f>(VLOOKUP(T1777,'[1]Simulation pricing per sub assy'!$D:$E,2,0))*U1777</f>
        <v>6.44</v>
      </c>
      <c r="X1777" s="32" t="s">
        <v>616</v>
      </c>
      <c r="Y1777" s="38">
        <v>1</v>
      </c>
      <c r="Z1777" s="38" t="s">
        <v>23</v>
      </c>
      <c r="AA1777" s="18">
        <f>(VLOOKUP(X1777,'[1]Simulation pricing per sub assy'!$D:$E,2,0))*Y1777</f>
        <v>4.4802908000000006</v>
      </c>
    </row>
    <row r="1778" spans="1:27" x14ac:dyDescent="0.35">
      <c r="A1778" s="27" t="s">
        <v>3006</v>
      </c>
      <c r="B1778" s="27" t="s">
        <v>3007</v>
      </c>
      <c r="C1778" s="42">
        <f t="shared" si="27"/>
        <v>285.17669080000002</v>
      </c>
      <c r="D1778" s="33" t="s">
        <v>3540</v>
      </c>
      <c r="E1778" s="33">
        <v>2</v>
      </c>
      <c r="F1778" s="33" t="s">
        <v>3981</v>
      </c>
      <c r="G1778" s="14">
        <f>(VLOOKUP(D1778,'[1]BOM Info General'!$A:$L,12,0))*E1778</f>
        <v>130.12</v>
      </c>
      <c r="H1778" s="34" t="s">
        <v>41</v>
      </c>
      <c r="I1778" s="34">
        <v>1</v>
      </c>
      <c r="J1778" s="34" t="s">
        <v>47</v>
      </c>
      <c r="K1778" s="15">
        <f>(VLOOKUP(H1778,'[1]BOM Info General'!$A:$L,12,0))*I1778</f>
        <v>27.18</v>
      </c>
      <c r="L1778" s="35" t="s">
        <v>67</v>
      </c>
      <c r="M1778" s="35">
        <v>1</v>
      </c>
      <c r="N1778" s="35" t="s">
        <v>64</v>
      </c>
      <c r="O1778" s="9">
        <f>(VLOOKUP(L1778,'[1]Simulation pricing per sub assy'!$D:$E,2,0))*M1778</f>
        <v>95.756400000000042</v>
      </c>
      <c r="P1778" s="36" t="s">
        <v>52</v>
      </c>
      <c r="Q1778" s="36">
        <v>8</v>
      </c>
      <c r="R1778" s="36" t="s">
        <v>18</v>
      </c>
      <c r="S1778" s="40">
        <f>(VLOOKUP(P1778,'[1]BOM Info General'!$A:$L,12,0))*Q1778</f>
        <v>21.2</v>
      </c>
      <c r="T1778" s="37" t="s">
        <v>24</v>
      </c>
      <c r="U1778" s="31">
        <v>1</v>
      </c>
      <c r="V1778" s="37" t="s">
        <v>25</v>
      </c>
      <c r="W1778" s="17">
        <f>(VLOOKUP(T1778,'[1]Simulation pricing per sub assy'!$D:$E,2,0))*U1778</f>
        <v>6.44</v>
      </c>
      <c r="X1778" s="38" t="s">
        <v>616</v>
      </c>
      <c r="Y1778" s="38">
        <v>1</v>
      </c>
      <c r="Z1778" s="38" t="s">
        <v>23</v>
      </c>
      <c r="AA1778" s="18">
        <f>(VLOOKUP(X1778,'[1]Simulation pricing per sub assy'!$D:$E,2,0))*Y1778</f>
        <v>4.4802908000000006</v>
      </c>
    </row>
    <row r="1779" spans="1:27" x14ac:dyDescent="0.35">
      <c r="A1779" s="27" t="s">
        <v>3008</v>
      </c>
      <c r="B1779" s="27" t="s">
        <v>3009</v>
      </c>
      <c r="C1779" s="42">
        <f t="shared" si="27"/>
        <v>285.17669080000002</v>
      </c>
      <c r="D1779" s="33" t="s">
        <v>3540</v>
      </c>
      <c r="E1779" s="33">
        <v>2</v>
      </c>
      <c r="F1779" s="33" t="s">
        <v>3981</v>
      </c>
      <c r="G1779" s="14">
        <f>(VLOOKUP(D1779,'[1]BOM Info General'!$A:$L,12,0))*E1779</f>
        <v>130.12</v>
      </c>
      <c r="H1779" s="34" t="s">
        <v>41</v>
      </c>
      <c r="I1779" s="34">
        <v>1</v>
      </c>
      <c r="J1779" s="34" t="s">
        <v>47</v>
      </c>
      <c r="K1779" s="15">
        <f>(VLOOKUP(H1779,'[1]BOM Info General'!$A:$L,12,0))*I1779</f>
        <v>27.18</v>
      </c>
      <c r="L1779" s="35" t="s">
        <v>63</v>
      </c>
      <c r="M1779" s="35">
        <v>1</v>
      </c>
      <c r="N1779" s="35" t="s">
        <v>62</v>
      </c>
      <c r="O1779" s="9">
        <f>(VLOOKUP(L1779,'[1]Simulation pricing per sub assy'!$D:$E,2,0))*M1779</f>
        <v>95.756400000000042</v>
      </c>
      <c r="P1779" s="36" t="s">
        <v>52</v>
      </c>
      <c r="Q1779" s="36">
        <v>8</v>
      </c>
      <c r="R1779" s="36" t="s">
        <v>18</v>
      </c>
      <c r="S1779" s="40">
        <f>(VLOOKUP(P1779,'[1]BOM Info General'!$A:$L,12,0))*Q1779</f>
        <v>21.2</v>
      </c>
      <c r="T1779" s="37" t="s">
        <v>24</v>
      </c>
      <c r="U1779" s="37">
        <v>1</v>
      </c>
      <c r="V1779" s="37" t="s">
        <v>25</v>
      </c>
      <c r="W1779" s="17">
        <f>(VLOOKUP(T1779,'[1]Simulation pricing per sub assy'!$D:$E,2,0))*U1779</f>
        <v>6.44</v>
      </c>
      <c r="X1779" s="32" t="s">
        <v>616</v>
      </c>
      <c r="Y1779" s="38">
        <v>1</v>
      </c>
      <c r="Z1779" s="38" t="s">
        <v>23</v>
      </c>
      <c r="AA1779" s="18">
        <f>(VLOOKUP(X1779,'[1]Simulation pricing per sub assy'!$D:$E,2,0))*Y1779</f>
        <v>4.4802908000000006</v>
      </c>
    </row>
    <row r="1780" spans="1:27" x14ac:dyDescent="0.35">
      <c r="A1780" s="27" t="s">
        <v>3010</v>
      </c>
      <c r="B1780" s="27" t="s">
        <v>3011</v>
      </c>
      <c r="C1780" s="42">
        <f t="shared" si="27"/>
        <v>284.62669080000001</v>
      </c>
      <c r="D1780" s="33" t="s">
        <v>3540</v>
      </c>
      <c r="E1780" s="33">
        <v>2</v>
      </c>
      <c r="F1780" s="33" t="s">
        <v>3981</v>
      </c>
      <c r="G1780" s="14">
        <f>(VLOOKUP(D1780,'[1]BOM Info General'!$A:$L,12,0))*E1780</f>
        <v>130.12</v>
      </c>
      <c r="H1780" s="34" t="s">
        <v>41</v>
      </c>
      <c r="I1780" s="34">
        <v>1</v>
      </c>
      <c r="J1780" s="34" t="s">
        <v>47</v>
      </c>
      <c r="K1780" s="15">
        <f>(VLOOKUP(H1780,'[1]BOM Info General'!$A:$L,12,0))*I1780</f>
        <v>27.18</v>
      </c>
      <c r="L1780" s="35" t="s">
        <v>69</v>
      </c>
      <c r="M1780" s="35">
        <v>1</v>
      </c>
      <c r="N1780" s="35" t="s">
        <v>66</v>
      </c>
      <c r="O1780" s="9">
        <f>(VLOOKUP(L1780,'[1]Simulation pricing per sub assy'!$D:$E,2,0))*M1780</f>
        <v>95.206400000000031</v>
      </c>
      <c r="P1780" s="36" t="s">
        <v>52</v>
      </c>
      <c r="Q1780" s="36">
        <v>8</v>
      </c>
      <c r="R1780" s="36" t="s">
        <v>18</v>
      </c>
      <c r="S1780" s="40">
        <f>(VLOOKUP(P1780,'[1]BOM Info General'!$A:$L,12,0))*Q1780</f>
        <v>21.2</v>
      </c>
      <c r="T1780" s="37" t="s">
        <v>24</v>
      </c>
      <c r="U1780" s="37">
        <v>1</v>
      </c>
      <c r="V1780" s="37" t="s">
        <v>25</v>
      </c>
      <c r="W1780" s="17">
        <f>(VLOOKUP(T1780,'[1]Simulation pricing per sub assy'!$D:$E,2,0))*U1780</f>
        <v>6.44</v>
      </c>
      <c r="X1780" s="32" t="s">
        <v>616</v>
      </c>
      <c r="Y1780" s="38">
        <v>1</v>
      </c>
      <c r="Z1780" s="38" t="s">
        <v>23</v>
      </c>
      <c r="AA1780" s="18">
        <f>(VLOOKUP(X1780,'[1]Simulation pricing per sub assy'!$D:$E,2,0))*Y1780</f>
        <v>4.4802908000000006</v>
      </c>
    </row>
    <row r="1781" spans="1:27" x14ac:dyDescent="0.35">
      <c r="A1781" s="27" t="s">
        <v>3012</v>
      </c>
      <c r="B1781" s="27" t="s">
        <v>3013</v>
      </c>
      <c r="C1781" s="42">
        <f t="shared" si="27"/>
        <v>292.58669079999999</v>
      </c>
      <c r="D1781" s="33" t="s">
        <v>3540</v>
      </c>
      <c r="E1781" s="33">
        <v>2</v>
      </c>
      <c r="F1781" s="33" t="s">
        <v>3981</v>
      </c>
      <c r="G1781" s="14">
        <f>(VLOOKUP(D1781,'[1]BOM Info General'!$A:$L,12,0))*E1781</f>
        <v>130.12</v>
      </c>
      <c r="H1781" s="34" t="s">
        <v>41</v>
      </c>
      <c r="I1781" s="34">
        <v>1</v>
      </c>
      <c r="J1781" s="34" t="s">
        <v>47</v>
      </c>
      <c r="K1781" s="15">
        <f>(VLOOKUP(H1781,'[1]BOM Info General'!$A:$L,12,0))*I1781</f>
        <v>27.18</v>
      </c>
      <c r="L1781" s="35" t="s">
        <v>65</v>
      </c>
      <c r="M1781" s="35">
        <v>1</v>
      </c>
      <c r="N1781" s="35" t="s">
        <v>68</v>
      </c>
      <c r="O1781" s="9">
        <f>(VLOOKUP(L1781,'[1]Simulation pricing per sub assy'!$D:$E,2,0))*M1781</f>
        <v>103.16640000000004</v>
      </c>
      <c r="P1781" s="36" t="s">
        <v>52</v>
      </c>
      <c r="Q1781" s="36">
        <v>8</v>
      </c>
      <c r="R1781" s="36" t="s">
        <v>18</v>
      </c>
      <c r="S1781" s="40">
        <f>(VLOOKUP(P1781,'[1]BOM Info General'!$A:$L,12,0))*Q1781</f>
        <v>21.2</v>
      </c>
      <c r="T1781" s="37" t="s">
        <v>24</v>
      </c>
      <c r="U1781" s="37">
        <v>1</v>
      </c>
      <c r="V1781" s="37" t="s">
        <v>25</v>
      </c>
      <c r="W1781" s="17">
        <f>(VLOOKUP(T1781,'[1]Simulation pricing per sub assy'!$D:$E,2,0))*U1781</f>
        <v>6.44</v>
      </c>
      <c r="X1781" s="32" t="s">
        <v>616</v>
      </c>
      <c r="Y1781" s="38">
        <v>1</v>
      </c>
      <c r="Z1781" s="38" t="s">
        <v>23</v>
      </c>
      <c r="AA1781" s="18">
        <f>(VLOOKUP(X1781,'[1]Simulation pricing per sub assy'!$D:$E,2,0))*Y1781</f>
        <v>4.4802908000000006</v>
      </c>
    </row>
    <row r="1782" spans="1:27" x14ac:dyDescent="0.35">
      <c r="A1782" s="27" t="s">
        <v>3014</v>
      </c>
      <c r="B1782" s="27" t="s">
        <v>3015</v>
      </c>
      <c r="C1782" s="42">
        <f t="shared" si="27"/>
        <v>284.67669080000002</v>
      </c>
      <c r="D1782" s="33" t="s">
        <v>3540</v>
      </c>
      <c r="E1782" s="33">
        <v>2</v>
      </c>
      <c r="F1782" s="33" t="s">
        <v>3981</v>
      </c>
      <c r="G1782" s="14">
        <f>(VLOOKUP(D1782,'[1]BOM Info General'!$A:$L,12,0))*E1782</f>
        <v>130.12</v>
      </c>
      <c r="H1782" s="34" t="s">
        <v>41</v>
      </c>
      <c r="I1782" s="34">
        <v>1</v>
      </c>
      <c r="J1782" s="34" t="s">
        <v>47</v>
      </c>
      <c r="K1782" s="15">
        <f>(VLOOKUP(H1782,'[1]BOM Info General'!$A:$L,12,0))*I1782</f>
        <v>27.18</v>
      </c>
      <c r="L1782" s="35" t="s">
        <v>524</v>
      </c>
      <c r="M1782" s="35">
        <v>1</v>
      </c>
      <c r="N1782" s="35" t="s">
        <v>70</v>
      </c>
      <c r="O1782" s="9">
        <f>(VLOOKUP(L1782,'[1]Simulation pricing per sub assy'!$D:$E,2,0))*M1782</f>
        <v>94.656400000000033</v>
      </c>
      <c r="P1782" s="36" t="s">
        <v>52</v>
      </c>
      <c r="Q1782" s="36">
        <v>8</v>
      </c>
      <c r="R1782" s="36" t="s">
        <v>18</v>
      </c>
      <c r="S1782" s="40">
        <f>(VLOOKUP(P1782,'[1]BOM Info General'!$A:$L,12,0))*Q1782</f>
        <v>21.2</v>
      </c>
      <c r="T1782" s="37" t="s">
        <v>26</v>
      </c>
      <c r="U1782" s="37">
        <v>1</v>
      </c>
      <c r="V1782" s="37" t="s">
        <v>27</v>
      </c>
      <c r="W1782" s="17">
        <f>(VLOOKUP(T1782,'[1]Simulation pricing per sub assy'!$D:$E,2,0))*U1782</f>
        <v>7.04</v>
      </c>
      <c r="X1782" s="32" t="s">
        <v>616</v>
      </c>
      <c r="Y1782" s="38">
        <v>1</v>
      </c>
      <c r="Z1782" s="38" t="s">
        <v>23</v>
      </c>
      <c r="AA1782" s="18">
        <f>(VLOOKUP(X1782,'[1]Simulation pricing per sub assy'!$D:$E,2,0))*Y1782</f>
        <v>4.4802908000000006</v>
      </c>
    </row>
    <row r="1783" spans="1:27" x14ac:dyDescent="0.35">
      <c r="A1783" s="27" t="s">
        <v>3016</v>
      </c>
      <c r="B1783" s="27" t="s">
        <v>3017</v>
      </c>
      <c r="C1783" s="42">
        <f t="shared" si="27"/>
        <v>285.77669080000004</v>
      </c>
      <c r="D1783" s="33" t="s">
        <v>3540</v>
      </c>
      <c r="E1783" s="33">
        <v>2</v>
      </c>
      <c r="F1783" s="33" t="s">
        <v>3981</v>
      </c>
      <c r="G1783" s="14">
        <f>(VLOOKUP(D1783,'[1]BOM Info General'!$A:$L,12,0))*E1783</f>
        <v>130.12</v>
      </c>
      <c r="H1783" s="34" t="s">
        <v>41</v>
      </c>
      <c r="I1783" s="34">
        <v>1</v>
      </c>
      <c r="J1783" s="34" t="s">
        <v>47</v>
      </c>
      <c r="K1783" s="15">
        <f>(VLOOKUP(H1783,'[1]BOM Info General'!$A:$L,12,0))*I1783</f>
        <v>27.18</v>
      </c>
      <c r="L1783" s="35" t="s">
        <v>67</v>
      </c>
      <c r="M1783" s="35">
        <v>1</v>
      </c>
      <c r="N1783" s="35" t="s">
        <v>64</v>
      </c>
      <c r="O1783" s="9">
        <f>(VLOOKUP(L1783,'[1]Simulation pricing per sub assy'!$D:$E,2,0))*M1783</f>
        <v>95.756400000000042</v>
      </c>
      <c r="P1783" s="36" t="s">
        <v>52</v>
      </c>
      <c r="Q1783" s="36">
        <v>8</v>
      </c>
      <c r="R1783" s="36" t="s">
        <v>18</v>
      </c>
      <c r="S1783" s="40">
        <f>(VLOOKUP(P1783,'[1]BOM Info General'!$A:$L,12,0))*Q1783</f>
        <v>21.2</v>
      </c>
      <c r="T1783" s="37" t="s">
        <v>26</v>
      </c>
      <c r="U1783" s="37">
        <v>1</v>
      </c>
      <c r="V1783" s="37" t="s">
        <v>27</v>
      </c>
      <c r="W1783" s="17">
        <f>(VLOOKUP(T1783,'[1]Simulation pricing per sub assy'!$D:$E,2,0))*U1783</f>
        <v>7.04</v>
      </c>
      <c r="X1783" s="32" t="s">
        <v>616</v>
      </c>
      <c r="Y1783" s="38">
        <v>1</v>
      </c>
      <c r="Z1783" s="38" t="s">
        <v>23</v>
      </c>
      <c r="AA1783" s="18">
        <f>(VLOOKUP(X1783,'[1]Simulation pricing per sub assy'!$D:$E,2,0))*Y1783</f>
        <v>4.4802908000000006</v>
      </c>
    </row>
    <row r="1784" spans="1:27" x14ac:dyDescent="0.35">
      <c r="A1784" s="27" t="s">
        <v>3018</v>
      </c>
      <c r="B1784" s="27" t="s">
        <v>3019</v>
      </c>
      <c r="C1784" s="42">
        <f t="shared" si="27"/>
        <v>285.77669080000004</v>
      </c>
      <c r="D1784" s="33" t="s">
        <v>3540</v>
      </c>
      <c r="E1784" s="33">
        <v>2</v>
      </c>
      <c r="F1784" s="33" t="s">
        <v>3981</v>
      </c>
      <c r="G1784" s="14">
        <f>(VLOOKUP(D1784,'[1]BOM Info General'!$A:$L,12,0))*E1784</f>
        <v>130.12</v>
      </c>
      <c r="H1784" s="34" t="s">
        <v>41</v>
      </c>
      <c r="I1784" s="34">
        <v>1</v>
      </c>
      <c r="J1784" s="34" t="s">
        <v>47</v>
      </c>
      <c r="K1784" s="15">
        <f>(VLOOKUP(H1784,'[1]BOM Info General'!$A:$L,12,0))*I1784</f>
        <v>27.18</v>
      </c>
      <c r="L1784" s="35" t="s">
        <v>63</v>
      </c>
      <c r="M1784" s="35">
        <v>1</v>
      </c>
      <c r="N1784" s="35" t="s">
        <v>62</v>
      </c>
      <c r="O1784" s="9">
        <f>(VLOOKUP(L1784,'[1]Simulation pricing per sub assy'!$D:$E,2,0))*M1784</f>
        <v>95.756400000000042</v>
      </c>
      <c r="P1784" s="36" t="s">
        <v>52</v>
      </c>
      <c r="Q1784" s="36">
        <v>8</v>
      </c>
      <c r="R1784" s="36" t="s">
        <v>18</v>
      </c>
      <c r="S1784" s="40">
        <f>(VLOOKUP(P1784,'[1]BOM Info General'!$A:$L,12,0))*Q1784</f>
        <v>21.2</v>
      </c>
      <c r="T1784" s="37" t="s">
        <v>26</v>
      </c>
      <c r="U1784" s="37">
        <v>1</v>
      </c>
      <c r="V1784" s="37" t="s">
        <v>27</v>
      </c>
      <c r="W1784" s="17">
        <f>(VLOOKUP(T1784,'[1]Simulation pricing per sub assy'!$D:$E,2,0))*U1784</f>
        <v>7.04</v>
      </c>
      <c r="X1784" s="32" t="s">
        <v>616</v>
      </c>
      <c r="Y1784" s="38">
        <v>1</v>
      </c>
      <c r="Z1784" s="38" t="s">
        <v>23</v>
      </c>
      <c r="AA1784" s="18">
        <f>(VLOOKUP(X1784,'[1]Simulation pricing per sub assy'!$D:$E,2,0))*Y1784</f>
        <v>4.4802908000000006</v>
      </c>
    </row>
    <row r="1785" spans="1:27" x14ac:dyDescent="0.35">
      <c r="A1785" s="27" t="s">
        <v>3020</v>
      </c>
      <c r="B1785" s="27" t="s">
        <v>3021</v>
      </c>
      <c r="C1785" s="42">
        <f t="shared" si="27"/>
        <v>285.22669080000003</v>
      </c>
      <c r="D1785" s="33" t="s">
        <v>3540</v>
      </c>
      <c r="E1785" s="33">
        <v>2</v>
      </c>
      <c r="F1785" s="33" t="s">
        <v>3981</v>
      </c>
      <c r="G1785" s="14">
        <f>(VLOOKUP(D1785,'[1]BOM Info General'!$A:$L,12,0))*E1785</f>
        <v>130.12</v>
      </c>
      <c r="H1785" s="34" t="s">
        <v>41</v>
      </c>
      <c r="I1785" s="34">
        <v>1</v>
      </c>
      <c r="J1785" s="34" t="s">
        <v>47</v>
      </c>
      <c r="K1785" s="15">
        <f>(VLOOKUP(H1785,'[1]BOM Info General'!$A:$L,12,0))*I1785</f>
        <v>27.18</v>
      </c>
      <c r="L1785" s="35" t="s">
        <v>69</v>
      </c>
      <c r="M1785" s="35">
        <v>1</v>
      </c>
      <c r="N1785" s="35" t="s">
        <v>66</v>
      </c>
      <c r="O1785" s="9">
        <f>(VLOOKUP(L1785,'[1]Simulation pricing per sub assy'!$D:$E,2,0))*M1785</f>
        <v>95.206400000000031</v>
      </c>
      <c r="P1785" s="36" t="s">
        <v>52</v>
      </c>
      <c r="Q1785" s="36">
        <v>8</v>
      </c>
      <c r="R1785" s="36" t="s">
        <v>18</v>
      </c>
      <c r="S1785" s="40">
        <f>(VLOOKUP(P1785,'[1]BOM Info General'!$A:$L,12,0))*Q1785</f>
        <v>21.2</v>
      </c>
      <c r="T1785" s="37" t="s">
        <v>26</v>
      </c>
      <c r="U1785" s="37">
        <v>1</v>
      </c>
      <c r="V1785" s="37" t="s">
        <v>27</v>
      </c>
      <c r="W1785" s="17">
        <f>(VLOOKUP(T1785,'[1]Simulation pricing per sub assy'!$D:$E,2,0))*U1785</f>
        <v>7.04</v>
      </c>
      <c r="X1785" s="32" t="s">
        <v>616</v>
      </c>
      <c r="Y1785" s="38">
        <v>1</v>
      </c>
      <c r="Z1785" s="38" t="s">
        <v>23</v>
      </c>
      <c r="AA1785" s="18">
        <f>(VLOOKUP(X1785,'[1]Simulation pricing per sub assy'!$D:$E,2,0))*Y1785</f>
        <v>4.4802908000000006</v>
      </c>
    </row>
    <row r="1786" spans="1:27" x14ac:dyDescent="0.35">
      <c r="A1786" s="27" t="s">
        <v>3022</v>
      </c>
      <c r="B1786" s="27" t="s">
        <v>3023</v>
      </c>
      <c r="C1786" s="42">
        <f t="shared" si="27"/>
        <v>293.18669080000001</v>
      </c>
      <c r="D1786" s="33" t="s">
        <v>3540</v>
      </c>
      <c r="E1786" s="33">
        <v>2</v>
      </c>
      <c r="F1786" s="33" t="s">
        <v>3981</v>
      </c>
      <c r="G1786" s="14">
        <f>(VLOOKUP(D1786,'[1]BOM Info General'!$A:$L,12,0))*E1786</f>
        <v>130.12</v>
      </c>
      <c r="H1786" s="34" t="s">
        <v>41</v>
      </c>
      <c r="I1786" s="34">
        <v>1</v>
      </c>
      <c r="J1786" s="34" t="s">
        <v>47</v>
      </c>
      <c r="K1786" s="15">
        <f>(VLOOKUP(H1786,'[1]BOM Info General'!$A:$L,12,0))*I1786</f>
        <v>27.18</v>
      </c>
      <c r="L1786" s="35" t="s">
        <v>65</v>
      </c>
      <c r="M1786" s="35">
        <v>1</v>
      </c>
      <c r="N1786" s="35" t="s">
        <v>68</v>
      </c>
      <c r="O1786" s="9">
        <f>(VLOOKUP(L1786,'[1]Simulation pricing per sub assy'!$D:$E,2,0))*M1786</f>
        <v>103.16640000000004</v>
      </c>
      <c r="P1786" s="36" t="s">
        <v>52</v>
      </c>
      <c r="Q1786" s="36">
        <v>8</v>
      </c>
      <c r="R1786" s="36" t="s">
        <v>18</v>
      </c>
      <c r="S1786" s="40">
        <f>(VLOOKUP(P1786,'[1]BOM Info General'!$A:$L,12,0))*Q1786</f>
        <v>21.2</v>
      </c>
      <c r="T1786" s="37" t="s">
        <v>26</v>
      </c>
      <c r="U1786" s="37">
        <v>1</v>
      </c>
      <c r="V1786" s="37" t="s">
        <v>27</v>
      </c>
      <c r="W1786" s="17">
        <f>(VLOOKUP(T1786,'[1]Simulation pricing per sub assy'!$D:$E,2,0))*U1786</f>
        <v>7.04</v>
      </c>
      <c r="X1786" s="32" t="s">
        <v>616</v>
      </c>
      <c r="Y1786" s="38">
        <v>1</v>
      </c>
      <c r="Z1786" s="38" t="s">
        <v>23</v>
      </c>
      <c r="AA1786" s="18">
        <f>(VLOOKUP(X1786,'[1]Simulation pricing per sub assy'!$D:$E,2,0))*Y1786</f>
        <v>4.4802908000000006</v>
      </c>
    </row>
    <row r="1787" spans="1:27" x14ac:dyDescent="0.35">
      <c r="A1787" s="27" t="s">
        <v>3024</v>
      </c>
      <c r="B1787" s="27" t="s">
        <v>3025</v>
      </c>
      <c r="C1787" s="42">
        <f t="shared" si="27"/>
        <v>284.6366908</v>
      </c>
      <c r="D1787" s="33" t="s">
        <v>3540</v>
      </c>
      <c r="E1787" s="33">
        <v>2</v>
      </c>
      <c r="F1787" s="33" t="s">
        <v>3981</v>
      </c>
      <c r="G1787" s="14">
        <f>(VLOOKUP(D1787,'[1]BOM Info General'!$A:$L,12,0))*E1787</f>
        <v>130.12</v>
      </c>
      <c r="H1787" s="34" t="s">
        <v>41</v>
      </c>
      <c r="I1787" s="34">
        <v>1</v>
      </c>
      <c r="J1787" s="34" t="s">
        <v>47</v>
      </c>
      <c r="K1787" s="15">
        <f>(VLOOKUP(H1787,'[1]BOM Info General'!$A:$L,12,0))*I1787</f>
        <v>27.18</v>
      </c>
      <c r="L1787" s="35" t="s">
        <v>524</v>
      </c>
      <c r="M1787" s="35">
        <v>1</v>
      </c>
      <c r="N1787" s="35" t="s">
        <v>70</v>
      </c>
      <c r="O1787" s="9">
        <f>(VLOOKUP(L1787,'[1]Simulation pricing per sub assy'!$D:$E,2,0))*M1787</f>
        <v>94.656400000000033</v>
      </c>
      <c r="P1787" s="36" t="s">
        <v>52</v>
      </c>
      <c r="Q1787" s="36">
        <v>8</v>
      </c>
      <c r="R1787" s="36" t="s">
        <v>18</v>
      </c>
      <c r="S1787" s="40">
        <f>(VLOOKUP(P1787,'[1]BOM Info General'!$A:$L,12,0))*Q1787</f>
        <v>21.2</v>
      </c>
      <c r="T1787" s="37" t="s">
        <v>28</v>
      </c>
      <c r="U1787" s="37">
        <v>1</v>
      </c>
      <c r="V1787" s="37" t="s">
        <v>29</v>
      </c>
      <c r="W1787" s="17">
        <f>(VLOOKUP(T1787,'[1]Simulation pricing per sub assy'!$D:$E,2,0))*U1787</f>
        <v>7</v>
      </c>
      <c r="X1787" s="32" t="s">
        <v>616</v>
      </c>
      <c r="Y1787" s="38">
        <v>1</v>
      </c>
      <c r="Z1787" s="38" t="s">
        <v>23</v>
      </c>
      <c r="AA1787" s="18">
        <f>(VLOOKUP(X1787,'[1]Simulation pricing per sub assy'!$D:$E,2,0))*Y1787</f>
        <v>4.4802908000000006</v>
      </c>
    </row>
    <row r="1788" spans="1:27" x14ac:dyDescent="0.35">
      <c r="A1788" s="27" t="s">
        <v>3026</v>
      </c>
      <c r="B1788" s="27" t="s">
        <v>3027</v>
      </c>
      <c r="C1788" s="42">
        <f t="shared" si="27"/>
        <v>285.73669080000002</v>
      </c>
      <c r="D1788" s="33" t="s">
        <v>3540</v>
      </c>
      <c r="E1788" s="33">
        <v>2</v>
      </c>
      <c r="F1788" s="33" t="s">
        <v>3981</v>
      </c>
      <c r="G1788" s="14">
        <f>(VLOOKUP(D1788,'[1]BOM Info General'!$A:$L,12,0))*E1788</f>
        <v>130.12</v>
      </c>
      <c r="H1788" s="34" t="s">
        <v>41</v>
      </c>
      <c r="I1788" s="34">
        <v>1</v>
      </c>
      <c r="J1788" s="34" t="s">
        <v>47</v>
      </c>
      <c r="K1788" s="15">
        <f>(VLOOKUP(H1788,'[1]BOM Info General'!$A:$L,12,0))*I1788</f>
        <v>27.18</v>
      </c>
      <c r="L1788" s="35" t="s">
        <v>67</v>
      </c>
      <c r="M1788" s="35">
        <v>1</v>
      </c>
      <c r="N1788" s="35" t="s">
        <v>64</v>
      </c>
      <c r="O1788" s="9">
        <f>(VLOOKUP(L1788,'[1]Simulation pricing per sub assy'!$D:$E,2,0))*M1788</f>
        <v>95.756400000000042</v>
      </c>
      <c r="P1788" s="36" t="s">
        <v>52</v>
      </c>
      <c r="Q1788" s="36">
        <v>8</v>
      </c>
      <c r="R1788" s="36" t="s">
        <v>18</v>
      </c>
      <c r="S1788" s="40">
        <f>(VLOOKUP(P1788,'[1]BOM Info General'!$A:$L,12,0))*Q1788</f>
        <v>21.2</v>
      </c>
      <c r="T1788" s="37" t="s">
        <v>28</v>
      </c>
      <c r="U1788" s="37">
        <v>1</v>
      </c>
      <c r="V1788" s="37" t="s">
        <v>29</v>
      </c>
      <c r="W1788" s="17">
        <f>(VLOOKUP(T1788,'[1]Simulation pricing per sub assy'!$D:$E,2,0))*U1788</f>
        <v>7</v>
      </c>
      <c r="X1788" s="32" t="s">
        <v>616</v>
      </c>
      <c r="Y1788" s="38">
        <v>1</v>
      </c>
      <c r="Z1788" s="38" t="s">
        <v>23</v>
      </c>
      <c r="AA1788" s="18">
        <f>(VLOOKUP(X1788,'[1]Simulation pricing per sub assy'!$D:$E,2,0))*Y1788</f>
        <v>4.4802908000000006</v>
      </c>
    </row>
    <row r="1789" spans="1:27" x14ac:dyDescent="0.35">
      <c r="A1789" s="27" t="s">
        <v>3028</v>
      </c>
      <c r="B1789" s="27" t="s">
        <v>3029</v>
      </c>
      <c r="C1789" s="42">
        <f t="shared" si="27"/>
        <v>285.73669080000002</v>
      </c>
      <c r="D1789" s="33" t="s">
        <v>3540</v>
      </c>
      <c r="E1789" s="33">
        <v>2</v>
      </c>
      <c r="F1789" s="33" t="s">
        <v>3981</v>
      </c>
      <c r="G1789" s="14">
        <f>(VLOOKUP(D1789,'[1]BOM Info General'!$A:$L,12,0))*E1789</f>
        <v>130.12</v>
      </c>
      <c r="H1789" s="34" t="s">
        <v>41</v>
      </c>
      <c r="I1789" s="34">
        <v>1</v>
      </c>
      <c r="J1789" s="34" t="s">
        <v>47</v>
      </c>
      <c r="K1789" s="15">
        <f>(VLOOKUP(H1789,'[1]BOM Info General'!$A:$L,12,0))*I1789</f>
        <v>27.18</v>
      </c>
      <c r="L1789" s="35" t="s">
        <v>63</v>
      </c>
      <c r="M1789" s="35">
        <v>1</v>
      </c>
      <c r="N1789" s="35" t="s">
        <v>62</v>
      </c>
      <c r="O1789" s="9">
        <f>(VLOOKUP(L1789,'[1]Simulation pricing per sub assy'!$D:$E,2,0))*M1789</f>
        <v>95.756400000000042</v>
      </c>
      <c r="P1789" s="36" t="s">
        <v>52</v>
      </c>
      <c r="Q1789" s="36">
        <v>8</v>
      </c>
      <c r="R1789" s="36" t="s">
        <v>18</v>
      </c>
      <c r="S1789" s="40">
        <f>(VLOOKUP(P1789,'[1]BOM Info General'!$A:$L,12,0))*Q1789</f>
        <v>21.2</v>
      </c>
      <c r="T1789" s="37" t="s">
        <v>28</v>
      </c>
      <c r="U1789" s="37">
        <v>1</v>
      </c>
      <c r="V1789" s="37" t="s">
        <v>29</v>
      </c>
      <c r="W1789" s="17">
        <f>(VLOOKUP(T1789,'[1]Simulation pricing per sub assy'!$D:$E,2,0))*U1789</f>
        <v>7</v>
      </c>
      <c r="X1789" s="32" t="s">
        <v>616</v>
      </c>
      <c r="Y1789" s="38">
        <v>1</v>
      </c>
      <c r="Z1789" s="38" t="s">
        <v>23</v>
      </c>
      <c r="AA1789" s="18">
        <f>(VLOOKUP(X1789,'[1]Simulation pricing per sub assy'!$D:$E,2,0))*Y1789</f>
        <v>4.4802908000000006</v>
      </c>
    </row>
    <row r="1790" spans="1:27" x14ac:dyDescent="0.35">
      <c r="A1790" s="27" t="s">
        <v>3030</v>
      </c>
      <c r="B1790" s="27" t="s">
        <v>3031</v>
      </c>
      <c r="C1790" s="42">
        <f t="shared" si="27"/>
        <v>285.18669080000001</v>
      </c>
      <c r="D1790" s="33" t="s">
        <v>3540</v>
      </c>
      <c r="E1790" s="33">
        <v>2</v>
      </c>
      <c r="F1790" s="33" t="s">
        <v>3981</v>
      </c>
      <c r="G1790" s="14">
        <f>(VLOOKUP(D1790,'[1]BOM Info General'!$A:$L,12,0))*E1790</f>
        <v>130.12</v>
      </c>
      <c r="H1790" s="34" t="s">
        <v>41</v>
      </c>
      <c r="I1790" s="34">
        <v>1</v>
      </c>
      <c r="J1790" s="34" t="s">
        <v>47</v>
      </c>
      <c r="K1790" s="15">
        <f>(VLOOKUP(H1790,'[1]BOM Info General'!$A:$L,12,0))*I1790</f>
        <v>27.18</v>
      </c>
      <c r="L1790" s="35" t="s">
        <v>69</v>
      </c>
      <c r="M1790" s="35">
        <v>1</v>
      </c>
      <c r="N1790" s="35" t="s">
        <v>66</v>
      </c>
      <c r="O1790" s="9">
        <f>(VLOOKUP(L1790,'[1]Simulation pricing per sub assy'!$D:$E,2,0))*M1790</f>
        <v>95.206400000000031</v>
      </c>
      <c r="P1790" s="36" t="s">
        <v>52</v>
      </c>
      <c r="Q1790" s="36">
        <v>8</v>
      </c>
      <c r="R1790" s="36" t="s">
        <v>18</v>
      </c>
      <c r="S1790" s="40">
        <f>(VLOOKUP(P1790,'[1]BOM Info General'!$A:$L,12,0))*Q1790</f>
        <v>21.2</v>
      </c>
      <c r="T1790" s="37" t="s">
        <v>28</v>
      </c>
      <c r="U1790" s="37">
        <v>1</v>
      </c>
      <c r="V1790" s="37" t="s">
        <v>29</v>
      </c>
      <c r="W1790" s="17">
        <f>(VLOOKUP(T1790,'[1]Simulation pricing per sub assy'!$D:$E,2,0))*U1790</f>
        <v>7</v>
      </c>
      <c r="X1790" s="32" t="s">
        <v>616</v>
      </c>
      <c r="Y1790" s="38">
        <v>1</v>
      </c>
      <c r="Z1790" s="38" t="s">
        <v>23</v>
      </c>
      <c r="AA1790" s="18">
        <f>(VLOOKUP(X1790,'[1]Simulation pricing per sub assy'!$D:$E,2,0))*Y1790</f>
        <v>4.4802908000000006</v>
      </c>
    </row>
    <row r="1791" spans="1:27" x14ac:dyDescent="0.35">
      <c r="A1791" s="27" t="s">
        <v>3032</v>
      </c>
      <c r="B1791" s="27" t="s">
        <v>3033</v>
      </c>
      <c r="C1791" s="42">
        <f t="shared" si="27"/>
        <v>293.14669079999999</v>
      </c>
      <c r="D1791" s="33" t="s">
        <v>3540</v>
      </c>
      <c r="E1791" s="33">
        <v>2</v>
      </c>
      <c r="F1791" s="33" t="s">
        <v>3981</v>
      </c>
      <c r="G1791" s="14">
        <f>(VLOOKUP(D1791,'[1]BOM Info General'!$A:$L,12,0))*E1791</f>
        <v>130.12</v>
      </c>
      <c r="H1791" s="34" t="s">
        <v>41</v>
      </c>
      <c r="I1791" s="34">
        <v>1</v>
      </c>
      <c r="J1791" s="34" t="s">
        <v>47</v>
      </c>
      <c r="K1791" s="15">
        <f>(VLOOKUP(H1791,'[1]BOM Info General'!$A:$L,12,0))*I1791</f>
        <v>27.18</v>
      </c>
      <c r="L1791" s="35" t="s">
        <v>65</v>
      </c>
      <c r="M1791" s="35">
        <v>1</v>
      </c>
      <c r="N1791" s="35" t="s">
        <v>68</v>
      </c>
      <c r="O1791" s="9">
        <f>(VLOOKUP(L1791,'[1]Simulation pricing per sub assy'!$D:$E,2,0))*M1791</f>
        <v>103.16640000000004</v>
      </c>
      <c r="P1791" s="36" t="s">
        <v>52</v>
      </c>
      <c r="Q1791" s="36">
        <v>8</v>
      </c>
      <c r="R1791" s="36" t="s">
        <v>18</v>
      </c>
      <c r="S1791" s="40">
        <f>(VLOOKUP(P1791,'[1]BOM Info General'!$A:$L,12,0))*Q1791</f>
        <v>21.2</v>
      </c>
      <c r="T1791" s="37" t="s">
        <v>28</v>
      </c>
      <c r="U1791" s="37">
        <v>1</v>
      </c>
      <c r="V1791" s="37" t="s">
        <v>29</v>
      </c>
      <c r="W1791" s="17">
        <f>(VLOOKUP(T1791,'[1]Simulation pricing per sub assy'!$D:$E,2,0))*U1791</f>
        <v>7</v>
      </c>
      <c r="X1791" s="32" t="s">
        <v>616</v>
      </c>
      <c r="Y1791" s="38">
        <v>1</v>
      </c>
      <c r="Z1791" s="38" t="s">
        <v>23</v>
      </c>
      <c r="AA1791" s="18">
        <f>(VLOOKUP(X1791,'[1]Simulation pricing per sub assy'!$D:$E,2,0))*Y1791</f>
        <v>4.4802908000000006</v>
      </c>
    </row>
    <row r="1792" spans="1:27" x14ac:dyDescent="0.35">
      <c r="A1792" s="27" t="s">
        <v>3034</v>
      </c>
      <c r="B1792" s="27" t="s">
        <v>3035</v>
      </c>
      <c r="C1792" s="42">
        <f t="shared" si="27"/>
        <v>286.1966908</v>
      </c>
      <c r="D1792" s="33" t="s">
        <v>3540</v>
      </c>
      <c r="E1792" s="33">
        <v>2</v>
      </c>
      <c r="F1792" s="33" t="s">
        <v>3981</v>
      </c>
      <c r="G1792" s="14">
        <f>(VLOOKUP(D1792,'[1]BOM Info General'!$A:$L,12,0))*E1792</f>
        <v>130.12</v>
      </c>
      <c r="H1792" s="34" t="s">
        <v>41</v>
      </c>
      <c r="I1792" s="34">
        <v>1</v>
      </c>
      <c r="J1792" s="34" t="s">
        <v>47</v>
      </c>
      <c r="K1792" s="15">
        <f>(VLOOKUP(H1792,'[1]BOM Info General'!$A:$L,12,0))*I1792</f>
        <v>27.18</v>
      </c>
      <c r="L1792" s="35" t="s">
        <v>524</v>
      </c>
      <c r="M1792" s="35">
        <v>1</v>
      </c>
      <c r="N1792" s="35" t="s">
        <v>70</v>
      </c>
      <c r="O1792" s="9">
        <f>(VLOOKUP(L1792,'[1]Simulation pricing per sub assy'!$D:$E,2,0))*M1792</f>
        <v>94.656400000000033</v>
      </c>
      <c r="P1792" s="36" t="s">
        <v>50</v>
      </c>
      <c r="Q1792" s="36">
        <v>8</v>
      </c>
      <c r="R1792" s="36" t="s">
        <v>611</v>
      </c>
      <c r="S1792" s="40">
        <f>(VLOOKUP(P1792,'[1]BOM Info General'!$A:$L,12,0))*Q1792</f>
        <v>21.2</v>
      </c>
      <c r="T1792" s="37" t="s">
        <v>30</v>
      </c>
      <c r="U1792" s="31">
        <v>1</v>
      </c>
      <c r="V1792" s="37" t="s">
        <v>31</v>
      </c>
      <c r="W1792" s="17">
        <f>(VLOOKUP(T1792,'[1]Simulation pricing per sub assy'!$D:$E,2,0))*U1792</f>
        <v>8.5599999999999987</v>
      </c>
      <c r="X1792" s="38" t="s">
        <v>616</v>
      </c>
      <c r="Y1792" s="38">
        <v>1</v>
      </c>
      <c r="Z1792" s="38" t="s">
        <v>23</v>
      </c>
      <c r="AA1792" s="18">
        <f>(VLOOKUP(X1792,'[1]Simulation pricing per sub assy'!$D:$E,2,0))*Y1792</f>
        <v>4.4802908000000006</v>
      </c>
    </row>
    <row r="1793" spans="1:27" x14ac:dyDescent="0.35">
      <c r="A1793" s="27" t="s">
        <v>3036</v>
      </c>
      <c r="B1793" s="27" t="s">
        <v>3037</v>
      </c>
      <c r="C1793" s="42">
        <f t="shared" si="27"/>
        <v>287.29669080000002</v>
      </c>
      <c r="D1793" s="33" t="s">
        <v>3540</v>
      </c>
      <c r="E1793" s="33">
        <v>2</v>
      </c>
      <c r="F1793" s="33" t="s">
        <v>3981</v>
      </c>
      <c r="G1793" s="14">
        <f>(VLOOKUP(D1793,'[1]BOM Info General'!$A:$L,12,0))*E1793</f>
        <v>130.12</v>
      </c>
      <c r="H1793" s="34" t="s">
        <v>41</v>
      </c>
      <c r="I1793" s="34">
        <v>1</v>
      </c>
      <c r="J1793" s="34" t="s">
        <v>47</v>
      </c>
      <c r="K1793" s="15">
        <f>(VLOOKUP(H1793,'[1]BOM Info General'!$A:$L,12,0))*I1793</f>
        <v>27.18</v>
      </c>
      <c r="L1793" s="35" t="s">
        <v>67</v>
      </c>
      <c r="M1793" s="35">
        <v>1</v>
      </c>
      <c r="N1793" s="35" t="s">
        <v>64</v>
      </c>
      <c r="O1793" s="9">
        <f>(VLOOKUP(L1793,'[1]Simulation pricing per sub assy'!$D:$E,2,0))*M1793</f>
        <v>95.756400000000042</v>
      </c>
      <c r="P1793" s="36" t="s">
        <v>50</v>
      </c>
      <c r="Q1793" s="36">
        <v>8</v>
      </c>
      <c r="R1793" s="36" t="s">
        <v>611</v>
      </c>
      <c r="S1793" s="40">
        <f>(VLOOKUP(P1793,'[1]BOM Info General'!$A:$L,12,0))*Q1793</f>
        <v>21.2</v>
      </c>
      <c r="T1793" s="37" t="s">
        <v>30</v>
      </c>
      <c r="U1793" s="31">
        <v>1</v>
      </c>
      <c r="V1793" s="37" t="s">
        <v>31</v>
      </c>
      <c r="W1793" s="17">
        <f>(VLOOKUP(T1793,'[1]Simulation pricing per sub assy'!$D:$E,2,0))*U1793</f>
        <v>8.5599999999999987</v>
      </c>
      <c r="X1793" s="38" t="s">
        <v>616</v>
      </c>
      <c r="Y1793" s="38">
        <v>1</v>
      </c>
      <c r="Z1793" s="38" t="s">
        <v>23</v>
      </c>
      <c r="AA1793" s="18">
        <f>(VLOOKUP(X1793,'[1]Simulation pricing per sub assy'!$D:$E,2,0))*Y1793</f>
        <v>4.4802908000000006</v>
      </c>
    </row>
    <row r="1794" spans="1:27" x14ac:dyDescent="0.35">
      <c r="A1794" s="27" t="s">
        <v>3038</v>
      </c>
      <c r="B1794" s="27" t="s">
        <v>3039</v>
      </c>
      <c r="C1794" s="42">
        <f t="shared" si="27"/>
        <v>287.29669080000002</v>
      </c>
      <c r="D1794" s="33" t="s">
        <v>3540</v>
      </c>
      <c r="E1794" s="33">
        <v>2</v>
      </c>
      <c r="F1794" s="33" t="s">
        <v>3981</v>
      </c>
      <c r="G1794" s="14">
        <f>(VLOOKUP(D1794,'[1]BOM Info General'!$A:$L,12,0))*E1794</f>
        <v>130.12</v>
      </c>
      <c r="H1794" s="34" t="s">
        <v>41</v>
      </c>
      <c r="I1794" s="34">
        <v>1</v>
      </c>
      <c r="J1794" s="34" t="s">
        <v>47</v>
      </c>
      <c r="K1794" s="15">
        <f>(VLOOKUP(H1794,'[1]BOM Info General'!$A:$L,12,0))*I1794</f>
        <v>27.18</v>
      </c>
      <c r="L1794" s="35" t="s">
        <v>63</v>
      </c>
      <c r="M1794" s="35">
        <v>1</v>
      </c>
      <c r="N1794" s="35" t="s">
        <v>62</v>
      </c>
      <c r="O1794" s="9">
        <f>(VLOOKUP(L1794,'[1]Simulation pricing per sub assy'!$D:$E,2,0))*M1794</f>
        <v>95.756400000000042</v>
      </c>
      <c r="P1794" s="36" t="s">
        <v>50</v>
      </c>
      <c r="Q1794" s="36">
        <v>8</v>
      </c>
      <c r="R1794" s="36" t="s">
        <v>611</v>
      </c>
      <c r="S1794" s="40">
        <f>(VLOOKUP(P1794,'[1]BOM Info General'!$A:$L,12,0))*Q1794</f>
        <v>21.2</v>
      </c>
      <c r="T1794" s="37" t="s">
        <v>30</v>
      </c>
      <c r="U1794" s="31">
        <v>1</v>
      </c>
      <c r="V1794" s="37" t="s">
        <v>31</v>
      </c>
      <c r="W1794" s="17">
        <f>(VLOOKUP(T1794,'[1]Simulation pricing per sub assy'!$D:$E,2,0))*U1794</f>
        <v>8.5599999999999987</v>
      </c>
      <c r="X1794" s="38" t="s">
        <v>616</v>
      </c>
      <c r="Y1794" s="38">
        <v>1</v>
      </c>
      <c r="Z1794" s="38" t="s">
        <v>23</v>
      </c>
      <c r="AA1794" s="18">
        <f>(VLOOKUP(X1794,'[1]Simulation pricing per sub assy'!$D:$E,2,0))*Y1794</f>
        <v>4.4802908000000006</v>
      </c>
    </row>
    <row r="1795" spans="1:27" x14ac:dyDescent="0.35">
      <c r="A1795" s="27" t="s">
        <v>3040</v>
      </c>
      <c r="B1795" s="27" t="s">
        <v>3041</v>
      </c>
      <c r="C1795" s="42">
        <f t="shared" ref="C1795:C1858" si="28">SUM(G1795+K1795+O1795+S1795+W1795+AA1795)</f>
        <v>286.74669080000001</v>
      </c>
      <c r="D1795" s="33" t="s">
        <v>3540</v>
      </c>
      <c r="E1795" s="33">
        <v>2</v>
      </c>
      <c r="F1795" s="33" t="s">
        <v>3981</v>
      </c>
      <c r="G1795" s="14">
        <f>(VLOOKUP(D1795,'[1]BOM Info General'!$A:$L,12,0))*E1795</f>
        <v>130.12</v>
      </c>
      <c r="H1795" s="34" t="s">
        <v>41</v>
      </c>
      <c r="I1795" s="34">
        <v>1</v>
      </c>
      <c r="J1795" s="34" t="s">
        <v>47</v>
      </c>
      <c r="K1795" s="15">
        <f>(VLOOKUP(H1795,'[1]BOM Info General'!$A:$L,12,0))*I1795</f>
        <v>27.18</v>
      </c>
      <c r="L1795" s="35" t="s">
        <v>69</v>
      </c>
      <c r="M1795" s="35">
        <v>1</v>
      </c>
      <c r="N1795" s="35" t="s">
        <v>66</v>
      </c>
      <c r="O1795" s="9">
        <f>(VLOOKUP(L1795,'[1]Simulation pricing per sub assy'!$D:$E,2,0))*M1795</f>
        <v>95.206400000000031</v>
      </c>
      <c r="P1795" s="36" t="s">
        <v>50</v>
      </c>
      <c r="Q1795" s="36">
        <v>8</v>
      </c>
      <c r="R1795" s="36" t="s">
        <v>611</v>
      </c>
      <c r="S1795" s="40">
        <f>(VLOOKUP(P1795,'[1]BOM Info General'!$A:$L,12,0))*Q1795</f>
        <v>21.2</v>
      </c>
      <c r="T1795" s="37" t="s">
        <v>30</v>
      </c>
      <c r="U1795" s="31">
        <v>1</v>
      </c>
      <c r="V1795" s="37" t="s">
        <v>31</v>
      </c>
      <c r="W1795" s="17">
        <f>(VLOOKUP(T1795,'[1]Simulation pricing per sub assy'!$D:$E,2,0))*U1795</f>
        <v>8.5599999999999987</v>
      </c>
      <c r="X1795" s="38" t="s">
        <v>616</v>
      </c>
      <c r="Y1795" s="38">
        <v>1</v>
      </c>
      <c r="Z1795" s="38" t="s">
        <v>23</v>
      </c>
      <c r="AA1795" s="18">
        <f>(VLOOKUP(X1795,'[1]Simulation pricing per sub assy'!$D:$E,2,0))*Y1795</f>
        <v>4.4802908000000006</v>
      </c>
    </row>
    <row r="1796" spans="1:27" x14ac:dyDescent="0.35">
      <c r="A1796" s="27" t="s">
        <v>3042</v>
      </c>
      <c r="B1796" s="27" t="s">
        <v>3043</v>
      </c>
      <c r="C1796" s="42">
        <f t="shared" si="28"/>
        <v>294.70669079999999</v>
      </c>
      <c r="D1796" s="33" t="s">
        <v>3540</v>
      </c>
      <c r="E1796" s="33">
        <v>2</v>
      </c>
      <c r="F1796" s="33" t="s">
        <v>3981</v>
      </c>
      <c r="G1796" s="14">
        <f>(VLOOKUP(D1796,'[1]BOM Info General'!$A:$L,12,0))*E1796</f>
        <v>130.12</v>
      </c>
      <c r="H1796" s="34" t="s">
        <v>41</v>
      </c>
      <c r="I1796" s="34">
        <v>1</v>
      </c>
      <c r="J1796" s="34" t="s">
        <v>47</v>
      </c>
      <c r="K1796" s="15">
        <f>(VLOOKUP(H1796,'[1]BOM Info General'!$A:$L,12,0))*I1796</f>
        <v>27.18</v>
      </c>
      <c r="L1796" s="35" t="s">
        <v>65</v>
      </c>
      <c r="M1796" s="35">
        <v>1</v>
      </c>
      <c r="N1796" s="35" t="s">
        <v>68</v>
      </c>
      <c r="O1796" s="9">
        <f>(VLOOKUP(L1796,'[1]Simulation pricing per sub assy'!$D:$E,2,0))*M1796</f>
        <v>103.16640000000004</v>
      </c>
      <c r="P1796" s="36" t="s">
        <v>50</v>
      </c>
      <c r="Q1796" s="36">
        <v>8</v>
      </c>
      <c r="R1796" s="36" t="s">
        <v>611</v>
      </c>
      <c r="S1796" s="40">
        <f>(VLOOKUP(P1796,'[1]BOM Info General'!$A:$L,12,0))*Q1796</f>
        <v>21.2</v>
      </c>
      <c r="T1796" s="37" t="s">
        <v>30</v>
      </c>
      <c r="U1796" s="31">
        <v>1</v>
      </c>
      <c r="V1796" s="37" t="s">
        <v>31</v>
      </c>
      <c r="W1796" s="17">
        <f>(VLOOKUP(T1796,'[1]Simulation pricing per sub assy'!$D:$E,2,0))*U1796</f>
        <v>8.5599999999999987</v>
      </c>
      <c r="X1796" s="38" t="s">
        <v>616</v>
      </c>
      <c r="Y1796" s="38">
        <v>1</v>
      </c>
      <c r="Z1796" s="38" t="s">
        <v>23</v>
      </c>
      <c r="AA1796" s="18">
        <f>(VLOOKUP(X1796,'[1]Simulation pricing per sub assy'!$D:$E,2,0))*Y1796</f>
        <v>4.4802908000000006</v>
      </c>
    </row>
    <row r="1797" spans="1:27" x14ac:dyDescent="0.35">
      <c r="A1797" s="27" t="s">
        <v>3044</v>
      </c>
      <c r="B1797" s="27" t="s">
        <v>4669</v>
      </c>
      <c r="C1797" s="42">
        <f t="shared" si="28"/>
        <v>284.83669079999999</v>
      </c>
      <c r="D1797" s="28" t="s">
        <v>3540</v>
      </c>
      <c r="E1797" s="28">
        <v>2</v>
      </c>
      <c r="F1797" s="28" t="s">
        <v>3981</v>
      </c>
      <c r="G1797" s="14">
        <f>(VLOOKUP(D1797,'[1]BOM Info General'!$A:$L,12,0))*E1797</f>
        <v>130.12</v>
      </c>
      <c r="H1797" s="29" t="s">
        <v>41</v>
      </c>
      <c r="I1797" s="29">
        <v>1</v>
      </c>
      <c r="J1797" s="29" t="s">
        <v>47</v>
      </c>
      <c r="K1797" s="15">
        <f>(VLOOKUP(H1797,'[1]BOM Info General'!$A:$L,12,0))*I1797</f>
        <v>27.18</v>
      </c>
      <c r="L1797" s="26" t="s">
        <v>524</v>
      </c>
      <c r="M1797" s="26">
        <v>1</v>
      </c>
      <c r="N1797" s="26" t="s">
        <v>70</v>
      </c>
      <c r="O1797" s="9">
        <f>(VLOOKUP(L1797,'[1]Simulation pricing per sub assy'!$D:$E,2,0))*M1797</f>
        <v>94.656400000000033</v>
      </c>
      <c r="P1797" s="30" t="s">
        <v>50</v>
      </c>
      <c r="Q1797" s="30">
        <v>8</v>
      </c>
      <c r="R1797" s="30" t="s">
        <v>611</v>
      </c>
      <c r="S1797" s="40">
        <f>(VLOOKUP(P1797,'[1]BOM Info General'!$A:$L,12,0))*Q1797</f>
        <v>21.2</v>
      </c>
      <c r="T1797" s="31" t="s">
        <v>21</v>
      </c>
      <c r="U1797" s="31">
        <v>1</v>
      </c>
      <c r="V1797" s="31" t="s">
        <v>22</v>
      </c>
      <c r="W1797" s="17">
        <f>(VLOOKUP(T1797,'[1]Simulation pricing per sub assy'!$D:$E,2,0))*U1797</f>
        <v>7.2</v>
      </c>
      <c r="X1797" s="32" t="s">
        <v>616</v>
      </c>
      <c r="Y1797" s="32">
        <v>1</v>
      </c>
      <c r="Z1797" s="32" t="s">
        <v>23</v>
      </c>
      <c r="AA1797" s="18">
        <f>(VLOOKUP(X1797,'[1]Simulation pricing per sub assy'!$D:$E,2,0))*Y1797</f>
        <v>4.4802908000000006</v>
      </c>
    </row>
    <row r="1798" spans="1:27" x14ac:dyDescent="0.35">
      <c r="A1798" s="27" t="s">
        <v>3045</v>
      </c>
      <c r="B1798" s="27" t="s">
        <v>4670</v>
      </c>
      <c r="C1798" s="42">
        <f t="shared" si="28"/>
        <v>285.93669080000001</v>
      </c>
      <c r="D1798" s="28" t="s">
        <v>3540</v>
      </c>
      <c r="E1798" s="28">
        <v>2</v>
      </c>
      <c r="F1798" s="28" t="s">
        <v>3981</v>
      </c>
      <c r="G1798" s="14">
        <f>(VLOOKUP(D1798,'[1]BOM Info General'!$A:$L,12,0))*E1798</f>
        <v>130.12</v>
      </c>
      <c r="H1798" s="29" t="s">
        <v>41</v>
      </c>
      <c r="I1798" s="29">
        <v>1</v>
      </c>
      <c r="J1798" s="29" t="s">
        <v>47</v>
      </c>
      <c r="K1798" s="15">
        <f>(VLOOKUP(H1798,'[1]BOM Info General'!$A:$L,12,0))*I1798</f>
        <v>27.18</v>
      </c>
      <c r="L1798" s="26" t="s">
        <v>67</v>
      </c>
      <c r="M1798" s="26">
        <v>1</v>
      </c>
      <c r="N1798" s="26" t="s">
        <v>64</v>
      </c>
      <c r="O1798" s="9">
        <f>(VLOOKUP(L1798,'[1]Simulation pricing per sub assy'!$D:$E,2,0))*M1798</f>
        <v>95.756400000000042</v>
      </c>
      <c r="P1798" s="30" t="s">
        <v>50</v>
      </c>
      <c r="Q1798" s="30">
        <v>8</v>
      </c>
      <c r="R1798" s="30" t="s">
        <v>611</v>
      </c>
      <c r="S1798" s="40">
        <f>(VLOOKUP(P1798,'[1]BOM Info General'!$A:$L,12,0))*Q1798</f>
        <v>21.2</v>
      </c>
      <c r="T1798" s="31" t="s">
        <v>21</v>
      </c>
      <c r="U1798" s="31">
        <v>1</v>
      </c>
      <c r="V1798" s="31" t="s">
        <v>22</v>
      </c>
      <c r="W1798" s="17">
        <f>(VLOOKUP(T1798,'[1]Simulation pricing per sub assy'!$D:$E,2,0))*U1798</f>
        <v>7.2</v>
      </c>
      <c r="X1798" s="32" t="s">
        <v>616</v>
      </c>
      <c r="Y1798" s="32">
        <v>1</v>
      </c>
      <c r="Z1798" s="32" t="s">
        <v>23</v>
      </c>
      <c r="AA1798" s="18">
        <f>(VLOOKUP(X1798,'[1]Simulation pricing per sub assy'!$D:$E,2,0))*Y1798</f>
        <v>4.4802908000000006</v>
      </c>
    </row>
    <row r="1799" spans="1:27" x14ac:dyDescent="0.35">
      <c r="A1799" s="27" t="s">
        <v>3046</v>
      </c>
      <c r="B1799" s="27" t="s">
        <v>4671</v>
      </c>
      <c r="C1799" s="42">
        <f t="shared" si="28"/>
        <v>285.93669080000001</v>
      </c>
      <c r="D1799" s="28" t="s">
        <v>3540</v>
      </c>
      <c r="E1799" s="28">
        <v>2</v>
      </c>
      <c r="F1799" s="28" t="s">
        <v>3981</v>
      </c>
      <c r="G1799" s="14">
        <f>(VLOOKUP(D1799,'[1]BOM Info General'!$A:$L,12,0))*E1799</f>
        <v>130.12</v>
      </c>
      <c r="H1799" s="29" t="s">
        <v>41</v>
      </c>
      <c r="I1799" s="29">
        <v>1</v>
      </c>
      <c r="J1799" s="29" t="s">
        <v>47</v>
      </c>
      <c r="K1799" s="15">
        <f>(VLOOKUP(H1799,'[1]BOM Info General'!$A:$L,12,0))*I1799</f>
        <v>27.18</v>
      </c>
      <c r="L1799" s="26" t="s">
        <v>63</v>
      </c>
      <c r="M1799" s="26">
        <v>1</v>
      </c>
      <c r="N1799" s="26" t="s">
        <v>62</v>
      </c>
      <c r="O1799" s="9">
        <f>(VLOOKUP(L1799,'[1]Simulation pricing per sub assy'!$D:$E,2,0))*M1799</f>
        <v>95.756400000000042</v>
      </c>
      <c r="P1799" s="30" t="s">
        <v>50</v>
      </c>
      <c r="Q1799" s="30">
        <v>8</v>
      </c>
      <c r="R1799" s="30" t="s">
        <v>611</v>
      </c>
      <c r="S1799" s="40">
        <f>(VLOOKUP(P1799,'[1]BOM Info General'!$A:$L,12,0))*Q1799</f>
        <v>21.2</v>
      </c>
      <c r="T1799" s="31" t="s">
        <v>21</v>
      </c>
      <c r="U1799" s="31">
        <v>1</v>
      </c>
      <c r="V1799" s="31" t="s">
        <v>22</v>
      </c>
      <c r="W1799" s="17">
        <f>(VLOOKUP(T1799,'[1]Simulation pricing per sub assy'!$D:$E,2,0))*U1799</f>
        <v>7.2</v>
      </c>
      <c r="X1799" s="32" t="s">
        <v>616</v>
      </c>
      <c r="Y1799" s="32">
        <v>1</v>
      </c>
      <c r="Z1799" s="32" t="s">
        <v>23</v>
      </c>
      <c r="AA1799" s="18">
        <f>(VLOOKUP(X1799,'[1]Simulation pricing per sub assy'!$D:$E,2,0))*Y1799</f>
        <v>4.4802908000000006</v>
      </c>
    </row>
    <row r="1800" spans="1:27" x14ac:dyDescent="0.35">
      <c r="A1800" s="27" t="s">
        <v>3047</v>
      </c>
      <c r="B1800" s="27" t="s">
        <v>4672</v>
      </c>
      <c r="C1800" s="42">
        <f t="shared" si="28"/>
        <v>285.3866908</v>
      </c>
      <c r="D1800" s="28" t="s">
        <v>3540</v>
      </c>
      <c r="E1800" s="28">
        <v>2</v>
      </c>
      <c r="F1800" s="28" t="s">
        <v>3981</v>
      </c>
      <c r="G1800" s="14">
        <f>(VLOOKUP(D1800,'[1]BOM Info General'!$A:$L,12,0))*E1800</f>
        <v>130.12</v>
      </c>
      <c r="H1800" s="29" t="s">
        <v>41</v>
      </c>
      <c r="I1800" s="29">
        <v>1</v>
      </c>
      <c r="J1800" s="29" t="s">
        <v>47</v>
      </c>
      <c r="K1800" s="15">
        <f>(VLOOKUP(H1800,'[1]BOM Info General'!$A:$L,12,0))*I1800</f>
        <v>27.18</v>
      </c>
      <c r="L1800" s="26" t="s">
        <v>69</v>
      </c>
      <c r="M1800" s="26">
        <v>1</v>
      </c>
      <c r="N1800" s="26" t="s">
        <v>66</v>
      </c>
      <c r="O1800" s="9">
        <f>(VLOOKUP(L1800,'[1]Simulation pricing per sub assy'!$D:$E,2,0))*M1800</f>
        <v>95.206400000000031</v>
      </c>
      <c r="P1800" s="30" t="s">
        <v>50</v>
      </c>
      <c r="Q1800" s="30">
        <v>8</v>
      </c>
      <c r="R1800" s="30" t="s">
        <v>611</v>
      </c>
      <c r="S1800" s="40">
        <f>(VLOOKUP(P1800,'[1]BOM Info General'!$A:$L,12,0))*Q1800</f>
        <v>21.2</v>
      </c>
      <c r="T1800" s="31" t="s">
        <v>21</v>
      </c>
      <c r="U1800" s="31">
        <v>1</v>
      </c>
      <c r="V1800" s="31" t="s">
        <v>22</v>
      </c>
      <c r="W1800" s="17">
        <f>(VLOOKUP(T1800,'[1]Simulation pricing per sub assy'!$D:$E,2,0))*U1800</f>
        <v>7.2</v>
      </c>
      <c r="X1800" s="32" t="s">
        <v>616</v>
      </c>
      <c r="Y1800" s="32">
        <v>1</v>
      </c>
      <c r="Z1800" s="32" t="s">
        <v>23</v>
      </c>
      <c r="AA1800" s="18">
        <f>(VLOOKUP(X1800,'[1]Simulation pricing per sub assy'!$D:$E,2,0))*Y1800</f>
        <v>4.4802908000000006</v>
      </c>
    </row>
    <row r="1801" spans="1:27" x14ac:dyDescent="0.35">
      <c r="A1801" s="27" t="s">
        <v>3048</v>
      </c>
      <c r="B1801" s="27" t="s">
        <v>4673</v>
      </c>
      <c r="C1801" s="42">
        <f t="shared" si="28"/>
        <v>293.34669079999998</v>
      </c>
      <c r="D1801" s="28" t="s">
        <v>3540</v>
      </c>
      <c r="E1801" s="28">
        <v>2</v>
      </c>
      <c r="F1801" s="28" t="s">
        <v>3981</v>
      </c>
      <c r="G1801" s="14">
        <f>(VLOOKUP(D1801,'[1]BOM Info General'!$A:$L,12,0))*E1801</f>
        <v>130.12</v>
      </c>
      <c r="H1801" s="29" t="s">
        <v>41</v>
      </c>
      <c r="I1801" s="29">
        <v>1</v>
      </c>
      <c r="J1801" s="29" t="s">
        <v>47</v>
      </c>
      <c r="K1801" s="15">
        <f>(VLOOKUP(H1801,'[1]BOM Info General'!$A:$L,12,0))*I1801</f>
        <v>27.18</v>
      </c>
      <c r="L1801" s="26" t="s">
        <v>65</v>
      </c>
      <c r="M1801" s="26">
        <v>1</v>
      </c>
      <c r="N1801" s="26" t="s">
        <v>68</v>
      </c>
      <c r="O1801" s="9">
        <f>(VLOOKUP(L1801,'[1]Simulation pricing per sub assy'!$D:$E,2,0))*M1801</f>
        <v>103.16640000000004</v>
      </c>
      <c r="P1801" s="30" t="s">
        <v>50</v>
      </c>
      <c r="Q1801" s="30">
        <v>8</v>
      </c>
      <c r="R1801" s="30" t="s">
        <v>611</v>
      </c>
      <c r="S1801" s="40">
        <f>(VLOOKUP(P1801,'[1]BOM Info General'!$A:$L,12,0))*Q1801</f>
        <v>21.2</v>
      </c>
      <c r="T1801" s="31" t="s">
        <v>21</v>
      </c>
      <c r="U1801" s="31">
        <v>1</v>
      </c>
      <c r="V1801" s="31" t="s">
        <v>22</v>
      </c>
      <c r="W1801" s="17">
        <f>(VLOOKUP(T1801,'[1]Simulation pricing per sub assy'!$D:$E,2,0))*U1801</f>
        <v>7.2</v>
      </c>
      <c r="X1801" s="32" t="s">
        <v>616</v>
      </c>
      <c r="Y1801" s="32">
        <v>1</v>
      </c>
      <c r="Z1801" s="32" t="s">
        <v>23</v>
      </c>
      <c r="AA1801" s="18">
        <f>(VLOOKUP(X1801,'[1]Simulation pricing per sub assy'!$D:$E,2,0))*Y1801</f>
        <v>4.4802908000000006</v>
      </c>
    </row>
    <row r="1802" spans="1:27" x14ac:dyDescent="0.35">
      <c r="A1802" s="27" t="s">
        <v>3049</v>
      </c>
      <c r="B1802" s="27" t="s">
        <v>4674</v>
      </c>
      <c r="C1802" s="42">
        <f t="shared" si="28"/>
        <v>284.07669079999999</v>
      </c>
      <c r="D1802" s="28" t="s">
        <v>3540</v>
      </c>
      <c r="E1802" s="28">
        <v>2</v>
      </c>
      <c r="F1802" s="28" t="s">
        <v>3981</v>
      </c>
      <c r="G1802" s="14">
        <f>(VLOOKUP(D1802,'[1]BOM Info General'!$A:$L,12,0))*E1802</f>
        <v>130.12</v>
      </c>
      <c r="H1802" s="29" t="s">
        <v>41</v>
      </c>
      <c r="I1802" s="29">
        <v>1</v>
      </c>
      <c r="J1802" s="29" t="s">
        <v>47</v>
      </c>
      <c r="K1802" s="15">
        <f>(VLOOKUP(H1802,'[1]BOM Info General'!$A:$L,12,0))*I1802</f>
        <v>27.18</v>
      </c>
      <c r="L1802" s="26" t="s">
        <v>524</v>
      </c>
      <c r="M1802" s="26">
        <v>1</v>
      </c>
      <c r="N1802" s="26" t="s">
        <v>70</v>
      </c>
      <c r="O1802" s="9">
        <f>(VLOOKUP(L1802,'[1]Simulation pricing per sub assy'!$D:$E,2,0))*M1802</f>
        <v>94.656400000000033</v>
      </c>
      <c r="P1802" s="30" t="s">
        <v>50</v>
      </c>
      <c r="Q1802" s="30">
        <v>8</v>
      </c>
      <c r="R1802" s="30" t="s">
        <v>16</v>
      </c>
      <c r="S1802" s="40">
        <f>(VLOOKUP(P1802,'[1]BOM Info General'!$A:$L,12,0))*Q1802</f>
        <v>21.2</v>
      </c>
      <c r="T1802" s="31" t="s">
        <v>24</v>
      </c>
      <c r="U1802" s="31">
        <v>1</v>
      </c>
      <c r="V1802" s="31" t="s">
        <v>25</v>
      </c>
      <c r="W1802" s="17">
        <f>(VLOOKUP(T1802,'[1]Simulation pricing per sub assy'!$D:$E,2,0))*U1802</f>
        <v>6.44</v>
      </c>
      <c r="X1802" s="32" t="s">
        <v>616</v>
      </c>
      <c r="Y1802" s="32">
        <v>1</v>
      </c>
      <c r="Z1802" s="32" t="s">
        <v>23</v>
      </c>
      <c r="AA1802" s="18">
        <f>(VLOOKUP(X1802,'[1]Simulation pricing per sub assy'!$D:$E,2,0))*Y1802</f>
        <v>4.4802908000000006</v>
      </c>
    </row>
    <row r="1803" spans="1:27" x14ac:dyDescent="0.35">
      <c r="A1803" s="27" t="s">
        <v>3050</v>
      </c>
      <c r="B1803" s="27" t="s">
        <v>4675</v>
      </c>
      <c r="C1803" s="42">
        <f t="shared" si="28"/>
        <v>285.17669080000002</v>
      </c>
      <c r="D1803" s="28" t="s">
        <v>3540</v>
      </c>
      <c r="E1803" s="28">
        <v>2</v>
      </c>
      <c r="F1803" s="28" t="s">
        <v>3981</v>
      </c>
      <c r="G1803" s="14">
        <f>(VLOOKUP(D1803,'[1]BOM Info General'!$A:$L,12,0))*E1803</f>
        <v>130.12</v>
      </c>
      <c r="H1803" s="29" t="s">
        <v>41</v>
      </c>
      <c r="I1803" s="29">
        <v>1</v>
      </c>
      <c r="J1803" s="29" t="s">
        <v>47</v>
      </c>
      <c r="K1803" s="15">
        <f>(VLOOKUP(H1803,'[1]BOM Info General'!$A:$L,12,0))*I1803</f>
        <v>27.18</v>
      </c>
      <c r="L1803" s="26" t="s">
        <v>67</v>
      </c>
      <c r="M1803" s="26">
        <v>1</v>
      </c>
      <c r="N1803" s="26" t="s">
        <v>64</v>
      </c>
      <c r="O1803" s="9">
        <f>(VLOOKUP(L1803,'[1]Simulation pricing per sub assy'!$D:$E,2,0))*M1803</f>
        <v>95.756400000000042</v>
      </c>
      <c r="P1803" s="30" t="s">
        <v>50</v>
      </c>
      <c r="Q1803" s="30">
        <v>8</v>
      </c>
      <c r="R1803" s="30" t="s">
        <v>16</v>
      </c>
      <c r="S1803" s="40">
        <f>(VLOOKUP(P1803,'[1]BOM Info General'!$A:$L,12,0))*Q1803</f>
        <v>21.2</v>
      </c>
      <c r="T1803" s="31" t="s">
        <v>24</v>
      </c>
      <c r="U1803" s="31">
        <v>1</v>
      </c>
      <c r="V1803" s="31" t="s">
        <v>25</v>
      </c>
      <c r="W1803" s="17">
        <f>(VLOOKUP(T1803,'[1]Simulation pricing per sub assy'!$D:$E,2,0))*U1803</f>
        <v>6.44</v>
      </c>
      <c r="X1803" s="32" t="s">
        <v>616</v>
      </c>
      <c r="Y1803" s="32">
        <v>1</v>
      </c>
      <c r="Z1803" s="32" t="s">
        <v>23</v>
      </c>
      <c r="AA1803" s="18">
        <f>(VLOOKUP(X1803,'[1]Simulation pricing per sub assy'!$D:$E,2,0))*Y1803</f>
        <v>4.4802908000000006</v>
      </c>
    </row>
    <row r="1804" spans="1:27" x14ac:dyDescent="0.35">
      <c r="A1804" s="27" t="s">
        <v>3051</v>
      </c>
      <c r="B1804" s="27" t="s">
        <v>4676</v>
      </c>
      <c r="C1804" s="42">
        <f t="shared" si="28"/>
        <v>285.17669080000002</v>
      </c>
      <c r="D1804" s="28" t="s">
        <v>3540</v>
      </c>
      <c r="E1804" s="28">
        <v>2</v>
      </c>
      <c r="F1804" s="28" t="s">
        <v>3981</v>
      </c>
      <c r="G1804" s="14">
        <f>(VLOOKUP(D1804,'[1]BOM Info General'!$A:$L,12,0))*E1804</f>
        <v>130.12</v>
      </c>
      <c r="H1804" s="29" t="s">
        <v>41</v>
      </c>
      <c r="I1804" s="29">
        <v>1</v>
      </c>
      <c r="J1804" s="29" t="s">
        <v>47</v>
      </c>
      <c r="K1804" s="15">
        <f>(VLOOKUP(H1804,'[1]BOM Info General'!$A:$L,12,0))*I1804</f>
        <v>27.18</v>
      </c>
      <c r="L1804" s="26" t="s">
        <v>63</v>
      </c>
      <c r="M1804" s="26">
        <v>1</v>
      </c>
      <c r="N1804" s="26" t="s">
        <v>62</v>
      </c>
      <c r="O1804" s="9">
        <f>(VLOOKUP(L1804,'[1]Simulation pricing per sub assy'!$D:$E,2,0))*M1804</f>
        <v>95.756400000000042</v>
      </c>
      <c r="P1804" s="30" t="s">
        <v>50</v>
      </c>
      <c r="Q1804" s="30">
        <v>8</v>
      </c>
      <c r="R1804" s="30" t="s">
        <v>16</v>
      </c>
      <c r="S1804" s="40">
        <f>(VLOOKUP(P1804,'[1]BOM Info General'!$A:$L,12,0))*Q1804</f>
        <v>21.2</v>
      </c>
      <c r="T1804" s="31" t="s">
        <v>24</v>
      </c>
      <c r="U1804" s="31">
        <v>1</v>
      </c>
      <c r="V1804" s="31" t="s">
        <v>25</v>
      </c>
      <c r="W1804" s="17">
        <f>(VLOOKUP(T1804,'[1]Simulation pricing per sub assy'!$D:$E,2,0))*U1804</f>
        <v>6.44</v>
      </c>
      <c r="X1804" s="32" t="s">
        <v>616</v>
      </c>
      <c r="Y1804" s="32">
        <v>1</v>
      </c>
      <c r="Z1804" s="32" t="s">
        <v>23</v>
      </c>
      <c r="AA1804" s="18">
        <f>(VLOOKUP(X1804,'[1]Simulation pricing per sub assy'!$D:$E,2,0))*Y1804</f>
        <v>4.4802908000000006</v>
      </c>
    </row>
    <row r="1805" spans="1:27" x14ac:dyDescent="0.35">
      <c r="A1805" s="27" t="s">
        <v>3052</v>
      </c>
      <c r="B1805" s="27" t="s">
        <v>4677</v>
      </c>
      <c r="C1805" s="42">
        <f t="shared" si="28"/>
        <v>284.62669080000001</v>
      </c>
      <c r="D1805" s="28" t="s">
        <v>3540</v>
      </c>
      <c r="E1805" s="28">
        <v>2</v>
      </c>
      <c r="F1805" s="28" t="s">
        <v>3981</v>
      </c>
      <c r="G1805" s="14">
        <f>(VLOOKUP(D1805,'[1]BOM Info General'!$A:$L,12,0))*E1805</f>
        <v>130.12</v>
      </c>
      <c r="H1805" s="29" t="s">
        <v>41</v>
      </c>
      <c r="I1805" s="29">
        <v>1</v>
      </c>
      <c r="J1805" s="29" t="s">
        <v>47</v>
      </c>
      <c r="K1805" s="15">
        <f>(VLOOKUP(H1805,'[1]BOM Info General'!$A:$L,12,0))*I1805</f>
        <v>27.18</v>
      </c>
      <c r="L1805" s="26" t="s">
        <v>69</v>
      </c>
      <c r="M1805" s="26">
        <v>1</v>
      </c>
      <c r="N1805" s="26" t="s">
        <v>66</v>
      </c>
      <c r="O1805" s="9">
        <f>(VLOOKUP(L1805,'[1]Simulation pricing per sub assy'!$D:$E,2,0))*M1805</f>
        <v>95.206400000000031</v>
      </c>
      <c r="P1805" s="30" t="s">
        <v>50</v>
      </c>
      <c r="Q1805" s="30">
        <v>8</v>
      </c>
      <c r="R1805" s="30" t="s">
        <v>16</v>
      </c>
      <c r="S1805" s="40">
        <f>(VLOOKUP(P1805,'[1]BOM Info General'!$A:$L,12,0))*Q1805</f>
        <v>21.2</v>
      </c>
      <c r="T1805" s="31" t="s">
        <v>24</v>
      </c>
      <c r="U1805" s="31">
        <v>1</v>
      </c>
      <c r="V1805" s="31" t="s">
        <v>25</v>
      </c>
      <c r="W1805" s="17">
        <f>(VLOOKUP(T1805,'[1]Simulation pricing per sub assy'!$D:$E,2,0))*U1805</f>
        <v>6.44</v>
      </c>
      <c r="X1805" s="32" t="s">
        <v>616</v>
      </c>
      <c r="Y1805" s="32">
        <v>1</v>
      </c>
      <c r="Z1805" s="32" t="s">
        <v>23</v>
      </c>
      <c r="AA1805" s="18">
        <f>(VLOOKUP(X1805,'[1]Simulation pricing per sub assy'!$D:$E,2,0))*Y1805</f>
        <v>4.4802908000000006</v>
      </c>
    </row>
    <row r="1806" spans="1:27" x14ac:dyDescent="0.35">
      <c r="A1806" s="27" t="s">
        <v>3053</v>
      </c>
      <c r="B1806" s="27" t="s">
        <v>4678</v>
      </c>
      <c r="C1806" s="42">
        <f t="shared" si="28"/>
        <v>292.58669079999999</v>
      </c>
      <c r="D1806" s="28" t="s">
        <v>3540</v>
      </c>
      <c r="E1806" s="28">
        <v>2</v>
      </c>
      <c r="F1806" s="28" t="s">
        <v>3981</v>
      </c>
      <c r="G1806" s="14">
        <f>(VLOOKUP(D1806,'[1]BOM Info General'!$A:$L,12,0))*E1806</f>
        <v>130.12</v>
      </c>
      <c r="H1806" s="29" t="s">
        <v>41</v>
      </c>
      <c r="I1806" s="29">
        <v>1</v>
      </c>
      <c r="J1806" s="29" t="s">
        <v>47</v>
      </c>
      <c r="K1806" s="15">
        <f>(VLOOKUP(H1806,'[1]BOM Info General'!$A:$L,12,0))*I1806</f>
        <v>27.18</v>
      </c>
      <c r="L1806" s="26" t="s">
        <v>65</v>
      </c>
      <c r="M1806" s="26">
        <v>1</v>
      </c>
      <c r="N1806" s="26" t="s">
        <v>68</v>
      </c>
      <c r="O1806" s="9">
        <f>(VLOOKUP(L1806,'[1]Simulation pricing per sub assy'!$D:$E,2,0))*M1806</f>
        <v>103.16640000000004</v>
      </c>
      <c r="P1806" s="30" t="s">
        <v>50</v>
      </c>
      <c r="Q1806" s="30">
        <v>8</v>
      </c>
      <c r="R1806" s="30" t="s">
        <v>16</v>
      </c>
      <c r="S1806" s="40">
        <f>(VLOOKUP(P1806,'[1]BOM Info General'!$A:$L,12,0))*Q1806</f>
        <v>21.2</v>
      </c>
      <c r="T1806" s="31" t="s">
        <v>24</v>
      </c>
      <c r="U1806" s="31">
        <v>1</v>
      </c>
      <c r="V1806" s="31" t="s">
        <v>25</v>
      </c>
      <c r="W1806" s="17">
        <f>(VLOOKUP(T1806,'[1]Simulation pricing per sub assy'!$D:$E,2,0))*U1806</f>
        <v>6.44</v>
      </c>
      <c r="X1806" s="32" t="s">
        <v>616</v>
      </c>
      <c r="Y1806" s="32">
        <v>1</v>
      </c>
      <c r="Z1806" s="32" t="s">
        <v>23</v>
      </c>
      <c r="AA1806" s="18">
        <f>(VLOOKUP(X1806,'[1]Simulation pricing per sub assy'!$D:$E,2,0))*Y1806</f>
        <v>4.4802908000000006</v>
      </c>
    </row>
    <row r="1807" spans="1:27" x14ac:dyDescent="0.35">
      <c r="A1807" s="27" t="s">
        <v>3054</v>
      </c>
      <c r="B1807" s="27" t="s">
        <v>4679</v>
      </c>
      <c r="C1807" s="42">
        <f t="shared" si="28"/>
        <v>284.67669080000002</v>
      </c>
      <c r="D1807" s="28" t="s">
        <v>3540</v>
      </c>
      <c r="E1807" s="28">
        <v>2</v>
      </c>
      <c r="F1807" s="28" t="s">
        <v>3981</v>
      </c>
      <c r="G1807" s="14">
        <f>(VLOOKUP(D1807,'[1]BOM Info General'!$A:$L,12,0))*E1807</f>
        <v>130.12</v>
      </c>
      <c r="H1807" s="29" t="s">
        <v>41</v>
      </c>
      <c r="I1807" s="29">
        <v>1</v>
      </c>
      <c r="J1807" s="29" t="s">
        <v>47</v>
      </c>
      <c r="K1807" s="15">
        <f>(VLOOKUP(H1807,'[1]BOM Info General'!$A:$L,12,0))*I1807</f>
        <v>27.18</v>
      </c>
      <c r="L1807" s="26" t="s">
        <v>524</v>
      </c>
      <c r="M1807" s="26">
        <v>1</v>
      </c>
      <c r="N1807" s="26" t="s">
        <v>70</v>
      </c>
      <c r="O1807" s="9">
        <f>(VLOOKUP(L1807,'[1]Simulation pricing per sub assy'!$D:$E,2,0))*M1807</f>
        <v>94.656400000000033</v>
      </c>
      <c r="P1807" s="30" t="s">
        <v>50</v>
      </c>
      <c r="Q1807" s="30">
        <v>8</v>
      </c>
      <c r="R1807" s="30" t="s">
        <v>16</v>
      </c>
      <c r="S1807" s="40">
        <f>(VLOOKUP(P1807,'[1]BOM Info General'!$A:$L,12,0))*Q1807</f>
        <v>21.2</v>
      </c>
      <c r="T1807" s="31" t="s">
        <v>26</v>
      </c>
      <c r="U1807" s="31">
        <v>1</v>
      </c>
      <c r="V1807" s="31" t="s">
        <v>27</v>
      </c>
      <c r="W1807" s="17">
        <f>(VLOOKUP(T1807,'[1]Simulation pricing per sub assy'!$D:$E,2,0))*U1807</f>
        <v>7.04</v>
      </c>
      <c r="X1807" s="32" t="s">
        <v>616</v>
      </c>
      <c r="Y1807" s="32">
        <v>1</v>
      </c>
      <c r="Z1807" s="32" t="s">
        <v>23</v>
      </c>
      <c r="AA1807" s="18">
        <f>(VLOOKUP(X1807,'[1]Simulation pricing per sub assy'!$D:$E,2,0))*Y1807</f>
        <v>4.4802908000000006</v>
      </c>
    </row>
    <row r="1808" spans="1:27" x14ac:dyDescent="0.35">
      <c r="A1808" s="27" t="s">
        <v>3055</v>
      </c>
      <c r="B1808" s="27" t="s">
        <v>4680</v>
      </c>
      <c r="C1808" s="42">
        <f t="shared" si="28"/>
        <v>285.77669080000004</v>
      </c>
      <c r="D1808" s="28" t="s">
        <v>3540</v>
      </c>
      <c r="E1808" s="28">
        <v>2</v>
      </c>
      <c r="F1808" s="28" t="s">
        <v>3981</v>
      </c>
      <c r="G1808" s="14">
        <f>(VLOOKUP(D1808,'[1]BOM Info General'!$A:$L,12,0))*E1808</f>
        <v>130.12</v>
      </c>
      <c r="H1808" s="29" t="s">
        <v>41</v>
      </c>
      <c r="I1808" s="29">
        <v>1</v>
      </c>
      <c r="J1808" s="29" t="s">
        <v>47</v>
      </c>
      <c r="K1808" s="15">
        <f>(VLOOKUP(H1808,'[1]BOM Info General'!$A:$L,12,0))*I1808</f>
        <v>27.18</v>
      </c>
      <c r="L1808" s="26" t="s">
        <v>67</v>
      </c>
      <c r="M1808" s="26">
        <v>1</v>
      </c>
      <c r="N1808" s="26" t="s">
        <v>64</v>
      </c>
      <c r="O1808" s="9">
        <f>(VLOOKUP(L1808,'[1]Simulation pricing per sub assy'!$D:$E,2,0))*M1808</f>
        <v>95.756400000000042</v>
      </c>
      <c r="P1808" s="30" t="s">
        <v>50</v>
      </c>
      <c r="Q1808" s="30">
        <v>8</v>
      </c>
      <c r="R1808" s="30" t="s">
        <v>16</v>
      </c>
      <c r="S1808" s="40">
        <f>(VLOOKUP(P1808,'[1]BOM Info General'!$A:$L,12,0))*Q1808</f>
        <v>21.2</v>
      </c>
      <c r="T1808" s="31" t="s">
        <v>26</v>
      </c>
      <c r="U1808" s="31">
        <v>1</v>
      </c>
      <c r="V1808" s="31" t="s">
        <v>27</v>
      </c>
      <c r="W1808" s="17">
        <f>(VLOOKUP(T1808,'[1]Simulation pricing per sub assy'!$D:$E,2,0))*U1808</f>
        <v>7.04</v>
      </c>
      <c r="X1808" s="32" t="s">
        <v>616</v>
      </c>
      <c r="Y1808" s="32">
        <v>1</v>
      </c>
      <c r="Z1808" s="32" t="s">
        <v>23</v>
      </c>
      <c r="AA1808" s="18">
        <f>(VLOOKUP(X1808,'[1]Simulation pricing per sub assy'!$D:$E,2,0))*Y1808</f>
        <v>4.4802908000000006</v>
      </c>
    </row>
    <row r="1809" spans="1:27" x14ac:dyDescent="0.35">
      <c r="A1809" s="27" t="s">
        <v>3056</v>
      </c>
      <c r="B1809" s="27" t="s">
        <v>4681</v>
      </c>
      <c r="C1809" s="42">
        <f t="shared" si="28"/>
        <v>285.77669080000004</v>
      </c>
      <c r="D1809" s="28" t="s">
        <v>3540</v>
      </c>
      <c r="E1809" s="28">
        <v>2</v>
      </c>
      <c r="F1809" s="28" t="s">
        <v>3981</v>
      </c>
      <c r="G1809" s="14">
        <f>(VLOOKUP(D1809,'[1]BOM Info General'!$A:$L,12,0))*E1809</f>
        <v>130.12</v>
      </c>
      <c r="H1809" s="29" t="s">
        <v>41</v>
      </c>
      <c r="I1809" s="29">
        <v>1</v>
      </c>
      <c r="J1809" s="29" t="s">
        <v>47</v>
      </c>
      <c r="K1809" s="15">
        <f>(VLOOKUP(H1809,'[1]BOM Info General'!$A:$L,12,0))*I1809</f>
        <v>27.18</v>
      </c>
      <c r="L1809" s="26" t="s">
        <v>63</v>
      </c>
      <c r="M1809" s="26">
        <v>1</v>
      </c>
      <c r="N1809" s="26" t="s">
        <v>62</v>
      </c>
      <c r="O1809" s="9">
        <f>(VLOOKUP(L1809,'[1]Simulation pricing per sub assy'!$D:$E,2,0))*M1809</f>
        <v>95.756400000000042</v>
      </c>
      <c r="P1809" s="30" t="s">
        <v>50</v>
      </c>
      <c r="Q1809" s="30">
        <v>8</v>
      </c>
      <c r="R1809" s="30" t="s">
        <v>16</v>
      </c>
      <c r="S1809" s="40">
        <f>(VLOOKUP(P1809,'[1]BOM Info General'!$A:$L,12,0))*Q1809</f>
        <v>21.2</v>
      </c>
      <c r="T1809" s="31" t="s">
        <v>26</v>
      </c>
      <c r="U1809" s="31">
        <v>1</v>
      </c>
      <c r="V1809" s="31" t="s">
        <v>27</v>
      </c>
      <c r="W1809" s="17">
        <f>(VLOOKUP(T1809,'[1]Simulation pricing per sub assy'!$D:$E,2,0))*U1809</f>
        <v>7.04</v>
      </c>
      <c r="X1809" s="32" t="s">
        <v>616</v>
      </c>
      <c r="Y1809" s="32">
        <v>1</v>
      </c>
      <c r="Z1809" s="32" t="s">
        <v>23</v>
      </c>
      <c r="AA1809" s="18">
        <f>(VLOOKUP(X1809,'[1]Simulation pricing per sub assy'!$D:$E,2,0))*Y1809</f>
        <v>4.4802908000000006</v>
      </c>
    </row>
    <row r="1810" spans="1:27" x14ac:dyDescent="0.35">
      <c r="A1810" s="27" t="s">
        <v>3057</v>
      </c>
      <c r="B1810" s="27" t="s">
        <v>4682</v>
      </c>
      <c r="C1810" s="42">
        <f t="shared" si="28"/>
        <v>285.22669080000003</v>
      </c>
      <c r="D1810" s="28" t="s">
        <v>3540</v>
      </c>
      <c r="E1810" s="28">
        <v>2</v>
      </c>
      <c r="F1810" s="28" t="s">
        <v>3981</v>
      </c>
      <c r="G1810" s="14">
        <f>(VLOOKUP(D1810,'[1]BOM Info General'!$A:$L,12,0))*E1810</f>
        <v>130.12</v>
      </c>
      <c r="H1810" s="29" t="s">
        <v>41</v>
      </c>
      <c r="I1810" s="29">
        <v>1</v>
      </c>
      <c r="J1810" s="29" t="s">
        <v>47</v>
      </c>
      <c r="K1810" s="15">
        <f>(VLOOKUP(H1810,'[1]BOM Info General'!$A:$L,12,0))*I1810</f>
        <v>27.18</v>
      </c>
      <c r="L1810" s="26" t="s">
        <v>69</v>
      </c>
      <c r="M1810" s="26">
        <v>1</v>
      </c>
      <c r="N1810" s="26" t="s">
        <v>66</v>
      </c>
      <c r="O1810" s="9">
        <f>(VLOOKUP(L1810,'[1]Simulation pricing per sub assy'!$D:$E,2,0))*M1810</f>
        <v>95.206400000000031</v>
      </c>
      <c r="P1810" s="30" t="s">
        <v>50</v>
      </c>
      <c r="Q1810" s="30">
        <v>8</v>
      </c>
      <c r="R1810" s="30" t="s">
        <v>16</v>
      </c>
      <c r="S1810" s="40">
        <f>(VLOOKUP(P1810,'[1]BOM Info General'!$A:$L,12,0))*Q1810</f>
        <v>21.2</v>
      </c>
      <c r="T1810" s="31" t="s">
        <v>26</v>
      </c>
      <c r="U1810" s="31">
        <v>1</v>
      </c>
      <c r="V1810" s="31" t="s">
        <v>27</v>
      </c>
      <c r="W1810" s="17">
        <f>(VLOOKUP(T1810,'[1]Simulation pricing per sub assy'!$D:$E,2,0))*U1810</f>
        <v>7.04</v>
      </c>
      <c r="X1810" s="32" t="s">
        <v>616</v>
      </c>
      <c r="Y1810" s="32">
        <v>1</v>
      </c>
      <c r="Z1810" s="32" t="s">
        <v>23</v>
      </c>
      <c r="AA1810" s="18">
        <f>(VLOOKUP(X1810,'[1]Simulation pricing per sub assy'!$D:$E,2,0))*Y1810</f>
        <v>4.4802908000000006</v>
      </c>
    </row>
    <row r="1811" spans="1:27" x14ac:dyDescent="0.35">
      <c r="A1811" s="27" t="s">
        <v>3058</v>
      </c>
      <c r="B1811" s="27" t="s">
        <v>4683</v>
      </c>
      <c r="C1811" s="42">
        <f t="shared" si="28"/>
        <v>293.18669080000001</v>
      </c>
      <c r="D1811" s="28" t="s">
        <v>3540</v>
      </c>
      <c r="E1811" s="28">
        <v>2</v>
      </c>
      <c r="F1811" s="28" t="s">
        <v>3981</v>
      </c>
      <c r="G1811" s="14">
        <f>(VLOOKUP(D1811,'[1]BOM Info General'!$A:$L,12,0))*E1811</f>
        <v>130.12</v>
      </c>
      <c r="H1811" s="29" t="s">
        <v>41</v>
      </c>
      <c r="I1811" s="29">
        <v>1</v>
      </c>
      <c r="J1811" s="29" t="s">
        <v>47</v>
      </c>
      <c r="K1811" s="15">
        <f>(VLOOKUP(H1811,'[1]BOM Info General'!$A:$L,12,0))*I1811</f>
        <v>27.18</v>
      </c>
      <c r="L1811" s="26" t="s">
        <v>65</v>
      </c>
      <c r="M1811" s="26">
        <v>1</v>
      </c>
      <c r="N1811" s="26" t="s">
        <v>68</v>
      </c>
      <c r="O1811" s="9">
        <f>(VLOOKUP(L1811,'[1]Simulation pricing per sub assy'!$D:$E,2,0))*M1811</f>
        <v>103.16640000000004</v>
      </c>
      <c r="P1811" s="30" t="s">
        <v>50</v>
      </c>
      <c r="Q1811" s="30">
        <v>8</v>
      </c>
      <c r="R1811" s="30" t="s">
        <v>16</v>
      </c>
      <c r="S1811" s="40">
        <f>(VLOOKUP(P1811,'[1]BOM Info General'!$A:$L,12,0))*Q1811</f>
        <v>21.2</v>
      </c>
      <c r="T1811" s="31" t="s">
        <v>26</v>
      </c>
      <c r="U1811" s="31">
        <v>1</v>
      </c>
      <c r="V1811" s="31" t="s">
        <v>27</v>
      </c>
      <c r="W1811" s="17">
        <f>(VLOOKUP(T1811,'[1]Simulation pricing per sub assy'!$D:$E,2,0))*U1811</f>
        <v>7.04</v>
      </c>
      <c r="X1811" s="32" t="s">
        <v>616</v>
      </c>
      <c r="Y1811" s="32">
        <v>1</v>
      </c>
      <c r="Z1811" s="32" t="s">
        <v>23</v>
      </c>
      <c r="AA1811" s="18">
        <f>(VLOOKUP(X1811,'[1]Simulation pricing per sub assy'!$D:$E,2,0))*Y1811</f>
        <v>4.4802908000000006</v>
      </c>
    </row>
    <row r="1812" spans="1:27" x14ac:dyDescent="0.35">
      <c r="A1812" s="27" t="s">
        <v>3059</v>
      </c>
      <c r="B1812" s="27" t="s">
        <v>4684</v>
      </c>
      <c r="C1812" s="42">
        <f t="shared" si="28"/>
        <v>284.6366908</v>
      </c>
      <c r="D1812" s="28" t="s">
        <v>3540</v>
      </c>
      <c r="E1812" s="28">
        <v>2</v>
      </c>
      <c r="F1812" s="28" t="s">
        <v>3981</v>
      </c>
      <c r="G1812" s="14">
        <f>(VLOOKUP(D1812,'[1]BOM Info General'!$A:$L,12,0))*E1812</f>
        <v>130.12</v>
      </c>
      <c r="H1812" s="29" t="s">
        <v>41</v>
      </c>
      <c r="I1812" s="29">
        <v>1</v>
      </c>
      <c r="J1812" s="29" t="s">
        <v>47</v>
      </c>
      <c r="K1812" s="15">
        <f>(VLOOKUP(H1812,'[1]BOM Info General'!$A:$L,12,0))*I1812</f>
        <v>27.18</v>
      </c>
      <c r="L1812" s="26" t="s">
        <v>524</v>
      </c>
      <c r="M1812" s="26">
        <v>1</v>
      </c>
      <c r="N1812" s="26" t="s">
        <v>70</v>
      </c>
      <c r="O1812" s="9">
        <f>(VLOOKUP(L1812,'[1]Simulation pricing per sub assy'!$D:$E,2,0))*M1812</f>
        <v>94.656400000000033</v>
      </c>
      <c r="P1812" s="30" t="s">
        <v>50</v>
      </c>
      <c r="Q1812" s="30">
        <v>8</v>
      </c>
      <c r="R1812" s="30" t="s">
        <v>16</v>
      </c>
      <c r="S1812" s="40">
        <f>(VLOOKUP(P1812,'[1]BOM Info General'!$A:$L,12,0))*Q1812</f>
        <v>21.2</v>
      </c>
      <c r="T1812" s="31" t="s">
        <v>28</v>
      </c>
      <c r="U1812" s="31">
        <v>1</v>
      </c>
      <c r="V1812" s="31" t="s">
        <v>29</v>
      </c>
      <c r="W1812" s="17">
        <f>(VLOOKUP(T1812,'[1]Simulation pricing per sub assy'!$D:$E,2,0))*U1812</f>
        <v>7</v>
      </c>
      <c r="X1812" s="32" t="s">
        <v>616</v>
      </c>
      <c r="Y1812" s="32">
        <v>1</v>
      </c>
      <c r="Z1812" s="32" t="s">
        <v>23</v>
      </c>
      <c r="AA1812" s="18">
        <f>(VLOOKUP(X1812,'[1]Simulation pricing per sub assy'!$D:$E,2,0))*Y1812</f>
        <v>4.4802908000000006</v>
      </c>
    </row>
    <row r="1813" spans="1:27" x14ac:dyDescent="0.35">
      <c r="A1813" s="27" t="s">
        <v>3060</v>
      </c>
      <c r="B1813" s="27" t="s">
        <v>4685</v>
      </c>
      <c r="C1813" s="42">
        <f t="shared" si="28"/>
        <v>285.73669080000002</v>
      </c>
      <c r="D1813" s="28" t="s">
        <v>3540</v>
      </c>
      <c r="E1813" s="28">
        <v>2</v>
      </c>
      <c r="F1813" s="28" t="s">
        <v>3981</v>
      </c>
      <c r="G1813" s="14">
        <f>(VLOOKUP(D1813,'[1]BOM Info General'!$A:$L,12,0))*E1813</f>
        <v>130.12</v>
      </c>
      <c r="H1813" s="29" t="s">
        <v>41</v>
      </c>
      <c r="I1813" s="29">
        <v>1</v>
      </c>
      <c r="J1813" s="29" t="s">
        <v>47</v>
      </c>
      <c r="K1813" s="15">
        <f>(VLOOKUP(H1813,'[1]BOM Info General'!$A:$L,12,0))*I1813</f>
        <v>27.18</v>
      </c>
      <c r="L1813" s="26" t="s">
        <v>67</v>
      </c>
      <c r="M1813" s="26">
        <v>1</v>
      </c>
      <c r="N1813" s="26" t="s">
        <v>64</v>
      </c>
      <c r="O1813" s="9">
        <f>(VLOOKUP(L1813,'[1]Simulation pricing per sub assy'!$D:$E,2,0))*M1813</f>
        <v>95.756400000000042</v>
      </c>
      <c r="P1813" s="30" t="s">
        <v>50</v>
      </c>
      <c r="Q1813" s="30">
        <v>8</v>
      </c>
      <c r="R1813" s="30" t="s">
        <v>16</v>
      </c>
      <c r="S1813" s="40">
        <f>(VLOOKUP(P1813,'[1]BOM Info General'!$A:$L,12,0))*Q1813</f>
        <v>21.2</v>
      </c>
      <c r="T1813" s="31" t="s">
        <v>28</v>
      </c>
      <c r="U1813" s="31">
        <v>1</v>
      </c>
      <c r="V1813" s="31" t="s">
        <v>29</v>
      </c>
      <c r="W1813" s="17">
        <f>(VLOOKUP(T1813,'[1]Simulation pricing per sub assy'!$D:$E,2,0))*U1813</f>
        <v>7</v>
      </c>
      <c r="X1813" s="32" t="s">
        <v>616</v>
      </c>
      <c r="Y1813" s="32">
        <v>1</v>
      </c>
      <c r="Z1813" s="32" t="s">
        <v>23</v>
      </c>
      <c r="AA1813" s="18">
        <f>(VLOOKUP(X1813,'[1]Simulation pricing per sub assy'!$D:$E,2,0))*Y1813</f>
        <v>4.4802908000000006</v>
      </c>
    </row>
    <row r="1814" spans="1:27" x14ac:dyDescent="0.35">
      <c r="A1814" s="27" t="s">
        <v>3061</v>
      </c>
      <c r="B1814" s="27" t="s">
        <v>4686</v>
      </c>
      <c r="C1814" s="42">
        <f t="shared" si="28"/>
        <v>285.73669080000002</v>
      </c>
      <c r="D1814" s="28" t="s">
        <v>3540</v>
      </c>
      <c r="E1814" s="28">
        <v>2</v>
      </c>
      <c r="F1814" s="28" t="s">
        <v>3981</v>
      </c>
      <c r="G1814" s="14">
        <f>(VLOOKUP(D1814,'[1]BOM Info General'!$A:$L,12,0))*E1814</f>
        <v>130.12</v>
      </c>
      <c r="H1814" s="29" t="s">
        <v>41</v>
      </c>
      <c r="I1814" s="29">
        <v>1</v>
      </c>
      <c r="J1814" s="29" t="s">
        <v>47</v>
      </c>
      <c r="K1814" s="15">
        <f>(VLOOKUP(H1814,'[1]BOM Info General'!$A:$L,12,0))*I1814</f>
        <v>27.18</v>
      </c>
      <c r="L1814" s="26" t="s">
        <v>63</v>
      </c>
      <c r="M1814" s="26">
        <v>1</v>
      </c>
      <c r="N1814" s="26" t="s">
        <v>62</v>
      </c>
      <c r="O1814" s="9">
        <f>(VLOOKUP(L1814,'[1]Simulation pricing per sub assy'!$D:$E,2,0))*M1814</f>
        <v>95.756400000000042</v>
      </c>
      <c r="P1814" s="30" t="s">
        <v>50</v>
      </c>
      <c r="Q1814" s="30">
        <v>8</v>
      </c>
      <c r="R1814" s="30" t="s">
        <v>16</v>
      </c>
      <c r="S1814" s="40">
        <f>(VLOOKUP(P1814,'[1]BOM Info General'!$A:$L,12,0))*Q1814</f>
        <v>21.2</v>
      </c>
      <c r="T1814" s="31" t="s">
        <v>28</v>
      </c>
      <c r="U1814" s="31">
        <v>1</v>
      </c>
      <c r="V1814" s="31" t="s">
        <v>29</v>
      </c>
      <c r="W1814" s="17">
        <f>(VLOOKUP(T1814,'[1]Simulation pricing per sub assy'!$D:$E,2,0))*U1814</f>
        <v>7</v>
      </c>
      <c r="X1814" s="32" t="s">
        <v>616</v>
      </c>
      <c r="Y1814" s="32">
        <v>1</v>
      </c>
      <c r="Z1814" s="32" t="s">
        <v>23</v>
      </c>
      <c r="AA1814" s="18">
        <f>(VLOOKUP(X1814,'[1]Simulation pricing per sub assy'!$D:$E,2,0))*Y1814</f>
        <v>4.4802908000000006</v>
      </c>
    </row>
    <row r="1815" spans="1:27" x14ac:dyDescent="0.35">
      <c r="A1815" s="27" t="s">
        <v>3062</v>
      </c>
      <c r="B1815" s="27" t="s">
        <v>4687</v>
      </c>
      <c r="C1815" s="42">
        <f t="shared" si="28"/>
        <v>285.18669080000001</v>
      </c>
      <c r="D1815" s="28" t="s">
        <v>3540</v>
      </c>
      <c r="E1815" s="28">
        <v>2</v>
      </c>
      <c r="F1815" s="28" t="s">
        <v>3981</v>
      </c>
      <c r="G1815" s="14">
        <f>(VLOOKUP(D1815,'[1]BOM Info General'!$A:$L,12,0))*E1815</f>
        <v>130.12</v>
      </c>
      <c r="H1815" s="29" t="s">
        <v>41</v>
      </c>
      <c r="I1815" s="29">
        <v>1</v>
      </c>
      <c r="J1815" s="29" t="s">
        <v>47</v>
      </c>
      <c r="K1815" s="15">
        <f>(VLOOKUP(H1815,'[1]BOM Info General'!$A:$L,12,0))*I1815</f>
        <v>27.18</v>
      </c>
      <c r="L1815" s="26" t="s">
        <v>69</v>
      </c>
      <c r="M1815" s="26">
        <v>1</v>
      </c>
      <c r="N1815" s="26" t="s">
        <v>66</v>
      </c>
      <c r="O1815" s="9">
        <f>(VLOOKUP(L1815,'[1]Simulation pricing per sub assy'!$D:$E,2,0))*M1815</f>
        <v>95.206400000000031</v>
      </c>
      <c r="P1815" s="30" t="s">
        <v>50</v>
      </c>
      <c r="Q1815" s="30">
        <v>8</v>
      </c>
      <c r="R1815" s="30" t="s">
        <v>16</v>
      </c>
      <c r="S1815" s="40">
        <f>(VLOOKUP(P1815,'[1]BOM Info General'!$A:$L,12,0))*Q1815</f>
        <v>21.2</v>
      </c>
      <c r="T1815" s="31" t="s">
        <v>28</v>
      </c>
      <c r="U1815" s="31">
        <v>1</v>
      </c>
      <c r="V1815" s="31" t="s">
        <v>29</v>
      </c>
      <c r="W1815" s="17">
        <f>(VLOOKUP(T1815,'[1]Simulation pricing per sub assy'!$D:$E,2,0))*U1815</f>
        <v>7</v>
      </c>
      <c r="X1815" s="32" t="s">
        <v>616</v>
      </c>
      <c r="Y1815" s="32">
        <v>1</v>
      </c>
      <c r="Z1815" s="32" t="s">
        <v>23</v>
      </c>
      <c r="AA1815" s="18">
        <f>(VLOOKUP(X1815,'[1]Simulation pricing per sub assy'!$D:$E,2,0))*Y1815</f>
        <v>4.4802908000000006</v>
      </c>
    </row>
    <row r="1816" spans="1:27" x14ac:dyDescent="0.35">
      <c r="A1816" s="27" t="s">
        <v>3063</v>
      </c>
      <c r="B1816" s="27" t="s">
        <v>4688</v>
      </c>
      <c r="C1816" s="42">
        <f t="shared" si="28"/>
        <v>293.14669079999999</v>
      </c>
      <c r="D1816" s="28" t="s">
        <v>3540</v>
      </c>
      <c r="E1816" s="28">
        <v>2</v>
      </c>
      <c r="F1816" s="28" t="s">
        <v>3981</v>
      </c>
      <c r="G1816" s="14">
        <f>(VLOOKUP(D1816,'[1]BOM Info General'!$A:$L,12,0))*E1816</f>
        <v>130.12</v>
      </c>
      <c r="H1816" s="29" t="s">
        <v>41</v>
      </c>
      <c r="I1816" s="29">
        <v>1</v>
      </c>
      <c r="J1816" s="29" t="s">
        <v>47</v>
      </c>
      <c r="K1816" s="15">
        <f>(VLOOKUP(H1816,'[1]BOM Info General'!$A:$L,12,0))*I1816</f>
        <v>27.18</v>
      </c>
      <c r="L1816" s="26" t="s">
        <v>65</v>
      </c>
      <c r="M1816" s="26">
        <v>1</v>
      </c>
      <c r="N1816" s="26" t="s">
        <v>68</v>
      </c>
      <c r="O1816" s="9">
        <f>(VLOOKUP(L1816,'[1]Simulation pricing per sub assy'!$D:$E,2,0))*M1816</f>
        <v>103.16640000000004</v>
      </c>
      <c r="P1816" s="30" t="s">
        <v>50</v>
      </c>
      <c r="Q1816" s="30">
        <v>8</v>
      </c>
      <c r="R1816" s="30" t="s">
        <v>16</v>
      </c>
      <c r="S1816" s="40">
        <f>(VLOOKUP(P1816,'[1]BOM Info General'!$A:$L,12,0))*Q1816</f>
        <v>21.2</v>
      </c>
      <c r="T1816" s="31" t="s">
        <v>28</v>
      </c>
      <c r="U1816" s="31">
        <v>1</v>
      </c>
      <c r="V1816" s="31" t="s">
        <v>29</v>
      </c>
      <c r="W1816" s="17">
        <f>(VLOOKUP(T1816,'[1]Simulation pricing per sub assy'!$D:$E,2,0))*U1816</f>
        <v>7</v>
      </c>
      <c r="X1816" s="32" t="s">
        <v>616</v>
      </c>
      <c r="Y1816" s="32">
        <v>1</v>
      </c>
      <c r="Z1816" s="32" t="s">
        <v>23</v>
      </c>
      <c r="AA1816" s="18">
        <f>(VLOOKUP(X1816,'[1]Simulation pricing per sub assy'!$D:$E,2,0))*Y1816</f>
        <v>4.4802908000000006</v>
      </c>
    </row>
    <row r="1817" spans="1:27" x14ac:dyDescent="0.35">
      <c r="A1817" s="27" t="s">
        <v>3064</v>
      </c>
      <c r="B1817" s="27" t="s">
        <v>4689</v>
      </c>
      <c r="C1817" s="42">
        <f t="shared" si="28"/>
        <v>284.07669079999999</v>
      </c>
      <c r="D1817" s="28" t="s">
        <v>3540</v>
      </c>
      <c r="E1817" s="28">
        <v>2</v>
      </c>
      <c r="F1817" s="28" t="s">
        <v>3981</v>
      </c>
      <c r="G1817" s="14">
        <f>(VLOOKUP(D1817,'[1]BOM Info General'!$A:$L,12,0))*E1817</f>
        <v>130.12</v>
      </c>
      <c r="H1817" s="29" t="s">
        <v>41</v>
      </c>
      <c r="I1817" s="29">
        <v>1</v>
      </c>
      <c r="J1817" s="29" t="s">
        <v>47</v>
      </c>
      <c r="K1817" s="15">
        <f>(VLOOKUP(H1817,'[1]BOM Info General'!$A:$L,12,0))*I1817</f>
        <v>27.18</v>
      </c>
      <c r="L1817" s="26" t="s">
        <v>524</v>
      </c>
      <c r="M1817" s="26">
        <v>1</v>
      </c>
      <c r="N1817" s="26" t="s">
        <v>70</v>
      </c>
      <c r="O1817" s="9">
        <f>(VLOOKUP(L1817,'[1]Simulation pricing per sub assy'!$D:$E,2,0))*M1817</f>
        <v>94.656400000000033</v>
      </c>
      <c r="P1817" s="30" t="s">
        <v>51</v>
      </c>
      <c r="Q1817" s="30">
        <v>8</v>
      </c>
      <c r="R1817" s="30" t="s">
        <v>17</v>
      </c>
      <c r="S1817" s="40">
        <f>(VLOOKUP(P1817,'[1]BOM Info General'!$A:$L,12,0))*Q1817</f>
        <v>21.2</v>
      </c>
      <c r="T1817" s="31" t="s">
        <v>24</v>
      </c>
      <c r="U1817" s="31">
        <v>1</v>
      </c>
      <c r="V1817" s="31" t="s">
        <v>25</v>
      </c>
      <c r="W1817" s="17">
        <f>(VLOOKUP(T1817,'[1]Simulation pricing per sub assy'!$D:$E,2,0))*U1817</f>
        <v>6.44</v>
      </c>
      <c r="X1817" s="32" t="s">
        <v>616</v>
      </c>
      <c r="Y1817" s="32">
        <v>1</v>
      </c>
      <c r="Z1817" s="32" t="s">
        <v>23</v>
      </c>
      <c r="AA1817" s="18">
        <f>(VLOOKUP(X1817,'[1]Simulation pricing per sub assy'!$D:$E,2,0))*Y1817</f>
        <v>4.4802908000000006</v>
      </c>
    </row>
    <row r="1818" spans="1:27" x14ac:dyDescent="0.35">
      <c r="A1818" s="27" t="s">
        <v>3065</v>
      </c>
      <c r="B1818" s="27" t="s">
        <v>4690</v>
      </c>
      <c r="C1818" s="42">
        <f t="shared" si="28"/>
        <v>285.17669080000002</v>
      </c>
      <c r="D1818" s="28" t="s">
        <v>3540</v>
      </c>
      <c r="E1818" s="28">
        <v>2</v>
      </c>
      <c r="F1818" s="28" t="s">
        <v>3981</v>
      </c>
      <c r="G1818" s="14">
        <f>(VLOOKUP(D1818,'[1]BOM Info General'!$A:$L,12,0))*E1818</f>
        <v>130.12</v>
      </c>
      <c r="H1818" s="29" t="s">
        <v>41</v>
      </c>
      <c r="I1818" s="29">
        <v>1</v>
      </c>
      <c r="J1818" s="29" t="s">
        <v>47</v>
      </c>
      <c r="K1818" s="15">
        <f>(VLOOKUP(H1818,'[1]BOM Info General'!$A:$L,12,0))*I1818</f>
        <v>27.18</v>
      </c>
      <c r="L1818" s="26" t="s">
        <v>67</v>
      </c>
      <c r="M1818" s="26">
        <v>1</v>
      </c>
      <c r="N1818" s="26" t="s">
        <v>64</v>
      </c>
      <c r="O1818" s="9">
        <f>(VLOOKUP(L1818,'[1]Simulation pricing per sub assy'!$D:$E,2,0))*M1818</f>
        <v>95.756400000000042</v>
      </c>
      <c r="P1818" s="30" t="s">
        <v>51</v>
      </c>
      <c r="Q1818" s="30">
        <v>8</v>
      </c>
      <c r="R1818" s="30" t="s">
        <v>17</v>
      </c>
      <c r="S1818" s="40">
        <f>(VLOOKUP(P1818,'[1]BOM Info General'!$A:$L,12,0))*Q1818</f>
        <v>21.2</v>
      </c>
      <c r="T1818" s="31" t="s">
        <v>24</v>
      </c>
      <c r="U1818" s="31">
        <v>1</v>
      </c>
      <c r="V1818" s="31" t="s">
        <v>25</v>
      </c>
      <c r="W1818" s="17">
        <f>(VLOOKUP(T1818,'[1]Simulation pricing per sub assy'!$D:$E,2,0))*U1818</f>
        <v>6.44</v>
      </c>
      <c r="X1818" s="32" t="s">
        <v>616</v>
      </c>
      <c r="Y1818" s="32">
        <v>1</v>
      </c>
      <c r="Z1818" s="32" t="s">
        <v>23</v>
      </c>
      <c r="AA1818" s="18">
        <f>(VLOOKUP(X1818,'[1]Simulation pricing per sub assy'!$D:$E,2,0))*Y1818</f>
        <v>4.4802908000000006</v>
      </c>
    </row>
    <row r="1819" spans="1:27" x14ac:dyDescent="0.35">
      <c r="A1819" s="27" t="s">
        <v>3066</v>
      </c>
      <c r="B1819" s="27" t="s">
        <v>4691</v>
      </c>
      <c r="C1819" s="42">
        <f t="shared" si="28"/>
        <v>285.17669080000002</v>
      </c>
      <c r="D1819" s="28" t="s">
        <v>3540</v>
      </c>
      <c r="E1819" s="28">
        <v>2</v>
      </c>
      <c r="F1819" s="28" t="s">
        <v>3981</v>
      </c>
      <c r="G1819" s="14">
        <f>(VLOOKUP(D1819,'[1]BOM Info General'!$A:$L,12,0))*E1819</f>
        <v>130.12</v>
      </c>
      <c r="H1819" s="29" t="s">
        <v>41</v>
      </c>
      <c r="I1819" s="29">
        <v>1</v>
      </c>
      <c r="J1819" s="29" t="s">
        <v>47</v>
      </c>
      <c r="K1819" s="15">
        <f>(VLOOKUP(H1819,'[1]BOM Info General'!$A:$L,12,0))*I1819</f>
        <v>27.18</v>
      </c>
      <c r="L1819" s="26" t="s">
        <v>63</v>
      </c>
      <c r="M1819" s="26">
        <v>1</v>
      </c>
      <c r="N1819" s="26" t="s">
        <v>62</v>
      </c>
      <c r="O1819" s="9">
        <f>(VLOOKUP(L1819,'[1]Simulation pricing per sub assy'!$D:$E,2,0))*M1819</f>
        <v>95.756400000000042</v>
      </c>
      <c r="P1819" s="30" t="s">
        <v>51</v>
      </c>
      <c r="Q1819" s="30">
        <v>8</v>
      </c>
      <c r="R1819" s="30" t="s">
        <v>17</v>
      </c>
      <c r="S1819" s="40">
        <f>(VLOOKUP(P1819,'[1]BOM Info General'!$A:$L,12,0))*Q1819</f>
        <v>21.2</v>
      </c>
      <c r="T1819" s="31" t="s">
        <v>24</v>
      </c>
      <c r="U1819" s="31">
        <v>1</v>
      </c>
      <c r="V1819" s="31" t="s">
        <v>25</v>
      </c>
      <c r="W1819" s="17">
        <f>(VLOOKUP(T1819,'[1]Simulation pricing per sub assy'!$D:$E,2,0))*U1819</f>
        <v>6.44</v>
      </c>
      <c r="X1819" s="32" t="s">
        <v>616</v>
      </c>
      <c r="Y1819" s="32">
        <v>1</v>
      </c>
      <c r="Z1819" s="32" t="s">
        <v>23</v>
      </c>
      <c r="AA1819" s="18">
        <f>(VLOOKUP(X1819,'[1]Simulation pricing per sub assy'!$D:$E,2,0))*Y1819</f>
        <v>4.4802908000000006</v>
      </c>
    </row>
    <row r="1820" spans="1:27" x14ac:dyDescent="0.35">
      <c r="A1820" s="27" t="s">
        <v>3067</v>
      </c>
      <c r="B1820" s="27" t="s">
        <v>4692</v>
      </c>
      <c r="C1820" s="42">
        <f t="shared" si="28"/>
        <v>284.62669080000001</v>
      </c>
      <c r="D1820" s="28" t="s">
        <v>3540</v>
      </c>
      <c r="E1820" s="28">
        <v>2</v>
      </c>
      <c r="F1820" s="28" t="s">
        <v>3981</v>
      </c>
      <c r="G1820" s="14">
        <f>(VLOOKUP(D1820,'[1]BOM Info General'!$A:$L,12,0))*E1820</f>
        <v>130.12</v>
      </c>
      <c r="H1820" s="29" t="s">
        <v>41</v>
      </c>
      <c r="I1820" s="29">
        <v>1</v>
      </c>
      <c r="J1820" s="29" t="s">
        <v>47</v>
      </c>
      <c r="K1820" s="15">
        <f>(VLOOKUP(H1820,'[1]BOM Info General'!$A:$L,12,0))*I1820</f>
        <v>27.18</v>
      </c>
      <c r="L1820" s="26" t="s">
        <v>69</v>
      </c>
      <c r="M1820" s="26">
        <v>1</v>
      </c>
      <c r="N1820" s="26" t="s">
        <v>66</v>
      </c>
      <c r="O1820" s="9">
        <f>(VLOOKUP(L1820,'[1]Simulation pricing per sub assy'!$D:$E,2,0))*M1820</f>
        <v>95.206400000000031</v>
      </c>
      <c r="P1820" s="30" t="s">
        <v>51</v>
      </c>
      <c r="Q1820" s="30">
        <v>8</v>
      </c>
      <c r="R1820" s="30" t="s">
        <v>17</v>
      </c>
      <c r="S1820" s="40">
        <f>(VLOOKUP(P1820,'[1]BOM Info General'!$A:$L,12,0))*Q1820</f>
        <v>21.2</v>
      </c>
      <c r="T1820" s="31" t="s">
        <v>24</v>
      </c>
      <c r="U1820" s="31">
        <v>1</v>
      </c>
      <c r="V1820" s="31" t="s">
        <v>25</v>
      </c>
      <c r="W1820" s="17">
        <f>(VLOOKUP(T1820,'[1]Simulation pricing per sub assy'!$D:$E,2,0))*U1820</f>
        <v>6.44</v>
      </c>
      <c r="X1820" s="32" t="s">
        <v>616</v>
      </c>
      <c r="Y1820" s="32">
        <v>1</v>
      </c>
      <c r="Z1820" s="32" t="s">
        <v>23</v>
      </c>
      <c r="AA1820" s="18">
        <f>(VLOOKUP(X1820,'[1]Simulation pricing per sub assy'!$D:$E,2,0))*Y1820</f>
        <v>4.4802908000000006</v>
      </c>
    </row>
    <row r="1821" spans="1:27" x14ac:dyDescent="0.35">
      <c r="A1821" s="27" t="s">
        <v>3068</v>
      </c>
      <c r="B1821" s="27" t="s">
        <v>4693</v>
      </c>
      <c r="C1821" s="42">
        <f t="shared" si="28"/>
        <v>292.58669079999999</v>
      </c>
      <c r="D1821" s="28" t="s">
        <v>3540</v>
      </c>
      <c r="E1821" s="28">
        <v>2</v>
      </c>
      <c r="F1821" s="28" t="s">
        <v>3981</v>
      </c>
      <c r="G1821" s="14">
        <f>(VLOOKUP(D1821,'[1]BOM Info General'!$A:$L,12,0))*E1821</f>
        <v>130.12</v>
      </c>
      <c r="H1821" s="29" t="s">
        <v>41</v>
      </c>
      <c r="I1821" s="29">
        <v>1</v>
      </c>
      <c r="J1821" s="29" t="s">
        <v>47</v>
      </c>
      <c r="K1821" s="15">
        <f>(VLOOKUP(H1821,'[1]BOM Info General'!$A:$L,12,0))*I1821</f>
        <v>27.18</v>
      </c>
      <c r="L1821" s="26" t="s">
        <v>65</v>
      </c>
      <c r="M1821" s="26">
        <v>1</v>
      </c>
      <c r="N1821" s="26" t="s">
        <v>68</v>
      </c>
      <c r="O1821" s="9">
        <f>(VLOOKUP(L1821,'[1]Simulation pricing per sub assy'!$D:$E,2,0))*M1821</f>
        <v>103.16640000000004</v>
      </c>
      <c r="P1821" s="30" t="s">
        <v>51</v>
      </c>
      <c r="Q1821" s="30">
        <v>8</v>
      </c>
      <c r="R1821" s="30" t="s">
        <v>17</v>
      </c>
      <c r="S1821" s="40">
        <f>(VLOOKUP(P1821,'[1]BOM Info General'!$A:$L,12,0))*Q1821</f>
        <v>21.2</v>
      </c>
      <c r="T1821" s="31" t="s">
        <v>24</v>
      </c>
      <c r="U1821" s="31">
        <v>1</v>
      </c>
      <c r="V1821" s="31" t="s">
        <v>25</v>
      </c>
      <c r="W1821" s="17">
        <f>(VLOOKUP(T1821,'[1]Simulation pricing per sub assy'!$D:$E,2,0))*U1821</f>
        <v>6.44</v>
      </c>
      <c r="X1821" s="32" t="s">
        <v>616</v>
      </c>
      <c r="Y1821" s="32">
        <v>1</v>
      </c>
      <c r="Z1821" s="32" t="s">
        <v>23</v>
      </c>
      <c r="AA1821" s="18">
        <f>(VLOOKUP(X1821,'[1]Simulation pricing per sub assy'!$D:$E,2,0))*Y1821</f>
        <v>4.4802908000000006</v>
      </c>
    </row>
    <row r="1822" spans="1:27" x14ac:dyDescent="0.35">
      <c r="A1822" s="27" t="s">
        <v>3069</v>
      </c>
      <c r="B1822" s="27" t="s">
        <v>4694</v>
      </c>
      <c r="C1822" s="42">
        <f t="shared" si="28"/>
        <v>284.67669080000002</v>
      </c>
      <c r="D1822" s="28" t="s">
        <v>3540</v>
      </c>
      <c r="E1822" s="28">
        <v>2</v>
      </c>
      <c r="F1822" s="28" t="s">
        <v>3981</v>
      </c>
      <c r="G1822" s="14">
        <f>(VLOOKUP(D1822,'[1]BOM Info General'!$A:$L,12,0))*E1822</f>
        <v>130.12</v>
      </c>
      <c r="H1822" s="29" t="s">
        <v>41</v>
      </c>
      <c r="I1822" s="29">
        <v>1</v>
      </c>
      <c r="J1822" s="29" t="s">
        <v>47</v>
      </c>
      <c r="K1822" s="15">
        <f>(VLOOKUP(H1822,'[1]BOM Info General'!$A:$L,12,0))*I1822</f>
        <v>27.18</v>
      </c>
      <c r="L1822" s="26" t="s">
        <v>524</v>
      </c>
      <c r="M1822" s="26">
        <v>1</v>
      </c>
      <c r="N1822" s="26" t="s">
        <v>70</v>
      </c>
      <c r="O1822" s="9">
        <f>(VLOOKUP(L1822,'[1]Simulation pricing per sub assy'!$D:$E,2,0))*M1822</f>
        <v>94.656400000000033</v>
      </c>
      <c r="P1822" s="30" t="s">
        <v>51</v>
      </c>
      <c r="Q1822" s="30">
        <v>8</v>
      </c>
      <c r="R1822" s="30" t="s">
        <v>17</v>
      </c>
      <c r="S1822" s="40">
        <f>(VLOOKUP(P1822,'[1]BOM Info General'!$A:$L,12,0))*Q1822</f>
        <v>21.2</v>
      </c>
      <c r="T1822" s="31" t="s">
        <v>26</v>
      </c>
      <c r="U1822" s="31">
        <v>1</v>
      </c>
      <c r="V1822" s="31" t="s">
        <v>27</v>
      </c>
      <c r="W1822" s="17">
        <f>(VLOOKUP(T1822,'[1]Simulation pricing per sub assy'!$D:$E,2,0))*U1822</f>
        <v>7.04</v>
      </c>
      <c r="X1822" s="32" t="s">
        <v>616</v>
      </c>
      <c r="Y1822" s="32">
        <v>1</v>
      </c>
      <c r="Z1822" s="32" t="s">
        <v>23</v>
      </c>
      <c r="AA1822" s="18">
        <f>(VLOOKUP(X1822,'[1]Simulation pricing per sub assy'!$D:$E,2,0))*Y1822</f>
        <v>4.4802908000000006</v>
      </c>
    </row>
    <row r="1823" spans="1:27" x14ac:dyDescent="0.35">
      <c r="A1823" s="27" t="s">
        <v>3070</v>
      </c>
      <c r="B1823" s="27" t="s">
        <v>4695</v>
      </c>
      <c r="C1823" s="42">
        <f t="shared" si="28"/>
        <v>285.77669080000004</v>
      </c>
      <c r="D1823" s="28" t="s">
        <v>3540</v>
      </c>
      <c r="E1823" s="28">
        <v>2</v>
      </c>
      <c r="F1823" s="28" t="s">
        <v>3981</v>
      </c>
      <c r="G1823" s="14">
        <f>(VLOOKUP(D1823,'[1]BOM Info General'!$A:$L,12,0))*E1823</f>
        <v>130.12</v>
      </c>
      <c r="H1823" s="29" t="s">
        <v>41</v>
      </c>
      <c r="I1823" s="29">
        <v>1</v>
      </c>
      <c r="J1823" s="29" t="s">
        <v>47</v>
      </c>
      <c r="K1823" s="15">
        <f>(VLOOKUP(H1823,'[1]BOM Info General'!$A:$L,12,0))*I1823</f>
        <v>27.18</v>
      </c>
      <c r="L1823" s="26" t="s">
        <v>67</v>
      </c>
      <c r="M1823" s="26">
        <v>1</v>
      </c>
      <c r="N1823" s="26" t="s">
        <v>64</v>
      </c>
      <c r="O1823" s="9">
        <f>(VLOOKUP(L1823,'[1]Simulation pricing per sub assy'!$D:$E,2,0))*M1823</f>
        <v>95.756400000000042</v>
      </c>
      <c r="P1823" s="30" t="s">
        <v>51</v>
      </c>
      <c r="Q1823" s="30">
        <v>8</v>
      </c>
      <c r="R1823" s="30" t="s">
        <v>17</v>
      </c>
      <c r="S1823" s="40">
        <f>(VLOOKUP(P1823,'[1]BOM Info General'!$A:$L,12,0))*Q1823</f>
        <v>21.2</v>
      </c>
      <c r="T1823" s="31" t="s">
        <v>26</v>
      </c>
      <c r="U1823" s="31">
        <v>1</v>
      </c>
      <c r="V1823" s="31" t="s">
        <v>27</v>
      </c>
      <c r="W1823" s="17">
        <f>(VLOOKUP(T1823,'[1]Simulation pricing per sub assy'!$D:$E,2,0))*U1823</f>
        <v>7.04</v>
      </c>
      <c r="X1823" s="32" t="s">
        <v>616</v>
      </c>
      <c r="Y1823" s="32">
        <v>1</v>
      </c>
      <c r="Z1823" s="32" t="s">
        <v>23</v>
      </c>
      <c r="AA1823" s="18">
        <f>(VLOOKUP(X1823,'[1]Simulation pricing per sub assy'!$D:$E,2,0))*Y1823</f>
        <v>4.4802908000000006</v>
      </c>
    </row>
    <row r="1824" spans="1:27" x14ac:dyDescent="0.35">
      <c r="A1824" s="27" t="s">
        <v>3071</v>
      </c>
      <c r="B1824" s="27" t="s">
        <v>4696</v>
      </c>
      <c r="C1824" s="42">
        <f t="shared" si="28"/>
        <v>285.77669080000004</v>
      </c>
      <c r="D1824" s="28" t="s">
        <v>3540</v>
      </c>
      <c r="E1824" s="28">
        <v>2</v>
      </c>
      <c r="F1824" s="28" t="s">
        <v>3981</v>
      </c>
      <c r="G1824" s="14">
        <f>(VLOOKUP(D1824,'[1]BOM Info General'!$A:$L,12,0))*E1824</f>
        <v>130.12</v>
      </c>
      <c r="H1824" s="29" t="s">
        <v>41</v>
      </c>
      <c r="I1824" s="29">
        <v>1</v>
      </c>
      <c r="J1824" s="29" t="s">
        <v>47</v>
      </c>
      <c r="K1824" s="15">
        <f>(VLOOKUP(H1824,'[1]BOM Info General'!$A:$L,12,0))*I1824</f>
        <v>27.18</v>
      </c>
      <c r="L1824" s="26" t="s">
        <v>63</v>
      </c>
      <c r="M1824" s="26">
        <v>1</v>
      </c>
      <c r="N1824" s="26" t="s">
        <v>62</v>
      </c>
      <c r="O1824" s="9">
        <f>(VLOOKUP(L1824,'[1]Simulation pricing per sub assy'!$D:$E,2,0))*M1824</f>
        <v>95.756400000000042</v>
      </c>
      <c r="P1824" s="30" t="s">
        <v>51</v>
      </c>
      <c r="Q1824" s="30">
        <v>8</v>
      </c>
      <c r="R1824" s="30" t="s">
        <v>17</v>
      </c>
      <c r="S1824" s="40">
        <f>(VLOOKUP(P1824,'[1]BOM Info General'!$A:$L,12,0))*Q1824</f>
        <v>21.2</v>
      </c>
      <c r="T1824" s="31" t="s">
        <v>26</v>
      </c>
      <c r="U1824" s="31">
        <v>1</v>
      </c>
      <c r="V1824" s="31" t="s">
        <v>27</v>
      </c>
      <c r="W1824" s="17">
        <f>(VLOOKUP(T1824,'[1]Simulation pricing per sub assy'!$D:$E,2,0))*U1824</f>
        <v>7.04</v>
      </c>
      <c r="X1824" s="32" t="s">
        <v>616</v>
      </c>
      <c r="Y1824" s="32">
        <v>1</v>
      </c>
      <c r="Z1824" s="32" t="s">
        <v>23</v>
      </c>
      <c r="AA1824" s="18">
        <f>(VLOOKUP(X1824,'[1]Simulation pricing per sub assy'!$D:$E,2,0))*Y1824</f>
        <v>4.4802908000000006</v>
      </c>
    </row>
    <row r="1825" spans="1:27" x14ac:dyDescent="0.35">
      <c r="A1825" s="27" t="s">
        <v>3072</v>
      </c>
      <c r="B1825" s="27" t="s">
        <v>4697</v>
      </c>
      <c r="C1825" s="42">
        <f t="shared" si="28"/>
        <v>285.22669080000003</v>
      </c>
      <c r="D1825" s="28" t="s">
        <v>3540</v>
      </c>
      <c r="E1825" s="28">
        <v>2</v>
      </c>
      <c r="F1825" s="28" t="s">
        <v>3981</v>
      </c>
      <c r="G1825" s="14">
        <f>(VLOOKUP(D1825,'[1]BOM Info General'!$A:$L,12,0))*E1825</f>
        <v>130.12</v>
      </c>
      <c r="H1825" s="29" t="s">
        <v>41</v>
      </c>
      <c r="I1825" s="29">
        <v>1</v>
      </c>
      <c r="J1825" s="29" t="s">
        <v>47</v>
      </c>
      <c r="K1825" s="15">
        <f>(VLOOKUP(H1825,'[1]BOM Info General'!$A:$L,12,0))*I1825</f>
        <v>27.18</v>
      </c>
      <c r="L1825" s="26" t="s">
        <v>69</v>
      </c>
      <c r="M1825" s="26">
        <v>1</v>
      </c>
      <c r="N1825" s="26" t="s">
        <v>66</v>
      </c>
      <c r="O1825" s="9">
        <f>(VLOOKUP(L1825,'[1]Simulation pricing per sub assy'!$D:$E,2,0))*M1825</f>
        <v>95.206400000000031</v>
      </c>
      <c r="P1825" s="30" t="s">
        <v>51</v>
      </c>
      <c r="Q1825" s="30">
        <v>8</v>
      </c>
      <c r="R1825" s="30" t="s">
        <v>17</v>
      </c>
      <c r="S1825" s="40">
        <f>(VLOOKUP(P1825,'[1]BOM Info General'!$A:$L,12,0))*Q1825</f>
        <v>21.2</v>
      </c>
      <c r="T1825" s="31" t="s">
        <v>26</v>
      </c>
      <c r="U1825" s="31">
        <v>1</v>
      </c>
      <c r="V1825" s="31" t="s">
        <v>27</v>
      </c>
      <c r="W1825" s="17">
        <f>(VLOOKUP(T1825,'[1]Simulation pricing per sub assy'!$D:$E,2,0))*U1825</f>
        <v>7.04</v>
      </c>
      <c r="X1825" s="32" t="s">
        <v>616</v>
      </c>
      <c r="Y1825" s="32">
        <v>1</v>
      </c>
      <c r="Z1825" s="32" t="s">
        <v>23</v>
      </c>
      <c r="AA1825" s="18">
        <f>(VLOOKUP(X1825,'[1]Simulation pricing per sub assy'!$D:$E,2,0))*Y1825</f>
        <v>4.4802908000000006</v>
      </c>
    </row>
    <row r="1826" spans="1:27" x14ac:dyDescent="0.35">
      <c r="A1826" s="27" t="s">
        <v>3073</v>
      </c>
      <c r="B1826" s="27" t="s">
        <v>4698</v>
      </c>
      <c r="C1826" s="42">
        <f t="shared" si="28"/>
        <v>293.18669080000001</v>
      </c>
      <c r="D1826" s="28" t="s">
        <v>3540</v>
      </c>
      <c r="E1826" s="28">
        <v>2</v>
      </c>
      <c r="F1826" s="28" t="s">
        <v>3981</v>
      </c>
      <c r="G1826" s="14">
        <f>(VLOOKUP(D1826,'[1]BOM Info General'!$A:$L,12,0))*E1826</f>
        <v>130.12</v>
      </c>
      <c r="H1826" s="29" t="s">
        <v>41</v>
      </c>
      <c r="I1826" s="29">
        <v>1</v>
      </c>
      <c r="J1826" s="29" t="s">
        <v>47</v>
      </c>
      <c r="K1826" s="15">
        <f>(VLOOKUP(H1826,'[1]BOM Info General'!$A:$L,12,0))*I1826</f>
        <v>27.18</v>
      </c>
      <c r="L1826" s="26" t="s">
        <v>65</v>
      </c>
      <c r="M1826" s="26">
        <v>1</v>
      </c>
      <c r="N1826" s="26" t="s">
        <v>68</v>
      </c>
      <c r="O1826" s="9">
        <f>(VLOOKUP(L1826,'[1]Simulation pricing per sub assy'!$D:$E,2,0))*M1826</f>
        <v>103.16640000000004</v>
      </c>
      <c r="P1826" s="30" t="s">
        <v>51</v>
      </c>
      <c r="Q1826" s="30">
        <v>8</v>
      </c>
      <c r="R1826" s="30" t="s">
        <v>17</v>
      </c>
      <c r="S1826" s="40">
        <f>(VLOOKUP(P1826,'[1]BOM Info General'!$A:$L,12,0))*Q1826</f>
        <v>21.2</v>
      </c>
      <c r="T1826" s="31" t="s">
        <v>26</v>
      </c>
      <c r="U1826" s="31">
        <v>1</v>
      </c>
      <c r="V1826" s="31" t="s">
        <v>27</v>
      </c>
      <c r="W1826" s="17">
        <f>(VLOOKUP(T1826,'[1]Simulation pricing per sub assy'!$D:$E,2,0))*U1826</f>
        <v>7.04</v>
      </c>
      <c r="X1826" s="32" t="s">
        <v>616</v>
      </c>
      <c r="Y1826" s="32">
        <v>1</v>
      </c>
      <c r="Z1826" s="32" t="s">
        <v>23</v>
      </c>
      <c r="AA1826" s="18">
        <f>(VLOOKUP(X1826,'[1]Simulation pricing per sub assy'!$D:$E,2,0))*Y1826</f>
        <v>4.4802908000000006</v>
      </c>
    </row>
    <row r="1827" spans="1:27" x14ac:dyDescent="0.35">
      <c r="A1827" s="27" t="s">
        <v>3074</v>
      </c>
      <c r="B1827" s="27" t="s">
        <v>4699</v>
      </c>
      <c r="C1827" s="42">
        <f t="shared" si="28"/>
        <v>284.6366908</v>
      </c>
      <c r="D1827" s="28" t="s">
        <v>3540</v>
      </c>
      <c r="E1827" s="28">
        <v>2</v>
      </c>
      <c r="F1827" s="28" t="s">
        <v>3981</v>
      </c>
      <c r="G1827" s="14">
        <f>(VLOOKUP(D1827,'[1]BOM Info General'!$A:$L,12,0))*E1827</f>
        <v>130.12</v>
      </c>
      <c r="H1827" s="29" t="s">
        <v>41</v>
      </c>
      <c r="I1827" s="29">
        <v>1</v>
      </c>
      <c r="J1827" s="29" t="s">
        <v>47</v>
      </c>
      <c r="K1827" s="15">
        <f>(VLOOKUP(H1827,'[1]BOM Info General'!$A:$L,12,0))*I1827</f>
        <v>27.18</v>
      </c>
      <c r="L1827" s="26" t="s">
        <v>524</v>
      </c>
      <c r="M1827" s="26">
        <v>1</v>
      </c>
      <c r="N1827" s="26" t="s">
        <v>70</v>
      </c>
      <c r="O1827" s="9">
        <f>(VLOOKUP(L1827,'[1]Simulation pricing per sub assy'!$D:$E,2,0))*M1827</f>
        <v>94.656400000000033</v>
      </c>
      <c r="P1827" s="30" t="s">
        <v>51</v>
      </c>
      <c r="Q1827" s="30">
        <v>8</v>
      </c>
      <c r="R1827" s="30" t="s">
        <v>17</v>
      </c>
      <c r="S1827" s="40">
        <f>(VLOOKUP(P1827,'[1]BOM Info General'!$A:$L,12,0))*Q1827</f>
        <v>21.2</v>
      </c>
      <c r="T1827" s="31" t="s">
        <v>28</v>
      </c>
      <c r="U1827" s="31">
        <v>1</v>
      </c>
      <c r="V1827" s="31" t="s">
        <v>29</v>
      </c>
      <c r="W1827" s="17">
        <f>(VLOOKUP(T1827,'[1]Simulation pricing per sub assy'!$D:$E,2,0))*U1827</f>
        <v>7</v>
      </c>
      <c r="X1827" s="32" t="s">
        <v>616</v>
      </c>
      <c r="Y1827" s="32">
        <v>1</v>
      </c>
      <c r="Z1827" s="32" t="s">
        <v>23</v>
      </c>
      <c r="AA1827" s="18">
        <f>(VLOOKUP(X1827,'[1]Simulation pricing per sub assy'!$D:$E,2,0))*Y1827</f>
        <v>4.4802908000000006</v>
      </c>
    </row>
    <row r="1828" spans="1:27" x14ac:dyDescent="0.35">
      <c r="A1828" s="27" t="s">
        <v>3075</v>
      </c>
      <c r="B1828" s="27" t="s">
        <v>4700</v>
      </c>
      <c r="C1828" s="42">
        <f t="shared" si="28"/>
        <v>285.73669080000002</v>
      </c>
      <c r="D1828" s="28" t="s">
        <v>3540</v>
      </c>
      <c r="E1828" s="28">
        <v>2</v>
      </c>
      <c r="F1828" s="28" t="s">
        <v>3981</v>
      </c>
      <c r="G1828" s="14">
        <f>(VLOOKUP(D1828,'[1]BOM Info General'!$A:$L,12,0))*E1828</f>
        <v>130.12</v>
      </c>
      <c r="H1828" s="29" t="s">
        <v>41</v>
      </c>
      <c r="I1828" s="29">
        <v>1</v>
      </c>
      <c r="J1828" s="29" t="s">
        <v>47</v>
      </c>
      <c r="K1828" s="15">
        <f>(VLOOKUP(H1828,'[1]BOM Info General'!$A:$L,12,0))*I1828</f>
        <v>27.18</v>
      </c>
      <c r="L1828" s="26" t="s">
        <v>67</v>
      </c>
      <c r="M1828" s="26">
        <v>1</v>
      </c>
      <c r="N1828" s="26" t="s">
        <v>64</v>
      </c>
      <c r="O1828" s="9">
        <f>(VLOOKUP(L1828,'[1]Simulation pricing per sub assy'!$D:$E,2,0))*M1828</f>
        <v>95.756400000000042</v>
      </c>
      <c r="P1828" s="30" t="s">
        <v>51</v>
      </c>
      <c r="Q1828" s="30">
        <v>8</v>
      </c>
      <c r="R1828" s="30" t="s">
        <v>17</v>
      </c>
      <c r="S1828" s="40">
        <f>(VLOOKUP(P1828,'[1]BOM Info General'!$A:$L,12,0))*Q1828</f>
        <v>21.2</v>
      </c>
      <c r="T1828" s="31" t="s">
        <v>28</v>
      </c>
      <c r="U1828" s="31">
        <v>1</v>
      </c>
      <c r="V1828" s="31" t="s">
        <v>29</v>
      </c>
      <c r="W1828" s="17">
        <f>(VLOOKUP(T1828,'[1]Simulation pricing per sub assy'!$D:$E,2,0))*U1828</f>
        <v>7</v>
      </c>
      <c r="X1828" s="32" t="s">
        <v>616</v>
      </c>
      <c r="Y1828" s="32">
        <v>1</v>
      </c>
      <c r="Z1828" s="32" t="s">
        <v>23</v>
      </c>
      <c r="AA1828" s="18">
        <f>(VLOOKUP(X1828,'[1]Simulation pricing per sub assy'!$D:$E,2,0))*Y1828</f>
        <v>4.4802908000000006</v>
      </c>
    </row>
    <row r="1829" spans="1:27" x14ac:dyDescent="0.35">
      <c r="A1829" s="27" t="s">
        <v>3076</v>
      </c>
      <c r="B1829" s="27" t="s">
        <v>4701</v>
      </c>
      <c r="C1829" s="42">
        <f t="shared" si="28"/>
        <v>285.73669080000002</v>
      </c>
      <c r="D1829" s="28" t="s">
        <v>3540</v>
      </c>
      <c r="E1829" s="28">
        <v>2</v>
      </c>
      <c r="F1829" s="28" t="s">
        <v>3981</v>
      </c>
      <c r="G1829" s="14">
        <f>(VLOOKUP(D1829,'[1]BOM Info General'!$A:$L,12,0))*E1829</f>
        <v>130.12</v>
      </c>
      <c r="H1829" s="29" t="s">
        <v>41</v>
      </c>
      <c r="I1829" s="29">
        <v>1</v>
      </c>
      <c r="J1829" s="29" t="s">
        <v>47</v>
      </c>
      <c r="K1829" s="15">
        <f>(VLOOKUP(H1829,'[1]BOM Info General'!$A:$L,12,0))*I1829</f>
        <v>27.18</v>
      </c>
      <c r="L1829" s="26" t="s">
        <v>63</v>
      </c>
      <c r="M1829" s="26">
        <v>1</v>
      </c>
      <c r="N1829" s="26" t="s">
        <v>62</v>
      </c>
      <c r="O1829" s="9">
        <f>(VLOOKUP(L1829,'[1]Simulation pricing per sub assy'!$D:$E,2,0))*M1829</f>
        <v>95.756400000000042</v>
      </c>
      <c r="P1829" s="30" t="s">
        <v>51</v>
      </c>
      <c r="Q1829" s="30">
        <v>8</v>
      </c>
      <c r="R1829" s="30" t="s">
        <v>17</v>
      </c>
      <c r="S1829" s="40">
        <f>(VLOOKUP(P1829,'[1]BOM Info General'!$A:$L,12,0))*Q1829</f>
        <v>21.2</v>
      </c>
      <c r="T1829" s="31" t="s">
        <v>28</v>
      </c>
      <c r="U1829" s="31">
        <v>1</v>
      </c>
      <c r="V1829" s="31" t="s">
        <v>29</v>
      </c>
      <c r="W1829" s="17">
        <f>(VLOOKUP(T1829,'[1]Simulation pricing per sub assy'!$D:$E,2,0))*U1829</f>
        <v>7</v>
      </c>
      <c r="X1829" s="32" t="s">
        <v>616</v>
      </c>
      <c r="Y1829" s="32">
        <v>1</v>
      </c>
      <c r="Z1829" s="32" t="s">
        <v>23</v>
      </c>
      <c r="AA1829" s="18">
        <f>(VLOOKUP(X1829,'[1]Simulation pricing per sub assy'!$D:$E,2,0))*Y1829</f>
        <v>4.4802908000000006</v>
      </c>
    </row>
    <row r="1830" spans="1:27" x14ac:dyDescent="0.35">
      <c r="A1830" s="27" t="s">
        <v>3077</v>
      </c>
      <c r="B1830" s="27" t="s">
        <v>4702</v>
      </c>
      <c r="C1830" s="42">
        <f t="shared" si="28"/>
        <v>285.18669080000001</v>
      </c>
      <c r="D1830" s="28" t="s">
        <v>3540</v>
      </c>
      <c r="E1830" s="28">
        <v>2</v>
      </c>
      <c r="F1830" s="28" t="s">
        <v>3981</v>
      </c>
      <c r="G1830" s="14">
        <f>(VLOOKUP(D1830,'[1]BOM Info General'!$A:$L,12,0))*E1830</f>
        <v>130.12</v>
      </c>
      <c r="H1830" s="29" t="s">
        <v>41</v>
      </c>
      <c r="I1830" s="29">
        <v>1</v>
      </c>
      <c r="J1830" s="29" t="s">
        <v>47</v>
      </c>
      <c r="K1830" s="15">
        <f>(VLOOKUP(H1830,'[1]BOM Info General'!$A:$L,12,0))*I1830</f>
        <v>27.18</v>
      </c>
      <c r="L1830" s="26" t="s">
        <v>69</v>
      </c>
      <c r="M1830" s="26">
        <v>1</v>
      </c>
      <c r="N1830" s="26" t="s">
        <v>66</v>
      </c>
      <c r="O1830" s="9">
        <f>(VLOOKUP(L1830,'[1]Simulation pricing per sub assy'!$D:$E,2,0))*M1830</f>
        <v>95.206400000000031</v>
      </c>
      <c r="P1830" s="30" t="s">
        <v>51</v>
      </c>
      <c r="Q1830" s="30">
        <v>8</v>
      </c>
      <c r="R1830" s="30" t="s">
        <v>17</v>
      </c>
      <c r="S1830" s="40">
        <f>(VLOOKUP(P1830,'[1]BOM Info General'!$A:$L,12,0))*Q1830</f>
        <v>21.2</v>
      </c>
      <c r="T1830" s="31" t="s">
        <v>28</v>
      </c>
      <c r="U1830" s="31">
        <v>1</v>
      </c>
      <c r="V1830" s="31" t="s">
        <v>29</v>
      </c>
      <c r="W1830" s="17">
        <f>(VLOOKUP(T1830,'[1]Simulation pricing per sub assy'!$D:$E,2,0))*U1830</f>
        <v>7</v>
      </c>
      <c r="X1830" s="32" t="s">
        <v>616</v>
      </c>
      <c r="Y1830" s="32">
        <v>1</v>
      </c>
      <c r="Z1830" s="32" t="s">
        <v>23</v>
      </c>
      <c r="AA1830" s="18">
        <f>(VLOOKUP(X1830,'[1]Simulation pricing per sub assy'!$D:$E,2,0))*Y1830</f>
        <v>4.4802908000000006</v>
      </c>
    </row>
    <row r="1831" spans="1:27" x14ac:dyDescent="0.35">
      <c r="A1831" s="27" t="s">
        <v>3078</v>
      </c>
      <c r="B1831" s="27" t="s">
        <v>4703</v>
      </c>
      <c r="C1831" s="42">
        <f t="shared" si="28"/>
        <v>293.14669079999999</v>
      </c>
      <c r="D1831" s="28" t="s">
        <v>3540</v>
      </c>
      <c r="E1831" s="28">
        <v>2</v>
      </c>
      <c r="F1831" s="28" t="s">
        <v>3981</v>
      </c>
      <c r="G1831" s="14">
        <f>(VLOOKUP(D1831,'[1]BOM Info General'!$A:$L,12,0))*E1831</f>
        <v>130.12</v>
      </c>
      <c r="H1831" s="29" t="s">
        <v>41</v>
      </c>
      <c r="I1831" s="29">
        <v>1</v>
      </c>
      <c r="J1831" s="29" t="s">
        <v>47</v>
      </c>
      <c r="K1831" s="15">
        <f>(VLOOKUP(H1831,'[1]BOM Info General'!$A:$L,12,0))*I1831</f>
        <v>27.18</v>
      </c>
      <c r="L1831" s="26" t="s">
        <v>65</v>
      </c>
      <c r="M1831" s="26">
        <v>1</v>
      </c>
      <c r="N1831" s="26" t="s">
        <v>68</v>
      </c>
      <c r="O1831" s="9">
        <f>(VLOOKUP(L1831,'[1]Simulation pricing per sub assy'!$D:$E,2,0))*M1831</f>
        <v>103.16640000000004</v>
      </c>
      <c r="P1831" s="30" t="s">
        <v>51</v>
      </c>
      <c r="Q1831" s="30">
        <v>8</v>
      </c>
      <c r="R1831" s="30" t="s">
        <v>17</v>
      </c>
      <c r="S1831" s="40">
        <f>(VLOOKUP(P1831,'[1]BOM Info General'!$A:$L,12,0))*Q1831</f>
        <v>21.2</v>
      </c>
      <c r="T1831" s="31" t="s">
        <v>28</v>
      </c>
      <c r="U1831" s="31">
        <v>1</v>
      </c>
      <c r="V1831" s="31" t="s">
        <v>29</v>
      </c>
      <c r="W1831" s="17">
        <f>(VLOOKUP(T1831,'[1]Simulation pricing per sub assy'!$D:$E,2,0))*U1831</f>
        <v>7</v>
      </c>
      <c r="X1831" s="32" t="s">
        <v>616</v>
      </c>
      <c r="Y1831" s="32">
        <v>1</v>
      </c>
      <c r="Z1831" s="32" t="s">
        <v>23</v>
      </c>
      <c r="AA1831" s="18">
        <f>(VLOOKUP(X1831,'[1]Simulation pricing per sub assy'!$D:$E,2,0))*Y1831</f>
        <v>4.4802908000000006</v>
      </c>
    </row>
    <row r="1832" spans="1:27" x14ac:dyDescent="0.35">
      <c r="A1832" s="27" t="s">
        <v>3079</v>
      </c>
      <c r="B1832" s="27" t="s">
        <v>4704</v>
      </c>
      <c r="C1832" s="42">
        <f t="shared" si="28"/>
        <v>284.07669079999999</v>
      </c>
      <c r="D1832" s="28" t="s">
        <v>3540</v>
      </c>
      <c r="E1832" s="28">
        <v>2</v>
      </c>
      <c r="F1832" s="28" t="s">
        <v>3981</v>
      </c>
      <c r="G1832" s="14">
        <f>(VLOOKUP(D1832,'[1]BOM Info General'!$A:$L,12,0))*E1832</f>
        <v>130.12</v>
      </c>
      <c r="H1832" s="29" t="s">
        <v>41</v>
      </c>
      <c r="I1832" s="29">
        <v>1</v>
      </c>
      <c r="J1832" s="29" t="s">
        <v>47</v>
      </c>
      <c r="K1832" s="15">
        <f>(VLOOKUP(H1832,'[1]BOM Info General'!$A:$L,12,0))*I1832</f>
        <v>27.18</v>
      </c>
      <c r="L1832" s="26" t="s">
        <v>524</v>
      </c>
      <c r="M1832" s="26">
        <v>1</v>
      </c>
      <c r="N1832" s="26" t="s">
        <v>70</v>
      </c>
      <c r="O1832" s="9">
        <f>(VLOOKUP(L1832,'[1]Simulation pricing per sub assy'!$D:$E,2,0))*M1832</f>
        <v>94.656400000000033</v>
      </c>
      <c r="P1832" s="30" t="s">
        <v>52</v>
      </c>
      <c r="Q1832" s="30">
        <v>8</v>
      </c>
      <c r="R1832" s="30" t="s">
        <v>18</v>
      </c>
      <c r="S1832" s="40">
        <f>(VLOOKUP(P1832,'[1]BOM Info General'!$A:$L,12,0))*Q1832</f>
        <v>21.2</v>
      </c>
      <c r="T1832" s="31" t="s">
        <v>24</v>
      </c>
      <c r="U1832" s="31">
        <v>1</v>
      </c>
      <c r="V1832" s="31" t="s">
        <v>25</v>
      </c>
      <c r="W1832" s="17">
        <f>(VLOOKUP(T1832,'[1]Simulation pricing per sub assy'!$D:$E,2,0))*U1832</f>
        <v>6.44</v>
      </c>
      <c r="X1832" s="32" t="s">
        <v>616</v>
      </c>
      <c r="Y1832" s="32">
        <v>1</v>
      </c>
      <c r="Z1832" s="32" t="s">
        <v>23</v>
      </c>
      <c r="AA1832" s="18">
        <f>(VLOOKUP(X1832,'[1]Simulation pricing per sub assy'!$D:$E,2,0))*Y1832</f>
        <v>4.4802908000000006</v>
      </c>
    </row>
    <row r="1833" spans="1:27" x14ac:dyDescent="0.35">
      <c r="A1833" s="27" t="s">
        <v>3080</v>
      </c>
      <c r="B1833" s="27" t="s">
        <v>4705</v>
      </c>
      <c r="C1833" s="42">
        <f t="shared" si="28"/>
        <v>285.17669080000002</v>
      </c>
      <c r="D1833" s="28" t="s">
        <v>3540</v>
      </c>
      <c r="E1833" s="28">
        <v>2</v>
      </c>
      <c r="F1833" s="28" t="s">
        <v>3981</v>
      </c>
      <c r="G1833" s="14">
        <f>(VLOOKUP(D1833,'[1]BOM Info General'!$A:$L,12,0))*E1833</f>
        <v>130.12</v>
      </c>
      <c r="H1833" s="29" t="s">
        <v>41</v>
      </c>
      <c r="I1833" s="29">
        <v>1</v>
      </c>
      <c r="J1833" s="29" t="s">
        <v>47</v>
      </c>
      <c r="K1833" s="15">
        <f>(VLOOKUP(H1833,'[1]BOM Info General'!$A:$L,12,0))*I1833</f>
        <v>27.18</v>
      </c>
      <c r="L1833" s="26" t="s">
        <v>67</v>
      </c>
      <c r="M1833" s="26">
        <v>1</v>
      </c>
      <c r="N1833" s="26" t="s">
        <v>64</v>
      </c>
      <c r="O1833" s="9">
        <f>(VLOOKUP(L1833,'[1]Simulation pricing per sub assy'!$D:$E,2,0))*M1833</f>
        <v>95.756400000000042</v>
      </c>
      <c r="P1833" s="30" t="s">
        <v>52</v>
      </c>
      <c r="Q1833" s="30">
        <v>8</v>
      </c>
      <c r="R1833" s="30" t="s">
        <v>18</v>
      </c>
      <c r="S1833" s="40">
        <f>(VLOOKUP(P1833,'[1]BOM Info General'!$A:$L,12,0))*Q1833</f>
        <v>21.2</v>
      </c>
      <c r="T1833" s="31" t="s">
        <v>24</v>
      </c>
      <c r="U1833" s="31">
        <v>1</v>
      </c>
      <c r="V1833" s="31" t="s">
        <v>25</v>
      </c>
      <c r="W1833" s="17">
        <f>(VLOOKUP(T1833,'[1]Simulation pricing per sub assy'!$D:$E,2,0))*U1833</f>
        <v>6.44</v>
      </c>
      <c r="X1833" s="32" t="s">
        <v>616</v>
      </c>
      <c r="Y1833" s="32">
        <v>1</v>
      </c>
      <c r="Z1833" s="32" t="s">
        <v>23</v>
      </c>
      <c r="AA1833" s="18">
        <f>(VLOOKUP(X1833,'[1]Simulation pricing per sub assy'!$D:$E,2,0))*Y1833</f>
        <v>4.4802908000000006</v>
      </c>
    </row>
    <row r="1834" spans="1:27" x14ac:dyDescent="0.35">
      <c r="A1834" s="27" t="s">
        <v>3081</v>
      </c>
      <c r="B1834" s="27" t="s">
        <v>4706</v>
      </c>
      <c r="C1834" s="42">
        <f t="shared" si="28"/>
        <v>285.17669080000002</v>
      </c>
      <c r="D1834" s="28" t="s">
        <v>3540</v>
      </c>
      <c r="E1834" s="28">
        <v>2</v>
      </c>
      <c r="F1834" s="28" t="s">
        <v>3981</v>
      </c>
      <c r="G1834" s="14">
        <f>(VLOOKUP(D1834,'[1]BOM Info General'!$A:$L,12,0))*E1834</f>
        <v>130.12</v>
      </c>
      <c r="H1834" s="29" t="s">
        <v>41</v>
      </c>
      <c r="I1834" s="29">
        <v>1</v>
      </c>
      <c r="J1834" s="29" t="s">
        <v>47</v>
      </c>
      <c r="K1834" s="15">
        <f>(VLOOKUP(H1834,'[1]BOM Info General'!$A:$L,12,0))*I1834</f>
        <v>27.18</v>
      </c>
      <c r="L1834" s="26" t="s">
        <v>63</v>
      </c>
      <c r="M1834" s="26">
        <v>1</v>
      </c>
      <c r="N1834" s="26" t="s">
        <v>62</v>
      </c>
      <c r="O1834" s="9">
        <f>(VLOOKUP(L1834,'[1]Simulation pricing per sub assy'!$D:$E,2,0))*M1834</f>
        <v>95.756400000000042</v>
      </c>
      <c r="P1834" s="30" t="s">
        <v>52</v>
      </c>
      <c r="Q1834" s="30">
        <v>8</v>
      </c>
      <c r="R1834" s="30" t="s">
        <v>18</v>
      </c>
      <c r="S1834" s="40">
        <f>(VLOOKUP(P1834,'[1]BOM Info General'!$A:$L,12,0))*Q1834</f>
        <v>21.2</v>
      </c>
      <c r="T1834" s="31" t="s">
        <v>24</v>
      </c>
      <c r="U1834" s="31">
        <v>1</v>
      </c>
      <c r="V1834" s="31" t="s">
        <v>25</v>
      </c>
      <c r="W1834" s="17">
        <f>(VLOOKUP(T1834,'[1]Simulation pricing per sub assy'!$D:$E,2,0))*U1834</f>
        <v>6.44</v>
      </c>
      <c r="X1834" s="32" t="s">
        <v>616</v>
      </c>
      <c r="Y1834" s="32">
        <v>1</v>
      </c>
      <c r="Z1834" s="32" t="s">
        <v>23</v>
      </c>
      <c r="AA1834" s="18">
        <f>(VLOOKUP(X1834,'[1]Simulation pricing per sub assy'!$D:$E,2,0))*Y1834</f>
        <v>4.4802908000000006</v>
      </c>
    </row>
    <row r="1835" spans="1:27" x14ac:dyDescent="0.35">
      <c r="A1835" s="27" t="s">
        <v>3082</v>
      </c>
      <c r="B1835" s="27" t="s">
        <v>4707</v>
      </c>
      <c r="C1835" s="42">
        <f t="shared" si="28"/>
        <v>284.62669080000001</v>
      </c>
      <c r="D1835" s="28" t="s">
        <v>3540</v>
      </c>
      <c r="E1835" s="28">
        <v>2</v>
      </c>
      <c r="F1835" s="28" t="s">
        <v>3981</v>
      </c>
      <c r="G1835" s="14">
        <f>(VLOOKUP(D1835,'[1]BOM Info General'!$A:$L,12,0))*E1835</f>
        <v>130.12</v>
      </c>
      <c r="H1835" s="29" t="s">
        <v>41</v>
      </c>
      <c r="I1835" s="29">
        <v>1</v>
      </c>
      <c r="J1835" s="29" t="s">
        <v>47</v>
      </c>
      <c r="K1835" s="15">
        <f>(VLOOKUP(H1835,'[1]BOM Info General'!$A:$L,12,0))*I1835</f>
        <v>27.18</v>
      </c>
      <c r="L1835" s="26" t="s">
        <v>69</v>
      </c>
      <c r="M1835" s="26">
        <v>1</v>
      </c>
      <c r="N1835" s="26" t="s">
        <v>66</v>
      </c>
      <c r="O1835" s="9">
        <f>(VLOOKUP(L1835,'[1]Simulation pricing per sub assy'!$D:$E,2,0))*M1835</f>
        <v>95.206400000000031</v>
      </c>
      <c r="P1835" s="30" t="s">
        <v>52</v>
      </c>
      <c r="Q1835" s="30">
        <v>8</v>
      </c>
      <c r="R1835" s="30" t="s">
        <v>18</v>
      </c>
      <c r="S1835" s="40">
        <f>(VLOOKUP(P1835,'[1]BOM Info General'!$A:$L,12,0))*Q1835</f>
        <v>21.2</v>
      </c>
      <c r="T1835" s="31" t="s">
        <v>24</v>
      </c>
      <c r="U1835" s="31">
        <v>1</v>
      </c>
      <c r="V1835" s="31" t="s">
        <v>25</v>
      </c>
      <c r="W1835" s="17">
        <f>(VLOOKUP(T1835,'[1]Simulation pricing per sub assy'!$D:$E,2,0))*U1835</f>
        <v>6.44</v>
      </c>
      <c r="X1835" s="32" t="s">
        <v>616</v>
      </c>
      <c r="Y1835" s="32">
        <v>1</v>
      </c>
      <c r="Z1835" s="32" t="s">
        <v>23</v>
      </c>
      <c r="AA1835" s="18">
        <f>(VLOOKUP(X1835,'[1]Simulation pricing per sub assy'!$D:$E,2,0))*Y1835</f>
        <v>4.4802908000000006</v>
      </c>
    </row>
    <row r="1836" spans="1:27" x14ac:dyDescent="0.35">
      <c r="A1836" s="27" t="s">
        <v>3083</v>
      </c>
      <c r="B1836" s="27" t="s">
        <v>4708</v>
      </c>
      <c r="C1836" s="42">
        <f t="shared" si="28"/>
        <v>292.58669079999999</v>
      </c>
      <c r="D1836" s="28" t="s">
        <v>3540</v>
      </c>
      <c r="E1836" s="28">
        <v>2</v>
      </c>
      <c r="F1836" s="28" t="s">
        <v>3981</v>
      </c>
      <c r="G1836" s="14">
        <f>(VLOOKUP(D1836,'[1]BOM Info General'!$A:$L,12,0))*E1836</f>
        <v>130.12</v>
      </c>
      <c r="H1836" s="29" t="s">
        <v>41</v>
      </c>
      <c r="I1836" s="29">
        <v>1</v>
      </c>
      <c r="J1836" s="29" t="s">
        <v>47</v>
      </c>
      <c r="K1836" s="15">
        <f>(VLOOKUP(H1836,'[1]BOM Info General'!$A:$L,12,0))*I1836</f>
        <v>27.18</v>
      </c>
      <c r="L1836" s="26" t="s">
        <v>65</v>
      </c>
      <c r="M1836" s="26">
        <v>1</v>
      </c>
      <c r="N1836" s="26" t="s">
        <v>68</v>
      </c>
      <c r="O1836" s="9">
        <f>(VLOOKUP(L1836,'[1]Simulation pricing per sub assy'!$D:$E,2,0))*M1836</f>
        <v>103.16640000000004</v>
      </c>
      <c r="P1836" s="30" t="s">
        <v>52</v>
      </c>
      <c r="Q1836" s="30">
        <v>8</v>
      </c>
      <c r="R1836" s="30" t="s">
        <v>18</v>
      </c>
      <c r="S1836" s="40">
        <f>(VLOOKUP(P1836,'[1]BOM Info General'!$A:$L,12,0))*Q1836</f>
        <v>21.2</v>
      </c>
      <c r="T1836" s="31" t="s">
        <v>24</v>
      </c>
      <c r="U1836" s="31">
        <v>1</v>
      </c>
      <c r="V1836" s="31" t="s">
        <v>25</v>
      </c>
      <c r="W1836" s="17">
        <f>(VLOOKUP(T1836,'[1]Simulation pricing per sub assy'!$D:$E,2,0))*U1836</f>
        <v>6.44</v>
      </c>
      <c r="X1836" s="32" t="s">
        <v>616</v>
      </c>
      <c r="Y1836" s="32">
        <v>1</v>
      </c>
      <c r="Z1836" s="32" t="s">
        <v>23</v>
      </c>
      <c r="AA1836" s="18">
        <f>(VLOOKUP(X1836,'[1]Simulation pricing per sub assy'!$D:$E,2,0))*Y1836</f>
        <v>4.4802908000000006</v>
      </c>
    </row>
    <row r="1837" spans="1:27" x14ac:dyDescent="0.35">
      <c r="A1837" s="27" t="s">
        <v>3084</v>
      </c>
      <c r="B1837" s="27" t="s">
        <v>4709</v>
      </c>
      <c r="C1837" s="42">
        <f t="shared" si="28"/>
        <v>284.67669080000002</v>
      </c>
      <c r="D1837" s="28" t="s">
        <v>3540</v>
      </c>
      <c r="E1837" s="28">
        <v>2</v>
      </c>
      <c r="F1837" s="28" t="s">
        <v>3981</v>
      </c>
      <c r="G1837" s="14">
        <f>(VLOOKUP(D1837,'[1]BOM Info General'!$A:$L,12,0))*E1837</f>
        <v>130.12</v>
      </c>
      <c r="H1837" s="29" t="s">
        <v>41</v>
      </c>
      <c r="I1837" s="29">
        <v>1</v>
      </c>
      <c r="J1837" s="29" t="s">
        <v>47</v>
      </c>
      <c r="K1837" s="15">
        <f>(VLOOKUP(H1837,'[1]BOM Info General'!$A:$L,12,0))*I1837</f>
        <v>27.18</v>
      </c>
      <c r="L1837" s="26" t="s">
        <v>524</v>
      </c>
      <c r="M1837" s="26">
        <v>1</v>
      </c>
      <c r="N1837" s="26" t="s">
        <v>70</v>
      </c>
      <c r="O1837" s="9">
        <f>(VLOOKUP(L1837,'[1]Simulation pricing per sub assy'!$D:$E,2,0))*M1837</f>
        <v>94.656400000000033</v>
      </c>
      <c r="P1837" s="30" t="s">
        <v>52</v>
      </c>
      <c r="Q1837" s="30">
        <v>8</v>
      </c>
      <c r="R1837" s="30" t="s">
        <v>18</v>
      </c>
      <c r="S1837" s="40">
        <f>(VLOOKUP(P1837,'[1]BOM Info General'!$A:$L,12,0))*Q1837</f>
        <v>21.2</v>
      </c>
      <c r="T1837" s="31" t="s">
        <v>26</v>
      </c>
      <c r="U1837" s="31">
        <v>1</v>
      </c>
      <c r="V1837" s="31" t="s">
        <v>27</v>
      </c>
      <c r="W1837" s="17">
        <f>(VLOOKUP(T1837,'[1]Simulation pricing per sub assy'!$D:$E,2,0))*U1837</f>
        <v>7.04</v>
      </c>
      <c r="X1837" s="32" t="s">
        <v>616</v>
      </c>
      <c r="Y1837" s="32">
        <v>1</v>
      </c>
      <c r="Z1837" s="32" t="s">
        <v>23</v>
      </c>
      <c r="AA1837" s="18">
        <f>(VLOOKUP(X1837,'[1]Simulation pricing per sub assy'!$D:$E,2,0))*Y1837</f>
        <v>4.4802908000000006</v>
      </c>
    </row>
    <row r="1838" spans="1:27" x14ac:dyDescent="0.35">
      <c r="A1838" s="27" t="s">
        <v>3085</v>
      </c>
      <c r="B1838" s="27" t="s">
        <v>4710</v>
      </c>
      <c r="C1838" s="42">
        <f t="shared" si="28"/>
        <v>285.77669080000004</v>
      </c>
      <c r="D1838" s="28" t="s">
        <v>3540</v>
      </c>
      <c r="E1838" s="28">
        <v>2</v>
      </c>
      <c r="F1838" s="28" t="s">
        <v>3981</v>
      </c>
      <c r="G1838" s="14">
        <f>(VLOOKUP(D1838,'[1]BOM Info General'!$A:$L,12,0))*E1838</f>
        <v>130.12</v>
      </c>
      <c r="H1838" s="29" t="s">
        <v>41</v>
      </c>
      <c r="I1838" s="29">
        <v>1</v>
      </c>
      <c r="J1838" s="29" t="s">
        <v>47</v>
      </c>
      <c r="K1838" s="15">
        <f>(VLOOKUP(H1838,'[1]BOM Info General'!$A:$L,12,0))*I1838</f>
        <v>27.18</v>
      </c>
      <c r="L1838" s="26" t="s">
        <v>67</v>
      </c>
      <c r="M1838" s="26">
        <v>1</v>
      </c>
      <c r="N1838" s="26" t="s">
        <v>64</v>
      </c>
      <c r="O1838" s="9">
        <f>(VLOOKUP(L1838,'[1]Simulation pricing per sub assy'!$D:$E,2,0))*M1838</f>
        <v>95.756400000000042</v>
      </c>
      <c r="P1838" s="30" t="s">
        <v>52</v>
      </c>
      <c r="Q1838" s="30">
        <v>8</v>
      </c>
      <c r="R1838" s="30" t="s">
        <v>18</v>
      </c>
      <c r="S1838" s="40">
        <f>(VLOOKUP(P1838,'[1]BOM Info General'!$A:$L,12,0))*Q1838</f>
        <v>21.2</v>
      </c>
      <c r="T1838" s="31" t="s">
        <v>26</v>
      </c>
      <c r="U1838" s="31">
        <v>1</v>
      </c>
      <c r="V1838" s="31" t="s">
        <v>27</v>
      </c>
      <c r="W1838" s="17">
        <f>(VLOOKUP(T1838,'[1]Simulation pricing per sub assy'!$D:$E,2,0))*U1838</f>
        <v>7.04</v>
      </c>
      <c r="X1838" s="32" t="s">
        <v>616</v>
      </c>
      <c r="Y1838" s="32">
        <v>1</v>
      </c>
      <c r="Z1838" s="32" t="s">
        <v>23</v>
      </c>
      <c r="AA1838" s="18">
        <f>(VLOOKUP(X1838,'[1]Simulation pricing per sub assy'!$D:$E,2,0))*Y1838</f>
        <v>4.4802908000000006</v>
      </c>
    </row>
    <row r="1839" spans="1:27" x14ac:dyDescent="0.35">
      <c r="A1839" s="27" t="s">
        <v>3086</v>
      </c>
      <c r="B1839" s="27" t="s">
        <v>4711</v>
      </c>
      <c r="C1839" s="42">
        <f t="shared" si="28"/>
        <v>285.77669080000004</v>
      </c>
      <c r="D1839" s="28" t="s">
        <v>3540</v>
      </c>
      <c r="E1839" s="28">
        <v>2</v>
      </c>
      <c r="F1839" s="28" t="s">
        <v>3981</v>
      </c>
      <c r="G1839" s="14">
        <f>(VLOOKUP(D1839,'[1]BOM Info General'!$A:$L,12,0))*E1839</f>
        <v>130.12</v>
      </c>
      <c r="H1839" s="29" t="s">
        <v>41</v>
      </c>
      <c r="I1839" s="29">
        <v>1</v>
      </c>
      <c r="J1839" s="29" t="s">
        <v>47</v>
      </c>
      <c r="K1839" s="15">
        <f>(VLOOKUP(H1839,'[1]BOM Info General'!$A:$L,12,0))*I1839</f>
        <v>27.18</v>
      </c>
      <c r="L1839" s="26" t="s">
        <v>63</v>
      </c>
      <c r="M1839" s="26">
        <v>1</v>
      </c>
      <c r="N1839" s="26" t="s">
        <v>62</v>
      </c>
      <c r="O1839" s="9">
        <f>(VLOOKUP(L1839,'[1]Simulation pricing per sub assy'!$D:$E,2,0))*M1839</f>
        <v>95.756400000000042</v>
      </c>
      <c r="P1839" s="30" t="s">
        <v>52</v>
      </c>
      <c r="Q1839" s="30">
        <v>8</v>
      </c>
      <c r="R1839" s="30" t="s">
        <v>18</v>
      </c>
      <c r="S1839" s="40">
        <f>(VLOOKUP(P1839,'[1]BOM Info General'!$A:$L,12,0))*Q1839</f>
        <v>21.2</v>
      </c>
      <c r="T1839" s="31" t="s">
        <v>26</v>
      </c>
      <c r="U1839" s="31">
        <v>1</v>
      </c>
      <c r="V1839" s="31" t="s">
        <v>27</v>
      </c>
      <c r="W1839" s="17">
        <f>(VLOOKUP(T1839,'[1]Simulation pricing per sub assy'!$D:$E,2,0))*U1839</f>
        <v>7.04</v>
      </c>
      <c r="X1839" s="32" t="s">
        <v>616</v>
      </c>
      <c r="Y1839" s="32">
        <v>1</v>
      </c>
      <c r="Z1839" s="32" t="s">
        <v>23</v>
      </c>
      <c r="AA1839" s="18">
        <f>(VLOOKUP(X1839,'[1]Simulation pricing per sub assy'!$D:$E,2,0))*Y1839</f>
        <v>4.4802908000000006</v>
      </c>
    </row>
    <row r="1840" spans="1:27" x14ac:dyDescent="0.35">
      <c r="A1840" s="27" t="s">
        <v>3087</v>
      </c>
      <c r="B1840" s="27" t="s">
        <v>4712</v>
      </c>
      <c r="C1840" s="42">
        <f t="shared" si="28"/>
        <v>285.22669080000003</v>
      </c>
      <c r="D1840" s="28" t="s">
        <v>3540</v>
      </c>
      <c r="E1840" s="28">
        <v>2</v>
      </c>
      <c r="F1840" s="28" t="s">
        <v>3981</v>
      </c>
      <c r="G1840" s="14">
        <f>(VLOOKUP(D1840,'[1]BOM Info General'!$A:$L,12,0))*E1840</f>
        <v>130.12</v>
      </c>
      <c r="H1840" s="29" t="s">
        <v>41</v>
      </c>
      <c r="I1840" s="29">
        <v>1</v>
      </c>
      <c r="J1840" s="29" t="s">
        <v>47</v>
      </c>
      <c r="K1840" s="15">
        <f>(VLOOKUP(H1840,'[1]BOM Info General'!$A:$L,12,0))*I1840</f>
        <v>27.18</v>
      </c>
      <c r="L1840" s="26" t="s">
        <v>69</v>
      </c>
      <c r="M1840" s="26">
        <v>1</v>
      </c>
      <c r="N1840" s="26" t="s">
        <v>66</v>
      </c>
      <c r="O1840" s="9">
        <f>(VLOOKUP(L1840,'[1]Simulation pricing per sub assy'!$D:$E,2,0))*M1840</f>
        <v>95.206400000000031</v>
      </c>
      <c r="P1840" s="30" t="s">
        <v>52</v>
      </c>
      <c r="Q1840" s="30">
        <v>8</v>
      </c>
      <c r="R1840" s="30" t="s">
        <v>18</v>
      </c>
      <c r="S1840" s="40">
        <f>(VLOOKUP(P1840,'[1]BOM Info General'!$A:$L,12,0))*Q1840</f>
        <v>21.2</v>
      </c>
      <c r="T1840" s="31" t="s">
        <v>26</v>
      </c>
      <c r="U1840" s="31">
        <v>1</v>
      </c>
      <c r="V1840" s="31" t="s">
        <v>27</v>
      </c>
      <c r="W1840" s="17">
        <f>(VLOOKUP(T1840,'[1]Simulation pricing per sub assy'!$D:$E,2,0))*U1840</f>
        <v>7.04</v>
      </c>
      <c r="X1840" s="32" t="s">
        <v>616</v>
      </c>
      <c r="Y1840" s="32">
        <v>1</v>
      </c>
      <c r="Z1840" s="32" t="s">
        <v>23</v>
      </c>
      <c r="AA1840" s="18">
        <f>(VLOOKUP(X1840,'[1]Simulation pricing per sub assy'!$D:$E,2,0))*Y1840</f>
        <v>4.4802908000000006</v>
      </c>
    </row>
    <row r="1841" spans="1:27" x14ac:dyDescent="0.35">
      <c r="A1841" s="27" t="s">
        <v>3088</v>
      </c>
      <c r="B1841" s="27" t="s">
        <v>4713</v>
      </c>
      <c r="C1841" s="42">
        <f t="shared" si="28"/>
        <v>293.18669080000001</v>
      </c>
      <c r="D1841" s="28" t="s">
        <v>3540</v>
      </c>
      <c r="E1841" s="28">
        <v>2</v>
      </c>
      <c r="F1841" s="28" t="s">
        <v>3981</v>
      </c>
      <c r="G1841" s="14">
        <f>(VLOOKUP(D1841,'[1]BOM Info General'!$A:$L,12,0))*E1841</f>
        <v>130.12</v>
      </c>
      <c r="H1841" s="29" t="s">
        <v>41</v>
      </c>
      <c r="I1841" s="29">
        <v>1</v>
      </c>
      <c r="J1841" s="29" t="s">
        <v>47</v>
      </c>
      <c r="K1841" s="15">
        <f>(VLOOKUP(H1841,'[1]BOM Info General'!$A:$L,12,0))*I1841</f>
        <v>27.18</v>
      </c>
      <c r="L1841" s="26" t="s">
        <v>65</v>
      </c>
      <c r="M1841" s="26">
        <v>1</v>
      </c>
      <c r="N1841" s="26" t="s">
        <v>68</v>
      </c>
      <c r="O1841" s="9">
        <f>(VLOOKUP(L1841,'[1]Simulation pricing per sub assy'!$D:$E,2,0))*M1841</f>
        <v>103.16640000000004</v>
      </c>
      <c r="P1841" s="30" t="s">
        <v>52</v>
      </c>
      <c r="Q1841" s="30">
        <v>8</v>
      </c>
      <c r="R1841" s="30" t="s">
        <v>18</v>
      </c>
      <c r="S1841" s="40">
        <f>(VLOOKUP(P1841,'[1]BOM Info General'!$A:$L,12,0))*Q1841</f>
        <v>21.2</v>
      </c>
      <c r="T1841" s="31" t="s">
        <v>26</v>
      </c>
      <c r="U1841" s="31">
        <v>1</v>
      </c>
      <c r="V1841" s="31" t="s">
        <v>27</v>
      </c>
      <c r="W1841" s="17">
        <f>(VLOOKUP(T1841,'[1]Simulation pricing per sub assy'!$D:$E,2,0))*U1841</f>
        <v>7.04</v>
      </c>
      <c r="X1841" s="32" t="s">
        <v>616</v>
      </c>
      <c r="Y1841" s="32">
        <v>1</v>
      </c>
      <c r="Z1841" s="32" t="s">
        <v>23</v>
      </c>
      <c r="AA1841" s="18">
        <f>(VLOOKUP(X1841,'[1]Simulation pricing per sub assy'!$D:$E,2,0))*Y1841</f>
        <v>4.4802908000000006</v>
      </c>
    </row>
    <row r="1842" spans="1:27" x14ac:dyDescent="0.35">
      <c r="A1842" s="27" t="s">
        <v>3089</v>
      </c>
      <c r="B1842" s="27" t="s">
        <v>4714</v>
      </c>
      <c r="C1842" s="42">
        <f t="shared" si="28"/>
        <v>284.6366908</v>
      </c>
      <c r="D1842" s="28" t="s">
        <v>3540</v>
      </c>
      <c r="E1842" s="28">
        <v>2</v>
      </c>
      <c r="F1842" s="28" t="s">
        <v>3981</v>
      </c>
      <c r="G1842" s="14">
        <f>(VLOOKUP(D1842,'[1]BOM Info General'!$A:$L,12,0))*E1842</f>
        <v>130.12</v>
      </c>
      <c r="H1842" s="29" t="s">
        <v>41</v>
      </c>
      <c r="I1842" s="29">
        <v>1</v>
      </c>
      <c r="J1842" s="29" t="s">
        <v>47</v>
      </c>
      <c r="K1842" s="15">
        <f>(VLOOKUP(H1842,'[1]BOM Info General'!$A:$L,12,0))*I1842</f>
        <v>27.18</v>
      </c>
      <c r="L1842" s="26" t="s">
        <v>524</v>
      </c>
      <c r="M1842" s="26">
        <v>1</v>
      </c>
      <c r="N1842" s="26" t="s">
        <v>70</v>
      </c>
      <c r="O1842" s="9">
        <f>(VLOOKUP(L1842,'[1]Simulation pricing per sub assy'!$D:$E,2,0))*M1842</f>
        <v>94.656400000000033</v>
      </c>
      <c r="P1842" s="30" t="s">
        <v>52</v>
      </c>
      <c r="Q1842" s="30">
        <v>8</v>
      </c>
      <c r="R1842" s="30" t="s">
        <v>18</v>
      </c>
      <c r="S1842" s="40">
        <f>(VLOOKUP(P1842,'[1]BOM Info General'!$A:$L,12,0))*Q1842</f>
        <v>21.2</v>
      </c>
      <c r="T1842" s="31" t="s">
        <v>28</v>
      </c>
      <c r="U1842" s="31">
        <v>1</v>
      </c>
      <c r="V1842" s="31" t="s">
        <v>29</v>
      </c>
      <c r="W1842" s="17">
        <f>(VLOOKUP(T1842,'[1]Simulation pricing per sub assy'!$D:$E,2,0))*U1842</f>
        <v>7</v>
      </c>
      <c r="X1842" s="32" t="s">
        <v>616</v>
      </c>
      <c r="Y1842" s="32">
        <v>1</v>
      </c>
      <c r="Z1842" s="32" t="s">
        <v>23</v>
      </c>
      <c r="AA1842" s="18">
        <f>(VLOOKUP(X1842,'[1]Simulation pricing per sub assy'!$D:$E,2,0))*Y1842</f>
        <v>4.4802908000000006</v>
      </c>
    </row>
    <row r="1843" spans="1:27" x14ac:dyDescent="0.35">
      <c r="A1843" s="27" t="s">
        <v>3090</v>
      </c>
      <c r="B1843" s="27" t="s">
        <v>4715</v>
      </c>
      <c r="C1843" s="42">
        <f t="shared" si="28"/>
        <v>285.73669080000002</v>
      </c>
      <c r="D1843" s="28" t="s">
        <v>3540</v>
      </c>
      <c r="E1843" s="28">
        <v>2</v>
      </c>
      <c r="F1843" s="28" t="s">
        <v>3981</v>
      </c>
      <c r="G1843" s="14">
        <f>(VLOOKUP(D1843,'[1]BOM Info General'!$A:$L,12,0))*E1843</f>
        <v>130.12</v>
      </c>
      <c r="H1843" s="29" t="s">
        <v>41</v>
      </c>
      <c r="I1843" s="29">
        <v>1</v>
      </c>
      <c r="J1843" s="29" t="s">
        <v>47</v>
      </c>
      <c r="K1843" s="15">
        <f>(VLOOKUP(H1843,'[1]BOM Info General'!$A:$L,12,0))*I1843</f>
        <v>27.18</v>
      </c>
      <c r="L1843" s="26" t="s">
        <v>67</v>
      </c>
      <c r="M1843" s="26">
        <v>1</v>
      </c>
      <c r="N1843" s="26" t="s">
        <v>64</v>
      </c>
      <c r="O1843" s="9">
        <f>(VLOOKUP(L1843,'[1]Simulation pricing per sub assy'!$D:$E,2,0))*M1843</f>
        <v>95.756400000000042</v>
      </c>
      <c r="P1843" s="30" t="s">
        <v>52</v>
      </c>
      <c r="Q1843" s="30">
        <v>8</v>
      </c>
      <c r="R1843" s="30" t="s">
        <v>18</v>
      </c>
      <c r="S1843" s="40">
        <f>(VLOOKUP(P1843,'[1]BOM Info General'!$A:$L,12,0))*Q1843</f>
        <v>21.2</v>
      </c>
      <c r="T1843" s="31" t="s">
        <v>28</v>
      </c>
      <c r="U1843" s="31">
        <v>1</v>
      </c>
      <c r="V1843" s="31" t="s">
        <v>29</v>
      </c>
      <c r="W1843" s="17">
        <f>(VLOOKUP(T1843,'[1]Simulation pricing per sub assy'!$D:$E,2,0))*U1843</f>
        <v>7</v>
      </c>
      <c r="X1843" s="32" t="s">
        <v>616</v>
      </c>
      <c r="Y1843" s="32">
        <v>1</v>
      </c>
      <c r="Z1843" s="32" t="s">
        <v>23</v>
      </c>
      <c r="AA1843" s="18">
        <f>(VLOOKUP(X1843,'[1]Simulation pricing per sub assy'!$D:$E,2,0))*Y1843</f>
        <v>4.4802908000000006</v>
      </c>
    </row>
    <row r="1844" spans="1:27" x14ac:dyDescent="0.35">
      <c r="A1844" s="27" t="s">
        <v>3091</v>
      </c>
      <c r="B1844" s="27" t="s">
        <v>4716</v>
      </c>
      <c r="C1844" s="42">
        <f t="shared" si="28"/>
        <v>285.73669080000002</v>
      </c>
      <c r="D1844" s="28" t="s">
        <v>3540</v>
      </c>
      <c r="E1844" s="28">
        <v>2</v>
      </c>
      <c r="F1844" s="28" t="s">
        <v>3981</v>
      </c>
      <c r="G1844" s="14">
        <f>(VLOOKUP(D1844,'[1]BOM Info General'!$A:$L,12,0))*E1844</f>
        <v>130.12</v>
      </c>
      <c r="H1844" s="29" t="s">
        <v>41</v>
      </c>
      <c r="I1844" s="29">
        <v>1</v>
      </c>
      <c r="J1844" s="29" t="s">
        <v>47</v>
      </c>
      <c r="K1844" s="15">
        <f>(VLOOKUP(H1844,'[1]BOM Info General'!$A:$L,12,0))*I1844</f>
        <v>27.18</v>
      </c>
      <c r="L1844" s="26" t="s">
        <v>63</v>
      </c>
      <c r="M1844" s="26">
        <v>1</v>
      </c>
      <c r="N1844" s="26" t="s">
        <v>62</v>
      </c>
      <c r="O1844" s="9">
        <f>(VLOOKUP(L1844,'[1]Simulation pricing per sub assy'!$D:$E,2,0))*M1844</f>
        <v>95.756400000000042</v>
      </c>
      <c r="P1844" s="30" t="s">
        <v>52</v>
      </c>
      <c r="Q1844" s="30">
        <v>8</v>
      </c>
      <c r="R1844" s="30" t="s">
        <v>18</v>
      </c>
      <c r="S1844" s="40">
        <f>(VLOOKUP(P1844,'[1]BOM Info General'!$A:$L,12,0))*Q1844</f>
        <v>21.2</v>
      </c>
      <c r="T1844" s="31" t="s">
        <v>28</v>
      </c>
      <c r="U1844" s="31">
        <v>1</v>
      </c>
      <c r="V1844" s="31" t="s">
        <v>29</v>
      </c>
      <c r="W1844" s="17">
        <f>(VLOOKUP(T1844,'[1]Simulation pricing per sub assy'!$D:$E,2,0))*U1844</f>
        <v>7</v>
      </c>
      <c r="X1844" s="32" t="s">
        <v>616</v>
      </c>
      <c r="Y1844" s="32">
        <v>1</v>
      </c>
      <c r="Z1844" s="32" t="s">
        <v>23</v>
      </c>
      <c r="AA1844" s="18">
        <f>(VLOOKUP(X1844,'[1]Simulation pricing per sub assy'!$D:$E,2,0))*Y1844</f>
        <v>4.4802908000000006</v>
      </c>
    </row>
    <row r="1845" spans="1:27" x14ac:dyDescent="0.35">
      <c r="A1845" s="27" t="s">
        <v>3092</v>
      </c>
      <c r="B1845" s="27" t="s">
        <v>4717</v>
      </c>
      <c r="C1845" s="42">
        <f t="shared" si="28"/>
        <v>285.18669080000001</v>
      </c>
      <c r="D1845" s="28" t="s">
        <v>3540</v>
      </c>
      <c r="E1845" s="28">
        <v>2</v>
      </c>
      <c r="F1845" s="28" t="s">
        <v>3981</v>
      </c>
      <c r="G1845" s="14">
        <f>(VLOOKUP(D1845,'[1]BOM Info General'!$A:$L,12,0))*E1845</f>
        <v>130.12</v>
      </c>
      <c r="H1845" s="29" t="s">
        <v>41</v>
      </c>
      <c r="I1845" s="29">
        <v>1</v>
      </c>
      <c r="J1845" s="29" t="s">
        <v>47</v>
      </c>
      <c r="K1845" s="15">
        <f>(VLOOKUP(H1845,'[1]BOM Info General'!$A:$L,12,0))*I1845</f>
        <v>27.18</v>
      </c>
      <c r="L1845" s="26" t="s">
        <v>69</v>
      </c>
      <c r="M1845" s="26">
        <v>1</v>
      </c>
      <c r="N1845" s="26" t="s">
        <v>66</v>
      </c>
      <c r="O1845" s="9">
        <f>(VLOOKUP(L1845,'[1]Simulation pricing per sub assy'!$D:$E,2,0))*M1845</f>
        <v>95.206400000000031</v>
      </c>
      <c r="P1845" s="30" t="s">
        <v>52</v>
      </c>
      <c r="Q1845" s="30">
        <v>8</v>
      </c>
      <c r="R1845" s="30" t="s">
        <v>18</v>
      </c>
      <c r="S1845" s="40">
        <f>(VLOOKUP(P1845,'[1]BOM Info General'!$A:$L,12,0))*Q1845</f>
        <v>21.2</v>
      </c>
      <c r="T1845" s="31" t="s">
        <v>28</v>
      </c>
      <c r="U1845" s="31">
        <v>1</v>
      </c>
      <c r="V1845" s="31" t="s">
        <v>29</v>
      </c>
      <c r="W1845" s="17">
        <f>(VLOOKUP(T1845,'[1]Simulation pricing per sub assy'!$D:$E,2,0))*U1845</f>
        <v>7</v>
      </c>
      <c r="X1845" s="32" t="s">
        <v>616</v>
      </c>
      <c r="Y1845" s="32">
        <v>1</v>
      </c>
      <c r="Z1845" s="32" t="s">
        <v>23</v>
      </c>
      <c r="AA1845" s="18">
        <f>(VLOOKUP(X1845,'[1]Simulation pricing per sub assy'!$D:$E,2,0))*Y1845</f>
        <v>4.4802908000000006</v>
      </c>
    </row>
    <row r="1846" spans="1:27" x14ac:dyDescent="0.35">
      <c r="A1846" s="27" t="s">
        <v>3093</v>
      </c>
      <c r="B1846" s="27" t="s">
        <v>4718</v>
      </c>
      <c r="C1846" s="42">
        <f t="shared" si="28"/>
        <v>293.14669079999999</v>
      </c>
      <c r="D1846" s="28" t="s">
        <v>3540</v>
      </c>
      <c r="E1846" s="28">
        <v>2</v>
      </c>
      <c r="F1846" s="28" t="s">
        <v>3981</v>
      </c>
      <c r="G1846" s="14">
        <f>(VLOOKUP(D1846,'[1]BOM Info General'!$A:$L,12,0))*E1846</f>
        <v>130.12</v>
      </c>
      <c r="H1846" s="29" t="s">
        <v>41</v>
      </c>
      <c r="I1846" s="29">
        <v>1</v>
      </c>
      <c r="J1846" s="29" t="s">
        <v>47</v>
      </c>
      <c r="K1846" s="15">
        <f>(VLOOKUP(H1846,'[1]BOM Info General'!$A:$L,12,0))*I1846</f>
        <v>27.18</v>
      </c>
      <c r="L1846" s="26" t="s">
        <v>65</v>
      </c>
      <c r="M1846" s="26">
        <v>1</v>
      </c>
      <c r="N1846" s="26" t="s">
        <v>68</v>
      </c>
      <c r="O1846" s="9">
        <f>(VLOOKUP(L1846,'[1]Simulation pricing per sub assy'!$D:$E,2,0))*M1846</f>
        <v>103.16640000000004</v>
      </c>
      <c r="P1846" s="30" t="s">
        <v>52</v>
      </c>
      <c r="Q1846" s="30">
        <v>8</v>
      </c>
      <c r="R1846" s="30" t="s">
        <v>18</v>
      </c>
      <c r="S1846" s="40">
        <f>(VLOOKUP(P1846,'[1]BOM Info General'!$A:$L,12,0))*Q1846</f>
        <v>21.2</v>
      </c>
      <c r="T1846" s="31" t="s">
        <v>28</v>
      </c>
      <c r="U1846" s="31">
        <v>1</v>
      </c>
      <c r="V1846" s="31" t="s">
        <v>29</v>
      </c>
      <c r="W1846" s="17">
        <f>(VLOOKUP(T1846,'[1]Simulation pricing per sub assy'!$D:$E,2,0))*U1846</f>
        <v>7</v>
      </c>
      <c r="X1846" s="32" t="s">
        <v>616</v>
      </c>
      <c r="Y1846" s="32">
        <v>1</v>
      </c>
      <c r="Z1846" s="32" t="s">
        <v>23</v>
      </c>
      <c r="AA1846" s="18">
        <f>(VLOOKUP(X1846,'[1]Simulation pricing per sub assy'!$D:$E,2,0))*Y1846</f>
        <v>4.4802908000000006</v>
      </c>
    </row>
    <row r="1847" spans="1:27" x14ac:dyDescent="0.35">
      <c r="A1847" s="27" t="s">
        <v>3094</v>
      </c>
      <c r="B1847" s="27" t="s">
        <v>4719</v>
      </c>
      <c r="C1847" s="42">
        <f t="shared" si="28"/>
        <v>286.1966908</v>
      </c>
      <c r="D1847" s="28" t="s">
        <v>3540</v>
      </c>
      <c r="E1847" s="28">
        <v>2</v>
      </c>
      <c r="F1847" s="28" t="s">
        <v>3981</v>
      </c>
      <c r="G1847" s="14">
        <f>(VLOOKUP(D1847,'[1]BOM Info General'!$A:$L,12,0))*E1847</f>
        <v>130.12</v>
      </c>
      <c r="H1847" s="29" t="s">
        <v>41</v>
      </c>
      <c r="I1847" s="29">
        <v>1</v>
      </c>
      <c r="J1847" s="29" t="s">
        <v>47</v>
      </c>
      <c r="K1847" s="15">
        <f>(VLOOKUP(H1847,'[1]BOM Info General'!$A:$L,12,0))*I1847</f>
        <v>27.18</v>
      </c>
      <c r="L1847" s="26" t="s">
        <v>524</v>
      </c>
      <c r="M1847" s="26">
        <v>1</v>
      </c>
      <c r="N1847" s="26" t="s">
        <v>70</v>
      </c>
      <c r="O1847" s="9">
        <f>(VLOOKUP(L1847,'[1]Simulation pricing per sub assy'!$D:$E,2,0))*M1847</f>
        <v>94.656400000000033</v>
      </c>
      <c r="P1847" s="30" t="s">
        <v>50</v>
      </c>
      <c r="Q1847" s="30">
        <v>8</v>
      </c>
      <c r="R1847" s="30" t="s">
        <v>611</v>
      </c>
      <c r="S1847" s="40">
        <f>(VLOOKUP(P1847,'[1]BOM Info General'!$A:$L,12,0))*Q1847</f>
        <v>21.2</v>
      </c>
      <c r="T1847" s="31" t="s">
        <v>30</v>
      </c>
      <c r="U1847" s="31">
        <v>1</v>
      </c>
      <c r="V1847" s="31" t="s">
        <v>31</v>
      </c>
      <c r="W1847" s="17">
        <f>(VLOOKUP(T1847,'[1]Simulation pricing per sub assy'!$D:$E,2,0))*U1847</f>
        <v>8.5599999999999987</v>
      </c>
      <c r="X1847" s="32" t="s">
        <v>616</v>
      </c>
      <c r="Y1847" s="32">
        <v>1</v>
      </c>
      <c r="Z1847" s="32" t="s">
        <v>23</v>
      </c>
      <c r="AA1847" s="18">
        <f>(VLOOKUP(X1847,'[1]Simulation pricing per sub assy'!$D:$E,2,0))*Y1847</f>
        <v>4.4802908000000006</v>
      </c>
    </row>
    <row r="1848" spans="1:27" x14ac:dyDescent="0.35">
      <c r="A1848" s="27" t="s">
        <v>3095</v>
      </c>
      <c r="B1848" s="27" t="s">
        <v>4720</v>
      </c>
      <c r="C1848" s="42">
        <f t="shared" si="28"/>
        <v>287.29669080000002</v>
      </c>
      <c r="D1848" s="28" t="s">
        <v>3540</v>
      </c>
      <c r="E1848" s="28">
        <v>2</v>
      </c>
      <c r="F1848" s="28" t="s">
        <v>3981</v>
      </c>
      <c r="G1848" s="14">
        <f>(VLOOKUP(D1848,'[1]BOM Info General'!$A:$L,12,0))*E1848</f>
        <v>130.12</v>
      </c>
      <c r="H1848" s="29" t="s">
        <v>41</v>
      </c>
      <c r="I1848" s="29">
        <v>1</v>
      </c>
      <c r="J1848" s="29" t="s">
        <v>47</v>
      </c>
      <c r="K1848" s="15">
        <f>(VLOOKUP(H1848,'[1]BOM Info General'!$A:$L,12,0))*I1848</f>
        <v>27.18</v>
      </c>
      <c r="L1848" s="26" t="s">
        <v>67</v>
      </c>
      <c r="M1848" s="26">
        <v>1</v>
      </c>
      <c r="N1848" s="26" t="s">
        <v>64</v>
      </c>
      <c r="O1848" s="9">
        <f>(VLOOKUP(L1848,'[1]Simulation pricing per sub assy'!$D:$E,2,0))*M1848</f>
        <v>95.756400000000042</v>
      </c>
      <c r="P1848" s="30" t="s">
        <v>50</v>
      </c>
      <c r="Q1848" s="30">
        <v>8</v>
      </c>
      <c r="R1848" s="30" t="s">
        <v>611</v>
      </c>
      <c r="S1848" s="40">
        <f>(VLOOKUP(P1848,'[1]BOM Info General'!$A:$L,12,0))*Q1848</f>
        <v>21.2</v>
      </c>
      <c r="T1848" s="31" t="s">
        <v>30</v>
      </c>
      <c r="U1848" s="31">
        <v>1</v>
      </c>
      <c r="V1848" s="31" t="s">
        <v>31</v>
      </c>
      <c r="W1848" s="17">
        <f>(VLOOKUP(T1848,'[1]Simulation pricing per sub assy'!$D:$E,2,0))*U1848</f>
        <v>8.5599999999999987</v>
      </c>
      <c r="X1848" s="32" t="s">
        <v>616</v>
      </c>
      <c r="Y1848" s="32">
        <v>1</v>
      </c>
      <c r="Z1848" s="32" t="s">
        <v>23</v>
      </c>
      <c r="AA1848" s="18">
        <f>(VLOOKUP(X1848,'[1]Simulation pricing per sub assy'!$D:$E,2,0))*Y1848</f>
        <v>4.4802908000000006</v>
      </c>
    </row>
    <row r="1849" spans="1:27" x14ac:dyDescent="0.35">
      <c r="A1849" s="27" t="s">
        <v>3096</v>
      </c>
      <c r="B1849" s="27" t="s">
        <v>4721</v>
      </c>
      <c r="C1849" s="42">
        <f t="shared" si="28"/>
        <v>287.29669080000002</v>
      </c>
      <c r="D1849" s="28" t="s">
        <v>3540</v>
      </c>
      <c r="E1849" s="28">
        <v>2</v>
      </c>
      <c r="F1849" s="28" t="s">
        <v>3981</v>
      </c>
      <c r="G1849" s="14">
        <f>(VLOOKUP(D1849,'[1]BOM Info General'!$A:$L,12,0))*E1849</f>
        <v>130.12</v>
      </c>
      <c r="H1849" s="29" t="s">
        <v>41</v>
      </c>
      <c r="I1849" s="29">
        <v>1</v>
      </c>
      <c r="J1849" s="29" t="s">
        <v>47</v>
      </c>
      <c r="K1849" s="15">
        <f>(VLOOKUP(H1849,'[1]BOM Info General'!$A:$L,12,0))*I1849</f>
        <v>27.18</v>
      </c>
      <c r="L1849" s="26" t="s">
        <v>63</v>
      </c>
      <c r="M1849" s="26">
        <v>1</v>
      </c>
      <c r="N1849" s="26" t="s">
        <v>62</v>
      </c>
      <c r="O1849" s="9">
        <f>(VLOOKUP(L1849,'[1]Simulation pricing per sub assy'!$D:$E,2,0))*M1849</f>
        <v>95.756400000000042</v>
      </c>
      <c r="P1849" s="30" t="s">
        <v>50</v>
      </c>
      <c r="Q1849" s="30">
        <v>8</v>
      </c>
      <c r="R1849" s="30" t="s">
        <v>611</v>
      </c>
      <c r="S1849" s="40">
        <f>(VLOOKUP(P1849,'[1]BOM Info General'!$A:$L,12,0))*Q1849</f>
        <v>21.2</v>
      </c>
      <c r="T1849" s="31" t="s">
        <v>30</v>
      </c>
      <c r="U1849" s="31">
        <v>1</v>
      </c>
      <c r="V1849" s="31" t="s">
        <v>31</v>
      </c>
      <c r="W1849" s="17">
        <f>(VLOOKUP(T1849,'[1]Simulation pricing per sub assy'!$D:$E,2,0))*U1849</f>
        <v>8.5599999999999987</v>
      </c>
      <c r="X1849" s="32" t="s">
        <v>616</v>
      </c>
      <c r="Y1849" s="32">
        <v>1</v>
      </c>
      <c r="Z1849" s="32" t="s">
        <v>23</v>
      </c>
      <c r="AA1849" s="18">
        <f>(VLOOKUP(X1849,'[1]Simulation pricing per sub assy'!$D:$E,2,0))*Y1849</f>
        <v>4.4802908000000006</v>
      </c>
    </row>
    <row r="1850" spans="1:27" x14ac:dyDescent="0.35">
      <c r="A1850" s="27" t="s">
        <v>3097</v>
      </c>
      <c r="B1850" s="27" t="s">
        <v>4722</v>
      </c>
      <c r="C1850" s="42">
        <f t="shared" si="28"/>
        <v>286.74669080000001</v>
      </c>
      <c r="D1850" s="28" t="s">
        <v>3540</v>
      </c>
      <c r="E1850" s="28">
        <v>2</v>
      </c>
      <c r="F1850" s="28" t="s">
        <v>3981</v>
      </c>
      <c r="G1850" s="14">
        <f>(VLOOKUP(D1850,'[1]BOM Info General'!$A:$L,12,0))*E1850</f>
        <v>130.12</v>
      </c>
      <c r="H1850" s="29" t="s">
        <v>41</v>
      </c>
      <c r="I1850" s="29">
        <v>1</v>
      </c>
      <c r="J1850" s="29" t="s">
        <v>47</v>
      </c>
      <c r="K1850" s="15">
        <f>(VLOOKUP(H1850,'[1]BOM Info General'!$A:$L,12,0))*I1850</f>
        <v>27.18</v>
      </c>
      <c r="L1850" s="26" t="s">
        <v>69</v>
      </c>
      <c r="M1850" s="26">
        <v>1</v>
      </c>
      <c r="N1850" s="26" t="s">
        <v>66</v>
      </c>
      <c r="O1850" s="9">
        <f>(VLOOKUP(L1850,'[1]Simulation pricing per sub assy'!$D:$E,2,0))*M1850</f>
        <v>95.206400000000031</v>
      </c>
      <c r="P1850" s="30" t="s">
        <v>50</v>
      </c>
      <c r="Q1850" s="30">
        <v>8</v>
      </c>
      <c r="R1850" s="30" t="s">
        <v>611</v>
      </c>
      <c r="S1850" s="40">
        <f>(VLOOKUP(P1850,'[1]BOM Info General'!$A:$L,12,0))*Q1850</f>
        <v>21.2</v>
      </c>
      <c r="T1850" s="31" t="s">
        <v>30</v>
      </c>
      <c r="U1850" s="31">
        <v>1</v>
      </c>
      <c r="V1850" s="31" t="s">
        <v>31</v>
      </c>
      <c r="W1850" s="17">
        <f>(VLOOKUP(T1850,'[1]Simulation pricing per sub assy'!$D:$E,2,0))*U1850</f>
        <v>8.5599999999999987</v>
      </c>
      <c r="X1850" s="32" t="s">
        <v>616</v>
      </c>
      <c r="Y1850" s="32">
        <v>1</v>
      </c>
      <c r="Z1850" s="32" t="s">
        <v>23</v>
      </c>
      <c r="AA1850" s="18">
        <f>(VLOOKUP(X1850,'[1]Simulation pricing per sub assy'!$D:$E,2,0))*Y1850</f>
        <v>4.4802908000000006</v>
      </c>
    </row>
    <row r="1851" spans="1:27" x14ac:dyDescent="0.35">
      <c r="A1851" s="27" t="s">
        <v>3098</v>
      </c>
      <c r="B1851" s="27" t="s">
        <v>4723</v>
      </c>
      <c r="C1851" s="42">
        <f t="shared" si="28"/>
        <v>294.70669079999999</v>
      </c>
      <c r="D1851" s="28" t="s">
        <v>3540</v>
      </c>
      <c r="E1851" s="28">
        <v>2</v>
      </c>
      <c r="F1851" s="28" t="s">
        <v>3981</v>
      </c>
      <c r="G1851" s="14">
        <f>(VLOOKUP(D1851,'[1]BOM Info General'!$A:$L,12,0))*E1851</f>
        <v>130.12</v>
      </c>
      <c r="H1851" s="29" t="s">
        <v>41</v>
      </c>
      <c r="I1851" s="29">
        <v>1</v>
      </c>
      <c r="J1851" s="29" t="s">
        <v>47</v>
      </c>
      <c r="K1851" s="15">
        <f>(VLOOKUP(H1851,'[1]BOM Info General'!$A:$L,12,0))*I1851</f>
        <v>27.18</v>
      </c>
      <c r="L1851" s="26" t="s">
        <v>65</v>
      </c>
      <c r="M1851" s="26">
        <v>1</v>
      </c>
      <c r="N1851" s="26" t="s">
        <v>68</v>
      </c>
      <c r="O1851" s="9">
        <f>(VLOOKUP(L1851,'[1]Simulation pricing per sub assy'!$D:$E,2,0))*M1851</f>
        <v>103.16640000000004</v>
      </c>
      <c r="P1851" s="30" t="s">
        <v>50</v>
      </c>
      <c r="Q1851" s="30">
        <v>8</v>
      </c>
      <c r="R1851" s="30" t="s">
        <v>611</v>
      </c>
      <c r="S1851" s="40">
        <f>(VLOOKUP(P1851,'[1]BOM Info General'!$A:$L,12,0))*Q1851</f>
        <v>21.2</v>
      </c>
      <c r="T1851" s="31" t="s">
        <v>30</v>
      </c>
      <c r="U1851" s="31">
        <v>1</v>
      </c>
      <c r="V1851" s="31" t="s">
        <v>31</v>
      </c>
      <c r="W1851" s="17">
        <f>(VLOOKUP(T1851,'[1]Simulation pricing per sub assy'!$D:$E,2,0))*U1851</f>
        <v>8.5599999999999987</v>
      </c>
      <c r="X1851" s="32" t="s">
        <v>616</v>
      </c>
      <c r="Y1851" s="32">
        <v>1</v>
      </c>
      <c r="Z1851" s="32" t="s">
        <v>23</v>
      </c>
      <c r="AA1851" s="18">
        <f>(VLOOKUP(X1851,'[1]Simulation pricing per sub assy'!$D:$E,2,0))*Y1851</f>
        <v>4.4802908000000006</v>
      </c>
    </row>
    <row r="1852" spans="1:27" x14ac:dyDescent="0.35">
      <c r="A1852" s="27" t="s">
        <v>3099</v>
      </c>
      <c r="B1852" s="27" t="s">
        <v>4724</v>
      </c>
      <c r="C1852" s="42">
        <f t="shared" si="28"/>
        <v>111.01578079999999</v>
      </c>
      <c r="D1852" s="28" t="s">
        <v>2058</v>
      </c>
      <c r="E1852" s="28">
        <v>1</v>
      </c>
      <c r="F1852" s="28" t="s">
        <v>2059</v>
      </c>
      <c r="G1852" s="14">
        <f>(VLOOKUP(D1852,'[1]BOM Info General'!$A:$L,12,0))*E1852</f>
        <v>35.56</v>
      </c>
      <c r="H1852" s="29" t="s">
        <v>39</v>
      </c>
      <c r="I1852" s="29">
        <v>1</v>
      </c>
      <c r="J1852" s="29" t="s">
        <v>46</v>
      </c>
      <c r="K1852" s="15">
        <f>(VLOOKUP(H1852,'[1]BOM Info General'!$A:$L,12,0))*I1852</f>
        <v>24.42</v>
      </c>
      <c r="L1852" s="26" t="s">
        <v>527</v>
      </c>
      <c r="M1852" s="26">
        <v>1</v>
      </c>
      <c r="N1852" s="26" t="s">
        <v>79</v>
      </c>
      <c r="O1852" s="9">
        <f>(VLOOKUP(L1852,'[1]Simulation pricing per sub assy'!$D:$E,2,0))*M1852</f>
        <v>42.308799999999991</v>
      </c>
      <c r="P1852" s="30" t="s">
        <v>50</v>
      </c>
      <c r="Q1852" s="30">
        <v>2</v>
      </c>
      <c r="R1852" s="30" t="s">
        <v>611</v>
      </c>
      <c r="S1852" s="40">
        <f>(VLOOKUP(P1852,'[1]BOM Info General'!$A:$L,12,0))*Q1852</f>
        <v>5.3</v>
      </c>
      <c r="T1852" s="31" t="s">
        <v>7</v>
      </c>
      <c r="U1852" s="31">
        <v>1</v>
      </c>
      <c r="V1852" s="31" t="s">
        <v>8</v>
      </c>
      <c r="W1852" s="17">
        <f>(VLOOKUP(T1852,'[1]Simulation pricing per sub assy'!$D:$E,2,0))*U1852</f>
        <v>1.85</v>
      </c>
      <c r="X1852" s="32" t="s">
        <v>615</v>
      </c>
      <c r="Y1852" s="32">
        <v>1</v>
      </c>
      <c r="Z1852" s="32" t="s">
        <v>9</v>
      </c>
      <c r="AA1852" s="18">
        <f>(VLOOKUP(X1852,'[1]Simulation pricing per sub assy'!$D:$E,2,0))*Y1852</f>
        <v>1.5769808000000001</v>
      </c>
    </row>
    <row r="1853" spans="1:27" x14ac:dyDescent="0.35">
      <c r="A1853" s="27" t="s">
        <v>3100</v>
      </c>
      <c r="B1853" s="27" t="s">
        <v>4725</v>
      </c>
      <c r="C1853" s="42">
        <f t="shared" si="28"/>
        <v>111.99578079999999</v>
      </c>
      <c r="D1853" s="28" t="s">
        <v>2058</v>
      </c>
      <c r="E1853" s="28">
        <v>1</v>
      </c>
      <c r="F1853" s="28" t="s">
        <v>2059</v>
      </c>
      <c r="G1853" s="14">
        <f>(VLOOKUP(D1853,'[1]BOM Info General'!$A:$L,12,0))*E1853</f>
        <v>35.56</v>
      </c>
      <c r="H1853" s="29" t="s">
        <v>39</v>
      </c>
      <c r="I1853" s="29">
        <v>1</v>
      </c>
      <c r="J1853" s="29" t="s">
        <v>46</v>
      </c>
      <c r="K1853" s="15">
        <f>(VLOOKUP(H1853,'[1]BOM Info General'!$A:$L,12,0))*I1853</f>
        <v>24.42</v>
      </c>
      <c r="L1853" s="26" t="s">
        <v>76</v>
      </c>
      <c r="M1853" s="26">
        <v>1</v>
      </c>
      <c r="N1853" s="26" t="s">
        <v>73</v>
      </c>
      <c r="O1853" s="9">
        <f>(VLOOKUP(L1853,'[1]Simulation pricing per sub assy'!$D:$E,2,0))*M1853</f>
        <v>43.288799999999988</v>
      </c>
      <c r="P1853" s="30" t="s">
        <v>50</v>
      </c>
      <c r="Q1853" s="30">
        <v>2</v>
      </c>
      <c r="R1853" s="30" t="s">
        <v>611</v>
      </c>
      <c r="S1853" s="40">
        <f>(VLOOKUP(P1853,'[1]BOM Info General'!$A:$L,12,0))*Q1853</f>
        <v>5.3</v>
      </c>
      <c r="T1853" s="31" t="s">
        <v>7</v>
      </c>
      <c r="U1853" s="31">
        <v>1</v>
      </c>
      <c r="V1853" s="31" t="s">
        <v>8</v>
      </c>
      <c r="W1853" s="17">
        <f>(VLOOKUP(T1853,'[1]Simulation pricing per sub assy'!$D:$E,2,0))*U1853</f>
        <v>1.85</v>
      </c>
      <c r="X1853" s="32" t="s">
        <v>615</v>
      </c>
      <c r="Y1853" s="32">
        <v>1</v>
      </c>
      <c r="Z1853" s="32" t="s">
        <v>9</v>
      </c>
      <c r="AA1853" s="18">
        <f>(VLOOKUP(X1853,'[1]Simulation pricing per sub assy'!$D:$E,2,0))*Y1853</f>
        <v>1.5769808000000001</v>
      </c>
    </row>
    <row r="1854" spans="1:27" x14ac:dyDescent="0.35">
      <c r="A1854" s="27" t="s">
        <v>3101</v>
      </c>
      <c r="B1854" s="27" t="s">
        <v>4726</v>
      </c>
      <c r="C1854" s="42">
        <f t="shared" si="28"/>
        <v>112.57578079999999</v>
      </c>
      <c r="D1854" s="28" t="s">
        <v>2058</v>
      </c>
      <c r="E1854" s="28">
        <v>1</v>
      </c>
      <c r="F1854" s="28" t="s">
        <v>2059</v>
      </c>
      <c r="G1854" s="14">
        <f>(VLOOKUP(D1854,'[1]BOM Info General'!$A:$L,12,0))*E1854</f>
        <v>35.56</v>
      </c>
      <c r="H1854" s="29" t="s">
        <v>39</v>
      </c>
      <c r="I1854" s="29">
        <v>1</v>
      </c>
      <c r="J1854" s="29" t="s">
        <v>46</v>
      </c>
      <c r="K1854" s="15">
        <f>(VLOOKUP(H1854,'[1]BOM Info General'!$A:$L,12,0))*I1854</f>
        <v>24.42</v>
      </c>
      <c r="L1854" s="26" t="s">
        <v>72</v>
      </c>
      <c r="M1854" s="26">
        <v>1</v>
      </c>
      <c r="N1854" s="26" t="s">
        <v>71</v>
      </c>
      <c r="O1854" s="9">
        <f>(VLOOKUP(L1854,'[1]Simulation pricing per sub assy'!$D:$E,2,0))*M1854</f>
        <v>43.868799999999993</v>
      </c>
      <c r="P1854" s="30" t="s">
        <v>50</v>
      </c>
      <c r="Q1854" s="30">
        <v>2</v>
      </c>
      <c r="R1854" s="30" t="s">
        <v>611</v>
      </c>
      <c r="S1854" s="40">
        <f>(VLOOKUP(P1854,'[1]BOM Info General'!$A:$L,12,0))*Q1854</f>
        <v>5.3</v>
      </c>
      <c r="T1854" s="31" t="s">
        <v>7</v>
      </c>
      <c r="U1854" s="31">
        <v>1</v>
      </c>
      <c r="V1854" s="31" t="s">
        <v>8</v>
      </c>
      <c r="W1854" s="17">
        <f>(VLOOKUP(T1854,'[1]Simulation pricing per sub assy'!$D:$E,2,0))*U1854</f>
        <v>1.85</v>
      </c>
      <c r="X1854" s="32" t="s">
        <v>615</v>
      </c>
      <c r="Y1854" s="32">
        <v>1</v>
      </c>
      <c r="Z1854" s="32" t="s">
        <v>9</v>
      </c>
      <c r="AA1854" s="18">
        <f>(VLOOKUP(X1854,'[1]Simulation pricing per sub assy'!$D:$E,2,0))*Y1854</f>
        <v>1.5769808000000001</v>
      </c>
    </row>
    <row r="1855" spans="1:27" x14ac:dyDescent="0.35">
      <c r="A1855" s="27" t="s">
        <v>3102</v>
      </c>
      <c r="B1855" s="27" t="s">
        <v>4727</v>
      </c>
      <c r="C1855" s="42">
        <f t="shared" si="28"/>
        <v>112.31578079999998</v>
      </c>
      <c r="D1855" s="28" t="s">
        <v>2058</v>
      </c>
      <c r="E1855" s="28">
        <v>1</v>
      </c>
      <c r="F1855" s="28" t="s">
        <v>2059</v>
      </c>
      <c r="G1855" s="14">
        <f>(VLOOKUP(D1855,'[1]BOM Info General'!$A:$L,12,0))*E1855</f>
        <v>35.56</v>
      </c>
      <c r="H1855" s="29" t="s">
        <v>39</v>
      </c>
      <c r="I1855" s="29">
        <v>1</v>
      </c>
      <c r="J1855" s="29" t="s">
        <v>46</v>
      </c>
      <c r="K1855" s="15">
        <f>(VLOOKUP(H1855,'[1]BOM Info General'!$A:$L,12,0))*I1855</f>
        <v>24.42</v>
      </c>
      <c r="L1855" s="26" t="s">
        <v>78</v>
      </c>
      <c r="M1855" s="26">
        <v>1</v>
      </c>
      <c r="N1855" s="26" t="s">
        <v>75</v>
      </c>
      <c r="O1855" s="9">
        <f>(VLOOKUP(L1855,'[1]Simulation pricing per sub assy'!$D:$E,2,0))*M1855</f>
        <v>43.608799999999988</v>
      </c>
      <c r="P1855" s="30" t="s">
        <v>50</v>
      </c>
      <c r="Q1855" s="30">
        <v>2</v>
      </c>
      <c r="R1855" s="30" t="s">
        <v>611</v>
      </c>
      <c r="S1855" s="40">
        <f>(VLOOKUP(P1855,'[1]BOM Info General'!$A:$L,12,0))*Q1855</f>
        <v>5.3</v>
      </c>
      <c r="T1855" s="31" t="s">
        <v>7</v>
      </c>
      <c r="U1855" s="31">
        <v>1</v>
      </c>
      <c r="V1855" s="31" t="s">
        <v>8</v>
      </c>
      <c r="W1855" s="17">
        <f>(VLOOKUP(T1855,'[1]Simulation pricing per sub assy'!$D:$E,2,0))*U1855</f>
        <v>1.85</v>
      </c>
      <c r="X1855" s="32" t="s">
        <v>615</v>
      </c>
      <c r="Y1855" s="32">
        <v>1</v>
      </c>
      <c r="Z1855" s="32" t="s">
        <v>9</v>
      </c>
      <c r="AA1855" s="18">
        <f>(VLOOKUP(X1855,'[1]Simulation pricing per sub assy'!$D:$E,2,0))*Y1855</f>
        <v>1.5769808000000001</v>
      </c>
    </row>
    <row r="1856" spans="1:27" x14ac:dyDescent="0.35">
      <c r="A1856" s="27" t="s">
        <v>3103</v>
      </c>
      <c r="B1856" s="27" t="s">
        <v>4728</v>
      </c>
      <c r="C1856" s="42">
        <f t="shared" si="28"/>
        <v>119.98578079999999</v>
      </c>
      <c r="D1856" s="28" t="s">
        <v>2058</v>
      </c>
      <c r="E1856" s="28">
        <v>1</v>
      </c>
      <c r="F1856" s="28" t="s">
        <v>2059</v>
      </c>
      <c r="G1856" s="14">
        <f>(VLOOKUP(D1856,'[1]BOM Info General'!$A:$L,12,0))*E1856</f>
        <v>35.56</v>
      </c>
      <c r="H1856" s="29" t="s">
        <v>39</v>
      </c>
      <c r="I1856" s="29">
        <v>1</v>
      </c>
      <c r="J1856" s="29" t="s">
        <v>46</v>
      </c>
      <c r="K1856" s="15">
        <f>(VLOOKUP(H1856,'[1]BOM Info General'!$A:$L,12,0))*I1856</f>
        <v>24.42</v>
      </c>
      <c r="L1856" s="26" t="s">
        <v>74</v>
      </c>
      <c r="M1856" s="26">
        <v>1</v>
      </c>
      <c r="N1856" s="26" t="s">
        <v>77</v>
      </c>
      <c r="O1856" s="9">
        <f>(VLOOKUP(L1856,'[1]Simulation pricing per sub assy'!$D:$E,2,0))*M1856</f>
        <v>51.27879999999999</v>
      </c>
      <c r="P1856" s="30" t="s">
        <v>50</v>
      </c>
      <c r="Q1856" s="30">
        <v>2</v>
      </c>
      <c r="R1856" s="30" t="s">
        <v>611</v>
      </c>
      <c r="S1856" s="40">
        <f>(VLOOKUP(P1856,'[1]BOM Info General'!$A:$L,12,0))*Q1856</f>
        <v>5.3</v>
      </c>
      <c r="T1856" s="31" t="s">
        <v>7</v>
      </c>
      <c r="U1856" s="31">
        <v>1</v>
      </c>
      <c r="V1856" s="31" t="s">
        <v>8</v>
      </c>
      <c r="W1856" s="17">
        <f>(VLOOKUP(T1856,'[1]Simulation pricing per sub assy'!$D:$E,2,0))*U1856</f>
        <v>1.85</v>
      </c>
      <c r="X1856" s="32" t="s">
        <v>615</v>
      </c>
      <c r="Y1856" s="32">
        <v>1</v>
      </c>
      <c r="Z1856" s="32" t="s">
        <v>9</v>
      </c>
      <c r="AA1856" s="18">
        <f>(VLOOKUP(X1856,'[1]Simulation pricing per sub assy'!$D:$E,2,0))*Y1856</f>
        <v>1.5769808000000001</v>
      </c>
    </row>
    <row r="1857" spans="1:27" x14ac:dyDescent="0.35">
      <c r="A1857" s="27" t="s">
        <v>3104</v>
      </c>
      <c r="B1857" s="27" t="s">
        <v>4729</v>
      </c>
      <c r="C1857" s="42">
        <f t="shared" si="28"/>
        <v>111.21578079999999</v>
      </c>
      <c r="D1857" s="28" t="s">
        <v>2058</v>
      </c>
      <c r="E1857" s="28">
        <v>1</v>
      </c>
      <c r="F1857" s="28" t="s">
        <v>2059</v>
      </c>
      <c r="G1857" s="14">
        <f>(VLOOKUP(D1857,'[1]BOM Info General'!$A:$L,12,0))*E1857</f>
        <v>35.56</v>
      </c>
      <c r="H1857" s="29" t="s">
        <v>39</v>
      </c>
      <c r="I1857" s="29">
        <v>1</v>
      </c>
      <c r="J1857" s="29" t="s">
        <v>46</v>
      </c>
      <c r="K1857" s="15">
        <f>(VLOOKUP(H1857,'[1]BOM Info General'!$A:$L,12,0))*I1857</f>
        <v>24.42</v>
      </c>
      <c r="L1857" s="26" t="s">
        <v>527</v>
      </c>
      <c r="M1857" s="26">
        <v>1</v>
      </c>
      <c r="N1857" s="26" t="s">
        <v>79</v>
      </c>
      <c r="O1857" s="9">
        <f>(VLOOKUP(L1857,'[1]Simulation pricing per sub assy'!$D:$E,2,0))*M1857</f>
        <v>42.308799999999991</v>
      </c>
      <c r="P1857" s="30" t="s">
        <v>50</v>
      </c>
      <c r="Q1857" s="30">
        <v>2</v>
      </c>
      <c r="R1857" s="30" t="s">
        <v>16</v>
      </c>
      <c r="S1857" s="40">
        <f>(VLOOKUP(P1857,'[1]BOM Info General'!$A:$L,12,0))*Q1857</f>
        <v>5.3</v>
      </c>
      <c r="T1857" s="31" t="s">
        <v>10</v>
      </c>
      <c r="U1857" s="31">
        <v>1</v>
      </c>
      <c r="V1857" s="31" t="s">
        <v>11</v>
      </c>
      <c r="W1857" s="17">
        <f>(VLOOKUP(T1857,'[1]Simulation pricing per sub assy'!$D:$E,2,0))*U1857</f>
        <v>2.0499999999999998</v>
      </c>
      <c r="X1857" s="32" t="s">
        <v>615</v>
      </c>
      <c r="Y1857" s="32">
        <v>1</v>
      </c>
      <c r="Z1857" s="32" t="s">
        <v>9</v>
      </c>
      <c r="AA1857" s="18">
        <f>(VLOOKUP(X1857,'[1]Simulation pricing per sub assy'!$D:$E,2,0))*Y1857</f>
        <v>1.5769808000000001</v>
      </c>
    </row>
    <row r="1858" spans="1:27" x14ac:dyDescent="0.35">
      <c r="A1858" s="27" t="s">
        <v>3105</v>
      </c>
      <c r="B1858" s="27" t="s">
        <v>4730</v>
      </c>
      <c r="C1858" s="42">
        <f t="shared" si="28"/>
        <v>112.19578079999999</v>
      </c>
      <c r="D1858" s="28" t="s">
        <v>2058</v>
      </c>
      <c r="E1858" s="28">
        <v>1</v>
      </c>
      <c r="F1858" s="28" t="s">
        <v>2059</v>
      </c>
      <c r="G1858" s="14">
        <f>(VLOOKUP(D1858,'[1]BOM Info General'!$A:$L,12,0))*E1858</f>
        <v>35.56</v>
      </c>
      <c r="H1858" s="29" t="s">
        <v>39</v>
      </c>
      <c r="I1858" s="29">
        <v>1</v>
      </c>
      <c r="J1858" s="29" t="s">
        <v>46</v>
      </c>
      <c r="K1858" s="15">
        <f>(VLOOKUP(H1858,'[1]BOM Info General'!$A:$L,12,0))*I1858</f>
        <v>24.42</v>
      </c>
      <c r="L1858" s="26" t="s">
        <v>76</v>
      </c>
      <c r="M1858" s="26">
        <v>1</v>
      </c>
      <c r="N1858" s="26" t="s">
        <v>73</v>
      </c>
      <c r="O1858" s="9">
        <f>(VLOOKUP(L1858,'[1]Simulation pricing per sub assy'!$D:$E,2,0))*M1858</f>
        <v>43.288799999999988</v>
      </c>
      <c r="P1858" s="30" t="s">
        <v>50</v>
      </c>
      <c r="Q1858" s="30">
        <v>2</v>
      </c>
      <c r="R1858" s="30" t="s">
        <v>16</v>
      </c>
      <c r="S1858" s="40">
        <f>(VLOOKUP(P1858,'[1]BOM Info General'!$A:$L,12,0))*Q1858</f>
        <v>5.3</v>
      </c>
      <c r="T1858" s="31" t="s">
        <v>10</v>
      </c>
      <c r="U1858" s="31">
        <v>1</v>
      </c>
      <c r="V1858" s="31" t="s">
        <v>11</v>
      </c>
      <c r="W1858" s="17">
        <f>(VLOOKUP(T1858,'[1]Simulation pricing per sub assy'!$D:$E,2,0))*U1858</f>
        <v>2.0499999999999998</v>
      </c>
      <c r="X1858" s="32" t="s">
        <v>615</v>
      </c>
      <c r="Y1858" s="32">
        <v>1</v>
      </c>
      <c r="Z1858" s="32" t="s">
        <v>9</v>
      </c>
      <c r="AA1858" s="18">
        <f>(VLOOKUP(X1858,'[1]Simulation pricing per sub assy'!$D:$E,2,0))*Y1858</f>
        <v>1.5769808000000001</v>
      </c>
    </row>
    <row r="1859" spans="1:27" x14ac:dyDescent="0.35">
      <c r="A1859" s="27" t="s">
        <v>3106</v>
      </c>
      <c r="B1859" s="27" t="s">
        <v>4731</v>
      </c>
      <c r="C1859" s="42">
        <f t="shared" ref="C1859:C1922" si="29">SUM(G1859+K1859+O1859+S1859+W1859+AA1859)</f>
        <v>112.77578079999999</v>
      </c>
      <c r="D1859" s="28" t="s">
        <v>2058</v>
      </c>
      <c r="E1859" s="28">
        <v>1</v>
      </c>
      <c r="F1859" s="28" t="s">
        <v>2059</v>
      </c>
      <c r="G1859" s="14">
        <f>(VLOOKUP(D1859,'[1]BOM Info General'!$A:$L,12,0))*E1859</f>
        <v>35.56</v>
      </c>
      <c r="H1859" s="29" t="s">
        <v>39</v>
      </c>
      <c r="I1859" s="29">
        <v>1</v>
      </c>
      <c r="J1859" s="29" t="s">
        <v>46</v>
      </c>
      <c r="K1859" s="15">
        <f>(VLOOKUP(H1859,'[1]BOM Info General'!$A:$L,12,0))*I1859</f>
        <v>24.42</v>
      </c>
      <c r="L1859" s="26" t="s">
        <v>72</v>
      </c>
      <c r="M1859" s="26">
        <v>1</v>
      </c>
      <c r="N1859" s="26" t="s">
        <v>71</v>
      </c>
      <c r="O1859" s="9">
        <f>(VLOOKUP(L1859,'[1]Simulation pricing per sub assy'!$D:$E,2,0))*M1859</f>
        <v>43.868799999999993</v>
      </c>
      <c r="P1859" s="30" t="s">
        <v>50</v>
      </c>
      <c r="Q1859" s="30">
        <v>2</v>
      </c>
      <c r="R1859" s="30" t="s">
        <v>16</v>
      </c>
      <c r="S1859" s="40">
        <f>(VLOOKUP(P1859,'[1]BOM Info General'!$A:$L,12,0))*Q1859</f>
        <v>5.3</v>
      </c>
      <c r="T1859" s="31" t="s">
        <v>10</v>
      </c>
      <c r="U1859" s="31">
        <v>1</v>
      </c>
      <c r="V1859" s="31" t="s">
        <v>11</v>
      </c>
      <c r="W1859" s="17">
        <f>(VLOOKUP(T1859,'[1]Simulation pricing per sub assy'!$D:$E,2,0))*U1859</f>
        <v>2.0499999999999998</v>
      </c>
      <c r="X1859" s="32" t="s">
        <v>615</v>
      </c>
      <c r="Y1859" s="32">
        <v>1</v>
      </c>
      <c r="Z1859" s="32" t="s">
        <v>9</v>
      </c>
      <c r="AA1859" s="18">
        <f>(VLOOKUP(X1859,'[1]Simulation pricing per sub assy'!$D:$E,2,0))*Y1859</f>
        <v>1.5769808000000001</v>
      </c>
    </row>
    <row r="1860" spans="1:27" x14ac:dyDescent="0.35">
      <c r="A1860" s="27" t="s">
        <v>3107</v>
      </c>
      <c r="B1860" s="27" t="s">
        <v>4732</v>
      </c>
      <c r="C1860" s="42">
        <f t="shared" si="29"/>
        <v>112.51578079999999</v>
      </c>
      <c r="D1860" s="28" t="s">
        <v>2058</v>
      </c>
      <c r="E1860" s="28">
        <v>1</v>
      </c>
      <c r="F1860" s="28" t="s">
        <v>2059</v>
      </c>
      <c r="G1860" s="14">
        <f>(VLOOKUP(D1860,'[1]BOM Info General'!$A:$L,12,0))*E1860</f>
        <v>35.56</v>
      </c>
      <c r="H1860" s="29" t="s">
        <v>39</v>
      </c>
      <c r="I1860" s="29">
        <v>1</v>
      </c>
      <c r="J1860" s="29" t="s">
        <v>46</v>
      </c>
      <c r="K1860" s="15">
        <f>(VLOOKUP(H1860,'[1]BOM Info General'!$A:$L,12,0))*I1860</f>
        <v>24.42</v>
      </c>
      <c r="L1860" s="26" t="s">
        <v>78</v>
      </c>
      <c r="M1860" s="26">
        <v>1</v>
      </c>
      <c r="N1860" s="26" t="s">
        <v>75</v>
      </c>
      <c r="O1860" s="9">
        <f>(VLOOKUP(L1860,'[1]Simulation pricing per sub assy'!$D:$E,2,0))*M1860</f>
        <v>43.608799999999988</v>
      </c>
      <c r="P1860" s="30" t="s">
        <v>50</v>
      </c>
      <c r="Q1860" s="30">
        <v>2</v>
      </c>
      <c r="R1860" s="30" t="s">
        <v>16</v>
      </c>
      <c r="S1860" s="40">
        <f>(VLOOKUP(P1860,'[1]BOM Info General'!$A:$L,12,0))*Q1860</f>
        <v>5.3</v>
      </c>
      <c r="T1860" s="31" t="s">
        <v>10</v>
      </c>
      <c r="U1860" s="31">
        <v>1</v>
      </c>
      <c r="V1860" s="31" t="s">
        <v>11</v>
      </c>
      <c r="W1860" s="17">
        <f>(VLOOKUP(T1860,'[1]Simulation pricing per sub assy'!$D:$E,2,0))*U1860</f>
        <v>2.0499999999999998</v>
      </c>
      <c r="X1860" s="32" t="s">
        <v>615</v>
      </c>
      <c r="Y1860" s="32">
        <v>1</v>
      </c>
      <c r="Z1860" s="32" t="s">
        <v>9</v>
      </c>
      <c r="AA1860" s="18">
        <f>(VLOOKUP(X1860,'[1]Simulation pricing per sub assy'!$D:$E,2,0))*Y1860</f>
        <v>1.5769808000000001</v>
      </c>
    </row>
    <row r="1861" spans="1:27" x14ac:dyDescent="0.35">
      <c r="A1861" s="27" t="s">
        <v>3108</v>
      </c>
      <c r="B1861" s="27" t="s">
        <v>4733</v>
      </c>
      <c r="C1861" s="42">
        <f t="shared" si="29"/>
        <v>120.18578079999999</v>
      </c>
      <c r="D1861" s="28" t="s">
        <v>2058</v>
      </c>
      <c r="E1861" s="28">
        <v>1</v>
      </c>
      <c r="F1861" s="28" t="s">
        <v>2059</v>
      </c>
      <c r="G1861" s="14">
        <f>(VLOOKUP(D1861,'[1]BOM Info General'!$A:$L,12,0))*E1861</f>
        <v>35.56</v>
      </c>
      <c r="H1861" s="29" t="s">
        <v>39</v>
      </c>
      <c r="I1861" s="29">
        <v>1</v>
      </c>
      <c r="J1861" s="29" t="s">
        <v>46</v>
      </c>
      <c r="K1861" s="15">
        <f>(VLOOKUP(H1861,'[1]BOM Info General'!$A:$L,12,0))*I1861</f>
        <v>24.42</v>
      </c>
      <c r="L1861" s="26" t="s">
        <v>74</v>
      </c>
      <c r="M1861" s="26">
        <v>1</v>
      </c>
      <c r="N1861" s="26" t="s">
        <v>77</v>
      </c>
      <c r="O1861" s="9">
        <f>(VLOOKUP(L1861,'[1]Simulation pricing per sub assy'!$D:$E,2,0))*M1861</f>
        <v>51.27879999999999</v>
      </c>
      <c r="P1861" s="30" t="s">
        <v>50</v>
      </c>
      <c r="Q1861" s="30">
        <v>2</v>
      </c>
      <c r="R1861" s="30" t="s">
        <v>16</v>
      </c>
      <c r="S1861" s="40">
        <f>(VLOOKUP(P1861,'[1]BOM Info General'!$A:$L,12,0))*Q1861</f>
        <v>5.3</v>
      </c>
      <c r="T1861" s="31" t="s">
        <v>10</v>
      </c>
      <c r="U1861" s="31">
        <v>1</v>
      </c>
      <c r="V1861" s="31" t="s">
        <v>11</v>
      </c>
      <c r="W1861" s="17">
        <f>(VLOOKUP(T1861,'[1]Simulation pricing per sub assy'!$D:$E,2,0))*U1861</f>
        <v>2.0499999999999998</v>
      </c>
      <c r="X1861" s="32" t="s">
        <v>615</v>
      </c>
      <c r="Y1861" s="32">
        <v>1</v>
      </c>
      <c r="Z1861" s="32" t="s">
        <v>9</v>
      </c>
      <c r="AA1861" s="18">
        <f>(VLOOKUP(X1861,'[1]Simulation pricing per sub assy'!$D:$E,2,0))*Y1861</f>
        <v>1.5769808000000001</v>
      </c>
    </row>
    <row r="1862" spans="1:27" x14ac:dyDescent="0.35">
      <c r="A1862" s="27" t="s">
        <v>3109</v>
      </c>
      <c r="B1862" s="27" t="s">
        <v>4734</v>
      </c>
      <c r="C1862" s="42">
        <f t="shared" si="29"/>
        <v>111.0657808</v>
      </c>
      <c r="D1862" s="28" t="s">
        <v>2058</v>
      </c>
      <c r="E1862" s="28">
        <v>1</v>
      </c>
      <c r="F1862" s="28" t="s">
        <v>2059</v>
      </c>
      <c r="G1862" s="14">
        <f>(VLOOKUP(D1862,'[1]BOM Info General'!$A:$L,12,0))*E1862</f>
        <v>35.56</v>
      </c>
      <c r="H1862" s="29" t="s">
        <v>39</v>
      </c>
      <c r="I1862" s="29">
        <v>1</v>
      </c>
      <c r="J1862" s="29" t="s">
        <v>46</v>
      </c>
      <c r="K1862" s="15">
        <f>(VLOOKUP(H1862,'[1]BOM Info General'!$A:$L,12,0))*I1862</f>
        <v>24.42</v>
      </c>
      <c r="L1862" s="26" t="s">
        <v>527</v>
      </c>
      <c r="M1862" s="26">
        <v>1</v>
      </c>
      <c r="N1862" s="26" t="s">
        <v>79</v>
      </c>
      <c r="O1862" s="9">
        <f>(VLOOKUP(L1862,'[1]Simulation pricing per sub assy'!$D:$E,2,0))*M1862</f>
        <v>42.308799999999991</v>
      </c>
      <c r="P1862" s="30" t="s">
        <v>50</v>
      </c>
      <c r="Q1862" s="30">
        <v>2</v>
      </c>
      <c r="R1862" s="30" t="s">
        <v>16</v>
      </c>
      <c r="S1862" s="40">
        <f>(VLOOKUP(P1862,'[1]BOM Info General'!$A:$L,12,0))*Q1862</f>
        <v>5.3</v>
      </c>
      <c r="T1862" s="31" t="s">
        <v>12</v>
      </c>
      <c r="U1862" s="31">
        <v>1</v>
      </c>
      <c r="V1862" s="31" t="s">
        <v>13</v>
      </c>
      <c r="W1862" s="17">
        <f>(VLOOKUP(T1862,'[1]Simulation pricing per sub assy'!$D:$E,2,0))*U1862</f>
        <v>1.9</v>
      </c>
      <c r="X1862" s="32" t="s">
        <v>615</v>
      </c>
      <c r="Y1862" s="32">
        <v>1</v>
      </c>
      <c r="Z1862" s="32" t="s">
        <v>9</v>
      </c>
      <c r="AA1862" s="18">
        <f>(VLOOKUP(X1862,'[1]Simulation pricing per sub assy'!$D:$E,2,0))*Y1862</f>
        <v>1.5769808000000001</v>
      </c>
    </row>
    <row r="1863" spans="1:27" x14ac:dyDescent="0.35">
      <c r="A1863" s="27" t="s">
        <v>3110</v>
      </c>
      <c r="B1863" s="27" t="s">
        <v>4735</v>
      </c>
      <c r="C1863" s="42">
        <f t="shared" si="29"/>
        <v>112.0457808</v>
      </c>
      <c r="D1863" s="28" t="s">
        <v>2058</v>
      </c>
      <c r="E1863" s="28">
        <v>1</v>
      </c>
      <c r="F1863" s="28" t="s">
        <v>2059</v>
      </c>
      <c r="G1863" s="14">
        <f>(VLOOKUP(D1863,'[1]BOM Info General'!$A:$L,12,0))*E1863</f>
        <v>35.56</v>
      </c>
      <c r="H1863" s="29" t="s">
        <v>39</v>
      </c>
      <c r="I1863" s="29">
        <v>1</v>
      </c>
      <c r="J1863" s="29" t="s">
        <v>46</v>
      </c>
      <c r="K1863" s="15">
        <f>(VLOOKUP(H1863,'[1]BOM Info General'!$A:$L,12,0))*I1863</f>
        <v>24.42</v>
      </c>
      <c r="L1863" s="26" t="s">
        <v>76</v>
      </c>
      <c r="M1863" s="26">
        <v>1</v>
      </c>
      <c r="N1863" s="26" t="s">
        <v>73</v>
      </c>
      <c r="O1863" s="9">
        <f>(VLOOKUP(L1863,'[1]Simulation pricing per sub assy'!$D:$E,2,0))*M1863</f>
        <v>43.288799999999988</v>
      </c>
      <c r="P1863" s="30" t="s">
        <v>50</v>
      </c>
      <c r="Q1863" s="30">
        <v>2</v>
      </c>
      <c r="R1863" s="30" t="s">
        <v>16</v>
      </c>
      <c r="S1863" s="40">
        <f>(VLOOKUP(P1863,'[1]BOM Info General'!$A:$L,12,0))*Q1863</f>
        <v>5.3</v>
      </c>
      <c r="T1863" s="31" t="s">
        <v>12</v>
      </c>
      <c r="U1863" s="31">
        <v>1</v>
      </c>
      <c r="V1863" s="31" t="s">
        <v>13</v>
      </c>
      <c r="W1863" s="17">
        <f>(VLOOKUP(T1863,'[1]Simulation pricing per sub assy'!$D:$E,2,0))*U1863</f>
        <v>1.9</v>
      </c>
      <c r="X1863" s="32" t="s">
        <v>615</v>
      </c>
      <c r="Y1863" s="32">
        <v>1</v>
      </c>
      <c r="Z1863" s="32" t="s">
        <v>9</v>
      </c>
      <c r="AA1863" s="18">
        <f>(VLOOKUP(X1863,'[1]Simulation pricing per sub assy'!$D:$E,2,0))*Y1863</f>
        <v>1.5769808000000001</v>
      </c>
    </row>
    <row r="1864" spans="1:27" x14ac:dyDescent="0.35">
      <c r="A1864" s="27" t="s">
        <v>3111</v>
      </c>
      <c r="B1864" s="27" t="s">
        <v>4736</v>
      </c>
      <c r="C1864" s="42">
        <f t="shared" si="29"/>
        <v>112.6257808</v>
      </c>
      <c r="D1864" s="28" t="s">
        <v>2058</v>
      </c>
      <c r="E1864" s="28">
        <v>1</v>
      </c>
      <c r="F1864" s="28" t="s">
        <v>2059</v>
      </c>
      <c r="G1864" s="14">
        <f>(VLOOKUP(D1864,'[1]BOM Info General'!$A:$L,12,0))*E1864</f>
        <v>35.56</v>
      </c>
      <c r="H1864" s="29" t="s">
        <v>39</v>
      </c>
      <c r="I1864" s="29">
        <v>1</v>
      </c>
      <c r="J1864" s="29" t="s">
        <v>46</v>
      </c>
      <c r="K1864" s="15">
        <f>(VLOOKUP(H1864,'[1]BOM Info General'!$A:$L,12,0))*I1864</f>
        <v>24.42</v>
      </c>
      <c r="L1864" s="26" t="s">
        <v>72</v>
      </c>
      <c r="M1864" s="26">
        <v>1</v>
      </c>
      <c r="N1864" s="26" t="s">
        <v>71</v>
      </c>
      <c r="O1864" s="9">
        <f>(VLOOKUP(L1864,'[1]Simulation pricing per sub assy'!$D:$E,2,0))*M1864</f>
        <v>43.868799999999993</v>
      </c>
      <c r="P1864" s="30" t="s">
        <v>50</v>
      </c>
      <c r="Q1864" s="30">
        <v>2</v>
      </c>
      <c r="R1864" s="30" t="s">
        <v>16</v>
      </c>
      <c r="S1864" s="40">
        <f>(VLOOKUP(P1864,'[1]BOM Info General'!$A:$L,12,0))*Q1864</f>
        <v>5.3</v>
      </c>
      <c r="T1864" s="31" t="s">
        <v>12</v>
      </c>
      <c r="U1864" s="31">
        <v>1</v>
      </c>
      <c r="V1864" s="31" t="s">
        <v>13</v>
      </c>
      <c r="W1864" s="17">
        <f>(VLOOKUP(T1864,'[1]Simulation pricing per sub assy'!$D:$E,2,0))*U1864</f>
        <v>1.9</v>
      </c>
      <c r="X1864" s="32" t="s">
        <v>615</v>
      </c>
      <c r="Y1864" s="32">
        <v>1</v>
      </c>
      <c r="Z1864" s="32" t="s">
        <v>9</v>
      </c>
      <c r="AA1864" s="18">
        <f>(VLOOKUP(X1864,'[1]Simulation pricing per sub assy'!$D:$E,2,0))*Y1864</f>
        <v>1.5769808000000001</v>
      </c>
    </row>
    <row r="1865" spans="1:27" x14ac:dyDescent="0.35">
      <c r="A1865" s="27" t="s">
        <v>3112</v>
      </c>
      <c r="B1865" s="27" t="s">
        <v>4737</v>
      </c>
      <c r="C1865" s="42">
        <f t="shared" si="29"/>
        <v>112.3657808</v>
      </c>
      <c r="D1865" s="28" t="s">
        <v>2058</v>
      </c>
      <c r="E1865" s="28">
        <v>1</v>
      </c>
      <c r="F1865" s="28" t="s">
        <v>2059</v>
      </c>
      <c r="G1865" s="14">
        <f>(VLOOKUP(D1865,'[1]BOM Info General'!$A:$L,12,0))*E1865</f>
        <v>35.56</v>
      </c>
      <c r="H1865" s="29" t="s">
        <v>39</v>
      </c>
      <c r="I1865" s="29">
        <v>1</v>
      </c>
      <c r="J1865" s="29" t="s">
        <v>46</v>
      </c>
      <c r="K1865" s="15">
        <f>(VLOOKUP(H1865,'[1]BOM Info General'!$A:$L,12,0))*I1865</f>
        <v>24.42</v>
      </c>
      <c r="L1865" s="26" t="s">
        <v>78</v>
      </c>
      <c r="M1865" s="26">
        <v>1</v>
      </c>
      <c r="N1865" s="26" t="s">
        <v>75</v>
      </c>
      <c r="O1865" s="9">
        <f>(VLOOKUP(L1865,'[1]Simulation pricing per sub assy'!$D:$E,2,0))*M1865</f>
        <v>43.608799999999988</v>
      </c>
      <c r="P1865" s="30" t="s">
        <v>50</v>
      </c>
      <c r="Q1865" s="30">
        <v>2</v>
      </c>
      <c r="R1865" s="30" t="s">
        <v>16</v>
      </c>
      <c r="S1865" s="40">
        <f>(VLOOKUP(P1865,'[1]BOM Info General'!$A:$L,12,0))*Q1865</f>
        <v>5.3</v>
      </c>
      <c r="T1865" s="31" t="s">
        <v>12</v>
      </c>
      <c r="U1865" s="31">
        <v>1</v>
      </c>
      <c r="V1865" s="31" t="s">
        <v>13</v>
      </c>
      <c r="W1865" s="17">
        <f>(VLOOKUP(T1865,'[1]Simulation pricing per sub assy'!$D:$E,2,0))*U1865</f>
        <v>1.9</v>
      </c>
      <c r="X1865" s="32" t="s">
        <v>615</v>
      </c>
      <c r="Y1865" s="32">
        <v>1</v>
      </c>
      <c r="Z1865" s="32" t="s">
        <v>9</v>
      </c>
      <c r="AA1865" s="18">
        <f>(VLOOKUP(X1865,'[1]Simulation pricing per sub assy'!$D:$E,2,0))*Y1865</f>
        <v>1.5769808000000001</v>
      </c>
    </row>
    <row r="1866" spans="1:27" x14ac:dyDescent="0.35">
      <c r="A1866" s="27" t="s">
        <v>3113</v>
      </c>
      <c r="B1866" s="27" t="s">
        <v>4738</v>
      </c>
      <c r="C1866" s="42">
        <f t="shared" si="29"/>
        <v>120.0357808</v>
      </c>
      <c r="D1866" s="28" t="s">
        <v>2058</v>
      </c>
      <c r="E1866" s="28">
        <v>1</v>
      </c>
      <c r="F1866" s="28" t="s">
        <v>2059</v>
      </c>
      <c r="G1866" s="14">
        <f>(VLOOKUP(D1866,'[1]BOM Info General'!$A:$L,12,0))*E1866</f>
        <v>35.56</v>
      </c>
      <c r="H1866" s="29" t="s">
        <v>39</v>
      </c>
      <c r="I1866" s="29">
        <v>1</v>
      </c>
      <c r="J1866" s="29" t="s">
        <v>46</v>
      </c>
      <c r="K1866" s="15">
        <f>(VLOOKUP(H1866,'[1]BOM Info General'!$A:$L,12,0))*I1866</f>
        <v>24.42</v>
      </c>
      <c r="L1866" s="26" t="s">
        <v>74</v>
      </c>
      <c r="M1866" s="26">
        <v>1</v>
      </c>
      <c r="N1866" s="26" t="s">
        <v>77</v>
      </c>
      <c r="O1866" s="9">
        <f>(VLOOKUP(L1866,'[1]Simulation pricing per sub assy'!$D:$E,2,0))*M1866</f>
        <v>51.27879999999999</v>
      </c>
      <c r="P1866" s="30" t="s">
        <v>50</v>
      </c>
      <c r="Q1866" s="30">
        <v>2</v>
      </c>
      <c r="R1866" s="30" t="s">
        <v>16</v>
      </c>
      <c r="S1866" s="40">
        <f>(VLOOKUP(P1866,'[1]BOM Info General'!$A:$L,12,0))*Q1866</f>
        <v>5.3</v>
      </c>
      <c r="T1866" s="31" t="s">
        <v>12</v>
      </c>
      <c r="U1866" s="31">
        <v>1</v>
      </c>
      <c r="V1866" s="31" t="s">
        <v>13</v>
      </c>
      <c r="W1866" s="17">
        <f>(VLOOKUP(T1866,'[1]Simulation pricing per sub assy'!$D:$E,2,0))*U1866</f>
        <v>1.9</v>
      </c>
      <c r="X1866" s="32" t="s">
        <v>615</v>
      </c>
      <c r="Y1866" s="32">
        <v>1</v>
      </c>
      <c r="Z1866" s="32" t="s">
        <v>9</v>
      </c>
      <c r="AA1866" s="18">
        <f>(VLOOKUP(X1866,'[1]Simulation pricing per sub assy'!$D:$E,2,0))*Y1866</f>
        <v>1.5769808000000001</v>
      </c>
    </row>
    <row r="1867" spans="1:27" x14ac:dyDescent="0.35">
      <c r="A1867" s="27" t="s">
        <v>3114</v>
      </c>
      <c r="B1867" s="27" t="s">
        <v>4739</v>
      </c>
      <c r="C1867" s="42">
        <f t="shared" si="29"/>
        <v>111.0657808</v>
      </c>
      <c r="D1867" s="28" t="s">
        <v>2058</v>
      </c>
      <c r="E1867" s="28">
        <v>1</v>
      </c>
      <c r="F1867" s="28" t="s">
        <v>2059</v>
      </c>
      <c r="G1867" s="14">
        <f>(VLOOKUP(D1867,'[1]BOM Info General'!$A:$L,12,0))*E1867</f>
        <v>35.56</v>
      </c>
      <c r="H1867" s="29" t="s">
        <v>39</v>
      </c>
      <c r="I1867" s="29">
        <v>1</v>
      </c>
      <c r="J1867" s="29" t="s">
        <v>46</v>
      </c>
      <c r="K1867" s="15">
        <f>(VLOOKUP(H1867,'[1]BOM Info General'!$A:$L,12,0))*I1867</f>
        <v>24.42</v>
      </c>
      <c r="L1867" s="26" t="s">
        <v>527</v>
      </c>
      <c r="M1867" s="26">
        <v>1</v>
      </c>
      <c r="N1867" s="26" t="s">
        <v>79</v>
      </c>
      <c r="O1867" s="9">
        <f>(VLOOKUP(L1867,'[1]Simulation pricing per sub assy'!$D:$E,2,0))*M1867</f>
        <v>42.308799999999991</v>
      </c>
      <c r="P1867" s="30" t="s">
        <v>50</v>
      </c>
      <c r="Q1867" s="30">
        <v>2</v>
      </c>
      <c r="R1867" s="30" t="s">
        <v>16</v>
      </c>
      <c r="S1867" s="40">
        <f>(VLOOKUP(P1867,'[1]BOM Info General'!$A:$L,12,0))*Q1867</f>
        <v>5.3</v>
      </c>
      <c r="T1867" s="31" t="s">
        <v>14</v>
      </c>
      <c r="U1867" s="31">
        <v>1</v>
      </c>
      <c r="V1867" s="31" t="s">
        <v>15</v>
      </c>
      <c r="W1867" s="17">
        <f>(VLOOKUP(T1867,'[1]Simulation pricing per sub assy'!$D:$E,2,0))*U1867</f>
        <v>1.9</v>
      </c>
      <c r="X1867" s="32" t="s">
        <v>615</v>
      </c>
      <c r="Y1867" s="32">
        <v>1</v>
      </c>
      <c r="Z1867" s="32" t="s">
        <v>9</v>
      </c>
      <c r="AA1867" s="18">
        <f>(VLOOKUP(X1867,'[1]Simulation pricing per sub assy'!$D:$E,2,0))*Y1867</f>
        <v>1.5769808000000001</v>
      </c>
    </row>
    <row r="1868" spans="1:27" x14ac:dyDescent="0.35">
      <c r="A1868" s="27" t="s">
        <v>3115</v>
      </c>
      <c r="B1868" s="27" t="s">
        <v>4740</v>
      </c>
      <c r="C1868" s="42">
        <f t="shared" si="29"/>
        <v>112.0457808</v>
      </c>
      <c r="D1868" s="28" t="s">
        <v>2058</v>
      </c>
      <c r="E1868" s="28">
        <v>1</v>
      </c>
      <c r="F1868" s="28" t="s">
        <v>2059</v>
      </c>
      <c r="G1868" s="14">
        <f>(VLOOKUP(D1868,'[1]BOM Info General'!$A:$L,12,0))*E1868</f>
        <v>35.56</v>
      </c>
      <c r="H1868" s="29" t="s">
        <v>39</v>
      </c>
      <c r="I1868" s="29">
        <v>1</v>
      </c>
      <c r="J1868" s="29" t="s">
        <v>46</v>
      </c>
      <c r="K1868" s="15">
        <f>(VLOOKUP(H1868,'[1]BOM Info General'!$A:$L,12,0))*I1868</f>
        <v>24.42</v>
      </c>
      <c r="L1868" s="26" t="s">
        <v>76</v>
      </c>
      <c r="M1868" s="26">
        <v>1</v>
      </c>
      <c r="N1868" s="26" t="s">
        <v>73</v>
      </c>
      <c r="O1868" s="9">
        <f>(VLOOKUP(L1868,'[1]Simulation pricing per sub assy'!$D:$E,2,0))*M1868</f>
        <v>43.288799999999988</v>
      </c>
      <c r="P1868" s="30" t="s">
        <v>50</v>
      </c>
      <c r="Q1868" s="30">
        <v>2</v>
      </c>
      <c r="R1868" s="30" t="s">
        <v>16</v>
      </c>
      <c r="S1868" s="40">
        <f>(VLOOKUP(P1868,'[1]BOM Info General'!$A:$L,12,0))*Q1868</f>
        <v>5.3</v>
      </c>
      <c r="T1868" s="31" t="s">
        <v>14</v>
      </c>
      <c r="U1868" s="31">
        <v>1</v>
      </c>
      <c r="V1868" s="31" t="s">
        <v>15</v>
      </c>
      <c r="W1868" s="17">
        <f>(VLOOKUP(T1868,'[1]Simulation pricing per sub assy'!$D:$E,2,0))*U1868</f>
        <v>1.9</v>
      </c>
      <c r="X1868" s="32" t="s">
        <v>615</v>
      </c>
      <c r="Y1868" s="32">
        <v>1</v>
      </c>
      <c r="Z1868" s="32" t="s">
        <v>9</v>
      </c>
      <c r="AA1868" s="18">
        <f>(VLOOKUP(X1868,'[1]Simulation pricing per sub assy'!$D:$E,2,0))*Y1868</f>
        <v>1.5769808000000001</v>
      </c>
    </row>
    <row r="1869" spans="1:27" x14ac:dyDescent="0.35">
      <c r="A1869" s="27" t="s">
        <v>3116</v>
      </c>
      <c r="B1869" s="27" t="s">
        <v>4741</v>
      </c>
      <c r="C1869" s="42">
        <f t="shared" si="29"/>
        <v>112.6257808</v>
      </c>
      <c r="D1869" s="28" t="s">
        <v>2058</v>
      </c>
      <c r="E1869" s="28">
        <v>1</v>
      </c>
      <c r="F1869" s="28" t="s">
        <v>2059</v>
      </c>
      <c r="G1869" s="14">
        <f>(VLOOKUP(D1869,'[1]BOM Info General'!$A:$L,12,0))*E1869</f>
        <v>35.56</v>
      </c>
      <c r="H1869" s="29" t="s">
        <v>39</v>
      </c>
      <c r="I1869" s="29">
        <v>1</v>
      </c>
      <c r="J1869" s="29" t="s">
        <v>46</v>
      </c>
      <c r="K1869" s="15">
        <f>(VLOOKUP(H1869,'[1]BOM Info General'!$A:$L,12,0))*I1869</f>
        <v>24.42</v>
      </c>
      <c r="L1869" s="26" t="s">
        <v>72</v>
      </c>
      <c r="M1869" s="26">
        <v>1</v>
      </c>
      <c r="N1869" s="26" t="s">
        <v>71</v>
      </c>
      <c r="O1869" s="9">
        <f>(VLOOKUP(L1869,'[1]Simulation pricing per sub assy'!$D:$E,2,0))*M1869</f>
        <v>43.868799999999993</v>
      </c>
      <c r="P1869" s="30" t="s">
        <v>50</v>
      </c>
      <c r="Q1869" s="30">
        <v>2</v>
      </c>
      <c r="R1869" s="30" t="s">
        <v>16</v>
      </c>
      <c r="S1869" s="40">
        <f>(VLOOKUP(P1869,'[1]BOM Info General'!$A:$L,12,0))*Q1869</f>
        <v>5.3</v>
      </c>
      <c r="T1869" s="31" t="s">
        <v>14</v>
      </c>
      <c r="U1869" s="31">
        <v>1</v>
      </c>
      <c r="V1869" s="31" t="s">
        <v>15</v>
      </c>
      <c r="W1869" s="17">
        <f>(VLOOKUP(T1869,'[1]Simulation pricing per sub assy'!$D:$E,2,0))*U1869</f>
        <v>1.9</v>
      </c>
      <c r="X1869" s="32" t="s">
        <v>615</v>
      </c>
      <c r="Y1869" s="32">
        <v>1</v>
      </c>
      <c r="Z1869" s="32" t="s">
        <v>9</v>
      </c>
      <c r="AA1869" s="18">
        <f>(VLOOKUP(X1869,'[1]Simulation pricing per sub assy'!$D:$E,2,0))*Y1869</f>
        <v>1.5769808000000001</v>
      </c>
    </row>
    <row r="1870" spans="1:27" x14ac:dyDescent="0.35">
      <c r="A1870" s="27" t="s">
        <v>3117</v>
      </c>
      <c r="B1870" s="27" t="s">
        <v>4742</v>
      </c>
      <c r="C1870" s="42">
        <f t="shared" si="29"/>
        <v>112.3657808</v>
      </c>
      <c r="D1870" s="28" t="s">
        <v>2058</v>
      </c>
      <c r="E1870" s="28">
        <v>1</v>
      </c>
      <c r="F1870" s="28" t="s">
        <v>2059</v>
      </c>
      <c r="G1870" s="14">
        <f>(VLOOKUP(D1870,'[1]BOM Info General'!$A:$L,12,0))*E1870</f>
        <v>35.56</v>
      </c>
      <c r="H1870" s="29" t="s">
        <v>39</v>
      </c>
      <c r="I1870" s="29">
        <v>1</v>
      </c>
      <c r="J1870" s="29" t="s">
        <v>46</v>
      </c>
      <c r="K1870" s="15">
        <f>(VLOOKUP(H1870,'[1]BOM Info General'!$A:$L,12,0))*I1870</f>
        <v>24.42</v>
      </c>
      <c r="L1870" s="26" t="s">
        <v>78</v>
      </c>
      <c r="M1870" s="26">
        <v>1</v>
      </c>
      <c r="N1870" s="26" t="s">
        <v>75</v>
      </c>
      <c r="O1870" s="9">
        <f>(VLOOKUP(L1870,'[1]Simulation pricing per sub assy'!$D:$E,2,0))*M1870</f>
        <v>43.608799999999988</v>
      </c>
      <c r="P1870" s="30" t="s">
        <v>50</v>
      </c>
      <c r="Q1870" s="30">
        <v>2</v>
      </c>
      <c r="R1870" s="30" t="s">
        <v>16</v>
      </c>
      <c r="S1870" s="40">
        <f>(VLOOKUP(P1870,'[1]BOM Info General'!$A:$L,12,0))*Q1870</f>
        <v>5.3</v>
      </c>
      <c r="T1870" s="31" t="s">
        <v>14</v>
      </c>
      <c r="U1870" s="31">
        <v>1</v>
      </c>
      <c r="V1870" s="31" t="s">
        <v>15</v>
      </c>
      <c r="W1870" s="17">
        <f>(VLOOKUP(T1870,'[1]Simulation pricing per sub assy'!$D:$E,2,0))*U1870</f>
        <v>1.9</v>
      </c>
      <c r="X1870" s="32" t="s">
        <v>615</v>
      </c>
      <c r="Y1870" s="32">
        <v>1</v>
      </c>
      <c r="Z1870" s="32" t="s">
        <v>9</v>
      </c>
      <c r="AA1870" s="18">
        <f>(VLOOKUP(X1870,'[1]Simulation pricing per sub assy'!$D:$E,2,0))*Y1870</f>
        <v>1.5769808000000001</v>
      </c>
    </row>
    <row r="1871" spans="1:27" x14ac:dyDescent="0.35">
      <c r="A1871" s="27" t="s">
        <v>3118</v>
      </c>
      <c r="B1871" s="27" t="s">
        <v>4743</v>
      </c>
      <c r="C1871" s="42">
        <f t="shared" si="29"/>
        <v>120.0357808</v>
      </c>
      <c r="D1871" s="28" t="s">
        <v>2058</v>
      </c>
      <c r="E1871" s="28">
        <v>1</v>
      </c>
      <c r="F1871" s="28" t="s">
        <v>2059</v>
      </c>
      <c r="G1871" s="14">
        <f>(VLOOKUP(D1871,'[1]BOM Info General'!$A:$L,12,0))*E1871</f>
        <v>35.56</v>
      </c>
      <c r="H1871" s="29" t="s">
        <v>39</v>
      </c>
      <c r="I1871" s="29">
        <v>1</v>
      </c>
      <c r="J1871" s="29" t="s">
        <v>46</v>
      </c>
      <c r="K1871" s="15">
        <f>(VLOOKUP(H1871,'[1]BOM Info General'!$A:$L,12,0))*I1871</f>
        <v>24.42</v>
      </c>
      <c r="L1871" s="26" t="s">
        <v>74</v>
      </c>
      <c r="M1871" s="26">
        <v>1</v>
      </c>
      <c r="N1871" s="26" t="s">
        <v>77</v>
      </c>
      <c r="O1871" s="9">
        <f>(VLOOKUP(L1871,'[1]Simulation pricing per sub assy'!$D:$E,2,0))*M1871</f>
        <v>51.27879999999999</v>
      </c>
      <c r="P1871" s="30" t="s">
        <v>50</v>
      </c>
      <c r="Q1871" s="30">
        <v>2</v>
      </c>
      <c r="R1871" s="30" t="s">
        <v>16</v>
      </c>
      <c r="S1871" s="40">
        <f>(VLOOKUP(P1871,'[1]BOM Info General'!$A:$L,12,0))*Q1871</f>
        <v>5.3</v>
      </c>
      <c r="T1871" s="31" t="s">
        <v>14</v>
      </c>
      <c r="U1871" s="31">
        <v>1</v>
      </c>
      <c r="V1871" s="31" t="s">
        <v>15</v>
      </c>
      <c r="W1871" s="17">
        <f>(VLOOKUP(T1871,'[1]Simulation pricing per sub assy'!$D:$E,2,0))*U1871</f>
        <v>1.9</v>
      </c>
      <c r="X1871" s="32" t="s">
        <v>615</v>
      </c>
      <c r="Y1871" s="32">
        <v>1</v>
      </c>
      <c r="Z1871" s="32" t="s">
        <v>9</v>
      </c>
      <c r="AA1871" s="18">
        <f>(VLOOKUP(X1871,'[1]Simulation pricing per sub assy'!$D:$E,2,0))*Y1871</f>
        <v>1.5769808000000001</v>
      </c>
    </row>
    <row r="1872" spans="1:27" x14ac:dyDescent="0.35">
      <c r="A1872" s="27" t="s">
        <v>3119</v>
      </c>
      <c r="B1872" s="27" t="s">
        <v>4744</v>
      </c>
      <c r="C1872" s="42">
        <f t="shared" si="29"/>
        <v>111.21578079999999</v>
      </c>
      <c r="D1872" s="28" t="s">
        <v>2058</v>
      </c>
      <c r="E1872" s="28">
        <v>1</v>
      </c>
      <c r="F1872" s="28" t="s">
        <v>2059</v>
      </c>
      <c r="G1872" s="14">
        <f>(VLOOKUP(D1872,'[1]BOM Info General'!$A:$L,12,0))*E1872</f>
        <v>35.56</v>
      </c>
      <c r="H1872" s="29" t="s">
        <v>39</v>
      </c>
      <c r="I1872" s="29">
        <v>1</v>
      </c>
      <c r="J1872" s="29" t="s">
        <v>46</v>
      </c>
      <c r="K1872" s="15">
        <f>(VLOOKUP(H1872,'[1]BOM Info General'!$A:$L,12,0))*I1872</f>
        <v>24.42</v>
      </c>
      <c r="L1872" s="26" t="s">
        <v>527</v>
      </c>
      <c r="M1872" s="26">
        <v>1</v>
      </c>
      <c r="N1872" s="26" t="s">
        <v>79</v>
      </c>
      <c r="O1872" s="9">
        <f>(VLOOKUP(L1872,'[1]Simulation pricing per sub assy'!$D:$E,2,0))*M1872</f>
        <v>42.308799999999991</v>
      </c>
      <c r="P1872" s="30" t="s">
        <v>51</v>
      </c>
      <c r="Q1872" s="30">
        <v>2</v>
      </c>
      <c r="R1872" s="30" t="s">
        <v>17</v>
      </c>
      <c r="S1872" s="40">
        <f>(VLOOKUP(P1872,'[1]BOM Info General'!$A:$L,12,0))*Q1872</f>
        <v>5.3</v>
      </c>
      <c r="T1872" s="31" t="s">
        <v>10</v>
      </c>
      <c r="U1872" s="31">
        <v>1</v>
      </c>
      <c r="V1872" s="31" t="s">
        <v>11</v>
      </c>
      <c r="W1872" s="17">
        <f>(VLOOKUP(T1872,'[1]Simulation pricing per sub assy'!$D:$E,2,0))*U1872</f>
        <v>2.0499999999999998</v>
      </c>
      <c r="X1872" s="32" t="s">
        <v>615</v>
      </c>
      <c r="Y1872" s="32">
        <v>1</v>
      </c>
      <c r="Z1872" s="32" t="s">
        <v>9</v>
      </c>
      <c r="AA1872" s="18">
        <f>(VLOOKUP(X1872,'[1]Simulation pricing per sub assy'!$D:$E,2,0))*Y1872</f>
        <v>1.5769808000000001</v>
      </c>
    </row>
    <row r="1873" spans="1:27" x14ac:dyDescent="0.35">
      <c r="A1873" s="27" t="s">
        <v>3120</v>
      </c>
      <c r="B1873" s="27" t="s">
        <v>4745</v>
      </c>
      <c r="C1873" s="42">
        <f t="shared" si="29"/>
        <v>112.19578079999999</v>
      </c>
      <c r="D1873" s="28" t="s">
        <v>2058</v>
      </c>
      <c r="E1873" s="28">
        <v>1</v>
      </c>
      <c r="F1873" s="28" t="s">
        <v>2059</v>
      </c>
      <c r="G1873" s="14">
        <f>(VLOOKUP(D1873,'[1]BOM Info General'!$A:$L,12,0))*E1873</f>
        <v>35.56</v>
      </c>
      <c r="H1873" s="29" t="s">
        <v>39</v>
      </c>
      <c r="I1873" s="29">
        <v>1</v>
      </c>
      <c r="J1873" s="29" t="s">
        <v>46</v>
      </c>
      <c r="K1873" s="15">
        <f>(VLOOKUP(H1873,'[1]BOM Info General'!$A:$L,12,0))*I1873</f>
        <v>24.42</v>
      </c>
      <c r="L1873" s="26" t="s">
        <v>76</v>
      </c>
      <c r="M1873" s="26">
        <v>1</v>
      </c>
      <c r="N1873" s="26" t="s">
        <v>73</v>
      </c>
      <c r="O1873" s="9">
        <f>(VLOOKUP(L1873,'[1]Simulation pricing per sub assy'!$D:$E,2,0))*M1873</f>
        <v>43.288799999999988</v>
      </c>
      <c r="P1873" s="30" t="s">
        <v>51</v>
      </c>
      <c r="Q1873" s="30">
        <v>2</v>
      </c>
      <c r="R1873" s="30" t="s">
        <v>17</v>
      </c>
      <c r="S1873" s="40">
        <f>(VLOOKUP(P1873,'[1]BOM Info General'!$A:$L,12,0))*Q1873</f>
        <v>5.3</v>
      </c>
      <c r="T1873" s="31" t="s">
        <v>10</v>
      </c>
      <c r="U1873" s="31">
        <v>1</v>
      </c>
      <c r="V1873" s="31" t="s">
        <v>11</v>
      </c>
      <c r="W1873" s="17">
        <f>(VLOOKUP(T1873,'[1]Simulation pricing per sub assy'!$D:$E,2,0))*U1873</f>
        <v>2.0499999999999998</v>
      </c>
      <c r="X1873" s="32" t="s">
        <v>615</v>
      </c>
      <c r="Y1873" s="32">
        <v>1</v>
      </c>
      <c r="Z1873" s="32" t="s">
        <v>9</v>
      </c>
      <c r="AA1873" s="18">
        <f>(VLOOKUP(X1873,'[1]Simulation pricing per sub assy'!$D:$E,2,0))*Y1873</f>
        <v>1.5769808000000001</v>
      </c>
    </row>
    <row r="1874" spans="1:27" x14ac:dyDescent="0.35">
      <c r="A1874" s="27" t="s">
        <v>3121</v>
      </c>
      <c r="B1874" s="27" t="s">
        <v>4746</v>
      </c>
      <c r="C1874" s="42">
        <f t="shared" si="29"/>
        <v>112.77578079999999</v>
      </c>
      <c r="D1874" s="28" t="s">
        <v>2058</v>
      </c>
      <c r="E1874" s="28">
        <v>1</v>
      </c>
      <c r="F1874" s="28" t="s">
        <v>2059</v>
      </c>
      <c r="G1874" s="14">
        <f>(VLOOKUP(D1874,'[1]BOM Info General'!$A:$L,12,0))*E1874</f>
        <v>35.56</v>
      </c>
      <c r="H1874" s="29" t="s">
        <v>39</v>
      </c>
      <c r="I1874" s="29">
        <v>1</v>
      </c>
      <c r="J1874" s="29" t="s">
        <v>46</v>
      </c>
      <c r="K1874" s="15">
        <f>(VLOOKUP(H1874,'[1]BOM Info General'!$A:$L,12,0))*I1874</f>
        <v>24.42</v>
      </c>
      <c r="L1874" s="26" t="s">
        <v>72</v>
      </c>
      <c r="M1874" s="26">
        <v>1</v>
      </c>
      <c r="N1874" s="26" t="s">
        <v>71</v>
      </c>
      <c r="O1874" s="9">
        <f>(VLOOKUP(L1874,'[1]Simulation pricing per sub assy'!$D:$E,2,0))*M1874</f>
        <v>43.868799999999993</v>
      </c>
      <c r="P1874" s="30" t="s">
        <v>51</v>
      </c>
      <c r="Q1874" s="30">
        <v>2</v>
      </c>
      <c r="R1874" s="30" t="s">
        <v>17</v>
      </c>
      <c r="S1874" s="40">
        <f>(VLOOKUP(P1874,'[1]BOM Info General'!$A:$L,12,0))*Q1874</f>
        <v>5.3</v>
      </c>
      <c r="T1874" s="31" t="s">
        <v>10</v>
      </c>
      <c r="U1874" s="31">
        <v>1</v>
      </c>
      <c r="V1874" s="31" t="s">
        <v>11</v>
      </c>
      <c r="W1874" s="17">
        <f>(VLOOKUP(T1874,'[1]Simulation pricing per sub assy'!$D:$E,2,0))*U1874</f>
        <v>2.0499999999999998</v>
      </c>
      <c r="X1874" s="32" t="s">
        <v>615</v>
      </c>
      <c r="Y1874" s="32">
        <v>1</v>
      </c>
      <c r="Z1874" s="32" t="s">
        <v>9</v>
      </c>
      <c r="AA1874" s="18">
        <f>(VLOOKUP(X1874,'[1]Simulation pricing per sub assy'!$D:$E,2,0))*Y1874</f>
        <v>1.5769808000000001</v>
      </c>
    </row>
    <row r="1875" spans="1:27" x14ac:dyDescent="0.35">
      <c r="A1875" s="27" t="s">
        <v>3122</v>
      </c>
      <c r="B1875" s="27" t="s">
        <v>4747</v>
      </c>
      <c r="C1875" s="42">
        <f t="shared" si="29"/>
        <v>112.51578079999999</v>
      </c>
      <c r="D1875" s="28" t="s">
        <v>2058</v>
      </c>
      <c r="E1875" s="28">
        <v>1</v>
      </c>
      <c r="F1875" s="28" t="s">
        <v>2059</v>
      </c>
      <c r="G1875" s="14">
        <f>(VLOOKUP(D1875,'[1]BOM Info General'!$A:$L,12,0))*E1875</f>
        <v>35.56</v>
      </c>
      <c r="H1875" s="29" t="s">
        <v>39</v>
      </c>
      <c r="I1875" s="29">
        <v>1</v>
      </c>
      <c r="J1875" s="29" t="s">
        <v>46</v>
      </c>
      <c r="K1875" s="15">
        <f>(VLOOKUP(H1875,'[1]BOM Info General'!$A:$L,12,0))*I1875</f>
        <v>24.42</v>
      </c>
      <c r="L1875" s="26" t="s">
        <v>78</v>
      </c>
      <c r="M1875" s="26">
        <v>1</v>
      </c>
      <c r="N1875" s="26" t="s">
        <v>75</v>
      </c>
      <c r="O1875" s="9">
        <f>(VLOOKUP(L1875,'[1]Simulation pricing per sub assy'!$D:$E,2,0))*M1875</f>
        <v>43.608799999999988</v>
      </c>
      <c r="P1875" s="30" t="s">
        <v>51</v>
      </c>
      <c r="Q1875" s="30">
        <v>2</v>
      </c>
      <c r="R1875" s="30" t="s">
        <v>17</v>
      </c>
      <c r="S1875" s="40">
        <f>(VLOOKUP(P1875,'[1]BOM Info General'!$A:$L,12,0))*Q1875</f>
        <v>5.3</v>
      </c>
      <c r="T1875" s="31" t="s">
        <v>10</v>
      </c>
      <c r="U1875" s="31">
        <v>1</v>
      </c>
      <c r="V1875" s="31" t="s">
        <v>11</v>
      </c>
      <c r="W1875" s="17">
        <f>(VLOOKUP(T1875,'[1]Simulation pricing per sub assy'!$D:$E,2,0))*U1875</f>
        <v>2.0499999999999998</v>
      </c>
      <c r="X1875" s="32" t="s">
        <v>615</v>
      </c>
      <c r="Y1875" s="32">
        <v>1</v>
      </c>
      <c r="Z1875" s="32" t="s">
        <v>9</v>
      </c>
      <c r="AA1875" s="18">
        <f>(VLOOKUP(X1875,'[1]Simulation pricing per sub assy'!$D:$E,2,0))*Y1875</f>
        <v>1.5769808000000001</v>
      </c>
    </row>
    <row r="1876" spans="1:27" x14ac:dyDescent="0.35">
      <c r="A1876" s="27" t="s">
        <v>3123</v>
      </c>
      <c r="B1876" s="27" t="s">
        <v>4748</v>
      </c>
      <c r="C1876" s="42">
        <f t="shared" si="29"/>
        <v>120.18578079999999</v>
      </c>
      <c r="D1876" s="28" t="s">
        <v>2058</v>
      </c>
      <c r="E1876" s="28">
        <v>1</v>
      </c>
      <c r="F1876" s="28" t="s">
        <v>2059</v>
      </c>
      <c r="G1876" s="14">
        <f>(VLOOKUP(D1876,'[1]BOM Info General'!$A:$L,12,0))*E1876</f>
        <v>35.56</v>
      </c>
      <c r="H1876" s="29" t="s">
        <v>39</v>
      </c>
      <c r="I1876" s="29">
        <v>1</v>
      </c>
      <c r="J1876" s="29" t="s">
        <v>46</v>
      </c>
      <c r="K1876" s="15">
        <f>(VLOOKUP(H1876,'[1]BOM Info General'!$A:$L,12,0))*I1876</f>
        <v>24.42</v>
      </c>
      <c r="L1876" s="26" t="s">
        <v>74</v>
      </c>
      <c r="M1876" s="26">
        <v>1</v>
      </c>
      <c r="N1876" s="26" t="s">
        <v>77</v>
      </c>
      <c r="O1876" s="9">
        <f>(VLOOKUP(L1876,'[1]Simulation pricing per sub assy'!$D:$E,2,0))*M1876</f>
        <v>51.27879999999999</v>
      </c>
      <c r="P1876" s="30" t="s">
        <v>51</v>
      </c>
      <c r="Q1876" s="30">
        <v>2</v>
      </c>
      <c r="R1876" s="30" t="s">
        <v>17</v>
      </c>
      <c r="S1876" s="40">
        <f>(VLOOKUP(P1876,'[1]BOM Info General'!$A:$L,12,0))*Q1876</f>
        <v>5.3</v>
      </c>
      <c r="T1876" s="31" t="s">
        <v>10</v>
      </c>
      <c r="U1876" s="31">
        <v>1</v>
      </c>
      <c r="V1876" s="31" t="s">
        <v>11</v>
      </c>
      <c r="W1876" s="17">
        <f>(VLOOKUP(T1876,'[1]Simulation pricing per sub assy'!$D:$E,2,0))*U1876</f>
        <v>2.0499999999999998</v>
      </c>
      <c r="X1876" s="32" t="s">
        <v>615</v>
      </c>
      <c r="Y1876" s="32">
        <v>1</v>
      </c>
      <c r="Z1876" s="32" t="s">
        <v>9</v>
      </c>
      <c r="AA1876" s="18">
        <f>(VLOOKUP(X1876,'[1]Simulation pricing per sub assy'!$D:$E,2,0))*Y1876</f>
        <v>1.5769808000000001</v>
      </c>
    </row>
    <row r="1877" spans="1:27" x14ac:dyDescent="0.35">
      <c r="A1877" s="27" t="s">
        <v>3124</v>
      </c>
      <c r="B1877" s="27" t="s">
        <v>4749</v>
      </c>
      <c r="C1877" s="42">
        <f t="shared" si="29"/>
        <v>111.0657808</v>
      </c>
      <c r="D1877" s="28" t="s">
        <v>2058</v>
      </c>
      <c r="E1877" s="28">
        <v>1</v>
      </c>
      <c r="F1877" s="28" t="s">
        <v>2059</v>
      </c>
      <c r="G1877" s="14">
        <f>(VLOOKUP(D1877,'[1]BOM Info General'!$A:$L,12,0))*E1877</f>
        <v>35.56</v>
      </c>
      <c r="H1877" s="29" t="s">
        <v>39</v>
      </c>
      <c r="I1877" s="29">
        <v>1</v>
      </c>
      <c r="J1877" s="29" t="s">
        <v>46</v>
      </c>
      <c r="K1877" s="15">
        <f>(VLOOKUP(H1877,'[1]BOM Info General'!$A:$L,12,0))*I1877</f>
        <v>24.42</v>
      </c>
      <c r="L1877" s="26" t="s">
        <v>527</v>
      </c>
      <c r="M1877" s="26">
        <v>1</v>
      </c>
      <c r="N1877" s="26" t="s">
        <v>79</v>
      </c>
      <c r="O1877" s="9">
        <f>(VLOOKUP(L1877,'[1]Simulation pricing per sub assy'!$D:$E,2,0))*M1877</f>
        <v>42.308799999999991</v>
      </c>
      <c r="P1877" s="30" t="s">
        <v>51</v>
      </c>
      <c r="Q1877" s="30">
        <v>2</v>
      </c>
      <c r="R1877" s="30" t="s">
        <v>17</v>
      </c>
      <c r="S1877" s="40">
        <f>(VLOOKUP(P1877,'[1]BOM Info General'!$A:$L,12,0))*Q1877</f>
        <v>5.3</v>
      </c>
      <c r="T1877" s="31" t="s">
        <v>12</v>
      </c>
      <c r="U1877" s="31">
        <v>1</v>
      </c>
      <c r="V1877" s="31" t="s">
        <v>13</v>
      </c>
      <c r="W1877" s="17">
        <f>(VLOOKUP(T1877,'[1]Simulation pricing per sub assy'!$D:$E,2,0))*U1877</f>
        <v>1.9</v>
      </c>
      <c r="X1877" s="32" t="s">
        <v>615</v>
      </c>
      <c r="Y1877" s="32">
        <v>1</v>
      </c>
      <c r="Z1877" s="32" t="s">
        <v>9</v>
      </c>
      <c r="AA1877" s="18">
        <f>(VLOOKUP(X1877,'[1]Simulation pricing per sub assy'!$D:$E,2,0))*Y1877</f>
        <v>1.5769808000000001</v>
      </c>
    </row>
    <row r="1878" spans="1:27" x14ac:dyDescent="0.35">
      <c r="A1878" s="27" t="s">
        <v>3125</v>
      </c>
      <c r="B1878" s="27" t="s">
        <v>4750</v>
      </c>
      <c r="C1878" s="42">
        <f t="shared" si="29"/>
        <v>112.0457808</v>
      </c>
      <c r="D1878" s="28" t="s">
        <v>2058</v>
      </c>
      <c r="E1878" s="28">
        <v>1</v>
      </c>
      <c r="F1878" s="28" t="s">
        <v>2059</v>
      </c>
      <c r="G1878" s="14">
        <f>(VLOOKUP(D1878,'[1]BOM Info General'!$A:$L,12,0))*E1878</f>
        <v>35.56</v>
      </c>
      <c r="H1878" s="29" t="s">
        <v>39</v>
      </c>
      <c r="I1878" s="29">
        <v>1</v>
      </c>
      <c r="J1878" s="29" t="s">
        <v>46</v>
      </c>
      <c r="K1878" s="15">
        <f>(VLOOKUP(H1878,'[1]BOM Info General'!$A:$L,12,0))*I1878</f>
        <v>24.42</v>
      </c>
      <c r="L1878" s="26" t="s">
        <v>76</v>
      </c>
      <c r="M1878" s="26">
        <v>1</v>
      </c>
      <c r="N1878" s="26" t="s">
        <v>73</v>
      </c>
      <c r="O1878" s="9">
        <f>(VLOOKUP(L1878,'[1]Simulation pricing per sub assy'!$D:$E,2,0))*M1878</f>
        <v>43.288799999999988</v>
      </c>
      <c r="P1878" s="30" t="s">
        <v>51</v>
      </c>
      <c r="Q1878" s="30">
        <v>2</v>
      </c>
      <c r="R1878" s="30" t="s">
        <v>17</v>
      </c>
      <c r="S1878" s="40">
        <f>(VLOOKUP(P1878,'[1]BOM Info General'!$A:$L,12,0))*Q1878</f>
        <v>5.3</v>
      </c>
      <c r="T1878" s="31" t="s">
        <v>12</v>
      </c>
      <c r="U1878" s="31">
        <v>1</v>
      </c>
      <c r="V1878" s="31" t="s">
        <v>13</v>
      </c>
      <c r="W1878" s="17">
        <f>(VLOOKUP(T1878,'[1]Simulation pricing per sub assy'!$D:$E,2,0))*U1878</f>
        <v>1.9</v>
      </c>
      <c r="X1878" s="32" t="s">
        <v>615</v>
      </c>
      <c r="Y1878" s="32">
        <v>1</v>
      </c>
      <c r="Z1878" s="32" t="s">
        <v>9</v>
      </c>
      <c r="AA1878" s="18">
        <f>(VLOOKUP(X1878,'[1]Simulation pricing per sub assy'!$D:$E,2,0))*Y1878</f>
        <v>1.5769808000000001</v>
      </c>
    </row>
    <row r="1879" spans="1:27" x14ac:dyDescent="0.35">
      <c r="A1879" s="27" t="s">
        <v>3126</v>
      </c>
      <c r="B1879" s="27" t="s">
        <v>4751</v>
      </c>
      <c r="C1879" s="42">
        <f t="shared" si="29"/>
        <v>112.6257808</v>
      </c>
      <c r="D1879" s="28" t="s">
        <v>2058</v>
      </c>
      <c r="E1879" s="28">
        <v>1</v>
      </c>
      <c r="F1879" s="28" t="s">
        <v>2059</v>
      </c>
      <c r="G1879" s="14">
        <f>(VLOOKUP(D1879,'[1]BOM Info General'!$A:$L,12,0))*E1879</f>
        <v>35.56</v>
      </c>
      <c r="H1879" s="29" t="s">
        <v>39</v>
      </c>
      <c r="I1879" s="29">
        <v>1</v>
      </c>
      <c r="J1879" s="29" t="s">
        <v>46</v>
      </c>
      <c r="K1879" s="15">
        <f>(VLOOKUP(H1879,'[1]BOM Info General'!$A:$L,12,0))*I1879</f>
        <v>24.42</v>
      </c>
      <c r="L1879" s="26" t="s">
        <v>72</v>
      </c>
      <c r="M1879" s="26">
        <v>1</v>
      </c>
      <c r="N1879" s="26" t="s">
        <v>71</v>
      </c>
      <c r="O1879" s="9">
        <f>(VLOOKUP(L1879,'[1]Simulation pricing per sub assy'!$D:$E,2,0))*M1879</f>
        <v>43.868799999999993</v>
      </c>
      <c r="P1879" s="30" t="s">
        <v>51</v>
      </c>
      <c r="Q1879" s="30">
        <v>2</v>
      </c>
      <c r="R1879" s="30" t="s">
        <v>17</v>
      </c>
      <c r="S1879" s="40">
        <f>(VLOOKUP(P1879,'[1]BOM Info General'!$A:$L,12,0))*Q1879</f>
        <v>5.3</v>
      </c>
      <c r="T1879" s="31" t="s">
        <v>12</v>
      </c>
      <c r="U1879" s="31">
        <v>1</v>
      </c>
      <c r="V1879" s="31" t="s">
        <v>13</v>
      </c>
      <c r="W1879" s="17">
        <f>(VLOOKUP(T1879,'[1]Simulation pricing per sub assy'!$D:$E,2,0))*U1879</f>
        <v>1.9</v>
      </c>
      <c r="X1879" s="32" t="s">
        <v>615</v>
      </c>
      <c r="Y1879" s="32">
        <v>1</v>
      </c>
      <c r="Z1879" s="32" t="s">
        <v>9</v>
      </c>
      <c r="AA1879" s="18">
        <f>(VLOOKUP(X1879,'[1]Simulation pricing per sub assy'!$D:$E,2,0))*Y1879</f>
        <v>1.5769808000000001</v>
      </c>
    </row>
    <row r="1880" spans="1:27" x14ac:dyDescent="0.35">
      <c r="A1880" s="27" t="s">
        <v>3127</v>
      </c>
      <c r="B1880" s="27" t="s">
        <v>4752</v>
      </c>
      <c r="C1880" s="42">
        <f t="shared" si="29"/>
        <v>112.3657808</v>
      </c>
      <c r="D1880" s="28" t="s">
        <v>2058</v>
      </c>
      <c r="E1880" s="28">
        <v>1</v>
      </c>
      <c r="F1880" s="28" t="s">
        <v>2059</v>
      </c>
      <c r="G1880" s="14">
        <f>(VLOOKUP(D1880,'[1]BOM Info General'!$A:$L,12,0))*E1880</f>
        <v>35.56</v>
      </c>
      <c r="H1880" s="29" t="s">
        <v>39</v>
      </c>
      <c r="I1880" s="29">
        <v>1</v>
      </c>
      <c r="J1880" s="29" t="s">
        <v>46</v>
      </c>
      <c r="K1880" s="15">
        <f>(VLOOKUP(H1880,'[1]BOM Info General'!$A:$L,12,0))*I1880</f>
        <v>24.42</v>
      </c>
      <c r="L1880" s="26" t="s">
        <v>78</v>
      </c>
      <c r="M1880" s="26">
        <v>1</v>
      </c>
      <c r="N1880" s="26" t="s">
        <v>75</v>
      </c>
      <c r="O1880" s="9">
        <f>(VLOOKUP(L1880,'[1]Simulation pricing per sub assy'!$D:$E,2,0))*M1880</f>
        <v>43.608799999999988</v>
      </c>
      <c r="P1880" s="30" t="s">
        <v>51</v>
      </c>
      <c r="Q1880" s="30">
        <v>2</v>
      </c>
      <c r="R1880" s="30" t="s">
        <v>17</v>
      </c>
      <c r="S1880" s="40">
        <f>(VLOOKUP(P1880,'[1]BOM Info General'!$A:$L,12,0))*Q1880</f>
        <v>5.3</v>
      </c>
      <c r="T1880" s="31" t="s">
        <v>12</v>
      </c>
      <c r="U1880" s="31">
        <v>1</v>
      </c>
      <c r="V1880" s="31" t="s">
        <v>13</v>
      </c>
      <c r="W1880" s="17">
        <f>(VLOOKUP(T1880,'[1]Simulation pricing per sub assy'!$D:$E,2,0))*U1880</f>
        <v>1.9</v>
      </c>
      <c r="X1880" s="32" t="s">
        <v>615</v>
      </c>
      <c r="Y1880" s="32">
        <v>1</v>
      </c>
      <c r="Z1880" s="32" t="s">
        <v>9</v>
      </c>
      <c r="AA1880" s="18">
        <f>(VLOOKUP(X1880,'[1]Simulation pricing per sub assy'!$D:$E,2,0))*Y1880</f>
        <v>1.5769808000000001</v>
      </c>
    </row>
    <row r="1881" spans="1:27" x14ac:dyDescent="0.35">
      <c r="A1881" s="27" t="s">
        <v>3128</v>
      </c>
      <c r="B1881" s="27" t="s">
        <v>4753</v>
      </c>
      <c r="C1881" s="42">
        <f t="shared" si="29"/>
        <v>120.0357808</v>
      </c>
      <c r="D1881" s="28" t="s">
        <v>2058</v>
      </c>
      <c r="E1881" s="28">
        <v>1</v>
      </c>
      <c r="F1881" s="28" t="s">
        <v>2059</v>
      </c>
      <c r="G1881" s="14">
        <f>(VLOOKUP(D1881,'[1]BOM Info General'!$A:$L,12,0))*E1881</f>
        <v>35.56</v>
      </c>
      <c r="H1881" s="29" t="s">
        <v>39</v>
      </c>
      <c r="I1881" s="29">
        <v>1</v>
      </c>
      <c r="J1881" s="29" t="s">
        <v>46</v>
      </c>
      <c r="K1881" s="15">
        <f>(VLOOKUP(H1881,'[1]BOM Info General'!$A:$L,12,0))*I1881</f>
        <v>24.42</v>
      </c>
      <c r="L1881" s="26" t="s">
        <v>74</v>
      </c>
      <c r="M1881" s="26">
        <v>1</v>
      </c>
      <c r="N1881" s="26" t="s">
        <v>77</v>
      </c>
      <c r="O1881" s="9">
        <f>(VLOOKUP(L1881,'[1]Simulation pricing per sub assy'!$D:$E,2,0))*M1881</f>
        <v>51.27879999999999</v>
      </c>
      <c r="P1881" s="30" t="s">
        <v>51</v>
      </c>
      <c r="Q1881" s="30">
        <v>2</v>
      </c>
      <c r="R1881" s="30" t="s">
        <v>17</v>
      </c>
      <c r="S1881" s="40">
        <f>(VLOOKUP(P1881,'[1]BOM Info General'!$A:$L,12,0))*Q1881</f>
        <v>5.3</v>
      </c>
      <c r="T1881" s="31" t="s">
        <v>12</v>
      </c>
      <c r="U1881" s="31">
        <v>1</v>
      </c>
      <c r="V1881" s="31" t="s">
        <v>13</v>
      </c>
      <c r="W1881" s="17">
        <f>(VLOOKUP(T1881,'[1]Simulation pricing per sub assy'!$D:$E,2,0))*U1881</f>
        <v>1.9</v>
      </c>
      <c r="X1881" s="32" t="s">
        <v>615</v>
      </c>
      <c r="Y1881" s="32">
        <v>1</v>
      </c>
      <c r="Z1881" s="32" t="s">
        <v>9</v>
      </c>
      <c r="AA1881" s="18">
        <f>(VLOOKUP(X1881,'[1]Simulation pricing per sub assy'!$D:$E,2,0))*Y1881</f>
        <v>1.5769808000000001</v>
      </c>
    </row>
    <row r="1882" spans="1:27" x14ac:dyDescent="0.35">
      <c r="A1882" s="27" t="s">
        <v>3129</v>
      </c>
      <c r="B1882" s="27" t="s">
        <v>4754</v>
      </c>
      <c r="C1882" s="42">
        <f t="shared" si="29"/>
        <v>111.0657808</v>
      </c>
      <c r="D1882" s="28" t="s">
        <v>2058</v>
      </c>
      <c r="E1882" s="28">
        <v>1</v>
      </c>
      <c r="F1882" s="28" t="s">
        <v>2059</v>
      </c>
      <c r="G1882" s="14">
        <f>(VLOOKUP(D1882,'[1]BOM Info General'!$A:$L,12,0))*E1882</f>
        <v>35.56</v>
      </c>
      <c r="H1882" s="29" t="s">
        <v>39</v>
      </c>
      <c r="I1882" s="29">
        <v>1</v>
      </c>
      <c r="J1882" s="29" t="s">
        <v>46</v>
      </c>
      <c r="K1882" s="15">
        <f>(VLOOKUP(H1882,'[1]BOM Info General'!$A:$L,12,0))*I1882</f>
        <v>24.42</v>
      </c>
      <c r="L1882" s="26" t="s">
        <v>527</v>
      </c>
      <c r="M1882" s="26">
        <v>1</v>
      </c>
      <c r="N1882" s="26" t="s">
        <v>79</v>
      </c>
      <c r="O1882" s="9">
        <f>(VLOOKUP(L1882,'[1]Simulation pricing per sub assy'!$D:$E,2,0))*M1882</f>
        <v>42.308799999999991</v>
      </c>
      <c r="P1882" s="30" t="s">
        <v>51</v>
      </c>
      <c r="Q1882" s="30">
        <v>2</v>
      </c>
      <c r="R1882" s="30" t="s">
        <v>17</v>
      </c>
      <c r="S1882" s="40">
        <f>(VLOOKUP(P1882,'[1]BOM Info General'!$A:$L,12,0))*Q1882</f>
        <v>5.3</v>
      </c>
      <c r="T1882" s="31" t="s">
        <v>14</v>
      </c>
      <c r="U1882" s="31">
        <v>1</v>
      </c>
      <c r="V1882" s="31" t="s">
        <v>15</v>
      </c>
      <c r="W1882" s="17">
        <f>(VLOOKUP(T1882,'[1]Simulation pricing per sub assy'!$D:$E,2,0))*U1882</f>
        <v>1.9</v>
      </c>
      <c r="X1882" s="32" t="s">
        <v>615</v>
      </c>
      <c r="Y1882" s="32">
        <v>1</v>
      </c>
      <c r="Z1882" s="32" t="s">
        <v>9</v>
      </c>
      <c r="AA1882" s="18">
        <f>(VLOOKUP(X1882,'[1]Simulation pricing per sub assy'!$D:$E,2,0))*Y1882</f>
        <v>1.5769808000000001</v>
      </c>
    </row>
    <row r="1883" spans="1:27" x14ac:dyDescent="0.35">
      <c r="A1883" s="27" t="s">
        <v>3130</v>
      </c>
      <c r="B1883" s="27" t="s">
        <v>4755</v>
      </c>
      <c r="C1883" s="42">
        <f t="shared" si="29"/>
        <v>112.0457808</v>
      </c>
      <c r="D1883" s="28" t="s">
        <v>2058</v>
      </c>
      <c r="E1883" s="28">
        <v>1</v>
      </c>
      <c r="F1883" s="28" t="s">
        <v>2059</v>
      </c>
      <c r="G1883" s="14">
        <f>(VLOOKUP(D1883,'[1]BOM Info General'!$A:$L,12,0))*E1883</f>
        <v>35.56</v>
      </c>
      <c r="H1883" s="29" t="s">
        <v>39</v>
      </c>
      <c r="I1883" s="29">
        <v>1</v>
      </c>
      <c r="J1883" s="29" t="s">
        <v>46</v>
      </c>
      <c r="K1883" s="15">
        <f>(VLOOKUP(H1883,'[1]BOM Info General'!$A:$L,12,0))*I1883</f>
        <v>24.42</v>
      </c>
      <c r="L1883" s="26" t="s">
        <v>76</v>
      </c>
      <c r="M1883" s="26">
        <v>1</v>
      </c>
      <c r="N1883" s="26" t="s">
        <v>73</v>
      </c>
      <c r="O1883" s="9">
        <f>(VLOOKUP(L1883,'[1]Simulation pricing per sub assy'!$D:$E,2,0))*M1883</f>
        <v>43.288799999999988</v>
      </c>
      <c r="P1883" s="30" t="s">
        <v>51</v>
      </c>
      <c r="Q1883" s="30">
        <v>2</v>
      </c>
      <c r="R1883" s="30" t="s">
        <v>17</v>
      </c>
      <c r="S1883" s="40">
        <f>(VLOOKUP(P1883,'[1]BOM Info General'!$A:$L,12,0))*Q1883</f>
        <v>5.3</v>
      </c>
      <c r="T1883" s="31" t="s">
        <v>14</v>
      </c>
      <c r="U1883" s="31">
        <v>1</v>
      </c>
      <c r="V1883" s="31" t="s">
        <v>15</v>
      </c>
      <c r="W1883" s="17">
        <f>(VLOOKUP(T1883,'[1]Simulation pricing per sub assy'!$D:$E,2,0))*U1883</f>
        <v>1.9</v>
      </c>
      <c r="X1883" s="32" t="s">
        <v>615</v>
      </c>
      <c r="Y1883" s="32">
        <v>1</v>
      </c>
      <c r="Z1883" s="32" t="s">
        <v>9</v>
      </c>
      <c r="AA1883" s="18">
        <f>(VLOOKUP(X1883,'[1]Simulation pricing per sub assy'!$D:$E,2,0))*Y1883</f>
        <v>1.5769808000000001</v>
      </c>
    </row>
    <row r="1884" spans="1:27" x14ac:dyDescent="0.35">
      <c r="A1884" s="27" t="s">
        <v>3131</v>
      </c>
      <c r="B1884" s="27" t="s">
        <v>4756</v>
      </c>
      <c r="C1884" s="42">
        <f t="shared" si="29"/>
        <v>112.6257808</v>
      </c>
      <c r="D1884" s="28" t="s">
        <v>2058</v>
      </c>
      <c r="E1884" s="28">
        <v>1</v>
      </c>
      <c r="F1884" s="28" t="s">
        <v>2059</v>
      </c>
      <c r="G1884" s="14">
        <f>(VLOOKUP(D1884,'[1]BOM Info General'!$A:$L,12,0))*E1884</f>
        <v>35.56</v>
      </c>
      <c r="H1884" s="29" t="s">
        <v>39</v>
      </c>
      <c r="I1884" s="29">
        <v>1</v>
      </c>
      <c r="J1884" s="29" t="s">
        <v>46</v>
      </c>
      <c r="K1884" s="15">
        <f>(VLOOKUP(H1884,'[1]BOM Info General'!$A:$L,12,0))*I1884</f>
        <v>24.42</v>
      </c>
      <c r="L1884" s="26" t="s">
        <v>72</v>
      </c>
      <c r="M1884" s="26">
        <v>1</v>
      </c>
      <c r="N1884" s="26" t="s">
        <v>71</v>
      </c>
      <c r="O1884" s="9">
        <f>(VLOOKUP(L1884,'[1]Simulation pricing per sub assy'!$D:$E,2,0))*M1884</f>
        <v>43.868799999999993</v>
      </c>
      <c r="P1884" s="30" t="s">
        <v>51</v>
      </c>
      <c r="Q1884" s="30">
        <v>2</v>
      </c>
      <c r="R1884" s="30" t="s">
        <v>17</v>
      </c>
      <c r="S1884" s="40">
        <f>(VLOOKUP(P1884,'[1]BOM Info General'!$A:$L,12,0))*Q1884</f>
        <v>5.3</v>
      </c>
      <c r="T1884" s="31" t="s">
        <v>14</v>
      </c>
      <c r="U1884" s="31">
        <v>1</v>
      </c>
      <c r="V1884" s="31" t="s">
        <v>15</v>
      </c>
      <c r="W1884" s="17">
        <f>(VLOOKUP(T1884,'[1]Simulation pricing per sub assy'!$D:$E,2,0))*U1884</f>
        <v>1.9</v>
      </c>
      <c r="X1884" s="32" t="s">
        <v>615</v>
      </c>
      <c r="Y1884" s="32">
        <v>1</v>
      </c>
      <c r="Z1884" s="32" t="s">
        <v>9</v>
      </c>
      <c r="AA1884" s="18">
        <f>(VLOOKUP(X1884,'[1]Simulation pricing per sub assy'!$D:$E,2,0))*Y1884</f>
        <v>1.5769808000000001</v>
      </c>
    </row>
    <row r="1885" spans="1:27" x14ac:dyDescent="0.35">
      <c r="A1885" s="27" t="s">
        <v>3132</v>
      </c>
      <c r="B1885" s="27" t="s">
        <v>4757</v>
      </c>
      <c r="C1885" s="42">
        <f t="shared" si="29"/>
        <v>112.3657808</v>
      </c>
      <c r="D1885" s="28" t="s">
        <v>2058</v>
      </c>
      <c r="E1885" s="28">
        <v>1</v>
      </c>
      <c r="F1885" s="28" t="s">
        <v>2059</v>
      </c>
      <c r="G1885" s="14">
        <f>(VLOOKUP(D1885,'[1]BOM Info General'!$A:$L,12,0))*E1885</f>
        <v>35.56</v>
      </c>
      <c r="H1885" s="29" t="s">
        <v>39</v>
      </c>
      <c r="I1885" s="29">
        <v>1</v>
      </c>
      <c r="J1885" s="29" t="s">
        <v>46</v>
      </c>
      <c r="K1885" s="15">
        <f>(VLOOKUP(H1885,'[1]BOM Info General'!$A:$L,12,0))*I1885</f>
        <v>24.42</v>
      </c>
      <c r="L1885" s="26" t="s">
        <v>78</v>
      </c>
      <c r="M1885" s="26">
        <v>1</v>
      </c>
      <c r="N1885" s="26" t="s">
        <v>75</v>
      </c>
      <c r="O1885" s="9">
        <f>(VLOOKUP(L1885,'[1]Simulation pricing per sub assy'!$D:$E,2,0))*M1885</f>
        <v>43.608799999999988</v>
      </c>
      <c r="P1885" s="30" t="s">
        <v>51</v>
      </c>
      <c r="Q1885" s="30">
        <v>2</v>
      </c>
      <c r="R1885" s="30" t="s">
        <v>17</v>
      </c>
      <c r="S1885" s="40">
        <f>(VLOOKUP(P1885,'[1]BOM Info General'!$A:$L,12,0))*Q1885</f>
        <v>5.3</v>
      </c>
      <c r="T1885" s="31" t="s">
        <v>14</v>
      </c>
      <c r="U1885" s="31">
        <v>1</v>
      </c>
      <c r="V1885" s="31" t="s">
        <v>15</v>
      </c>
      <c r="W1885" s="17">
        <f>(VLOOKUP(T1885,'[1]Simulation pricing per sub assy'!$D:$E,2,0))*U1885</f>
        <v>1.9</v>
      </c>
      <c r="X1885" s="32" t="s">
        <v>615</v>
      </c>
      <c r="Y1885" s="32">
        <v>1</v>
      </c>
      <c r="Z1885" s="32" t="s">
        <v>9</v>
      </c>
      <c r="AA1885" s="18">
        <f>(VLOOKUP(X1885,'[1]Simulation pricing per sub assy'!$D:$E,2,0))*Y1885</f>
        <v>1.5769808000000001</v>
      </c>
    </row>
    <row r="1886" spans="1:27" x14ac:dyDescent="0.35">
      <c r="A1886" s="27" t="s">
        <v>3133</v>
      </c>
      <c r="B1886" s="27" t="s">
        <v>4758</v>
      </c>
      <c r="C1886" s="42">
        <f t="shared" si="29"/>
        <v>120.0357808</v>
      </c>
      <c r="D1886" s="28" t="s">
        <v>2058</v>
      </c>
      <c r="E1886" s="28">
        <v>1</v>
      </c>
      <c r="F1886" s="28" t="s">
        <v>2059</v>
      </c>
      <c r="G1886" s="14">
        <f>(VLOOKUP(D1886,'[1]BOM Info General'!$A:$L,12,0))*E1886</f>
        <v>35.56</v>
      </c>
      <c r="H1886" s="29" t="s">
        <v>39</v>
      </c>
      <c r="I1886" s="29">
        <v>1</v>
      </c>
      <c r="J1886" s="29" t="s">
        <v>46</v>
      </c>
      <c r="K1886" s="15">
        <f>(VLOOKUP(H1886,'[1]BOM Info General'!$A:$L,12,0))*I1886</f>
        <v>24.42</v>
      </c>
      <c r="L1886" s="26" t="s">
        <v>74</v>
      </c>
      <c r="M1886" s="26">
        <v>1</v>
      </c>
      <c r="N1886" s="26" t="s">
        <v>77</v>
      </c>
      <c r="O1886" s="9">
        <f>(VLOOKUP(L1886,'[1]Simulation pricing per sub assy'!$D:$E,2,0))*M1886</f>
        <v>51.27879999999999</v>
      </c>
      <c r="P1886" s="30" t="s">
        <v>51</v>
      </c>
      <c r="Q1886" s="30">
        <v>2</v>
      </c>
      <c r="R1886" s="30" t="s">
        <v>17</v>
      </c>
      <c r="S1886" s="40">
        <f>(VLOOKUP(P1886,'[1]BOM Info General'!$A:$L,12,0))*Q1886</f>
        <v>5.3</v>
      </c>
      <c r="T1886" s="31" t="s">
        <v>14</v>
      </c>
      <c r="U1886" s="31">
        <v>1</v>
      </c>
      <c r="V1886" s="31" t="s">
        <v>15</v>
      </c>
      <c r="W1886" s="17">
        <f>(VLOOKUP(T1886,'[1]Simulation pricing per sub assy'!$D:$E,2,0))*U1886</f>
        <v>1.9</v>
      </c>
      <c r="X1886" s="32" t="s">
        <v>615</v>
      </c>
      <c r="Y1886" s="32">
        <v>1</v>
      </c>
      <c r="Z1886" s="32" t="s">
        <v>9</v>
      </c>
      <c r="AA1886" s="18">
        <f>(VLOOKUP(X1886,'[1]Simulation pricing per sub assy'!$D:$E,2,0))*Y1886</f>
        <v>1.5769808000000001</v>
      </c>
    </row>
    <row r="1887" spans="1:27" x14ac:dyDescent="0.35">
      <c r="A1887" s="27" t="s">
        <v>3134</v>
      </c>
      <c r="B1887" s="27" t="s">
        <v>4759</v>
      </c>
      <c r="C1887" s="42">
        <f t="shared" si="29"/>
        <v>111.21578079999999</v>
      </c>
      <c r="D1887" s="28" t="s">
        <v>2058</v>
      </c>
      <c r="E1887" s="28">
        <v>1</v>
      </c>
      <c r="F1887" s="28" t="s">
        <v>2059</v>
      </c>
      <c r="G1887" s="14">
        <f>(VLOOKUP(D1887,'[1]BOM Info General'!$A:$L,12,0))*E1887</f>
        <v>35.56</v>
      </c>
      <c r="H1887" s="29" t="s">
        <v>39</v>
      </c>
      <c r="I1887" s="29">
        <v>1</v>
      </c>
      <c r="J1887" s="29" t="s">
        <v>46</v>
      </c>
      <c r="K1887" s="15">
        <f>(VLOOKUP(H1887,'[1]BOM Info General'!$A:$L,12,0))*I1887</f>
        <v>24.42</v>
      </c>
      <c r="L1887" s="26" t="s">
        <v>527</v>
      </c>
      <c r="M1887" s="26">
        <v>1</v>
      </c>
      <c r="N1887" s="26" t="s">
        <v>79</v>
      </c>
      <c r="O1887" s="9">
        <f>(VLOOKUP(L1887,'[1]Simulation pricing per sub assy'!$D:$E,2,0))*M1887</f>
        <v>42.308799999999991</v>
      </c>
      <c r="P1887" s="30" t="s">
        <v>52</v>
      </c>
      <c r="Q1887" s="30">
        <v>2</v>
      </c>
      <c r="R1887" s="30" t="s">
        <v>18</v>
      </c>
      <c r="S1887" s="40">
        <f>(VLOOKUP(P1887,'[1]BOM Info General'!$A:$L,12,0))*Q1887</f>
        <v>5.3</v>
      </c>
      <c r="T1887" s="31" t="s">
        <v>10</v>
      </c>
      <c r="U1887" s="31">
        <v>1</v>
      </c>
      <c r="V1887" s="31" t="s">
        <v>11</v>
      </c>
      <c r="W1887" s="17">
        <f>(VLOOKUP(T1887,'[1]Simulation pricing per sub assy'!$D:$E,2,0))*U1887</f>
        <v>2.0499999999999998</v>
      </c>
      <c r="X1887" s="32" t="s">
        <v>615</v>
      </c>
      <c r="Y1887" s="32">
        <v>1</v>
      </c>
      <c r="Z1887" s="32" t="s">
        <v>9</v>
      </c>
      <c r="AA1887" s="18">
        <f>(VLOOKUP(X1887,'[1]Simulation pricing per sub assy'!$D:$E,2,0))*Y1887</f>
        <v>1.5769808000000001</v>
      </c>
    </row>
    <row r="1888" spans="1:27" x14ac:dyDescent="0.35">
      <c r="A1888" s="27" t="s">
        <v>3135</v>
      </c>
      <c r="B1888" s="27" t="s">
        <v>4760</v>
      </c>
      <c r="C1888" s="42">
        <f t="shared" si="29"/>
        <v>112.19578079999999</v>
      </c>
      <c r="D1888" s="28" t="s">
        <v>2058</v>
      </c>
      <c r="E1888" s="28">
        <v>1</v>
      </c>
      <c r="F1888" s="28" t="s">
        <v>2059</v>
      </c>
      <c r="G1888" s="14">
        <f>(VLOOKUP(D1888,'[1]BOM Info General'!$A:$L,12,0))*E1888</f>
        <v>35.56</v>
      </c>
      <c r="H1888" s="29" t="s">
        <v>39</v>
      </c>
      <c r="I1888" s="29">
        <v>1</v>
      </c>
      <c r="J1888" s="29" t="s">
        <v>46</v>
      </c>
      <c r="K1888" s="15">
        <f>(VLOOKUP(H1888,'[1]BOM Info General'!$A:$L,12,0))*I1888</f>
        <v>24.42</v>
      </c>
      <c r="L1888" s="26" t="s">
        <v>76</v>
      </c>
      <c r="M1888" s="26">
        <v>1</v>
      </c>
      <c r="N1888" s="26" t="s">
        <v>73</v>
      </c>
      <c r="O1888" s="9">
        <f>(VLOOKUP(L1888,'[1]Simulation pricing per sub assy'!$D:$E,2,0))*M1888</f>
        <v>43.288799999999988</v>
      </c>
      <c r="P1888" s="30" t="s">
        <v>52</v>
      </c>
      <c r="Q1888" s="30">
        <v>2</v>
      </c>
      <c r="R1888" s="30" t="s">
        <v>18</v>
      </c>
      <c r="S1888" s="40">
        <f>(VLOOKUP(P1888,'[1]BOM Info General'!$A:$L,12,0))*Q1888</f>
        <v>5.3</v>
      </c>
      <c r="T1888" s="31" t="s">
        <v>10</v>
      </c>
      <c r="U1888" s="31">
        <v>1</v>
      </c>
      <c r="V1888" s="31" t="s">
        <v>11</v>
      </c>
      <c r="W1888" s="17">
        <f>(VLOOKUP(T1888,'[1]Simulation pricing per sub assy'!$D:$E,2,0))*U1888</f>
        <v>2.0499999999999998</v>
      </c>
      <c r="X1888" s="32" t="s">
        <v>615</v>
      </c>
      <c r="Y1888" s="32">
        <v>1</v>
      </c>
      <c r="Z1888" s="32" t="s">
        <v>9</v>
      </c>
      <c r="AA1888" s="18">
        <f>(VLOOKUP(X1888,'[1]Simulation pricing per sub assy'!$D:$E,2,0))*Y1888</f>
        <v>1.5769808000000001</v>
      </c>
    </row>
    <row r="1889" spans="1:27" x14ac:dyDescent="0.35">
      <c r="A1889" s="27" t="s">
        <v>3136</v>
      </c>
      <c r="B1889" s="27" t="s">
        <v>4761</v>
      </c>
      <c r="C1889" s="42">
        <f t="shared" si="29"/>
        <v>112.77578079999999</v>
      </c>
      <c r="D1889" s="28" t="s">
        <v>2058</v>
      </c>
      <c r="E1889" s="28">
        <v>1</v>
      </c>
      <c r="F1889" s="28" t="s">
        <v>2059</v>
      </c>
      <c r="G1889" s="14">
        <f>(VLOOKUP(D1889,'[1]BOM Info General'!$A:$L,12,0))*E1889</f>
        <v>35.56</v>
      </c>
      <c r="H1889" s="29" t="s">
        <v>39</v>
      </c>
      <c r="I1889" s="29">
        <v>1</v>
      </c>
      <c r="J1889" s="29" t="s">
        <v>46</v>
      </c>
      <c r="K1889" s="15">
        <f>(VLOOKUP(H1889,'[1]BOM Info General'!$A:$L,12,0))*I1889</f>
        <v>24.42</v>
      </c>
      <c r="L1889" s="26" t="s">
        <v>72</v>
      </c>
      <c r="M1889" s="26">
        <v>1</v>
      </c>
      <c r="N1889" s="26" t="s">
        <v>71</v>
      </c>
      <c r="O1889" s="9">
        <f>(VLOOKUP(L1889,'[1]Simulation pricing per sub assy'!$D:$E,2,0))*M1889</f>
        <v>43.868799999999993</v>
      </c>
      <c r="P1889" s="30" t="s">
        <v>52</v>
      </c>
      <c r="Q1889" s="30">
        <v>2</v>
      </c>
      <c r="R1889" s="30" t="s">
        <v>18</v>
      </c>
      <c r="S1889" s="40">
        <f>(VLOOKUP(P1889,'[1]BOM Info General'!$A:$L,12,0))*Q1889</f>
        <v>5.3</v>
      </c>
      <c r="T1889" s="31" t="s">
        <v>10</v>
      </c>
      <c r="U1889" s="31">
        <v>1</v>
      </c>
      <c r="V1889" s="31" t="s">
        <v>11</v>
      </c>
      <c r="W1889" s="17">
        <f>(VLOOKUP(T1889,'[1]Simulation pricing per sub assy'!$D:$E,2,0))*U1889</f>
        <v>2.0499999999999998</v>
      </c>
      <c r="X1889" s="32" t="s">
        <v>615</v>
      </c>
      <c r="Y1889" s="32">
        <v>1</v>
      </c>
      <c r="Z1889" s="32" t="s">
        <v>9</v>
      </c>
      <c r="AA1889" s="18">
        <f>(VLOOKUP(X1889,'[1]Simulation pricing per sub assy'!$D:$E,2,0))*Y1889</f>
        <v>1.5769808000000001</v>
      </c>
    </row>
    <row r="1890" spans="1:27" x14ac:dyDescent="0.35">
      <c r="A1890" s="27" t="s">
        <v>3137</v>
      </c>
      <c r="B1890" s="27" t="s">
        <v>4762</v>
      </c>
      <c r="C1890" s="42">
        <f t="shared" si="29"/>
        <v>112.51578079999999</v>
      </c>
      <c r="D1890" s="28" t="s">
        <v>2058</v>
      </c>
      <c r="E1890" s="28">
        <v>1</v>
      </c>
      <c r="F1890" s="28" t="s">
        <v>2059</v>
      </c>
      <c r="G1890" s="14">
        <f>(VLOOKUP(D1890,'[1]BOM Info General'!$A:$L,12,0))*E1890</f>
        <v>35.56</v>
      </c>
      <c r="H1890" s="29" t="s">
        <v>39</v>
      </c>
      <c r="I1890" s="29">
        <v>1</v>
      </c>
      <c r="J1890" s="29" t="s">
        <v>46</v>
      </c>
      <c r="K1890" s="15">
        <f>(VLOOKUP(H1890,'[1]BOM Info General'!$A:$L,12,0))*I1890</f>
        <v>24.42</v>
      </c>
      <c r="L1890" s="26" t="s">
        <v>78</v>
      </c>
      <c r="M1890" s="26">
        <v>1</v>
      </c>
      <c r="N1890" s="26" t="s">
        <v>75</v>
      </c>
      <c r="O1890" s="9">
        <f>(VLOOKUP(L1890,'[1]Simulation pricing per sub assy'!$D:$E,2,0))*M1890</f>
        <v>43.608799999999988</v>
      </c>
      <c r="P1890" s="30" t="s">
        <v>52</v>
      </c>
      <c r="Q1890" s="30">
        <v>2</v>
      </c>
      <c r="R1890" s="30" t="s">
        <v>18</v>
      </c>
      <c r="S1890" s="40">
        <f>(VLOOKUP(P1890,'[1]BOM Info General'!$A:$L,12,0))*Q1890</f>
        <v>5.3</v>
      </c>
      <c r="T1890" s="31" t="s">
        <v>10</v>
      </c>
      <c r="U1890" s="31">
        <v>1</v>
      </c>
      <c r="V1890" s="31" t="s">
        <v>11</v>
      </c>
      <c r="W1890" s="17">
        <f>(VLOOKUP(T1890,'[1]Simulation pricing per sub assy'!$D:$E,2,0))*U1890</f>
        <v>2.0499999999999998</v>
      </c>
      <c r="X1890" s="32" t="s">
        <v>615</v>
      </c>
      <c r="Y1890" s="32">
        <v>1</v>
      </c>
      <c r="Z1890" s="32" t="s">
        <v>9</v>
      </c>
      <c r="AA1890" s="18">
        <f>(VLOOKUP(X1890,'[1]Simulation pricing per sub assy'!$D:$E,2,0))*Y1890</f>
        <v>1.5769808000000001</v>
      </c>
    </row>
    <row r="1891" spans="1:27" x14ac:dyDescent="0.35">
      <c r="A1891" s="27" t="s">
        <v>3138</v>
      </c>
      <c r="B1891" s="27" t="s">
        <v>4763</v>
      </c>
      <c r="C1891" s="42">
        <f t="shared" si="29"/>
        <v>120.18578079999999</v>
      </c>
      <c r="D1891" s="28" t="s">
        <v>2058</v>
      </c>
      <c r="E1891" s="28">
        <v>1</v>
      </c>
      <c r="F1891" s="28" t="s">
        <v>2059</v>
      </c>
      <c r="G1891" s="14">
        <f>(VLOOKUP(D1891,'[1]BOM Info General'!$A:$L,12,0))*E1891</f>
        <v>35.56</v>
      </c>
      <c r="H1891" s="29" t="s">
        <v>39</v>
      </c>
      <c r="I1891" s="29">
        <v>1</v>
      </c>
      <c r="J1891" s="29" t="s">
        <v>46</v>
      </c>
      <c r="K1891" s="15">
        <f>(VLOOKUP(H1891,'[1]BOM Info General'!$A:$L,12,0))*I1891</f>
        <v>24.42</v>
      </c>
      <c r="L1891" s="26" t="s">
        <v>74</v>
      </c>
      <c r="M1891" s="26">
        <v>1</v>
      </c>
      <c r="N1891" s="26" t="s">
        <v>77</v>
      </c>
      <c r="O1891" s="9">
        <f>(VLOOKUP(L1891,'[1]Simulation pricing per sub assy'!$D:$E,2,0))*M1891</f>
        <v>51.27879999999999</v>
      </c>
      <c r="P1891" s="30" t="s">
        <v>52</v>
      </c>
      <c r="Q1891" s="30">
        <v>2</v>
      </c>
      <c r="R1891" s="30" t="s">
        <v>18</v>
      </c>
      <c r="S1891" s="40">
        <f>(VLOOKUP(P1891,'[1]BOM Info General'!$A:$L,12,0))*Q1891</f>
        <v>5.3</v>
      </c>
      <c r="T1891" s="31" t="s">
        <v>10</v>
      </c>
      <c r="U1891" s="31">
        <v>1</v>
      </c>
      <c r="V1891" s="31" t="s">
        <v>11</v>
      </c>
      <c r="W1891" s="17">
        <f>(VLOOKUP(T1891,'[1]Simulation pricing per sub assy'!$D:$E,2,0))*U1891</f>
        <v>2.0499999999999998</v>
      </c>
      <c r="X1891" s="32" t="s">
        <v>615</v>
      </c>
      <c r="Y1891" s="32">
        <v>1</v>
      </c>
      <c r="Z1891" s="32" t="s">
        <v>9</v>
      </c>
      <c r="AA1891" s="18">
        <f>(VLOOKUP(X1891,'[1]Simulation pricing per sub assy'!$D:$E,2,0))*Y1891</f>
        <v>1.5769808000000001</v>
      </c>
    </row>
    <row r="1892" spans="1:27" x14ac:dyDescent="0.35">
      <c r="A1892" s="27" t="s">
        <v>3139</v>
      </c>
      <c r="B1892" s="27" t="s">
        <v>4764</v>
      </c>
      <c r="C1892" s="42">
        <f t="shared" si="29"/>
        <v>111.0657808</v>
      </c>
      <c r="D1892" s="28" t="s">
        <v>2058</v>
      </c>
      <c r="E1892" s="28">
        <v>1</v>
      </c>
      <c r="F1892" s="28" t="s">
        <v>2059</v>
      </c>
      <c r="G1892" s="14">
        <f>(VLOOKUP(D1892,'[1]BOM Info General'!$A:$L,12,0))*E1892</f>
        <v>35.56</v>
      </c>
      <c r="H1892" s="29" t="s">
        <v>39</v>
      </c>
      <c r="I1892" s="29">
        <v>1</v>
      </c>
      <c r="J1892" s="29" t="s">
        <v>46</v>
      </c>
      <c r="K1892" s="15">
        <f>(VLOOKUP(H1892,'[1]BOM Info General'!$A:$L,12,0))*I1892</f>
        <v>24.42</v>
      </c>
      <c r="L1892" s="26" t="s">
        <v>527</v>
      </c>
      <c r="M1892" s="26">
        <v>1</v>
      </c>
      <c r="N1892" s="26" t="s">
        <v>79</v>
      </c>
      <c r="O1892" s="9">
        <f>(VLOOKUP(L1892,'[1]Simulation pricing per sub assy'!$D:$E,2,0))*M1892</f>
        <v>42.308799999999991</v>
      </c>
      <c r="P1892" s="30" t="s">
        <v>52</v>
      </c>
      <c r="Q1892" s="30">
        <v>2</v>
      </c>
      <c r="R1892" s="30" t="s">
        <v>18</v>
      </c>
      <c r="S1892" s="40">
        <f>(VLOOKUP(P1892,'[1]BOM Info General'!$A:$L,12,0))*Q1892</f>
        <v>5.3</v>
      </c>
      <c r="T1892" s="31" t="s">
        <v>12</v>
      </c>
      <c r="U1892" s="31">
        <v>1</v>
      </c>
      <c r="V1892" s="31" t="s">
        <v>13</v>
      </c>
      <c r="W1892" s="17">
        <f>(VLOOKUP(T1892,'[1]Simulation pricing per sub assy'!$D:$E,2,0))*U1892</f>
        <v>1.9</v>
      </c>
      <c r="X1892" s="32" t="s">
        <v>615</v>
      </c>
      <c r="Y1892" s="32">
        <v>1</v>
      </c>
      <c r="Z1892" s="32" t="s">
        <v>9</v>
      </c>
      <c r="AA1892" s="18">
        <f>(VLOOKUP(X1892,'[1]Simulation pricing per sub assy'!$D:$E,2,0))*Y1892</f>
        <v>1.5769808000000001</v>
      </c>
    </row>
    <row r="1893" spans="1:27" x14ac:dyDescent="0.35">
      <c r="A1893" s="27" t="s">
        <v>3140</v>
      </c>
      <c r="B1893" s="27" t="s">
        <v>4765</v>
      </c>
      <c r="C1893" s="42">
        <f t="shared" si="29"/>
        <v>112.0457808</v>
      </c>
      <c r="D1893" s="28" t="s">
        <v>2058</v>
      </c>
      <c r="E1893" s="28">
        <v>1</v>
      </c>
      <c r="F1893" s="28" t="s">
        <v>2059</v>
      </c>
      <c r="G1893" s="14">
        <f>(VLOOKUP(D1893,'[1]BOM Info General'!$A:$L,12,0))*E1893</f>
        <v>35.56</v>
      </c>
      <c r="H1893" s="29" t="s">
        <v>39</v>
      </c>
      <c r="I1893" s="29">
        <v>1</v>
      </c>
      <c r="J1893" s="29" t="s">
        <v>46</v>
      </c>
      <c r="K1893" s="15">
        <f>(VLOOKUP(H1893,'[1]BOM Info General'!$A:$L,12,0))*I1893</f>
        <v>24.42</v>
      </c>
      <c r="L1893" s="26" t="s">
        <v>76</v>
      </c>
      <c r="M1893" s="26">
        <v>1</v>
      </c>
      <c r="N1893" s="26" t="s">
        <v>73</v>
      </c>
      <c r="O1893" s="9">
        <f>(VLOOKUP(L1893,'[1]Simulation pricing per sub assy'!$D:$E,2,0))*M1893</f>
        <v>43.288799999999988</v>
      </c>
      <c r="P1893" s="30" t="s">
        <v>52</v>
      </c>
      <c r="Q1893" s="30">
        <v>2</v>
      </c>
      <c r="R1893" s="30" t="s">
        <v>18</v>
      </c>
      <c r="S1893" s="40">
        <f>(VLOOKUP(P1893,'[1]BOM Info General'!$A:$L,12,0))*Q1893</f>
        <v>5.3</v>
      </c>
      <c r="T1893" s="31" t="s">
        <v>12</v>
      </c>
      <c r="U1893" s="31">
        <v>1</v>
      </c>
      <c r="V1893" s="31" t="s">
        <v>13</v>
      </c>
      <c r="W1893" s="17">
        <f>(VLOOKUP(T1893,'[1]Simulation pricing per sub assy'!$D:$E,2,0))*U1893</f>
        <v>1.9</v>
      </c>
      <c r="X1893" s="32" t="s">
        <v>615</v>
      </c>
      <c r="Y1893" s="32">
        <v>1</v>
      </c>
      <c r="Z1893" s="32" t="s">
        <v>9</v>
      </c>
      <c r="AA1893" s="18">
        <f>(VLOOKUP(X1893,'[1]Simulation pricing per sub assy'!$D:$E,2,0))*Y1893</f>
        <v>1.5769808000000001</v>
      </c>
    </row>
    <row r="1894" spans="1:27" x14ac:dyDescent="0.35">
      <c r="A1894" s="27" t="s">
        <v>3141</v>
      </c>
      <c r="B1894" s="27" t="s">
        <v>4766</v>
      </c>
      <c r="C1894" s="42">
        <f t="shared" si="29"/>
        <v>112.6257808</v>
      </c>
      <c r="D1894" s="28" t="s">
        <v>2058</v>
      </c>
      <c r="E1894" s="28">
        <v>1</v>
      </c>
      <c r="F1894" s="28" t="s">
        <v>2059</v>
      </c>
      <c r="G1894" s="14">
        <f>(VLOOKUP(D1894,'[1]BOM Info General'!$A:$L,12,0))*E1894</f>
        <v>35.56</v>
      </c>
      <c r="H1894" s="29" t="s">
        <v>39</v>
      </c>
      <c r="I1894" s="29">
        <v>1</v>
      </c>
      <c r="J1894" s="29" t="s">
        <v>46</v>
      </c>
      <c r="K1894" s="15">
        <f>(VLOOKUP(H1894,'[1]BOM Info General'!$A:$L,12,0))*I1894</f>
        <v>24.42</v>
      </c>
      <c r="L1894" s="26" t="s">
        <v>72</v>
      </c>
      <c r="M1894" s="26">
        <v>1</v>
      </c>
      <c r="N1894" s="26" t="s">
        <v>71</v>
      </c>
      <c r="O1894" s="9">
        <f>(VLOOKUP(L1894,'[1]Simulation pricing per sub assy'!$D:$E,2,0))*M1894</f>
        <v>43.868799999999993</v>
      </c>
      <c r="P1894" s="30" t="s">
        <v>52</v>
      </c>
      <c r="Q1894" s="30">
        <v>2</v>
      </c>
      <c r="R1894" s="30" t="s">
        <v>18</v>
      </c>
      <c r="S1894" s="40">
        <f>(VLOOKUP(P1894,'[1]BOM Info General'!$A:$L,12,0))*Q1894</f>
        <v>5.3</v>
      </c>
      <c r="T1894" s="31" t="s">
        <v>12</v>
      </c>
      <c r="U1894" s="31">
        <v>1</v>
      </c>
      <c r="V1894" s="31" t="s">
        <v>13</v>
      </c>
      <c r="W1894" s="17">
        <f>(VLOOKUP(T1894,'[1]Simulation pricing per sub assy'!$D:$E,2,0))*U1894</f>
        <v>1.9</v>
      </c>
      <c r="X1894" s="32" t="s">
        <v>615</v>
      </c>
      <c r="Y1894" s="32">
        <v>1</v>
      </c>
      <c r="Z1894" s="32" t="s">
        <v>9</v>
      </c>
      <c r="AA1894" s="18">
        <f>(VLOOKUP(X1894,'[1]Simulation pricing per sub assy'!$D:$E,2,0))*Y1894</f>
        <v>1.5769808000000001</v>
      </c>
    </row>
    <row r="1895" spans="1:27" x14ac:dyDescent="0.35">
      <c r="A1895" s="27" t="s">
        <v>3142</v>
      </c>
      <c r="B1895" s="27" t="s">
        <v>4767</v>
      </c>
      <c r="C1895" s="42">
        <f t="shared" si="29"/>
        <v>112.3657808</v>
      </c>
      <c r="D1895" s="28" t="s">
        <v>2058</v>
      </c>
      <c r="E1895" s="28">
        <v>1</v>
      </c>
      <c r="F1895" s="28" t="s">
        <v>2059</v>
      </c>
      <c r="G1895" s="14">
        <f>(VLOOKUP(D1895,'[1]BOM Info General'!$A:$L,12,0))*E1895</f>
        <v>35.56</v>
      </c>
      <c r="H1895" s="29" t="s">
        <v>39</v>
      </c>
      <c r="I1895" s="29">
        <v>1</v>
      </c>
      <c r="J1895" s="29" t="s">
        <v>46</v>
      </c>
      <c r="K1895" s="15">
        <f>(VLOOKUP(H1895,'[1]BOM Info General'!$A:$L,12,0))*I1895</f>
        <v>24.42</v>
      </c>
      <c r="L1895" s="26" t="s">
        <v>78</v>
      </c>
      <c r="M1895" s="26">
        <v>1</v>
      </c>
      <c r="N1895" s="26" t="s">
        <v>75</v>
      </c>
      <c r="O1895" s="9">
        <f>(VLOOKUP(L1895,'[1]Simulation pricing per sub assy'!$D:$E,2,0))*M1895</f>
        <v>43.608799999999988</v>
      </c>
      <c r="P1895" s="30" t="s">
        <v>52</v>
      </c>
      <c r="Q1895" s="30">
        <v>2</v>
      </c>
      <c r="R1895" s="30" t="s">
        <v>18</v>
      </c>
      <c r="S1895" s="40">
        <f>(VLOOKUP(P1895,'[1]BOM Info General'!$A:$L,12,0))*Q1895</f>
        <v>5.3</v>
      </c>
      <c r="T1895" s="31" t="s">
        <v>12</v>
      </c>
      <c r="U1895" s="31">
        <v>1</v>
      </c>
      <c r="V1895" s="31" t="s">
        <v>13</v>
      </c>
      <c r="W1895" s="17">
        <f>(VLOOKUP(T1895,'[1]Simulation pricing per sub assy'!$D:$E,2,0))*U1895</f>
        <v>1.9</v>
      </c>
      <c r="X1895" s="32" t="s">
        <v>615</v>
      </c>
      <c r="Y1895" s="32">
        <v>1</v>
      </c>
      <c r="Z1895" s="32" t="s">
        <v>9</v>
      </c>
      <c r="AA1895" s="18">
        <f>(VLOOKUP(X1895,'[1]Simulation pricing per sub assy'!$D:$E,2,0))*Y1895</f>
        <v>1.5769808000000001</v>
      </c>
    </row>
    <row r="1896" spans="1:27" x14ac:dyDescent="0.35">
      <c r="A1896" s="27" t="s">
        <v>3143</v>
      </c>
      <c r="B1896" s="27" t="s">
        <v>4768</v>
      </c>
      <c r="C1896" s="42">
        <f t="shared" si="29"/>
        <v>120.0357808</v>
      </c>
      <c r="D1896" s="28" t="s">
        <v>2058</v>
      </c>
      <c r="E1896" s="28">
        <v>1</v>
      </c>
      <c r="F1896" s="28" t="s">
        <v>2059</v>
      </c>
      <c r="G1896" s="14">
        <f>(VLOOKUP(D1896,'[1]BOM Info General'!$A:$L,12,0))*E1896</f>
        <v>35.56</v>
      </c>
      <c r="H1896" s="29" t="s">
        <v>39</v>
      </c>
      <c r="I1896" s="29">
        <v>1</v>
      </c>
      <c r="J1896" s="29" t="s">
        <v>46</v>
      </c>
      <c r="K1896" s="15">
        <f>(VLOOKUP(H1896,'[1]BOM Info General'!$A:$L,12,0))*I1896</f>
        <v>24.42</v>
      </c>
      <c r="L1896" s="26" t="s">
        <v>74</v>
      </c>
      <c r="M1896" s="26">
        <v>1</v>
      </c>
      <c r="N1896" s="26" t="s">
        <v>77</v>
      </c>
      <c r="O1896" s="9">
        <f>(VLOOKUP(L1896,'[1]Simulation pricing per sub assy'!$D:$E,2,0))*M1896</f>
        <v>51.27879999999999</v>
      </c>
      <c r="P1896" s="30" t="s">
        <v>52</v>
      </c>
      <c r="Q1896" s="30">
        <v>2</v>
      </c>
      <c r="R1896" s="30" t="s">
        <v>18</v>
      </c>
      <c r="S1896" s="40">
        <f>(VLOOKUP(P1896,'[1]BOM Info General'!$A:$L,12,0))*Q1896</f>
        <v>5.3</v>
      </c>
      <c r="T1896" s="31" t="s">
        <v>12</v>
      </c>
      <c r="U1896" s="31">
        <v>1</v>
      </c>
      <c r="V1896" s="31" t="s">
        <v>13</v>
      </c>
      <c r="W1896" s="17">
        <f>(VLOOKUP(T1896,'[1]Simulation pricing per sub assy'!$D:$E,2,0))*U1896</f>
        <v>1.9</v>
      </c>
      <c r="X1896" s="32" t="s">
        <v>615</v>
      </c>
      <c r="Y1896" s="32">
        <v>1</v>
      </c>
      <c r="Z1896" s="32" t="s">
        <v>9</v>
      </c>
      <c r="AA1896" s="18">
        <f>(VLOOKUP(X1896,'[1]Simulation pricing per sub assy'!$D:$E,2,0))*Y1896</f>
        <v>1.5769808000000001</v>
      </c>
    </row>
    <row r="1897" spans="1:27" x14ac:dyDescent="0.35">
      <c r="A1897" s="27" t="s">
        <v>3144</v>
      </c>
      <c r="B1897" s="27" t="s">
        <v>4769</v>
      </c>
      <c r="C1897" s="42">
        <f t="shared" si="29"/>
        <v>111.0657808</v>
      </c>
      <c r="D1897" s="28" t="s">
        <v>2058</v>
      </c>
      <c r="E1897" s="28">
        <v>1</v>
      </c>
      <c r="F1897" s="28" t="s">
        <v>2059</v>
      </c>
      <c r="G1897" s="14">
        <f>(VLOOKUP(D1897,'[1]BOM Info General'!$A:$L,12,0))*E1897</f>
        <v>35.56</v>
      </c>
      <c r="H1897" s="29" t="s">
        <v>39</v>
      </c>
      <c r="I1897" s="29">
        <v>1</v>
      </c>
      <c r="J1897" s="29" t="s">
        <v>46</v>
      </c>
      <c r="K1897" s="15">
        <f>(VLOOKUP(H1897,'[1]BOM Info General'!$A:$L,12,0))*I1897</f>
        <v>24.42</v>
      </c>
      <c r="L1897" s="26" t="s">
        <v>527</v>
      </c>
      <c r="M1897" s="26">
        <v>1</v>
      </c>
      <c r="N1897" s="26" t="s">
        <v>79</v>
      </c>
      <c r="O1897" s="9">
        <f>(VLOOKUP(L1897,'[1]Simulation pricing per sub assy'!$D:$E,2,0))*M1897</f>
        <v>42.308799999999991</v>
      </c>
      <c r="P1897" s="30" t="s">
        <v>52</v>
      </c>
      <c r="Q1897" s="30">
        <v>2</v>
      </c>
      <c r="R1897" s="30" t="s">
        <v>18</v>
      </c>
      <c r="S1897" s="40">
        <f>(VLOOKUP(P1897,'[1]BOM Info General'!$A:$L,12,0))*Q1897</f>
        <v>5.3</v>
      </c>
      <c r="T1897" s="31" t="s">
        <v>14</v>
      </c>
      <c r="U1897" s="31">
        <v>1</v>
      </c>
      <c r="V1897" s="31" t="s">
        <v>15</v>
      </c>
      <c r="W1897" s="17">
        <f>(VLOOKUP(T1897,'[1]Simulation pricing per sub assy'!$D:$E,2,0))*U1897</f>
        <v>1.9</v>
      </c>
      <c r="X1897" s="32" t="s">
        <v>615</v>
      </c>
      <c r="Y1897" s="32">
        <v>1</v>
      </c>
      <c r="Z1897" s="32" t="s">
        <v>9</v>
      </c>
      <c r="AA1897" s="18">
        <f>(VLOOKUP(X1897,'[1]Simulation pricing per sub assy'!$D:$E,2,0))*Y1897</f>
        <v>1.5769808000000001</v>
      </c>
    </row>
    <row r="1898" spans="1:27" x14ac:dyDescent="0.35">
      <c r="A1898" s="27" t="s">
        <v>3145</v>
      </c>
      <c r="B1898" s="27" t="s">
        <v>4770</v>
      </c>
      <c r="C1898" s="42">
        <f t="shared" si="29"/>
        <v>112.0457808</v>
      </c>
      <c r="D1898" s="28" t="s">
        <v>2058</v>
      </c>
      <c r="E1898" s="28">
        <v>1</v>
      </c>
      <c r="F1898" s="28" t="s">
        <v>2059</v>
      </c>
      <c r="G1898" s="14">
        <f>(VLOOKUP(D1898,'[1]BOM Info General'!$A:$L,12,0))*E1898</f>
        <v>35.56</v>
      </c>
      <c r="H1898" s="29" t="s">
        <v>39</v>
      </c>
      <c r="I1898" s="29">
        <v>1</v>
      </c>
      <c r="J1898" s="29" t="s">
        <v>46</v>
      </c>
      <c r="K1898" s="15">
        <f>(VLOOKUP(H1898,'[1]BOM Info General'!$A:$L,12,0))*I1898</f>
        <v>24.42</v>
      </c>
      <c r="L1898" s="26" t="s">
        <v>76</v>
      </c>
      <c r="M1898" s="26">
        <v>1</v>
      </c>
      <c r="N1898" s="26" t="s">
        <v>73</v>
      </c>
      <c r="O1898" s="9">
        <f>(VLOOKUP(L1898,'[1]Simulation pricing per sub assy'!$D:$E,2,0))*M1898</f>
        <v>43.288799999999988</v>
      </c>
      <c r="P1898" s="30" t="s">
        <v>52</v>
      </c>
      <c r="Q1898" s="30">
        <v>2</v>
      </c>
      <c r="R1898" s="30" t="s">
        <v>18</v>
      </c>
      <c r="S1898" s="40">
        <f>(VLOOKUP(P1898,'[1]BOM Info General'!$A:$L,12,0))*Q1898</f>
        <v>5.3</v>
      </c>
      <c r="T1898" s="31" t="s">
        <v>14</v>
      </c>
      <c r="U1898" s="31">
        <v>1</v>
      </c>
      <c r="V1898" s="31" t="s">
        <v>15</v>
      </c>
      <c r="W1898" s="17">
        <f>(VLOOKUP(T1898,'[1]Simulation pricing per sub assy'!$D:$E,2,0))*U1898</f>
        <v>1.9</v>
      </c>
      <c r="X1898" s="32" t="s">
        <v>615</v>
      </c>
      <c r="Y1898" s="32">
        <v>1</v>
      </c>
      <c r="Z1898" s="32" t="s">
        <v>9</v>
      </c>
      <c r="AA1898" s="18">
        <f>(VLOOKUP(X1898,'[1]Simulation pricing per sub assy'!$D:$E,2,0))*Y1898</f>
        <v>1.5769808000000001</v>
      </c>
    </row>
    <row r="1899" spans="1:27" x14ac:dyDescent="0.35">
      <c r="A1899" s="27" t="s">
        <v>3146</v>
      </c>
      <c r="B1899" s="27" t="s">
        <v>4771</v>
      </c>
      <c r="C1899" s="42">
        <f t="shared" si="29"/>
        <v>112.6257808</v>
      </c>
      <c r="D1899" s="28" t="s">
        <v>2058</v>
      </c>
      <c r="E1899" s="28">
        <v>1</v>
      </c>
      <c r="F1899" s="28" t="s">
        <v>2059</v>
      </c>
      <c r="G1899" s="14">
        <f>(VLOOKUP(D1899,'[1]BOM Info General'!$A:$L,12,0))*E1899</f>
        <v>35.56</v>
      </c>
      <c r="H1899" s="29" t="s">
        <v>39</v>
      </c>
      <c r="I1899" s="29">
        <v>1</v>
      </c>
      <c r="J1899" s="29" t="s">
        <v>46</v>
      </c>
      <c r="K1899" s="15">
        <f>(VLOOKUP(H1899,'[1]BOM Info General'!$A:$L,12,0))*I1899</f>
        <v>24.42</v>
      </c>
      <c r="L1899" s="26" t="s">
        <v>72</v>
      </c>
      <c r="M1899" s="26">
        <v>1</v>
      </c>
      <c r="N1899" s="26" t="s">
        <v>71</v>
      </c>
      <c r="O1899" s="9">
        <f>(VLOOKUP(L1899,'[1]Simulation pricing per sub assy'!$D:$E,2,0))*M1899</f>
        <v>43.868799999999993</v>
      </c>
      <c r="P1899" s="30" t="s">
        <v>52</v>
      </c>
      <c r="Q1899" s="30">
        <v>2</v>
      </c>
      <c r="R1899" s="30" t="s">
        <v>18</v>
      </c>
      <c r="S1899" s="40">
        <f>(VLOOKUP(P1899,'[1]BOM Info General'!$A:$L,12,0))*Q1899</f>
        <v>5.3</v>
      </c>
      <c r="T1899" s="31" t="s">
        <v>14</v>
      </c>
      <c r="U1899" s="31">
        <v>1</v>
      </c>
      <c r="V1899" s="31" t="s">
        <v>15</v>
      </c>
      <c r="W1899" s="17">
        <f>(VLOOKUP(T1899,'[1]Simulation pricing per sub assy'!$D:$E,2,0))*U1899</f>
        <v>1.9</v>
      </c>
      <c r="X1899" s="32" t="s">
        <v>615</v>
      </c>
      <c r="Y1899" s="32">
        <v>1</v>
      </c>
      <c r="Z1899" s="32" t="s">
        <v>9</v>
      </c>
      <c r="AA1899" s="18">
        <f>(VLOOKUP(X1899,'[1]Simulation pricing per sub assy'!$D:$E,2,0))*Y1899</f>
        <v>1.5769808000000001</v>
      </c>
    </row>
    <row r="1900" spans="1:27" x14ac:dyDescent="0.35">
      <c r="A1900" s="27" t="s">
        <v>3147</v>
      </c>
      <c r="B1900" s="27" t="s">
        <v>4772</v>
      </c>
      <c r="C1900" s="42">
        <f t="shared" si="29"/>
        <v>112.3657808</v>
      </c>
      <c r="D1900" s="28" t="s">
        <v>2058</v>
      </c>
      <c r="E1900" s="28">
        <v>1</v>
      </c>
      <c r="F1900" s="28" t="s">
        <v>2059</v>
      </c>
      <c r="G1900" s="14">
        <f>(VLOOKUP(D1900,'[1]BOM Info General'!$A:$L,12,0))*E1900</f>
        <v>35.56</v>
      </c>
      <c r="H1900" s="29" t="s">
        <v>39</v>
      </c>
      <c r="I1900" s="29">
        <v>1</v>
      </c>
      <c r="J1900" s="29" t="s">
        <v>46</v>
      </c>
      <c r="K1900" s="15">
        <f>(VLOOKUP(H1900,'[1]BOM Info General'!$A:$L,12,0))*I1900</f>
        <v>24.42</v>
      </c>
      <c r="L1900" s="26" t="s">
        <v>78</v>
      </c>
      <c r="M1900" s="26">
        <v>1</v>
      </c>
      <c r="N1900" s="26" t="s">
        <v>75</v>
      </c>
      <c r="O1900" s="9">
        <f>(VLOOKUP(L1900,'[1]Simulation pricing per sub assy'!$D:$E,2,0))*M1900</f>
        <v>43.608799999999988</v>
      </c>
      <c r="P1900" s="30" t="s">
        <v>52</v>
      </c>
      <c r="Q1900" s="30">
        <v>2</v>
      </c>
      <c r="R1900" s="30" t="s">
        <v>18</v>
      </c>
      <c r="S1900" s="40">
        <f>(VLOOKUP(P1900,'[1]BOM Info General'!$A:$L,12,0))*Q1900</f>
        <v>5.3</v>
      </c>
      <c r="T1900" s="31" t="s">
        <v>14</v>
      </c>
      <c r="U1900" s="31">
        <v>1</v>
      </c>
      <c r="V1900" s="31" t="s">
        <v>15</v>
      </c>
      <c r="W1900" s="17">
        <f>(VLOOKUP(T1900,'[1]Simulation pricing per sub assy'!$D:$E,2,0))*U1900</f>
        <v>1.9</v>
      </c>
      <c r="X1900" s="32" t="s">
        <v>615</v>
      </c>
      <c r="Y1900" s="32">
        <v>1</v>
      </c>
      <c r="Z1900" s="32" t="s">
        <v>9</v>
      </c>
      <c r="AA1900" s="18">
        <f>(VLOOKUP(X1900,'[1]Simulation pricing per sub assy'!$D:$E,2,0))*Y1900</f>
        <v>1.5769808000000001</v>
      </c>
    </row>
    <row r="1901" spans="1:27" x14ac:dyDescent="0.35">
      <c r="A1901" s="27" t="s">
        <v>3148</v>
      </c>
      <c r="B1901" s="27" t="s">
        <v>4773</v>
      </c>
      <c r="C1901" s="42">
        <f t="shared" si="29"/>
        <v>120.0357808</v>
      </c>
      <c r="D1901" s="28" t="s">
        <v>2058</v>
      </c>
      <c r="E1901" s="28">
        <v>1</v>
      </c>
      <c r="F1901" s="28" t="s">
        <v>2059</v>
      </c>
      <c r="G1901" s="14">
        <f>(VLOOKUP(D1901,'[1]BOM Info General'!$A:$L,12,0))*E1901</f>
        <v>35.56</v>
      </c>
      <c r="H1901" s="29" t="s">
        <v>39</v>
      </c>
      <c r="I1901" s="29">
        <v>1</v>
      </c>
      <c r="J1901" s="29" t="s">
        <v>46</v>
      </c>
      <c r="K1901" s="15">
        <f>(VLOOKUP(H1901,'[1]BOM Info General'!$A:$L,12,0))*I1901</f>
        <v>24.42</v>
      </c>
      <c r="L1901" s="26" t="s">
        <v>74</v>
      </c>
      <c r="M1901" s="26">
        <v>1</v>
      </c>
      <c r="N1901" s="26" t="s">
        <v>77</v>
      </c>
      <c r="O1901" s="9">
        <f>(VLOOKUP(L1901,'[1]Simulation pricing per sub assy'!$D:$E,2,0))*M1901</f>
        <v>51.27879999999999</v>
      </c>
      <c r="P1901" s="30" t="s">
        <v>52</v>
      </c>
      <c r="Q1901" s="30">
        <v>2</v>
      </c>
      <c r="R1901" s="30" t="s">
        <v>18</v>
      </c>
      <c r="S1901" s="40">
        <f>(VLOOKUP(P1901,'[1]BOM Info General'!$A:$L,12,0))*Q1901</f>
        <v>5.3</v>
      </c>
      <c r="T1901" s="31" t="s">
        <v>14</v>
      </c>
      <c r="U1901" s="31">
        <v>1</v>
      </c>
      <c r="V1901" s="31" t="s">
        <v>15</v>
      </c>
      <c r="W1901" s="17">
        <f>(VLOOKUP(T1901,'[1]Simulation pricing per sub assy'!$D:$E,2,0))*U1901</f>
        <v>1.9</v>
      </c>
      <c r="X1901" s="32" t="s">
        <v>615</v>
      </c>
      <c r="Y1901" s="32">
        <v>1</v>
      </c>
      <c r="Z1901" s="32" t="s">
        <v>9</v>
      </c>
      <c r="AA1901" s="18">
        <f>(VLOOKUP(X1901,'[1]Simulation pricing per sub assy'!$D:$E,2,0))*Y1901</f>
        <v>1.5769808000000001</v>
      </c>
    </row>
    <row r="1902" spans="1:27" x14ac:dyDescent="0.35">
      <c r="A1902" s="27" t="s">
        <v>3149</v>
      </c>
      <c r="B1902" s="27" t="s">
        <v>4774</v>
      </c>
      <c r="C1902" s="42">
        <f t="shared" si="29"/>
        <v>111.5057808</v>
      </c>
      <c r="D1902" s="28" t="s">
        <v>2058</v>
      </c>
      <c r="E1902" s="28">
        <v>1</v>
      </c>
      <c r="F1902" s="28" t="s">
        <v>2059</v>
      </c>
      <c r="G1902" s="14">
        <f>(VLOOKUP(D1902,'[1]BOM Info General'!$A:$L,12,0))*E1902</f>
        <v>35.56</v>
      </c>
      <c r="H1902" s="29" t="s">
        <v>39</v>
      </c>
      <c r="I1902" s="29">
        <v>1</v>
      </c>
      <c r="J1902" s="29" t="s">
        <v>46</v>
      </c>
      <c r="K1902" s="15">
        <f>(VLOOKUP(H1902,'[1]BOM Info General'!$A:$L,12,0))*I1902</f>
        <v>24.42</v>
      </c>
      <c r="L1902" s="26" t="s">
        <v>527</v>
      </c>
      <c r="M1902" s="26">
        <v>1</v>
      </c>
      <c r="N1902" s="26" t="s">
        <v>79</v>
      </c>
      <c r="O1902" s="9">
        <f>(VLOOKUP(L1902,'[1]Simulation pricing per sub assy'!$D:$E,2,0))*M1902</f>
        <v>42.308799999999991</v>
      </c>
      <c r="P1902" s="30" t="s">
        <v>50</v>
      </c>
      <c r="Q1902" s="30">
        <v>2</v>
      </c>
      <c r="R1902" s="30" t="s">
        <v>611</v>
      </c>
      <c r="S1902" s="40">
        <f>(VLOOKUP(P1902,'[1]BOM Info General'!$A:$L,12,0))*Q1902</f>
        <v>5.3</v>
      </c>
      <c r="T1902" s="31" t="s">
        <v>19</v>
      </c>
      <c r="U1902" s="31">
        <v>1</v>
      </c>
      <c r="V1902" s="31" t="s">
        <v>20</v>
      </c>
      <c r="W1902" s="17">
        <f>(VLOOKUP(T1902,'[1]Simulation pricing per sub assy'!$D:$E,2,0))*U1902</f>
        <v>2.3400000000000003</v>
      </c>
      <c r="X1902" s="32" t="s">
        <v>615</v>
      </c>
      <c r="Y1902" s="32">
        <v>1</v>
      </c>
      <c r="Z1902" s="32" t="s">
        <v>9</v>
      </c>
      <c r="AA1902" s="18">
        <f>(VLOOKUP(X1902,'[1]Simulation pricing per sub assy'!$D:$E,2,0))*Y1902</f>
        <v>1.5769808000000001</v>
      </c>
    </row>
    <row r="1903" spans="1:27" x14ac:dyDescent="0.35">
      <c r="A1903" s="27" t="s">
        <v>3150</v>
      </c>
      <c r="B1903" s="27" t="s">
        <v>4775</v>
      </c>
      <c r="C1903" s="42">
        <f t="shared" si="29"/>
        <v>112.4857808</v>
      </c>
      <c r="D1903" s="28" t="s">
        <v>2058</v>
      </c>
      <c r="E1903" s="28">
        <v>1</v>
      </c>
      <c r="F1903" s="28" t="s">
        <v>2059</v>
      </c>
      <c r="G1903" s="14">
        <f>(VLOOKUP(D1903,'[1]BOM Info General'!$A:$L,12,0))*E1903</f>
        <v>35.56</v>
      </c>
      <c r="H1903" s="29" t="s">
        <v>39</v>
      </c>
      <c r="I1903" s="29">
        <v>1</v>
      </c>
      <c r="J1903" s="29" t="s">
        <v>46</v>
      </c>
      <c r="K1903" s="15">
        <f>(VLOOKUP(H1903,'[1]BOM Info General'!$A:$L,12,0))*I1903</f>
        <v>24.42</v>
      </c>
      <c r="L1903" s="26" t="s">
        <v>76</v>
      </c>
      <c r="M1903" s="26">
        <v>1</v>
      </c>
      <c r="N1903" s="26" t="s">
        <v>73</v>
      </c>
      <c r="O1903" s="9">
        <f>(VLOOKUP(L1903,'[1]Simulation pricing per sub assy'!$D:$E,2,0))*M1903</f>
        <v>43.288799999999988</v>
      </c>
      <c r="P1903" s="30" t="s">
        <v>50</v>
      </c>
      <c r="Q1903" s="30">
        <v>2</v>
      </c>
      <c r="R1903" s="30" t="s">
        <v>611</v>
      </c>
      <c r="S1903" s="40">
        <f>(VLOOKUP(P1903,'[1]BOM Info General'!$A:$L,12,0))*Q1903</f>
        <v>5.3</v>
      </c>
      <c r="T1903" s="31" t="s">
        <v>19</v>
      </c>
      <c r="U1903" s="31">
        <v>1</v>
      </c>
      <c r="V1903" s="31" t="s">
        <v>20</v>
      </c>
      <c r="W1903" s="17">
        <f>(VLOOKUP(T1903,'[1]Simulation pricing per sub assy'!$D:$E,2,0))*U1903</f>
        <v>2.3400000000000003</v>
      </c>
      <c r="X1903" s="32" t="s">
        <v>615</v>
      </c>
      <c r="Y1903" s="32">
        <v>1</v>
      </c>
      <c r="Z1903" s="32" t="s">
        <v>9</v>
      </c>
      <c r="AA1903" s="18">
        <f>(VLOOKUP(X1903,'[1]Simulation pricing per sub assy'!$D:$E,2,0))*Y1903</f>
        <v>1.5769808000000001</v>
      </c>
    </row>
    <row r="1904" spans="1:27" x14ac:dyDescent="0.35">
      <c r="A1904" s="27" t="s">
        <v>3151</v>
      </c>
      <c r="B1904" s="27" t="s">
        <v>4776</v>
      </c>
      <c r="C1904" s="42">
        <f t="shared" si="29"/>
        <v>113.0657808</v>
      </c>
      <c r="D1904" s="28" t="s">
        <v>2058</v>
      </c>
      <c r="E1904" s="28">
        <v>1</v>
      </c>
      <c r="F1904" s="28" t="s">
        <v>2059</v>
      </c>
      <c r="G1904" s="14">
        <f>(VLOOKUP(D1904,'[1]BOM Info General'!$A:$L,12,0))*E1904</f>
        <v>35.56</v>
      </c>
      <c r="H1904" s="29" t="s">
        <v>39</v>
      </c>
      <c r="I1904" s="29">
        <v>1</v>
      </c>
      <c r="J1904" s="29" t="s">
        <v>46</v>
      </c>
      <c r="K1904" s="15">
        <f>(VLOOKUP(H1904,'[1]BOM Info General'!$A:$L,12,0))*I1904</f>
        <v>24.42</v>
      </c>
      <c r="L1904" s="26" t="s">
        <v>72</v>
      </c>
      <c r="M1904" s="26">
        <v>1</v>
      </c>
      <c r="N1904" s="26" t="s">
        <v>71</v>
      </c>
      <c r="O1904" s="9">
        <f>(VLOOKUP(L1904,'[1]Simulation pricing per sub assy'!$D:$E,2,0))*M1904</f>
        <v>43.868799999999993</v>
      </c>
      <c r="P1904" s="30" t="s">
        <v>50</v>
      </c>
      <c r="Q1904" s="30">
        <v>2</v>
      </c>
      <c r="R1904" s="30" t="s">
        <v>611</v>
      </c>
      <c r="S1904" s="40">
        <f>(VLOOKUP(P1904,'[1]BOM Info General'!$A:$L,12,0))*Q1904</f>
        <v>5.3</v>
      </c>
      <c r="T1904" s="31" t="s">
        <v>19</v>
      </c>
      <c r="U1904" s="31">
        <v>1</v>
      </c>
      <c r="V1904" s="31" t="s">
        <v>20</v>
      </c>
      <c r="W1904" s="17">
        <f>(VLOOKUP(T1904,'[1]Simulation pricing per sub assy'!$D:$E,2,0))*U1904</f>
        <v>2.3400000000000003</v>
      </c>
      <c r="X1904" s="32" t="s">
        <v>615</v>
      </c>
      <c r="Y1904" s="32">
        <v>1</v>
      </c>
      <c r="Z1904" s="32" t="s">
        <v>9</v>
      </c>
      <c r="AA1904" s="18">
        <f>(VLOOKUP(X1904,'[1]Simulation pricing per sub assy'!$D:$E,2,0))*Y1904</f>
        <v>1.5769808000000001</v>
      </c>
    </row>
    <row r="1905" spans="1:27" x14ac:dyDescent="0.35">
      <c r="A1905" s="27" t="s">
        <v>3152</v>
      </c>
      <c r="B1905" s="27" t="s">
        <v>4777</v>
      </c>
      <c r="C1905" s="42">
        <f t="shared" si="29"/>
        <v>112.80578079999999</v>
      </c>
      <c r="D1905" s="28" t="s">
        <v>2058</v>
      </c>
      <c r="E1905" s="28">
        <v>1</v>
      </c>
      <c r="F1905" s="28" t="s">
        <v>2059</v>
      </c>
      <c r="G1905" s="14">
        <f>(VLOOKUP(D1905,'[1]BOM Info General'!$A:$L,12,0))*E1905</f>
        <v>35.56</v>
      </c>
      <c r="H1905" s="29" t="s">
        <v>39</v>
      </c>
      <c r="I1905" s="29">
        <v>1</v>
      </c>
      <c r="J1905" s="29" t="s">
        <v>46</v>
      </c>
      <c r="K1905" s="15">
        <f>(VLOOKUP(H1905,'[1]BOM Info General'!$A:$L,12,0))*I1905</f>
        <v>24.42</v>
      </c>
      <c r="L1905" s="26" t="s">
        <v>78</v>
      </c>
      <c r="M1905" s="26">
        <v>1</v>
      </c>
      <c r="N1905" s="26" t="s">
        <v>75</v>
      </c>
      <c r="O1905" s="9">
        <f>(VLOOKUP(L1905,'[1]Simulation pricing per sub assy'!$D:$E,2,0))*M1905</f>
        <v>43.608799999999988</v>
      </c>
      <c r="P1905" s="30" t="s">
        <v>50</v>
      </c>
      <c r="Q1905" s="30">
        <v>2</v>
      </c>
      <c r="R1905" s="30" t="s">
        <v>611</v>
      </c>
      <c r="S1905" s="40">
        <f>(VLOOKUP(P1905,'[1]BOM Info General'!$A:$L,12,0))*Q1905</f>
        <v>5.3</v>
      </c>
      <c r="T1905" s="31" t="s">
        <v>19</v>
      </c>
      <c r="U1905" s="31">
        <v>1</v>
      </c>
      <c r="V1905" s="31" t="s">
        <v>20</v>
      </c>
      <c r="W1905" s="17">
        <f>(VLOOKUP(T1905,'[1]Simulation pricing per sub assy'!$D:$E,2,0))*U1905</f>
        <v>2.3400000000000003</v>
      </c>
      <c r="X1905" s="32" t="s">
        <v>615</v>
      </c>
      <c r="Y1905" s="32">
        <v>1</v>
      </c>
      <c r="Z1905" s="32" t="s">
        <v>9</v>
      </c>
      <c r="AA1905" s="18">
        <f>(VLOOKUP(X1905,'[1]Simulation pricing per sub assy'!$D:$E,2,0))*Y1905</f>
        <v>1.5769808000000001</v>
      </c>
    </row>
    <row r="1906" spans="1:27" x14ac:dyDescent="0.35">
      <c r="A1906" s="27" t="s">
        <v>3153</v>
      </c>
      <c r="B1906" s="27" t="s">
        <v>4778</v>
      </c>
      <c r="C1906" s="42">
        <f t="shared" si="29"/>
        <v>120.4757808</v>
      </c>
      <c r="D1906" s="28" t="s">
        <v>2058</v>
      </c>
      <c r="E1906" s="28">
        <v>1</v>
      </c>
      <c r="F1906" s="28" t="s">
        <v>2059</v>
      </c>
      <c r="G1906" s="14">
        <f>(VLOOKUP(D1906,'[1]BOM Info General'!$A:$L,12,0))*E1906</f>
        <v>35.56</v>
      </c>
      <c r="H1906" s="29" t="s">
        <v>39</v>
      </c>
      <c r="I1906" s="29">
        <v>1</v>
      </c>
      <c r="J1906" s="29" t="s">
        <v>46</v>
      </c>
      <c r="K1906" s="15">
        <f>(VLOOKUP(H1906,'[1]BOM Info General'!$A:$L,12,0))*I1906</f>
        <v>24.42</v>
      </c>
      <c r="L1906" s="26" t="s">
        <v>74</v>
      </c>
      <c r="M1906" s="26">
        <v>1</v>
      </c>
      <c r="N1906" s="26" t="s">
        <v>77</v>
      </c>
      <c r="O1906" s="9">
        <f>(VLOOKUP(L1906,'[1]Simulation pricing per sub assy'!$D:$E,2,0))*M1906</f>
        <v>51.27879999999999</v>
      </c>
      <c r="P1906" s="30" t="s">
        <v>50</v>
      </c>
      <c r="Q1906" s="30">
        <v>2</v>
      </c>
      <c r="R1906" s="30" t="s">
        <v>611</v>
      </c>
      <c r="S1906" s="40">
        <f>(VLOOKUP(P1906,'[1]BOM Info General'!$A:$L,12,0))*Q1906</f>
        <v>5.3</v>
      </c>
      <c r="T1906" s="31" t="s">
        <v>19</v>
      </c>
      <c r="U1906" s="31">
        <v>1</v>
      </c>
      <c r="V1906" s="31" t="s">
        <v>20</v>
      </c>
      <c r="W1906" s="17">
        <f>(VLOOKUP(T1906,'[1]Simulation pricing per sub assy'!$D:$E,2,0))*U1906</f>
        <v>2.3400000000000003</v>
      </c>
      <c r="X1906" s="32" t="s">
        <v>615</v>
      </c>
      <c r="Y1906" s="32">
        <v>1</v>
      </c>
      <c r="Z1906" s="32" t="s">
        <v>9</v>
      </c>
      <c r="AA1906" s="18">
        <f>(VLOOKUP(X1906,'[1]Simulation pricing per sub assy'!$D:$E,2,0))*Y1906</f>
        <v>1.5769808000000001</v>
      </c>
    </row>
    <row r="1907" spans="1:27" x14ac:dyDescent="0.35">
      <c r="A1907" s="27" t="s">
        <v>3154</v>
      </c>
      <c r="B1907" s="27" t="s">
        <v>3155</v>
      </c>
      <c r="C1907" s="42">
        <f t="shared" si="29"/>
        <v>111.01578079999999</v>
      </c>
      <c r="D1907" s="33" t="s">
        <v>2058</v>
      </c>
      <c r="E1907" s="33">
        <v>1</v>
      </c>
      <c r="F1907" s="33" t="s">
        <v>2059</v>
      </c>
      <c r="G1907" s="14">
        <f>(VLOOKUP(D1907,'[1]BOM Info General'!$A:$L,12,0))*E1907</f>
        <v>35.56</v>
      </c>
      <c r="H1907" s="34" t="s">
        <v>39</v>
      </c>
      <c r="I1907" s="34">
        <v>1</v>
      </c>
      <c r="J1907" s="34" t="s">
        <v>46</v>
      </c>
      <c r="K1907" s="15">
        <f>(VLOOKUP(H1907,'[1]BOM Info General'!$A:$L,12,0))*I1907</f>
        <v>24.42</v>
      </c>
      <c r="L1907" s="35" t="s">
        <v>527</v>
      </c>
      <c r="M1907" s="35">
        <v>1</v>
      </c>
      <c r="N1907" s="35" t="s">
        <v>79</v>
      </c>
      <c r="O1907" s="9">
        <f>(VLOOKUP(L1907,'[1]Simulation pricing per sub assy'!$D:$E,2,0))*M1907</f>
        <v>42.308799999999991</v>
      </c>
      <c r="P1907" s="36" t="s">
        <v>50</v>
      </c>
      <c r="Q1907" s="36">
        <v>2</v>
      </c>
      <c r="R1907" s="36" t="s">
        <v>611</v>
      </c>
      <c r="S1907" s="40">
        <f>(VLOOKUP(P1907,'[1]BOM Info General'!$A:$L,12,0))*Q1907</f>
        <v>5.3</v>
      </c>
      <c r="T1907" s="37" t="s">
        <v>7</v>
      </c>
      <c r="U1907" s="37">
        <v>1</v>
      </c>
      <c r="V1907" s="37" t="s">
        <v>8</v>
      </c>
      <c r="W1907" s="17">
        <f>(VLOOKUP(T1907,'[1]Simulation pricing per sub assy'!$D:$E,2,0))*U1907</f>
        <v>1.85</v>
      </c>
      <c r="X1907" s="32" t="s">
        <v>615</v>
      </c>
      <c r="Y1907" s="38">
        <v>1</v>
      </c>
      <c r="Z1907" s="38" t="s">
        <v>9</v>
      </c>
      <c r="AA1907" s="18">
        <f>(VLOOKUP(X1907,'[1]Simulation pricing per sub assy'!$D:$E,2,0))*Y1907</f>
        <v>1.5769808000000001</v>
      </c>
    </row>
    <row r="1908" spans="1:27" x14ac:dyDescent="0.35">
      <c r="A1908" s="27" t="s">
        <v>3156</v>
      </c>
      <c r="B1908" s="27" t="s">
        <v>3157</v>
      </c>
      <c r="C1908" s="42">
        <f t="shared" si="29"/>
        <v>111.99578079999999</v>
      </c>
      <c r="D1908" s="33" t="s">
        <v>2058</v>
      </c>
      <c r="E1908" s="33">
        <v>1</v>
      </c>
      <c r="F1908" s="33" t="s">
        <v>2059</v>
      </c>
      <c r="G1908" s="14">
        <f>(VLOOKUP(D1908,'[1]BOM Info General'!$A:$L,12,0))*E1908</f>
        <v>35.56</v>
      </c>
      <c r="H1908" s="34" t="s">
        <v>39</v>
      </c>
      <c r="I1908" s="34">
        <v>1</v>
      </c>
      <c r="J1908" s="34" t="s">
        <v>46</v>
      </c>
      <c r="K1908" s="15">
        <f>(VLOOKUP(H1908,'[1]BOM Info General'!$A:$L,12,0))*I1908</f>
        <v>24.42</v>
      </c>
      <c r="L1908" s="35" t="s">
        <v>76</v>
      </c>
      <c r="M1908" s="35">
        <v>1</v>
      </c>
      <c r="N1908" s="35" t="s">
        <v>73</v>
      </c>
      <c r="O1908" s="9">
        <f>(VLOOKUP(L1908,'[1]Simulation pricing per sub assy'!$D:$E,2,0))*M1908</f>
        <v>43.288799999999988</v>
      </c>
      <c r="P1908" s="36" t="s">
        <v>50</v>
      </c>
      <c r="Q1908" s="36">
        <v>2</v>
      </c>
      <c r="R1908" s="36" t="s">
        <v>611</v>
      </c>
      <c r="S1908" s="40">
        <f>(VLOOKUP(P1908,'[1]BOM Info General'!$A:$L,12,0))*Q1908</f>
        <v>5.3</v>
      </c>
      <c r="T1908" s="37" t="s">
        <v>7</v>
      </c>
      <c r="U1908" s="37">
        <v>1</v>
      </c>
      <c r="V1908" s="37" t="s">
        <v>8</v>
      </c>
      <c r="W1908" s="17">
        <f>(VLOOKUP(T1908,'[1]Simulation pricing per sub assy'!$D:$E,2,0))*U1908</f>
        <v>1.85</v>
      </c>
      <c r="X1908" s="32" t="s">
        <v>615</v>
      </c>
      <c r="Y1908" s="38">
        <v>1</v>
      </c>
      <c r="Z1908" s="38" t="s">
        <v>9</v>
      </c>
      <c r="AA1908" s="18">
        <f>(VLOOKUP(X1908,'[1]Simulation pricing per sub assy'!$D:$E,2,0))*Y1908</f>
        <v>1.5769808000000001</v>
      </c>
    </row>
    <row r="1909" spans="1:27" x14ac:dyDescent="0.35">
      <c r="A1909" s="27" t="s">
        <v>3158</v>
      </c>
      <c r="B1909" s="27" t="s">
        <v>3159</v>
      </c>
      <c r="C1909" s="42">
        <f t="shared" si="29"/>
        <v>112.57578079999999</v>
      </c>
      <c r="D1909" s="33" t="s">
        <v>2058</v>
      </c>
      <c r="E1909" s="33">
        <v>1</v>
      </c>
      <c r="F1909" s="33" t="s">
        <v>2059</v>
      </c>
      <c r="G1909" s="14">
        <f>(VLOOKUP(D1909,'[1]BOM Info General'!$A:$L,12,0))*E1909</f>
        <v>35.56</v>
      </c>
      <c r="H1909" s="34" t="s">
        <v>39</v>
      </c>
      <c r="I1909" s="34">
        <v>1</v>
      </c>
      <c r="J1909" s="34" t="s">
        <v>46</v>
      </c>
      <c r="K1909" s="15">
        <f>(VLOOKUP(H1909,'[1]BOM Info General'!$A:$L,12,0))*I1909</f>
        <v>24.42</v>
      </c>
      <c r="L1909" s="35" t="s">
        <v>72</v>
      </c>
      <c r="M1909" s="35">
        <v>1</v>
      </c>
      <c r="N1909" s="35" t="s">
        <v>71</v>
      </c>
      <c r="O1909" s="9">
        <f>(VLOOKUP(L1909,'[1]Simulation pricing per sub assy'!$D:$E,2,0))*M1909</f>
        <v>43.868799999999993</v>
      </c>
      <c r="P1909" s="36" t="s">
        <v>50</v>
      </c>
      <c r="Q1909" s="36">
        <v>2</v>
      </c>
      <c r="R1909" s="36" t="s">
        <v>611</v>
      </c>
      <c r="S1909" s="40">
        <f>(VLOOKUP(P1909,'[1]BOM Info General'!$A:$L,12,0))*Q1909</f>
        <v>5.3</v>
      </c>
      <c r="T1909" s="37" t="s">
        <v>7</v>
      </c>
      <c r="U1909" s="37">
        <v>1</v>
      </c>
      <c r="V1909" s="37" t="s">
        <v>8</v>
      </c>
      <c r="W1909" s="17">
        <f>(VLOOKUP(T1909,'[1]Simulation pricing per sub assy'!$D:$E,2,0))*U1909</f>
        <v>1.85</v>
      </c>
      <c r="X1909" s="32" t="s">
        <v>615</v>
      </c>
      <c r="Y1909" s="38">
        <v>1</v>
      </c>
      <c r="Z1909" s="38" t="s">
        <v>9</v>
      </c>
      <c r="AA1909" s="18">
        <f>(VLOOKUP(X1909,'[1]Simulation pricing per sub assy'!$D:$E,2,0))*Y1909</f>
        <v>1.5769808000000001</v>
      </c>
    </row>
    <row r="1910" spans="1:27" x14ac:dyDescent="0.35">
      <c r="A1910" s="27" t="s">
        <v>3160</v>
      </c>
      <c r="B1910" s="27" t="s">
        <v>3161</v>
      </c>
      <c r="C1910" s="42">
        <f t="shared" si="29"/>
        <v>112.31578079999998</v>
      </c>
      <c r="D1910" s="33" t="s">
        <v>2058</v>
      </c>
      <c r="E1910" s="33">
        <v>1</v>
      </c>
      <c r="F1910" s="33" t="s">
        <v>2059</v>
      </c>
      <c r="G1910" s="14">
        <f>(VLOOKUP(D1910,'[1]BOM Info General'!$A:$L,12,0))*E1910</f>
        <v>35.56</v>
      </c>
      <c r="H1910" s="34" t="s">
        <v>39</v>
      </c>
      <c r="I1910" s="34">
        <v>1</v>
      </c>
      <c r="J1910" s="34" t="s">
        <v>46</v>
      </c>
      <c r="K1910" s="15">
        <f>(VLOOKUP(H1910,'[1]BOM Info General'!$A:$L,12,0))*I1910</f>
        <v>24.42</v>
      </c>
      <c r="L1910" s="35" t="s">
        <v>78</v>
      </c>
      <c r="M1910" s="35">
        <v>1</v>
      </c>
      <c r="N1910" s="35" t="s">
        <v>75</v>
      </c>
      <c r="O1910" s="9">
        <f>(VLOOKUP(L1910,'[1]Simulation pricing per sub assy'!$D:$E,2,0))*M1910</f>
        <v>43.608799999999988</v>
      </c>
      <c r="P1910" s="36" t="s">
        <v>50</v>
      </c>
      <c r="Q1910" s="36">
        <v>2</v>
      </c>
      <c r="R1910" s="36" t="s">
        <v>611</v>
      </c>
      <c r="S1910" s="40">
        <f>(VLOOKUP(P1910,'[1]BOM Info General'!$A:$L,12,0))*Q1910</f>
        <v>5.3</v>
      </c>
      <c r="T1910" s="37" t="s">
        <v>7</v>
      </c>
      <c r="U1910" s="37">
        <v>1</v>
      </c>
      <c r="V1910" s="37" t="s">
        <v>8</v>
      </c>
      <c r="W1910" s="17">
        <f>(VLOOKUP(T1910,'[1]Simulation pricing per sub assy'!$D:$E,2,0))*U1910</f>
        <v>1.85</v>
      </c>
      <c r="X1910" s="32" t="s">
        <v>615</v>
      </c>
      <c r="Y1910" s="38">
        <v>1</v>
      </c>
      <c r="Z1910" s="38" t="s">
        <v>9</v>
      </c>
      <c r="AA1910" s="18">
        <f>(VLOOKUP(X1910,'[1]Simulation pricing per sub assy'!$D:$E,2,0))*Y1910</f>
        <v>1.5769808000000001</v>
      </c>
    </row>
    <row r="1911" spans="1:27" x14ac:dyDescent="0.35">
      <c r="A1911" s="27" t="s">
        <v>3162</v>
      </c>
      <c r="B1911" s="27" t="s">
        <v>3163</v>
      </c>
      <c r="C1911" s="42">
        <f t="shared" si="29"/>
        <v>119.98578079999999</v>
      </c>
      <c r="D1911" s="33" t="s">
        <v>2058</v>
      </c>
      <c r="E1911" s="33">
        <v>1</v>
      </c>
      <c r="F1911" s="33" t="s">
        <v>2059</v>
      </c>
      <c r="G1911" s="14">
        <f>(VLOOKUP(D1911,'[1]BOM Info General'!$A:$L,12,0))*E1911</f>
        <v>35.56</v>
      </c>
      <c r="H1911" s="34" t="s">
        <v>39</v>
      </c>
      <c r="I1911" s="34">
        <v>1</v>
      </c>
      <c r="J1911" s="34" t="s">
        <v>46</v>
      </c>
      <c r="K1911" s="15">
        <f>(VLOOKUP(H1911,'[1]BOM Info General'!$A:$L,12,0))*I1911</f>
        <v>24.42</v>
      </c>
      <c r="L1911" s="35" t="s">
        <v>74</v>
      </c>
      <c r="M1911" s="35">
        <v>1</v>
      </c>
      <c r="N1911" s="35" t="s">
        <v>77</v>
      </c>
      <c r="O1911" s="9">
        <f>(VLOOKUP(L1911,'[1]Simulation pricing per sub assy'!$D:$E,2,0))*M1911</f>
        <v>51.27879999999999</v>
      </c>
      <c r="P1911" s="36" t="s">
        <v>50</v>
      </c>
      <c r="Q1911" s="36">
        <v>2</v>
      </c>
      <c r="R1911" s="36" t="s">
        <v>611</v>
      </c>
      <c r="S1911" s="40">
        <f>(VLOOKUP(P1911,'[1]BOM Info General'!$A:$L,12,0))*Q1911</f>
        <v>5.3</v>
      </c>
      <c r="T1911" s="37" t="s">
        <v>7</v>
      </c>
      <c r="U1911" s="37">
        <v>1</v>
      </c>
      <c r="V1911" s="37" t="s">
        <v>8</v>
      </c>
      <c r="W1911" s="17">
        <f>(VLOOKUP(T1911,'[1]Simulation pricing per sub assy'!$D:$E,2,0))*U1911</f>
        <v>1.85</v>
      </c>
      <c r="X1911" s="32" t="s">
        <v>615</v>
      </c>
      <c r="Y1911" s="38">
        <v>1</v>
      </c>
      <c r="Z1911" s="38" t="s">
        <v>9</v>
      </c>
      <c r="AA1911" s="18">
        <f>(VLOOKUP(X1911,'[1]Simulation pricing per sub assy'!$D:$E,2,0))*Y1911</f>
        <v>1.5769808000000001</v>
      </c>
    </row>
    <row r="1912" spans="1:27" x14ac:dyDescent="0.35">
      <c r="A1912" s="27" t="s">
        <v>3164</v>
      </c>
      <c r="B1912" s="27" t="s">
        <v>3165</v>
      </c>
      <c r="C1912" s="42">
        <f t="shared" si="29"/>
        <v>111.21578079999999</v>
      </c>
      <c r="D1912" s="33" t="s">
        <v>2058</v>
      </c>
      <c r="E1912" s="33">
        <v>1</v>
      </c>
      <c r="F1912" s="33" t="s">
        <v>2059</v>
      </c>
      <c r="G1912" s="14">
        <f>(VLOOKUP(D1912,'[1]BOM Info General'!$A:$L,12,0))*E1912</f>
        <v>35.56</v>
      </c>
      <c r="H1912" s="34" t="s">
        <v>39</v>
      </c>
      <c r="I1912" s="34">
        <v>1</v>
      </c>
      <c r="J1912" s="34" t="s">
        <v>46</v>
      </c>
      <c r="K1912" s="15">
        <f>(VLOOKUP(H1912,'[1]BOM Info General'!$A:$L,12,0))*I1912</f>
        <v>24.42</v>
      </c>
      <c r="L1912" s="35" t="s">
        <v>527</v>
      </c>
      <c r="M1912" s="35">
        <v>1</v>
      </c>
      <c r="N1912" s="35" t="s">
        <v>79</v>
      </c>
      <c r="O1912" s="9">
        <f>(VLOOKUP(L1912,'[1]Simulation pricing per sub assy'!$D:$E,2,0))*M1912</f>
        <v>42.308799999999991</v>
      </c>
      <c r="P1912" s="36" t="s">
        <v>50</v>
      </c>
      <c r="Q1912" s="36">
        <v>2</v>
      </c>
      <c r="R1912" s="36" t="s">
        <v>16</v>
      </c>
      <c r="S1912" s="40">
        <f>(VLOOKUP(P1912,'[1]BOM Info General'!$A:$L,12,0))*Q1912</f>
        <v>5.3</v>
      </c>
      <c r="T1912" s="37" t="s">
        <v>10</v>
      </c>
      <c r="U1912" s="37">
        <v>1</v>
      </c>
      <c r="V1912" s="37" t="s">
        <v>11</v>
      </c>
      <c r="W1912" s="17">
        <f>(VLOOKUP(T1912,'[1]Simulation pricing per sub assy'!$D:$E,2,0))*U1912</f>
        <v>2.0499999999999998</v>
      </c>
      <c r="X1912" s="32" t="s">
        <v>615</v>
      </c>
      <c r="Y1912" s="38">
        <v>1</v>
      </c>
      <c r="Z1912" s="38" t="s">
        <v>9</v>
      </c>
      <c r="AA1912" s="18">
        <f>(VLOOKUP(X1912,'[1]Simulation pricing per sub assy'!$D:$E,2,0))*Y1912</f>
        <v>1.5769808000000001</v>
      </c>
    </row>
    <row r="1913" spans="1:27" x14ac:dyDescent="0.35">
      <c r="A1913" s="27" t="s">
        <v>3166</v>
      </c>
      <c r="B1913" s="27" t="s">
        <v>3167</v>
      </c>
      <c r="C1913" s="42">
        <f t="shared" si="29"/>
        <v>112.19578079999999</v>
      </c>
      <c r="D1913" s="33" t="s">
        <v>2058</v>
      </c>
      <c r="E1913" s="33">
        <v>1</v>
      </c>
      <c r="F1913" s="33" t="s">
        <v>2059</v>
      </c>
      <c r="G1913" s="14">
        <f>(VLOOKUP(D1913,'[1]BOM Info General'!$A:$L,12,0))*E1913</f>
        <v>35.56</v>
      </c>
      <c r="H1913" s="34" t="s">
        <v>39</v>
      </c>
      <c r="I1913" s="34">
        <v>1</v>
      </c>
      <c r="J1913" s="34" t="s">
        <v>46</v>
      </c>
      <c r="K1913" s="15">
        <f>(VLOOKUP(H1913,'[1]BOM Info General'!$A:$L,12,0))*I1913</f>
        <v>24.42</v>
      </c>
      <c r="L1913" s="35" t="s">
        <v>76</v>
      </c>
      <c r="M1913" s="35">
        <v>1</v>
      </c>
      <c r="N1913" s="35" t="s">
        <v>73</v>
      </c>
      <c r="O1913" s="9">
        <f>(VLOOKUP(L1913,'[1]Simulation pricing per sub assy'!$D:$E,2,0))*M1913</f>
        <v>43.288799999999988</v>
      </c>
      <c r="P1913" s="36" t="s">
        <v>50</v>
      </c>
      <c r="Q1913" s="36">
        <v>2</v>
      </c>
      <c r="R1913" s="36" t="s">
        <v>16</v>
      </c>
      <c r="S1913" s="40">
        <f>(VLOOKUP(P1913,'[1]BOM Info General'!$A:$L,12,0))*Q1913</f>
        <v>5.3</v>
      </c>
      <c r="T1913" s="37" t="s">
        <v>10</v>
      </c>
      <c r="U1913" s="37">
        <v>1</v>
      </c>
      <c r="V1913" s="37" t="s">
        <v>11</v>
      </c>
      <c r="W1913" s="17">
        <f>(VLOOKUP(T1913,'[1]Simulation pricing per sub assy'!$D:$E,2,0))*U1913</f>
        <v>2.0499999999999998</v>
      </c>
      <c r="X1913" s="32" t="s">
        <v>615</v>
      </c>
      <c r="Y1913" s="38">
        <v>1</v>
      </c>
      <c r="Z1913" s="38" t="s">
        <v>9</v>
      </c>
      <c r="AA1913" s="18">
        <f>(VLOOKUP(X1913,'[1]Simulation pricing per sub assy'!$D:$E,2,0))*Y1913</f>
        <v>1.5769808000000001</v>
      </c>
    </row>
    <row r="1914" spans="1:27" x14ac:dyDescent="0.35">
      <c r="A1914" s="27" t="s">
        <v>3168</v>
      </c>
      <c r="B1914" s="27" t="s">
        <v>3169</v>
      </c>
      <c r="C1914" s="42">
        <f t="shared" si="29"/>
        <v>112.77578079999999</v>
      </c>
      <c r="D1914" s="33" t="s">
        <v>2058</v>
      </c>
      <c r="E1914" s="33">
        <v>1</v>
      </c>
      <c r="F1914" s="33" t="s">
        <v>2059</v>
      </c>
      <c r="G1914" s="14">
        <f>(VLOOKUP(D1914,'[1]BOM Info General'!$A:$L,12,0))*E1914</f>
        <v>35.56</v>
      </c>
      <c r="H1914" s="34" t="s">
        <v>39</v>
      </c>
      <c r="I1914" s="34">
        <v>1</v>
      </c>
      <c r="J1914" s="34" t="s">
        <v>46</v>
      </c>
      <c r="K1914" s="15">
        <f>(VLOOKUP(H1914,'[1]BOM Info General'!$A:$L,12,0))*I1914</f>
        <v>24.42</v>
      </c>
      <c r="L1914" s="35" t="s">
        <v>72</v>
      </c>
      <c r="M1914" s="35">
        <v>1</v>
      </c>
      <c r="N1914" s="35" t="s">
        <v>71</v>
      </c>
      <c r="O1914" s="9">
        <f>(VLOOKUP(L1914,'[1]Simulation pricing per sub assy'!$D:$E,2,0))*M1914</f>
        <v>43.868799999999993</v>
      </c>
      <c r="P1914" s="36" t="s">
        <v>50</v>
      </c>
      <c r="Q1914" s="36">
        <v>2</v>
      </c>
      <c r="R1914" s="36" t="s">
        <v>16</v>
      </c>
      <c r="S1914" s="40">
        <f>(VLOOKUP(P1914,'[1]BOM Info General'!$A:$L,12,0))*Q1914</f>
        <v>5.3</v>
      </c>
      <c r="T1914" s="37" t="s">
        <v>10</v>
      </c>
      <c r="U1914" s="37">
        <v>1</v>
      </c>
      <c r="V1914" s="37" t="s">
        <v>11</v>
      </c>
      <c r="W1914" s="17">
        <f>(VLOOKUP(T1914,'[1]Simulation pricing per sub assy'!$D:$E,2,0))*U1914</f>
        <v>2.0499999999999998</v>
      </c>
      <c r="X1914" s="32" t="s">
        <v>615</v>
      </c>
      <c r="Y1914" s="38">
        <v>1</v>
      </c>
      <c r="Z1914" s="38" t="s">
        <v>9</v>
      </c>
      <c r="AA1914" s="18">
        <f>(VLOOKUP(X1914,'[1]Simulation pricing per sub assy'!$D:$E,2,0))*Y1914</f>
        <v>1.5769808000000001</v>
      </c>
    </row>
    <row r="1915" spans="1:27" x14ac:dyDescent="0.35">
      <c r="A1915" s="27" t="s">
        <v>3170</v>
      </c>
      <c r="B1915" s="27" t="s">
        <v>3171</v>
      </c>
      <c r="C1915" s="42">
        <f t="shared" si="29"/>
        <v>112.51578079999999</v>
      </c>
      <c r="D1915" s="33" t="s">
        <v>2058</v>
      </c>
      <c r="E1915" s="33">
        <v>1</v>
      </c>
      <c r="F1915" s="33" t="s">
        <v>2059</v>
      </c>
      <c r="G1915" s="14">
        <f>(VLOOKUP(D1915,'[1]BOM Info General'!$A:$L,12,0))*E1915</f>
        <v>35.56</v>
      </c>
      <c r="H1915" s="34" t="s">
        <v>39</v>
      </c>
      <c r="I1915" s="34">
        <v>1</v>
      </c>
      <c r="J1915" s="34" t="s">
        <v>46</v>
      </c>
      <c r="K1915" s="15">
        <f>(VLOOKUP(H1915,'[1]BOM Info General'!$A:$L,12,0))*I1915</f>
        <v>24.42</v>
      </c>
      <c r="L1915" s="35" t="s">
        <v>78</v>
      </c>
      <c r="M1915" s="35">
        <v>1</v>
      </c>
      <c r="N1915" s="35" t="s">
        <v>75</v>
      </c>
      <c r="O1915" s="9">
        <f>(VLOOKUP(L1915,'[1]Simulation pricing per sub assy'!$D:$E,2,0))*M1915</f>
        <v>43.608799999999988</v>
      </c>
      <c r="P1915" s="36" t="s">
        <v>50</v>
      </c>
      <c r="Q1915" s="36">
        <v>2</v>
      </c>
      <c r="R1915" s="36" t="s">
        <v>16</v>
      </c>
      <c r="S1915" s="40">
        <f>(VLOOKUP(P1915,'[1]BOM Info General'!$A:$L,12,0))*Q1915</f>
        <v>5.3</v>
      </c>
      <c r="T1915" s="37" t="s">
        <v>10</v>
      </c>
      <c r="U1915" s="37">
        <v>1</v>
      </c>
      <c r="V1915" s="37" t="s">
        <v>11</v>
      </c>
      <c r="W1915" s="17">
        <f>(VLOOKUP(T1915,'[1]Simulation pricing per sub assy'!$D:$E,2,0))*U1915</f>
        <v>2.0499999999999998</v>
      </c>
      <c r="X1915" s="32" t="s">
        <v>615</v>
      </c>
      <c r="Y1915" s="38">
        <v>1</v>
      </c>
      <c r="Z1915" s="38" t="s">
        <v>9</v>
      </c>
      <c r="AA1915" s="18">
        <f>(VLOOKUP(X1915,'[1]Simulation pricing per sub assy'!$D:$E,2,0))*Y1915</f>
        <v>1.5769808000000001</v>
      </c>
    </row>
    <row r="1916" spans="1:27" x14ac:dyDescent="0.35">
      <c r="A1916" s="27" t="s">
        <v>3172</v>
      </c>
      <c r="B1916" s="27" t="s">
        <v>3173</v>
      </c>
      <c r="C1916" s="42">
        <f t="shared" si="29"/>
        <v>120.18578079999999</v>
      </c>
      <c r="D1916" s="33" t="s">
        <v>2058</v>
      </c>
      <c r="E1916" s="33">
        <v>1</v>
      </c>
      <c r="F1916" s="33" t="s">
        <v>2059</v>
      </c>
      <c r="G1916" s="14">
        <f>(VLOOKUP(D1916,'[1]BOM Info General'!$A:$L,12,0))*E1916</f>
        <v>35.56</v>
      </c>
      <c r="H1916" s="34" t="s">
        <v>39</v>
      </c>
      <c r="I1916" s="34">
        <v>1</v>
      </c>
      <c r="J1916" s="34" t="s">
        <v>46</v>
      </c>
      <c r="K1916" s="15">
        <f>(VLOOKUP(H1916,'[1]BOM Info General'!$A:$L,12,0))*I1916</f>
        <v>24.42</v>
      </c>
      <c r="L1916" s="35" t="s">
        <v>74</v>
      </c>
      <c r="M1916" s="35">
        <v>1</v>
      </c>
      <c r="N1916" s="35" t="s">
        <v>77</v>
      </c>
      <c r="O1916" s="9">
        <f>(VLOOKUP(L1916,'[1]Simulation pricing per sub assy'!$D:$E,2,0))*M1916</f>
        <v>51.27879999999999</v>
      </c>
      <c r="P1916" s="36" t="s">
        <v>50</v>
      </c>
      <c r="Q1916" s="36">
        <v>2</v>
      </c>
      <c r="R1916" s="36" t="s">
        <v>16</v>
      </c>
      <c r="S1916" s="40">
        <f>(VLOOKUP(P1916,'[1]BOM Info General'!$A:$L,12,0))*Q1916</f>
        <v>5.3</v>
      </c>
      <c r="T1916" s="37" t="s">
        <v>10</v>
      </c>
      <c r="U1916" s="37">
        <v>1</v>
      </c>
      <c r="V1916" s="37" t="s">
        <v>11</v>
      </c>
      <c r="W1916" s="17">
        <f>(VLOOKUP(T1916,'[1]Simulation pricing per sub assy'!$D:$E,2,0))*U1916</f>
        <v>2.0499999999999998</v>
      </c>
      <c r="X1916" s="32" t="s">
        <v>615</v>
      </c>
      <c r="Y1916" s="38">
        <v>1</v>
      </c>
      <c r="Z1916" s="38" t="s">
        <v>9</v>
      </c>
      <c r="AA1916" s="18">
        <f>(VLOOKUP(X1916,'[1]Simulation pricing per sub assy'!$D:$E,2,0))*Y1916</f>
        <v>1.5769808000000001</v>
      </c>
    </row>
    <row r="1917" spans="1:27" x14ac:dyDescent="0.35">
      <c r="A1917" s="27" t="s">
        <v>3174</v>
      </c>
      <c r="B1917" s="27" t="s">
        <v>3175</v>
      </c>
      <c r="C1917" s="42">
        <f t="shared" si="29"/>
        <v>111.0657808</v>
      </c>
      <c r="D1917" s="33" t="s">
        <v>2058</v>
      </c>
      <c r="E1917" s="33">
        <v>1</v>
      </c>
      <c r="F1917" s="33" t="s">
        <v>2059</v>
      </c>
      <c r="G1917" s="14">
        <f>(VLOOKUP(D1917,'[1]BOM Info General'!$A:$L,12,0))*E1917</f>
        <v>35.56</v>
      </c>
      <c r="H1917" s="34" t="s">
        <v>39</v>
      </c>
      <c r="I1917" s="34">
        <v>1</v>
      </c>
      <c r="J1917" s="34" t="s">
        <v>46</v>
      </c>
      <c r="K1917" s="15">
        <f>(VLOOKUP(H1917,'[1]BOM Info General'!$A:$L,12,0))*I1917</f>
        <v>24.42</v>
      </c>
      <c r="L1917" s="35" t="s">
        <v>527</v>
      </c>
      <c r="M1917" s="35">
        <v>1</v>
      </c>
      <c r="N1917" s="35" t="s">
        <v>79</v>
      </c>
      <c r="O1917" s="9">
        <f>(VLOOKUP(L1917,'[1]Simulation pricing per sub assy'!$D:$E,2,0))*M1917</f>
        <v>42.308799999999991</v>
      </c>
      <c r="P1917" s="36" t="s">
        <v>50</v>
      </c>
      <c r="Q1917" s="36">
        <v>2</v>
      </c>
      <c r="R1917" s="36" t="s">
        <v>16</v>
      </c>
      <c r="S1917" s="40">
        <f>(VLOOKUP(P1917,'[1]BOM Info General'!$A:$L,12,0))*Q1917</f>
        <v>5.3</v>
      </c>
      <c r="T1917" s="37" t="s">
        <v>12</v>
      </c>
      <c r="U1917" s="37">
        <v>1</v>
      </c>
      <c r="V1917" s="37" t="s">
        <v>13</v>
      </c>
      <c r="W1917" s="17">
        <f>(VLOOKUP(T1917,'[1]Simulation pricing per sub assy'!$D:$E,2,0))*U1917</f>
        <v>1.9</v>
      </c>
      <c r="X1917" s="32" t="s">
        <v>615</v>
      </c>
      <c r="Y1917" s="38">
        <v>1</v>
      </c>
      <c r="Z1917" s="38" t="s">
        <v>9</v>
      </c>
      <c r="AA1917" s="18">
        <f>(VLOOKUP(X1917,'[1]Simulation pricing per sub assy'!$D:$E,2,0))*Y1917</f>
        <v>1.5769808000000001</v>
      </c>
    </row>
    <row r="1918" spans="1:27" x14ac:dyDescent="0.35">
      <c r="A1918" s="27" t="s">
        <v>3176</v>
      </c>
      <c r="B1918" s="27" t="s">
        <v>3177</v>
      </c>
      <c r="C1918" s="42">
        <f t="shared" si="29"/>
        <v>112.0457808</v>
      </c>
      <c r="D1918" s="33" t="s">
        <v>2058</v>
      </c>
      <c r="E1918" s="33">
        <v>1</v>
      </c>
      <c r="F1918" s="33" t="s">
        <v>2059</v>
      </c>
      <c r="G1918" s="14">
        <f>(VLOOKUP(D1918,'[1]BOM Info General'!$A:$L,12,0))*E1918</f>
        <v>35.56</v>
      </c>
      <c r="H1918" s="34" t="s">
        <v>39</v>
      </c>
      <c r="I1918" s="34">
        <v>1</v>
      </c>
      <c r="J1918" s="34" t="s">
        <v>46</v>
      </c>
      <c r="K1918" s="15">
        <f>(VLOOKUP(H1918,'[1]BOM Info General'!$A:$L,12,0))*I1918</f>
        <v>24.42</v>
      </c>
      <c r="L1918" s="35" t="s">
        <v>76</v>
      </c>
      <c r="M1918" s="35">
        <v>1</v>
      </c>
      <c r="N1918" s="35" t="s">
        <v>73</v>
      </c>
      <c r="O1918" s="9">
        <f>(VLOOKUP(L1918,'[1]Simulation pricing per sub assy'!$D:$E,2,0))*M1918</f>
        <v>43.288799999999988</v>
      </c>
      <c r="P1918" s="36" t="s">
        <v>50</v>
      </c>
      <c r="Q1918" s="36">
        <v>2</v>
      </c>
      <c r="R1918" s="36" t="s">
        <v>16</v>
      </c>
      <c r="S1918" s="40">
        <f>(VLOOKUP(P1918,'[1]BOM Info General'!$A:$L,12,0))*Q1918</f>
        <v>5.3</v>
      </c>
      <c r="T1918" s="37" t="s">
        <v>12</v>
      </c>
      <c r="U1918" s="37">
        <v>1</v>
      </c>
      <c r="V1918" s="37" t="s">
        <v>13</v>
      </c>
      <c r="W1918" s="17">
        <f>(VLOOKUP(T1918,'[1]Simulation pricing per sub assy'!$D:$E,2,0))*U1918</f>
        <v>1.9</v>
      </c>
      <c r="X1918" s="32" t="s">
        <v>615</v>
      </c>
      <c r="Y1918" s="38">
        <v>1</v>
      </c>
      <c r="Z1918" s="38" t="s">
        <v>9</v>
      </c>
      <c r="AA1918" s="18">
        <f>(VLOOKUP(X1918,'[1]Simulation pricing per sub assy'!$D:$E,2,0))*Y1918</f>
        <v>1.5769808000000001</v>
      </c>
    </row>
    <row r="1919" spans="1:27" x14ac:dyDescent="0.35">
      <c r="A1919" s="27" t="s">
        <v>3178</v>
      </c>
      <c r="B1919" s="27" t="s">
        <v>3179</v>
      </c>
      <c r="C1919" s="42">
        <f t="shared" si="29"/>
        <v>112.6257808</v>
      </c>
      <c r="D1919" s="33" t="s">
        <v>2058</v>
      </c>
      <c r="E1919" s="33">
        <v>1</v>
      </c>
      <c r="F1919" s="33" t="s">
        <v>2059</v>
      </c>
      <c r="G1919" s="14">
        <f>(VLOOKUP(D1919,'[1]BOM Info General'!$A:$L,12,0))*E1919</f>
        <v>35.56</v>
      </c>
      <c r="H1919" s="34" t="s">
        <v>39</v>
      </c>
      <c r="I1919" s="34">
        <v>1</v>
      </c>
      <c r="J1919" s="34" t="s">
        <v>46</v>
      </c>
      <c r="K1919" s="15">
        <f>(VLOOKUP(H1919,'[1]BOM Info General'!$A:$L,12,0))*I1919</f>
        <v>24.42</v>
      </c>
      <c r="L1919" s="35" t="s">
        <v>72</v>
      </c>
      <c r="M1919" s="35">
        <v>1</v>
      </c>
      <c r="N1919" s="35" t="s">
        <v>71</v>
      </c>
      <c r="O1919" s="9">
        <f>(VLOOKUP(L1919,'[1]Simulation pricing per sub assy'!$D:$E,2,0))*M1919</f>
        <v>43.868799999999993</v>
      </c>
      <c r="P1919" s="36" t="s">
        <v>50</v>
      </c>
      <c r="Q1919" s="36">
        <v>2</v>
      </c>
      <c r="R1919" s="36" t="s">
        <v>16</v>
      </c>
      <c r="S1919" s="40">
        <f>(VLOOKUP(P1919,'[1]BOM Info General'!$A:$L,12,0))*Q1919</f>
        <v>5.3</v>
      </c>
      <c r="T1919" s="37" t="s">
        <v>12</v>
      </c>
      <c r="U1919" s="37">
        <v>1</v>
      </c>
      <c r="V1919" s="37" t="s">
        <v>13</v>
      </c>
      <c r="W1919" s="17">
        <f>(VLOOKUP(T1919,'[1]Simulation pricing per sub assy'!$D:$E,2,0))*U1919</f>
        <v>1.9</v>
      </c>
      <c r="X1919" s="32" t="s">
        <v>615</v>
      </c>
      <c r="Y1919" s="38">
        <v>1</v>
      </c>
      <c r="Z1919" s="38" t="s">
        <v>9</v>
      </c>
      <c r="AA1919" s="18">
        <f>(VLOOKUP(X1919,'[1]Simulation pricing per sub assy'!$D:$E,2,0))*Y1919</f>
        <v>1.5769808000000001</v>
      </c>
    </row>
    <row r="1920" spans="1:27" x14ac:dyDescent="0.35">
      <c r="A1920" s="27" t="s">
        <v>3180</v>
      </c>
      <c r="B1920" s="27" t="s">
        <v>3181</v>
      </c>
      <c r="C1920" s="42">
        <f t="shared" si="29"/>
        <v>112.3657808</v>
      </c>
      <c r="D1920" s="33" t="s">
        <v>2058</v>
      </c>
      <c r="E1920" s="33">
        <v>1</v>
      </c>
      <c r="F1920" s="33" t="s">
        <v>2059</v>
      </c>
      <c r="G1920" s="14">
        <f>(VLOOKUP(D1920,'[1]BOM Info General'!$A:$L,12,0))*E1920</f>
        <v>35.56</v>
      </c>
      <c r="H1920" s="34" t="s">
        <v>39</v>
      </c>
      <c r="I1920" s="34">
        <v>1</v>
      </c>
      <c r="J1920" s="34" t="s">
        <v>46</v>
      </c>
      <c r="K1920" s="15">
        <f>(VLOOKUP(H1920,'[1]BOM Info General'!$A:$L,12,0))*I1920</f>
        <v>24.42</v>
      </c>
      <c r="L1920" s="35" t="s">
        <v>78</v>
      </c>
      <c r="M1920" s="35">
        <v>1</v>
      </c>
      <c r="N1920" s="35" t="s">
        <v>75</v>
      </c>
      <c r="O1920" s="9">
        <f>(VLOOKUP(L1920,'[1]Simulation pricing per sub assy'!$D:$E,2,0))*M1920</f>
        <v>43.608799999999988</v>
      </c>
      <c r="P1920" s="36" t="s">
        <v>50</v>
      </c>
      <c r="Q1920" s="36">
        <v>2</v>
      </c>
      <c r="R1920" s="36" t="s">
        <v>16</v>
      </c>
      <c r="S1920" s="40">
        <f>(VLOOKUP(P1920,'[1]BOM Info General'!$A:$L,12,0))*Q1920</f>
        <v>5.3</v>
      </c>
      <c r="T1920" s="37" t="s">
        <v>12</v>
      </c>
      <c r="U1920" s="37">
        <v>1</v>
      </c>
      <c r="V1920" s="37" t="s">
        <v>13</v>
      </c>
      <c r="W1920" s="17">
        <f>(VLOOKUP(T1920,'[1]Simulation pricing per sub assy'!$D:$E,2,0))*U1920</f>
        <v>1.9</v>
      </c>
      <c r="X1920" s="32" t="s">
        <v>615</v>
      </c>
      <c r="Y1920" s="38">
        <v>1</v>
      </c>
      <c r="Z1920" s="38" t="s">
        <v>9</v>
      </c>
      <c r="AA1920" s="18">
        <f>(VLOOKUP(X1920,'[1]Simulation pricing per sub assy'!$D:$E,2,0))*Y1920</f>
        <v>1.5769808000000001</v>
      </c>
    </row>
    <row r="1921" spans="1:27" x14ac:dyDescent="0.35">
      <c r="A1921" s="27" t="s">
        <v>3182</v>
      </c>
      <c r="B1921" s="27" t="s">
        <v>3183</v>
      </c>
      <c r="C1921" s="42">
        <f t="shared" si="29"/>
        <v>120.0357808</v>
      </c>
      <c r="D1921" s="33" t="s">
        <v>2058</v>
      </c>
      <c r="E1921" s="33">
        <v>1</v>
      </c>
      <c r="F1921" s="33" t="s">
        <v>2059</v>
      </c>
      <c r="G1921" s="14">
        <f>(VLOOKUP(D1921,'[1]BOM Info General'!$A:$L,12,0))*E1921</f>
        <v>35.56</v>
      </c>
      <c r="H1921" s="34" t="s">
        <v>39</v>
      </c>
      <c r="I1921" s="34">
        <v>1</v>
      </c>
      <c r="J1921" s="34" t="s">
        <v>46</v>
      </c>
      <c r="K1921" s="15">
        <f>(VLOOKUP(H1921,'[1]BOM Info General'!$A:$L,12,0))*I1921</f>
        <v>24.42</v>
      </c>
      <c r="L1921" s="35" t="s">
        <v>74</v>
      </c>
      <c r="M1921" s="35">
        <v>1</v>
      </c>
      <c r="N1921" s="35" t="s">
        <v>77</v>
      </c>
      <c r="O1921" s="9">
        <f>(VLOOKUP(L1921,'[1]Simulation pricing per sub assy'!$D:$E,2,0))*M1921</f>
        <v>51.27879999999999</v>
      </c>
      <c r="P1921" s="36" t="s">
        <v>50</v>
      </c>
      <c r="Q1921" s="36">
        <v>2</v>
      </c>
      <c r="R1921" s="36" t="s">
        <v>16</v>
      </c>
      <c r="S1921" s="40">
        <f>(VLOOKUP(P1921,'[1]BOM Info General'!$A:$L,12,0))*Q1921</f>
        <v>5.3</v>
      </c>
      <c r="T1921" s="37" t="s">
        <v>12</v>
      </c>
      <c r="U1921" s="37">
        <v>1</v>
      </c>
      <c r="V1921" s="37" t="s">
        <v>13</v>
      </c>
      <c r="W1921" s="17">
        <f>(VLOOKUP(T1921,'[1]Simulation pricing per sub assy'!$D:$E,2,0))*U1921</f>
        <v>1.9</v>
      </c>
      <c r="X1921" s="32" t="s">
        <v>615</v>
      </c>
      <c r="Y1921" s="38">
        <v>1</v>
      </c>
      <c r="Z1921" s="38" t="s">
        <v>9</v>
      </c>
      <c r="AA1921" s="18">
        <f>(VLOOKUP(X1921,'[1]Simulation pricing per sub assy'!$D:$E,2,0))*Y1921</f>
        <v>1.5769808000000001</v>
      </c>
    </row>
    <row r="1922" spans="1:27" x14ac:dyDescent="0.35">
      <c r="A1922" s="27" t="s">
        <v>3184</v>
      </c>
      <c r="B1922" s="27" t="s">
        <v>3185</v>
      </c>
      <c r="C1922" s="42">
        <f t="shared" si="29"/>
        <v>111.0657808</v>
      </c>
      <c r="D1922" s="33" t="s">
        <v>2058</v>
      </c>
      <c r="E1922" s="33">
        <v>1</v>
      </c>
      <c r="F1922" s="33" t="s">
        <v>2059</v>
      </c>
      <c r="G1922" s="14">
        <f>(VLOOKUP(D1922,'[1]BOM Info General'!$A:$L,12,0))*E1922</f>
        <v>35.56</v>
      </c>
      <c r="H1922" s="34" t="s">
        <v>39</v>
      </c>
      <c r="I1922" s="34">
        <v>1</v>
      </c>
      <c r="J1922" s="34" t="s">
        <v>46</v>
      </c>
      <c r="K1922" s="15">
        <f>(VLOOKUP(H1922,'[1]BOM Info General'!$A:$L,12,0))*I1922</f>
        <v>24.42</v>
      </c>
      <c r="L1922" s="35" t="s">
        <v>527</v>
      </c>
      <c r="M1922" s="35">
        <v>1</v>
      </c>
      <c r="N1922" s="35" t="s">
        <v>79</v>
      </c>
      <c r="O1922" s="9">
        <f>(VLOOKUP(L1922,'[1]Simulation pricing per sub assy'!$D:$E,2,0))*M1922</f>
        <v>42.308799999999991</v>
      </c>
      <c r="P1922" s="36" t="s">
        <v>50</v>
      </c>
      <c r="Q1922" s="36">
        <v>2</v>
      </c>
      <c r="R1922" s="36" t="s">
        <v>16</v>
      </c>
      <c r="S1922" s="40">
        <f>(VLOOKUP(P1922,'[1]BOM Info General'!$A:$L,12,0))*Q1922</f>
        <v>5.3</v>
      </c>
      <c r="T1922" s="37" t="s">
        <v>14</v>
      </c>
      <c r="U1922" s="37">
        <v>1</v>
      </c>
      <c r="V1922" s="37" t="s">
        <v>15</v>
      </c>
      <c r="W1922" s="17">
        <f>(VLOOKUP(T1922,'[1]Simulation pricing per sub assy'!$D:$E,2,0))*U1922</f>
        <v>1.9</v>
      </c>
      <c r="X1922" s="32" t="s">
        <v>615</v>
      </c>
      <c r="Y1922" s="38">
        <v>1</v>
      </c>
      <c r="Z1922" s="38" t="s">
        <v>9</v>
      </c>
      <c r="AA1922" s="18">
        <f>(VLOOKUP(X1922,'[1]Simulation pricing per sub assy'!$D:$E,2,0))*Y1922</f>
        <v>1.5769808000000001</v>
      </c>
    </row>
    <row r="1923" spans="1:27" x14ac:dyDescent="0.35">
      <c r="A1923" s="27" t="s">
        <v>3186</v>
      </c>
      <c r="B1923" s="27" t="s">
        <v>3187</v>
      </c>
      <c r="C1923" s="42">
        <f t="shared" ref="C1923:C1986" si="30">SUM(G1923+K1923+O1923+S1923+W1923+AA1923)</f>
        <v>112.0457808</v>
      </c>
      <c r="D1923" s="33" t="s">
        <v>2058</v>
      </c>
      <c r="E1923" s="33">
        <v>1</v>
      </c>
      <c r="F1923" s="33" t="s">
        <v>2059</v>
      </c>
      <c r="G1923" s="14">
        <f>(VLOOKUP(D1923,'[1]BOM Info General'!$A:$L,12,0))*E1923</f>
        <v>35.56</v>
      </c>
      <c r="H1923" s="34" t="s">
        <v>39</v>
      </c>
      <c r="I1923" s="34">
        <v>1</v>
      </c>
      <c r="J1923" s="34" t="s">
        <v>46</v>
      </c>
      <c r="K1923" s="15">
        <f>(VLOOKUP(H1923,'[1]BOM Info General'!$A:$L,12,0))*I1923</f>
        <v>24.42</v>
      </c>
      <c r="L1923" s="35" t="s">
        <v>76</v>
      </c>
      <c r="M1923" s="35">
        <v>1</v>
      </c>
      <c r="N1923" s="35" t="s">
        <v>73</v>
      </c>
      <c r="O1923" s="9">
        <f>(VLOOKUP(L1923,'[1]Simulation pricing per sub assy'!$D:$E,2,0))*M1923</f>
        <v>43.288799999999988</v>
      </c>
      <c r="P1923" s="36" t="s">
        <v>50</v>
      </c>
      <c r="Q1923" s="36">
        <v>2</v>
      </c>
      <c r="R1923" s="36" t="s">
        <v>16</v>
      </c>
      <c r="S1923" s="40">
        <f>(VLOOKUP(P1923,'[1]BOM Info General'!$A:$L,12,0))*Q1923</f>
        <v>5.3</v>
      </c>
      <c r="T1923" s="37" t="s">
        <v>14</v>
      </c>
      <c r="U1923" s="37">
        <v>1</v>
      </c>
      <c r="V1923" s="37" t="s">
        <v>15</v>
      </c>
      <c r="W1923" s="17">
        <f>(VLOOKUP(T1923,'[1]Simulation pricing per sub assy'!$D:$E,2,0))*U1923</f>
        <v>1.9</v>
      </c>
      <c r="X1923" s="32" t="s">
        <v>615</v>
      </c>
      <c r="Y1923" s="38">
        <v>1</v>
      </c>
      <c r="Z1923" s="38" t="s">
        <v>9</v>
      </c>
      <c r="AA1923" s="18">
        <f>(VLOOKUP(X1923,'[1]Simulation pricing per sub assy'!$D:$E,2,0))*Y1923</f>
        <v>1.5769808000000001</v>
      </c>
    </row>
    <row r="1924" spans="1:27" x14ac:dyDescent="0.35">
      <c r="A1924" s="27" t="s">
        <v>3188</v>
      </c>
      <c r="B1924" s="27" t="s">
        <v>3189</v>
      </c>
      <c r="C1924" s="42">
        <f t="shared" si="30"/>
        <v>112.6257808</v>
      </c>
      <c r="D1924" s="33" t="s">
        <v>2058</v>
      </c>
      <c r="E1924" s="33">
        <v>1</v>
      </c>
      <c r="F1924" s="33" t="s">
        <v>2059</v>
      </c>
      <c r="G1924" s="14">
        <f>(VLOOKUP(D1924,'[1]BOM Info General'!$A:$L,12,0))*E1924</f>
        <v>35.56</v>
      </c>
      <c r="H1924" s="34" t="s">
        <v>39</v>
      </c>
      <c r="I1924" s="34">
        <v>1</v>
      </c>
      <c r="J1924" s="34" t="s">
        <v>46</v>
      </c>
      <c r="K1924" s="15">
        <f>(VLOOKUP(H1924,'[1]BOM Info General'!$A:$L,12,0))*I1924</f>
        <v>24.42</v>
      </c>
      <c r="L1924" s="35" t="s">
        <v>72</v>
      </c>
      <c r="M1924" s="35">
        <v>1</v>
      </c>
      <c r="N1924" s="35" t="s">
        <v>71</v>
      </c>
      <c r="O1924" s="9">
        <f>(VLOOKUP(L1924,'[1]Simulation pricing per sub assy'!$D:$E,2,0))*M1924</f>
        <v>43.868799999999993</v>
      </c>
      <c r="P1924" s="36" t="s">
        <v>50</v>
      </c>
      <c r="Q1924" s="36">
        <v>2</v>
      </c>
      <c r="R1924" s="36" t="s">
        <v>16</v>
      </c>
      <c r="S1924" s="40">
        <f>(VLOOKUP(P1924,'[1]BOM Info General'!$A:$L,12,0))*Q1924</f>
        <v>5.3</v>
      </c>
      <c r="T1924" s="37" t="s">
        <v>14</v>
      </c>
      <c r="U1924" s="37">
        <v>1</v>
      </c>
      <c r="V1924" s="37" t="s">
        <v>15</v>
      </c>
      <c r="W1924" s="17">
        <f>(VLOOKUP(T1924,'[1]Simulation pricing per sub assy'!$D:$E,2,0))*U1924</f>
        <v>1.9</v>
      </c>
      <c r="X1924" s="32" t="s">
        <v>615</v>
      </c>
      <c r="Y1924" s="38">
        <v>1</v>
      </c>
      <c r="Z1924" s="38" t="s">
        <v>9</v>
      </c>
      <c r="AA1924" s="18">
        <f>(VLOOKUP(X1924,'[1]Simulation pricing per sub assy'!$D:$E,2,0))*Y1924</f>
        <v>1.5769808000000001</v>
      </c>
    </row>
    <row r="1925" spans="1:27" x14ac:dyDescent="0.35">
      <c r="A1925" s="27" t="s">
        <v>3190</v>
      </c>
      <c r="B1925" s="27" t="s">
        <v>3191</v>
      </c>
      <c r="C1925" s="42">
        <f t="shared" si="30"/>
        <v>112.3657808</v>
      </c>
      <c r="D1925" s="33" t="s">
        <v>2058</v>
      </c>
      <c r="E1925" s="33">
        <v>1</v>
      </c>
      <c r="F1925" s="33" t="s">
        <v>2059</v>
      </c>
      <c r="G1925" s="14">
        <f>(VLOOKUP(D1925,'[1]BOM Info General'!$A:$L,12,0))*E1925</f>
        <v>35.56</v>
      </c>
      <c r="H1925" s="34" t="s">
        <v>39</v>
      </c>
      <c r="I1925" s="34">
        <v>1</v>
      </c>
      <c r="J1925" s="34" t="s">
        <v>46</v>
      </c>
      <c r="K1925" s="15">
        <f>(VLOOKUP(H1925,'[1]BOM Info General'!$A:$L,12,0))*I1925</f>
        <v>24.42</v>
      </c>
      <c r="L1925" s="35" t="s">
        <v>78</v>
      </c>
      <c r="M1925" s="35">
        <v>1</v>
      </c>
      <c r="N1925" s="35" t="s">
        <v>75</v>
      </c>
      <c r="O1925" s="9">
        <f>(VLOOKUP(L1925,'[1]Simulation pricing per sub assy'!$D:$E,2,0))*M1925</f>
        <v>43.608799999999988</v>
      </c>
      <c r="P1925" s="36" t="s">
        <v>50</v>
      </c>
      <c r="Q1925" s="36">
        <v>2</v>
      </c>
      <c r="R1925" s="36" t="s">
        <v>16</v>
      </c>
      <c r="S1925" s="40">
        <f>(VLOOKUP(P1925,'[1]BOM Info General'!$A:$L,12,0))*Q1925</f>
        <v>5.3</v>
      </c>
      <c r="T1925" s="37" t="s">
        <v>14</v>
      </c>
      <c r="U1925" s="37">
        <v>1</v>
      </c>
      <c r="V1925" s="37" t="s">
        <v>15</v>
      </c>
      <c r="W1925" s="17">
        <f>(VLOOKUP(T1925,'[1]Simulation pricing per sub assy'!$D:$E,2,0))*U1925</f>
        <v>1.9</v>
      </c>
      <c r="X1925" s="32" t="s">
        <v>615</v>
      </c>
      <c r="Y1925" s="38">
        <v>1</v>
      </c>
      <c r="Z1925" s="38" t="s">
        <v>9</v>
      </c>
      <c r="AA1925" s="18">
        <f>(VLOOKUP(X1925,'[1]Simulation pricing per sub assy'!$D:$E,2,0))*Y1925</f>
        <v>1.5769808000000001</v>
      </c>
    </row>
    <row r="1926" spans="1:27" x14ac:dyDescent="0.35">
      <c r="A1926" s="27" t="s">
        <v>3192</v>
      </c>
      <c r="B1926" s="27" t="s">
        <v>3193</v>
      </c>
      <c r="C1926" s="42">
        <f t="shared" si="30"/>
        <v>120.0357808</v>
      </c>
      <c r="D1926" s="33" t="s">
        <v>2058</v>
      </c>
      <c r="E1926" s="33">
        <v>1</v>
      </c>
      <c r="F1926" s="33" t="s">
        <v>2059</v>
      </c>
      <c r="G1926" s="14">
        <f>(VLOOKUP(D1926,'[1]BOM Info General'!$A:$L,12,0))*E1926</f>
        <v>35.56</v>
      </c>
      <c r="H1926" s="34" t="s">
        <v>39</v>
      </c>
      <c r="I1926" s="34">
        <v>1</v>
      </c>
      <c r="J1926" s="34" t="s">
        <v>46</v>
      </c>
      <c r="K1926" s="15">
        <f>(VLOOKUP(H1926,'[1]BOM Info General'!$A:$L,12,0))*I1926</f>
        <v>24.42</v>
      </c>
      <c r="L1926" s="35" t="s">
        <v>74</v>
      </c>
      <c r="M1926" s="35">
        <v>1</v>
      </c>
      <c r="N1926" s="35" t="s">
        <v>77</v>
      </c>
      <c r="O1926" s="9">
        <f>(VLOOKUP(L1926,'[1]Simulation pricing per sub assy'!$D:$E,2,0))*M1926</f>
        <v>51.27879999999999</v>
      </c>
      <c r="P1926" s="36" t="s">
        <v>50</v>
      </c>
      <c r="Q1926" s="36">
        <v>2</v>
      </c>
      <c r="R1926" s="36" t="s">
        <v>16</v>
      </c>
      <c r="S1926" s="40">
        <f>(VLOOKUP(P1926,'[1]BOM Info General'!$A:$L,12,0))*Q1926</f>
        <v>5.3</v>
      </c>
      <c r="T1926" s="37" t="s">
        <v>14</v>
      </c>
      <c r="U1926" s="37">
        <v>1</v>
      </c>
      <c r="V1926" s="37" t="s">
        <v>15</v>
      </c>
      <c r="W1926" s="17">
        <f>(VLOOKUP(T1926,'[1]Simulation pricing per sub assy'!$D:$E,2,0))*U1926</f>
        <v>1.9</v>
      </c>
      <c r="X1926" s="32" t="s">
        <v>615</v>
      </c>
      <c r="Y1926" s="38">
        <v>1</v>
      </c>
      <c r="Z1926" s="38" t="s">
        <v>9</v>
      </c>
      <c r="AA1926" s="18">
        <f>(VLOOKUP(X1926,'[1]Simulation pricing per sub assy'!$D:$E,2,0))*Y1926</f>
        <v>1.5769808000000001</v>
      </c>
    </row>
    <row r="1927" spans="1:27" x14ac:dyDescent="0.35">
      <c r="A1927" s="27" t="s">
        <v>3194</v>
      </c>
      <c r="B1927" s="27" t="s">
        <v>3195</v>
      </c>
      <c r="C1927" s="42">
        <f t="shared" si="30"/>
        <v>111.21578079999999</v>
      </c>
      <c r="D1927" s="33" t="s">
        <v>2058</v>
      </c>
      <c r="E1927" s="33">
        <v>1</v>
      </c>
      <c r="F1927" s="33" t="s">
        <v>2059</v>
      </c>
      <c r="G1927" s="14">
        <f>(VLOOKUP(D1927,'[1]BOM Info General'!$A:$L,12,0))*E1927</f>
        <v>35.56</v>
      </c>
      <c r="H1927" s="34" t="s">
        <v>39</v>
      </c>
      <c r="I1927" s="34">
        <v>1</v>
      </c>
      <c r="J1927" s="34" t="s">
        <v>46</v>
      </c>
      <c r="K1927" s="15">
        <f>(VLOOKUP(H1927,'[1]BOM Info General'!$A:$L,12,0))*I1927</f>
        <v>24.42</v>
      </c>
      <c r="L1927" s="35" t="s">
        <v>527</v>
      </c>
      <c r="M1927" s="35">
        <v>1</v>
      </c>
      <c r="N1927" s="35" t="s">
        <v>79</v>
      </c>
      <c r="O1927" s="9">
        <f>(VLOOKUP(L1927,'[1]Simulation pricing per sub assy'!$D:$E,2,0))*M1927</f>
        <v>42.308799999999991</v>
      </c>
      <c r="P1927" s="36" t="s">
        <v>51</v>
      </c>
      <c r="Q1927" s="36">
        <v>2</v>
      </c>
      <c r="R1927" s="36" t="s">
        <v>17</v>
      </c>
      <c r="S1927" s="40">
        <f>(VLOOKUP(P1927,'[1]BOM Info General'!$A:$L,12,0))*Q1927</f>
        <v>5.3</v>
      </c>
      <c r="T1927" s="37" t="s">
        <v>10</v>
      </c>
      <c r="U1927" s="37">
        <v>1</v>
      </c>
      <c r="V1927" s="37" t="s">
        <v>11</v>
      </c>
      <c r="W1927" s="17">
        <f>(VLOOKUP(T1927,'[1]Simulation pricing per sub assy'!$D:$E,2,0))*U1927</f>
        <v>2.0499999999999998</v>
      </c>
      <c r="X1927" s="32" t="s">
        <v>615</v>
      </c>
      <c r="Y1927" s="38">
        <v>1</v>
      </c>
      <c r="Z1927" s="38" t="s">
        <v>9</v>
      </c>
      <c r="AA1927" s="18">
        <f>(VLOOKUP(X1927,'[1]Simulation pricing per sub assy'!$D:$E,2,0))*Y1927</f>
        <v>1.5769808000000001</v>
      </c>
    </row>
    <row r="1928" spans="1:27" x14ac:dyDescent="0.35">
      <c r="A1928" s="27" t="s">
        <v>3196</v>
      </c>
      <c r="B1928" s="27" t="s">
        <v>3197</v>
      </c>
      <c r="C1928" s="42">
        <f t="shared" si="30"/>
        <v>112.19578079999999</v>
      </c>
      <c r="D1928" s="33" t="s">
        <v>2058</v>
      </c>
      <c r="E1928" s="33">
        <v>1</v>
      </c>
      <c r="F1928" s="33" t="s">
        <v>2059</v>
      </c>
      <c r="G1928" s="14">
        <f>(VLOOKUP(D1928,'[1]BOM Info General'!$A:$L,12,0))*E1928</f>
        <v>35.56</v>
      </c>
      <c r="H1928" s="34" t="s">
        <v>39</v>
      </c>
      <c r="I1928" s="34">
        <v>1</v>
      </c>
      <c r="J1928" s="34" t="s">
        <v>46</v>
      </c>
      <c r="K1928" s="15">
        <f>(VLOOKUP(H1928,'[1]BOM Info General'!$A:$L,12,0))*I1928</f>
        <v>24.42</v>
      </c>
      <c r="L1928" s="35" t="s">
        <v>76</v>
      </c>
      <c r="M1928" s="35">
        <v>1</v>
      </c>
      <c r="N1928" s="35" t="s">
        <v>73</v>
      </c>
      <c r="O1928" s="9">
        <f>(VLOOKUP(L1928,'[1]Simulation pricing per sub assy'!$D:$E,2,0))*M1928</f>
        <v>43.288799999999988</v>
      </c>
      <c r="P1928" s="36" t="s">
        <v>51</v>
      </c>
      <c r="Q1928" s="36">
        <v>2</v>
      </c>
      <c r="R1928" s="36" t="s">
        <v>17</v>
      </c>
      <c r="S1928" s="40">
        <f>(VLOOKUP(P1928,'[1]BOM Info General'!$A:$L,12,0))*Q1928</f>
        <v>5.3</v>
      </c>
      <c r="T1928" s="37" t="s">
        <v>10</v>
      </c>
      <c r="U1928" s="37">
        <v>1</v>
      </c>
      <c r="V1928" s="37" t="s">
        <v>11</v>
      </c>
      <c r="W1928" s="17">
        <f>(VLOOKUP(T1928,'[1]Simulation pricing per sub assy'!$D:$E,2,0))*U1928</f>
        <v>2.0499999999999998</v>
      </c>
      <c r="X1928" s="32" t="s">
        <v>615</v>
      </c>
      <c r="Y1928" s="38">
        <v>1</v>
      </c>
      <c r="Z1928" s="38" t="s">
        <v>9</v>
      </c>
      <c r="AA1928" s="18">
        <f>(VLOOKUP(X1928,'[1]Simulation pricing per sub assy'!$D:$E,2,0))*Y1928</f>
        <v>1.5769808000000001</v>
      </c>
    </row>
    <row r="1929" spans="1:27" x14ac:dyDescent="0.35">
      <c r="A1929" s="27" t="s">
        <v>3198</v>
      </c>
      <c r="B1929" s="27" t="s">
        <v>3199</v>
      </c>
      <c r="C1929" s="42">
        <f t="shared" si="30"/>
        <v>112.77578079999999</v>
      </c>
      <c r="D1929" s="33" t="s">
        <v>2058</v>
      </c>
      <c r="E1929" s="33">
        <v>1</v>
      </c>
      <c r="F1929" s="33" t="s">
        <v>2059</v>
      </c>
      <c r="G1929" s="14">
        <f>(VLOOKUP(D1929,'[1]BOM Info General'!$A:$L,12,0))*E1929</f>
        <v>35.56</v>
      </c>
      <c r="H1929" s="34" t="s">
        <v>39</v>
      </c>
      <c r="I1929" s="34">
        <v>1</v>
      </c>
      <c r="J1929" s="34" t="s">
        <v>46</v>
      </c>
      <c r="K1929" s="15">
        <f>(VLOOKUP(H1929,'[1]BOM Info General'!$A:$L,12,0))*I1929</f>
        <v>24.42</v>
      </c>
      <c r="L1929" s="35" t="s">
        <v>72</v>
      </c>
      <c r="M1929" s="35">
        <v>1</v>
      </c>
      <c r="N1929" s="35" t="s">
        <v>71</v>
      </c>
      <c r="O1929" s="9">
        <f>(VLOOKUP(L1929,'[1]Simulation pricing per sub assy'!$D:$E,2,0))*M1929</f>
        <v>43.868799999999993</v>
      </c>
      <c r="P1929" s="36" t="s">
        <v>51</v>
      </c>
      <c r="Q1929" s="36">
        <v>2</v>
      </c>
      <c r="R1929" s="36" t="s">
        <v>17</v>
      </c>
      <c r="S1929" s="40">
        <f>(VLOOKUP(P1929,'[1]BOM Info General'!$A:$L,12,0))*Q1929</f>
        <v>5.3</v>
      </c>
      <c r="T1929" s="37" t="s">
        <v>10</v>
      </c>
      <c r="U1929" s="37">
        <v>1</v>
      </c>
      <c r="V1929" s="37" t="s">
        <v>11</v>
      </c>
      <c r="W1929" s="17">
        <f>(VLOOKUP(T1929,'[1]Simulation pricing per sub assy'!$D:$E,2,0))*U1929</f>
        <v>2.0499999999999998</v>
      </c>
      <c r="X1929" s="32" t="s">
        <v>615</v>
      </c>
      <c r="Y1929" s="38">
        <v>1</v>
      </c>
      <c r="Z1929" s="38" t="s">
        <v>9</v>
      </c>
      <c r="AA1929" s="18">
        <f>(VLOOKUP(X1929,'[1]Simulation pricing per sub assy'!$D:$E,2,0))*Y1929</f>
        <v>1.5769808000000001</v>
      </c>
    </row>
    <row r="1930" spans="1:27" x14ac:dyDescent="0.35">
      <c r="A1930" s="27" t="s">
        <v>3200</v>
      </c>
      <c r="B1930" s="27" t="s">
        <v>3201</v>
      </c>
      <c r="C1930" s="42">
        <f t="shared" si="30"/>
        <v>112.51578079999999</v>
      </c>
      <c r="D1930" s="33" t="s">
        <v>2058</v>
      </c>
      <c r="E1930" s="33">
        <v>1</v>
      </c>
      <c r="F1930" s="33" t="s">
        <v>2059</v>
      </c>
      <c r="G1930" s="14">
        <f>(VLOOKUP(D1930,'[1]BOM Info General'!$A:$L,12,0))*E1930</f>
        <v>35.56</v>
      </c>
      <c r="H1930" s="34" t="s">
        <v>39</v>
      </c>
      <c r="I1930" s="34">
        <v>1</v>
      </c>
      <c r="J1930" s="34" t="s">
        <v>46</v>
      </c>
      <c r="K1930" s="15">
        <f>(VLOOKUP(H1930,'[1]BOM Info General'!$A:$L,12,0))*I1930</f>
        <v>24.42</v>
      </c>
      <c r="L1930" s="35" t="s">
        <v>78</v>
      </c>
      <c r="M1930" s="35">
        <v>1</v>
      </c>
      <c r="N1930" s="35" t="s">
        <v>75</v>
      </c>
      <c r="O1930" s="9">
        <f>(VLOOKUP(L1930,'[1]Simulation pricing per sub assy'!$D:$E,2,0))*M1930</f>
        <v>43.608799999999988</v>
      </c>
      <c r="P1930" s="36" t="s">
        <v>51</v>
      </c>
      <c r="Q1930" s="36">
        <v>2</v>
      </c>
      <c r="R1930" s="36" t="s">
        <v>17</v>
      </c>
      <c r="S1930" s="40">
        <f>(VLOOKUP(P1930,'[1]BOM Info General'!$A:$L,12,0))*Q1930</f>
        <v>5.3</v>
      </c>
      <c r="T1930" s="37" t="s">
        <v>10</v>
      </c>
      <c r="U1930" s="37">
        <v>1</v>
      </c>
      <c r="V1930" s="37" t="s">
        <v>11</v>
      </c>
      <c r="W1930" s="17">
        <f>(VLOOKUP(T1930,'[1]Simulation pricing per sub assy'!$D:$E,2,0))*U1930</f>
        <v>2.0499999999999998</v>
      </c>
      <c r="X1930" s="32" t="s">
        <v>615</v>
      </c>
      <c r="Y1930" s="38">
        <v>1</v>
      </c>
      <c r="Z1930" s="38" t="s">
        <v>9</v>
      </c>
      <c r="AA1930" s="18">
        <f>(VLOOKUP(X1930,'[1]Simulation pricing per sub assy'!$D:$E,2,0))*Y1930</f>
        <v>1.5769808000000001</v>
      </c>
    </row>
    <row r="1931" spans="1:27" x14ac:dyDescent="0.35">
      <c r="A1931" s="27" t="s">
        <v>3202</v>
      </c>
      <c r="B1931" s="27" t="s">
        <v>3203</v>
      </c>
      <c r="C1931" s="42">
        <f t="shared" si="30"/>
        <v>120.18578079999999</v>
      </c>
      <c r="D1931" s="33" t="s">
        <v>2058</v>
      </c>
      <c r="E1931" s="33">
        <v>1</v>
      </c>
      <c r="F1931" s="33" t="s">
        <v>2059</v>
      </c>
      <c r="G1931" s="14">
        <f>(VLOOKUP(D1931,'[1]BOM Info General'!$A:$L,12,0))*E1931</f>
        <v>35.56</v>
      </c>
      <c r="H1931" s="34" t="s">
        <v>39</v>
      </c>
      <c r="I1931" s="34">
        <v>1</v>
      </c>
      <c r="J1931" s="34" t="s">
        <v>46</v>
      </c>
      <c r="K1931" s="15">
        <f>(VLOOKUP(H1931,'[1]BOM Info General'!$A:$L,12,0))*I1931</f>
        <v>24.42</v>
      </c>
      <c r="L1931" s="35" t="s">
        <v>74</v>
      </c>
      <c r="M1931" s="35">
        <v>1</v>
      </c>
      <c r="N1931" s="35" t="s">
        <v>77</v>
      </c>
      <c r="O1931" s="9">
        <f>(VLOOKUP(L1931,'[1]Simulation pricing per sub assy'!$D:$E,2,0))*M1931</f>
        <v>51.27879999999999</v>
      </c>
      <c r="P1931" s="36" t="s">
        <v>51</v>
      </c>
      <c r="Q1931" s="36">
        <v>2</v>
      </c>
      <c r="R1931" s="36" t="s">
        <v>17</v>
      </c>
      <c r="S1931" s="40">
        <f>(VLOOKUP(P1931,'[1]BOM Info General'!$A:$L,12,0))*Q1931</f>
        <v>5.3</v>
      </c>
      <c r="T1931" s="37" t="s">
        <v>10</v>
      </c>
      <c r="U1931" s="37">
        <v>1</v>
      </c>
      <c r="V1931" s="37" t="s">
        <v>11</v>
      </c>
      <c r="W1931" s="17">
        <f>(VLOOKUP(T1931,'[1]Simulation pricing per sub assy'!$D:$E,2,0))*U1931</f>
        <v>2.0499999999999998</v>
      </c>
      <c r="X1931" s="32" t="s">
        <v>615</v>
      </c>
      <c r="Y1931" s="38">
        <v>1</v>
      </c>
      <c r="Z1931" s="38" t="s">
        <v>9</v>
      </c>
      <c r="AA1931" s="18">
        <f>(VLOOKUP(X1931,'[1]Simulation pricing per sub assy'!$D:$E,2,0))*Y1931</f>
        <v>1.5769808000000001</v>
      </c>
    </row>
    <row r="1932" spans="1:27" x14ac:dyDescent="0.35">
      <c r="A1932" s="27" t="s">
        <v>3204</v>
      </c>
      <c r="B1932" s="27" t="s">
        <v>3205</v>
      </c>
      <c r="C1932" s="42">
        <f t="shared" si="30"/>
        <v>111.0657808</v>
      </c>
      <c r="D1932" s="33" t="s">
        <v>2058</v>
      </c>
      <c r="E1932" s="33">
        <v>1</v>
      </c>
      <c r="F1932" s="33" t="s">
        <v>2059</v>
      </c>
      <c r="G1932" s="14">
        <f>(VLOOKUP(D1932,'[1]BOM Info General'!$A:$L,12,0))*E1932</f>
        <v>35.56</v>
      </c>
      <c r="H1932" s="34" t="s">
        <v>39</v>
      </c>
      <c r="I1932" s="34">
        <v>1</v>
      </c>
      <c r="J1932" s="34" t="s">
        <v>46</v>
      </c>
      <c r="K1932" s="15">
        <f>(VLOOKUP(H1932,'[1]BOM Info General'!$A:$L,12,0))*I1932</f>
        <v>24.42</v>
      </c>
      <c r="L1932" s="35" t="s">
        <v>527</v>
      </c>
      <c r="M1932" s="35">
        <v>1</v>
      </c>
      <c r="N1932" s="35" t="s">
        <v>79</v>
      </c>
      <c r="O1932" s="9">
        <f>(VLOOKUP(L1932,'[1]Simulation pricing per sub assy'!$D:$E,2,0))*M1932</f>
        <v>42.308799999999991</v>
      </c>
      <c r="P1932" s="36" t="s">
        <v>51</v>
      </c>
      <c r="Q1932" s="36">
        <v>2</v>
      </c>
      <c r="R1932" s="36" t="s">
        <v>17</v>
      </c>
      <c r="S1932" s="40">
        <f>(VLOOKUP(P1932,'[1]BOM Info General'!$A:$L,12,0))*Q1932</f>
        <v>5.3</v>
      </c>
      <c r="T1932" s="37" t="s">
        <v>12</v>
      </c>
      <c r="U1932" s="37">
        <v>1</v>
      </c>
      <c r="V1932" s="37" t="s">
        <v>13</v>
      </c>
      <c r="W1932" s="17">
        <f>(VLOOKUP(T1932,'[1]Simulation pricing per sub assy'!$D:$E,2,0))*U1932</f>
        <v>1.9</v>
      </c>
      <c r="X1932" s="32" t="s">
        <v>615</v>
      </c>
      <c r="Y1932" s="38">
        <v>1</v>
      </c>
      <c r="Z1932" s="38" t="s">
        <v>9</v>
      </c>
      <c r="AA1932" s="18">
        <f>(VLOOKUP(X1932,'[1]Simulation pricing per sub assy'!$D:$E,2,0))*Y1932</f>
        <v>1.5769808000000001</v>
      </c>
    </row>
    <row r="1933" spans="1:27" x14ac:dyDescent="0.35">
      <c r="A1933" s="27" t="s">
        <v>3206</v>
      </c>
      <c r="B1933" s="27" t="s">
        <v>3207</v>
      </c>
      <c r="C1933" s="42">
        <f t="shared" si="30"/>
        <v>112.0457808</v>
      </c>
      <c r="D1933" s="33" t="s">
        <v>2058</v>
      </c>
      <c r="E1933" s="33">
        <v>1</v>
      </c>
      <c r="F1933" s="33" t="s">
        <v>2059</v>
      </c>
      <c r="G1933" s="14">
        <f>(VLOOKUP(D1933,'[1]BOM Info General'!$A:$L,12,0))*E1933</f>
        <v>35.56</v>
      </c>
      <c r="H1933" s="34" t="s">
        <v>39</v>
      </c>
      <c r="I1933" s="34">
        <v>1</v>
      </c>
      <c r="J1933" s="34" t="s">
        <v>46</v>
      </c>
      <c r="K1933" s="15">
        <f>(VLOOKUP(H1933,'[1]BOM Info General'!$A:$L,12,0))*I1933</f>
        <v>24.42</v>
      </c>
      <c r="L1933" s="35" t="s">
        <v>76</v>
      </c>
      <c r="M1933" s="35">
        <v>1</v>
      </c>
      <c r="N1933" s="35" t="s">
        <v>73</v>
      </c>
      <c r="O1933" s="9">
        <f>(VLOOKUP(L1933,'[1]Simulation pricing per sub assy'!$D:$E,2,0))*M1933</f>
        <v>43.288799999999988</v>
      </c>
      <c r="P1933" s="36" t="s">
        <v>51</v>
      </c>
      <c r="Q1933" s="36">
        <v>2</v>
      </c>
      <c r="R1933" s="36" t="s">
        <v>17</v>
      </c>
      <c r="S1933" s="40">
        <f>(VLOOKUP(P1933,'[1]BOM Info General'!$A:$L,12,0))*Q1933</f>
        <v>5.3</v>
      </c>
      <c r="T1933" s="37" t="s">
        <v>12</v>
      </c>
      <c r="U1933" s="37">
        <v>1</v>
      </c>
      <c r="V1933" s="37" t="s">
        <v>13</v>
      </c>
      <c r="W1933" s="17">
        <f>(VLOOKUP(T1933,'[1]Simulation pricing per sub assy'!$D:$E,2,0))*U1933</f>
        <v>1.9</v>
      </c>
      <c r="X1933" s="32" t="s">
        <v>615</v>
      </c>
      <c r="Y1933" s="38">
        <v>1</v>
      </c>
      <c r="Z1933" s="38" t="s">
        <v>9</v>
      </c>
      <c r="AA1933" s="18">
        <f>(VLOOKUP(X1933,'[1]Simulation pricing per sub assy'!$D:$E,2,0))*Y1933</f>
        <v>1.5769808000000001</v>
      </c>
    </row>
    <row r="1934" spans="1:27" x14ac:dyDescent="0.35">
      <c r="A1934" s="27" t="s">
        <v>3208</v>
      </c>
      <c r="B1934" s="27" t="s">
        <v>3209</v>
      </c>
      <c r="C1934" s="42">
        <f t="shared" si="30"/>
        <v>112.6257808</v>
      </c>
      <c r="D1934" s="33" t="s">
        <v>2058</v>
      </c>
      <c r="E1934" s="33">
        <v>1</v>
      </c>
      <c r="F1934" s="33" t="s">
        <v>2059</v>
      </c>
      <c r="G1934" s="14">
        <f>(VLOOKUP(D1934,'[1]BOM Info General'!$A:$L,12,0))*E1934</f>
        <v>35.56</v>
      </c>
      <c r="H1934" s="34" t="s">
        <v>39</v>
      </c>
      <c r="I1934" s="34">
        <v>1</v>
      </c>
      <c r="J1934" s="34" t="s">
        <v>46</v>
      </c>
      <c r="K1934" s="15">
        <f>(VLOOKUP(H1934,'[1]BOM Info General'!$A:$L,12,0))*I1934</f>
        <v>24.42</v>
      </c>
      <c r="L1934" s="35" t="s">
        <v>72</v>
      </c>
      <c r="M1934" s="35">
        <v>1</v>
      </c>
      <c r="N1934" s="35" t="s">
        <v>71</v>
      </c>
      <c r="O1934" s="9">
        <f>(VLOOKUP(L1934,'[1]Simulation pricing per sub assy'!$D:$E,2,0))*M1934</f>
        <v>43.868799999999993</v>
      </c>
      <c r="P1934" s="36" t="s">
        <v>51</v>
      </c>
      <c r="Q1934" s="36">
        <v>2</v>
      </c>
      <c r="R1934" s="36" t="s">
        <v>17</v>
      </c>
      <c r="S1934" s="40">
        <f>(VLOOKUP(P1934,'[1]BOM Info General'!$A:$L,12,0))*Q1934</f>
        <v>5.3</v>
      </c>
      <c r="T1934" s="37" t="s">
        <v>12</v>
      </c>
      <c r="U1934" s="37">
        <v>1</v>
      </c>
      <c r="V1934" s="37" t="s">
        <v>13</v>
      </c>
      <c r="W1934" s="17">
        <f>(VLOOKUP(T1934,'[1]Simulation pricing per sub assy'!$D:$E,2,0))*U1934</f>
        <v>1.9</v>
      </c>
      <c r="X1934" s="32" t="s">
        <v>615</v>
      </c>
      <c r="Y1934" s="38">
        <v>1</v>
      </c>
      <c r="Z1934" s="38" t="s">
        <v>9</v>
      </c>
      <c r="AA1934" s="18">
        <f>(VLOOKUP(X1934,'[1]Simulation pricing per sub assy'!$D:$E,2,0))*Y1934</f>
        <v>1.5769808000000001</v>
      </c>
    </row>
    <row r="1935" spans="1:27" x14ac:dyDescent="0.35">
      <c r="A1935" s="27" t="s">
        <v>3210</v>
      </c>
      <c r="B1935" s="27" t="s">
        <v>3211</v>
      </c>
      <c r="C1935" s="42">
        <f t="shared" si="30"/>
        <v>112.3657808</v>
      </c>
      <c r="D1935" s="33" t="s">
        <v>2058</v>
      </c>
      <c r="E1935" s="33">
        <v>1</v>
      </c>
      <c r="F1935" s="33" t="s">
        <v>2059</v>
      </c>
      <c r="G1935" s="14">
        <f>(VLOOKUP(D1935,'[1]BOM Info General'!$A:$L,12,0))*E1935</f>
        <v>35.56</v>
      </c>
      <c r="H1935" s="34" t="s">
        <v>39</v>
      </c>
      <c r="I1935" s="34">
        <v>1</v>
      </c>
      <c r="J1935" s="34" t="s">
        <v>46</v>
      </c>
      <c r="K1935" s="15">
        <f>(VLOOKUP(H1935,'[1]BOM Info General'!$A:$L,12,0))*I1935</f>
        <v>24.42</v>
      </c>
      <c r="L1935" s="35" t="s">
        <v>78</v>
      </c>
      <c r="M1935" s="35">
        <v>1</v>
      </c>
      <c r="N1935" s="35" t="s">
        <v>75</v>
      </c>
      <c r="O1935" s="9">
        <f>(VLOOKUP(L1935,'[1]Simulation pricing per sub assy'!$D:$E,2,0))*M1935</f>
        <v>43.608799999999988</v>
      </c>
      <c r="P1935" s="36" t="s">
        <v>51</v>
      </c>
      <c r="Q1935" s="36">
        <v>2</v>
      </c>
      <c r="R1935" s="36" t="s">
        <v>17</v>
      </c>
      <c r="S1935" s="40">
        <f>(VLOOKUP(P1935,'[1]BOM Info General'!$A:$L,12,0))*Q1935</f>
        <v>5.3</v>
      </c>
      <c r="T1935" s="37" t="s">
        <v>12</v>
      </c>
      <c r="U1935" s="37">
        <v>1</v>
      </c>
      <c r="V1935" s="37" t="s">
        <v>13</v>
      </c>
      <c r="W1935" s="17">
        <f>(VLOOKUP(T1935,'[1]Simulation pricing per sub assy'!$D:$E,2,0))*U1935</f>
        <v>1.9</v>
      </c>
      <c r="X1935" s="32" t="s">
        <v>615</v>
      </c>
      <c r="Y1935" s="38">
        <v>1</v>
      </c>
      <c r="Z1935" s="38" t="s">
        <v>9</v>
      </c>
      <c r="AA1935" s="18">
        <f>(VLOOKUP(X1935,'[1]Simulation pricing per sub assy'!$D:$E,2,0))*Y1935</f>
        <v>1.5769808000000001</v>
      </c>
    </row>
    <row r="1936" spans="1:27" x14ac:dyDescent="0.35">
      <c r="A1936" s="27" t="s">
        <v>3212</v>
      </c>
      <c r="B1936" s="27" t="s">
        <v>3213</v>
      </c>
      <c r="C1936" s="42">
        <f t="shared" si="30"/>
        <v>120.0357808</v>
      </c>
      <c r="D1936" s="33" t="s">
        <v>2058</v>
      </c>
      <c r="E1936" s="33">
        <v>1</v>
      </c>
      <c r="F1936" s="33" t="s">
        <v>2059</v>
      </c>
      <c r="G1936" s="14">
        <f>(VLOOKUP(D1936,'[1]BOM Info General'!$A:$L,12,0))*E1936</f>
        <v>35.56</v>
      </c>
      <c r="H1936" s="34" t="s">
        <v>39</v>
      </c>
      <c r="I1936" s="34">
        <v>1</v>
      </c>
      <c r="J1936" s="34" t="s">
        <v>46</v>
      </c>
      <c r="K1936" s="15">
        <f>(VLOOKUP(H1936,'[1]BOM Info General'!$A:$L,12,0))*I1936</f>
        <v>24.42</v>
      </c>
      <c r="L1936" s="35" t="s">
        <v>74</v>
      </c>
      <c r="M1936" s="35">
        <v>1</v>
      </c>
      <c r="N1936" s="35" t="s">
        <v>77</v>
      </c>
      <c r="O1936" s="9">
        <f>(VLOOKUP(L1936,'[1]Simulation pricing per sub assy'!$D:$E,2,0))*M1936</f>
        <v>51.27879999999999</v>
      </c>
      <c r="P1936" s="36" t="s">
        <v>51</v>
      </c>
      <c r="Q1936" s="36">
        <v>2</v>
      </c>
      <c r="R1936" s="36" t="s">
        <v>17</v>
      </c>
      <c r="S1936" s="40">
        <f>(VLOOKUP(P1936,'[1]BOM Info General'!$A:$L,12,0))*Q1936</f>
        <v>5.3</v>
      </c>
      <c r="T1936" s="37" t="s">
        <v>12</v>
      </c>
      <c r="U1936" s="37">
        <v>1</v>
      </c>
      <c r="V1936" s="37" t="s">
        <v>13</v>
      </c>
      <c r="W1936" s="17">
        <f>(VLOOKUP(T1936,'[1]Simulation pricing per sub assy'!$D:$E,2,0))*U1936</f>
        <v>1.9</v>
      </c>
      <c r="X1936" s="32" t="s">
        <v>615</v>
      </c>
      <c r="Y1936" s="38">
        <v>1</v>
      </c>
      <c r="Z1936" s="38" t="s">
        <v>9</v>
      </c>
      <c r="AA1936" s="18">
        <f>(VLOOKUP(X1936,'[1]Simulation pricing per sub assy'!$D:$E,2,0))*Y1936</f>
        <v>1.5769808000000001</v>
      </c>
    </row>
    <row r="1937" spans="1:27" x14ac:dyDescent="0.35">
      <c r="A1937" s="27" t="s">
        <v>3214</v>
      </c>
      <c r="B1937" s="27" t="s">
        <v>3215</v>
      </c>
      <c r="C1937" s="42">
        <f t="shared" si="30"/>
        <v>111.0657808</v>
      </c>
      <c r="D1937" s="33" t="s">
        <v>2058</v>
      </c>
      <c r="E1937" s="33">
        <v>1</v>
      </c>
      <c r="F1937" s="33" t="s">
        <v>2059</v>
      </c>
      <c r="G1937" s="14">
        <f>(VLOOKUP(D1937,'[1]BOM Info General'!$A:$L,12,0))*E1937</f>
        <v>35.56</v>
      </c>
      <c r="H1937" s="34" t="s">
        <v>39</v>
      </c>
      <c r="I1937" s="34">
        <v>1</v>
      </c>
      <c r="J1937" s="34" t="s">
        <v>46</v>
      </c>
      <c r="K1937" s="15">
        <f>(VLOOKUP(H1937,'[1]BOM Info General'!$A:$L,12,0))*I1937</f>
        <v>24.42</v>
      </c>
      <c r="L1937" s="35" t="s">
        <v>527</v>
      </c>
      <c r="M1937" s="35">
        <v>1</v>
      </c>
      <c r="N1937" s="35" t="s">
        <v>79</v>
      </c>
      <c r="O1937" s="9">
        <f>(VLOOKUP(L1937,'[1]Simulation pricing per sub assy'!$D:$E,2,0))*M1937</f>
        <v>42.308799999999991</v>
      </c>
      <c r="P1937" s="36" t="s">
        <v>51</v>
      </c>
      <c r="Q1937" s="36">
        <v>2</v>
      </c>
      <c r="R1937" s="36" t="s">
        <v>17</v>
      </c>
      <c r="S1937" s="40">
        <f>(VLOOKUP(P1937,'[1]BOM Info General'!$A:$L,12,0))*Q1937</f>
        <v>5.3</v>
      </c>
      <c r="T1937" s="37" t="s">
        <v>14</v>
      </c>
      <c r="U1937" s="37">
        <v>1</v>
      </c>
      <c r="V1937" s="37" t="s">
        <v>15</v>
      </c>
      <c r="W1937" s="17">
        <f>(VLOOKUP(T1937,'[1]Simulation pricing per sub assy'!$D:$E,2,0))*U1937</f>
        <v>1.9</v>
      </c>
      <c r="X1937" s="32" t="s">
        <v>615</v>
      </c>
      <c r="Y1937" s="38">
        <v>1</v>
      </c>
      <c r="Z1937" s="38" t="s">
        <v>9</v>
      </c>
      <c r="AA1937" s="18">
        <f>(VLOOKUP(X1937,'[1]Simulation pricing per sub assy'!$D:$E,2,0))*Y1937</f>
        <v>1.5769808000000001</v>
      </c>
    </row>
    <row r="1938" spans="1:27" x14ac:dyDescent="0.35">
      <c r="A1938" s="27" t="s">
        <v>3216</v>
      </c>
      <c r="B1938" s="27" t="s">
        <v>3217</v>
      </c>
      <c r="C1938" s="42">
        <f t="shared" si="30"/>
        <v>112.0457808</v>
      </c>
      <c r="D1938" s="33" t="s">
        <v>2058</v>
      </c>
      <c r="E1938" s="33">
        <v>1</v>
      </c>
      <c r="F1938" s="33" t="s">
        <v>2059</v>
      </c>
      <c r="G1938" s="14">
        <f>(VLOOKUP(D1938,'[1]BOM Info General'!$A:$L,12,0))*E1938</f>
        <v>35.56</v>
      </c>
      <c r="H1938" s="34" t="s">
        <v>39</v>
      </c>
      <c r="I1938" s="34">
        <v>1</v>
      </c>
      <c r="J1938" s="34" t="s">
        <v>46</v>
      </c>
      <c r="K1938" s="15">
        <f>(VLOOKUP(H1938,'[1]BOM Info General'!$A:$L,12,0))*I1938</f>
        <v>24.42</v>
      </c>
      <c r="L1938" s="35" t="s">
        <v>76</v>
      </c>
      <c r="M1938" s="35">
        <v>1</v>
      </c>
      <c r="N1938" s="35" t="s">
        <v>73</v>
      </c>
      <c r="O1938" s="9">
        <f>(VLOOKUP(L1938,'[1]Simulation pricing per sub assy'!$D:$E,2,0))*M1938</f>
        <v>43.288799999999988</v>
      </c>
      <c r="P1938" s="36" t="s">
        <v>51</v>
      </c>
      <c r="Q1938" s="36">
        <v>2</v>
      </c>
      <c r="R1938" s="36" t="s">
        <v>17</v>
      </c>
      <c r="S1938" s="40">
        <f>(VLOOKUP(P1938,'[1]BOM Info General'!$A:$L,12,0))*Q1938</f>
        <v>5.3</v>
      </c>
      <c r="T1938" s="37" t="s">
        <v>14</v>
      </c>
      <c r="U1938" s="37">
        <v>1</v>
      </c>
      <c r="V1938" s="37" t="s">
        <v>15</v>
      </c>
      <c r="W1938" s="17">
        <f>(VLOOKUP(T1938,'[1]Simulation pricing per sub assy'!$D:$E,2,0))*U1938</f>
        <v>1.9</v>
      </c>
      <c r="X1938" s="32" t="s">
        <v>615</v>
      </c>
      <c r="Y1938" s="38">
        <v>1</v>
      </c>
      <c r="Z1938" s="38" t="s">
        <v>9</v>
      </c>
      <c r="AA1938" s="18">
        <f>(VLOOKUP(X1938,'[1]Simulation pricing per sub assy'!$D:$E,2,0))*Y1938</f>
        <v>1.5769808000000001</v>
      </c>
    </row>
    <row r="1939" spans="1:27" x14ac:dyDescent="0.35">
      <c r="A1939" s="27" t="s">
        <v>3218</v>
      </c>
      <c r="B1939" s="27" t="s">
        <v>3219</v>
      </c>
      <c r="C1939" s="42">
        <f t="shared" si="30"/>
        <v>112.6257808</v>
      </c>
      <c r="D1939" s="33" t="s">
        <v>2058</v>
      </c>
      <c r="E1939" s="33">
        <v>1</v>
      </c>
      <c r="F1939" s="33" t="s">
        <v>2059</v>
      </c>
      <c r="G1939" s="14">
        <f>(VLOOKUP(D1939,'[1]BOM Info General'!$A:$L,12,0))*E1939</f>
        <v>35.56</v>
      </c>
      <c r="H1939" s="34" t="s">
        <v>39</v>
      </c>
      <c r="I1939" s="34">
        <v>1</v>
      </c>
      <c r="J1939" s="34" t="s">
        <v>46</v>
      </c>
      <c r="K1939" s="15">
        <f>(VLOOKUP(H1939,'[1]BOM Info General'!$A:$L,12,0))*I1939</f>
        <v>24.42</v>
      </c>
      <c r="L1939" s="35" t="s">
        <v>72</v>
      </c>
      <c r="M1939" s="35">
        <v>1</v>
      </c>
      <c r="N1939" s="35" t="s">
        <v>71</v>
      </c>
      <c r="O1939" s="9">
        <f>(VLOOKUP(L1939,'[1]Simulation pricing per sub assy'!$D:$E,2,0))*M1939</f>
        <v>43.868799999999993</v>
      </c>
      <c r="P1939" s="36" t="s">
        <v>51</v>
      </c>
      <c r="Q1939" s="36">
        <v>2</v>
      </c>
      <c r="R1939" s="36" t="s">
        <v>17</v>
      </c>
      <c r="S1939" s="40">
        <f>(VLOOKUP(P1939,'[1]BOM Info General'!$A:$L,12,0))*Q1939</f>
        <v>5.3</v>
      </c>
      <c r="T1939" s="37" t="s">
        <v>14</v>
      </c>
      <c r="U1939" s="37">
        <v>1</v>
      </c>
      <c r="V1939" s="37" t="s">
        <v>15</v>
      </c>
      <c r="W1939" s="17">
        <f>(VLOOKUP(T1939,'[1]Simulation pricing per sub assy'!$D:$E,2,0))*U1939</f>
        <v>1.9</v>
      </c>
      <c r="X1939" s="32" t="s">
        <v>615</v>
      </c>
      <c r="Y1939" s="38">
        <v>1</v>
      </c>
      <c r="Z1939" s="38" t="s">
        <v>9</v>
      </c>
      <c r="AA1939" s="18">
        <f>(VLOOKUP(X1939,'[1]Simulation pricing per sub assy'!$D:$E,2,0))*Y1939</f>
        <v>1.5769808000000001</v>
      </c>
    </row>
    <row r="1940" spans="1:27" x14ac:dyDescent="0.35">
      <c r="A1940" s="27" t="s">
        <v>3220</v>
      </c>
      <c r="B1940" s="27" t="s">
        <v>3221</v>
      </c>
      <c r="C1940" s="42">
        <f t="shared" si="30"/>
        <v>112.3657808</v>
      </c>
      <c r="D1940" s="33" t="s">
        <v>2058</v>
      </c>
      <c r="E1940" s="33">
        <v>1</v>
      </c>
      <c r="F1940" s="33" t="s">
        <v>2059</v>
      </c>
      <c r="G1940" s="14">
        <f>(VLOOKUP(D1940,'[1]BOM Info General'!$A:$L,12,0))*E1940</f>
        <v>35.56</v>
      </c>
      <c r="H1940" s="34" t="s">
        <v>39</v>
      </c>
      <c r="I1940" s="34">
        <v>1</v>
      </c>
      <c r="J1940" s="34" t="s">
        <v>46</v>
      </c>
      <c r="K1940" s="15">
        <f>(VLOOKUP(H1940,'[1]BOM Info General'!$A:$L,12,0))*I1940</f>
        <v>24.42</v>
      </c>
      <c r="L1940" s="35" t="s">
        <v>78</v>
      </c>
      <c r="M1940" s="35">
        <v>1</v>
      </c>
      <c r="N1940" s="35" t="s">
        <v>75</v>
      </c>
      <c r="O1940" s="9">
        <f>(VLOOKUP(L1940,'[1]Simulation pricing per sub assy'!$D:$E,2,0))*M1940</f>
        <v>43.608799999999988</v>
      </c>
      <c r="P1940" s="36" t="s">
        <v>51</v>
      </c>
      <c r="Q1940" s="36">
        <v>2</v>
      </c>
      <c r="R1940" s="36" t="s">
        <v>17</v>
      </c>
      <c r="S1940" s="40">
        <f>(VLOOKUP(P1940,'[1]BOM Info General'!$A:$L,12,0))*Q1940</f>
        <v>5.3</v>
      </c>
      <c r="T1940" s="37" t="s">
        <v>14</v>
      </c>
      <c r="U1940" s="37">
        <v>1</v>
      </c>
      <c r="V1940" s="37" t="s">
        <v>15</v>
      </c>
      <c r="W1940" s="17">
        <f>(VLOOKUP(T1940,'[1]Simulation pricing per sub assy'!$D:$E,2,0))*U1940</f>
        <v>1.9</v>
      </c>
      <c r="X1940" s="32" t="s">
        <v>615</v>
      </c>
      <c r="Y1940" s="38">
        <v>1</v>
      </c>
      <c r="Z1940" s="38" t="s">
        <v>9</v>
      </c>
      <c r="AA1940" s="18">
        <f>(VLOOKUP(X1940,'[1]Simulation pricing per sub assy'!$D:$E,2,0))*Y1940</f>
        <v>1.5769808000000001</v>
      </c>
    </row>
    <row r="1941" spans="1:27" x14ac:dyDescent="0.35">
      <c r="A1941" s="27" t="s">
        <v>3222</v>
      </c>
      <c r="B1941" s="27" t="s">
        <v>3223</v>
      </c>
      <c r="C1941" s="42">
        <f t="shared" si="30"/>
        <v>120.0357808</v>
      </c>
      <c r="D1941" s="33" t="s">
        <v>2058</v>
      </c>
      <c r="E1941" s="33">
        <v>1</v>
      </c>
      <c r="F1941" s="33" t="s">
        <v>2059</v>
      </c>
      <c r="G1941" s="14">
        <f>(VLOOKUP(D1941,'[1]BOM Info General'!$A:$L,12,0))*E1941</f>
        <v>35.56</v>
      </c>
      <c r="H1941" s="34" t="s">
        <v>39</v>
      </c>
      <c r="I1941" s="34">
        <v>1</v>
      </c>
      <c r="J1941" s="34" t="s">
        <v>46</v>
      </c>
      <c r="K1941" s="15">
        <f>(VLOOKUP(H1941,'[1]BOM Info General'!$A:$L,12,0))*I1941</f>
        <v>24.42</v>
      </c>
      <c r="L1941" s="35" t="s">
        <v>74</v>
      </c>
      <c r="M1941" s="35">
        <v>1</v>
      </c>
      <c r="N1941" s="35" t="s">
        <v>77</v>
      </c>
      <c r="O1941" s="9">
        <f>(VLOOKUP(L1941,'[1]Simulation pricing per sub assy'!$D:$E,2,0))*M1941</f>
        <v>51.27879999999999</v>
      </c>
      <c r="P1941" s="36" t="s">
        <v>51</v>
      </c>
      <c r="Q1941" s="36">
        <v>2</v>
      </c>
      <c r="R1941" s="36" t="s">
        <v>17</v>
      </c>
      <c r="S1941" s="40">
        <f>(VLOOKUP(P1941,'[1]BOM Info General'!$A:$L,12,0))*Q1941</f>
        <v>5.3</v>
      </c>
      <c r="T1941" s="37" t="s">
        <v>14</v>
      </c>
      <c r="U1941" s="37">
        <v>1</v>
      </c>
      <c r="V1941" s="37" t="s">
        <v>15</v>
      </c>
      <c r="W1941" s="17">
        <f>(VLOOKUP(T1941,'[1]Simulation pricing per sub assy'!$D:$E,2,0))*U1941</f>
        <v>1.9</v>
      </c>
      <c r="X1941" s="32" t="s">
        <v>615</v>
      </c>
      <c r="Y1941" s="38">
        <v>1</v>
      </c>
      <c r="Z1941" s="38" t="s">
        <v>9</v>
      </c>
      <c r="AA1941" s="18">
        <f>(VLOOKUP(X1941,'[1]Simulation pricing per sub assy'!$D:$E,2,0))*Y1941</f>
        <v>1.5769808000000001</v>
      </c>
    </row>
    <row r="1942" spans="1:27" x14ac:dyDescent="0.35">
      <c r="A1942" s="27" t="s">
        <v>3224</v>
      </c>
      <c r="B1942" s="27" t="s">
        <v>3225</v>
      </c>
      <c r="C1942" s="42">
        <f t="shared" si="30"/>
        <v>111.21578079999999</v>
      </c>
      <c r="D1942" s="33" t="s">
        <v>2058</v>
      </c>
      <c r="E1942" s="33">
        <v>1</v>
      </c>
      <c r="F1942" s="33" t="s">
        <v>2059</v>
      </c>
      <c r="G1942" s="14">
        <f>(VLOOKUP(D1942,'[1]BOM Info General'!$A:$L,12,0))*E1942</f>
        <v>35.56</v>
      </c>
      <c r="H1942" s="34" t="s">
        <v>39</v>
      </c>
      <c r="I1942" s="34">
        <v>1</v>
      </c>
      <c r="J1942" s="34" t="s">
        <v>46</v>
      </c>
      <c r="K1942" s="15">
        <f>(VLOOKUP(H1942,'[1]BOM Info General'!$A:$L,12,0))*I1942</f>
        <v>24.42</v>
      </c>
      <c r="L1942" s="35" t="s">
        <v>527</v>
      </c>
      <c r="M1942" s="35">
        <v>1</v>
      </c>
      <c r="N1942" s="35" t="s">
        <v>79</v>
      </c>
      <c r="O1942" s="9">
        <f>(VLOOKUP(L1942,'[1]Simulation pricing per sub assy'!$D:$E,2,0))*M1942</f>
        <v>42.308799999999991</v>
      </c>
      <c r="P1942" s="36" t="s">
        <v>52</v>
      </c>
      <c r="Q1942" s="36">
        <v>2</v>
      </c>
      <c r="R1942" s="36" t="s">
        <v>18</v>
      </c>
      <c r="S1942" s="40">
        <f>(VLOOKUP(P1942,'[1]BOM Info General'!$A:$L,12,0))*Q1942</f>
        <v>5.3</v>
      </c>
      <c r="T1942" s="37" t="s">
        <v>10</v>
      </c>
      <c r="U1942" s="37">
        <v>1</v>
      </c>
      <c r="V1942" s="37" t="s">
        <v>11</v>
      </c>
      <c r="W1942" s="17">
        <f>(VLOOKUP(T1942,'[1]Simulation pricing per sub assy'!$D:$E,2,0))*U1942</f>
        <v>2.0499999999999998</v>
      </c>
      <c r="X1942" s="32" t="s">
        <v>615</v>
      </c>
      <c r="Y1942" s="38">
        <v>1</v>
      </c>
      <c r="Z1942" s="38" t="s">
        <v>9</v>
      </c>
      <c r="AA1942" s="18">
        <f>(VLOOKUP(X1942,'[1]Simulation pricing per sub assy'!$D:$E,2,0))*Y1942</f>
        <v>1.5769808000000001</v>
      </c>
    </row>
    <row r="1943" spans="1:27" x14ac:dyDescent="0.35">
      <c r="A1943" s="27" t="s">
        <v>3226</v>
      </c>
      <c r="B1943" s="27" t="s">
        <v>3227</v>
      </c>
      <c r="C1943" s="42">
        <f t="shared" si="30"/>
        <v>112.19578079999999</v>
      </c>
      <c r="D1943" s="33" t="s">
        <v>2058</v>
      </c>
      <c r="E1943" s="33">
        <v>1</v>
      </c>
      <c r="F1943" s="33" t="s">
        <v>2059</v>
      </c>
      <c r="G1943" s="14">
        <f>(VLOOKUP(D1943,'[1]BOM Info General'!$A:$L,12,0))*E1943</f>
        <v>35.56</v>
      </c>
      <c r="H1943" s="34" t="s">
        <v>39</v>
      </c>
      <c r="I1943" s="34">
        <v>1</v>
      </c>
      <c r="J1943" s="34" t="s">
        <v>46</v>
      </c>
      <c r="K1943" s="15">
        <f>(VLOOKUP(H1943,'[1]BOM Info General'!$A:$L,12,0))*I1943</f>
        <v>24.42</v>
      </c>
      <c r="L1943" s="35" t="s">
        <v>76</v>
      </c>
      <c r="M1943" s="35">
        <v>1</v>
      </c>
      <c r="N1943" s="35" t="s">
        <v>73</v>
      </c>
      <c r="O1943" s="9">
        <f>(VLOOKUP(L1943,'[1]Simulation pricing per sub assy'!$D:$E,2,0))*M1943</f>
        <v>43.288799999999988</v>
      </c>
      <c r="P1943" s="36" t="s">
        <v>52</v>
      </c>
      <c r="Q1943" s="36">
        <v>2</v>
      </c>
      <c r="R1943" s="36" t="s">
        <v>18</v>
      </c>
      <c r="S1943" s="40">
        <f>(VLOOKUP(P1943,'[1]BOM Info General'!$A:$L,12,0))*Q1943</f>
        <v>5.3</v>
      </c>
      <c r="T1943" s="37" t="s">
        <v>10</v>
      </c>
      <c r="U1943" s="37">
        <v>1</v>
      </c>
      <c r="V1943" s="37" t="s">
        <v>11</v>
      </c>
      <c r="W1943" s="17">
        <f>(VLOOKUP(T1943,'[1]Simulation pricing per sub assy'!$D:$E,2,0))*U1943</f>
        <v>2.0499999999999998</v>
      </c>
      <c r="X1943" s="32" t="s">
        <v>615</v>
      </c>
      <c r="Y1943" s="38">
        <v>1</v>
      </c>
      <c r="Z1943" s="38" t="s">
        <v>9</v>
      </c>
      <c r="AA1943" s="18">
        <f>(VLOOKUP(X1943,'[1]Simulation pricing per sub assy'!$D:$E,2,0))*Y1943</f>
        <v>1.5769808000000001</v>
      </c>
    </row>
    <row r="1944" spans="1:27" x14ac:dyDescent="0.35">
      <c r="A1944" s="27" t="s">
        <v>3228</v>
      </c>
      <c r="B1944" s="27" t="s">
        <v>3229</v>
      </c>
      <c r="C1944" s="42">
        <f t="shared" si="30"/>
        <v>112.77578079999999</v>
      </c>
      <c r="D1944" s="33" t="s">
        <v>2058</v>
      </c>
      <c r="E1944" s="33">
        <v>1</v>
      </c>
      <c r="F1944" s="33" t="s">
        <v>2059</v>
      </c>
      <c r="G1944" s="14">
        <f>(VLOOKUP(D1944,'[1]BOM Info General'!$A:$L,12,0))*E1944</f>
        <v>35.56</v>
      </c>
      <c r="H1944" s="34" t="s">
        <v>39</v>
      </c>
      <c r="I1944" s="34">
        <v>1</v>
      </c>
      <c r="J1944" s="34" t="s">
        <v>46</v>
      </c>
      <c r="K1944" s="15">
        <f>(VLOOKUP(H1944,'[1]BOM Info General'!$A:$L,12,0))*I1944</f>
        <v>24.42</v>
      </c>
      <c r="L1944" s="35" t="s">
        <v>72</v>
      </c>
      <c r="M1944" s="35">
        <v>1</v>
      </c>
      <c r="N1944" s="35" t="s">
        <v>71</v>
      </c>
      <c r="O1944" s="9">
        <f>(VLOOKUP(L1944,'[1]Simulation pricing per sub assy'!$D:$E,2,0))*M1944</f>
        <v>43.868799999999993</v>
      </c>
      <c r="P1944" s="36" t="s">
        <v>52</v>
      </c>
      <c r="Q1944" s="36">
        <v>2</v>
      </c>
      <c r="R1944" s="36" t="s">
        <v>18</v>
      </c>
      <c r="S1944" s="40">
        <f>(VLOOKUP(P1944,'[1]BOM Info General'!$A:$L,12,0))*Q1944</f>
        <v>5.3</v>
      </c>
      <c r="T1944" s="37" t="s">
        <v>10</v>
      </c>
      <c r="U1944" s="37">
        <v>1</v>
      </c>
      <c r="V1944" s="37" t="s">
        <v>11</v>
      </c>
      <c r="W1944" s="17">
        <f>(VLOOKUP(T1944,'[1]Simulation pricing per sub assy'!$D:$E,2,0))*U1944</f>
        <v>2.0499999999999998</v>
      </c>
      <c r="X1944" s="32" t="s">
        <v>615</v>
      </c>
      <c r="Y1944" s="38">
        <v>1</v>
      </c>
      <c r="Z1944" s="38" t="s">
        <v>9</v>
      </c>
      <c r="AA1944" s="18">
        <f>(VLOOKUP(X1944,'[1]Simulation pricing per sub assy'!$D:$E,2,0))*Y1944</f>
        <v>1.5769808000000001</v>
      </c>
    </row>
    <row r="1945" spans="1:27" x14ac:dyDescent="0.35">
      <c r="A1945" s="27" t="s">
        <v>3230</v>
      </c>
      <c r="B1945" s="27" t="s">
        <v>3231</v>
      </c>
      <c r="C1945" s="42">
        <f t="shared" si="30"/>
        <v>112.51578079999999</v>
      </c>
      <c r="D1945" s="33" t="s">
        <v>2058</v>
      </c>
      <c r="E1945" s="33">
        <v>1</v>
      </c>
      <c r="F1945" s="33" t="s">
        <v>2059</v>
      </c>
      <c r="G1945" s="14">
        <f>(VLOOKUP(D1945,'[1]BOM Info General'!$A:$L,12,0))*E1945</f>
        <v>35.56</v>
      </c>
      <c r="H1945" s="34" t="s">
        <v>39</v>
      </c>
      <c r="I1945" s="34">
        <v>1</v>
      </c>
      <c r="J1945" s="34" t="s">
        <v>46</v>
      </c>
      <c r="K1945" s="15">
        <f>(VLOOKUP(H1945,'[1]BOM Info General'!$A:$L,12,0))*I1945</f>
        <v>24.42</v>
      </c>
      <c r="L1945" s="35" t="s">
        <v>78</v>
      </c>
      <c r="M1945" s="35">
        <v>1</v>
      </c>
      <c r="N1945" s="35" t="s">
        <v>75</v>
      </c>
      <c r="O1945" s="9">
        <f>(VLOOKUP(L1945,'[1]Simulation pricing per sub assy'!$D:$E,2,0))*M1945</f>
        <v>43.608799999999988</v>
      </c>
      <c r="P1945" s="36" t="s">
        <v>52</v>
      </c>
      <c r="Q1945" s="36">
        <v>2</v>
      </c>
      <c r="R1945" s="36" t="s">
        <v>18</v>
      </c>
      <c r="S1945" s="40">
        <f>(VLOOKUP(P1945,'[1]BOM Info General'!$A:$L,12,0))*Q1945</f>
        <v>5.3</v>
      </c>
      <c r="T1945" s="37" t="s">
        <v>10</v>
      </c>
      <c r="U1945" s="37">
        <v>1</v>
      </c>
      <c r="V1945" s="37" t="s">
        <v>11</v>
      </c>
      <c r="W1945" s="17">
        <f>(VLOOKUP(T1945,'[1]Simulation pricing per sub assy'!$D:$E,2,0))*U1945</f>
        <v>2.0499999999999998</v>
      </c>
      <c r="X1945" s="32" t="s">
        <v>615</v>
      </c>
      <c r="Y1945" s="38">
        <v>1</v>
      </c>
      <c r="Z1945" s="38" t="s">
        <v>9</v>
      </c>
      <c r="AA1945" s="18">
        <f>(VLOOKUP(X1945,'[1]Simulation pricing per sub assy'!$D:$E,2,0))*Y1945</f>
        <v>1.5769808000000001</v>
      </c>
    </row>
    <row r="1946" spans="1:27" x14ac:dyDescent="0.35">
      <c r="A1946" s="27" t="s">
        <v>3232</v>
      </c>
      <c r="B1946" s="27" t="s">
        <v>3233</v>
      </c>
      <c r="C1946" s="42">
        <f t="shared" si="30"/>
        <v>120.18578079999999</v>
      </c>
      <c r="D1946" s="33" t="s">
        <v>2058</v>
      </c>
      <c r="E1946" s="33">
        <v>1</v>
      </c>
      <c r="F1946" s="33" t="s">
        <v>2059</v>
      </c>
      <c r="G1946" s="14">
        <f>(VLOOKUP(D1946,'[1]BOM Info General'!$A:$L,12,0))*E1946</f>
        <v>35.56</v>
      </c>
      <c r="H1946" s="34" t="s">
        <v>39</v>
      </c>
      <c r="I1946" s="34">
        <v>1</v>
      </c>
      <c r="J1946" s="34" t="s">
        <v>46</v>
      </c>
      <c r="K1946" s="15">
        <f>(VLOOKUP(H1946,'[1]BOM Info General'!$A:$L,12,0))*I1946</f>
        <v>24.42</v>
      </c>
      <c r="L1946" s="35" t="s">
        <v>74</v>
      </c>
      <c r="M1946" s="35">
        <v>1</v>
      </c>
      <c r="N1946" s="35" t="s">
        <v>77</v>
      </c>
      <c r="O1946" s="9">
        <f>(VLOOKUP(L1946,'[1]Simulation pricing per sub assy'!$D:$E,2,0))*M1946</f>
        <v>51.27879999999999</v>
      </c>
      <c r="P1946" s="36" t="s">
        <v>52</v>
      </c>
      <c r="Q1946" s="36">
        <v>2</v>
      </c>
      <c r="R1946" s="36" t="s">
        <v>18</v>
      </c>
      <c r="S1946" s="40">
        <f>(VLOOKUP(P1946,'[1]BOM Info General'!$A:$L,12,0))*Q1946</f>
        <v>5.3</v>
      </c>
      <c r="T1946" s="37" t="s">
        <v>10</v>
      </c>
      <c r="U1946" s="37">
        <v>1</v>
      </c>
      <c r="V1946" s="37" t="s">
        <v>11</v>
      </c>
      <c r="W1946" s="17">
        <f>(VLOOKUP(T1946,'[1]Simulation pricing per sub assy'!$D:$E,2,0))*U1946</f>
        <v>2.0499999999999998</v>
      </c>
      <c r="X1946" s="32" t="s">
        <v>615</v>
      </c>
      <c r="Y1946" s="38">
        <v>1</v>
      </c>
      <c r="Z1946" s="38" t="s">
        <v>9</v>
      </c>
      <c r="AA1946" s="18">
        <f>(VLOOKUP(X1946,'[1]Simulation pricing per sub assy'!$D:$E,2,0))*Y1946</f>
        <v>1.5769808000000001</v>
      </c>
    </row>
    <row r="1947" spans="1:27" x14ac:dyDescent="0.35">
      <c r="A1947" s="27" t="s">
        <v>3234</v>
      </c>
      <c r="B1947" s="27" t="s">
        <v>3235</v>
      </c>
      <c r="C1947" s="42">
        <f t="shared" si="30"/>
        <v>111.0657808</v>
      </c>
      <c r="D1947" s="33" t="s">
        <v>2058</v>
      </c>
      <c r="E1947" s="33">
        <v>1</v>
      </c>
      <c r="F1947" s="33" t="s">
        <v>2059</v>
      </c>
      <c r="G1947" s="14">
        <f>(VLOOKUP(D1947,'[1]BOM Info General'!$A:$L,12,0))*E1947</f>
        <v>35.56</v>
      </c>
      <c r="H1947" s="34" t="s">
        <v>39</v>
      </c>
      <c r="I1947" s="34">
        <v>1</v>
      </c>
      <c r="J1947" s="34" t="s">
        <v>46</v>
      </c>
      <c r="K1947" s="15">
        <f>(VLOOKUP(H1947,'[1]BOM Info General'!$A:$L,12,0))*I1947</f>
        <v>24.42</v>
      </c>
      <c r="L1947" s="35" t="s">
        <v>527</v>
      </c>
      <c r="M1947" s="35">
        <v>1</v>
      </c>
      <c r="N1947" s="35" t="s">
        <v>79</v>
      </c>
      <c r="O1947" s="9">
        <f>(VLOOKUP(L1947,'[1]Simulation pricing per sub assy'!$D:$E,2,0))*M1947</f>
        <v>42.308799999999991</v>
      </c>
      <c r="P1947" s="36" t="s">
        <v>52</v>
      </c>
      <c r="Q1947" s="36">
        <v>2</v>
      </c>
      <c r="R1947" s="36" t="s">
        <v>18</v>
      </c>
      <c r="S1947" s="40">
        <f>(VLOOKUP(P1947,'[1]BOM Info General'!$A:$L,12,0))*Q1947</f>
        <v>5.3</v>
      </c>
      <c r="T1947" s="37" t="s">
        <v>12</v>
      </c>
      <c r="U1947" s="37">
        <v>1</v>
      </c>
      <c r="V1947" s="37" t="s">
        <v>13</v>
      </c>
      <c r="W1947" s="17">
        <f>(VLOOKUP(T1947,'[1]Simulation pricing per sub assy'!$D:$E,2,0))*U1947</f>
        <v>1.9</v>
      </c>
      <c r="X1947" s="32" t="s">
        <v>615</v>
      </c>
      <c r="Y1947" s="38">
        <v>1</v>
      </c>
      <c r="Z1947" s="38" t="s">
        <v>9</v>
      </c>
      <c r="AA1947" s="18">
        <f>(VLOOKUP(X1947,'[1]Simulation pricing per sub assy'!$D:$E,2,0))*Y1947</f>
        <v>1.5769808000000001</v>
      </c>
    </row>
    <row r="1948" spans="1:27" x14ac:dyDescent="0.35">
      <c r="A1948" s="27" t="s">
        <v>3236</v>
      </c>
      <c r="B1948" s="27" t="s">
        <v>3237</v>
      </c>
      <c r="C1948" s="42">
        <f t="shared" si="30"/>
        <v>112.0457808</v>
      </c>
      <c r="D1948" s="33" t="s">
        <v>2058</v>
      </c>
      <c r="E1948" s="33">
        <v>1</v>
      </c>
      <c r="F1948" s="33" t="s">
        <v>2059</v>
      </c>
      <c r="G1948" s="14">
        <f>(VLOOKUP(D1948,'[1]BOM Info General'!$A:$L,12,0))*E1948</f>
        <v>35.56</v>
      </c>
      <c r="H1948" s="34" t="s">
        <v>39</v>
      </c>
      <c r="I1948" s="34">
        <v>1</v>
      </c>
      <c r="J1948" s="34" t="s">
        <v>46</v>
      </c>
      <c r="K1948" s="15">
        <f>(VLOOKUP(H1948,'[1]BOM Info General'!$A:$L,12,0))*I1948</f>
        <v>24.42</v>
      </c>
      <c r="L1948" s="35" t="s">
        <v>76</v>
      </c>
      <c r="M1948" s="35">
        <v>1</v>
      </c>
      <c r="N1948" s="35" t="s">
        <v>73</v>
      </c>
      <c r="O1948" s="9">
        <f>(VLOOKUP(L1948,'[1]Simulation pricing per sub assy'!$D:$E,2,0))*M1948</f>
        <v>43.288799999999988</v>
      </c>
      <c r="P1948" s="36" t="s">
        <v>52</v>
      </c>
      <c r="Q1948" s="36">
        <v>2</v>
      </c>
      <c r="R1948" s="36" t="s">
        <v>18</v>
      </c>
      <c r="S1948" s="40">
        <f>(VLOOKUP(P1948,'[1]BOM Info General'!$A:$L,12,0))*Q1948</f>
        <v>5.3</v>
      </c>
      <c r="T1948" s="37" t="s">
        <v>12</v>
      </c>
      <c r="U1948" s="37">
        <v>1</v>
      </c>
      <c r="V1948" s="37" t="s">
        <v>13</v>
      </c>
      <c r="W1948" s="17">
        <f>(VLOOKUP(T1948,'[1]Simulation pricing per sub assy'!$D:$E,2,0))*U1948</f>
        <v>1.9</v>
      </c>
      <c r="X1948" s="32" t="s">
        <v>615</v>
      </c>
      <c r="Y1948" s="38">
        <v>1</v>
      </c>
      <c r="Z1948" s="38" t="s">
        <v>9</v>
      </c>
      <c r="AA1948" s="18">
        <f>(VLOOKUP(X1948,'[1]Simulation pricing per sub assy'!$D:$E,2,0))*Y1948</f>
        <v>1.5769808000000001</v>
      </c>
    </row>
    <row r="1949" spans="1:27" x14ac:dyDescent="0.35">
      <c r="A1949" s="27" t="s">
        <v>3238</v>
      </c>
      <c r="B1949" s="27" t="s">
        <v>3239</v>
      </c>
      <c r="C1949" s="42">
        <f t="shared" si="30"/>
        <v>112.6257808</v>
      </c>
      <c r="D1949" s="33" t="s">
        <v>2058</v>
      </c>
      <c r="E1949" s="33">
        <v>1</v>
      </c>
      <c r="F1949" s="33" t="s">
        <v>2059</v>
      </c>
      <c r="G1949" s="14">
        <f>(VLOOKUP(D1949,'[1]BOM Info General'!$A:$L,12,0))*E1949</f>
        <v>35.56</v>
      </c>
      <c r="H1949" s="34" t="s">
        <v>39</v>
      </c>
      <c r="I1949" s="34">
        <v>1</v>
      </c>
      <c r="J1949" s="34" t="s">
        <v>46</v>
      </c>
      <c r="K1949" s="15">
        <f>(VLOOKUP(H1949,'[1]BOM Info General'!$A:$L,12,0))*I1949</f>
        <v>24.42</v>
      </c>
      <c r="L1949" s="35" t="s">
        <v>72</v>
      </c>
      <c r="M1949" s="35">
        <v>1</v>
      </c>
      <c r="N1949" s="35" t="s">
        <v>71</v>
      </c>
      <c r="O1949" s="9">
        <f>(VLOOKUP(L1949,'[1]Simulation pricing per sub assy'!$D:$E,2,0))*M1949</f>
        <v>43.868799999999993</v>
      </c>
      <c r="P1949" s="36" t="s">
        <v>52</v>
      </c>
      <c r="Q1949" s="36">
        <v>2</v>
      </c>
      <c r="R1949" s="36" t="s">
        <v>18</v>
      </c>
      <c r="S1949" s="40">
        <f>(VLOOKUP(P1949,'[1]BOM Info General'!$A:$L,12,0))*Q1949</f>
        <v>5.3</v>
      </c>
      <c r="T1949" s="37" t="s">
        <v>12</v>
      </c>
      <c r="U1949" s="37">
        <v>1</v>
      </c>
      <c r="V1949" s="37" t="s">
        <v>13</v>
      </c>
      <c r="W1949" s="17">
        <f>(VLOOKUP(T1949,'[1]Simulation pricing per sub assy'!$D:$E,2,0))*U1949</f>
        <v>1.9</v>
      </c>
      <c r="X1949" s="32" t="s">
        <v>615</v>
      </c>
      <c r="Y1949" s="38">
        <v>1</v>
      </c>
      <c r="Z1949" s="38" t="s">
        <v>9</v>
      </c>
      <c r="AA1949" s="18">
        <f>(VLOOKUP(X1949,'[1]Simulation pricing per sub assy'!$D:$E,2,0))*Y1949</f>
        <v>1.5769808000000001</v>
      </c>
    </row>
    <row r="1950" spans="1:27" x14ac:dyDescent="0.35">
      <c r="A1950" s="27" t="s">
        <v>3240</v>
      </c>
      <c r="B1950" s="27" t="s">
        <v>3241</v>
      </c>
      <c r="C1950" s="42">
        <f t="shared" si="30"/>
        <v>112.3657808</v>
      </c>
      <c r="D1950" s="33" t="s">
        <v>2058</v>
      </c>
      <c r="E1950" s="33">
        <v>1</v>
      </c>
      <c r="F1950" s="33" t="s">
        <v>2059</v>
      </c>
      <c r="G1950" s="14">
        <f>(VLOOKUP(D1950,'[1]BOM Info General'!$A:$L,12,0))*E1950</f>
        <v>35.56</v>
      </c>
      <c r="H1950" s="34" t="s">
        <v>39</v>
      </c>
      <c r="I1950" s="34">
        <v>1</v>
      </c>
      <c r="J1950" s="34" t="s">
        <v>46</v>
      </c>
      <c r="K1950" s="15">
        <f>(VLOOKUP(H1950,'[1]BOM Info General'!$A:$L,12,0))*I1950</f>
        <v>24.42</v>
      </c>
      <c r="L1950" s="35" t="s">
        <v>78</v>
      </c>
      <c r="M1950" s="35">
        <v>1</v>
      </c>
      <c r="N1950" s="35" t="s">
        <v>75</v>
      </c>
      <c r="O1950" s="9">
        <f>(VLOOKUP(L1950,'[1]Simulation pricing per sub assy'!$D:$E,2,0))*M1950</f>
        <v>43.608799999999988</v>
      </c>
      <c r="P1950" s="36" t="s">
        <v>52</v>
      </c>
      <c r="Q1950" s="36">
        <v>2</v>
      </c>
      <c r="R1950" s="36" t="s">
        <v>18</v>
      </c>
      <c r="S1950" s="40">
        <f>(VLOOKUP(P1950,'[1]BOM Info General'!$A:$L,12,0))*Q1950</f>
        <v>5.3</v>
      </c>
      <c r="T1950" s="37" t="s">
        <v>12</v>
      </c>
      <c r="U1950" s="37">
        <v>1</v>
      </c>
      <c r="V1950" s="37" t="s">
        <v>13</v>
      </c>
      <c r="W1950" s="17">
        <f>(VLOOKUP(T1950,'[1]Simulation pricing per sub assy'!$D:$E,2,0))*U1950</f>
        <v>1.9</v>
      </c>
      <c r="X1950" s="32" t="s">
        <v>615</v>
      </c>
      <c r="Y1950" s="38">
        <v>1</v>
      </c>
      <c r="Z1950" s="38" t="s">
        <v>9</v>
      </c>
      <c r="AA1950" s="18">
        <f>(VLOOKUP(X1950,'[1]Simulation pricing per sub assy'!$D:$E,2,0))*Y1950</f>
        <v>1.5769808000000001</v>
      </c>
    </row>
    <row r="1951" spans="1:27" x14ac:dyDescent="0.35">
      <c r="A1951" s="27" t="s">
        <v>3242</v>
      </c>
      <c r="B1951" s="27" t="s">
        <v>3243</v>
      </c>
      <c r="C1951" s="42">
        <f t="shared" si="30"/>
        <v>120.0357808</v>
      </c>
      <c r="D1951" s="33" t="s">
        <v>2058</v>
      </c>
      <c r="E1951" s="33">
        <v>1</v>
      </c>
      <c r="F1951" s="33" t="s">
        <v>2059</v>
      </c>
      <c r="G1951" s="14">
        <f>(VLOOKUP(D1951,'[1]BOM Info General'!$A:$L,12,0))*E1951</f>
        <v>35.56</v>
      </c>
      <c r="H1951" s="34" t="s">
        <v>39</v>
      </c>
      <c r="I1951" s="34">
        <v>1</v>
      </c>
      <c r="J1951" s="34" t="s">
        <v>46</v>
      </c>
      <c r="K1951" s="15">
        <f>(VLOOKUP(H1951,'[1]BOM Info General'!$A:$L,12,0))*I1951</f>
        <v>24.42</v>
      </c>
      <c r="L1951" s="35" t="s">
        <v>74</v>
      </c>
      <c r="M1951" s="35">
        <v>1</v>
      </c>
      <c r="N1951" s="35" t="s">
        <v>77</v>
      </c>
      <c r="O1951" s="9">
        <f>(VLOOKUP(L1951,'[1]Simulation pricing per sub assy'!$D:$E,2,0))*M1951</f>
        <v>51.27879999999999</v>
      </c>
      <c r="P1951" s="36" t="s">
        <v>52</v>
      </c>
      <c r="Q1951" s="36">
        <v>2</v>
      </c>
      <c r="R1951" s="36" t="s">
        <v>18</v>
      </c>
      <c r="S1951" s="40">
        <f>(VLOOKUP(P1951,'[1]BOM Info General'!$A:$L,12,0))*Q1951</f>
        <v>5.3</v>
      </c>
      <c r="T1951" s="37" t="s">
        <v>12</v>
      </c>
      <c r="U1951" s="37">
        <v>1</v>
      </c>
      <c r="V1951" s="37" t="s">
        <v>13</v>
      </c>
      <c r="W1951" s="17">
        <f>(VLOOKUP(T1951,'[1]Simulation pricing per sub assy'!$D:$E,2,0))*U1951</f>
        <v>1.9</v>
      </c>
      <c r="X1951" s="32" t="s">
        <v>615</v>
      </c>
      <c r="Y1951" s="38">
        <v>1</v>
      </c>
      <c r="Z1951" s="38" t="s">
        <v>9</v>
      </c>
      <c r="AA1951" s="18">
        <f>(VLOOKUP(X1951,'[1]Simulation pricing per sub assy'!$D:$E,2,0))*Y1951</f>
        <v>1.5769808000000001</v>
      </c>
    </row>
    <row r="1952" spans="1:27" x14ac:dyDescent="0.35">
      <c r="A1952" s="27" t="s">
        <v>3244</v>
      </c>
      <c r="B1952" s="27" t="s">
        <v>3245</v>
      </c>
      <c r="C1952" s="42">
        <f t="shared" si="30"/>
        <v>111.0657808</v>
      </c>
      <c r="D1952" s="33" t="s">
        <v>2058</v>
      </c>
      <c r="E1952" s="33">
        <v>1</v>
      </c>
      <c r="F1952" s="33" t="s">
        <v>2059</v>
      </c>
      <c r="G1952" s="14">
        <f>(VLOOKUP(D1952,'[1]BOM Info General'!$A:$L,12,0))*E1952</f>
        <v>35.56</v>
      </c>
      <c r="H1952" s="34" t="s">
        <v>39</v>
      </c>
      <c r="I1952" s="34">
        <v>1</v>
      </c>
      <c r="J1952" s="34" t="s">
        <v>46</v>
      </c>
      <c r="K1952" s="15">
        <f>(VLOOKUP(H1952,'[1]BOM Info General'!$A:$L,12,0))*I1952</f>
        <v>24.42</v>
      </c>
      <c r="L1952" s="35" t="s">
        <v>527</v>
      </c>
      <c r="M1952" s="35">
        <v>1</v>
      </c>
      <c r="N1952" s="35" t="s">
        <v>79</v>
      </c>
      <c r="O1952" s="9">
        <f>(VLOOKUP(L1952,'[1]Simulation pricing per sub assy'!$D:$E,2,0))*M1952</f>
        <v>42.308799999999991</v>
      </c>
      <c r="P1952" s="36" t="s">
        <v>52</v>
      </c>
      <c r="Q1952" s="36">
        <v>2</v>
      </c>
      <c r="R1952" s="36" t="s">
        <v>18</v>
      </c>
      <c r="S1952" s="40">
        <f>(VLOOKUP(P1952,'[1]BOM Info General'!$A:$L,12,0))*Q1952</f>
        <v>5.3</v>
      </c>
      <c r="T1952" s="37" t="s">
        <v>14</v>
      </c>
      <c r="U1952" s="37">
        <v>1</v>
      </c>
      <c r="V1952" s="37" t="s">
        <v>15</v>
      </c>
      <c r="W1952" s="17">
        <f>(VLOOKUP(T1952,'[1]Simulation pricing per sub assy'!$D:$E,2,0))*U1952</f>
        <v>1.9</v>
      </c>
      <c r="X1952" s="32" t="s">
        <v>615</v>
      </c>
      <c r="Y1952" s="38">
        <v>1</v>
      </c>
      <c r="Z1952" s="38" t="s">
        <v>9</v>
      </c>
      <c r="AA1952" s="18">
        <f>(VLOOKUP(X1952,'[1]Simulation pricing per sub assy'!$D:$E,2,0))*Y1952</f>
        <v>1.5769808000000001</v>
      </c>
    </row>
    <row r="1953" spans="1:27" x14ac:dyDescent="0.35">
      <c r="A1953" s="27" t="s">
        <v>3246</v>
      </c>
      <c r="B1953" s="27" t="s">
        <v>3247</v>
      </c>
      <c r="C1953" s="42">
        <f t="shared" si="30"/>
        <v>112.0457808</v>
      </c>
      <c r="D1953" s="33" t="s">
        <v>2058</v>
      </c>
      <c r="E1953" s="33">
        <v>1</v>
      </c>
      <c r="F1953" s="33" t="s">
        <v>2059</v>
      </c>
      <c r="G1953" s="14">
        <f>(VLOOKUP(D1953,'[1]BOM Info General'!$A:$L,12,0))*E1953</f>
        <v>35.56</v>
      </c>
      <c r="H1953" s="34" t="s">
        <v>39</v>
      </c>
      <c r="I1953" s="34">
        <v>1</v>
      </c>
      <c r="J1953" s="34" t="s">
        <v>46</v>
      </c>
      <c r="K1953" s="15">
        <f>(VLOOKUP(H1953,'[1]BOM Info General'!$A:$L,12,0))*I1953</f>
        <v>24.42</v>
      </c>
      <c r="L1953" s="35" t="s">
        <v>76</v>
      </c>
      <c r="M1953" s="35">
        <v>1</v>
      </c>
      <c r="N1953" s="35" t="s">
        <v>73</v>
      </c>
      <c r="O1953" s="9">
        <f>(VLOOKUP(L1953,'[1]Simulation pricing per sub assy'!$D:$E,2,0))*M1953</f>
        <v>43.288799999999988</v>
      </c>
      <c r="P1953" s="36" t="s">
        <v>52</v>
      </c>
      <c r="Q1953" s="36">
        <v>2</v>
      </c>
      <c r="R1953" s="36" t="s">
        <v>18</v>
      </c>
      <c r="S1953" s="40">
        <f>(VLOOKUP(P1953,'[1]BOM Info General'!$A:$L,12,0))*Q1953</f>
        <v>5.3</v>
      </c>
      <c r="T1953" s="37" t="s">
        <v>14</v>
      </c>
      <c r="U1953" s="37">
        <v>1</v>
      </c>
      <c r="V1953" s="37" t="s">
        <v>15</v>
      </c>
      <c r="W1953" s="17">
        <f>(VLOOKUP(T1953,'[1]Simulation pricing per sub assy'!$D:$E,2,0))*U1953</f>
        <v>1.9</v>
      </c>
      <c r="X1953" s="32" t="s">
        <v>615</v>
      </c>
      <c r="Y1953" s="38">
        <v>1</v>
      </c>
      <c r="Z1953" s="38" t="s">
        <v>9</v>
      </c>
      <c r="AA1953" s="18">
        <f>(VLOOKUP(X1953,'[1]Simulation pricing per sub assy'!$D:$E,2,0))*Y1953</f>
        <v>1.5769808000000001</v>
      </c>
    </row>
    <row r="1954" spans="1:27" x14ac:dyDescent="0.35">
      <c r="A1954" s="27" t="s">
        <v>3248</v>
      </c>
      <c r="B1954" s="27" t="s">
        <v>3249</v>
      </c>
      <c r="C1954" s="42">
        <f t="shared" si="30"/>
        <v>112.6257808</v>
      </c>
      <c r="D1954" s="33" t="s">
        <v>2058</v>
      </c>
      <c r="E1954" s="33">
        <v>1</v>
      </c>
      <c r="F1954" s="33" t="s">
        <v>2059</v>
      </c>
      <c r="G1954" s="14">
        <f>(VLOOKUP(D1954,'[1]BOM Info General'!$A:$L,12,0))*E1954</f>
        <v>35.56</v>
      </c>
      <c r="H1954" s="34" t="s">
        <v>39</v>
      </c>
      <c r="I1954" s="34">
        <v>1</v>
      </c>
      <c r="J1954" s="34" t="s">
        <v>46</v>
      </c>
      <c r="K1954" s="15">
        <f>(VLOOKUP(H1954,'[1]BOM Info General'!$A:$L,12,0))*I1954</f>
        <v>24.42</v>
      </c>
      <c r="L1954" s="35" t="s">
        <v>72</v>
      </c>
      <c r="M1954" s="35">
        <v>1</v>
      </c>
      <c r="N1954" s="35" t="s">
        <v>71</v>
      </c>
      <c r="O1954" s="9">
        <f>(VLOOKUP(L1954,'[1]Simulation pricing per sub assy'!$D:$E,2,0))*M1954</f>
        <v>43.868799999999993</v>
      </c>
      <c r="P1954" s="36" t="s">
        <v>52</v>
      </c>
      <c r="Q1954" s="36">
        <v>2</v>
      </c>
      <c r="R1954" s="36" t="s">
        <v>18</v>
      </c>
      <c r="S1954" s="40">
        <f>(VLOOKUP(P1954,'[1]BOM Info General'!$A:$L,12,0))*Q1954</f>
        <v>5.3</v>
      </c>
      <c r="T1954" s="37" t="s">
        <v>14</v>
      </c>
      <c r="U1954" s="37">
        <v>1</v>
      </c>
      <c r="V1954" s="37" t="s">
        <v>15</v>
      </c>
      <c r="W1954" s="17">
        <f>(VLOOKUP(T1954,'[1]Simulation pricing per sub assy'!$D:$E,2,0))*U1954</f>
        <v>1.9</v>
      </c>
      <c r="X1954" s="32" t="s">
        <v>615</v>
      </c>
      <c r="Y1954" s="38">
        <v>1</v>
      </c>
      <c r="Z1954" s="38" t="s">
        <v>9</v>
      </c>
      <c r="AA1954" s="18">
        <f>(VLOOKUP(X1954,'[1]Simulation pricing per sub assy'!$D:$E,2,0))*Y1954</f>
        <v>1.5769808000000001</v>
      </c>
    </row>
    <row r="1955" spans="1:27" x14ac:dyDescent="0.35">
      <c r="A1955" s="27" t="s">
        <v>3250</v>
      </c>
      <c r="B1955" s="27" t="s">
        <v>3251</v>
      </c>
      <c r="C1955" s="42">
        <f t="shared" si="30"/>
        <v>112.3657808</v>
      </c>
      <c r="D1955" s="33" t="s">
        <v>2058</v>
      </c>
      <c r="E1955" s="33">
        <v>1</v>
      </c>
      <c r="F1955" s="33" t="s">
        <v>2059</v>
      </c>
      <c r="G1955" s="14">
        <f>(VLOOKUP(D1955,'[1]BOM Info General'!$A:$L,12,0))*E1955</f>
        <v>35.56</v>
      </c>
      <c r="H1955" s="34" t="s">
        <v>39</v>
      </c>
      <c r="I1955" s="34">
        <v>1</v>
      </c>
      <c r="J1955" s="34" t="s">
        <v>46</v>
      </c>
      <c r="K1955" s="15">
        <f>(VLOOKUP(H1955,'[1]BOM Info General'!$A:$L,12,0))*I1955</f>
        <v>24.42</v>
      </c>
      <c r="L1955" s="35" t="s">
        <v>78</v>
      </c>
      <c r="M1955" s="35">
        <v>1</v>
      </c>
      <c r="N1955" s="35" t="s">
        <v>75</v>
      </c>
      <c r="O1955" s="9">
        <f>(VLOOKUP(L1955,'[1]Simulation pricing per sub assy'!$D:$E,2,0))*M1955</f>
        <v>43.608799999999988</v>
      </c>
      <c r="P1955" s="36" t="s">
        <v>52</v>
      </c>
      <c r="Q1955" s="36">
        <v>2</v>
      </c>
      <c r="R1955" s="36" t="s">
        <v>18</v>
      </c>
      <c r="S1955" s="40">
        <f>(VLOOKUP(P1955,'[1]BOM Info General'!$A:$L,12,0))*Q1955</f>
        <v>5.3</v>
      </c>
      <c r="T1955" s="37" t="s">
        <v>14</v>
      </c>
      <c r="U1955" s="37">
        <v>1</v>
      </c>
      <c r="V1955" s="37" t="s">
        <v>15</v>
      </c>
      <c r="W1955" s="17">
        <f>(VLOOKUP(T1955,'[1]Simulation pricing per sub assy'!$D:$E,2,0))*U1955</f>
        <v>1.9</v>
      </c>
      <c r="X1955" s="32" t="s">
        <v>615</v>
      </c>
      <c r="Y1955" s="38">
        <v>1</v>
      </c>
      <c r="Z1955" s="38" t="s">
        <v>9</v>
      </c>
      <c r="AA1955" s="18">
        <f>(VLOOKUP(X1955,'[1]Simulation pricing per sub assy'!$D:$E,2,0))*Y1955</f>
        <v>1.5769808000000001</v>
      </c>
    </row>
    <row r="1956" spans="1:27" x14ac:dyDescent="0.35">
      <c r="A1956" s="27" t="s">
        <v>3252</v>
      </c>
      <c r="B1956" s="27" t="s">
        <v>3253</v>
      </c>
      <c r="C1956" s="42">
        <f t="shared" si="30"/>
        <v>120.0357808</v>
      </c>
      <c r="D1956" s="33" t="s">
        <v>2058</v>
      </c>
      <c r="E1956" s="33">
        <v>1</v>
      </c>
      <c r="F1956" s="33" t="s">
        <v>2059</v>
      </c>
      <c r="G1956" s="14">
        <f>(VLOOKUP(D1956,'[1]BOM Info General'!$A:$L,12,0))*E1956</f>
        <v>35.56</v>
      </c>
      <c r="H1956" s="34" t="s">
        <v>39</v>
      </c>
      <c r="I1956" s="34">
        <v>1</v>
      </c>
      <c r="J1956" s="34" t="s">
        <v>46</v>
      </c>
      <c r="K1956" s="15">
        <f>(VLOOKUP(H1956,'[1]BOM Info General'!$A:$L,12,0))*I1956</f>
        <v>24.42</v>
      </c>
      <c r="L1956" s="35" t="s">
        <v>74</v>
      </c>
      <c r="M1956" s="35">
        <v>1</v>
      </c>
      <c r="N1956" s="35" t="s">
        <v>77</v>
      </c>
      <c r="O1956" s="9">
        <f>(VLOOKUP(L1956,'[1]Simulation pricing per sub assy'!$D:$E,2,0))*M1956</f>
        <v>51.27879999999999</v>
      </c>
      <c r="P1956" s="36" t="s">
        <v>52</v>
      </c>
      <c r="Q1956" s="36">
        <v>2</v>
      </c>
      <c r="R1956" s="36" t="s">
        <v>18</v>
      </c>
      <c r="S1956" s="40">
        <f>(VLOOKUP(P1956,'[1]BOM Info General'!$A:$L,12,0))*Q1956</f>
        <v>5.3</v>
      </c>
      <c r="T1956" s="37" t="s">
        <v>14</v>
      </c>
      <c r="U1956" s="37">
        <v>1</v>
      </c>
      <c r="V1956" s="37" t="s">
        <v>15</v>
      </c>
      <c r="W1956" s="17">
        <f>(VLOOKUP(T1956,'[1]Simulation pricing per sub assy'!$D:$E,2,0))*U1956</f>
        <v>1.9</v>
      </c>
      <c r="X1956" s="32" t="s">
        <v>615</v>
      </c>
      <c r="Y1956" s="38">
        <v>1</v>
      </c>
      <c r="Z1956" s="38" t="s">
        <v>9</v>
      </c>
      <c r="AA1956" s="18">
        <f>(VLOOKUP(X1956,'[1]Simulation pricing per sub assy'!$D:$E,2,0))*Y1956</f>
        <v>1.5769808000000001</v>
      </c>
    </row>
    <row r="1957" spans="1:27" x14ac:dyDescent="0.35">
      <c r="A1957" s="27" t="s">
        <v>3254</v>
      </c>
      <c r="B1957" s="27" t="s">
        <v>3255</v>
      </c>
      <c r="C1957" s="42">
        <f t="shared" si="30"/>
        <v>111.5057808</v>
      </c>
      <c r="D1957" s="33" t="s">
        <v>2058</v>
      </c>
      <c r="E1957" s="33">
        <v>1</v>
      </c>
      <c r="F1957" s="33" t="s">
        <v>2059</v>
      </c>
      <c r="G1957" s="14">
        <f>(VLOOKUP(D1957,'[1]BOM Info General'!$A:$L,12,0))*E1957</f>
        <v>35.56</v>
      </c>
      <c r="H1957" s="34" t="s">
        <v>39</v>
      </c>
      <c r="I1957" s="34">
        <v>1</v>
      </c>
      <c r="J1957" s="34" t="s">
        <v>46</v>
      </c>
      <c r="K1957" s="15">
        <f>(VLOOKUP(H1957,'[1]BOM Info General'!$A:$L,12,0))*I1957</f>
        <v>24.42</v>
      </c>
      <c r="L1957" s="35" t="s">
        <v>527</v>
      </c>
      <c r="M1957" s="35">
        <v>1</v>
      </c>
      <c r="N1957" s="35" t="s">
        <v>79</v>
      </c>
      <c r="O1957" s="9">
        <f>(VLOOKUP(L1957,'[1]Simulation pricing per sub assy'!$D:$E,2,0))*M1957</f>
        <v>42.308799999999991</v>
      </c>
      <c r="P1957" s="36" t="s">
        <v>50</v>
      </c>
      <c r="Q1957" s="36">
        <v>2</v>
      </c>
      <c r="R1957" s="36" t="s">
        <v>611</v>
      </c>
      <c r="S1957" s="40">
        <f>(VLOOKUP(P1957,'[1]BOM Info General'!$A:$L,12,0))*Q1957</f>
        <v>5.3</v>
      </c>
      <c r="T1957" s="37" t="s">
        <v>19</v>
      </c>
      <c r="U1957" s="37">
        <v>1</v>
      </c>
      <c r="V1957" s="37" t="s">
        <v>20</v>
      </c>
      <c r="W1957" s="17">
        <f>(VLOOKUP(T1957,'[1]Simulation pricing per sub assy'!$D:$E,2,0))*U1957</f>
        <v>2.3400000000000003</v>
      </c>
      <c r="X1957" s="32" t="s">
        <v>615</v>
      </c>
      <c r="Y1957" s="38">
        <v>1</v>
      </c>
      <c r="Z1957" s="38" t="s">
        <v>9</v>
      </c>
      <c r="AA1957" s="18">
        <f>(VLOOKUP(X1957,'[1]Simulation pricing per sub assy'!$D:$E,2,0))*Y1957</f>
        <v>1.5769808000000001</v>
      </c>
    </row>
    <row r="1958" spans="1:27" x14ac:dyDescent="0.35">
      <c r="A1958" s="27" t="s">
        <v>3256</v>
      </c>
      <c r="B1958" s="27" t="s">
        <v>3257</v>
      </c>
      <c r="C1958" s="42">
        <f t="shared" si="30"/>
        <v>112.4857808</v>
      </c>
      <c r="D1958" s="33" t="s">
        <v>2058</v>
      </c>
      <c r="E1958" s="33">
        <v>1</v>
      </c>
      <c r="F1958" s="33" t="s">
        <v>2059</v>
      </c>
      <c r="G1958" s="14">
        <f>(VLOOKUP(D1958,'[1]BOM Info General'!$A:$L,12,0))*E1958</f>
        <v>35.56</v>
      </c>
      <c r="H1958" s="34" t="s">
        <v>39</v>
      </c>
      <c r="I1958" s="34">
        <v>1</v>
      </c>
      <c r="J1958" s="34" t="s">
        <v>46</v>
      </c>
      <c r="K1958" s="15">
        <f>(VLOOKUP(H1958,'[1]BOM Info General'!$A:$L,12,0))*I1958</f>
        <v>24.42</v>
      </c>
      <c r="L1958" s="35" t="s">
        <v>76</v>
      </c>
      <c r="M1958" s="35">
        <v>1</v>
      </c>
      <c r="N1958" s="35" t="s">
        <v>73</v>
      </c>
      <c r="O1958" s="9">
        <f>(VLOOKUP(L1958,'[1]Simulation pricing per sub assy'!$D:$E,2,0))*M1958</f>
        <v>43.288799999999988</v>
      </c>
      <c r="P1958" s="36" t="s">
        <v>50</v>
      </c>
      <c r="Q1958" s="36">
        <v>2</v>
      </c>
      <c r="R1958" s="36" t="s">
        <v>611</v>
      </c>
      <c r="S1958" s="40">
        <f>(VLOOKUP(P1958,'[1]BOM Info General'!$A:$L,12,0))*Q1958</f>
        <v>5.3</v>
      </c>
      <c r="T1958" s="37" t="s">
        <v>19</v>
      </c>
      <c r="U1958" s="37">
        <v>1</v>
      </c>
      <c r="V1958" s="37" t="s">
        <v>20</v>
      </c>
      <c r="W1958" s="17">
        <f>(VLOOKUP(T1958,'[1]Simulation pricing per sub assy'!$D:$E,2,0))*U1958</f>
        <v>2.3400000000000003</v>
      </c>
      <c r="X1958" s="32" t="s">
        <v>615</v>
      </c>
      <c r="Y1958" s="38">
        <v>1</v>
      </c>
      <c r="Z1958" s="38" t="s">
        <v>9</v>
      </c>
      <c r="AA1958" s="18">
        <f>(VLOOKUP(X1958,'[1]Simulation pricing per sub assy'!$D:$E,2,0))*Y1958</f>
        <v>1.5769808000000001</v>
      </c>
    </row>
    <row r="1959" spans="1:27" x14ac:dyDescent="0.35">
      <c r="A1959" s="27" t="s">
        <v>3258</v>
      </c>
      <c r="B1959" s="27" t="s">
        <v>3259</v>
      </c>
      <c r="C1959" s="42">
        <f t="shared" si="30"/>
        <v>113.0657808</v>
      </c>
      <c r="D1959" s="33" t="s">
        <v>2058</v>
      </c>
      <c r="E1959" s="33">
        <v>1</v>
      </c>
      <c r="F1959" s="33" t="s">
        <v>2059</v>
      </c>
      <c r="G1959" s="14">
        <f>(VLOOKUP(D1959,'[1]BOM Info General'!$A:$L,12,0))*E1959</f>
        <v>35.56</v>
      </c>
      <c r="H1959" s="34" t="s">
        <v>39</v>
      </c>
      <c r="I1959" s="34">
        <v>1</v>
      </c>
      <c r="J1959" s="34" t="s">
        <v>46</v>
      </c>
      <c r="K1959" s="15">
        <f>(VLOOKUP(H1959,'[1]BOM Info General'!$A:$L,12,0))*I1959</f>
        <v>24.42</v>
      </c>
      <c r="L1959" s="35" t="s">
        <v>72</v>
      </c>
      <c r="M1959" s="35">
        <v>1</v>
      </c>
      <c r="N1959" s="35" t="s">
        <v>71</v>
      </c>
      <c r="O1959" s="9">
        <f>(VLOOKUP(L1959,'[1]Simulation pricing per sub assy'!$D:$E,2,0))*M1959</f>
        <v>43.868799999999993</v>
      </c>
      <c r="P1959" s="36" t="s">
        <v>50</v>
      </c>
      <c r="Q1959" s="36">
        <v>2</v>
      </c>
      <c r="R1959" s="36" t="s">
        <v>611</v>
      </c>
      <c r="S1959" s="40">
        <f>(VLOOKUP(P1959,'[1]BOM Info General'!$A:$L,12,0))*Q1959</f>
        <v>5.3</v>
      </c>
      <c r="T1959" s="37" t="s">
        <v>19</v>
      </c>
      <c r="U1959" s="37">
        <v>1</v>
      </c>
      <c r="V1959" s="37" t="s">
        <v>20</v>
      </c>
      <c r="W1959" s="17">
        <f>(VLOOKUP(T1959,'[1]Simulation pricing per sub assy'!$D:$E,2,0))*U1959</f>
        <v>2.3400000000000003</v>
      </c>
      <c r="X1959" s="32" t="s">
        <v>615</v>
      </c>
      <c r="Y1959" s="38">
        <v>1</v>
      </c>
      <c r="Z1959" s="38" t="s">
        <v>9</v>
      </c>
      <c r="AA1959" s="18">
        <f>(VLOOKUP(X1959,'[1]Simulation pricing per sub assy'!$D:$E,2,0))*Y1959</f>
        <v>1.5769808000000001</v>
      </c>
    </row>
    <row r="1960" spans="1:27" x14ac:dyDescent="0.35">
      <c r="A1960" s="27" t="s">
        <v>3260</v>
      </c>
      <c r="B1960" s="27" t="s">
        <v>3261</v>
      </c>
      <c r="C1960" s="42">
        <f t="shared" si="30"/>
        <v>112.80578079999999</v>
      </c>
      <c r="D1960" s="33" t="s">
        <v>2058</v>
      </c>
      <c r="E1960" s="33">
        <v>1</v>
      </c>
      <c r="F1960" s="33" t="s">
        <v>2059</v>
      </c>
      <c r="G1960" s="14">
        <f>(VLOOKUP(D1960,'[1]BOM Info General'!$A:$L,12,0))*E1960</f>
        <v>35.56</v>
      </c>
      <c r="H1960" s="34" t="s">
        <v>39</v>
      </c>
      <c r="I1960" s="34">
        <v>1</v>
      </c>
      <c r="J1960" s="34" t="s">
        <v>46</v>
      </c>
      <c r="K1960" s="15">
        <f>(VLOOKUP(H1960,'[1]BOM Info General'!$A:$L,12,0))*I1960</f>
        <v>24.42</v>
      </c>
      <c r="L1960" s="35" t="s">
        <v>78</v>
      </c>
      <c r="M1960" s="35">
        <v>1</v>
      </c>
      <c r="N1960" s="35" t="s">
        <v>75</v>
      </c>
      <c r="O1960" s="9">
        <f>(VLOOKUP(L1960,'[1]Simulation pricing per sub assy'!$D:$E,2,0))*M1960</f>
        <v>43.608799999999988</v>
      </c>
      <c r="P1960" s="36" t="s">
        <v>50</v>
      </c>
      <c r="Q1960" s="36">
        <v>2</v>
      </c>
      <c r="R1960" s="36" t="s">
        <v>611</v>
      </c>
      <c r="S1960" s="40">
        <f>(VLOOKUP(P1960,'[1]BOM Info General'!$A:$L,12,0))*Q1960</f>
        <v>5.3</v>
      </c>
      <c r="T1960" s="37" t="s">
        <v>19</v>
      </c>
      <c r="U1960" s="37">
        <v>1</v>
      </c>
      <c r="V1960" s="37" t="s">
        <v>20</v>
      </c>
      <c r="W1960" s="17">
        <f>(VLOOKUP(T1960,'[1]Simulation pricing per sub assy'!$D:$E,2,0))*U1960</f>
        <v>2.3400000000000003</v>
      </c>
      <c r="X1960" s="32" t="s">
        <v>615</v>
      </c>
      <c r="Y1960" s="38">
        <v>1</v>
      </c>
      <c r="Z1960" s="38" t="s">
        <v>9</v>
      </c>
      <c r="AA1960" s="18">
        <f>(VLOOKUP(X1960,'[1]Simulation pricing per sub assy'!$D:$E,2,0))*Y1960</f>
        <v>1.5769808000000001</v>
      </c>
    </row>
    <row r="1961" spans="1:27" x14ac:dyDescent="0.35">
      <c r="A1961" s="27" t="s">
        <v>3262</v>
      </c>
      <c r="B1961" s="27" t="s">
        <v>3263</v>
      </c>
      <c r="C1961" s="42">
        <f t="shared" si="30"/>
        <v>120.4757808</v>
      </c>
      <c r="D1961" s="33" t="s">
        <v>2058</v>
      </c>
      <c r="E1961" s="33">
        <v>1</v>
      </c>
      <c r="F1961" s="33" t="s">
        <v>2059</v>
      </c>
      <c r="G1961" s="14">
        <f>(VLOOKUP(D1961,'[1]BOM Info General'!$A:$L,12,0))*E1961</f>
        <v>35.56</v>
      </c>
      <c r="H1961" s="34" t="s">
        <v>39</v>
      </c>
      <c r="I1961" s="34">
        <v>1</v>
      </c>
      <c r="J1961" s="34" t="s">
        <v>46</v>
      </c>
      <c r="K1961" s="15">
        <f>(VLOOKUP(H1961,'[1]BOM Info General'!$A:$L,12,0))*I1961</f>
        <v>24.42</v>
      </c>
      <c r="L1961" s="35" t="s">
        <v>74</v>
      </c>
      <c r="M1961" s="35">
        <v>1</v>
      </c>
      <c r="N1961" s="35" t="s">
        <v>77</v>
      </c>
      <c r="O1961" s="9">
        <f>(VLOOKUP(L1961,'[1]Simulation pricing per sub assy'!$D:$E,2,0))*M1961</f>
        <v>51.27879999999999</v>
      </c>
      <c r="P1961" s="36" t="s">
        <v>50</v>
      </c>
      <c r="Q1961" s="36">
        <v>2</v>
      </c>
      <c r="R1961" s="36" t="s">
        <v>611</v>
      </c>
      <c r="S1961" s="40">
        <f>(VLOOKUP(P1961,'[1]BOM Info General'!$A:$L,12,0))*Q1961</f>
        <v>5.3</v>
      </c>
      <c r="T1961" s="37" t="s">
        <v>19</v>
      </c>
      <c r="U1961" s="37">
        <v>1</v>
      </c>
      <c r="V1961" s="37" t="s">
        <v>20</v>
      </c>
      <c r="W1961" s="17">
        <f>(VLOOKUP(T1961,'[1]Simulation pricing per sub assy'!$D:$E,2,0))*U1961</f>
        <v>2.3400000000000003</v>
      </c>
      <c r="X1961" s="32" t="s">
        <v>615</v>
      </c>
      <c r="Y1961" s="38">
        <v>1</v>
      </c>
      <c r="Z1961" s="38" t="s">
        <v>9</v>
      </c>
      <c r="AA1961" s="18">
        <f>(VLOOKUP(X1961,'[1]Simulation pricing per sub assy'!$D:$E,2,0))*Y1961</f>
        <v>1.5769808000000001</v>
      </c>
    </row>
    <row r="1962" spans="1:27" x14ac:dyDescent="0.35">
      <c r="A1962" s="27" t="s">
        <v>3264</v>
      </c>
      <c r="B1962" s="27" t="s">
        <v>3265</v>
      </c>
      <c r="C1962" s="42">
        <f t="shared" si="30"/>
        <v>111.01578079999999</v>
      </c>
      <c r="D1962" s="33" t="s">
        <v>2058</v>
      </c>
      <c r="E1962" s="33">
        <v>1</v>
      </c>
      <c r="F1962" s="33" t="s">
        <v>2059</v>
      </c>
      <c r="G1962" s="14">
        <f>(VLOOKUP(D1962,'[1]BOM Info General'!$A:$L,12,0))*E1962</f>
        <v>35.56</v>
      </c>
      <c r="H1962" s="34" t="s">
        <v>39</v>
      </c>
      <c r="I1962" s="34">
        <v>1</v>
      </c>
      <c r="J1962" s="34" t="s">
        <v>46</v>
      </c>
      <c r="K1962" s="15">
        <f>(VLOOKUP(H1962,'[1]BOM Info General'!$A:$L,12,0))*I1962</f>
        <v>24.42</v>
      </c>
      <c r="L1962" s="35" t="s">
        <v>527</v>
      </c>
      <c r="M1962" s="35">
        <v>1</v>
      </c>
      <c r="N1962" s="35" t="s">
        <v>79</v>
      </c>
      <c r="O1962" s="9">
        <f>(VLOOKUP(L1962,'[1]Simulation pricing per sub assy'!$D:$E,2,0))*M1962</f>
        <v>42.308799999999991</v>
      </c>
      <c r="P1962" s="36" t="s">
        <v>50</v>
      </c>
      <c r="Q1962" s="36">
        <v>2</v>
      </c>
      <c r="R1962" s="36" t="s">
        <v>611</v>
      </c>
      <c r="S1962" s="40">
        <f>(VLOOKUP(P1962,'[1]BOM Info General'!$A:$L,12,0))*Q1962</f>
        <v>5.3</v>
      </c>
      <c r="T1962" s="37" t="s">
        <v>7</v>
      </c>
      <c r="U1962" s="37">
        <v>1</v>
      </c>
      <c r="V1962" s="37" t="s">
        <v>8</v>
      </c>
      <c r="W1962" s="17">
        <f>(VLOOKUP(T1962,'[1]Simulation pricing per sub assy'!$D:$E,2,0))*U1962</f>
        <v>1.85</v>
      </c>
      <c r="X1962" s="32" t="s">
        <v>615</v>
      </c>
      <c r="Y1962" s="38">
        <v>1</v>
      </c>
      <c r="Z1962" s="38" t="s">
        <v>9</v>
      </c>
      <c r="AA1962" s="18">
        <f>(VLOOKUP(X1962,'[1]Simulation pricing per sub assy'!$D:$E,2,0))*Y1962</f>
        <v>1.5769808000000001</v>
      </c>
    </row>
    <row r="1963" spans="1:27" x14ac:dyDescent="0.35">
      <c r="A1963" s="27" t="s">
        <v>3266</v>
      </c>
      <c r="B1963" s="27" t="s">
        <v>3267</v>
      </c>
      <c r="C1963" s="42">
        <f t="shared" si="30"/>
        <v>111.99578079999999</v>
      </c>
      <c r="D1963" s="33" t="s">
        <v>2058</v>
      </c>
      <c r="E1963" s="33">
        <v>1</v>
      </c>
      <c r="F1963" s="33" t="s">
        <v>2059</v>
      </c>
      <c r="G1963" s="14">
        <f>(VLOOKUP(D1963,'[1]BOM Info General'!$A:$L,12,0))*E1963</f>
        <v>35.56</v>
      </c>
      <c r="H1963" s="34" t="s">
        <v>39</v>
      </c>
      <c r="I1963" s="34">
        <v>1</v>
      </c>
      <c r="J1963" s="34" t="s">
        <v>46</v>
      </c>
      <c r="K1963" s="15">
        <f>(VLOOKUP(H1963,'[1]BOM Info General'!$A:$L,12,0))*I1963</f>
        <v>24.42</v>
      </c>
      <c r="L1963" s="35" t="s">
        <v>76</v>
      </c>
      <c r="M1963" s="35">
        <v>1</v>
      </c>
      <c r="N1963" s="35" t="s">
        <v>73</v>
      </c>
      <c r="O1963" s="9">
        <f>(VLOOKUP(L1963,'[1]Simulation pricing per sub assy'!$D:$E,2,0))*M1963</f>
        <v>43.288799999999988</v>
      </c>
      <c r="P1963" s="36" t="s">
        <v>50</v>
      </c>
      <c r="Q1963" s="36">
        <v>2</v>
      </c>
      <c r="R1963" s="36" t="s">
        <v>611</v>
      </c>
      <c r="S1963" s="40">
        <f>(VLOOKUP(P1963,'[1]BOM Info General'!$A:$L,12,0))*Q1963</f>
        <v>5.3</v>
      </c>
      <c r="T1963" s="37" t="s">
        <v>7</v>
      </c>
      <c r="U1963" s="37">
        <v>1</v>
      </c>
      <c r="V1963" s="37" t="s">
        <v>8</v>
      </c>
      <c r="W1963" s="17">
        <f>(VLOOKUP(T1963,'[1]Simulation pricing per sub assy'!$D:$E,2,0))*U1963</f>
        <v>1.85</v>
      </c>
      <c r="X1963" s="32" t="s">
        <v>615</v>
      </c>
      <c r="Y1963" s="38">
        <v>1</v>
      </c>
      <c r="Z1963" s="38" t="s">
        <v>9</v>
      </c>
      <c r="AA1963" s="18">
        <f>(VLOOKUP(X1963,'[1]Simulation pricing per sub assy'!$D:$E,2,0))*Y1963</f>
        <v>1.5769808000000001</v>
      </c>
    </row>
    <row r="1964" spans="1:27" x14ac:dyDescent="0.35">
      <c r="A1964" s="27" t="s">
        <v>3268</v>
      </c>
      <c r="B1964" s="27" t="s">
        <v>3269</v>
      </c>
      <c r="C1964" s="42">
        <f t="shared" si="30"/>
        <v>112.57578079999999</v>
      </c>
      <c r="D1964" s="33" t="s">
        <v>2058</v>
      </c>
      <c r="E1964" s="33">
        <v>1</v>
      </c>
      <c r="F1964" s="33" t="s">
        <v>2059</v>
      </c>
      <c r="G1964" s="14">
        <f>(VLOOKUP(D1964,'[1]BOM Info General'!$A:$L,12,0))*E1964</f>
        <v>35.56</v>
      </c>
      <c r="H1964" s="34" t="s">
        <v>39</v>
      </c>
      <c r="I1964" s="34">
        <v>1</v>
      </c>
      <c r="J1964" s="34" t="s">
        <v>46</v>
      </c>
      <c r="K1964" s="15">
        <f>(VLOOKUP(H1964,'[1]BOM Info General'!$A:$L,12,0))*I1964</f>
        <v>24.42</v>
      </c>
      <c r="L1964" s="35" t="s">
        <v>72</v>
      </c>
      <c r="M1964" s="35">
        <v>1</v>
      </c>
      <c r="N1964" s="35" t="s">
        <v>71</v>
      </c>
      <c r="O1964" s="9">
        <f>(VLOOKUP(L1964,'[1]Simulation pricing per sub assy'!$D:$E,2,0))*M1964</f>
        <v>43.868799999999993</v>
      </c>
      <c r="P1964" s="36" t="s">
        <v>50</v>
      </c>
      <c r="Q1964" s="36">
        <v>2</v>
      </c>
      <c r="R1964" s="36" t="s">
        <v>611</v>
      </c>
      <c r="S1964" s="40">
        <f>(VLOOKUP(P1964,'[1]BOM Info General'!$A:$L,12,0))*Q1964</f>
        <v>5.3</v>
      </c>
      <c r="T1964" s="37" t="s">
        <v>7</v>
      </c>
      <c r="U1964" s="37">
        <v>1</v>
      </c>
      <c r="V1964" s="37" t="s">
        <v>8</v>
      </c>
      <c r="W1964" s="17">
        <f>(VLOOKUP(T1964,'[1]Simulation pricing per sub assy'!$D:$E,2,0))*U1964</f>
        <v>1.85</v>
      </c>
      <c r="X1964" s="32" t="s">
        <v>615</v>
      </c>
      <c r="Y1964" s="38">
        <v>1</v>
      </c>
      <c r="Z1964" s="38" t="s">
        <v>9</v>
      </c>
      <c r="AA1964" s="18">
        <f>(VLOOKUP(X1964,'[1]Simulation pricing per sub assy'!$D:$E,2,0))*Y1964</f>
        <v>1.5769808000000001</v>
      </c>
    </row>
    <row r="1965" spans="1:27" x14ac:dyDescent="0.35">
      <c r="A1965" s="27" t="s">
        <v>3270</v>
      </c>
      <c r="B1965" s="27" t="s">
        <v>3271</v>
      </c>
      <c r="C1965" s="42">
        <f t="shared" si="30"/>
        <v>112.31578079999998</v>
      </c>
      <c r="D1965" s="33" t="s">
        <v>2058</v>
      </c>
      <c r="E1965" s="33">
        <v>1</v>
      </c>
      <c r="F1965" s="33" t="s">
        <v>2059</v>
      </c>
      <c r="G1965" s="14">
        <f>(VLOOKUP(D1965,'[1]BOM Info General'!$A:$L,12,0))*E1965</f>
        <v>35.56</v>
      </c>
      <c r="H1965" s="34" t="s">
        <v>39</v>
      </c>
      <c r="I1965" s="34">
        <v>1</v>
      </c>
      <c r="J1965" s="34" t="s">
        <v>46</v>
      </c>
      <c r="K1965" s="15">
        <f>(VLOOKUP(H1965,'[1]BOM Info General'!$A:$L,12,0))*I1965</f>
        <v>24.42</v>
      </c>
      <c r="L1965" s="35" t="s">
        <v>78</v>
      </c>
      <c r="M1965" s="35">
        <v>1</v>
      </c>
      <c r="N1965" s="35" t="s">
        <v>75</v>
      </c>
      <c r="O1965" s="9">
        <f>(VLOOKUP(L1965,'[1]Simulation pricing per sub assy'!$D:$E,2,0))*M1965</f>
        <v>43.608799999999988</v>
      </c>
      <c r="P1965" s="36" t="s">
        <v>50</v>
      </c>
      <c r="Q1965" s="36">
        <v>2</v>
      </c>
      <c r="R1965" s="36" t="s">
        <v>611</v>
      </c>
      <c r="S1965" s="40">
        <f>(VLOOKUP(P1965,'[1]BOM Info General'!$A:$L,12,0))*Q1965</f>
        <v>5.3</v>
      </c>
      <c r="T1965" s="37" t="s">
        <v>7</v>
      </c>
      <c r="U1965" s="37">
        <v>1</v>
      </c>
      <c r="V1965" s="37" t="s">
        <v>8</v>
      </c>
      <c r="W1965" s="17">
        <f>(VLOOKUP(T1965,'[1]Simulation pricing per sub assy'!$D:$E,2,0))*U1965</f>
        <v>1.85</v>
      </c>
      <c r="X1965" s="32" t="s">
        <v>615</v>
      </c>
      <c r="Y1965" s="38">
        <v>1</v>
      </c>
      <c r="Z1965" s="38" t="s">
        <v>9</v>
      </c>
      <c r="AA1965" s="18">
        <f>(VLOOKUP(X1965,'[1]Simulation pricing per sub assy'!$D:$E,2,0))*Y1965</f>
        <v>1.5769808000000001</v>
      </c>
    </row>
    <row r="1966" spans="1:27" x14ac:dyDescent="0.35">
      <c r="A1966" s="27" t="s">
        <v>3272</v>
      </c>
      <c r="B1966" s="27" t="s">
        <v>3273</v>
      </c>
      <c r="C1966" s="42">
        <f t="shared" si="30"/>
        <v>119.98578079999999</v>
      </c>
      <c r="D1966" s="33" t="s">
        <v>2058</v>
      </c>
      <c r="E1966" s="33">
        <v>1</v>
      </c>
      <c r="F1966" s="33" t="s">
        <v>2059</v>
      </c>
      <c r="G1966" s="14">
        <f>(VLOOKUP(D1966,'[1]BOM Info General'!$A:$L,12,0))*E1966</f>
        <v>35.56</v>
      </c>
      <c r="H1966" s="34" t="s">
        <v>39</v>
      </c>
      <c r="I1966" s="34">
        <v>1</v>
      </c>
      <c r="J1966" s="34" t="s">
        <v>46</v>
      </c>
      <c r="K1966" s="15">
        <f>(VLOOKUP(H1966,'[1]BOM Info General'!$A:$L,12,0))*I1966</f>
        <v>24.42</v>
      </c>
      <c r="L1966" s="35" t="s">
        <v>74</v>
      </c>
      <c r="M1966" s="35">
        <v>1</v>
      </c>
      <c r="N1966" s="35" t="s">
        <v>77</v>
      </c>
      <c r="O1966" s="9">
        <f>(VLOOKUP(L1966,'[1]Simulation pricing per sub assy'!$D:$E,2,0))*M1966</f>
        <v>51.27879999999999</v>
      </c>
      <c r="P1966" s="36" t="s">
        <v>50</v>
      </c>
      <c r="Q1966" s="36">
        <v>2</v>
      </c>
      <c r="R1966" s="36" t="s">
        <v>611</v>
      </c>
      <c r="S1966" s="40">
        <f>(VLOOKUP(P1966,'[1]BOM Info General'!$A:$L,12,0))*Q1966</f>
        <v>5.3</v>
      </c>
      <c r="T1966" s="37" t="s">
        <v>7</v>
      </c>
      <c r="U1966" s="37">
        <v>1</v>
      </c>
      <c r="V1966" s="37" t="s">
        <v>8</v>
      </c>
      <c r="W1966" s="17">
        <f>(VLOOKUP(T1966,'[1]Simulation pricing per sub assy'!$D:$E,2,0))*U1966</f>
        <v>1.85</v>
      </c>
      <c r="X1966" s="32" t="s">
        <v>615</v>
      </c>
      <c r="Y1966" s="38">
        <v>1</v>
      </c>
      <c r="Z1966" s="38" t="s">
        <v>9</v>
      </c>
      <c r="AA1966" s="18">
        <f>(VLOOKUP(X1966,'[1]Simulation pricing per sub assy'!$D:$E,2,0))*Y1966</f>
        <v>1.5769808000000001</v>
      </c>
    </row>
    <row r="1967" spans="1:27" x14ac:dyDescent="0.35">
      <c r="A1967" s="27" t="s">
        <v>3274</v>
      </c>
      <c r="B1967" s="27" t="s">
        <v>3275</v>
      </c>
      <c r="C1967" s="42">
        <f t="shared" si="30"/>
        <v>111.21578079999999</v>
      </c>
      <c r="D1967" s="33" t="s">
        <v>2058</v>
      </c>
      <c r="E1967" s="33">
        <v>1</v>
      </c>
      <c r="F1967" s="33" t="s">
        <v>2059</v>
      </c>
      <c r="G1967" s="14">
        <f>(VLOOKUP(D1967,'[1]BOM Info General'!$A:$L,12,0))*E1967</f>
        <v>35.56</v>
      </c>
      <c r="H1967" s="34" t="s">
        <v>39</v>
      </c>
      <c r="I1967" s="34">
        <v>1</v>
      </c>
      <c r="J1967" s="34" t="s">
        <v>46</v>
      </c>
      <c r="K1967" s="15">
        <f>(VLOOKUP(H1967,'[1]BOM Info General'!$A:$L,12,0))*I1967</f>
        <v>24.42</v>
      </c>
      <c r="L1967" s="35" t="s">
        <v>527</v>
      </c>
      <c r="M1967" s="35">
        <v>1</v>
      </c>
      <c r="N1967" s="35" t="s">
        <v>79</v>
      </c>
      <c r="O1967" s="9">
        <f>(VLOOKUP(L1967,'[1]Simulation pricing per sub assy'!$D:$E,2,0))*M1967</f>
        <v>42.308799999999991</v>
      </c>
      <c r="P1967" s="36" t="s">
        <v>50</v>
      </c>
      <c r="Q1967" s="36">
        <v>2</v>
      </c>
      <c r="R1967" s="36" t="s">
        <v>16</v>
      </c>
      <c r="S1967" s="40">
        <f>(VLOOKUP(P1967,'[1]BOM Info General'!$A:$L,12,0))*Q1967</f>
        <v>5.3</v>
      </c>
      <c r="T1967" s="37" t="s">
        <v>10</v>
      </c>
      <c r="U1967" s="37">
        <v>1</v>
      </c>
      <c r="V1967" s="37" t="s">
        <v>11</v>
      </c>
      <c r="W1967" s="17">
        <f>(VLOOKUP(T1967,'[1]Simulation pricing per sub assy'!$D:$E,2,0))*U1967</f>
        <v>2.0499999999999998</v>
      </c>
      <c r="X1967" s="32" t="s">
        <v>615</v>
      </c>
      <c r="Y1967" s="38">
        <v>1</v>
      </c>
      <c r="Z1967" s="38" t="s">
        <v>9</v>
      </c>
      <c r="AA1967" s="18">
        <f>(VLOOKUP(X1967,'[1]Simulation pricing per sub assy'!$D:$E,2,0))*Y1967</f>
        <v>1.5769808000000001</v>
      </c>
    </row>
    <row r="1968" spans="1:27" x14ac:dyDescent="0.35">
      <c r="A1968" s="27" t="s">
        <v>3276</v>
      </c>
      <c r="B1968" s="27" t="s">
        <v>3277</v>
      </c>
      <c r="C1968" s="42">
        <f t="shared" si="30"/>
        <v>112.19578079999999</v>
      </c>
      <c r="D1968" s="33" t="s">
        <v>2058</v>
      </c>
      <c r="E1968" s="33">
        <v>1</v>
      </c>
      <c r="F1968" s="33" t="s">
        <v>2059</v>
      </c>
      <c r="G1968" s="14">
        <f>(VLOOKUP(D1968,'[1]BOM Info General'!$A:$L,12,0))*E1968</f>
        <v>35.56</v>
      </c>
      <c r="H1968" s="34" t="s">
        <v>39</v>
      </c>
      <c r="I1968" s="34">
        <v>1</v>
      </c>
      <c r="J1968" s="34" t="s">
        <v>46</v>
      </c>
      <c r="K1968" s="15">
        <f>(VLOOKUP(H1968,'[1]BOM Info General'!$A:$L,12,0))*I1968</f>
        <v>24.42</v>
      </c>
      <c r="L1968" s="35" t="s">
        <v>76</v>
      </c>
      <c r="M1968" s="35">
        <v>1</v>
      </c>
      <c r="N1968" s="35" t="s">
        <v>73</v>
      </c>
      <c r="O1968" s="9">
        <f>(VLOOKUP(L1968,'[1]Simulation pricing per sub assy'!$D:$E,2,0))*M1968</f>
        <v>43.288799999999988</v>
      </c>
      <c r="P1968" s="36" t="s">
        <v>50</v>
      </c>
      <c r="Q1968" s="36">
        <v>2</v>
      </c>
      <c r="R1968" s="36" t="s">
        <v>16</v>
      </c>
      <c r="S1968" s="40">
        <f>(VLOOKUP(P1968,'[1]BOM Info General'!$A:$L,12,0))*Q1968</f>
        <v>5.3</v>
      </c>
      <c r="T1968" s="37" t="s">
        <v>10</v>
      </c>
      <c r="U1968" s="37">
        <v>1</v>
      </c>
      <c r="V1968" s="37" t="s">
        <v>11</v>
      </c>
      <c r="W1968" s="17">
        <f>(VLOOKUP(T1968,'[1]Simulation pricing per sub assy'!$D:$E,2,0))*U1968</f>
        <v>2.0499999999999998</v>
      </c>
      <c r="X1968" s="32" t="s">
        <v>615</v>
      </c>
      <c r="Y1968" s="38">
        <v>1</v>
      </c>
      <c r="Z1968" s="38" t="s">
        <v>9</v>
      </c>
      <c r="AA1968" s="18">
        <f>(VLOOKUP(X1968,'[1]Simulation pricing per sub assy'!$D:$E,2,0))*Y1968</f>
        <v>1.5769808000000001</v>
      </c>
    </row>
    <row r="1969" spans="1:27" x14ac:dyDescent="0.35">
      <c r="A1969" s="27" t="s">
        <v>3278</v>
      </c>
      <c r="B1969" s="27" t="s">
        <v>3279</v>
      </c>
      <c r="C1969" s="42">
        <f t="shared" si="30"/>
        <v>112.77578079999999</v>
      </c>
      <c r="D1969" s="33" t="s">
        <v>2058</v>
      </c>
      <c r="E1969" s="33">
        <v>1</v>
      </c>
      <c r="F1969" s="33" t="s">
        <v>2059</v>
      </c>
      <c r="G1969" s="14">
        <f>(VLOOKUP(D1969,'[1]BOM Info General'!$A:$L,12,0))*E1969</f>
        <v>35.56</v>
      </c>
      <c r="H1969" s="34" t="s">
        <v>39</v>
      </c>
      <c r="I1969" s="34">
        <v>1</v>
      </c>
      <c r="J1969" s="34" t="s">
        <v>46</v>
      </c>
      <c r="K1969" s="15">
        <f>(VLOOKUP(H1969,'[1]BOM Info General'!$A:$L,12,0))*I1969</f>
        <v>24.42</v>
      </c>
      <c r="L1969" s="35" t="s">
        <v>72</v>
      </c>
      <c r="M1969" s="35">
        <v>1</v>
      </c>
      <c r="N1969" s="35" t="s">
        <v>71</v>
      </c>
      <c r="O1969" s="9">
        <f>(VLOOKUP(L1969,'[1]Simulation pricing per sub assy'!$D:$E,2,0))*M1969</f>
        <v>43.868799999999993</v>
      </c>
      <c r="P1969" s="36" t="s">
        <v>50</v>
      </c>
      <c r="Q1969" s="36">
        <v>2</v>
      </c>
      <c r="R1969" s="36" t="s">
        <v>16</v>
      </c>
      <c r="S1969" s="40">
        <f>(VLOOKUP(P1969,'[1]BOM Info General'!$A:$L,12,0))*Q1969</f>
        <v>5.3</v>
      </c>
      <c r="T1969" s="37" t="s">
        <v>10</v>
      </c>
      <c r="U1969" s="37">
        <v>1</v>
      </c>
      <c r="V1969" s="37" t="s">
        <v>11</v>
      </c>
      <c r="W1969" s="17">
        <f>(VLOOKUP(T1969,'[1]Simulation pricing per sub assy'!$D:$E,2,0))*U1969</f>
        <v>2.0499999999999998</v>
      </c>
      <c r="X1969" s="32" t="s">
        <v>615</v>
      </c>
      <c r="Y1969" s="38">
        <v>1</v>
      </c>
      <c r="Z1969" s="38" t="s">
        <v>9</v>
      </c>
      <c r="AA1969" s="18">
        <f>(VLOOKUP(X1969,'[1]Simulation pricing per sub assy'!$D:$E,2,0))*Y1969</f>
        <v>1.5769808000000001</v>
      </c>
    </row>
    <row r="1970" spans="1:27" x14ac:dyDescent="0.35">
      <c r="A1970" s="27" t="s">
        <v>3280</v>
      </c>
      <c r="B1970" s="27" t="s">
        <v>3281</v>
      </c>
      <c r="C1970" s="42">
        <f t="shared" si="30"/>
        <v>112.51578079999999</v>
      </c>
      <c r="D1970" s="33" t="s">
        <v>2058</v>
      </c>
      <c r="E1970" s="33">
        <v>1</v>
      </c>
      <c r="F1970" s="33" t="s">
        <v>2059</v>
      </c>
      <c r="G1970" s="14">
        <f>(VLOOKUP(D1970,'[1]BOM Info General'!$A:$L,12,0))*E1970</f>
        <v>35.56</v>
      </c>
      <c r="H1970" s="34" t="s">
        <v>39</v>
      </c>
      <c r="I1970" s="34">
        <v>1</v>
      </c>
      <c r="J1970" s="34" t="s">
        <v>46</v>
      </c>
      <c r="K1970" s="15">
        <f>(VLOOKUP(H1970,'[1]BOM Info General'!$A:$L,12,0))*I1970</f>
        <v>24.42</v>
      </c>
      <c r="L1970" s="35" t="s">
        <v>78</v>
      </c>
      <c r="M1970" s="35">
        <v>1</v>
      </c>
      <c r="N1970" s="35" t="s">
        <v>75</v>
      </c>
      <c r="O1970" s="9">
        <f>(VLOOKUP(L1970,'[1]Simulation pricing per sub assy'!$D:$E,2,0))*M1970</f>
        <v>43.608799999999988</v>
      </c>
      <c r="P1970" s="36" t="s">
        <v>50</v>
      </c>
      <c r="Q1970" s="36">
        <v>2</v>
      </c>
      <c r="R1970" s="36" t="s">
        <v>16</v>
      </c>
      <c r="S1970" s="40">
        <f>(VLOOKUP(P1970,'[1]BOM Info General'!$A:$L,12,0))*Q1970</f>
        <v>5.3</v>
      </c>
      <c r="T1970" s="37" t="s">
        <v>10</v>
      </c>
      <c r="U1970" s="37">
        <v>1</v>
      </c>
      <c r="V1970" s="37" t="s">
        <v>11</v>
      </c>
      <c r="W1970" s="17">
        <f>(VLOOKUP(T1970,'[1]Simulation pricing per sub assy'!$D:$E,2,0))*U1970</f>
        <v>2.0499999999999998</v>
      </c>
      <c r="X1970" s="32" t="s">
        <v>615</v>
      </c>
      <c r="Y1970" s="38">
        <v>1</v>
      </c>
      <c r="Z1970" s="38" t="s">
        <v>9</v>
      </c>
      <c r="AA1970" s="18">
        <f>(VLOOKUP(X1970,'[1]Simulation pricing per sub assy'!$D:$E,2,0))*Y1970</f>
        <v>1.5769808000000001</v>
      </c>
    </row>
    <row r="1971" spans="1:27" x14ac:dyDescent="0.35">
      <c r="A1971" s="27" t="s">
        <v>3282</v>
      </c>
      <c r="B1971" s="27" t="s">
        <v>3283</v>
      </c>
      <c r="C1971" s="42">
        <f t="shared" si="30"/>
        <v>120.18578079999999</v>
      </c>
      <c r="D1971" s="33" t="s">
        <v>2058</v>
      </c>
      <c r="E1971" s="33">
        <v>1</v>
      </c>
      <c r="F1971" s="33" t="s">
        <v>2059</v>
      </c>
      <c r="G1971" s="14">
        <f>(VLOOKUP(D1971,'[1]BOM Info General'!$A:$L,12,0))*E1971</f>
        <v>35.56</v>
      </c>
      <c r="H1971" s="34" t="s">
        <v>39</v>
      </c>
      <c r="I1971" s="34">
        <v>1</v>
      </c>
      <c r="J1971" s="34" t="s">
        <v>46</v>
      </c>
      <c r="K1971" s="15">
        <f>(VLOOKUP(H1971,'[1]BOM Info General'!$A:$L,12,0))*I1971</f>
        <v>24.42</v>
      </c>
      <c r="L1971" s="35" t="s">
        <v>74</v>
      </c>
      <c r="M1971" s="35">
        <v>1</v>
      </c>
      <c r="N1971" s="35" t="s">
        <v>77</v>
      </c>
      <c r="O1971" s="9">
        <f>(VLOOKUP(L1971,'[1]Simulation pricing per sub assy'!$D:$E,2,0))*M1971</f>
        <v>51.27879999999999</v>
      </c>
      <c r="P1971" s="36" t="s">
        <v>50</v>
      </c>
      <c r="Q1971" s="36">
        <v>2</v>
      </c>
      <c r="R1971" s="36" t="s">
        <v>16</v>
      </c>
      <c r="S1971" s="40">
        <f>(VLOOKUP(P1971,'[1]BOM Info General'!$A:$L,12,0))*Q1971</f>
        <v>5.3</v>
      </c>
      <c r="T1971" s="37" t="s">
        <v>10</v>
      </c>
      <c r="U1971" s="37">
        <v>1</v>
      </c>
      <c r="V1971" s="37" t="s">
        <v>11</v>
      </c>
      <c r="W1971" s="17">
        <f>(VLOOKUP(T1971,'[1]Simulation pricing per sub assy'!$D:$E,2,0))*U1971</f>
        <v>2.0499999999999998</v>
      </c>
      <c r="X1971" s="32" t="s">
        <v>615</v>
      </c>
      <c r="Y1971" s="38">
        <v>1</v>
      </c>
      <c r="Z1971" s="38" t="s">
        <v>9</v>
      </c>
      <c r="AA1971" s="18">
        <f>(VLOOKUP(X1971,'[1]Simulation pricing per sub assy'!$D:$E,2,0))*Y1971</f>
        <v>1.5769808000000001</v>
      </c>
    </row>
    <row r="1972" spans="1:27" x14ac:dyDescent="0.35">
      <c r="A1972" s="27" t="s">
        <v>3284</v>
      </c>
      <c r="B1972" s="27" t="s">
        <v>3285</v>
      </c>
      <c r="C1972" s="42">
        <f t="shared" si="30"/>
        <v>111.0657808</v>
      </c>
      <c r="D1972" s="33" t="s">
        <v>2058</v>
      </c>
      <c r="E1972" s="33">
        <v>1</v>
      </c>
      <c r="F1972" s="33" t="s">
        <v>2059</v>
      </c>
      <c r="G1972" s="14">
        <f>(VLOOKUP(D1972,'[1]BOM Info General'!$A:$L,12,0))*E1972</f>
        <v>35.56</v>
      </c>
      <c r="H1972" s="34" t="s">
        <v>39</v>
      </c>
      <c r="I1972" s="34">
        <v>1</v>
      </c>
      <c r="J1972" s="34" t="s">
        <v>46</v>
      </c>
      <c r="K1972" s="15">
        <f>(VLOOKUP(H1972,'[1]BOM Info General'!$A:$L,12,0))*I1972</f>
        <v>24.42</v>
      </c>
      <c r="L1972" s="35" t="s">
        <v>527</v>
      </c>
      <c r="M1972" s="35">
        <v>1</v>
      </c>
      <c r="N1972" s="35" t="s">
        <v>79</v>
      </c>
      <c r="O1972" s="9">
        <f>(VLOOKUP(L1972,'[1]Simulation pricing per sub assy'!$D:$E,2,0))*M1972</f>
        <v>42.308799999999991</v>
      </c>
      <c r="P1972" s="36" t="s">
        <v>50</v>
      </c>
      <c r="Q1972" s="36">
        <v>2</v>
      </c>
      <c r="R1972" s="36" t="s">
        <v>16</v>
      </c>
      <c r="S1972" s="40">
        <f>(VLOOKUP(P1972,'[1]BOM Info General'!$A:$L,12,0))*Q1972</f>
        <v>5.3</v>
      </c>
      <c r="T1972" s="37" t="s">
        <v>12</v>
      </c>
      <c r="U1972" s="37">
        <v>1</v>
      </c>
      <c r="V1972" s="37" t="s">
        <v>13</v>
      </c>
      <c r="W1972" s="17">
        <f>(VLOOKUP(T1972,'[1]Simulation pricing per sub assy'!$D:$E,2,0))*U1972</f>
        <v>1.9</v>
      </c>
      <c r="X1972" s="32" t="s">
        <v>615</v>
      </c>
      <c r="Y1972" s="38">
        <v>1</v>
      </c>
      <c r="Z1972" s="38" t="s">
        <v>9</v>
      </c>
      <c r="AA1972" s="18">
        <f>(VLOOKUP(X1972,'[1]Simulation pricing per sub assy'!$D:$E,2,0))*Y1972</f>
        <v>1.5769808000000001</v>
      </c>
    </row>
    <row r="1973" spans="1:27" x14ac:dyDescent="0.35">
      <c r="A1973" s="27" t="s">
        <v>3286</v>
      </c>
      <c r="B1973" s="27" t="s">
        <v>3287</v>
      </c>
      <c r="C1973" s="42">
        <f t="shared" si="30"/>
        <v>112.0457808</v>
      </c>
      <c r="D1973" s="33" t="s">
        <v>2058</v>
      </c>
      <c r="E1973" s="33">
        <v>1</v>
      </c>
      <c r="F1973" s="33" t="s">
        <v>2059</v>
      </c>
      <c r="G1973" s="14">
        <f>(VLOOKUP(D1973,'[1]BOM Info General'!$A:$L,12,0))*E1973</f>
        <v>35.56</v>
      </c>
      <c r="H1973" s="34" t="s">
        <v>39</v>
      </c>
      <c r="I1973" s="34">
        <v>1</v>
      </c>
      <c r="J1973" s="34" t="s">
        <v>46</v>
      </c>
      <c r="K1973" s="15">
        <f>(VLOOKUP(H1973,'[1]BOM Info General'!$A:$L,12,0))*I1973</f>
        <v>24.42</v>
      </c>
      <c r="L1973" s="35" t="s">
        <v>76</v>
      </c>
      <c r="M1973" s="35">
        <v>1</v>
      </c>
      <c r="N1973" s="35" t="s">
        <v>73</v>
      </c>
      <c r="O1973" s="9">
        <f>(VLOOKUP(L1973,'[1]Simulation pricing per sub assy'!$D:$E,2,0))*M1973</f>
        <v>43.288799999999988</v>
      </c>
      <c r="P1973" s="36" t="s">
        <v>50</v>
      </c>
      <c r="Q1973" s="36">
        <v>2</v>
      </c>
      <c r="R1973" s="36" t="s">
        <v>16</v>
      </c>
      <c r="S1973" s="40">
        <f>(VLOOKUP(P1973,'[1]BOM Info General'!$A:$L,12,0))*Q1973</f>
        <v>5.3</v>
      </c>
      <c r="T1973" s="37" t="s">
        <v>12</v>
      </c>
      <c r="U1973" s="37">
        <v>1</v>
      </c>
      <c r="V1973" s="37" t="s">
        <v>13</v>
      </c>
      <c r="W1973" s="17">
        <f>(VLOOKUP(T1973,'[1]Simulation pricing per sub assy'!$D:$E,2,0))*U1973</f>
        <v>1.9</v>
      </c>
      <c r="X1973" s="32" t="s">
        <v>615</v>
      </c>
      <c r="Y1973" s="38">
        <v>1</v>
      </c>
      <c r="Z1973" s="38" t="s">
        <v>9</v>
      </c>
      <c r="AA1973" s="18">
        <f>(VLOOKUP(X1973,'[1]Simulation pricing per sub assy'!$D:$E,2,0))*Y1973</f>
        <v>1.5769808000000001</v>
      </c>
    </row>
    <row r="1974" spans="1:27" x14ac:dyDescent="0.35">
      <c r="A1974" s="27" t="s">
        <v>3288</v>
      </c>
      <c r="B1974" s="27" t="s">
        <v>3289</v>
      </c>
      <c r="C1974" s="42">
        <f t="shared" si="30"/>
        <v>112.6257808</v>
      </c>
      <c r="D1974" s="33" t="s">
        <v>2058</v>
      </c>
      <c r="E1974" s="33">
        <v>1</v>
      </c>
      <c r="F1974" s="33" t="s">
        <v>2059</v>
      </c>
      <c r="G1974" s="14">
        <f>(VLOOKUP(D1974,'[1]BOM Info General'!$A:$L,12,0))*E1974</f>
        <v>35.56</v>
      </c>
      <c r="H1974" s="34" t="s">
        <v>39</v>
      </c>
      <c r="I1974" s="34">
        <v>1</v>
      </c>
      <c r="J1974" s="34" t="s">
        <v>46</v>
      </c>
      <c r="K1974" s="15">
        <f>(VLOOKUP(H1974,'[1]BOM Info General'!$A:$L,12,0))*I1974</f>
        <v>24.42</v>
      </c>
      <c r="L1974" s="35" t="s">
        <v>72</v>
      </c>
      <c r="M1974" s="35">
        <v>1</v>
      </c>
      <c r="N1974" s="35" t="s">
        <v>71</v>
      </c>
      <c r="O1974" s="9">
        <f>(VLOOKUP(L1974,'[1]Simulation pricing per sub assy'!$D:$E,2,0))*M1974</f>
        <v>43.868799999999993</v>
      </c>
      <c r="P1974" s="36" t="s">
        <v>50</v>
      </c>
      <c r="Q1974" s="36">
        <v>2</v>
      </c>
      <c r="R1974" s="36" t="s">
        <v>16</v>
      </c>
      <c r="S1974" s="40">
        <f>(VLOOKUP(P1974,'[1]BOM Info General'!$A:$L,12,0))*Q1974</f>
        <v>5.3</v>
      </c>
      <c r="T1974" s="37" t="s">
        <v>12</v>
      </c>
      <c r="U1974" s="37">
        <v>1</v>
      </c>
      <c r="V1974" s="37" t="s">
        <v>13</v>
      </c>
      <c r="W1974" s="17">
        <f>(VLOOKUP(T1974,'[1]Simulation pricing per sub assy'!$D:$E,2,0))*U1974</f>
        <v>1.9</v>
      </c>
      <c r="X1974" s="32" t="s">
        <v>615</v>
      </c>
      <c r="Y1974" s="38">
        <v>1</v>
      </c>
      <c r="Z1974" s="38" t="s">
        <v>9</v>
      </c>
      <c r="AA1974" s="18">
        <f>(VLOOKUP(X1974,'[1]Simulation pricing per sub assy'!$D:$E,2,0))*Y1974</f>
        <v>1.5769808000000001</v>
      </c>
    </row>
    <row r="1975" spans="1:27" x14ac:dyDescent="0.35">
      <c r="A1975" s="27" t="s">
        <v>3290</v>
      </c>
      <c r="B1975" s="27" t="s">
        <v>3291</v>
      </c>
      <c r="C1975" s="42">
        <f t="shared" si="30"/>
        <v>112.3657808</v>
      </c>
      <c r="D1975" s="33" t="s">
        <v>2058</v>
      </c>
      <c r="E1975" s="33">
        <v>1</v>
      </c>
      <c r="F1975" s="33" t="s">
        <v>2059</v>
      </c>
      <c r="G1975" s="14">
        <f>(VLOOKUP(D1975,'[1]BOM Info General'!$A:$L,12,0))*E1975</f>
        <v>35.56</v>
      </c>
      <c r="H1975" s="34" t="s">
        <v>39</v>
      </c>
      <c r="I1975" s="34">
        <v>1</v>
      </c>
      <c r="J1975" s="34" t="s">
        <v>46</v>
      </c>
      <c r="K1975" s="15">
        <f>(VLOOKUP(H1975,'[1]BOM Info General'!$A:$L,12,0))*I1975</f>
        <v>24.42</v>
      </c>
      <c r="L1975" s="35" t="s">
        <v>78</v>
      </c>
      <c r="M1975" s="35">
        <v>1</v>
      </c>
      <c r="N1975" s="35" t="s">
        <v>75</v>
      </c>
      <c r="O1975" s="9">
        <f>(VLOOKUP(L1975,'[1]Simulation pricing per sub assy'!$D:$E,2,0))*M1975</f>
        <v>43.608799999999988</v>
      </c>
      <c r="P1975" s="36" t="s">
        <v>50</v>
      </c>
      <c r="Q1975" s="36">
        <v>2</v>
      </c>
      <c r="R1975" s="36" t="s">
        <v>16</v>
      </c>
      <c r="S1975" s="40">
        <f>(VLOOKUP(P1975,'[1]BOM Info General'!$A:$L,12,0))*Q1975</f>
        <v>5.3</v>
      </c>
      <c r="T1975" s="37" t="s">
        <v>12</v>
      </c>
      <c r="U1975" s="37">
        <v>1</v>
      </c>
      <c r="V1975" s="37" t="s">
        <v>13</v>
      </c>
      <c r="W1975" s="17">
        <f>(VLOOKUP(T1975,'[1]Simulation pricing per sub assy'!$D:$E,2,0))*U1975</f>
        <v>1.9</v>
      </c>
      <c r="X1975" s="32" t="s">
        <v>615</v>
      </c>
      <c r="Y1975" s="38">
        <v>1</v>
      </c>
      <c r="Z1975" s="38" t="s">
        <v>9</v>
      </c>
      <c r="AA1975" s="18">
        <f>(VLOOKUP(X1975,'[1]Simulation pricing per sub assy'!$D:$E,2,0))*Y1975</f>
        <v>1.5769808000000001</v>
      </c>
    </row>
    <row r="1976" spans="1:27" x14ac:dyDescent="0.35">
      <c r="A1976" s="27" t="s">
        <v>3292</v>
      </c>
      <c r="B1976" s="27" t="s">
        <v>3293</v>
      </c>
      <c r="C1976" s="42">
        <f t="shared" si="30"/>
        <v>120.0357808</v>
      </c>
      <c r="D1976" s="33" t="s">
        <v>2058</v>
      </c>
      <c r="E1976" s="33">
        <v>1</v>
      </c>
      <c r="F1976" s="33" t="s">
        <v>2059</v>
      </c>
      <c r="G1976" s="14">
        <f>(VLOOKUP(D1976,'[1]BOM Info General'!$A:$L,12,0))*E1976</f>
        <v>35.56</v>
      </c>
      <c r="H1976" s="34" t="s">
        <v>39</v>
      </c>
      <c r="I1976" s="34">
        <v>1</v>
      </c>
      <c r="J1976" s="34" t="s">
        <v>46</v>
      </c>
      <c r="K1976" s="15">
        <f>(VLOOKUP(H1976,'[1]BOM Info General'!$A:$L,12,0))*I1976</f>
        <v>24.42</v>
      </c>
      <c r="L1976" s="35" t="s">
        <v>74</v>
      </c>
      <c r="M1976" s="35">
        <v>1</v>
      </c>
      <c r="N1976" s="35" t="s">
        <v>77</v>
      </c>
      <c r="O1976" s="9">
        <f>(VLOOKUP(L1976,'[1]Simulation pricing per sub assy'!$D:$E,2,0))*M1976</f>
        <v>51.27879999999999</v>
      </c>
      <c r="P1976" s="36" t="s">
        <v>50</v>
      </c>
      <c r="Q1976" s="36">
        <v>2</v>
      </c>
      <c r="R1976" s="36" t="s">
        <v>16</v>
      </c>
      <c r="S1976" s="40">
        <f>(VLOOKUP(P1976,'[1]BOM Info General'!$A:$L,12,0))*Q1976</f>
        <v>5.3</v>
      </c>
      <c r="T1976" s="37" t="s">
        <v>12</v>
      </c>
      <c r="U1976" s="37">
        <v>1</v>
      </c>
      <c r="V1976" s="37" t="s">
        <v>13</v>
      </c>
      <c r="W1976" s="17">
        <f>(VLOOKUP(T1976,'[1]Simulation pricing per sub assy'!$D:$E,2,0))*U1976</f>
        <v>1.9</v>
      </c>
      <c r="X1976" s="32" t="s">
        <v>615</v>
      </c>
      <c r="Y1976" s="38">
        <v>1</v>
      </c>
      <c r="Z1976" s="38" t="s">
        <v>9</v>
      </c>
      <c r="AA1976" s="18">
        <f>(VLOOKUP(X1976,'[1]Simulation pricing per sub assy'!$D:$E,2,0))*Y1976</f>
        <v>1.5769808000000001</v>
      </c>
    </row>
    <row r="1977" spans="1:27" x14ac:dyDescent="0.35">
      <c r="A1977" s="27" t="s">
        <v>3294</v>
      </c>
      <c r="B1977" s="27" t="s">
        <v>3295</v>
      </c>
      <c r="C1977" s="42">
        <f t="shared" si="30"/>
        <v>111.0657808</v>
      </c>
      <c r="D1977" s="33" t="s">
        <v>2058</v>
      </c>
      <c r="E1977" s="33">
        <v>1</v>
      </c>
      <c r="F1977" s="33" t="s">
        <v>2059</v>
      </c>
      <c r="G1977" s="14">
        <f>(VLOOKUP(D1977,'[1]BOM Info General'!$A:$L,12,0))*E1977</f>
        <v>35.56</v>
      </c>
      <c r="H1977" s="34" t="s">
        <v>39</v>
      </c>
      <c r="I1977" s="34">
        <v>1</v>
      </c>
      <c r="J1977" s="34" t="s">
        <v>46</v>
      </c>
      <c r="K1977" s="15">
        <f>(VLOOKUP(H1977,'[1]BOM Info General'!$A:$L,12,0))*I1977</f>
        <v>24.42</v>
      </c>
      <c r="L1977" s="35" t="s">
        <v>527</v>
      </c>
      <c r="M1977" s="35">
        <v>1</v>
      </c>
      <c r="N1977" s="35" t="s">
        <v>79</v>
      </c>
      <c r="O1977" s="9">
        <f>(VLOOKUP(L1977,'[1]Simulation pricing per sub assy'!$D:$E,2,0))*M1977</f>
        <v>42.308799999999991</v>
      </c>
      <c r="P1977" s="36" t="s">
        <v>50</v>
      </c>
      <c r="Q1977" s="36">
        <v>2</v>
      </c>
      <c r="R1977" s="36" t="s">
        <v>16</v>
      </c>
      <c r="S1977" s="40">
        <f>(VLOOKUP(P1977,'[1]BOM Info General'!$A:$L,12,0))*Q1977</f>
        <v>5.3</v>
      </c>
      <c r="T1977" s="37" t="s">
        <v>14</v>
      </c>
      <c r="U1977" s="37">
        <v>1</v>
      </c>
      <c r="V1977" s="37" t="s">
        <v>15</v>
      </c>
      <c r="W1977" s="17">
        <f>(VLOOKUP(T1977,'[1]Simulation pricing per sub assy'!$D:$E,2,0))*U1977</f>
        <v>1.9</v>
      </c>
      <c r="X1977" s="32" t="s">
        <v>615</v>
      </c>
      <c r="Y1977" s="38">
        <v>1</v>
      </c>
      <c r="Z1977" s="38" t="s">
        <v>9</v>
      </c>
      <c r="AA1977" s="18">
        <f>(VLOOKUP(X1977,'[1]Simulation pricing per sub assy'!$D:$E,2,0))*Y1977</f>
        <v>1.5769808000000001</v>
      </c>
    </row>
    <row r="1978" spans="1:27" x14ac:dyDescent="0.35">
      <c r="A1978" s="27" t="s">
        <v>3296</v>
      </c>
      <c r="B1978" s="27" t="s">
        <v>3297</v>
      </c>
      <c r="C1978" s="42">
        <f t="shared" si="30"/>
        <v>112.0457808</v>
      </c>
      <c r="D1978" s="33" t="s">
        <v>2058</v>
      </c>
      <c r="E1978" s="33">
        <v>1</v>
      </c>
      <c r="F1978" s="33" t="s">
        <v>2059</v>
      </c>
      <c r="G1978" s="14">
        <f>(VLOOKUP(D1978,'[1]BOM Info General'!$A:$L,12,0))*E1978</f>
        <v>35.56</v>
      </c>
      <c r="H1978" s="34" t="s">
        <v>39</v>
      </c>
      <c r="I1978" s="34">
        <v>1</v>
      </c>
      <c r="J1978" s="34" t="s">
        <v>46</v>
      </c>
      <c r="K1978" s="15">
        <f>(VLOOKUP(H1978,'[1]BOM Info General'!$A:$L,12,0))*I1978</f>
        <v>24.42</v>
      </c>
      <c r="L1978" s="35" t="s">
        <v>76</v>
      </c>
      <c r="M1978" s="35">
        <v>1</v>
      </c>
      <c r="N1978" s="35" t="s">
        <v>73</v>
      </c>
      <c r="O1978" s="9">
        <f>(VLOOKUP(L1978,'[1]Simulation pricing per sub assy'!$D:$E,2,0))*M1978</f>
        <v>43.288799999999988</v>
      </c>
      <c r="P1978" s="36" t="s">
        <v>50</v>
      </c>
      <c r="Q1978" s="36">
        <v>2</v>
      </c>
      <c r="R1978" s="36" t="s">
        <v>16</v>
      </c>
      <c r="S1978" s="40">
        <f>(VLOOKUP(P1978,'[1]BOM Info General'!$A:$L,12,0))*Q1978</f>
        <v>5.3</v>
      </c>
      <c r="T1978" s="37" t="s">
        <v>14</v>
      </c>
      <c r="U1978" s="37">
        <v>1</v>
      </c>
      <c r="V1978" s="37" t="s">
        <v>15</v>
      </c>
      <c r="W1978" s="17">
        <f>(VLOOKUP(T1978,'[1]Simulation pricing per sub assy'!$D:$E,2,0))*U1978</f>
        <v>1.9</v>
      </c>
      <c r="X1978" s="32" t="s">
        <v>615</v>
      </c>
      <c r="Y1978" s="38">
        <v>1</v>
      </c>
      <c r="Z1978" s="38" t="s">
        <v>9</v>
      </c>
      <c r="AA1978" s="18">
        <f>(VLOOKUP(X1978,'[1]Simulation pricing per sub assy'!$D:$E,2,0))*Y1978</f>
        <v>1.5769808000000001</v>
      </c>
    </row>
    <row r="1979" spans="1:27" x14ac:dyDescent="0.35">
      <c r="A1979" s="27" t="s">
        <v>3298</v>
      </c>
      <c r="B1979" s="27" t="s">
        <v>3299</v>
      </c>
      <c r="C1979" s="42">
        <f t="shared" si="30"/>
        <v>112.6257808</v>
      </c>
      <c r="D1979" s="33" t="s">
        <v>2058</v>
      </c>
      <c r="E1979" s="33">
        <v>1</v>
      </c>
      <c r="F1979" s="33" t="s">
        <v>2059</v>
      </c>
      <c r="G1979" s="14">
        <f>(VLOOKUP(D1979,'[1]BOM Info General'!$A:$L,12,0))*E1979</f>
        <v>35.56</v>
      </c>
      <c r="H1979" s="34" t="s">
        <v>39</v>
      </c>
      <c r="I1979" s="34">
        <v>1</v>
      </c>
      <c r="J1979" s="34" t="s">
        <v>46</v>
      </c>
      <c r="K1979" s="15">
        <f>(VLOOKUP(H1979,'[1]BOM Info General'!$A:$L,12,0))*I1979</f>
        <v>24.42</v>
      </c>
      <c r="L1979" s="35" t="s">
        <v>72</v>
      </c>
      <c r="M1979" s="35">
        <v>1</v>
      </c>
      <c r="N1979" s="35" t="s">
        <v>71</v>
      </c>
      <c r="O1979" s="9">
        <f>(VLOOKUP(L1979,'[1]Simulation pricing per sub assy'!$D:$E,2,0))*M1979</f>
        <v>43.868799999999993</v>
      </c>
      <c r="P1979" s="36" t="s">
        <v>50</v>
      </c>
      <c r="Q1979" s="36">
        <v>2</v>
      </c>
      <c r="R1979" s="36" t="s">
        <v>16</v>
      </c>
      <c r="S1979" s="40">
        <f>(VLOOKUP(P1979,'[1]BOM Info General'!$A:$L,12,0))*Q1979</f>
        <v>5.3</v>
      </c>
      <c r="T1979" s="37" t="s">
        <v>14</v>
      </c>
      <c r="U1979" s="37">
        <v>1</v>
      </c>
      <c r="V1979" s="37" t="s">
        <v>15</v>
      </c>
      <c r="W1979" s="17">
        <f>(VLOOKUP(T1979,'[1]Simulation pricing per sub assy'!$D:$E,2,0))*U1979</f>
        <v>1.9</v>
      </c>
      <c r="X1979" s="32" t="s">
        <v>615</v>
      </c>
      <c r="Y1979" s="38">
        <v>1</v>
      </c>
      <c r="Z1979" s="38" t="s">
        <v>9</v>
      </c>
      <c r="AA1979" s="18">
        <f>(VLOOKUP(X1979,'[1]Simulation pricing per sub assy'!$D:$E,2,0))*Y1979</f>
        <v>1.5769808000000001</v>
      </c>
    </row>
    <row r="1980" spans="1:27" x14ac:dyDescent="0.35">
      <c r="A1980" s="27" t="s">
        <v>3300</v>
      </c>
      <c r="B1980" s="27" t="s">
        <v>3301</v>
      </c>
      <c r="C1980" s="42">
        <f t="shared" si="30"/>
        <v>112.3657808</v>
      </c>
      <c r="D1980" s="33" t="s">
        <v>2058</v>
      </c>
      <c r="E1980" s="33">
        <v>1</v>
      </c>
      <c r="F1980" s="33" t="s">
        <v>2059</v>
      </c>
      <c r="G1980" s="14">
        <f>(VLOOKUP(D1980,'[1]BOM Info General'!$A:$L,12,0))*E1980</f>
        <v>35.56</v>
      </c>
      <c r="H1980" s="34" t="s">
        <v>39</v>
      </c>
      <c r="I1980" s="34">
        <v>1</v>
      </c>
      <c r="J1980" s="34" t="s">
        <v>46</v>
      </c>
      <c r="K1980" s="15">
        <f>(VLOOKUP(H1980,'[1]BOM Info General'!$A:$L,12,0))*I1980</f>
        <v>24.42</v>
      </c>
      <c r="L1980" s="35" t="s">
        <v>78</v>
      </c>
      <c r="M1980" s="35">
        <v>1</v>
      </c>
      <c r="N1980" s="35" t="s">
        <v>75</v>
      </c>
      <c r="O1980" s="9">
        <f>(VLOOKUP(L1980,'[1]Simulation pricing per sub assy'!$D:$E,2,0))*M1980</f>
        <v>43.608799999999988</v>
      </c>
      <c r="P1980" s="36" t="s">
        <v>50</v>
      </c>
      <c r="Q1980" s="36">
        <v>2</v>
      </c>
      <c r="R1980" s="36" t="s">
        <v>16</v>
      </c>
      <c r="S1980" s="40">
        <f>(VLOOKUP(P1980,'[1]BOM Info General'!$A:$L,12,0))*Q1980</f>
        <v>5.3</v>
      </c>
      <c r="T1980" s="37" t="s">
        <v>14</v>
      </c>
      <c r="U1980" s="37">
        <v>1</v>
      </c>
      <c r="V1980" s="37" t="s">
        <v>15</v>
      </c>
      <c r="W1980" s="17">
        <f>(VLOOKUP(T1980,'[1]Simulation pricing per sub assy'!$D:$E,2,0))*U1980</f>
        <v>1.9</v>
      </c>
      <c r="X1980" s="32" t="s">
        <v>615</v>
      </c>
      <c r="Y1980" s="38">
        <v>1</v>
      </c>
      <c r="Z1980" s="38" t="s">
        <v>9</v>
      </c>
      <c r="AA1980" s="18">
        <f>(VLOOKUP(X1980,'[1]Simulation pricing per sub assy'!$D:$E,2,0))*Y1980</f>
        <v>1.5769808000000001</v>
      </c>
    </row>
    <row r="1981" spans="1:27" x14ac:dyDescent="0.35">
      <c r="A1981" s="27" t="s">
        <v>3302</v>
      </c>
      <c r="B1981" s="27" t="s">
        <v>3303</v>
      </c>
      <c r="C1981" s="42">
        <f t="shared" si="30"/>
        <v>120.0357808</v>
      </c>
      <c r="D1981" s="33" t="s">
        <v>2058</v>
      </c>
      <c r="E1981" s="33">
        <v>1</v>
      </c>
      <c r="F1981" s="33" t="s">
        <v>2059</v>
      </c>
      <c r="G1981" s="14">
        <f>(VLOOKUP(D1981,'[1]BOM Info General'!$A:$L,12,0))*E1981</f>
        <v>35.56</v>
      </c>
      <c r="H1981" s="34" t="s">
        <v>39</v>
      </c>
      <c r="I1981" s="34">
        <v>1</v>
      </c>
      <c r="J1981" s="34" t="s">
        <v>46</v>
      </c>
      <c r="K1981" s="15">
        <f>(VLOOKUP(H1981,'[1]BOM Info General'!$A:$L,12,0))*I1981</f>
        <v>24.42</v>
      </c>
      <c r="L1981" s="35" t="s">
        <v>74</v>
      </c>
      <c r="M1981" s="35">
        <v>1</v>
      </c>
      <c r="N1981" s="35" t="s">
        <v>77</v>
      </c>
      <c r="O1981" s="9">
        <f>(VLOOKUP(L1981,'[1]Simulation pricing per sub assy'!$D:$E,2,0))*M1981</f>
        <v>51.27879999999999</v>
      </c>
      <c r="P1981" s="36" t="s">
        <v>50</v>
      </c>
      <c r="Q1981" s="36">
        <v>2</v>
      </c>
      <c r="R1981" s="36" t="s">
        <v>16</v>
      </c>
      <c r="S1981" s="40">
        <f>(VLOOKUP(P1981,'[1]BOM Info General'!$A:$L,12,0))*Q1981</f>
        <v>5.3</v>
      </c>
      <c r="T1981" s="37" t="s">
        <v>14</v>
      </c>
      <c r="U1981" s="37">
        <v>1</v>
      </c>
      <c r="V1981" s="37" t="s">
        <v>15</v>
      </c>
      <c r="W1981" s="17">
        <f>(VLOOKUP(T1981,'[1]Simulation pricing per sub assy'!$D:$E,2,0))*U1981</f>
        <v>1.9</v>
      </c>
      <c r="X1981" s="32" t="s">
        <v>615</v>
      </c>
      <c r="Y1981" s="38">
        <v>1</v>
      </c>
      <c r="Z1981" s="38" t="s">
        <v>9</v>
      </c>
      <c r="AA1981" s="18">
        <f>(VLOOKUP(X1981,'[1]Simulation pricing per sub assy'!$D:$E,2,0))*Y1981</f>
        <v>1.5769808000000001</v>
      </c>
    </row>
    <row r="1982" spans="1:27" x14ac:dyDescent="0.35">
      <c r="A1982" s="27" t="s">
        <v>3304</v>
      </c>
      <c r="B1982" s="27" t="s">
        <v>3305</v>
      </c>
      <c r="C1982" s="42">
        <f t="shared" si="30"/>
        <v>111.21578079999999</v>
      </c>
      <c r="D1982" s="33" t="s">
        <v>2058</v>
      </c>
      <c r="E1982" s="33">
        <v>1</v>
      </c>
      <c r="F1982" s="33" t="s">
        <v>2059</v>
      </c>
      <c r="G1982" s="14">
        <f>(VLOOKUP(D1982,'[1]BOM Info General'!$A:$L,12,0))*E1982</f>
        <v>35.56</v>
      </c>
      <c r="H1982" s="34" t="s">
        <v>39</v>
      </c>
      <c r="I1982" s="34">
        <v>1</v>
      </c>
      <c r="J1982" s="34" t="s">
        <v>46</v>
      </c>
      <c r="K1982" s="15">
        <f>(VLOOKUP(H1982,'[1]BOM Info General'!$A:$L,12,0))*I1982</f>
        <v>24.42</v>
      </c>
      <c r="L1982" s="35" t="s">
        <v>527</v>
      </c>
      <c r="M1982" s="35">
        <v>1</v>
      </c>
      <c r="N1982" s="35" t="s">
        <v>79</v>
      </c>
      <c r="O1982" s="9">
        <f>(VLOOKUP(L1982,'[1]Simulation pricing per sub assy'!$D:$E,2,0))*M1982</f>
        <v>42.308799999999991</v>
      </c>
      <c r="P1982" s="36" t="s">
        <v>51</v>
      </c>
      <c r="Q1982" s="36">
        <v>2</v>
      </c>
      <c r="R1982" s="36" t="s">
        <v>17</v>
      </c>
      <c r="S1982" s="40">
        <f>(VLOOKUP(P1982,'[1]BOM Info General'!$A:$L,12,0))*Q1982</f>
        <v>5.3</v>
      </c>
      <c r="T1982" s="37" t="s">
        <v>10</v>
      </c>
      <c r="U1982" s="37">
        <v>1</v>
      </c>
      <c r="V1982" s="37" t="s">
        <v>11</v>
      </c>
      <c r="W1982" s="17">
        <f>(VLOOKUP(T1982,'[1]Simulation pricing per sub assy'!$D:$E,2,0))*U1982</f>
        <v>2.0499999999999998</v>
      </c>
      <c r="X1982" s="32" t="s">
        <v>615</v>
      </c>
      <c r="Y1982" s="38">
        <v>1</v>
      </c>
      <c r="Z1982" s="38" t="s">
        <v>9</v>
      </c>
      <c r="AA1982" s="18">
        <f>(VLOOKUP(X1982,'[1]Simulation pricing per sub assy'!$D:$E,2,0))*Y1982</f>
        <v>1.5769808000000001</v>
      </c>
    </row>
    <row r="1983" spans="1:27" x14ac:dyDescent="0.35">
      <c r="A1983" s="27" t="s">
        <v>3306</v>
      </c>
      <c r="B1983" s="27" t="s">
        <v>3307</v>
      </c>
      <c r="C1983" s="42">
        <f t="shared" si="30"/>
        <v>112.19578079999999</v>
      </c>
      <c r="D1983" s="33" t="s">
        <v>2058</v>
      </c>
      <c r="E1983" s="33">
        <v>1</v>
      </c>
      <c r="F1983" s="33" t="s">
        <v>2059</v>
      </c>
      <c r="G1983" s="14">
        <f>(VLOOKUP(D1983,'[1]BOM Info General'!$A:$L,12,0))*E1983</f>
        <v>35.56</v>
      </c>
      <c r="H1983" s="34" t="s">
        <v>39</v>
      </c>
      <c r="I1983" s="34">
        <v>1</v>
      </c>
      <c r="J1983" s="34" t="s">
        <v>46</v>
      </c>
      <c r="K1983" s="15">
        <f>(VLOOKUP(H1983,'[1]BOM Info General'!$A:$L,12,0))*I1983</f>
        <v>24.42</v>
      </c>
      <c r="L1983" s="35" t="s">
        <v>76</v>
      </c>
      <c r="M1983" s="35">
        <v>1</v>
      </c>
      <c r="N1983" s="35" t="s">
        <v>73</v>
      </c>
      <c r="O1983" s="9">
        <f>(VLOOKUP(L1983,'[1]Simulation pricing per sub assy'!$D:$E,2,0))*M1983</f>
        <v>43.288799999999988</v>
      </c>
      <c r="P1983" s="36" t="s">
        <v>51</v>
      </c>
      <c r="Q1983" s="36">
        <v>2</v>
      </c>
      <c r="R1983" s="36" t="s">
        <v>17</v>
      </c>
      <c r="S1983" s="40">
        <f>(VLOOKUP(P1983,'[1]BOM Info General'!$A:$L,12,0))*Q1983</f>
        <v>5.3</v>
      </c>
      <c r="T1983" s="37" t="s">
        <v>10</v>
      </c>
      <c r="U1983" s="37">
        <v>1</v>
      </c>
      <c r="V1983" s="37" t="s">
        <v>11</v>
      </c>
      <c r="W1983" s="17">
        <f>(VLOOKUP(T1983,'[1]Simulation pricing per sub assy'!$D:$E,2,0))*U1983</f>
        <v>2.0499999999999998</v>
      </c>
      <c r="X1983" s="32" t="s">
        <v>615</v>
      </c>
      <c r="Y1983" s="38">
        <v>1</v>
      </c>
      <c r="Z1983" s="38" t="s">
        <v>9</v>
      </c>
      <c r="AA1983" s="18">
        <f>(VLOOKUP(X1983,'[1]Simulation pricing per sub assy'!$D:$E,2,0))*Y1983</f>
        <v>1.5769808000000001</v>
      </c>
    </row>
    <row r="1984" spans="1:27" x14ac:dyDescent="0.35">
      <c r="A1984" s="27" t="s">
        <v>3308</v>
      </c>
      <c r="B1984" s="27" t="s">
        <v>3309</v>
      </c>
      <c r="C1984" s="42">
        <f t="shared" si="30"/>
        <v>112.77578079999999</v>
      </c>
      <c r="D1984" s="33" t="s">
        <v>2058</v>
      </c>
      <c r="E1984" s="33">
        <v>1</v>
      </c>
      <c r="F1984" s="33" t="s">
        <v>2059</v>
      </c>
      <c r="G1984" s="14">
        <f>(VLOOKUP(D1984,'[1]BOM Info General'!$A:$L,12,0))*E1984</f>
        <v>35.56</v>
      </c>
      <c r="H1984" s="34" t="s">
        <v>39</v>
      </c>
      <c r="I1984" s="34">
        <v>1</v>
      </c>
      <c r="J1984" s="34" t="s">
        <v>46</v>
      </c>
      <c r="K1984" s="15">
        <f>(VLOOKUP(H1984,'[1]BOM Info General'!$A:$L,12,0))*I1984</f>
        <v>24.42</v>
      </c>
      <c r="L1984" s="35" t="s">
        <v>72</v>
      </c>
      <c r="M1984" s="35">
        <v>1</v>
      </c>
      <c r="N1984" s="35" t="s">
        <v>71</v>
      </c>
      <c r="O1984" s="9">
        <f>(VLOOKUP(L1984,'[1]Simulation pricing per sub assy'!$D:$E,2,0))*M1984</f>
        <v>43.868799999999993</v>
      </c>
      <c r="P1984" s="36" t="s">
        <v>51</v>
      </c>
      <c r="Q1984" s="36">
        <v>2</v>
      </c>
      <c r="R1984" s="36" t="s">
        <v>17</v>
      </c>
      <c r="S1984" s="40">
        <f>(VLOOKUP(P1984,'[1]BOM Info General'!$A:$L,12,0))*Q1984</f>
        <v>5.3</v>
      </c>
      <c r="T1984" s="37" t="s">
        <v>10</v>
      </c>
      <c r="U1984" s="37">
        <v>1</v>
      </c>
      <c r="V1984" s="37" t="s">
        <v>11</v>
      </c>
      <c r="W1984" s="17">
        <f>(VLOOKUP(T1984,'[1]Simulation pricing per sub assy'!$D:$E,2,0))*U1984</f>
        <v>2.0499999999999998</v>
      </c>
      <c r="X1984" s="32" t="s">
        <v>615</v>
      </c>
      <c r="Y1984" s="38">
        <v>1</v>
      </c>
      <c r="Z1984" s="38" t="s">
        <v>9</v>
      </c>
      <c r="AA1984" s="18">
        <f>(VLOOKUP(X1984,'[1]Simulation pricing per sub assy'!$D:$E,2,0))*Y1984</f>
        <v>1.5769808000000001</v>
      </c>
    </row>
    <row r="1985" spans="1:27" x14ac:dyDescent="0.35">
      <c r="A1985" s="27" t="s">
        <v>3310</v>
      </c>
      <c r="B1985" s="27" t="s">
        <v>3311</v>
      </c>
      <c r="C1985" s="42">
        <f t="shared" si="30"/>
        <v>112.51578079999999</v>
      </c>
      <c r="D1985" s="33" t="s">
        <v>2058</v>
      </c>
      <c r="E1985" s="33">
        <v>1</v>
      </c>
      <c r="F1985" s="33" t="s">
        <v>2059</v>
      </c>
      <c r="G1985" s="14">
        <f>(VLOOKUP(D1985,'[1]BOM Info General'!$A:$L,12,0))*E1985</f>
        <v>35.56</v>
      </c>
      <c r="H1985" s="34" t="s">
        <v>39</v>
      </c>
      <c r="I1985" s="34">
        <v>1</v>
      </c>
      <c r="J1985" s="34" t="s">
        <v>46</v>
      </c>
      <c r="K1985" s="15">
        <f>(VLOOKUP(H1985,'[1]BOM Info General'!$A:$L,12,0))*I1985</f>
        <v>24.42</v>
      </c>
      <c r="L1985" s="35" t="s">
        <v>78</v>
      </c>
      <c r="M1985" s="35">
        <v>1</v>
      </c>
      <c r="N1985" s="35" t="s">
        <v>75</v>
      </c>
      <c r="O1985" s="9">
        <f>(VLOOKUP(L1985,'[1]Simulation pricing per sub assy'!$D:$E,2,0))*M1985</f>
        <v>43.608799999999988</v>
      </c>
      <c r="P1985" s="36" t="s">
        <v>51</v>
      </c>
      <c r="Q1985" s="36">
        <v>2</v>
      </c>
      <c r="R1985" s="36" t="s">
        <v>17</v>
      </c>
      <c r="S1985" s="40">
        <f>(VLOOKUP(P1985,'[1]BOM Info General'!$A:$L,12,0))*Q1985</f>
        <v>5.3</v>
      </c>
      <c r="T1985" s="37" t="s">
        <v>10</v>
      </c>
      <c r="U1985" s="37">
        <v>1</v>
      </c>
      <c r="V1985" s="37" t="s">
        <v>11</v>
      </c>
      <c r="W1985" s="17">
        <f>(VLOOKUP(T1985,'[1]Simulation pricing per sub assy'!$D:$E,2,0))*U1985</f>
        <v>2.0499999999999998</v>
      </c>
      <c r="X1985" s="32" t="s">
        <v>615</v>
      </c>
      <c r="Y1985" s="38">
        <v>1</v>
      </c>
      <c r="Z1985" s="38" t="s">
        <v>9</v>
      </c>
      <c r="AA1985" s="18">
        <f>(VLOOKUP(X1985,'[1]Simulation pricing per sub assy'!$D:$E,2,0))*Y1985</f>
        <v>1.5769808000000001</v>
      </c>
    </row>
    <row r="1986" spans="1:27" x14ac:dyDescent="0.35">
      <c r="A1986" s="27" t="s">
        <v>3312</v>
      </c>
      <c r="B1986" s="27" t="s">
        <v>3313</v>
      </c>
      <c r="C1986" s="42">
        <f t="shared" si="30"/>
        <v>120.18578079999999</v>
      </c>
      <c r="D1986" s="33" t="s">
        <v>2058</v>
      </c>
      <c r="E1986" s="33">
        <v>1</v>
      </c>
      <c r="F1986" s="33" t="s">
        <v>2059</v>
      </c>
      <c r="G1986" s="14">
        <f>(VLOOKUP(D1986,'[1]BOM Info General'!$A:$L,12,0))*E1986</f>
        <v>35.56</v>
      </c>
      <c r="H1986" s="34" t="s">
        <v>39</v>
      </c>
      <c r="I1986" s="34">
        <v>1</v>
      </c>
      <c r="J1986" s="34" t="s">
        <v>46</v>
      </c>
      <c r="K1986" s="15">
        <f>(VLOOKUP(H1986,'[1]BOM Info General'!$A:$L,12,0))*I1986</f>
        <v>24.42</v>
      </c>
      <c r="L1986" s="35" t="s">
        <v>74</v>
      </c>
      <c r="M1986" s="35">
        <v>1</v>
      </c>
      <c r="N1986" s="35" t="s">
        <v>77</v>
      </c>
      <c r="O1986" s="9">
        <f>(VLOOKUP(L1986,'[1]Simulation pricing per sub assy'!$D:$E,2,0))*M1986</f>
        <v>51.27879999999999</v>
      </c>
      <c r="P1986" s="36" t="s">
        <v>51</v>
      </c>
      <c r="Q1986" s="36">
        <v>2</v>
      </c>
      <c r="R1986" s="36" t="s">
        <v>17</v>
      </c>
      <c r="S1986" s="40">
        <f>(VLOOKUP(P1986,'[1]BOM Info General'!$A:$L,12,0))*Q1986</f>
        <v>5.3</v>
      </c>
      <c r="T1986" s="37" t="s">
        <v>10</v>
      </c>
      <c r="U1986" s="37">
        <v>1</v>
      </c>
      <c r="V1986" s="37" t="s">
        <v>11</v>
      </c>
      <c r="W1986" s="17">
        <f>(VLOOKUP(T1986,'[1]Simulation pricing per sub assy'!$D:$E,2,0))*U1986</f>
        <v>2.0499999999999998</v>
      </c>
      <c r="X1986" s="32" t="s">
        <v>615</v>
      </c>
      <c r="Y1986" s="38">
        <v>1</v>
      </c>
      <c r="Z1986" s="38" t="s">
        <v>9</v>
      </c>
      <c r="AA1986" s="18">
        <f>(VLOOKUP(X1986,'[1]Simulation pricing per sub assy'!$D:$E,2,0))*Y1986</f>
        <v>1.5769808000000001</v>
      </c>
    </row>
    <row r="1987" spans="1:27" x14ac:dyDescent="0.35">
      <c r="A1987" s="27" t="s">
        <v>3314</v>
      </c>
      <c r="B1987" s="27" t="s">
        <v>3315</v>
      </c>
      <c r="C1987" s="42">
        <f t="shared" ref="C1987:C2050" si="31">SUM(G1987+K1987+O1987+S1987+W1987+AA1987)</f>
        <v>111.0657808</v>
      </c>
      <c r="D1987" s="33" t="s">
        <v>2058</v>
      </c>
      <c r="E1987" s="33">
        <v>1</v>
      </c>
      <c r="F1987" s="33" t="s">
        <v>2059</v>
      </c>
      <c r="G1987" s="14">
        <f>(VLOOKUP(D1987,'[1]BOM Info General'!$A:$L,12,0))*E1987</f>
        <v>35.56</v>
      </c>
      <c r="H1987" s="34" t="s">
        <v>39</v>
      </c>
      <c r="I1987" s="34">
        <v>1</v>
      </c>
      <c r="J1987" s="34" t="s">
        <v>46</v>
      </c>
      <c r="K1987" s="15">
        <f>(VLOOKUP(H1987,'[1]BOM Info General'!$A:$L,12,0))*I1987</f>
        <v>24.42</v>
      </c>
      <c r="L1987" s="35" t="s">
        <v>527</v>
      </c>
      <c r="M1987" s="35">
        <v>1</v>
      </c>
      <c r="N1987" s="35" t="s">
        <v>79</v>
      </c>
      <c r="O1987" s="9">
        <f>(VLOOKUP(L1987,'[1]Simulation pricing per sub assy'!$D:$E,2,0))*M1987</f>
        <v>42.308799999999991</v>
      </c>
      <c r="P1987" s="36" t="s">
        <v>51</v>
      </c>
      <c r="Q1987" s="36">
        <v>2</v>
      </c>
      <c r="R1987" s="36" t="s">
        <v>17</v>
      </c>
      <c r="S1987" s="40">
        <f>(VLOOKUP(P1987,'[1]BOM Info General'!$A:$L,12,0))*Q1987</f>
        <v>5.3</v>
      </c>
      <c r="T1987" s="37" t="s">
        <v>12</v>
      </c>
      <c r="U1987" s="37">
        <v>1</v>
      </c>
      <c r="V1987" s="37" t="s">
        <v>13</v>
      </c>
      <c r="W1987" s="17">
        <f>(VLOOKUP(T1987,'[1]Simulation pricing per sub assy'!$D:$E,2,0))*U1987</f>
        <v>1.9</v>
      </c>
      <c r="X1987" s="32" t="s">
        <v>615</v>
      </c>
      <c r="Y1987" s="38">
        <v>1</v>
      </c>
      <c r="Z1987" s="38" t="s">
        <v>9</v>
      </c>
      <c r="AA1987" s="18">
        <f>(VLOOKUP(X1987,'[1]Simulation pricing per sub assy'!$D:$E,2,0))*Y1987</f>
        <v>1.5769808000000001</v>
      </c>
    </row>
    <row r="1988" spans="1:27" x14ac:dyDescent="0.35">
      <c r="A1988" s="27" t="s">
        <v>3316</v>
      </c>
      <c r="B1988" s="27" t="s">
        <v>3317</v>
      </c>
      <c r="C1988" s="42">
        <f t="shared" si="31"/>
        <v>112.0457808</v>
      </c>
      <c r="D1988" s="33" t="s">
        <v>2058</v>
      </c>
      <c r="E1988" s="33">
        <v>1</v>
      </c>
      <c r="F1988" s="33" t="s">
        <v>2059</v>
      </c>
      <c r="G1988" s="14">
        <f>(VLOOKUP(D1988,'[1]BOM Info General'!$A:$L,12,0))*E1988</f>
        <v>35.56</v>
      </c>
      <c r="H1988" s="34" t="s">
        <v>39</v>
      </c>
      <c r="I1988" s="34">
        <v>1</v>
      </c>
      <c r="J1988" s="34" t="s">
        <v>46</v>
      </c>
      <c r="K1988" s="15">
        <f>(VLOOKUP(H1988,'[1]BOM Info General'!$A:$L,12,0))*I1988</f>
        <v>24.42</v>
      </c>
      <c r="L1988" s="35" t="s">
        <v>76</v>
      </c>
      <c r="M1988" s="35">
        <v>1</v>
      </c>
      <c r="N1988" s="35" t="s">
        <v>73</v>
      </c>
      <c r="O1988" s="9">
        <f>(VLOOKUP(L1988,'[1]Simulation pricing per sub assy'!$D:$E,2,0))*M1988</f>
        <v>43.288799999999988</v>
      </c>
      <c r="P1988" s="36" t="s">
        <v>51</v>
      </c>
      <c r="Q1988" s="36">
        <v>2</v>
      </c>
      <c r="R1988" s="36" t="s">
        <v>17</v>
      </c>
      <c r="S1988" s="40">
        <f>(VLOOKUP(P1988,'[1]BOM Info General'!$A:$L,12,0))*Q1988</f>
        <v>5.3</v>
      </c>
      <c r="T1988" s="37" t="s">
        <v>12</v>
      </c>
      <c r="U1988" s="37">
        <v>1</v>
      </c>
      <c r="V1988" s="37" t="s">
        <v>13</v>
      </c>
      <c r="W1988" s="17">
        <f>(VLOOKUP(T1988,'[1]Simulation pricing per sub assy'!$D:$E,2,0))*U1988</f>
        <v>1.9</v>
      </c>
      <c r="X1988" s="32" t="s">
        <v>615</v>
      </c>
      <c r="Y1988" s="38">
        <v>1</v>
      </c>
      <c r="Z1988" s="38" t="s">
        <v>9</v>
      </c>
      <c r="AA1988" s="18">
        <f>(VLOOKUP(X1988,'[1]Simulation pricing per sub assy'!$D:$E,2,0))*Y1988</f>
        <v>1.5769808000000001</v>
      </c>
    </row>
    <row r="1989" spans="1:27" x14ac:dyDescent="0.35">
      <c r="A1989" s="27" t="s">
        <v>3318</v>
      </c>
      <c r="B1989" s="27" t="s">
        <v>3319</v>
      </c>
      <c r="C1989" s="42">
        <f t="shared" si="31"/>
        <v>112.6257808</v>
      </c>
      <c r="D1989" s="33" t="s">
        <v>2058</v>
      </c>
      <c r="E1989" s="33">
        <v>1</v>
      </c>
      <c r="F1989" s="33" t="s">
        <v>2059</v>
      </c>
      <c r="G1989" s="14">
        <f>(VLOOKUP(D1989,'[1]BOM Info General'!$A:$L,12,0))*E1989</f>
        <v>35.56</v>
      </c>
      <c r="H1989" s="34" t="s">
        <v>39</v>
      </c>
      <c r="I1989" s="34">
        <v>1</v>
      </c>
      <c r="J1989" s="34" t="s">
        <v>46</v>
      </c>
      <c r="K1989" s="15">
        <f>(VLOOKUP(H1989,'[1]BOM Info General'!$A:$L,12,0))*I1989</f>
        <v>24.42</v>
      </c>
      <c r="L1989" s="35" t="s">
        <v>72</v>
      </c>
      <c r="M1989" s="35">
        <v>1</v>
      </c>
      <c r="N1989" s="35" t="s">
        <v>71</v>
      </c>
      <c r="O1989" s="9">
        <f>(VLOOKUP(L1989,'[1]Simulation pricing per sub assy'!$D:$E,2,0))*M1989</f>
        <v>43.868799999999993</v>
      </c>
      <c r="P1989" s="36" t="s">
        <v>51</v>
      </c>
      <c r="Q1989" s="36">
        <v>2</v>
      </c>
      <c r="R1989" s="36" t="s">
        <v>17</v>
      </c>
      <c r="S1989" s="40">
        <f>(VLOOKUP(P1989,'[1]BOM Info General'!$A:$L,12,0))*Q1989</f>
        <v>5.3</v>
      </c>
      <c r="T1989" s="37" t="s">
        <v>12</v>
      </c>
      <c r="U1989" s="37">
        <v>1</v>
      </c>
      <c r="V1989" s="37" t="s">
        <v>13</v>
      </c>
      <c r="W1989" s="17">
        <f>(VLOOKUP(T1989,'[1]Simulation pricing per sub assy'!$D:$E,2,0))*U1989</f>
        <v>1.9</v>
      </c>
      <c r="X1989" s="32" t="s">
        <v>615</v>
      </c>
      <c r="Y1989" s="38">
        <v>1</v>
      </c>
      <c r="Z1989" s="38" t="s">
        <v>9</v>
      </c>
      <c r="AA1989" s="18">
        <f>(VLOOKUP(X1989,'[1]Simulation pricing per sub assy'!$D:$E,2,0))*Y1989</f>
        <v>1.5769808000000001</v>
      </c>
    </row>
    <row r="1990" spans="1:27" x14ac:dyDescent="0.35">
      <c r="A1990" s="27" t="s">
        <v>3320</v>
      </c>
      <c r="B1990" s="27" t="s">
        <v>3321</v>
      </c>
      <c r="C1990" s="42">
        <f t="shared" si="31"/>
        <v>112.3657808</v>
      </c>
      <c r="D1990" s="33" t="s">
        <v>2058</v>
      </c>
      <c r="E1990" s="33">
        <v>1</v>
      </c>
      <c r="F1990" s="33" t="s">
        <v>2059</v>
      </c>
      <c r="G1990" s="14">
        <f>(VLOOKUP(D1990,'[1]BOM Info General'!$A:$L,12,0))*E1990</f>
        <v>35.56</v>
      </c>
      <c r="H1990" s="34" t="s">
        <v>39</v>
      </c>
      <c r="I1990" s="34">
        <v>1</v>
      </c>
      <c r="J1990" s="34" t="s">
        <v>46</v>
      </c>
      <c r="K1990" s="15">
        <f>(VLOOKUP(H1990,'[1]BOM Info General'!$A:$L,12,0))*I1990</f>
        <v>24.42</v>
      </c>
      <c r="L1990" s="35" t="s">
        <v>78</v>
      </c>
      <c r="M1990" s="35">
        <v>1</v>
      </c>
      <c r="N1990" s="35" t="s">
        <v>75</v>
      </c>
      <c r="O1990" s="9">
        <f>(VLOOKUP(L1990,'[1]Simulation pricing per sub assy'!$D:$E,2,0))*M1990</f>
        <v>43.608799999999988</v>
      </c>
      <c r="P1990" s="36" t="s">
        <v>51</v>
      </c>
      <c r="Q1990" s="36">
        <v>2</v>
      </c>
      <c r="R1990" s="36" t="s">
        <v>17</v>
      </c>
      <c r="S1990" s="40">
        <f>(VLOOKUP(P1990,'[1]BOM Info General'!$A:$L,12,0))*Q1990</f>
        <v>5.3</v>
      </c>
      <c r="T1990" s="37" t="s">
        <v>12</v>
      </c>
      <c r="U1990" s="37">
        <v>1</v>
      </c>
      <c r="V1990" s="37" t="s">
        <v>13</v>
      </c>
      <c r="W1990" s="17">
        <f>(VLOOKUP(T1990,'[1]Simulation pricing per sub assy'!$D:$E,2,0))*U1990</f>
        <v>1.9</v>
      </c>
      <c r="X1990" s="32" t="s">
        <v>615</v>
      </c>
      <c r="Y1990" s="38">
        <v>1</v>
      </c>
      <c r="Z1990" s="38" t="s">
        <v>9</v>
      </c>
      <c r="AA1990" s="18">
        <f>(VLOOKUP(X1990,'[1]Simulation pricing per sub assy'!$D:$E,2,0))*Y1990</f>
        <v>1.5769808000000001</v>
      </c>
    </row>
    <row r="1991" spans="1:27" x14ac:dyDescent="0.35">
      <c r="A1991" s="27" t="s">
        <v>3322</v>
      </c>
      <c r="B1991" s="27" t="s">
        <v>3323</v>
      </c>
      <c r="C1991" s="42">
        <f t="shared" si="31"/>
        <v>120.0357808</v>
      </c>
      <c r="D1991" s="33" t="s">
        <v>2058</v>
      </c>
      <c r="E1991" s="33">
        <v>1</v>
      </c>
      <c r="F1991" s="33" t="s">
        <v>2059</v>
      </c>
      <c r="G1991" s="14">
        <f>(VLOOKUP(D1991,'[1]BOM Info General'!$A:$L,12,0))*E1991</f>
        <v>35.56</v>
      </c>
      <c r="H1991" s="34" t="s">
        <v>39</v>
      </c>
      <c r="I1991" s="34">
        <v>1</v>
      </c>
      <c r="J1991" s="34" t="s">
        <v>46</v>
      </c>
      <c r="K1991" s="15">
        <f>(VLOOKUP(H1991,'[1]BOM Info General'!$A:$L,12,0))*I1991</f>
        <v>24.42</v>
      </c>
      <c r="L1991" s="35" t="s">
        <v>74</v>
      </c>
      <c r="M1991" s="35">
        <v>1</v>
      </c>
      <c r="N1991" s="35" t="s">
        <v>77</v>
      </c>
      <c r="O1991" s="9">
        <f>(VLOOKUP(L1991,'[1]Simulation pricing per sub assy'!$D:$E,2,0))*M1991</f>
        <v>51.27879999999999</v>
      </c>
      <c r="P1991" s="36" t="s">
        <v>51</v>
      </c>
      <c r="Q1991" s="36">
        <v>2</v>
      </c>
      <c r="R1991" s="36" t="s">
        <v>17</v>
      </c>
      <c r="S1991" s="40">
        <f>(VLOOKUP(P1991,'[1]BOM Info General'!$A:$L,12,0))*Q1991</f>
        <v>5.3</v>
      </c>
      <c r="T1991" s="37" t="s">
        <v>12</v>
      </c>
      <c r="U1991" s="37">
        <v>1</v>
      </c>
      <c r="V1991" s="37" t="s">
        <v>13</v>
      </c>
      <c r="W1991" s="17">
        <f>(VLOOKUP(T1991,'[1]Simulation pricing per sub assy'!$D:$E,2,0))*U1991</f>
        <v>1.9</v>
      </c>
      <c r="X1991" s="32" t="s">
        <v>615</v>
      </c>
      <c r="Y1991" s="38">
        <v>1</v>
      </c>
      <c r="Z1991" s="38" t="s">
        <v>9</v>
      </c>
      <c r="AA1991" s="18">
        <f>(VLOOKUP(X1991,'[1]Simulation pricing per sub assy'!$D:$E,2,0))*Y1991</f>
        <v>1.5769808000000001</v>
      </c>
    </row>
    <row r="1992" spans="1:27" x14ac:dyDescent="0.35">
      <c r="A1992" s="27" t="s">
        <v>3324</v>
      </c>
      <c r="B1992" s="27" t="s">
        <v>3325</v>
      </c>
      <c r="C1992" s="42">
        <f t="shared" si="31"/>
        <v>111.0657808</v>
      </c>
      <c r="D1992" s="33" t="s">
        <v>2058</v>
      </c>
      <c r="E1992" s="33">
        <v>1</v>
      </c>
      <c r="F1992" s="33" t="s">
        <v>2059</v>
      </c>
      <c r="G1992" s="14">
        <f>(VLOOKUP(D1992,'[1]BOM Info General'!$A:$L,12,0))*E1992</f>
        <v>35.56</v>
      </c>
      <c r="H1992" s="34" t="s">
        <v>39</v>
      </c>
      <c r="I1992" s="34">
        <v>1</v>
      </c>
      <c r="J1992" s="34" t="s">
        <v>46</v>
      </c>
      <c r="K1992" s="15">
        <f>(VLOOKUP(H1992,'[1]BOM Info General'!$A:$L,12,0))*I1992</f>
        <v>24.42</v>
      </c>
      <c r="L1992" s="35" t="s">
        <v>527</v>
      </c>
      <c r="M1992" s="35">
        <v>1</v>
      </c>
      <c r="N1992" s="35" t="s">
        <v>79</v>
      </c>
      <c r="O1992" s="9">
        <f>(VLOOKUP(L1992,'[1]Simulation pricing per sub assy'!$D:$E,2,0))*M1992</f>
        <v>42.308799999999991</v>
      </c>
      <c r="P1992" s="36" t="s">
        <v>51</v>
      </c>
      <c r="Q1992" s="36">
        <v>2</v>
      </c>
      <c r="R1992" s="36" t="s">
        <v>17</v>
      </c>
      <c r="S1992" s="40">
        <f>(VLOOKUP(P1992,'[1]BOM Info General'!$A:$L,12,0))*Q1992</f>
        <v>5.3</v>
      </c>
      <c r="T1992" s="37" t="s">
        <v>14</v>
      </c>
      <c r="U1992" s="37">
        <v>1</v>
      </c>
      <c r="V1992" s="37" t="s">
        <v>15</v>
      </c>
      <c r="W1992" s="17">
        <f>(VLOOKUP(T1992,'[1]Simulation pricing per sub assy'!$D:$E,2,0))*U1992</f>
        <v>1.9</v>
      </c>
      <c r="X1992" s="32" t="s">
        <v>615</v>
      </c>
      <c r="Y1992" s="38">
        <v>1</v>
      </c>
      <c r="Z1992" s="38" t="s">
        <v>9</v>
      </c>
      <c r="AA1992" s="18">
        <f>(VLOOKUP(X1992,'[1]Simulation pricing per sub assy'!$D:$E,2,0))*Y1992</f>
        <v>1.5769808000000001</v>
      </c>
    </row>
    <row r="1993" spans="1:27" x14ac:dyDescent="0.35">
      <c r="A1993" s="27" t="s">
        <v>3326</v>
      </c>
      <c r="B1993" s="27" t="s">
        <v>3327</v>
      </c>
      <c r="C1993" s="42">
        <f t="shared" si="31"/>
        <v>112.0457808</v>
      </c>
      <c r="D1993" s="33" t="s">
        <v>2058</v>
      </c>
      <c r="E1993" s="33">
        <v>1</v>
      </c>
      <c r="F1993" s="33" t="s">
        <v>2059</v>
      </c>
      <c r="G1993" s="14">
        <f>(VLOOKUP(D1993,'[1]BOM Info General'!$A:$L,12,0))*E1993</f>
        <v>35.56</v>
      </c>
      <c r="H1993" s="34" t="s">
        <v>39</v>
      </c>
      <c r="I1993" s="34">
        <v>1</v>
      </c>
      <c r="J1993" s="34" t="s">
        <v>46</v>
      </c>
      <c r="K1993" s="15">
        <f>(VLOOKUP(H1993,'[1]BOM Info General'!$A:$L,12,0))*I1993</f>
        <v>24.42</v>
      </c>
      <c r="L1993" s="35" t="s">
        <v>76</v>
      </c>
      <c r="M1993" s="35">
        <v>1</v>
      </c>
      <c r="N1993" s="35" t="s">
        <v>73</v>
      </c>
      <c r="O1993" s="9">
        <f>(VLOOKUP(L1993,'[1]Simulation pricing per sub assy'!$D:$E,2,0))*M1993</f>
        <v>43.288799999999988</v>
      </c>
      <c r="P1993" s="36" t="s">
        <v>51</v>
      </c>
      <c r="Q1993" s="36">
        <v>2</v>
      </c>
      <c r="R1993" s="36" t="s">
        <v>17</v>
      </c>
      <c r="S1993" s="40">
        <f>(VLOOKUP(P1993,'[1]BOM Info General'!$A:$L,12,0))*Q1993</f>
        <v>5.3</v>
      </c>
      <c r="T1993" s="37" t="s">
        <v>14</v>
      </c>
      <c r="U1993" s="37">
        <v>1</v>
      </c>
      <c r="V1993" s="37" t="s">
        <v>15</v>
      </c>
      <c r="W1993" s="17">
        <f>(VLOOKUP(T1993,'[1]Simulation pricing per sub assy'!$D:$E,2,0))*U1993</f>
        <v>1.9</v>
      </c>
      <c r="X1993" s="32" t="s">
        <v>615</v>
      </c>
      <c r="Y1993" s="38">
        <v>1</v>
      </c>
      <c r="Z1993" s="38" t="s">
        <v>9</v>
      </c>
      <c r="AA1993" s="18">
        <f>(VLOOKUP(X1993,'[1]Simulation pricing per sub assy'!$D:$E,2,0))*Y1993</f>
        <v>1.5769808000000001</v>
      </c>
    </row>
    <row r="1994" spans="1:27" x14ac:dyDescent="0.35">
      <c r="A1994" s="27" t="s">
        <v>3328</v>
      </c>
      <c r="B1994" s="27" t="s">
        <v>3329</v>
      </c>
      <c r="C1994" s="42">
        <f t="shared" si="31"/>
        <v>112.6257808</v>
      </c>
      <c r="D1994" s="33" t="s">
        <v>2058</v>
      </c>
      <c r="E1994" s="33">
        <v>1</v>
      </c>
      <c r="F1994" s="33" t="s">
        <v>2059</v>
      </c>
      <c r="G1994" s="14">
        <f>(VLOOKUP(D1994,'[1]BOM Info General'!$A:$L,12,0))*E1994</f>
        <v>35.56</v>
      </c>
      <c r="H1994" s="34" t="s">
        <v>39</v>
      </c>
      <c r="I1994" s="34">
        <v>1</v>
      </c>
      <c r="J1994" s="34" t="s">
        <v>46</v>
      </c>
      <c r="K1994" s="15">
        <f>(VLOOKUP(H1994,'[1]BOM Info General'!$A:$L,12,0))*I1994</f>
        <v>24.42</v>
      </c>
      <c r="L1994" s="35" t="s">
        <v>72</v>
      </c>
      <c r="M1994" s="35">
        <v>1</v>
      </c>
      <c r="N1994" s="35" t="s">
        <v>71</v>
      </c>
      <c r="O1994" s="9">
        <f>(VLOOKUP(L1994,'[1]Simulation pricing per sub assy'!$D:$E,2,0))*M1994</f>
        <v>43.868799999999993</v>
      </c>
      <c r="P1994" s="36" t="s">
        <v>51</v>
      </c>
      <c r="Q1994" s="36">
        <v>2</v>
      </c>
      <c r="R1994" s="36" t="s">
        <v>17</v>
      </c>
      <c r="S1994" s="40">
        <f>(VLOOKUP(P1994,'[1]BOM Info General'!$A:$L,12,0))*Q1994</f>
        <v>5.3</v>
      </c>
      <c r="T1994" s="37" t="s">
        <v>14</v>
      </c>
      <c r="U1994" s="37">
        <v>1</v>
      </c>
      <c r="V1994" s="37" t="s">
        <v>15</v>
      </c>
      <c r="W1994" s="17">
        <f>(VLOOKUP(T1994,'[1]Simulation pricing per sub assy'!$D:$E,2,0))*U1994</f>
        <v>1.9</v>
      </c>
      <c r="X1994" s="32" t="s">
        <v>615</v>
      </c>
      <c r="Y1994" s="38">
        <v>1</v>
      </c>
      <c r="Z1994" s="38" t="s">
        <v>9</v>
      </c>
      <c r="AA1994" s="18">
        <f>(VLOOKUP(X1994,'[1]Simulation pricing per sub assy'!$D:$E,2,0))*Y1994</f>
        <v>1.5769808000000001</v>
      </c>
    </row>
    <row r="1995" spans="1:27" x14ac:dyDescent="0.35">
      <c r="A1995" s="27" t="s">
        <v>3330</v>
      </c>
      <c r="B1995" s="27" t="s">
        <v>3331</v>
      </c>
      <c r="C1995" s="42">
        <f t="shared" si="31"/>
        <v>112.3657808</v>
      </c>
      <c r="D1995" s="33" t="s">
        <v>2058</v>
      </c>
      <c r="E1995" s="33">
        <v>1</v>
      </c>
      <c r="F1995" s="33" t="s">
        <v>2059</v>
      </c>
      <c r="G1995" s="14">
        <f>(VLOOKUP(D1995,'[1]BOM Info General'!$A:$L,12,0))*E1995</f>
        <v>35.56</v>
      </c>
      <c r="H1995" s="34" t="s">
        <v>39</v>
      </c>
      <c r="I1995" s="34">
        <v>1</v>
      </c>
      <c r="J1995" s="34" t="s">
        <v>46</v>
      </c>
      <c r="K1995" s="15">
        <f>(VLOOKUP(H1995,'[1]BOM Info General'!$A:$L,12,0))*I1995</f>
        <v>24.42</v>
      </c>
      <c r="L1995" s="35" t="s">
        <v>78</v>
      </c>
      <c r="M1995" s="35">
        <v>1</v>
      </c>
      <c r="N1995" s="35" t="s">
        <v>75</v>
      </c>
      <c r="O1995" s="9">
        <f>(VLOOKUP(L1995,'[1]Simulation pricing per sub assy'!$D:$E,2,0))*M1995</f>
        <v>43.608799999999988</v>
      </c>
      <c r="P1995" s="36" t="s">
        <v>51</v>
      </c>
      <c r="Q1995" s="36">
        <v>2</v>
      </c>
      <c r="R1995" s="36" t="s">
        <v>17</v>
      </c>
      <c r="S1995" s="40">
        <f>(VLOOKUP(P1995,'[1]BOM Info General'!$A:$L,12,0))*Q1995</f>
        <v>5.3</v>
      </c>
      <c r="T1995" s="37" t="s">
        <v>14</v>
      </c>
      <c r="U1995" s="37">
        <v>1</v>
      </c>
      <c r="V1995" s="37" t="s">
        <v>15</v>
      </c>
      <c r="W1995" s="17">
        <f>(VLOOKUP(T1995,'[1]Simulation pricing per sub assy'!$D:$E,2,0))*U1995</f>
        <v>1.9</v>
      </c>
      <c r="X1995" s="32" t="s">
        <v>615</v>
      </c>
      <c r="Y1995" s="38">
        <v>1</v>
      </c>
      <c r="Z1995" s="38" t="s">
        <v>9</v>
      </c>
      <c r="AA1995" s="18">
        <f>(VLOOKUP(X1995,'[1]Simulation pricing per sub assy'!$D:$E,2,0))*Y1995</f>
        <v>1.5769808000000001</v>
      </c>
    </row>
    <row r="1996" spans="1:27" x14ac:dyDescent="0.35">
      <c r="A1996" s="27" t="s">
        <v>3332</v>
      </c>
      <c r="B1996" s="27" t="s">
        <v>3333</v>
      </c>
      <c r="C1996" s="42">
        <f t="shared" si="31"/>
        <v>120.0357808</v>
      </c>
      <c r="D1996" s="33" t="s">
        <v>2058</v>
      </c>
      <c r="E1996" s="33">
        <v>1</v>
      </c>
      <c r="F1996" s="33" t="s">
        <v>2059</v>
      </c>
      <c r="G1996" s="14">
        <f>(VLOOKUP(D1996,'[1]BOM Info General'!$A:$L,12,0))*E1996</f>
        <v>35.56</v>
      </c>
      <c r="H1996" s="34" t="s">
        <v>39</v>
      </c>
      <c r="I1996" s="34">
        <v>1</v>
      </c>
      <c r="J1996" s="34" t="s">
        <v>46</v>
      </c>
      <c r="K1996" s="15">
        <f>(VLOOKUP(H1996,'[1]BOM Info General'!$A:$L,12,0))*I1996</f>
        <v>24.42</v>
      </c>
      <c r="L1996" s="35" t="s">
        <v>74</v>
      </c>
      <c r="M1996" s="35">
        <v>1</v>
      </c>
      <c r="N1996" s="35" t="s">
        <v>77</v>
      </c>
      <c r="O1996" s="9">
        <f>(VLOOKUP(L1996,'[1]Simulation pricing per sub assy'!$D:$E,2,0))*M1996</f>
        <v>51.27879999999999</v>
      </c>
      <c r="P1996" s="36" t="s">
        <v>51</v>
      </c>
      <c r="Q1996" s="36">
        <v>2</v>
      </c>
      <c r="R1996" s="36" t="s">
        <v>17</v>
      </c>
      <c r="S1996" s="40">
        <f>(VLOOKUP(P1996,'[1]BOM Info General'!$A:$L,12,0))*Q1996</f>
        <v>5.3</v>
      </c>
      <c r="T1996" s="37" t="s">
        <v>14</v>
      </c>
      <c r="U1996" s="37">
        <v>1</v>
      </c>
      <c r="V1996" s="37" t="s">
        <v>15</v>
      </c>
      <c r="W1996" s="17">
        <f>(VLOOKUP(T1996,'[1]Simulation pricing per sub assy'!$D:$E,2,0))*U1996</f>
        <v>1.9</v>
      </c>
      <c r="X1996" s="32" t="s">
        <v>615</v>
      </c>
      <c r="Y1996" s="38">
        <v>1</v>
      </c>
      <c r="Z1996" s="38" t="s">
        <v>9</v>
      </c>
      <c r="AA1996" s="18">
        <f>(VLOOKUP(X1996,'[1]Simulation pricing per sub assy'!$D:$E,2,0))*Y1996</f>
        <v>1.5769808000000001</v>
      </c>
    </row>
    <row r="1997" spans="1:27" x14ac:dyDescent="0.35">
      <c r="A1997" s="27" t="s">
        <v>3334</v>
      </c>
      <c r="B1997" s="27" t="s">
        <v>3335</v>
      </c>
      <c r="C1997" s="42">
        <f t="shared" si="31"/>
        <v>111.21578079999999</v>
      </c>
      <c r="D1997" s="33" t="s">
        <v>2058</v>
      </c>
      <c r="E1997" s="33">
        <v>1</v>
      </c>
      <c r="F1997" s="33" t="s">
        <v>2059</v>
      </c>
      <c r="G1997" s="14">
        <f>(VLOOKUP(D1997,'[1]BOM Info General'!$A:$L,12,0))*E1997</f>
        <v>35.56</v>
      </c>
      <c r="H1997" s="34" t="s">
        <v>39</v>
      </c>
      <c r="I1997" s="34">
        <v>1</v>
      </c>
      <c r="J1997" s="34" t="s">
        <v>46</v>
      </c>
      <c r="K1997" s="15">
        <f>(VLOOKUP(H1997,'[1]BOM Info General'!$A:$L,12,0))*I1997</f>
        <v>24.42</v>
      </c>
      <c r="L1997" s="35" t="s">
        <v>527</v>
      </c>
      <c r="M1997" s="35">
        <v>1</v>
      </c>
      <c r="N1997" s="35" t="s">
        <v>79</v>
      </c>
      <c r="O1997" s="9">
        <f>(VLOOKUP(L1997,'[1]Simulation pricing per sub assy'!$D:$E,2,0))*M1997</f>
        <v>42.308799999999991</v>
      </c>
      <c r="P1997" s="36" t="s">
        <v>52</v>
      </c>
      <c r="Q1997" s="36">
        <v>2</v>
      </c>
      <c r="R1997" s="36" t="s">
        <v>18</v>
      </c>
      <c r="S1997" s="40">
        <f>(VLOOKUP(P1997,'[1]BOM Info General'!$A:$L,12,0))*Q1997</f>
        <v>5.3</v>
      </c>
      <c r="T1997" s="37" t="s">
        <v>10</v>
      </c>
      <c r="U1997" s="37">
        <v>1</v>
      </c>
      <c r="V1997" s="37" t="s">
        <v>11</v>
      </c>
      <c r="W1997" s="17">
        <f>(VLOOKUP(T1997,'[1]Simulation pricing per sub assy'!$D:$E,2,0))*U1997</f>
        <v>2.0499999999999998</v>
      </c>
      <c r="X1997" s="32" t="s">
        <v>615</v>
      </c>
      <c r="Y1997" s="38">
        <v>1</v>
      </c>
      <c r="Z1997" s="38" t="s">
        <v>9</v>
      </c>
      <c r="AA1997" s="18">
        <f>(VLOOKUP(X1997,'[1]Simulation pricing per sub assy'!$D:$E,2,0))*Y1997</f>
        <v>1.5769808000000001</v>
      </c>
    </row>
    <row r="1998" spans="1:27" x14ac:dyDescent="0.35">
      <c r="A1998" s="27" t="s">
        <v>3336</v>
      </c>
      <c r="B1998" s="27" t="s">
        <v>3337</v>
      </c>
      <c r="C1998" s="42">
        <f t="shared" si="31"/>
        <v>112.19578079999999</v>
      </c>
      <c r="D1998" s="33" t="s">
        <v>2058</v>
      </c>
      <c r="E1998" s="33">
        <v>1</v>
      </c>
      <c r="F1998" s="33" t="s">
        <v>2059</v>
      </c>
      <c r="G1998" s="14">
        <f>(VLOOKUP(D1998,'[1]BOM Info General'!$A:$L,12,0))*E1998</f>
        <v>35.56</v>
      </c>
      <c r="H1998" s="34" t="s">
        <v>39</v>
      </c>
      <c r="I1998" s="34">
        <v>1</v>
      </c>
      <c r="J1998" s="34" t="s">
        <v>46</v>
      </c>
      <c r="K1998" s="15">
        <f>(VLOOKUP(H1998,'[1]BOM Info General'!$A:$L,12,0))*I1998</f>
        <v>24.42</v>
      </c>
      <c r="L1998" s="35" t="s">
        <v>76</v>
      </c>
      <c r="M1998" s="35">
        <v>1</v>
      </c>
      <c r="N1998" s="35" t="s">
        <v>73</v>
      </c>
      <c r="O1998" s="9">
        <f>(VLOOKUP(L1998,'[1]Simulation pricing per sub assy'!$D:$E,2,0))*M1998</f>
        <v>43.288799999999988</v>
      </c>
      <c r="P1998" s="36" t="s">
        <v>52</v>
      </c>
      <c r="Q1998" s="36">
        <v>2</v>
      </c>
      <c r="R1998" s="36" t="s">
        <v>18</v>
      </c>
      <c r="S1998" s="40">
        <f>(VLOOKUP(P1998,'[1]BOM Info General'!$A:$L,12,0))*Q1998</f>
        <v>5.3</v>
      </c>
      <c r="T1998" s="37" t="s">
        <v>10</v>
      </c>
      <c r="U1998" s="37">
        <v>1</v>
      </c>
      <c r="V1998" s="37" t="s">
        <v>11</v>
      </c>
      <c r="W1998" s="17">
        <f>(VLOOKUP(T1998,'[1]Simulation pricing per sub assy'!$D:$E,2,0))*U1998</f>
        <v>2.0499999999999998</v>
      </c>
      <c r="X1998" s="32" t="s">
        <v>615</v>
      </c>
      <c r="Y1998" s="38">
        <v>1</v>
      </c>
      <c r="Z1998" s="38" t="s">
        <v>9</v>
      </c>
      <c r="AA1998" s="18">
        <f>(VLOOKUP(X1998,'[1]Simulation pricing per sub assy'!$D:$E,2,0))*Y1998</f>
        <v>1.5769808000000001</v>
      </c>
    </row>
    <row r="1999" spans="1:27" x14ac:dyDescent="0.35">
      <c r="A1999" s="27" t="s">
        <v>3338</v>
      </c>
      <c r="B1999" s="27" t="s">
        <v>3339</v>
      </c>
      <c r="C1999" s="42">
        <f t="shared" si="31"/>
        <v>112.77578079999999</v>
      </c>
      <c r="D1999" s="33" t="s">
        <v>2058</v>
      </c>
      <c r="E1999" s="33">
        <v>1</v>
      </c>
      <c r="F1999" s="33" t="s">
        <v>2059</v>
      </c>
      <c r="G1999" s="14">
        <f>(VLOOKUP(D1999,'[1]BOM Info General'!$A:$L,12,0))*E1999</f>
        <v>35.56</v>
      </c>
      <c r="H1999" s="34" t="s">
        <v>39</v>
      </c>
      <c r="I1999" s="34">
        <v>1</v>
      </c>
      <c r="J1999" s="34" t="s">
        <v>46</v>
      </c>
      <c r="K1999" s="15">
        <f>(VLOOKUP(H1999,'[1]BOM Info General'!$A:$L,12,0))*I1999</f>
        <v>24.42</v>
      </c>
      <c r="L1999" s="35" t="s">
        <v>72</v>
      </c>
      <c r="M1999" s="35">
        <v>1</v>
      </c>
      <c r="N1999" s="35" t="s">
        <v>71</v>
      </c>
      <c r="O1999" s="9">
        <f>(VLOOKUP(L1999,'[1]Simulation pricing per sub assy'!$D:$E,2,0))*M1999</f>
        <v>43.868799999999993</v>
      </c>
      <c r="P1999" s="36" t="s">
        <v>52</v>
      </c>
      <c r="Q1999" s="36">
        <v>2</v>
      </c>
      <c r="R1999" s="36" t="s">
        <v>18</v>
      </c>
      <c r="S1999" s="40">
        <f>(VLOOKUP(P1999,'[1]BOM Info General'!$A:$L,12,0))*Q1999</f>
        <v>5.3</v>
      </c>
      <c r="T1999" s="37" t="s">
        <v>10</v>
      </c>
      <c r="U1999" s="37">
        <v>1</v>
      </c>
      <c r="V1999" s="37" t="s">
        <v>11</v>
      </c>
      <c r="W1999" s="17">
        <f>(VLOOKUP(T1999,'[1]Simulation pricing per sub assy'!$D:$E,2,0))*U1999</f>
        <v>2.0499999999999998</v>
      </c>
      <c r="X1999" s="32" t="s">
        <v>615</v>
      </c>
      <c r="Y1999" s="38">
        <v>1</v>
      </c>
      <c r="Z1999" s="38" t="s">
        <v>9</v>
      </c>
      <c r="AA1999" s="18">
        <f>(VLOOKUP(X1999,'[1]Simulation pricing per sub assy'!$D:$E,2,0))*Y1999</f>
        <v>1.5769808000000001</v>
      </c>
    </row>
    <row r="2000" spans="1:27" x14ac:dyDescent="0.35">
      <c r="A2000" s="27" t="s">
        <v>3340</v>
      </c>
      <c r="B2000" s="27" t="s">
        <v>3341</v>
      </c>
      <c r="C2000" s="42">
        <f t="shared" si="31"/>
        <v>112.51578079999999</v>
      </c>
      <c r="D2000" s="33" t="s">
        <v>2058</v>
      </c>
      <c r="E2000" s="33">
        <v>1</v>
      </c>
      <c r="F2000" s="33" t="s">
        <v>2059</v>
      </c>
      <c r="G2000" s="14">
        <f>(VLOOKUP(D2000,'[1]BOM Info General'!$A:$L,12,0))*E2000</f>
        <v>35.56</v>
      </c>
      <c r="H2000" s="34" t="s">
        <v>39</v>
      </c>
      <c r="I2000" s="34">
        <v>1</v>
      </c>
      <c r="J2000" s="34" t="s">
        <v>46</v>
      </c>
      <c r="K2000" s="15">
        <f>(VLOOKUP(H2000,'[1]BOM Info General'!$A:$L,12,0))*I2000</f>
        <v>24.42</v>
      </c>
      <c r="L2000" s="35" t="s">
        <v>78</v>
      </c>
      <c r="M2000" s="35">
        <v>1</v>
      </c>
      <c r="N2000" s="35" t="s">
        <v>75</v>
      </c>
      <c r="O2000" s="9">
        <f>(VLOOKUP(L2000,'[1]Simulation pricing per sub assy'!$D:$E,2,0))*M2000</f>
        <v>43.608799999999988</v>
      </c>
      <c r="P2000" s="36" t="s">
        <v>52</v>
      </c>
      <c r="Q2000" s="36">
        <v>2</v>
      </c>
      <c r="R2000" s="36" t="s">
        <v>18</v>
      </c>
      <c r="S2000" s="40">
        <f>(VLOOKUP(P2000,'[1]BOM Info General'!$A:$L,12,0))*Q2000</f>
        <v>5.3</v>
      </c>
      <c r="T2000" s="37" t="s">
        <v>10</v>
      </c>
      <c r="U2000" s="37">
        <v>1</v>
      </c>
      <c r="V2000" s="37" t="s">
        <v>11</v>
      </c>
      <c r="W2000" s="17">
        <f>(VLOOKUP(T2000,'[1]Simulation pricing per sub assy'!$D:$E,2,0))*U2000</f>
        <v>2.0499999999999998</v>
      </c>
      <c r="X2000" s="32" t="s">
        <v>615</v>
      </c>
      <c r="Y2000" s="38">
        <v>1</v>
      </c>
      <c r="Z2000" s="38" t="s">
        <v>9</v>
      </c>
      <c r="AA2000" s="18">
        <f>(VLOOKUP(X2000,'[1]Simulation pricing per sub assy'!$D:$E,2,0))*Y2000</f>
        <v>1.5769808000000001</v>
      </c>
    </row>
    <row r="2001" spans="1:27" x14ac:dyDescent="0.35">
      <c r="A2001" s="27" t="s">
        <v>3342</v>
      </c>
      <c r="B2001" s="27" t="s">
        <v>3343</v>
      </c>
      <c r="C2001" s="42">
        <f t="shared" si="31"/>
        <v>120.18578079999999</v>
      </c>
      <c r="D2001" s="33" t="s">
        <v>2058</v>
      </c>
      <c r="E2001" s="33">
        <v>1</v>
      </c>
      <c r="F2001" s="33" t="s">
        <v>2059</v>
      </c>
      <c r="G2001" s="14">
        <f>(VLOOKUP(D2001,'[1]BOM Info General'!$A:$L,12,0))*E2001</f>
        <v>35.56</v>
      </c>
      <c r="H2001" s="34" t="s">
        <v>39</v>
      </c>
      <c r="I2001" s="34">
        <v>1</v>
      </c>
      <c r="J2001" s="34" t="s">
        <v>46</v>
      </c>
      <c r="K2001" s="15">
        <f>(VLOOKUP(H2001,'[1]BOM Info General'!$A:$L,12,0))*I2001</f>
        <v>24.42</v>
      </c>
      <c r="L2001" s="35" t="s">
        <v>74</v>
      </c>
      <c r="M2001" s="35">
        <v>1</v>
      </c>
      <c r="N2001" s="35" t="s">
        <v>77</v>
      </c>
      <c r="O2001" s="9">
        <f>(VLOOKUP(L2001,'[1]Simulation pricing per sub assy'!$D:$E,2,0))*M2001</f>
        <v>51.27879999999999</v>
      </c>
      <c r="P2001" s="36" t="s">
        <v>52</v>
      </c>
      <c r="Q2001" s="36">
        <v>2</v>
      </c>
      <c r="R2001" s="36" t="s">
        <v>18</v>
      </c>
      <c r="S2001" s="40">
        <f>(VLOOKUP(P2001,'[1]BOM Info General'!$A:$L,12,0))*Q2001</f>
        <v>5.3</v>
      </c>
      <c r="T2001" s="37" t="s">
        <v>10</v>
      </c>
      <c r="U2001" s="37">
        <v>1</v>
      </c>
      <c r="V2001" s="37" t="s">
        <v>11</v>
      </c>
      <c r="W2001" s="17">
        <f>(VLOOKUP(T2001,'[1]Simulation pricing per sub assy'!$D:$E,2,0))*U2001</f>
        <v>2.0499999999999998</v>
      </c>
      <c r="X2001" s="32" t="s">
        <v>615</v>
      </c>
      <c r="Y2001" s="38">
        <v>1</v>
      </c>
      <c r="Z2001" s="38" t="s">
        <v>9</v>
      </c>
      <c r="AA2001" s="18">
        <f>(VLOOKUP(X2001,'[1]Simulation pricing per sub assy'!$D:$E,2,0))*Y2001</f>
        <v>1.5769808000000001</v>
      </c>
    </row>
    <row r="2002" spans="1:27" x14ac:dyDescent="0.35">
      <c r="A2002" s="27" t="s">
        <v>3344</v>
      </c>
      <c r="B2002" s="27" t="s">
        <v>3345</v>
      </c>
      <c r="C2002" s="42">
        <f t="shared" si="31"/>
        <v>111.0657808</v>
      </c>
      <c r="D2002" s="33" t="s">
        <v>2058</v>
      </c>
      <c r="E2002" s="33">
        <v>1</v>
      </c>
      <c r="F2002" s="33" t="s">
        <v>2059</v>
      </c>
      <c r="G2002" s="14">
        <f>(VLOOKUP(D2002,'[1]BOM Info General'!$A:$L,12,0))*E2002</f>
        <v>35.56</v>
      </c>
      <c r="H2002" s="34" t="s">
        <v>39</v>
      </c>
      <c r="I2002" s="34">
        <v>1</v>
      </c>
      <c r="J2002" s="34" t="s">
        <v>46</v>
      </c>
      <c r="K2002" s="15">
        <f>(VLOOKUP(H2002,'[1]BOM Info General'!$A:$L,12,0))*I2002</f>
        <v>24.42</v>
      </c>
      <c r="L2002" s="35" t="s">
        <v>527</v>
      </c>
      <c r="M2002" s="35">
        <v>1</v>
      </c>
      <c r="N2002" s="35" t="s">
        <v>79</v>
      </c>
      <c r="O2002" s="9">
        <f>(VLOOKUP(L2002,'[1]Simulation pricing per sub assy'!$D:$E,2,0))*M2002</f>
        <v>42.308799999999991</v>
      </c>
      <c r="P2002" s="36" t="s">
        <v>52</v>
      </c>
      <c r="Q2002" s="36">
        <v>2</v>
      </c>
      <c r="R2002" s="36" t="s">
        <v>18</v>
      </c>
      <c r="S2002" s="40">
        <f>(VLOOKUP(P2002,'[1]BOM Info General'!$A:$L,12,0))*Q2002</f>
        <v>5.3</v>
      </c>
      <c r="T2002" s="37" t="s">
        <v>12</v>
      </c>
      <c r="U2002" s="37">
        <v>1</v>
      </c>
      <c r="V2002" s="37" t="s">
        <v>13</v>
      </c>
      <c r="W2002" s="17">
        <f>(VLOOKUP(T2002,'[1]Simulation pricing per sub assy'!$D:$E,2,0))*U2002</f>
        <v>1.9</v>
      </c>
      <c r="X2002" s="32" t="s">
        <v>615</v>
      </c>
      <c r="Y2002" s="38">
        <v>1</v>
      </c>
      <c r="Z2002" s="38" t="s">
        <v>9</v>
      </c>
      <c r="AA2002" s="18">
        <f>(VLOOKUP(X2002,'[1]Simulation pricing per sub assy'!$D:$E,2,0))*Y2002</f>
        <v>1.5769808000000001</v>
      </c>
    </row>
    <row r="2003" spans="1:27" x14ac:dyDescent="0.35">
      <c r="A2003" s="27" t="s">
        <v>3346</v>
      </c>
      <c r="B2003" s="27" t="s">
        <v>3347</v>
      </c>
      <c r="C2003" s="42">
        <f t="shared" si="31"/>
        <v>112.0457808</v>
      </c>
      <c r="D2003" s="33" t="s">
        <v>2058</v>
      </c>
      <c r="E2003" s="33">
        <v>1</v>
      </c>
      <c r="F2003" s="33" t="s">
        <v>2059</v>
      </c>
      <c r="G2003" s="14">
        <f>(VLOOKUP(D2003,'[1]BOM Info General'!$A:$L,12,0))*E2003</f>
        <v>35.56</v>
      </c>
      <c r="H2003" s="34" t="s">
        <v>39</v>
      </c>
      <c r="I2003" s="34">
        <v>1</v>
      </c>
      <c r="J2003" s="34" t="s">
        <v>46</v>
      </c>
      <c r="K2003" s="15">
        <f>(VLOOKUP(H2003,'[1]BOM Info General'!$A:$L,12,0))*I2003</f>
        <v>24.42</v>
      </c>
      <c r="L2003" s="35" t="s">
        <v>76</v>
      </c>
      <c r="M2003" s="35">
        <v>1</v>
      </c>
      <c r="N2003" s="35" t="s">
        <v>73</v>
      </c>
      <c r="O2003" s="9">
        <f>(VLOOKUP(L2003,'[1]Simulation pricing per sub assy'!$D:$E,2,0))*M2003</f>
        <v>43.288799999999988</v>
      </c>
      <c r="P2003" s="36" t="s">
        <v>52</v>
      </c>
      <c r="Q2003" s="36">
        <v>2</v>
      </c>
      <c r="R2003" s="36" t="s">
        <v>18</v>
      </c>
      <c r="S2003" s="40">
        <f>(VLOOKUP(P2003,'[1]BOM Info General'!$A:$L,12,0))*Q2003</f>
        <v>5.3</v>
      </c>
      <c r="T2003" s="37" t="s">
        <v>12</v>
      </c>
      <c r="U2003" s="37">
        <v>1</v>
      </c>
      <c r="V2003" s="37" t="s">
        <v>13</v>
      </c>
      <c r="W2003" s="17">
        <f>(VLOOKUP(T2003,'[1]Simulation pricing per sub assy'!$D:$E,2,0))*U2003</f>
        <v>1.9</v>
      </c>
      <c r="X2003" s="32" t="s">
        <v>615</v>
      </c>
      <c r="Y2003" s="38">
        <v>1</v>
      </c>
      <c r="Z2003" s="38" t="s">
        <v>9</v>
      </c>
      <c r="AA2003" s="18">
        <f>(VLOOKUP(X2003,'[1]Simulation pricing per sub assy'!$D:$E,2,0))*Y2003</f>
        <v>1.5769808000000001</v>
      </c>
    </row>
    <row r="2004" spans="1:27" x14ac:dyDescent="0.35">
      <c r="A2004" s="27" t="s">
        <v>3348</v>
      </c>
      <c r="B2004" s="27" t="s">
        <v>3349</v>
      </c>
      <c r="C2004" s="42">
        <f t="shared" si="31"/>
        <v>112.6257808</v>
      </c>
      <c r="D2004" s="33" t="s">
        <v>2058</v>
      </c>
      <c r="E2004" s="33">
        <v>1</v>
      </c>
      <c r="F2004" s="33" t="s">
        <v>2059</v>
      </c>
      <c r="G2004" s="14">
        <f>(VLOOKUP(D2004,'[1]BOM Info General'!$A:$L,12,0))*E2004</f>
        <v>35.56</v>
      </c>
      <c r="H2004" s="34" t="s">
        <v>39</v>
      </c>
      <c r="I2004" s="34">
        <v>1</v>
      </c>
      <c r="J2004" s="34" t="s">
        <v>46</v>
      </c>
      <c r="K2004" s="15">
        <f>(VLOOKUP(H2004,'[1]BOM Info General'!$A:$L,12,0))*I2004</f>
        <v>24.42</v>
      </c>
      <c r="L2004" s="35" t="s">
        <v>72</v>
      </c>
      <c r="M2004" s="35">
        <v>1</v>
      </c>
      <c r="N2004" s="35" t="s">
        <v>71</v>
      </c>
      <c r="O2004" s="9">
        <f>(VLOOKUP(L2004,'[1]Simulation pricing per sub assy'!$D:$E,2,0))*M2004</f>
        <v>43.868799999999993</v>
      </c>
      <c r="P2004" s="36" t="s">
        <v>52</v>
      </c>
      <c r="Q2004" s="36">
        <v>2</v>
      </c>
      <c r="R2004" s="36" t="s">
        <v>18</v>
      </c>
      <c r="S2004" s="40">
        <f>(VLOOKUP(P2004,'[1]BOM Info General'!$A:$L,12,0))*Q2004</f>
        <v>5.3</v>
      </c>
      <c r="T2004" s="37" t="s">
        <v>12</v>
      </c>
      <c r="U2004" s="37">
        <v>1</v>
      </c>
      <c r="V2004" s="37" t="s">
        <v>13</v>
      </c>
      <c r="W2004" s="17">
        <f>(VLOOKUP(T2004,'[1]Simulation pricing per sub assy'!$D:$E,2,0))*U2004</f>
        <v>1.9</v>
      </c>
      <c r="X2004" s="32" t="s">
        <v>615</v>
      </c>
      <c r="Y2004" s="38">
        <v>1</v>
      </c>
      <c r="Z2004" s="38" t="s">
        <v>9</v>
      </c>
      <c r="AA2004" s="18">
        <f>(VLOOKUP(X2004,'[1]Simulation pricing per sub assy'!$D:$E,2,0))*Y2004</f>
        <v>1.5769808000000001</v>
      </c>
    </row>
    <row r="2005" spans="1:27" x14ac:dyDescent="0.35">
      <c r="A2005" s="27" t="s">
        <v>3350</v>
      </c>
      <c r="B2005" s="27" t="s">
        <v>3351</v>
      </c>
      <c r="C2005" s="42">
        <f t="shared" si="31"/>
        <v>112.3657808</v>
      </c>
      <c r="D2005" s="33" t="s">
        <v>2058</v>
      </c>
      <c r="E2005" s="33">
        <v>1</v>
      </c>
      <c r="F2005" s="33" t="s">
        <v>2059</v>
      </c>
      <c r="G2005" s="14">
        <f>(VLOOKUP(D2005,'[1]BOM Info General'!$A:$L,12,0))*E2005</f>
        <v>35.56</v>
      </c>
      <c r="H2005" s="34" t="s">
        <v>39</v>
      </c>
      <c r="I2005" s="34">
        <v>1</v>
      </c>
      <c r="J2005" s="34" t="s">
        <v>46</v>
      </c>
      <c r="K2005" s="15">
        <f>(VLOOKUP(H2005,'[1]BOM Info General'!$A:$L,12,0))*I2005</f>
        <v>24.42</v>
      </c>
      <c r="L2005" s="35" t="s">
        <v>78</v>
      </c>
      <c r="M2005" s="35">
        <v>1</v>
      </c>
      <c r="N2005" s="35" t="s">
        <v>75</v>
      </c>
      <c r="O2005" s="9">
        <f>(VLOOKUP(L2005,'[1]Simulation pricing per sub assy'!$D:$E,2,0))*M2005</f>
        <v>43.608799999999988</v>
      </c>
      <c r="P2005" s="36" t="s">
        <v>52</v>
      </c>
      <c r="Q2005" s="36">
        <v>2</v>
      </c>
      <c r="R2005" s="36" t="s">
        <v>18</v>
      </c>
      <c r="S2005" s="40">
        <f>(VLOOKUP(P2005,'[1]BOM Info General'!$A:$L,12,0))*Q2005</f>
        <v>5.3</v>
      </c>
      <c r="T2005" s="37" t="s">
        <v>12</v>
      </c>
      <c r="U2005" s="37">
        <v>1</v>
      </c>
      <c r="V2005" s="37" t="s">
        <v>13</v>
      </c>
      <c r="W2005" s="17">
        <f>(VLOOKUP(T2005,'[1]Simulation pricing per sub assy'!$D:$E,2,0))*U2005</f>
        <v>1.9</v>
      </c>
      <c r="X2005" s="32" t="s">
        <v>615</v>
      </c>
      <c r="Y2005" s="38">
        <v>1</v>
      </c>
      <c r="Z2005" s="38" t="s">
        <v>9</v>
      </c>
      <c r="AA2005" s="18">
        <f>(VLOOKUP(X2005,'[1]Simulation pricing per sub assy'!$D:$E,2,0))*Y2005</f>
        <v>1.5769808000000001</v>
      </c>
    </row>
    <row r="2006" spans="1:27" x14ac:dyDescent="0.35">
      <c r="A2006" s="27" t="s">
        <v>3352</v>
      </c>
      <c r="B2006" s="27" t="s">
        <v>3353</v>
      </c>
      <c r="C2006" s="42">
        <f t="shared" si="31"/>
        <v>120.0357808</v>
      </c>
      <c r="D2006" s="33" t="s">
        <v>2058</v>
      </c>
      <c r="E2006" s="33">
        <v>1</v>
      </c>
      <c r="F2006" s="33" t="s">
        <v>2059</v>
      </c>
      <c r="G2006" s="14">
        <f>(VLOOKUP(D2006,'[1]BOM Info General'!$A:$L,12,0))*E2006</f>
        <v>35.56</v>
      </c>
      <c r="H2006" s="34" t="s">
        <v>39</v>
      </c>
      <c r="I2006" s="34">
        <v>1</v>
      </c>
      <c r="J2006" s="34" t="s">
        <v>46</v>
      </c>
      <c r="K2006" s="15">
        <f>(VLOOKUP(H2006,'[1]BOM Info General'!$A:$L,12,0))*I2006</f>
        <v>24.42</v>
      </c>
      <c r="L2006" s="35" t="s">
        <v>74</v>
      </c>
      <c r="M2006" s="35">
        <v>1</v>
      </c>
      <c r="N2006" s="35" t="s">
        <v>77</v>
      </c>
      <c r="O2006" s="9">
        <f>(VLOOKUP(L2006,'[1]Simulation pricing per sub assy'!$D:$E,2,0))*M2006</f>
        <v>51.27879999999999</v>
      </c>
      <c r="P2006" s="36" t="s">
        <v>52</v>
      </c>
      <c r="Q2006" s="36">
        <v>2</v>
      </c>
      <c r="R2006" s="36" t="s">
        <v>18</v>
      </c>
      <c r="S2006" s="40">
        <f>(VLOOKUP(P2006,'[1]BOM Info General'!$A:$L,12,0))*Q2006</f>
        <v>5.3</v>
      </c>
      <c r="T2006" s="37" t="s">
        <v>12</v>
      </c>
      <c r="U2006" s="37">
        <v>1</v>
      </c>
      <c r="V2006" s="37" t="s">
        <v>13</v>
      </c>
      <c r="W2006" s="17">
        <f>(VLOOKUP(T2006,'[1]Simulation pricing per sub assy'!$D:$E,2,0))*U2006</f>
        <v>1.9</v>
      </c>
      <c r="X2006" s="32" t="s">
        <v>615</v>
      </c>
      <c r="Y2006" s="38">
        <v>1</v>
      </c>
      <c r="Z2006" s="38" t="s">
        <v>9</v>
      </c>
      <c r="AA2006" s="18">
        <f>(VLOOKUP(X2006,'[1]Simulation pricing per sub assy'!$D:$E,2,0))*Y2006</f>
        <v>1.5769808000000001</v>
      </c>
    </row>
    <row r="2007" spans="1:27" x14ac:dyDescent="0.35">
      <c r="A2007" s="27" t="s">
        <v>3354</v>
      </c>
      <c r="B2007" s="27" t="s">
        <v>3355</v>
      </c>
      <c r="C2007" s="42">
        <f t="shared" si="31"/>
        <v>111.0657808</v>
      </c>
      <c r="D2007" s="33" t="s">
        <v>2058</v>
      </c>
      <c r="E2007" s="33">
        <v>1</v>
      </c>
      <c r="F2007" s="33" t="s">
        <v>2059</v>
      </c>
      <c r="G2007" s="14">
        <f>(VLOOKUP(D2007,'[1]BOM Info General'!$A:$L,12,0))*E2007</f>
        <v>35.56</v>
      </c>
      <c r="H2007" s="34" t="s">
        <v>39</v>
      </c>
      <c r="I2007" s="34">
        <v>1</v>
      </c>
      <c r="J2007" s="34" t="s">
        <v>46</v>
      </c>
      <c r="K2007" s="15">
        <f>(VLOOKUP(H2007,'[1]BOM Info General'!$A:$L,12,0))*I2007</f>
        <v>24.42</v>
      </c>
      <c r="L2007" s="35" t="s">
        <v>527</v>
      </c>
      <c r="M2007" s="35">
        <v>1</v>
      </c>
      <c r="N2007" s="35" t="s">
        <v>79</v>
      </c>
      <c r="O2007" s="9">
        <f>(VLOOKUP(L2007,'[1]Simulation pricing per sub assy'!$D:$E,2,0))*M2007</f>
        <v>42.308799999999991</v>
      </c>
      <c r="P2007" s="36" t="s">
        <v>52</v>
      </c>
      <c r="Q2007" s="36">
        <v>2</v>
      </c>
      <c r="R2007" s="36" t="s">
        <v>18</v>
      </c>
      <c r="S2007" s="40">
        <f>(VLOOKUP(P2007,'[1]BOM Info General'!$A:$L,12,0))*Q2007</f>
        <v>5.3</v>
      </c>
      <c r="T2007" s="37" t="s">
        <v>14</v>
      </c>
      <c r="U2007" s="37">
        <v>1</v>
      </c>
      <c r="V2007" s="37" t="s">
        <v>15</v>
      </c>
      <c r="W2007" s="17">
        <f>(VLOOKUP(T2007,'[1]Simulation pricing per sub assy'!$D:$E,2,0))*U2007</f>
        <v>1.9</v>
      </c>
      <c r="X2007" s="32" t="s">
        <v>615</v>
      </c>
      <c r="Y2007" s="38">
        <v>1</v>
      </c>
      <c r="Z2007" s="38" t="s">
        <v>9</v>
      </c>
      <c r="AA2007" s="18">
        <f>(VLOOKUP(X2007,'[1]Simulation pricing per sub assy'!$D:$E,2,0))*Y2007</f>
        <v>1.5769808000000001</v>
      </c>
    </row>
    <row r="2008" spans="1:27" x14ac:dyDescent="0.35">
      <c r="A2008" s="27" t="s">
        <v>3356</v>
      </c>
      <c r="B2008" s="27" t="s">
        <v>3357</v>
      </c>
      <c r="C2008" s="42">
        <f t="shared" si="31"/>
        <v>112.0457808</v>
      </c>
      <c r="D2008" s="33" t="s">
        <v>2058</v>
      </c>
      <c r="E2008" s="33">
        <v>1</v>
      </c>
      <c r="F2008" s="33" t="s">
        <v>2059</v>
      </c>
      <c r="G2008" s="14">
        <f>(VLOOKUP(D2008,'[1]BOM Info General'!$A:$L,12,0))*E2008</f>
        <v>35.56</v>
      </c>
      <c r="H2008" s="34" t="s">
        <v>39</v>
      </c>
      <c r="I2008" s="34">
        <v>1</v>
      </c>
      <c r="J2008" s="34" t="s">
        <v>46</v>
      </c>
      <c r="K2008" s="15">
        <f>(VLOOKUP(H2008,'[1]BOM Info General'!$A:$L,12,0))*I2008</f>
        <v>24.42</v>
      </c>
      <c r="L2008" s="35" t="s">
        <v>76</v>
      </c>
      <c r="M2008" s="35">
        <v>1</v>
      </c>
      <c r="N2008" s="35" t="s">
        <v>73</v>
      </c>
      <c r="O2008" s="9">
        <f>(VLOOKUP(L2008,'[1]Simulation pricing per sub assy'!$D:$E,2,0))*M2008</f>
        <v>43.288799999999988</v>
      </c>
      <c r="P2008" s="36" t="s">
        <v>52</v>
      </c>
      <c r="Q2008" s="36">
        <v>2</v>
      </c>
      <c r="R2008" s="36" t="s">
        <v>18</v>
      </c>
      <c r="S2008" s="40">
        <f>(VLOOKUP(P2008,'[1]BOM Info General'!$A:$L,12,0))*Q2008</f>
        <v>5.3</v>
      </c>
      <c r="T2008" s="37" t="s">
        <v>14</v>
      </c>
      <c r="U2008" s="37">
        <v>1</v>
      </c>
      <c r="V2008" s="37" t="s">
        <v>15</v>
      </c>
      <c r="W2008" s="17">
        <f>(VLOOKUP(T2008,'[1]Simulation pricing per sub assy'!$D:$E,2,0))*U2008</f>
        <v>1.9</v>
      </c>
      <c r="X2008" s="32" t="s">
        <v>615</v>
      </c>
      <c r="Y2008" s="38">
        <v>1</v>
      </c>
      <c r="Z2008" s="38" t="s">
        <v>9</v>
      </c>
      <c r="AA2008" s="18">
        <f>(VLOOKUP(X2008,'[1]Simulation pricing per sub assy'!$D:$E,2,0))*Y2008</f>
        <v>1.5769808000000001</v>
      </c>
    </row>
    <row r="2009" spans="1:27" x14ac:dyDescent="0.35">
      <c r="A2009" s="27" t="s">
        <v>3358</v>
      </c>
      <c r="B2009" s="27" t="s">
        <v>3359</v>
      </c>
      <c r="C2009" s="42">
        <f t="shared" si="31"/>
        <v>112.6257808</v>
      </c>
      <c r="D2009" s="33" t="s">
        <v>2058</v>
      </c>
      <c r="E2009" s="33">
        <v>1</v>
      </c>
      <c r="F2009" s="33" t="s">
        <v>2059</v>
      </c>
      <c r="G2009" s="14">
        <f>(VLOOKUP(D2009,'[1]BOM Info General'!$A:$L,12,0))*E2009</f>
        <v>35.56</v>
      </c>
      <c r="H2009" s="34" t="s">
        <v>39</v>
      </c>
      <c r="I2009" s="34">
        <v>1</v>
      </c>
      <c r="J2009" s="34" t="s">
        <v>46</v>
      </c>
      <c r="K2009" s="15">
        <f>(VLOOKUP(H2009,'[1]BOM Info General'!$A:$L,12,0))*I2009</f>
        <v>24.42</v>
      </c>
      <c r="L2009" s="35" t="s">
        <v>72</v>
      </c>
      <c r="M2009" s="35">
        <v>1</v>
      </c>
      <c r="N2009" s="35" t="s">
        <v>71</v>
      </c>
      <c r="O2009" s="9">
        <f>(VLOOKUP(L2009,'[1]Simulation pricing per sub assy'!$D:$E,2,0))*M2009</f>
        <v>43.868799999999993</v>
      </c>
      <c r="P2009" s="36" t="s">
        <v>52</v>
      </c>
      <c r="Q2009" s="36">
        <v>2</v>
      </c>
      <c r="R2009" s="36" t="s">
        <v>18</v>
      </c>
      <c r="S2009" s="40">
        <f>(VLOOKUP(P2009,'[1]BOM Info General'!$A:$L,12,0))*Q2009</f>
        <v>5.3</v>
      </c>
      <c r="T2009" s="37" t="s">
        <v>14</v>
      </c>
      <c r="U2009" s="37">
        <v>1</v>
      </c>
      <c r="V2009" s="37" t="s">
        <v>15</v>
      </c>
      <c r="W2009" s="17">
        <f>(VLOOKUP(T2009,'[1]Simulation pricing per sub assy'!$D:$E,2,0))*U2009</f>
        <v>1.9</v>
      </c>
      <c r="X2009" s="32" t="s">
        <v>615</v>
      </c>
      <c r="Y2009" s="38">
        <v>1</v>
      </c>
      <c r="Z2009" s="38" t="s">
        <v>9</v>
      </c>
      <c r="AA2009" s="18">
        <f>(VLOOKUP(X2009,'[1]Simulation pricing per sub assy'!$D:$E,2,0))*Y2009</f>
        <v>1.5769808000000001</v>
      </c>
    </row>
    <row r="2010" spans="1:27" x14ac:dyDescent="0.35">
      <c r="A2010" s="27" t="s">
        <v>3360</v>
      </c>
      <c r="B2010" s="27" t="s">
        <v>3361</v>
      </c>
      <c r="C2010" s="42">
        <f t="shared" si="31"/>
        <v>112.3657808</v>
      </c>
      <c r="D2010" s="33" t="s">
        <v>2058</v>
      </c>
      <c r="E2010" s="33">
        <v>1</v>
      </c>
      <c r="F2010" s="33" t="s">
        <v>2059</v>
      </c>
      <c r="G2010" s="14">
        <f>(VLOOKUP(D2010,'[1]BOM Info General'!$A:$L,12,0))*E2010</f>
        <v>35.56</v>
      </c>
      <c r="H2010" s="34" t="s">
        <v>39</v>
      </c>
      <c r="I2010" s="34">
        <v>1</v>
      </c>
      <c r="J2010" s="34" t="s">
        <v>46</v>
      </c>
      <c r="K2010" s="15">
        <f>(VLOOKUP(H2010,'[1]BOM Info General'!$A:$L,12,0))*I2010</f>
        <v>24.42</v>
      </c>
      <c r="L2010" s="35" t="s">
        <v>78</v>
      </c>
      <c r="M2010" s="35">
        <v>1</v>
      </c>
      <c r="N2010" s="35" t="s">
        <v>75</v>
      </c>
      <c r="O2010" s="9">
        <f>(VLOOKUP(L2010,'[1]Simulation pricing per sub assy'!$D:$E,2,0))*M2010</f>
        <v>43.608799999999988</v>
      </c>
      <c r="P2010" s="36" t="s">
        <v>52</v>
      </c>
      <c r="Q2010" s="36">
        <v>2</v>
      </c>
      <c r="R2010" s="36" t="s">
        <v>18</v>
      </c>
      <c r="S2010" s="40">
        <f>(VLOOKUP(P2010,'[1]BOM Info General'!$A:$L,12,0))*Q2010</f>
        <v>5.3</v>
      </c>
      <c r="T2010" s="37" t="s">
        <v>14</v>
      </c>
      <c r="U2010" s="37">
        <v>1</v>
      </c>
      <c r="V2010" s="37" t="s">
        <v>15</v>
      </c>
      <c r="W2010" s="17">
        <f>(VLOOKUP(T2010,'[1]Simulation pricing per sub assy'!$D:$E,2,0))*U2010</f>
        <v>1.9</v>
      </c>
      <c r="X2010" s="32" t="s">
        <v>615</v>
      </c>
      <c r="Y2010" s="38">
        <v>1</v>
      </c>
      <c r="Z2010" s="38" t="s">
        <v>9</v>
      </c>
      <c r="AA2010" s="18">
        <f>(VLOOKUP(X2010,'[1]Simulation pricing per sub assy'!$D:$E,2,0))*Y2010</f>
        <v>1.5769808000000001</v>
      </c>
    </row>
    <row r="2011" spans="1:27" x14ac:dyDescent="0.35">
      <c r="A2011" s="27" t="s">
        <v>3362</v>
      </c>
      <c r="B2011" s="27" t="s">
        <v>3363</v>
      </c>
      <c r="C2011" s="42">
        <f t="shared" si="31"/>
        <v>120.0357808</v>
      </c>
      <c r="D2011" s="33" t="s">
        <v>2058</v>
      </c>
      <c r="E2011" s="33">
        <v>1</v>
      </c>
      <c r="F2011" s="33" t="s">
        <v>2059</v>
      </c>
      <c r="G2011" s="14">
        <f>(VLOOKUP(D2011,'[1]BOM Info General'!$A:$L,12,0))*E2011</f>
        <v>35.56</v>
      </c>
      <c r="H2011" s="34" t="s">
        <v>39</v>
      </c>
      <c r="I2011" s="34">
        <v>1</v>
      </c>
      <c r="J2011" s="34" t="s">
        <v>46</v>
      </c>
      <c r="K2011" s="15">
        <f>(VLOOKUP(H2011,'[1]BOM Info General'!$A:$L,12,0))*I2011</f>
        <v>24.42</v>
      </c>
      <c r="L2011" s="35" t="s">
        <v>74</v>
      </c>
      <c r="M2011" s="35">
        <v>1</v>
      </c>
      <c r="N2011" s="35" t="s">
        <v>77</v>
      </c>
      <c r="O2011" s="9">
        <f>(VLOOKUP(L2011,'[1]Simulation pricing per sub assy'!$D:$E,2,0))*M2011</f>
        <v>51.27879999999999</v>
      </c>
      <c r="P2011" s="36" t="s">
        <v>52</v>
      </c>
      <c r="Q2011" s="36">
        <v>2</v>
      </c>
      <c r="R2011" s="36" t="s">
        <v>18</v>
      </c>
      <c r="S2011" s="40">
        <f>(VLOOKUP(P2011,'[1]BOM Info General'!$A:$L,12,0))*Q2011</f>
        <v>5.3</v>
      </c>
      <c r="T2011" s="37" t="s">
        <v>14</v>
      </c>
      <c r="U2011" s="37">
        <v>1</v>
      </c>
      <c r="V2011" s="37" t="s">
        <v>15</v>
      </c>
      <c r="W2011" s="17">
        <f>(VLOOKUP(T2011,'[1]Simulation pricing per sub assy'!$D:$E,2,0))*U2011</f>
        <v>1.9</v>
      </c>
      <c r="X2011" s="32" t="s">
        <v>615</v>
      </c>
      <c r="Y2011" s="38">
        <v>1</v>
      </c>
      <c r="Z2011" s="38" t="s">
        <v>9</v>
      </c>
      <c r="AA2011" s="18">
        <f>(VLOOKUP(X2011,'[1]Simulation pricing per sub assy'!$D:$E,2,0))*Y2011</f>
        <v>1.5769808000000001</v>
      </c>
    </row>
    <row r="2012" spans="1:27" x14ac:dyDescent="0.35">
      <c r="A2012" s="27" t="s">
        <v>3364</v>
      </c>
      <c r="B2012" s="27" t="s">
        <v>3365</v>
      </c>
      <c r="C2012" s="42">
        <f t="shared" si="31"/>
        <v>111.5057808</v>
      </c>
      <c r="D2012" s="33" t="s">
        <v>2058</v>
      </c>
      <c r="E2012" s="33">
        <v>1</v>
      </c>
      <c r="F2012" s="33" t="s">
        <v>2059</v>
      </c>
      <c r="G2012" s="14">
        <f>(VLOOKUP(D2012,'[1]BOM Info General'!$A:$L,12,0))*E2012</f>
        <v>35.56</v>
      </c>
      <c r="H2012" s="34" t="s">
        <v>39</v>
      </c>
      <c r="I2012" s="34">
        <v>1</v>
      </c>
      <c r="J2012" s="34" t="s">
        <v>46</v>
      </c>
      <c r="K2012" s="15">
        <f>(VLOOKUP(H2012,'[1]BOM Info General'!$A:$L,12,0))*I2012</f>
        <v>24.42</v>
      </c>
      <c r="L2012" s="35" t="s">
        <v>527</v>
      </c>
      <c r="M2012" s="35">
        <v>1</v>
      </c>
      <c r="N2012" s="35" t="s">
        <v>79</v>
      </c>
      <c r="O2012" s="9">
        <f>(VLOOKUP(L2012,'[1]Simulation pricing per sub assy'!$D:$E,2,0))*M2012</f>
        <v>42.308799999999991</v>
      </c>
      <c r="P2012" s="36" t="s">
        <v>50</v>
      </c>
      <c r="Q2012" s="36">
        <v>2</v>
      </c>
      <c r="R2012" s="36" t="s">
        <v>611</v>
      </c>
      <c r="S2012" s="40">
        <f>(VLOOKUP(P2012,'[1]BOM Info General'!$A:$L,12,0))*Q2012</f>
        <v>5.3</v>
      </c>
      <c r="T2012" s="37" t="s">
        <v>19</v>
      </c>
      <c r="U2012" s="37">
        <v>1</v>
      </c>
      <c r="V2012" s="37" t="s">
        <v>20</v>
      </c>
      <c r="W2012" s="17">
        <f>(VLOOKUP(T2012,'[1]Simulation pricing per sub assy'!$D:$E,2,0))*U2012</f>
        <v>2.3400000000000003</v>
      </c>
      <c r="X2012" s="32" t="s">
        <v>615</v>
      </c>
      <c r="Y2012" s="38">
        <v>1</v>
      </c>
      <c r="Z2012" s="38" t="s">
        <v>9</v>
      </c>
      <c r="AA2012" s="18">
        <f>(VLOOKUP(X2012,'[1]Simulation pricing per sub assy'!$D:$E,2,0))*Y2012</f>
        <v>1.5769808000000001</v>
      </c>
    </row>
    <row r="2013" spans="1:27" x14ac:dyDescent="0.35">
      <c r="A2013" s="27" t="s">
        <v>3366</v>
      </c>
      <c r="B2013" s="27" t="s">
        <v>3367</v>
      </c>
      <c r="C2013" s="42">
        <f t="shared" si="31"/>
        <v>112.4857808</v>
      </c>
      <c r="D2013" s="33" t="s">
        <v>2058</v>
      </c>
      <c r="E2013" s="33">
        <v>1</v>
      </c>
      <c r="F2013" s="33" t="s">
        <v>2059</v>
      </c>
      <c r="G2013" s="14">
        <f>(VLOOKUP(D2013,'[1]BOM Info General'!$A:$L,12,0))*E2013</f>
        <v>35.56</v>
      </c>
      <c r="H2013" s="34" t="s">
        <v>39</v>
      </c>
      <c r="I2013" s="34">
        <v>1</v>
      </c>
      <c r="J2013" s="34" t="s">
        <v>46</v>
      </c>
      <c r="K2013" s="15">
        <f>(VLOOKUP(H2013,'[1]BOM Info General'!$A:$L,12,0))*I2013</f>
        <v>24.42</v>
      </c>
      <c r="L2013" s="35" t="s">
        <v>76</v>
      </c>
      <c r="M2013" s="35">
        <v>1</v>
      </c>
      <c r="N2013" s="35" t="s">
        <v>73</v>
      </c>
      <c r="O2013" s="9">
        <f>(VLOOKUP(L2013,'[1]Simulation pricing per sub assy'!$D:$E,2,0))*M2013</f>
        <v>43.288799999999988</v>
      </c>
      <c r="P2013" s="36" t="s">
        <v>50</v>
      </c>
      <c r="Q2013" s="36">
        <v>2</v>
      </c>
      <c r="R2013" s="36" t="s">
        <v>611</v>
      </c>
      <c r="S2013" s="40">
        <f>(VLOOKUP(P2013,'[1]BOM Info General'!$A:$L,12,0))*Q2013</f>
        <v>5.3</v>
      </c>
      <c r="T2013" s="37" t="s">
        <v>19</v>
      </c>
      <c r="U2013" s="37">
        <v>1</v>
      </c>
      <c r="V2013" s="37" t="s">
        <v>20</v>
      </c>
      <c r="W2013" s="17">
        <f>(VLOOKUP(T2013,'[1]Simulation pricing per sub assy'!$D:$E,2,0))*U2013</f>
        <v>2.3400000000000003</v>
      </c>
      <c r="X2013" s="32" t="s">
        <v>615</v>
      </c>
      <c r="Y2013" s="38">
        <v>1</v>
      </c>
      <c r="Z2013" s="38" t="s">
        <v>9</v>
      </c>
      <c r="AA2013" s="18">
        <f>(VLOOKUP(X2013,'[1]Simulation pricing per sub assy'!$D:$E,2,0))*Y2013</f>
        <v>1.5769808000000001</v>
      </c>
    </row>
    <row r="2014" spans="1:27" x14ac:dyDescent="0.35">
      <c r="A2014" s="27" t="s">
        <v>3368</v>
      </c>
      <c r="B2014" s="27" t="s">
        <v>3369</v>
      </c>
      <c r="C2014" s="42">
        <f t="shared" si="31"/>
        <v>113.0657808</v>
      </c>
      <c r="D2014" s="33" t="s">
        <v>2058</v>
      </c>
      <c r="E2014" s="33">
        <v>1</v>
      </c>
      <c r="F2014" s="33" t="s">
        <v>2059</v>
      </c>
      <c r="G2014" s="14">
        <f>(VLOOKUP(D2014,'[1]BOM Info General'!$A:$L,12,0))*E2014</f>
        <v>35.56</v>
      </c>
      <c r="H2014" s="34" t="s">
        <v>39</v>
      </c>
      <c r="I2014" s="34">
        <v>1</v>
      </c>
      <c r="J2014" s="34" t="s">
        <v>46</v>
      </c>
      <c r="K2014" s="15">
        <f>(VLOOKUP(H2014,'[1]BOM Info General'!$A:$L,12,0))*I2014</f>
        <v>24.42</v>
      </c>
      <c r="L2014" s="35" t="s">
        <v>72</v>
      </c>
      <c r="M2014" s="35">
        <v>1</v>
      </c>
      <c r="N2014" s="35" t="s">
        <v>71</v>
      </c>
      <c r="O2014" s="9">
        <f>(VLOOKUP(L2014,'[1]Simulation pricing per sub assy'!$D:$E,2,0))*M2014</f>
        <v>43.868799999999993</v>
      </c>
      <c r="P2014" s="36" t="s">
        <v>50</v>
      </c>
      <c r="Q2014" s="36">
        <v>2</v>
      </c>
      <c r="R2014" s="36" t="s">
        <v>611</v>
      </c>
      <c r="S2014" s="40">
        <f>(VLOOKUP(P2014,'[1]BOM Info General'!$A:$L,12,0))*Q2014</f>
        <v>5.3</v>
      </c>
      <c r="T2014" s="37" t="s">
        <v>19</v>
      </c>
      <c r="U2014" s="37">
        <v>1</v>
      </c>
      <c r="V2014" s="37" t="s">
        <v>20</v>
      </c>
      <c r="W2014" s="17">
        <f>(VLOOKUP(T2014,'[1]Simulation pricing per sub assy'!$D:$E,2,0))*U2014</f>
        <v>2.3400000000000003</v>
      </c>
      <c r="X2014" s="32" t="s">
        <v>615</v>
      </c>
      <c r="Y2014" s="38">
        <v>1</v>
      </c>
      <c r="Z2014" s="38" t="s">
        <v>9</v>
      </c>
      <c r="AA2014" s="18">
        <f>(VLOOKUP(X2014,'[1]Simulation pricing per sub assy'!$D:$E,2,0))*Y2014</f>
        <v>1.5769808000000001</v>
      </c>
    </row>
    <row r="2015" spans="1:27" x14ac:dyDescent="0.35">
      <c r="A2015" s="27" t="s">
        <v>3370</v>
      </c>
      <c r="B2015" s="27" t="s">
        <v>3371</v>
      </c>
      <c r="C2015" s="42">
        <f t="shared" si="31"/>
        <v>112.80578079999999</v>
      </c>
      <c r="D2015" s="33" t="s">
        <v>2058</v>
      </c>
      <c r="E2015" s="33">
        <v>1</v>
      </c>
      <c r="F2015" s="33" t="s">
        <v>2059</v>
      </c>
      <c r="G2015" s="14">
        <f>(VLOOKUP(D2015,'[1]BOM Info General'!$A:$L,12,0))*E2015</f>
        <v>35.56</v>
      </c>
      <c r="H2015" s="34" t="s">
        <v>39</v>
      </c>
      <c r="I2015" s="34">
        <v>1</v>
      </c>
      <c r="J2015" s="34" t="s">
        <v>46</v>
      </c>
      <c r="K2015" s="15">
        <f>(VLOOKUP(H2015,'[1]BOM Info General'!$A:$L,12,0))*I2015</f>
        <v>24.42</v>
      </c>
      <c r="L2015" s="35" t="s">
        <v>78</v>
      </c>
      <c r="M2015" s="35">
        <v>1</v>
      </c>
      <c r="N2015" s="35" t="s">
        <v>75</v>
      </c>
      <c r="O2015" s="9">
        <f>(VLOOKUP(L2015,'[1]Simulation pricing per sub assy'!$D:$E,2,0))*M2015</f>
        <v>43.608799999999988</v>
      </c>
      <c r="P2015" s="36" t="s">
        <v>50</v>
      </c>
      <c r="Q2015" s="36">
        <v>2</v>
      </c>
      <c r="R2015" s="36" t="s">
        <v>611</v>
      </c>
      <c r="S2015" s="40">
        <f>(VLOOKUP(P2015,'[1]BOM Info General'!$A:$L,12,0))*Q2015</f>
        <v>5.3</v>
      </c>
      <c r="T2015" s="37" t="s">
        <v>19</v>
      </c>
      <c r="U2015" s="37">
        <v>1</v>
      </c>
      <c r="V2015" s="37" t="s">
        <v>20</v>
      </c>
      <c r="W2015" s="17">
        <f>(VLOOKUP(T2015,'[1]Simulation pricing per sub assy'!$D:$E,2,0))*U2015</f>
        <v>2.3400000000000003</v>
      </c>
      <c r="X2015" s="32" t="s">
        <v>615</v>
      </c>
      <c r="Y2015" s="38">
        <v>1</v>
      </c>
      <c r="Z2015" s="38" t="s">
        <v>9</v>
      </c>
      <c r="AA2015" s="18">
        <f>(VLOOKUP(X2015,'[1]Simulation pricing per sub assy'!$D:$E,2,0))*Y2015</f>
        <v>1.5769808000000001</v>
      </c>
    </row>
    <row r="2016" spans="1:27" x14ac:dyDescent="0.35">
      <c r="A2016" s="27" t="s">
        <v>3372</v>
      </c>
      <c r="B2016" s="27" t="s">
        <v>3373</v>
      </c>
      <c r="C2016" s="42">
        <f t="shared" si="31"/>
        <v>120.4757808</v>
      </c>
      <c r="D2016" s="33" t="s">
        <v>2058</v>
      </c>
      <c r="E2016" s="33">
        <v>1</v>
      </c>
      <c r="F2016" s="33" t="s">
        <v>2059</v>
      </c>
      <c r="G2016" s="14">
        <f>(VLOOKUP(D2016,'[1]BOM Info General'!$A:$L,12,0))*E2016</f>
        <v>35.56</v>
      </c>
      <c r="H2016" s="34" t="s">
        <v>39</v>
      </c>
      <c r="I2016" s="34">
        <v>1</v>
      </c>
      <c r="J2016" s="34" t="s">
        <v>46</v>
      </c>
      <c r="K2016" s="15">
        <f>(VLOOKUP(H2016,'[1]BOM Info General'!$A:$L,12,0))*I2016</f>
        <v>24.42</v>
      </c>
      <c r="L2016" s="35" t="s">
        <v>74</v>
      </c>
      <c r="M2016" s="35">
        <v>1</v>
      </c>
      <c r="N2016" s="35" t="s">
        <v>77</v>
      </c>
      <c r="O2016" s="9">
        <f>(VLOOKUP(L2016,'[1]Simulation pricing per sub assy'!$D:$E,2,0))*M2016</f>
        <v>51.27879999999999</v>
      </c>
      <c r="P2016" s="36" t="s">
        <v>50</v>
      </c>
      <c r="Q2016" s="36">
        <v>2</v>
      </c>
      <c r="R2016" s="36" t="s">
        <v>611</v>
      </c>
      <c r="S2016" s="40">
        <f>(VLOOKUP(P2016,'[1]BOM Info General'!$A:$L,12,0))*Q2016</f>
        <v>5.3</v>
      </c>
      <c r="T2016" s="37" t="s">
        <v>19</v>
      </c>
      <c r="U2016" s="37">
        <v>1</v>
      </c>
      <c r="V2016" s="37" t="s">
        <v>20</v>
      </c>
      <c r="W2016" s="17">
        <f>(VLOOKUP(T2016,'[1]Simulation pricing per sub assy'!$D:$E,2,0))*U2016</f>
        <v>2.3400000000000003</v>
      </c>
      <c r="X2016" s="32" t="s">
        <v>615</v>
      </c>
      <c r="Y2016" s="38">
        <v>1</v>
      </c>
      <c r="Z2016" s="38" t="s">
        <v>9</v>
      </c>
      <c r="AA2016" s="18">
        <f>(VLOOKUP(X2016,'[1]Simulation pricing per sub assy'!$D:$E,2,0))*Y2016</f>
        <v>1.5769808000000001</v>
      </c>
    </row>
    <row r="2017" spans="1:27" x14ac:dyDescent="0.35">
      <c r="A2017" s="27" t="s">
        <v>3374</v>
      </c>
      <c r="B2017" s="27" t="s">
        <v>3375</v>
      </c>
      <c r="C2017" s="42">
        <f t="shared" si="31"/>
        <v>111.01578079999999</v>
      </c>
      <c r="D2017" s="33" t="s">
        <v>2058</v>
      </c>
      <c r="E2017" s="33">
        <v>1</v>
      </c>
      <c r="F2017" s="33" t="s">
        <v>2059</v>
      </c>
      <c r="G2017" s="14">
        <f>(VLOOKUP(D2017,'[1]BOM Info General'!$A:$L,12,0))*E2017</f>
        <v>35.56</v>
      </c>
      <c r="H2017" s="34" t="s">
        <v>39</v>
      </c>
      <c r="I2017" s="34">
        <v>1</v>
      </c>
      <c r="J2017" s="34" t="s">
        <v>46</v>
      </c>
      <c r="K2017" s="15">
        <f>(VLOOKUP(H2017,'[1]BOM Info General'!$A:$L,12,0))*I2017</f>
        <v>24.42</v>
      </c>
      <c r="L2017" s="35" t="s">
        <v>527</v>
      </c>
      <c r="M2017" s="35">
        <v>1</v>
      </c>
      <c r="N2017" s="35" t="s">
        <v>79</v>
      </c>
      <c r="O2017" s="9">
        <f>(VLOOKUP(L2017,'[1]Simulation pricing per sub assy'!$D:$E,2,0))*M2017</f>
        <v>42.308799999999991</v>
      </c>
      <c r="P2017" s="36" t="s">
        <v>50</v>
      </c>
      <c r="Q2017" s="36">
        <v>2</v>
      </c>
      <c r="R2017" s="36" t="s">
        <v>611</v>
      </c>
      <c r="S2017" s="40">
        <f>(VLOOKUP(P2017,'[1]BOM Info General'!$A:$L,12,0))*Q2017</f>
        <v>5.3</v>
      </c>
      <c r="T2017" s="37" t="s">
        <v>7</v>
      </c>
      <c r="U2017" s="37">
        <v>1</v>
      </c>
      <c r="V2017" s="37" t="s">
        <v>8</v>
      </c>
      <c r="W2017" s="17">
        <f>(VLOOKUP(T2017,'[1]Simulation pricing per sub assy'!$D:$E,2,0))*U2017</f>
        <v>1.85</v>
      </c>
      <c r="X2017" s="32" t="s">
        <v>615</v>
      </c>
      <c r="Y2017" s="38">
        <v>1</v>
      </c>
      <c r="Z2017" s="38" t="s">
        <v>9</v>
      </c>
      <c r="AA2017" s="18">
        <f>(VLOOKUP(X2017,'[1]Simulation pricing per sub assy'!$D:$E,2,0))*Y2017</f>
        <v>1.5769808000000001</v>
      </c>
    </row>
    <row r="2018" spans="1:27" x14ac:dyDescent="0.35">
      <c r="A2018" s="27" t="s">
        <v>3376</v>
      </c>
      <c r="B2018" s="27" t="s">
        <v>3377</v>
      </c>
      <c r="C2018" s="42">
        <f t="shared" si="31"/>
        <v>111.99578079999999</v>
      </c>
      <c r="D2018" s="33" t="s">
        <v>2058</v>
      </c>
      <c r="E2018" s="33">
        <v>1</v>
      </c>
      <c r="F2018" s="33" t="s">
        <v>2059</v>
      </c>
      <c r="G2018" s="14">
        <f>(VLOOKUP(D2018,'[1]BOM Info General'!$A:$L,12,0))*E2018</f>
        <v>35.56</v>
      </c>
      <c r="H2018" s="34" t="s">
        <v>39</v>
      </c>
      <c r="I2018" s="34">
        <v>1</v>
      </c>
      <c r="J2018" s="34" t="s">
        <v>46</v>
      </c>
      <c r="K2018" s="15">
        <f>(VLOOKUP(H2018,'[1]BOM Info General'!$A:$L,12,0))*I2018</f>
        <v>24.42</v>
      </c>
      <c r="L2018" s="35" t="s">
        <v>76</v>
      </c>
      <c r="M2018" s="35">
        <v>1</v>
      </c>
      <c r="N2018" s="35" t="s">
        <v>73</v>
      </c>
      <c r="O2018" s="9">
        <f>(VLOOKUP(L2018,'[1]Simulation pricing per sub assy'!$D:$E,2,0))*M2018</f>
        <v>43.288799999999988</v>
      </c>
      <c r="P2018" s="36" t="s">
        <v>50</v>
      </c>
      <c r="Q2018" s="36">
        <v>2</v>
      </c>
      <c r="R2018" s="36" t="s">
        <v>611</v>
      </c>
      <c r="S2018" s="40">
        <f>(VLOOKUP(P2018,'[1]BOM Info General'!$A:$L,12,0))*Q2018</f>
        <v>5.3</v>
      </c>
      <c r="T2018" s="37" t="s">
        <v>7</v>
      </c>
      <c r="U2018" s="37">
        <v>1</v>
      </c>
      <c r="V2018" s="37" t="s">
        <v>8</v>
      </c>
      <c r="W2018" s="17">
        <f>(VLOOKUP(T2018,'[1]Simulation pricing per sub assy'!$D:$E,2,0))*U2018</f>
        <v>1.85</v>
      </c>
      <c r="X2018" s="32" t="s">
        <v>615</v>
      </c>
      <c r="Y2018" s="38">
        <v>1</v>
      </c>
      <c r="Z2018" s="38" t="s">
        <v>9</v>
      </c>
      <c r="AA2018" s="18">
        <f>(VLOOKUP(X2018,'[1]Simulation pricing per sub assy'!$D:$E,2,0))*Y2018</f>
        <v>1.5769808000000001</v>
      </c>
    </row>
    <row r="2019" spans="1:27" x14ac:dyDescent="0.35">
      <c r="A2019" s="27" t="s">
        <v>3378</v>
      </c>
      <c r="B2019" s="27" t="s">
        <v>3379</v>
      </c>
      <c r="C2019" s="42">
        <f t="shared" si="31"/>
        <v>112.57578079999999</v>
      </c>
      <c r="D2019" s="33" t="s">
        <v>2058</v>
      </c>
      <c r="E2019" s="33">
        <v>1</v>
      </c>
      <c r="F2019" s="33" t="s">
        <v>2059</v>
      </c>
      <c r="G2019" s="14">
        <f>(VLOOKUP(D2019,'[1]BOM Info General'!$A:$L,12,0))*E2019</f>
        <v>35.56</v>
      </c>
      <c r="H2019" s="34" t="s">
        <v>39</v>
      </c>
      <c r="I2019" s="34">
        <v>1</v>
      </c>
      <c r="J2019" s="34" t="s">
        <v>46</v>
      </c>
      <c r="K2019" s="15">
        <f>(VLOOKUP(H2019,'[1]BOM Info General'!$A:$L,12,0))*I2019</f>
        <v>24.42</v>
      </c>
      <c r="L2019" s="35" t="s">
        <v>72</v>
      </c>
      <c r="M2019" s="35">
        <v>1</v>
      </c>
      <c r="N2019" s="35" t="s">
        <v>71</v>
      </c>
      <c r="O2019" s="9">
        <f>(VLOOKUP(L2019,'[1]Simulation pricing per sub assy'!$D:$E,2,0))*M2019</f>
        <v>43.868799999999993</v>
      </c>
      <c r="P2019" s="36" t="s">
        <v>50</v>
      </c>
      <c r="Q2019" s="36">
        <v>2</v>
      </c>
      <c r="R2019" s="36" t="s">
        <v>611</v>
      </c>
      <c r="S2019" s="40">
        <f>(VLOOKUP(P2019,'[1]BOM Info General'!$A:$L,12,0))*Q2019</f>
        <v>5.3</v>
      </c>
      <c r="T2019" s="37" t="s">
        <v>7</v>
      </c>
      <c r="U2019" s="37">
        <v>1</v>
      </c>
      <c r="V2019" s="37" t="s">
        <v>8</v>
      </c>
      <c r="W2019" s="17">
        <f>(VLOOKUP(T2019,'[1]Simulation pricing per sub assy'!$D:$E,2,0))*U2019</f>
        <v>1.85</v>
      </c>
      <c r="X2019" s="32" t="s">
        <v>615</v>
      </c>
      <c r="Y2019" s="38">
        <v>1</v>
      </c>
      <c r="Z2019" s="38" t="s">
        <v>9</v>
      </c>
      <c r="AA2019" s="18">
        <f>(VLOOKUP(X2019,'[1]Simulation pricing per sub assy'!$D:$E,2,0))*Y2019</f>
        <v>1.5769808000000001</v>
      </c>
    </row>
    <row r="2020" spans="1:27" x14ac:dyDescent="0.35">
      <c r="A2020" s="27" t="s">
        <v>3380</v>
      </c>
      <c r="B2020" s="27" t="s">
        <v>3381</v>
      </c>
      <c r="C2020" s="42">
        <f t="shared" si="31"/>
        <v>112.31578079999998</v>
      </c>
      <c r="D2020" s="33" t="s">
        <v>2058</v>
      </c>
      <c r="E2020" s="33">
        <v>1</v>
      </c>
      <c r="F2020" s="33" t="s">
        <v>2059</v>
      </c>
      <c r="G2020" s="14">
        <f>(VLOOKUP(D2020,'[1]BOM Info General'!$A:$L,12,0))*E2020</f>
        <v>35.56</v>
      </c>
      <c r="H2020" s="34" t="s">
        <v>39</v>
      </c>
      <c r="I2020" s="34">
        <v>1</v>
      </c>
      <c r="J2020" s="34" t="s">
        <v>46</v>
      </c>
      <c r="K2020" s="15">
        <f>(VLOOKUP(H2020,'[1]BOM Info General'!$A:$L,12,0))*I2020</f>
        <v>24.42</v>
      </c>
      <c r="L2020" s="35" t="s">
        <v>78</v>
      </c>
      <c r="M2020" s="35">
        <v>1</v>
      </c>
      <c r="N2020" s="35" t="s">
        <v>75</v>
      </c>
      <c r="O2020" s="9">
        <f>(VLOOKUP(L2020,'[1]Simulation pricing per sub assy'!$D:$E,2,0))*M2020</f>
        <v>43.608799999999988</v>
      </c>
      <c r="P2020" s="36" t="s">
        <v>50</v>
      </c>
      <c r="Q2020" s="36">
        <v>2</v>
      </c>
      <c r="R2020" s="36" t="s">
        <v>611</v>
      </c>
      <c r="S2020" s="40">
        <f>(VLOOKUP(P2020,'[1]BOM Info General'!$A:$L,12,0))*Q2020</f>
        <v>5.3</v>
      </c>
      <c r="T2020" s="37" t="s">
        <v>7</v>
      </c>
      <c r="U2020" s="37">
        <v>1</v>
      </c>
      <c r="V2020" s="37" t="s">
        <v>8</v>
      </c>
      <c r="W2020" s="17">
        <f>(VLOOKUP(T2020,'[1]Simulation pricing per sub assy'!$D:$E,2,0))*U2020</f>
        <v>1.85</v>
      </c>
      <c r="X2020" s="32" t="s">
        <v>615</v>
      </c>
      <c r="Y2020" s="38">
        <v>1</v>
      </c>
      <c r="Z2020" s="38" t="s">
        <v>9</v>
      </c>
      <c r="AA2020" s="18">
        <f>(VLOOKUP(X2020,'[1]Simulation pricing per sub assy'!$D:$E,2,0))*Y2020</f>
        <v>1.5769808000000001</v>
      </c>
    </row>
    <row r="2021" spans="1:27" x14ac:dyDescent="0.35">
      <c r="A2021" s="27" t="s">
        <v>3382</v>
      </c>
      <c r="B2021" s="27" t="s">
        <v>3383</v>
      </c>
      <c r="C2021" s="42">
        <f t="shared" si="31"/>
        <v>119.98578079999999</v>
      </c>
      <c r="D2021" s="33" t="s">
        <v>2058</v>
      </c>
      <c r="E2021" s="33">
        <v>1</v>
      </c>
      <c r="F2021" s="33" t="s">
        <v>2059</v>
      </c>
      <c r="G2021" s="14">
        <f>(VLOOKUP(D2021,'[1]BOM Info General'!$A:$L,12,0))*E2021</f>
        <v>35.56</v>
      </c>
      <c r="H2021" s="34" t="s">
        <v>39</v>
      </c>
      <c r="I2021" s="34">
        <v>1</v>
      </c>
      <c r="J2021" s="34" t="s">
        <v>46</v>
      </c>
      <c r="K2021" s="15">
        <f>(VLOOKUP(H2021,'[1]BOM Info General'!$A:$L,12,0))*I2021</f>
        <v>24.42</v>
      </c>
      <c r="L2021" s="35" t="s">
        <v>74</v>
      </c>
      <c r="M2021" s="35">
        <v>1</v>
      </c>
      <c r="N2021" s="35" t="s">
        <v>77</v>
      </c>
      <c r="O2021" s="9">
        <f>(VLOOKUP(L2021,'[1]Simulation pricing per sub assy'!$D:$E,2,0))*M2021</f>
        <v>51.27879999999999</v>
      </c>
      <c r="P2021" s="36" t="s">
        <v>50</v>
      </c>
      <c r="Q2021" s="36">
        <v>2</v>
      </c>
      <c r="R2021" s="36" t="s">
        <v>611</v>
      </c>
      <c r="S2021" s="40">
        <f>(VLOOKUP(P2021,'[1]BOM Info General'!$A:$L,12,0))*Q2021</f>
        <v>5.3</v>
      </c>
      <c r="T2021" s="37" t="s">
        <v>7</v>
      </c>
      <c r="U2021" s="37">
        <v>1</v>
      </c>
      <c r="V2021" s="37" t="s">
        <v>8</v>
      </c>
      <c r="W2021" s="17">
        <f>(VLOOKUP(T2021,'[1]Simulation pricing per sub assy'!$D:$E,2,0))*U2021</f>
        <v>1.85</v>
      </c>
      <c r="X2021" s="32" t="s">
        <v>615</v>
      </c>
      <c r="Y2021" s="38">
        <v>1</v>
      </c>
      <c r="Z2021" s="38" t="s">
        <v>9</v>
      </c>
      <c r="AA2021" s="18">
        <f>(VLOOKUP(X2021,'[1]Simulation pricing per sub assy'!$D:$E,2,0))*Y2021</f>
        <v>1.5769808000000001</v>
      </c>
    </row>
    <row r="2022" spans="1:27" x14ac:dyDescent="0.35">
      <c r="A2022" s="27" t="s">
        <v>3384</v>
      </c>
      <c r="B2022" s="27" t="s">
        <v>3385</v>
      </c>
      <c r="C2022" s="42">
        <f t="shared" si="31"/>
        <v>111.21578079999999</v>
      </c>
      <c r="D2022" s="33" t="s">
        <v>2058</v>
      </c>
      <c r="E2022" s="33">
        <v>1</v>
      </c>
      <c r="F2022" s="33" t="s">
        <v>2059</v>
      </c>
      <c r="G2022" s="14">
        <f>(VLOOKUP(D2022,'[1]BOM Info General'!$A:$L,12,0))*E2022</f>
        <v>35.56</v>
      </c>
      <c r="H2022" s="34" t="s">
        <v>39</v>
      </c>
      <c r="I2022" s="34">
        <v>1</v>
      </c>
      <c r="J2022" s="34" t="s">
        <v>46</v>
      </c>
      <c r="K2022" s="15">
        <f>(VLOOKUP(H2022,'[1]BOM Info General'!$A:$L,12,0))*I2022</f>
        <v>24.42</v>
      </c>
      <c r="L2022" s="35" t="s">
        <v>527</v>
      </c>
      <c r="M2022" s="35">
        <v>1</v>
      </c>
      <c r="N2022" s="35" t="s">
        <v>79</v>
      </c>
      <c r="O2022" s="9">
        <f>(VLOOKUP(L2022,'[1]Simulation pricing per sub assy'!$D:$E,2,0))*M2022</f>
        <v>42.308799999999991</v>
      </c>
      <c r="P2022" s="36" t="s">
        <v>50</v>
      </c>
      <c r="Q2022" s="36">
        <v>2</v>
      </c>
      <c r="R2022" s="36" t="s">
        <v>16</v>
      </c>
      <c r="S2022" s="40">
        <f>(VLOOKUP(P2022,'[1]BOM Info General'!$A:$L,12,0))*Q2022</f>
        <v>5.3</v>
      </c>
      <c r="T2022" s="37" t="s">
        <v>10</v>
      </c>
      <c r="U2022" s="37">
        <v>1</v>
      </c>
      <c r="V2022" s="37" t="s">
        <v>11</v>
      </c>
      <c r="W2022" s="17">
        <f>(VLOOKUP(T2022,'[1]Simulation pricing per sub assy'!$D:$E,2,0))*U2022</f>
        <v>2.0499999999999998</v>
      </c>
      <c r="X2022" s="32" t="s">
        <v>615</v>
      </c>
      <c r="Y2022" s="38">
        <v>1</v>
      </c>
      <c r="Z2022" s="38" t="s">
        <v>9</v>
      </c>
      <c r="AA2022" s="18">
        <f>(VLOOKUP(X2022,'[1]Simulation pricing per sub assy'!$D:$E,2,0))*Y2022</f>
        <v>1.5769808000000001</v>
      </c>
    </row>
    <row r="2023" spans="1:27" x14ac:dyDescent="0.35">
      <c r="A2023" s="27" t="s">
        <v>3386</v>
      </c>
      <c r="B2023" s="27" t="s">
        <v>3387</v>
      </c>
      <c r="C2023" s="42">
        <f t="shared" si="31"/>
        <v>112.19578079999999</v>
      </c>
      <c r="D2023" s="33" t="s">
        <v>2058</v>
      </c>
      <c r="E2023" s="33">
        <v>1</v>
      </c>
      <c r="F2023" s="33" t="s">
        <v>2059</v>
      </c>
      <c r="G2023" s="14">
        <f>(VLOOKUP(D2023,'[1]BOM Info General'!$A:$L,12,0))*E2023</f>
        <v>35.56</v>
      </c>
      <c r="H2023" s="34" t="s">
        <v>39</v>
      </c>
      <c r="I2023" s="34">
        <v>1</v>
      </c>
      <c r="J2023" s="34" t="s">
        <v>46</v>
      </c>
      <c r="K2023" s="15">
        <f>(VLOOKUP(H2023,'[1]BOM Info General'!$A:$L,12,0))*I2023</f>
        <v>24.42</v>
      </c>
      <c r="L2023" s="35" t="s">
        <v>76</v>
      </c>
      <c r="M2023" s="35">
        <v>1</v>
      </c>
      <c r="N2023" s="35" t="s">
        <v>73</v>
      </c>
      <c r="O2023" s="9">
        <f>(VLOOKUP(L2023,'[1]Simulation pricing per sub assy'!$D:$E,2,0))*M2023</f>
        <v>43.288799999999988</v>
      </c>
      <c r="P2023" s="36" t="s">
        <v>50</v>
      </c>
      <c r="Q2023" s="36">
        <v>2</v>
      </c>
      <c r="R2023" s="36" t="s">
        <v>16</v>
      </c>
      <c r="S2023" s="40">
        <f>(VLOOKUP(P2023,'[1]BOM Info General'!$A:$L,12,0))*Q2023</f>
        <v>5.3</v>
      </c>
      <c r="T2023" s="37" t="s">
        <v>10</v>
      </c>
      <c r="U2023" s="37">
        <v>1</v>
      </c>
      <c r="V2023" s="37" t="s">
        <v>11</v>
      </c>
      <c r="W2023" s="17">
        <f>(VLOOKUP(T2023,'[1]Simulation pricing per sub assy'!$D:$E,2,0))*U2023</f>
        <v>2.0499999999999998</v>
      </c>
      <c r="X2023" s="32" t="s">
        <v>615</v>
      </c>
      <c r="Y2023" s="38">
        <v>1</v>
      </c>
      <c r="Z2023" s="38" t="s">
        <v>9</v>
      </c>
      <c r="AA2023" s="18">
        <f>(VLOOKUP(X2023,'[1]Simulation pricing per sub assy'!$D:$E,2,0))*Y2023</f>
        <v>1.5769808000000001</v>
      </c>
    </row>
    <row r="2024" spans="1:27" x14ac:dyDescent="0.35">
      <c r="A2024" s="27" t="s">
        <v>3388</v>
      </c>
      <c r="B2024" s="27" t="s">
        <v>3389</v>
      </c>
      <c r="C2024" s="42">
        <f t="shared" si="31"/>
        <v>112.77578079999999</v>
      </c>
      <c r="D2024" s="33" t="s">
        <v>2058</v>
      </c>
      <c r="E2024" s="33">
        <v>1</v>
      </c>
      <c r="F2024" s="33" t="s">
        <v>2059</v>
      </c>
      <c r="G2024" s="14">
        <f>(VLOOKUP(D2024,'[1]BOM Info General'!$A:$L,12,0))*E2024</f>
        <v>35.56</v>
      </c>
      <c r="H2024" s="34" t="s">
        <v>39</v>
      </c>
      <c r="I2024" s="34">
        <v>1</v>
      </c>
      <c r="J2024" s="34" t="s">
        <v>46</v>
      </c>
      <c r="K2024" s="15">
        <f>(VLOOKUP(H2024,'[1]BOM Info General'!$A:$L,12,0))*I2024</f>
        <v>24.42</v>
      </c>
      <c r="L2024" s="35" t="s">
        <v>72</v>
      </c>
      <c r="M2024" s="35">
        <v>1</v>
      </c>
      <c r="N2024" s="35" t="s">
        <v>71</v>
      </c>
      <c r="O2024" s="9">
        <f>(VLOOKUP(L2024,'[1]Simulation pricing per sub assy'!$D:$E,2,0))*M2024</f>
        <v>43.868799999999993</v>
      </c>
      <c r="P2024" s="36" t="s">
        <v>50</v>
      </c>
      <c r="Q2024" s="36">
        <v>2</v>
      </c>
      <c r="R2024" s="36" t="s">
        <v>16</v>
      </c>
      <c r="S2024" s="40">
        <f>(VLOOKUP(P2024,'[1]BOM Info General'!$A:$L,12,0))*Q2024</f>
        <v>5.3</v>
      </c>
      <c r="T2024" s="37" t="s">
        <v>10</v>
      </c>
      <c r="U2024" s="37">
        <v>1</v>
      </c>
      <c r="V2024" s="37" t="s">
        <v>11</v>
      </c>
      <c r="W2024" s="17">
        <f>(VLOOKUP(T2024,'[1]Simulation pricing per sub assy'!$D:$E,2,0))*U2024</f>
        <v>2.0499999999999998</v>
      </c>
      <c r="X2024" s="32" t="s">
        <v>615</v>
      </c>
      <c r="Y2024" s="38">
        <v>1</v>
      </c>
      <c r="Z2024" s="38" t="s">
        <v>9</v>
      </c>
      <c r="AA2024" s="18">
        <f>(VLOOKUP(X2024,'[1]Simulation pricing per sub assy'!$D:$E,2,0))*Y2024</f>
        <v>1.5769808000000001</v>
      </c>
    </row>
    <row r="2025" spans="1:27" x14ac:dyDescent="0.35">
      <c r="A2025" s="27" t="s">
        <v>3390</v>
      </c>
      <c r="B2025" s="27" t="s">
        <v>3391</v>
      </c>
      <c r="C2025" s="42">
        <f t="shared" si="31"/>
        <v>112.51578079999999</v>
      </c>
      <c r="D2025" s="33" t="s">
        <v>2058</v>
      </c>
      <c r="E2025" s="33">
        <v>1</v>
      </c>
      <c r="F2025" s="33" t="s">
        <v>2059</v>
      </c>
      <c r="G2025" s="14">
        <f>(VLOOKUP(D2025,'[1]BOM Info General'!$A:$L,12,0))*E2025</f>
        <v>35.56</v>
      </c>
      <c r="H2025" s="34" t="s">
        <v>39</v>
      </c>
      <c r="I2025" s="34">
        <v>1</v>
      </c>
      <c r="J2025" s="34" t="s">
        <v>46</v>
      </c>
      <c r="K2025" s="15">
        <f>(VLOOKUP(H2025,'[1]BOM Info General'!$A:$L,12,0))*I2025</f>
        <v>24.42</v>
      </c>
      <c r="L2025" s="35" t="s">
        <v>78</v>
      </c>
      <c r="M2025" s="35">
        <v>1</v>
      </c>
      <c r="N2025" s="35" t="s">
        <v>75</v>
      </c>
      <c r="O2025" s="9">
        <f>(VLOOKUP(L2025,'[1]Simulation pricing per sub assy'!$D:$E,2,0))*M2025</f>
        <v>43.608799999999988</v>
      </c>
      <c r="P2025" s="36" t="s">
        <v>50</v>
      </c>
      <c r="Q2025" s="36">
        <v>2</v>
      </c>
      <c r="R2025" s="36" t="s">
        <v>16</v>
      </c>
      <c r="S2025" s="40">
        <f>(VLOOKUP(P2025,'[1]BOM Info General'!$A:$L,12,0))*Q2025</f>
        <v>5.3</v>
      </c>
      <c r="T2025" s="37" t="s">
        <v>10</v>
      </c>
      <c r="U2025" s="37">
        <v>1</v>
      </c>
      <c r="V2025" s="37" t="s">
        <v>11</v>
      </c>
      <c r="W2025" s="17">
        <f>(VLOOKUP(T2025,'[1]Simulation pricing per sub assy'!$D:$E,2,0))*U2025</f>
        <v>2.0499999999999998</v>
      </c>
      <c r="X2025" s="32" t="s">
        <v>615</v>
      </c>
      <c r="Y2025" s="38">
        <v>1</v>
      </c>
      <c r="Z2025" s="38" t="s">
        <v>9</v>
      </c>
      <c r="AA2025" s="18">
        <f>(VLOOKUP(X2025,'[1]Simulation pricing per sub assy'!$D:$E,2,0))*Y2025</f>
        <v>1.5769808000000001</v>
      </c>
    </row>
    <row r="2026" spans="1:27" x14ac:dyDescent="0.35">
      <c r="A2026" s="27" t="s">
        <v>3392</v>
      </c>
      <c r="B2026" s="27" t="s">
        <v>3393</v>
      </c>
      <c r="C2026" s="42">
        <f t="shared" si="31"/>
        <v>120.18578079999999</v>
      </c>
      <c r="D2026" s="33" t="s">
        <v>2058</v>
      </c>
      <c r="E2026" s="33">
        <v>1</v>
      </c>
      <c r="F2026" s="33" t="s">
        <v>2059</v>
      </c>
      <c r="G2026" s="14">
        <f>(VLOOKUP(D2026,'[1]BOM Info General'!$A:$L,12,0))*E2026</f>
        <v>35.56</v>
      </c>
      <c r="H2026" s="34" t="s">
        <v>39</v>
      </c>
      <c r="I2026" s="34">
        <v>1</v>
      </c>
      <c r="J2026" s="34" t="s">
        <v>46</v>
      </c>
      <c r="K2026" s="15">
        <f>(VLOOKUP(H2026,'[1]BOM Info General'!$A:$L,12,0))*I2026</f>
        <v>24.42</v>
      </c>
      <c r="L2026" s="35" t="s">
        <v>74</v>
      </c>
      <c r="M2026" s="35">
        <v>1</v>
      </c>
      <c r="N2026" s="35" t="s">
        <v>77</v>
      </c>
      <c r="O2026" s="9">
        <f>(VLOOKUP(L2026,'[1]Simulation pricing per sub assy'!$D:$E,2,0))*M2026</f>
        <v>51.27879999999999</v>
      </c>
      <c r="P2026" s="36" t="s">
        <v>50</v>
      </c>
      <c r="Q2026" s="36">
        <v>2</v>
      </c>
      <c r="R2026" s="36" t="s">
        <v>16</v>
      </c>
      <c r="S2026" s="40">
        <f>(VLOOKUP(P2026,'[1]BOM Info General'!$A:$L,12,0))*Q2026</f>
        <v>5.3</v>
      </c>
      <c r="T2026" s="37" t="s">
        <v>10</v>
      </c>
      <c r="U2026" s="37">
        <v>1</v>
      </c>
      <c r="V2026" s="37" t="s">
        <v>11</v>
      </c>
      <c r="W2026" s="17">
        <f>(VLOOKUP(T2026,'[1]Simulation pricing per sub assy'!$D:$E,2,0))*U2026</f>
        <v>2.0499999999999998</v>
      </c>
      <c r="X2026" s="32" t="s">
        <v>615</v>
      </c>
      <c r="Y2026" s="38">
        <v>1</v>
      </c>
      <c r="Z2026" s="38" t="s">
        <v>9</v>
      </c>
      <c r="AA2026" s="18">
        <f>(VLOOKUP(X2026,'[1]Simulation pricing per sub assy'!$D:$E,2,0))*Y2026</f>
        <v>1.5769808000000001</v>
      </c>
    </row>
    <row r="2027" spans="1:27" x14ac:dyDescent="0.35">
      <c r="A2027" s="27" t="s">
        <v>3394</v>
      </c>
      <c r="B2027" s="27" t="s">
        <v>3395</v>
      </c>
      <c r="C2027" s="42">
        <f t="shared" si="31"/>
        <v>111.0657808</v>
      </c>
      <c r="D2027" s="33" t="s">
        <v>2058</v>
      </c>
      <c r="E2027" s="33">
        <v>1</v>
      </c>
      <c r="F2027" s="33" t="s">
        <v>2059</v>
      </c>
      <c r="G2027" s="14">
        <f>(VLOOKUP(D2027,'[1]BOM Info General'!$A:$L,12,0))*E2027</f>
        <v>35.56</v>
      </c>
      <c r="H2027" s="34" t="s">
        <v>39</v>
      </c>
      <c r="I2027" s="34">
        <v>1</v>
      </c>
      <c r="J2027" s="34" t="s">
        <v>46</v>
      </c>
      <c r="K2027" s="15">
        <f>(VLOOKUP(H2027,'[1]BOM Info General'!$A:$L,12,0))*I2027</f>
        <v>24.42</v>
      </c>
      <c r="L2027" s="35" t="s">
        <v>527</v>
      </c>
      <c r="M2027" s="35">
        <v>1</v>
      </c>
      <c r="N2027" s="35" t="s">
        <v>79</v>
      </c>
      <c r="O2027" s="9">
        <f>(VLOOKUP(L2027,'[1]Simulation pricing per sub assy'!$D:$E,2,0))*M2027</f>
        <v>42.308799999999991</v>
      </c>
      <c r="P2027" s="36" t="s">
        <v>50</v>
      </c>
      <c r="Q2027" s="36">
        <v>2</v>
      </c>
      <c r="R2027" s="36" t="s">
        <v>16</v>
      </c>
      <c r="S2027" s="40">
        <f>(VLOOKUP(P2027,'[1]BOM Info General'!$A:$L,12,0))*Q2027</f>
        <v>5.3</v>
      </c>
      <c r="T2027" s="37" t="s">
        <v>12</v>
      </c>
      <c r="U2027" s="37">
        <v>1</v>
      </c>
      <c r="V2027" s="37" t="s">
        <v>13</v>
      </c>
      <c r="W2027" s="17">
        <f>(VLOOKUP(T2027,'[1]Simulation pricing per sub assy'!$D:$E,2,0))*U2027</f>
        <v>1.9</v>
      </c>
      <c r="X2027" s="32" t="s">
        <v>615</v>
      </c>
      <c r="Y2027" s="38">
        <v>1</v>
      </c>
      <c r="Z2027" s="38" t="s">
        <v>9</v>
      </c>
      <c r="AA2027" s="18">
        <f>(VLOOKUP(X2027,'[1]Simulation pricing per sub assy'!$D:$E,2,0))*Y2027</f>
        <v>1.5769808000000001</v>
      </c>
    </row>
    <row r="2028" spans="1:27" x14ac:dyDescent="0.35">
      <c r="A2028" s="27" t="s">
        <v>3396</v>
      </c>
      <c r="B2028" s="27" t="s">
        <v>3397</v>
      </c>
      <c r="C2028" s="42">
        <f t="shared" si="31"/>
        <v>112.0457808</v>
      </c>
      <c r="D2028" s="33" t="s">
        <v>2058</v>
      </c>
      <c r="E2028" s="33">
        <v>1</v>
      </c>
      <c r="F2028" s="33" t="s">
        <v>2059</v>
      </c>
      <c r="G2028" s="14">
        <f>(VLOOKUP(D2028,'[1]BOM Info General'!$A:$L,12,0))*E2028</f>
        <v>35.56</v>
      </c>
      <c r="H2028" s="34" t="s">
        <v>39</v>
      </c>
      <c r="I2028" s="34">
        <v>1</v>
      </c>
      <c r="J2028" s="34" t="s">
        <v>46</v>
      </c>
      <c r="K2028" s="15">
        <f>(VLOOKUP(H2028,'[1]BOM Info General'!$A:$L,12,0))*I2028</f>
        <v>24.42</v>
      </c>
      <c r="L2028" s="35" t="s">
        <v>76</v>
      </c>
      <c r="M2028" s="35">
        <v>1</v>
      </c>
      <c r="N2028" s="35" t="s">
        <v>73</v>
      </c>
      <c r="O2028" s="9">
        <f>(VLOOKUP(L2028,'[1]Simulation pricing per sub assy'!$D:$E,2,0))*M2028</f>
        <v>43.288799999999988</v>
      </c>
      <c r="P2028" s="36" t="s">
        <v>50</v>
      </c>
      <c r="Q2028" s="36">
        <v>2</v>
      </c>
      <c r="R2028" s="36" t="s">
        <v>16</v>
      </c>
      <c r="S2028" s="40">
        <f>(VLOOKUP(P2028,'[1]BOM Info General'!$A:$L,12,0))*Q2028</f>
        <v>5.3</v>
      </c>
      <c r="T2028" s="37" t="s">
        <v>12</v>
      </c>
      <c r="U2028" s="37">
        <v>1</v>
      </c>
      <c r="V2028" s="37" t="s">
        <v>13</v>
      </c>
      <c r="W2028" s="17">
        <f>(VLOOKUP(T2028,'[1]Simulation pricing per sub assy'!$D:$E,2,0))*U2028</f>
        <v>1.9</v>
      </c>
      <c r="X2028" s="32" t="s">
        <v>615</v>
      </c>
      <c r="Y2028" s="38">
        <v>1</v>
      </c>
      <c r="Z2028" s="38" t="s">
        <v>9</v>
      </c>
      <c r="AA2028" s="18">
        <f>(VLOOKUP(X2028,'[1]Simulation pricing per sub assy'!$D:$E,2,0))*Y2028</f>
        <v>1.5769808000000001</v>
      </c>
    </row>
    <row r="2029" spans="1:27" x14ac:dyDescent="0.35">
      <c r="A2029" s="27" t="s">
        <v>3398</v>
      </c>
      <c r="B2029" s="27" t="s">
        <v>3399</v>
      </c>
      <c r="C2029" s="42">
        <f t="shared" si="31"/>
        <v>112.6257808</v>
      </c>
      <c r="D2029" s="33" t="s">
        <v>2058</v>
      </c>
      <c r="E2029" s="33">
        <v>1</v>
      </c>
      <c r="F2029" s="33" t="s">
        <v>2059</v>
      </c>
      <c r="G2029" s="14">
        <f>(VLOOKUP(D2029,'[1]BOM Info General'!$A:$L,12,0))*E2029</f>
        <v>35.56</v>
      </c>
      <c r="H2029" s="34" t="s">
        <v>39</v>
      </c>
      <c r="I2029" s="34">
        <v>1</v>
      </c>
      <c r="J2029" s="34" t="s">
        <v>46</v>
      </c>
      <c r="K2029" s="15">
        <f>(VLOOKUP(H2029,'[1]BOM Info General'!$A:$L,12,0))*I2029</f>
        <v>24.42</v>
      </c>
      <c r="L2029" s="35" t="s">
        <v>72</v>
      </c>
      <c r="M2029" s="35">
        <v>1</v>
      </c>
      <c r="N2029" s="35" t="s">
        <v>71</v>
      </c>
      <c r="O2029" s="9">
        <f>(VLOOKUP(L2029,'[1]Simulation pricing per sub assy'!$D:$E,2,0))*M2029</f>
        <v>43.868799999999993</v>
      </c>
      <c r="P2029" s="36" t="s">
        <v>50</v>
      </c>
      <c r="Q2029" s="36">
        <v>2</v>
      </c>
      <c r="R2029" s="36" t="s">
        <v>16</v>
      </c>
      <c r="S2029" s="40">
        <f>(VLOOKUP(P2029,'[1]BOM Info General'!$A:$L,12,0))*Q2029</f>
        <v>5.3</v>
      </c>
      <c r="T2029" s="37" t="s">
        <v>12</v>
      </c>
      <c r="U2029" s="37">
        <v>1</v>
      </c>
      <c r="V2029" s="37" t="s">
        <v>13</v>
      </c>
      <c r="W2029" s="17">
        <f>(VLOOKUP(T2029,'[1]Simulation pricing per sub assy'!$D:$E,2,0))*U2029</f>
        <v>1.9</v>
      </c>
      <c r="X2029" s="32" t="s">
        <v>615</v>
      </c>
      <c r="Y2029" s="38">
        <v>1</v>
      </c>
      <c r="Z2029" s="38" t="s">
        <v>9</v>
      </c>
      <c r="AA2029" s="18">
        <f>(VLOOKUP(X2029,'[1]Simulation pricing per sub assy'!$D:$E,2,0))*Y2029</f>
        <v>1.5769808000000001</v>
      </c>
    </row>
    <row r="2030" spans="1:27" x14ac:dyDescent="0.35">
      <c r="A2030" s="27" t="s">
        <v>3400</v>
      </c>
      <c r="B2030" s="27" t="s">
        <v>3401</v>
      </c>
      <c r="C2030" s="42">
        <f t="shared" si="31"/>
        <v>112.3657808</v>
      </c>
      <c r="D2030" s="33" t="s">
        <v>2058</v>
      </c>
      <c r="E2030" s="33">
        <v>1</v>
      </c>
      <c r="F2030" s="33" t="s">
        <v>2059</v>
      </c>
      <c r="G2030" s="14">
        <f>(VLOOKUP(D2030,'[1]BOM Info General'!$A:$L,12,0))*E2030</f>
        <v>35.56</v>
      </c>
      <c r="H2030" s="34" t="s">
        <v>39</v>
      </c>
      <c r="I2030" s="34">
        <v>1</v>
      </c>
      <c r="J2030" s="34" t="s">
        <v>46</v>
      </c>
      <c r="K2030" s="15">
        <f>(VLOOKUP(H2030,'[1]BOM Info General'!$A:$L,12,0))*I2030</f>
        <v>24.42</v>
      </c>
      <c r="L2030" s="35" t="s">
        <v>78</v>
      </c>
      <c r="M2030" s="35">
        <v>1</v>
      </c>
      <c r="N2030" s="35" t="s">
        <v>75</v>
      </c>
      <c r="O2030" s="9">
        <f>(VLOOKUP(L2030,'[1]Simulation pricing per sub assy'!$D:$E,2,0))*M2030</f>
        <v>43.608799999999988</v>
      </c>
      <c r="P2030" s="36" t="s">
        <v>50</v>
      </c>
      <c r="Q2030" s="36">
        <v>2</v>
      </c>
      <c r="R2030" s="36" t="s">
        <v>16</v>
      </c>
      <c r="S2030" s="40">
        <f>(VLOOKUP(P2030,'[1]BOM Info General'!$A:$L,12,0))*Q2030</f>
        <v>5.3</v>
      </c>
      <c r="T2030" s="37" t="s">
        <v>12</v>
      </c>
      <c r="U2030" s="37">
        <v>1</v>
      </c>
      <c r="V2030" s="37" t="s">
        <v>13</v>
      </c>
      <c r="W2030" s="17">
        <f>(VLOOKUP(T2030,'[1]Simulation pricing per sub assy'!$D:$E,2,0))*U2030</f>
        <v>1.9</v>
      </c>
      <c r="X2030" s="32" t="s">
        <v>615</v>
      </c>
      <c r="Y2030" s="38">
        <v>1</v>
      </c>
      <c r="Z2030" s="38" t="s">
        <v>9</v>
      </c>
      <c r="AA2030" s="18">
        <f>(VLOOKUP(X2030,'[1]Simulation pricing per sub assy'!$D:$E,2,0))*Y2030</f>
        <v>1.5769808000000001</v>
      </c>
    </row>
    <row r="2031" spans="1:27" x14ac:dyDescent="0.35">
      <c r="A2031" s="27" t="s">
        <v>3402</v>
      </c>
      <c r="B2031" s="27" t="s">
        <v>3403</v>
      </c>
      <c r="C2031" s="42">
        <f t="shared" si="31"/>
        <v>120.0357808</v>
      </c>
      <c r="D2031" s="33" t="s">
        <v>2058</v>
      </c>
      <c r="E2031" s="33">
        <v>1</v>
      </c>
      <c r="F2031" s="33" t="s">
        <v>2059</v>
      </c>
      <c r="G2031" s="14">
        <f>(VLOOKUP(D2031,'[1]BOM Info General'!$A:$L,12,0))*E2031</f>
        <v>35.56</v>
      </c>
      <c r="H2031" s="34" t="s">
        <v>39</v>
      </c>
      <c r="I2031" s="34">
        <v>1</v>
      </c>
      <c r="J2031" s="34" t="s">
        <v>46</v>
      </c>
      <c r="K2031" s="15">
        <f>(VLOOKUP(H2031,'[1]BOM Info General'!$A:$L,12,0))*I2031</f>
        <v>24.42</v>
      </c>
      <c r="L2031" s="35" t="s">
        <v>74</v>
      </c>
      <c r="M2031" s="35">
        <v>1</v>
      </c>
      <c r="N2031" s="35" t="s">
        <v>77</v>
      </c>
      <c r="O2031" s="9">
        <f>(VLOOKUP(L2031,'[1]Simulation pricing per sub assy'!$D:$E,2,0))*M2031</f>
        <v>51.27879999999999</v>
      </c>
      <c r="P2031" s="36" t="s">
        <v>50</v>
      </c>
      <c r="Q2031" s="36">
        <v>2</v>
      </c>
      <c r="R2031" s="36" t="s">
        <v>16</v>
      </c>
      <c r="S2031" s="40">
        <f>(VLOOKUP(P2031,'[1]BOM Info General'!$A:$L,12,0))*Q2031</f>
        <v>5.3</v>
      </c>
      <c r="T2031" s="37" t="s">
        <v>12</v>
      </c>
      <c r="U2031" s="37">
        <v>1</v>
      </c>
      <c r="V2031" s="37" t="s">
        <v>13</v>
      </c>
      <c r="W2031" s="17">
        <f>(VLOOKUP(T2031,'[1]Simulation pricing per sub assy'!$D:$E,2,0))*U2031</f>
        <v>1.9</v>
      </c>
      <c r="X2031" s="32" t="s">
        <v>615</v>
      </c>
      <c r="Y2031" s="38">
        <v>1</v>
      </c>
      <c r="Z2031" s="38" t="s">
        <v>9</v>
      </c>
      <c r="AA2031" s="18">
        <f>(VLOOKUP(X2031,'[1]Simulation pricing per sub assy'!$D:$E,2,0))*Y2031</f>
        <v>1.5769808000000001</v>
      </c>
    </row>
    <row r="2032" spans="1:27" x14ac:dyDescent="0.35">
      <c r="A2032" s="27" t="s">
        <v>3404</v>
      </c>
      <c r="B2032" s="27" t="s">
        <v>3405</v>
      </c>
      <c r="C2032" s="42">
        <f t="shared" si="31"/>
        <v>111.0657808</v>
      </c>
      <c r="D2032" s="33" t="s">
        <v>2058</v>
      </c>
      <c r="E2032" s="33">
        <v>1</v>
      </c>
      <c r="F2032" s="33" t="s">
        <v>2059</v>
      </c>
      <c r="G2032" s="14">
        <f>(VLOOKUP(D2032,'[1]BOM Info General'!$A:$L,12,0))*E2032</f>
        <v>35.56</v>
      </c>
      <c r="H2032" s="34" t="s">
        <v>39</v>
      </c>
      <c r="I2032" s="34">
        <v>1</v>
      </c>
      <c r="J2032" s="34" t="s">
        <v>46</v>
      </c>
      <c r="K2032" s="15">
        <f>(VLOOKUP(H2032,'[1]BOM Info General'!$A:$L,12,0))*I2032</f>
        <v>24.42</v>
      </c>
      <c r="L2032" s="35" t="s">
        <v>527</v>
      </c>
      <c r="M2032" s="35">
        <v>1</v>
      </c>
      <c r="N2032" s="35" t="s">
        <v>79</v>
      </c>
      <c r="O2032" s="9">
        <f>(VLOOKUP(L2032,'[1]Simulation pricing per sub assy'!$D:$E,2,0))*M2032</f>
        <v>42.308799999999991</v>
      </c>
      <c r="P2032" s="36" t="s">
        <v>50</v>
      </c>
      <c r="Q2032" s="36">
        <v>2</v>
      </c>
      <c r="R2032" s="36" t="s">
        <v>16</v>
      </c>
      <c r="S2032" s="40">
        <f>(VLOOKUP(P2032,'[1]BOM Info General'!$A:$L,12,0))*Q2032</f>
        <v>5.3</v>
      </c>
      <c r="T2032" s="37" t="s">
        <v>14</v>
      </c>
      <c r="U2032" s="37">
        <v>1</v>
      </c>
      <c r="V2032" s="37" t="s">
        <v>15</v>
      </c>
      <c r="W2032" s="17">
        <f>(VLOOKUP(T2032,'[1]Simulation pricing per sub assy'!$D:$E,2,0))*U2032</f>
        <v>1.9</v>
      </c>
      <c r="X2032" s="32" t="s">
        <v>615</v>
      </c>
      <c r="Y2032" s="38">
        <v>1</v>
      </c>
      <c r="Z2032" s="38" t="s">
        <v>9</v>
      </c>
      <c r="AA2032" s="18">
        <f>(VLOOKUP(X2032,'[1]Simulation pricing per sub assy'!$D:$E,2,0))*Y2032</f>
        <v>1.5769808000000001</v>
      </c>
    </row>
    <row r="2033" spans="1:27" x14ac:dyDescent="0.35">
      <c r="A2033" s="27" t="s">
        <v>3406</v>
      </c>
      <c r="B2033" s="27" t="s">
        <v>3407</v>
      </c>
      <c r="C2033" s="42">
        <f t="shared" si="31"/>
        <v>112.0457808</v>
      </c>
      <c r="D2033" s="33" t="s">
        <v>2058</v>
      </c>
      <c r="E2033" s="33">
        <v>1</v>
      </c>
      <c r="F2033" s="33" t="s">
        <v>2059</v>
      </c>
      <c r="G2033" s="14">
        <f>(VLOOKUP(D2033,'[1]BOM Info General'!$A:$L,12,0))*E2033</f>
        <v>35.56</v>
      </c>
      <c r="H2033" s="34" t="s">
        <v>39</v>
      </c>
      <c r="I2033" s="34">
        <v>1</v>
      </c>
      <c r="J2033" s="34" t="s">
        <v>46</v>
      </c>
      <c r="K2033" s="15">
        <f>(VLOOKUP(H2033,'[1]BOM Info General'!$A:$L,12,0))*I2033</f>
        <v>24.42</v>
      </c>
      <c r="L2033" s="35" t="s">
        <v>76</v>
      </c>
      <c r="M2033" s="35">
        <v>1</v>
      </c>
      <c r="N2033" s="35" t="s">
        <v>73</v>
      </c>
      <c r="O2033" s="9">
        <f>(VLOOKUP(L2033,'[1]Simulation pricing per sub assy'!$D:$E,2,0))*M2033</f>
        <v>43.288799999999988</v>
      </c>
      <c r="P2033" s="36" t="s">
        <v>50</v>
      </c>
      <c r="Q2033" s="36">
        <v>2</v>
      </c>
      <c r="R2033" s="36" t="s">
        <v>16</v>
      </c>
      <c r="S2033" s="40">
        <f>(VLOOKUP(P2033,'[1]BOM Info General'!$A:$L,12,0))*Q2033</f>
        <v>5.3</v>
      </c>
      <c r="T2033" s="37" t="s">
        <v>14</v>
      </c>
      <c r="U2033" s="37">
        <v>1</v>
      </c>
      <c r="V2033" s="37" t="s">
        <v>15</v>
      </c>
      <c r="W2033" s="17">
        <f>(VLOOKUP(T2033,'[1]Simulation pricing per sub assy'!$D:$E,2,0))*U2033</f>
        <v>1.9</v>
      </c>
      <c r="X2033" s="32" t="s">
        <v>615</v>
      </c>
      <c r="Y2033" s="38">
        <v>1</v>
      </c>
      <c r="Z2033" s="38" t="s">
        <v>9</v>
      </c>
      <c r="AA2033" s="18">
        <f>(VLOOKUP(X2033,'[1]Simulation pricing per sub assy'!$D:$E,2,0))*Y2033</f>
        <v>1.5769808000000001</v>
      </c>
    </row>
    <row r="2034" spans="1:27" x14ac:dyDescent="0.35">
      <c r="A2034" s="27" t="s">
        <v>3408</v>
      </c>
      <c r="B2034" s="27" t="s">
        <v>3409</v>
      </c>
      <c r="C2034" s="42">
        <f t="shared" si="31"/>
        <v>112.6257808</v>
      </c>
      <c r="D2034" s="33" t="s">
        <v>2058</v>
      </c>
      <c r="E2034" s="33">
        <v>1</v>
      </c>
      <c r="F2034" s="33" t="s">
        <v>2059</v>
      </c>
      <c r="G2034" s="14">
        <f>(VLOOKUP(D2034,'[1]BOM Info General'!$A:$L,12,0))*E2034</f>
        <v>35.56</v>
      </c>
      <c r="H2034" s="34" t="s">
        <v>39</v>
      </c>
      <c r="I2034" s="34">
        <v>1</v>
      </c>
      <c r="J2034" s="34" t="s">
        <v>46</v>
      </c>
      <c r="K2034" s="15">
        <f>(VLOOKUP(H2034,'[1]BOM Info General'!$A:$L,12,0))*I2034</f>
        <v>24.42</v>
      </c>
      <c r="L2034" s="35" t="s">
        <v>72</v>
      </c>
      <c r="M2034" s="35">
        <v>1</v>
      </c>
      <c r="N2034" s="35" t="s">
        <v>71</v>
      </c>
      <c r="O2034" s="9">
        <f>(VLOOKUP(L2034,'[1]Simulation pricing per sub assy'!$D:$E,2,0))*M2034</f>
        <v>43.868799999999993</v>
      </c>
      <c r="P2034" s="36" t="s">
        <v>50</v>
      </c>
      <c r="Q2034" s="36">
        <v>2</v>
      </c>
      <c r="R2034" s="36" t="s">
        <v>16</v>
      </c>
      <c r="S2034" s="40">
        <f>(VLOOKUP(P2034,'[1]BOM Info General'!$A:$L,12,0))*Q2034</f>
        <v>5.3</v>
      </c>
      <c r="T2034" s="37" t="s">
        <v>14</v>
      </c>
      <c r="U2034" s="37">
        <v>1</v>
      </c>
      <c r="V2034" s="37" t="s">
        <v>15</v>
      </c>
      <c r="W2034" s="17">
        <f>(VLOOKUP(T2034,'[1]Simulation pricing per sub assy'!$D:$E,2,0))*U2034</f>
        <v>1.9</v>
      </c>
      <c r="X2034" s="32" t="s">
        <v>615</v>
      </c>
      <c r="Y2034" s="38">
        <v>1</v>
      </c>
      <c r="Z2034" s="38" t="s">
        <v>9</v>
      </c>
      <c r="AA2034" s="18">
        <f>(VLOOKUP(X2034,'[1]Simulation pricing per sub assy'!$D:$E,2,0))*Y2034</f>
        <v>1.5769808000000001</v>
      </c>
    </row>
    <row r="2035" spans="1:27" x14ac:dyDescent="0.35">
      <c r="A2035" s="27" t="s">
        <v>3410</v>
      </c>
      <c r="B2035" s="27" t="s">
        <v>3411</v>
      </c>
      <c r="C2035" s="42">
        <f t="shared" si="31"/>
        <v>112.3657808</v>
      </c>
      <c r="D2035" s="33" t="s">
        <v>2058</v>
      </c>
      <c r="E2035" s="33">
        <v>1</v>
      </c>
      <c r="F2035" s="33" t="s">
        <v>2059</v>
      </c>
      <c r="G2035" s="14">
        <f>(VLOOKUP(D2035,'[1]BOM Info General'!$A:$L,12,0))*E2035</f>
        <v>35.56</v>
      </c>
      <c r="H2035" s="34" t="s">
        <v>39</v>
      </c>
      <c r="I2035" s="34">
        <v>1</v>
      </c>
      <c r="J2035" s="34" t="s">
        <v>46</v>
      </c>
      <c r="K2035" s="15">
        <f>(VLOOKUP(H2035,'[1]BOM Info General'!$A:$L,12,0))*I2035</f>
        <v>24.42</v>
      </c>
      <c r="L2035" s="35" t="s">
        <v>78</v>
      </c>
      <c r="M2035" s="35">
        <v>1</v>
      </c>
      <c r="N2035" s="35" t="s">
        <v>75</v>
      </c>
      <c r="O2035" s="9">
        <f>(VLOOKUP(L2035,'[1]Simulation pricing per sub assy'!$D:$E,2,0))*M2035</f>
        <v>43.608799999999988</v>
      </c>
      <c r="P2035" s="36" t="s">
        <v>50</v>
      </c>
      <c r="Q2035" s="36">
        <v>2</v>
      </c>
      <c r="R2035" s="36" t="s">
        <v>16</v>
      </c>
      <c r="S2035" s="40">
        <f>(VLOOKUP(P2035,'[1]BOM Info General'!$A:$L,12,0))*Q2035</f>
        <v>5.3</v>
      </c>
      <c r="T2035" s="37" t="s">
        <v>14</v>
      </c>
      <c r="U2035" s="37">
        <v>1</v>
      </c>
      <c r="V2035" s="37" t="s">
        <v>15</v>
      </c>
      <c r="W2035" s="17">
        <f>(VLOOKUP(T2035,'[1]Simulation pricing per sub assy'!$D:$E,2,0))*U2035</f>
        <v>1.9</v>
      </c>
      <c r="X2035" s="32" t="s">
        <v>615</v>
      </c>
      <c r="Y2035" s="38">
        <v>1</v>
      </c>
      <c r="Z2035" s="38" t="s">
        <v>9</v>
      </c>
      <c r="AA2035" s="18">
        <f>(VLOOKUP(X2035,'[1]Simulation pricing per sub assy'!$D:$E,2,0))*Y2035</f>
        <v>1.5769808000000001</v>
      </c>
    </row>
    <row r="2036" spans="1:27" x14ac:dyDescent="0.35">
      <c r="A2036" s="27" t="s">
        <v>3412</v>
      </c>
      <c r="B2036" s="27" t="s">
        <v>3413</v>
      </c>
      <c r="C2036" s="42">
        <f t="shared" si="31"/>
        <v>120.0357808</v>
      </c>
      <c r="D2036" s="33" t="s">
        <v>2058</v>
      </c>
      <c r="E2036" s="33">
        <v>1</v>
      </c>
      <c r="F2036" s="33" t="s">
        <v>2059</v>
      </c>
      <c r="G2036" s="14">
        <f>(VLOOKUP(D2036,'[1]BOM Info General'!$A:$L,12,0))*E2036</f>
        <v>35.56</v>
      </c>
      <c r="H2036" s="34" t="s">
        <v>39</v>
      </c>
      <c r="I2036" s="34">
        <v>1</v>
      </c>
      <c r="J2036" s="34" t="s">
        <v>46</v>
      </c>
      <c r="K2036" s="15">
        <f>(VLOOKUP(H2036,'[1]BOM Info General'!$A:$L,12,0))*I2036</f>
        <v>24.42</v>
      </c>
      <c r="L2036" s="35" t="s">
        <v>74</v>
      </c>
      <c r="M2036" s="35">
        <v>1</v>
      </c>
      <c r="N2036" s="35" t="s">
        <v>77</v>
      </c>
      <c r="O2036" s="9">
        <f>(VLOOKUP(L2036,'[1]Simulation pricing per sub assy'!$D:$E,2,0))*M2036</f>
        <v>51.27879999999999</v>
      </c>
      <c r="P2036" s="36" t="s">
        <v>50</v>
      </c>
      <c r="Q2036" s="36">
        <v>2</v>
      </c>
      <c r="R2036" s="36" t="s">
        <v>16</v>
      </c>
      <c r="S2036" s="40">
        <f>(VLOOKUP(P2036,'[1]BOM Info General'!$A:$L,12,0))*Q2036</f>
        <v>5.3</v>
      </c>
      <c r="T2036" s="37" t="s">
        <v>14</v>
      </c>
      <c r="U2036" s="37">
        <v>1</v>
      </c>
      <c r="V2036" s="37" t="s">
        <v>15</v>
      </c>
      <c r="W2036" s="17">
        <f>(VLOOKUP(T2036,'[1]Simulation pricing per sub assy'!$D:$E,2,0))*U2036</f>
        <v>1.9</v>
      </c>
      <c r="X2036" s="32" t="s">
        <v>615</v>
      </c>
      <c r="Y2036" s="38">
        <v>1</v>
      </c>
      <c r="Z2036" s="38" t="s">
        <v>9</v>
      </c>
      <c r="AA2036" s="18">
        <f>(VLOOKUP(X2036,'[1]Simulation pricing per sub assy'!$D:$E,2,0))*Y2036</f>
        <v>1.5769808000000001</v>
      </c>
    </row>
    <row r="2037" spans="1:27" x14ac:dyDescent="0.35">
      <c r="A2037" s="27" t="s">
        <v>3414</v>
      </c>
      <c r="B2037" s="27" t="s">
        <v>3415</v>
      </c>
      <c r="C2037" s="42">
        <f t="shared" si="31"/>
        <v>111.21578079999999</v>
      </c>
      <c r="D2037" s="33" t="s">
        <v>2058</v>
      </c>
      <c r="E2037" s="33">
        <v>1</v>
      </c>
      <c r="F2037" s="33" t="s">
        <v>2059</v>
      </c>
      <c r="G2037" s="14">
        <f>(VLOOKUP(D2037,'[1]BOM Info General'!$A:$L,12,0))*E2037</f>
        <v>35.56</v>
      </c>
      <c r="H2037" s="34" t="s">
        <v>39</v>
      </c>
      <c r="I2037" s="34">
        <v>1</v>
      </c>
      <c r="J2037" s="34" t="s">
        <v>46</v>
      </c>
      <c r="K2037" s="15">
        <f>(VLOOKUP(H2037,'[1]BOM Info General'!$A:$L,12,0))*I2037</f>
        <v>24.42</v>
      </c>
      <c r="L2037" s="35" t="s">
        <v>527</v>
      </c>
      <c r="M2037" s="35">
        <v>1</v>
      </c>
      <c r="N2037" s="35" t="s">
        <v>79</v>
      </c>
      <c r="O2037" s="9">
        <f>(VLOOKUP(L2037,'[1]Simulation pricing per sub assy'!$D:$E,2,0))*M2037</f>
        <v>42.308799999999991</v>
      </c>
      <c r="P2037" s="36" t="s">
        <v>51</v>
      </c>
      <c r="Q2037" s="36">
        <v>2</v>
      </c>
      <c r="R2037" s="36" t="s">
        <v>17</v>
      </c>
      <c r="S2037" s="40">
        <f>(VLOOKUP(P2037,'[1]BOM Info General'!$A:$L,12,0))*Q2037</f>
        <v>5.3</v>
      </c>
      <c r="T2037" s="37" t="s">
        <v>10</v>
      </c>
      <c r="U2037" s="37">
        <v>1</v>
      </c>
      <c r="V2037" s="37" t="s">
        <v>11</v>
      </c>
      <c r="W2037" s="17">
        <f>(VLOOKUP(T2037,'[1]Simulation pricing per sub assy'!$D:$E,2,0))*U2037</f>
        <v>2.0499999999999998</v>
      </c>
      <c r="X2037" s="32" t="s">
        <v>615</v>
      </c>
      <c r="Y2037" s="38">
        <v>1</v>
      </c>
      <c r="Z2037" s="38" t="s">
        <v>9</v>
      </c>
      <c r="AA2037" s="18">
        <f>(VLOOKUP(X2037,'[1]Simulation pricing per sub assy'!$D:$E,2,0))*Y2037</f>
        <v>1.5769808000000001</v>
      </c>
    </row>
    <row r="2038" spans="1:27" x14ac:dyDescent="0.35">
      <c r="A2038" s="27" t="s">
        <v>3416</v>
      </c>
      <c r="B2038" s="27" t="s">
        <v>3417</v>
      </c>
      <c r="C2038" s="42">
        <f t="shared" si="31"/>
        <v>112.19578079999999</v>
      </c>
      <c r="D2038" s="33" t="s">
        <v>2058</v>
      </c>
      <c r="E2038" s="33">
        <v>1</v>
      </c>
      <c r="F2038" s="33" t="s">
        <v>2059</v>
      </c>
      <c r="G2038" s="14">
        <f>(VLOOKUP(D2038,'[1]BOM Info General'!$A:$L,12,0))*E2038</f>
        <v>35.56</v>
      </c>
      <c r="H2038" s="34" t="s">
        <v>39</v>
      </c>
      <c r="I2038" s="34">
        <v>1</v>
      </c>
      <c r="J2038" s="34" t="s">
        <v>46</v>
      </c>
      <c r="K2038" s="15">
        <f>(VLOOKUP(H2038,'[1]BOM Info General'!$A:$L,12,0))*I2038</f>
        <v>24.42</v>
      </c>
      <c r="L2038" s="35" t="s">
        <v>76</v>
      </c>
      <c r="M2038" s="35">
        <v>1</v>
      </c>
      <c r="N2038" s="35" t="s">
        <v>73</v>
      </c>
      <c r="O2038" s="9">
        <f>(VLOOKUP(L2038,'[1]Simulation pricing per sub assy'!$D:$E,2,0))*M2038</f>
        <v>43.288799999999988</v>
      </c>
      <c r="P2038" s="36" t="s">
        <v>51</v>
      </c>
      <c r="Q2038" s="36">
        <v>2</v>
      </c>
      <c r="R2038" s="36" t="s">
        <v>17</v>
      </c>
      <c r="S2038" s="40">
        <f>(VLOOKUP(P2038,'[1]BOM Info General'!$A:$L,12,0))*Q2038</f>
        <v>5.3</v>
      </c>
      <c r="T2038" s="37" t="s">
        <v>10</v>
      </c>
      <c r="U2038" s="37">
        <v>1</v>
      </c>
      <c r="V2038" s="37" t="s">
        <v>11</v>
      </c>
      <c r="W2038" s="17">
        <f>(VLOOKUP(T2038,'[1]Simulation pricing per sub assy'!$D:$E,2,0))*U2038</f>
        <v>2.0499999999999998</v>
      </c>
      <c r="X2038" s="32" t="s">
        <v>615</v>
      </c>
      <c r="Y2038" s="38">
        <v>1</v>
      </c>
      <c r="Z2038" s="38" t="s">
        <v>9</v>
      </c>
      <c r="AA2038" s="18">
        <f>(VLOOKUP(X2038,'[1]Simulation pricing per sub assy'!$D:$E,2,0))*Y2038</f>
        <v>1.5769808000000001</v>
      </c>
    </row>
    <row r="2039" spans="1:27" x14ac:dyDescent="0.35">
      <c r="A2039" s="27" t="s">
        <v>3418</v>
      </c>
      <c r="B2039" s="27" t="s">
        <v>3419</v>
      </c>
      <c r="C2039" s="42">
        <f t="shared" si="31"/>
        <v>112.77578079999999</v>
      </c>
      <c r="D2039" s="33" t="s">
        <v>2058</v>
      </c>
      <c r="E2039" s="33">
        <v>1</v>
      </c>
      <c r="F2039" s="33" t="s">
        <v>2059</v>
      </c>
      <c r="G2039" s="14">
        <f>(VLOOKUP(D2039,'[1]BOM Info General'!$A:$L,12,0))*E2039</f>
        <v>35.56</v>
      </c>
      <c r="H2039" s="34" t="s">
        <v>39</v>
      </c>
      <c r="I2039" s="34">
        <v>1</v>
      </c>
      <c r="J2039" s="34" t="s">
        <v>46</v>
      </c>
      <c r="K2039" s="15">
        <f>(VLOOKUP(H2039,'[1]BOM Info General'!$A:$L,12,0))*I2039</f>
        <v>24.42</v>
      </c>
      <c r="L2039" s="35" t="s">
        <v>72</v>
      </c>
      <c r="M2039" s="35">
        <v>1</v>
      </c>
      <c r="N2039" s="35" t="s">
        <v>71</v>
      </c>
      <c r="O2039" s="9">
        <f>(VLOOKUP(L2039,'[1]Simulation pricing per sub assy'!$D:$E,2,0))*M2039</f>
        <v>43.868799999999993</v>
      </c>
      <c r="P2039" s="36" t="s">
        <v>51</v>
      </c>
      <c r="Q2039" s="36">
        <v>2</v>
      </c>
      <c r="R2039" s="36" t="s">
        <v>17</v>
      </c>
      <c r="S2039" s="40">
        <f>(VLOOKUP(P2039,'[1]BOM Info General'!$A:$L,12,0))*Q2039</f>
        <v>5.3</v>
      </c>
      <c r="T2039" s="37" t="s">
        <v>10</v>
      </c>
      <c r="U2039" s="37">
        <v>1</v>
      </c>
      <c r="V2039" s="37" t="s">
        <v>11</v>
      </c>
      <c r="W2039" s="17">
        <f>(VLOOKUP(T2039,'[1]Simulation pricing per sub assy'!$D:$E,2,0))*U2039</f>
        <v>2.0499999999999998</v>
      </c>
      <c r="X2039" s="32" t="s">
        <v>615</v>
      </c>
      <c r="Y2039" s="38">
        <v>1</v>
      </c>
      <c r="Z2039" s="38" t="s">
        <v>9</v>
      </c>
      <c r="AA2039" s="18">
        <f>(VLOOKUP(X2039,'[1]Simulation pricing per sub assy'!$D:$E,2,0))*Y2039</f>
        <v>1.5769808000000001</v>
      </c>
    </row>
    <row r="2040" spans="1:27" x14ac:dyDescent="0.35">
      <c r="A2040" s="27" t="s">
        <v>3420</v>
      </c>
      <c r="B2040" s="27" t="s">
        <v>3421</v>
      </c>
      <c r="C2040" s="42">
        <f t="shared" si="31"/>
        <v>112.51578079999999</v>
      </c>
      <c r="D2040" s="33" t="s">
        <v>2058</v>
      </c>
      <c r="E2040" s="33">
        <v>1</v>
      </c>
      <c r="F2040" s="33" t="s">
        <v>2059</v>
      </c>
      <c r="G2040" s="14">
        <f>(VLOOKUP(D2040,'[1]BOM Info General'!$A:$L,12,0))*E2040</f>
        <v>35.56</v>
      </c>
      <c r="H2040" s="34" t="s">
        <v>39</v>
      </c>
      <c r="I2040" s="34">
        <v>1</v>
      </c>
      <c r="J2040" s="34" t="s">
        <v>46</v>
      </c>
      <c r="K2040" s="15">
        <f>(VLOOKUP(H2040,'[1]BOM Info General'!$A:$L,12,0))*I2040</f>
        <v>24.42</v>
      </c>
      <c r="L2040" s="35" t="s">
        <v>78</v>
      </c>
      <c r="M2040" s="35">
        <v>1</v>
      </c>
      <c r="N2040" s="35" t="s">
        <v>75</v>
      </c>
      <c r="O2040" s="9">
        <f>(VLOOKUP(L2040,'[1]Simulation pricing per sub assy'!$D:$E,2,0))*M2040</f>
        <v>43.608799999999988</v>
      </c>
      <c r="P2040" s="36" t="s">
        <v>51</v>
      </c>
      <c r="Q2040" s="36">
        <v>2</v>
      </c>
      <c r="R2040" s="36" t="s">
        <v>17</v>
      </c>
      <c r="S2040" s="40">
        <f>(VLOOKUP(P2040,'[1]BOM Info General'!$A:$L,12,0))*Q2040</f>
        <v>5.3</v>
      </c>
      <c r="T2040" s="37" t="s">
        <v>10</v>
      </c>
      <c r="U2040" s="37">
        <v>1</v>
      </c>
      <c r="V2040" s="37" t="s">
        <v>11</v>
      </c>
      <c r="W2040" s="17">
        <f>(VLOOKUP(T2040,'[1]Simulation pricing per sub assy'!$D:$E,2,0))*U2040</f>
        <v>2.0499999999999998</v>
      </c>
      <c r="X2040" s="32" t="s">
        <v>615</v>
      </c>
      <c r="Y2040" s="38">
        <v>1</v>
      </c>
      <c r="Z2040" s="38" t="s">
        <v>9</v>
      </c>
      <c r="AA2040" s="18">
        <f>(VLOOKUP(X2040,'[1]Simulation pricing per sub assy'!$D:$E,2,0))*Y2040</f>
        <v>1.5769808000000001</v>
      </c>
    </row>
    <row r="2041" spans="1:27" x14ac:dyDescent="0.35">
      <c r="A2041" s="27" t="s">
        <v>3422</v>
      </c>
      <c r="B2041" s="27" t="s">
        <v>3423</v>
      </c>
      <c r="C2041" s="42">
        <f t="shared" si="31"/>
        <v>120.18578079999999</v>
      </c>
      <c r="D2041" s="33" t="s">
        <v>2058</v>
      </c>
      <c r="E2041" s="33">
        <v>1</v>
      </c>
      <c r="F2041" s="33" t="s">
        <v>2059</v>
      </c>
      <c r="G2041" s="14">
        <f>(VLOOKUP(D2041,'[1]BOM Info General'!$A:$L,12,0))*E2041</f>
        <v>35.56</v>
      </c>
      <c r="H2041" s="34" t="s">
        <v>39</v>
      </c>
      <c r="I2041" s="34">
        <v>1</v>
      </c>
      <c r="J2041" s="34" t="s">
        <v>46</v>
      </c>
      <c r="K2041" s="15">
        <f>(VLOOKUP(H2041,'[1]BOM Info General'!$A:$L,12,0))*I2041</f>
        <v>24.42</v>
      </c>
      <c r="L2041" s="35" t="s">
        <v>74</v>
      </c>
      <c r="M2041" s="35">
        <v>1</v>
      </c>
      <c r="N2041" s="35" t="s">
        <v>77</v>
      </c>
      <c r="O2041" s="9">
        <f>(VLOOKUP(L2041,'[1]Simulation pricing per sub assy'!$D:$E,2,0))*M2041</f>
        <v>51.27879999999999</v>
      </c>
      <c r="P2041" s="36" t="s">
        <v>51</v>
      </c>
      <c r="Q2041" s="36">
        <v>2</v>
      </c>
      <c r="R2041" s="36" t="s">
        <v>17</v>
      </c>
      <c r="S2041" s="40">
        <f>(VLOOKUP(P2041,'[1]BOM Info General'!$A:$L,12,0))*Q2041</f>
        <v>5.3</v>
      </c>
      <c r="T2041" s="37" t="s">
        <v>10</v>
      </c>
      <c r="U2041" s="37">
        <v>1</v>
      </c>
      <c r="V2041" s="37" t="s">
        <v>11</v>
      </c>
      <c r="W2041" s="17">
        <f>(VLOOKUP(T2041,'[1]Simulation pricing per sub assy'!$D:$E,2,0))*U2041</f>
        <v>2.0499999999999998</v>
      </c>
      <c r="X2041" s="32" t="s">
        <v>615</v>
      </c>
      <c r="Y2041" s="38">
        <v>1</v>
      </c>
      <c r="Z2041" s="38" t="s">
        <v>9</v>
      </c>
      <c r="AA2041" s="18">
        <f>(VLOOKUP(X2041,'[1]Simulation pricing per sub assy'!$D:$E,2,0))*Y2041</f>
        <v>1.5769808000000001</v>
      </c>
    </row>
    <row r="2042" spans="1:27" x14ac:dyDescent="0.35">
      <c r="A2042" s="27" t="s">
        <v>3424</v>
      </c>
      <c r="B2042" s="27" t="s">
        <v>3425</v>
      </c>
      <c r="C2042" s="42">
        <f t="shared" si="31"/>
        <v>111.0657808</v>
      </c>
      <c r="D2042" s="33" t="s">
        <v>2058</v>
      </c>
      <c r="E2042" s="33">
        <v>1</v>
      </c>
      <c r="F2042" s="33" t="s">
        <v>2059</v>
      </c>
      <c r="G2042" s="14">
        <f>(VLOOKUP(D2042,'[1]BOM Info General'!$A:$L,12,0))*E2042</f>
        <v>35.56</v>
      </c>
      <c r="H2042" s="34" t="s">
        <v>39</v>
      </c>
      <c r="I2042" s="34">
        <v>1</v>
      </c>
      <c r="J2042" s="34" t="s">
        <v>46</v>
      </c>
      <c r="K2042" s="15">
        <f>(VLOOKUP(H2042,'[1]BOM Info General'!$A:$L,12,0))*I2042</f>
        <v>24.42</v>
      </c>
      <c r="L2042" s="35" t="s">
        <v>527</v>
      </c>
      <c r="M2042" s="35">
        <v>1</v>
      </c>
      <c r="N2042" s="35" t="s">
        <v>79</v>
      </c>
      <c r="O2042" s="9">
        <f>(VLOOKUP(L2042,'[1]Simulation pricing per sub assy'!$D:$E,2,0))*M2042</f>
        <v>42.308799999999991</v>
      </c>
      <c r="P2042" s="36" t="s">
        <v>51</v>
      </c>
      <c r="Q2042" s="36">
        <v>2</v>
      </c>
      <c r="R2042" s="36" t="s">
        <v>17</v>
      </c>
      <c r="S2042" s="40">
        <f>(VLOOKUP(P2042,'[1]BOM Info General'!$A:$L,12,0))*Q2042</f>
        <v>5.3</v>
      </c>
      <c r="T2042" s="37" t="s">
        <v>12</v>
      </c>
      <c r="U2042" s="37">
        <v>1</v>
      </c>
      <c r="V2042" s="37" t="s">
        <v>13</v>
      </c>
      <c r="W2042" s="17">
        <f>(VLOOKUP(T2042,'[1]Simulation pricing per sub assy'!$D:$E,2,0))*U2042</f>
        <v>1.9</v>
      </c>
      <c r="X2042" s="32" t="s">
        <v>615</v>
      </c>
      <c r="Y2042" s="38">
        <v>1</v>
      </c>
      <c r="Z2042" s="38" t="s">
        <v>9</v>
      </c>
      <c r="AA2042" s="18">
        <f>(VLOOKUP(X2042,'[1]Simulation pricing per sub assy'!$D:$E,2,0))*Y2042</f>
        <v>1.5769808000000001</v>
      </c>
    </row>
    <row r="2043" spans="1:27" x14ac:dyDescent="0.35">
      <c r="A2043" s="27" t="s">
        <v>3426</v>
      </c>
      <c r="B2043" s="27" t="s">
        <v>3427</v>
      </c>
      <c r="C2043" s="42">
        <f t="shared" si="31"/>
        <v>112.0457808</v>
      </c>
      <c r="D2043" s="33" t="s">
        <v>2058</v>
      </c>
      <c r="E2043" s="33">
        <v>1</v>
      </c>
      <c r="F2043" s="33" t="s">
        <v>2059</v>
      </c>
      <c r="G2043" s="14">
        <f>(VLOOKUP(D2043,'[1]BOM Info General'!$A:$L,12,0))*E2043</f>
        <v>35.56</v>
      </c>
      <c r="H2043" s="34" t="s">
        <v>39</v>
      </c>
      <c r="I2043" s="34">
        <v>1</v>
      </c>
      <c r="J2043" s="34" t="s">
        <v>46</v>
      </c>
      <c r="K2043" s="15">
        <f>(VLOOKUP(H2043,'[1]BOM Info General'!$A:$L,12,0))*I2043</f>
        <v>24.42</v>
      </c>
      <c r="L2043" s="35" t="s">
        <v>76</v>
      </c>
      <c r="M2043" s="35">
        <v>1</v>
      </c>
      <c r="N2043" s="35" t="s">
        <v>73</v>
      </c>
      <c r="O2043" s="9">
        <f>(VLOOKUP(L2043,'[1]Simulation pricing per sub assy'!$D:$E,2,0))*M2043</f>
        <v>43.288799999999988</v>
      </c>
      <c r="P2043" s="36" t="s">
        <v>51</v>
      </c>
      <c r="Q2043" s="36">
        <v>2</v>
      </c>
      <c r="R2043" s="36" t="s">
        <v>17</v>
      </c>
      <c r="S2043" s="40">
        <f>(VLOOKUP(P2043,'[1]BOM Info General'!$A:$L,12,0))*Q2043</f>
        <v>5.3</v>
      </c>
      <c r="T2043" s="37" t="s">
        <v>12</v>
      </c>
      <c r="U2043" s="37">
        <v>1</v>
      </c>
      <c r="V2043" s="37" t="s">
        <v>13</v>
      </c>
      <c r="W2043" s="17">
        <f>(VLOOKUP(T2043,'[1]Simulation pricing per sub assy'!$D:$E,2,0))*U2043</f>
        <v>1.9</v>
      </c>
      <c r="X2043" s="32" t="s">
        <v>615</v>
      </c>
      <c r="Y2043" s="38">
        <v>1</v>
      </c>
      <c r="Z2043" s="38" t="s">
        <v>9</v>
      </c>
      <c r="AA2043" s="18">
        <f>(VLOOKUP(X2043,'[1]Simulation pricing per sub assy'!$D:$E,2,0))*Y2043</f>
        <v>1.5769808000000001</v>
      </c>
    </row>
    <row r="2044" spans="1:27" x14ac:dyDescent="0.35">
      <c r="A2044" s="27" t="s">
        <v>3428</v>
      </c>
      <c r="B2044" s="27" t="s">
        <v>3429</v>
      </c>
      <c r="C2044" s="42">
        <f t="shared" si="31"/>
        <v>112.6257808</v>
      </c>
      <c r="D2044" s="33" t="s">
        <v>2058</v>
      </c>
      <c r="E2044" s="33">
        <v>1</v>
      </c>
      <c r="F2044" s="33" t="s">
        <v>2059</v>
      </c>
      <c r="G2044" s="14">
        <f>(VLOOKUP(D2044,'[1]BOM Info General'!$A:$L,12,0))*E2044</f>
        <v>35.56</v>
      </c>
      <c r="H2044" s="34" t="s">
        <v>39</v>
      </c>
      <c r="I2044" s="34">
        <v>1</v>
      </c>
      <c r="J2044" s="34" t="s">
        <v>46</v>
      </c>
      <c r="K2044" s="15">
        <f>(VLOOKUP(H2044,'[1]BOM Info General'!$A:$L,12,0))*I2044</f>
        <v>24.42</v>
      </c>
      <c r="L2044" s="35" t="s">
        <v>72</v>
      </c>
      <c r="M2044" s="35">
        <v>1</v>
      </c>
      <c r="N2044" s="35" t="s">
        <v>71</v>
      </c>
      <c r="O2044" s="9">
        <f>(VLOOKUP(L2044,'[1]Simulation pricing per sub assy'!$D:$E,2,0))*M2044</f>
        <v>43.868799999999993</v>
      </c>
      <c r="P2044" s="36" t="s">
        <v>51</v>
      </c>
      <c r="Q2044" s="36">
        <v>2</v>
      </c>
      <c r="R2044" s="36" t="s">
        <v>17</v>
      </c>
      <c r="S2044" s="40">
        <f>(VLOOKUP(P2044,'[1]BOM Info General'!$A:$L,12,0))*Q2044</f>
        <v>5.3</v>
      </c>
      <c r="T2044" s="37" t="s">
        <v>12</v>
      </c>
      <c r="U2044" s="37">
        <v>1</v>
      </c>
      <c r="V2044" s="37" t="s">
        <v>13</v>
      </c>
      <c r="W2044" s="17">
        <f>(VLOOKUP(T2044,'[1]Simulation pricing per sub assy'!$D:$E,2,0))*U2044</f>
        <v>1.9</v>
      </c>
      <c r="X2044" s="32" t="s">
        <v>615</v>
      </c>
      <c r="Y2044" s="38">
        <v>1</v>
      </c>
      <c r="Z2044" s="38" t="s">
        <v>9</v>
      </c>
      <c r="AA2044" s="18">
        <f>(VLOOKUP(X2044,'[1]Simulation pricing per sub assy'!$D:$E,2,0))*Y2044</f>
        <v>1.5769808000000001</v>
      </c>
    </row>
    <row r="2045" spans="1:27" x14ac:dyDescent="0.35">
      <c r="A2045" s="27" t="s">
        <v>3430</v>
      </c>
      <c r="B2045" s="27" t="s">
        <v>3431</v>
      </c>
      <c r="C2045" s="42">
        <f t="shared" si="31"/>
        <v>112.3657808</v>
      </c>
      <c r="D2045" s="33" t="s">
        <v>2058</v>
      </c>
      <c r="E2045" s="33">
        <v>1</v>
      </c>
      <c r="F2045" s="33" t="s">
        <v>2059</v>
      </c>
      <c r="G2045" s="14">
        <f>(VLOOKUP(D2045,'[1]BOM Info General'!$A:$L,12,0))*E2045</f>
        <v>35.56</v>
      </c>
      <c r="H2045" s="34" t="s">
        <v>39</v>
      </c>
      <c r="I2045" s="34">
        <v>1</v>
      </c>
      <c r="J2045" s="34" t="s">
        <v>46</v>
      </c>
      <c r="K2045" s="15">
        <f>(VLOOKUP(H2045,'[1]BOM Info General'!$A:$L,12,0))*I2045</f>
        <v>24.42</v>
      </c>
      <c r="L2045" s="35" t="s">
        <v>78</v>
      </c>
      <c r="M2045" s="35">
        <v>1</v>
      </c>
      <c r="N2045" s="35" t="s">
        <v>75</v>
      </c>
      <c r="O2045" s="9">
        <f>(VLOOKUP(L2045,'[1]Simulation pricing per sub assy'!$D:$E,2,0))*M2045</f>
        <v>43.608799999999988</v>
      </c>
      <c r="P2045" s="36" t="s">
        <v>51</v>
      </c>
      <c r="Q2045" s="36">
        <v>2</v>
      </c>
      <c r="R2045" s="36" t="s">
        <v>17</v>
      </c>
      <c r="S2045" s="40">
        <f>(VLOOKUP(P2045,'[1]BOM Info General'!$A:$L,12,0))*Q2045</f>
        <v>5.3</v>
      </c>
      <c r="T2045" s="37" t="s">
        <v>12</v>
      </c>
      <c r="U2045" s="37">
        <v>1</v>
      </c>
      <c r="V2045" s="37" t="s">
        <v>13</v>
      </c>
      <c r="W2045" s="17">
        <f>(VLOOKUP(T2045,'[1]Simulation pricing per sub assy'!$D:$E,2,0))*U2045</f>
        <v>1.9</v>
      </c>
      <c r="X2045" s="32" t="s">
        <v>615</v>
      </c>
      <c r="Y2045" s="38">
        <v>1</v>
      </c>
      <c r="Z2045" s="38" t="s">
        <v>9</v>
      </c>
      <c r="AA2045" s="18">
        <f>(VLOOKUP(X2045,'[1]Simulation pricing per sub assy'!$D:$E,2,0))*Y2045</f>
        <v>1.5769808000000001</v>
      </c>
    </row>
    <row r="2046" spans="1:27" x14ac:dyDescent="0.35">
      <c r="A2046" s="27" t="s">
        <v>3432</v>
      </c>
      <c r="B2046" s="27" t="s">
        <v>3433</v>
      </c>
      <c r="C2046" s="42">
        <f t="shared" si="31"/>
        <v>120.0357808</v>
      </c>
      <c r="D2046" s="33" t="s">
        <v>2058</v>
      </c>
      <c r="E2046" s="33">
        <v>1</v>
      </c>
      <c r="F2046" s="33" t="s">
        <v>2059</v>
      </c>
      <c r="G2046" s="14">
        <f>(VLOOKUP(D2046,'[1]BOM Info General'!$A:$L,12,0))*E2046</f>
        <v>35.56</v>
      </c>
      <c r="H2046" s="34" t="s">
        <v>39</v>
      </c>
      <c r="I2046" s="34">
        <v>1</v>
      </c>
      <c r="J2046" s="34" t="s">
        <v>46</v>
      </c>
      <c r="K2046" s="15">
        <f>(VLOOKUP(H2046,'[1]BOM Info General'!$A:$L,12,0))*I2046</f>
        <v>24.42</v>
      </c>
      <c r="L2046" s="35" t="s">
        <v>74</v>
      </c>
      <c r="M2046" s="35">
        <v>1</v>
      </c>
      <c r="N2046" s="35" t="s">
        <v>77</v>
      </c>
      <c r="O2046" s="9">
        <f>(VLOOKUP(L2046,'[1]Simulation pricing per sub assy'!$D:$E,2,0))*M2046</f>
        <v>51.27879999999999</v>
      </c>
      <c r="P2046" s="36" t="s">
        <v>51</v>
      </c>
      <c r="Q2046" s="36">
        <v>2</v>
      </c>
      <c r="R2046" s="36" t="s">
        <v>17</v>
      </c>
      <c r="S2046" s="40">
        <f>(VLOOKUP(P2046,'[1]BOM Info General'!$A:$L,12,0))*Q2046</f>
        <v>5.3</v>
      </c>
      <c r="T2046" s="37" t="s">
        <v>12</v>
      </c>
      <c r="U2046" s="37">
        <v>1</v>
      </c>
      <c r="V2046" s="37" t="s">
        <v>13</v>
      </c>
      <c r="W2046" s="17">
        <f>(VLOOKUP(T2046,'[1]Simulation pricing per sub assy'!$D:$E,2,0))*U2046</f>
        <v>1.9</v>
      </c>
      <c r="X2046" s="32" t="s">
        <v>615</v>
      </c>
      <c r="Y2046" s="38">
        <v>1</v>
      </c>
      <c r="Z2046" s="38" t="s">
        <v>9</v>
      </c>
      <c r="AA2046" s="18">
        <f>(VLOOKUP(X2046,'[1]Simulation pricing per sub assy'!$D:$E,2,0))*Y2046</f>
        <v>1.5769808000000001</v>
      </c>
    </row>
    <row r="2047" spans="1:27" x14ac:dyDescent="0.35">
      <c r="A2047" s="27" t="s">
        <v>3434</v>
      </c>
      <c r="B2047" s="27" t="s">
        <v>3435</v>
      </c>
      <c r="C2047" s="42">
        <f t="shared" si="31"/>
        <v>111.0657808</v>
      </c>
      <c r="D2047" s="33" t="s">
        <v>2058</v>
      </c>
      <c r="E2047" s="33">
        <v>1</v>
      </c>
      <c r="F2047" s="33" t="s">
        <v>2059</v>
      </c>
      <c r="G2047" s="14">
        <f>(VLOOKUP(D2047,'[1]BOM Info General'!$A:$L,12,0))*E2047</f>
        <v>35.56</v>
      </c>
      <c r="H2047" s="34" t="s">
        <v>39</v>
      </c>
      <c r="I2047" s="34">
        <v>1</v>
      </c>
      <c r="J2047" s="34" t="s">
        <v>46</v>
      </c>
      <c r="K2047" s="15">
        <f>(VLOOKUP(H2047,'[1]BOM Info General'!$A:$L,12,0))*I2047</f>
        <v>24.42</v>
      </c>
      <c r="L2047" s="35" t="s">
        <v>527</v>
      </c>
      <c r="M2047" s="35">
        <v>1</v>
      </c>
      <c r="N2047" s="35" t="s">
        <v>79</v>
      </c>
      <c r="O2047" s="9">
        <f>(VLOOKUP(L2047,'[1]Simulation pricing per sub assy'!$D:$E,2,0))*M2047</f>
        <v>42.308799999999991</v>
      </c>
      <c r="P2047" s="36" t="s">
        <v>51</v>
      </c>
      <c r="Q2047" s="36">
        <v>2</v>
      </c>
      <c r="R2047" s="36" t="s">
        <v>17</v>
      </c>
      <c r="S2047" s="40">
        <f>(VLOOKUP(P2047,'[1]BOM Info General'!$A:$L,12,0))*Q2047</f>
        <v>5.3</v>
      </c>
      <c r="T2047" s="37" t="s">
        <v>14</v>
      </c>
      <c r="U2047" s="37">
        <v>1</v>
      </c>
      <c r="V2047" s="37" t="s">
        <v>15</v>
      </c>
      <c r="W2047" s="17">
        <f>(VLOOKUP(T2047,'[1]Simulation pricing per sub assy'!$D:$E,2,0))*U2047</f>
        <v>1.9</v>
      </c>
      <c r="X2047" s="32" t="s">
        <v>615</v>
      </c>
      <c r="Y2047" s="38">
        <v>1</v>
      </c>
      <c r="Z2047" s="38" t="s">
        <v>9</v>
      </c>
      <c r="AA2047" s="18">
        <f>(VLOOKUP(X2047,'[1]Simulation pricing per sub assy'!$D:$E,2,0))*Y2047</f>
        <v>1.5769808000000001</v>
      </c>
    </row>
    <row r="2048" spans="1:27" x14ac:dyDescent="0.35">
      <c r="A2048" s="27" t="s">
        <v>3436</v>
      </c>
      <c r="B2048" s="27" t="s">
        <v>3437</v>
      </c>
      <c r="C2048" s="42">
        <f t="shared" si="31"/>
        <v>112.0457808</v>
      </c>
      <c r="D2048" s="33" t="s">
        <v>2058</v>
      </c>
      <c r="E2048" s="33">
        <v>1</v>
      </c>
      <c r="F2048" s="33" t="s">
        <v>2059</v>
      </c>
      <c r="G2048" s="14">
        <f>(VLOOKUP(D2048,'[1]BOM Info General'!$A:$L,12,0))*E2048</f>
        <v>35.56</v>
      </c>
      <c r="H2048" s="34" t="s">
        <v>39</v>
      </c>
      <c r="I2048" s="34">
        <v>1</v>
      </c>
      <c r="J2048" s="34" t="s">
        <v>46</v>
      </c>
      <c r="K2048" s="15">
        <f>(VLOOKUP(H2048,'[1]BOM Info General'!$A:$L,12,0))*I2048</f>
        <v>24.42</v>
      </c>
      <c r="L2048" s="35" t="s">
        <v>76</v>
      </c>
      <c r="M2048" s="35">
        <v>1</v>
      </c>
      <c r="N2048" s="35" t="s">
        <v>73</v>
      </c>
      <c r="O2048" s="9">
        <f>(VLOOKUP(L2048,'[1]Simulation pricing per sub assy'!$D:$E,2,0))*M2048</f>
        <v>43.288799999999988</v>
      </c>
      <c r="P2048" s="36" t="s">
        <v>51</v>
      </c>
      <c r="Q2048" s="36">
        <v>2</v>
      </c>
      <c r="R2048" s="36" t="s">
        <v>17</v>
      </c>
      <c r="S2048" s="40">
        <f>(VLOOKUP(P2048,'[1]BOM Info General'!$A:$L,12,0))*Q2048</f>
        <v>5.3</v>
      </c>
      <c r="T2048" s="37" t="s">
        <v>14</v>
      </c>
      <c r="U2048" s="37">
        <v>1</v>
      </c>
      <c r="V2048" s="37" t="s">
        <v>15</v>
      </c>
      <c r="W2048" s="17">
        <f>(VLOOKUP(T2048,'[1]Simulation pricing per sub assy'!$D:$E,2,0))*U2048</f>
        <v>1.9</v>
      </c>
      <c r="X2048" s="32" t="s">
        <v>615</v>
      </c>
      <c r="Y2048" s="38">
        <v>1</v>
      </c>
      <c r="Z2048" s="38" t="s">
        <v>9</v>
      </c>
      <c r="AA2048" s="18">
        <f>(VLOOKUP(X2048,'[1]Simulation pricing per sub assy'!$D:$E,2,0))*Y2048</f>
        <v>1.5769808000000001</v>
      </c>
    </row>
    <row r="2049" spans="1:27" x14ac:dyDescent="0.35">
      <c r="A2049" s="27" t="s">
        <v>3438</v>
      </c>
      <c r="B2049" s="27" t="s">
        <v>3439</v>
      </c>
      <c r="C2049" s="42">
        <f t="shared" si="31"/>
        <v>112.6257808</v>
      </c>
      <c r="D2049" s="33" t="s">
        <v>2058</v>
      </c>
      <c r="E2049" s="33">
        <v>1</v>
      </c>
      <c r="F2049" s="33" t="s">
        <v>2059</v>
      </c>
      <c r="G2049" s="14">
        <f>(VLOOKUP(D2049,'[1]BOM Info General'!$A:$L,12,0))*E2049</f>
        <v>35.56</v>
      </c>
      <c r="H2049" s="34" t="s">
        <v>39</v>
      </c>
      <c r="I2049" s="34">
        <v>1</v>
      </c>
      <c r="J2049" s="34" t="s">
        <v>46</v>
      </c>
      <c r="K2049" s="15">
        <f>(VLOOKUP(H2049,'[1]BOM Info General'!$A:$L,12,0))*I2049</f>
        <v>24.42</v>
      </c>
      <c r="L2049" s="35" t="s">
        <v>72</v>
      </c>
      <c r="M2049" s="35">
        <v>1</v>
      </c>
      <c r="N2049" s="35" t="s">
        <v>71</v>
      </c>
      <c r="O2049" s="9">
        <f>(VLOOKUP(L2049,'[1]Simulation pricing per sub assy'!$D:$E,2,0))*M2049</f>
        <v>43.868799999999993</v>
      </c>
      <c r="P2049" s="36" t="s">
        <v>51</v>
      </c>
      <c r="Q2049" s="36">
        <v>2</v>
      </c>
      <c r="R2049" s="36" t="s">
        <v>17</v>
      </c>
      <c r="S2049" s="40">
        <f>(VLOOKUP(P2049,'[1]BOM Info General'!$A:$L,12,0))*Q2049</f>
        <v>5.3</v>
      </c>
      <c r="T2049" s="37" t="s">
        <v>14</v>
      </c>
      <c r="U2049" s="37">
        <v>1</v>
      </c>
      <c r="V2049" s="37" t="s">
        <v>15</v>
      </c>
      <c r="W2049" s="17">
        <f>(VLOOKUP(T2049,'[1]Simulation pricing per sub assy'!$D:$E,2,0))*U2049</f>
        <v>1.9</v>
      </c>
      <c r="X2049" s="32" t="s">
        <v>615</v>
      </c>
      <c r="Y2049" s="38">
        <v>1</v>
      </c>
      <c r="Z2049" s="38" t="s">
        <v>9</v>
      </c>
      <c r="AA2049" s="18">
        <f>(VLOOKUP(X2049,'[1]Simulation pricing per sub assy'!$D:$E,2,0))*Y2049</f>
        <v>1.5769808000000001</v>
      </c>
    </row>
    <row r="2050" spans="1:27" x14ac:dyDescent="0.35">
      <c r="A2050" s="27" t="s">
        <v>3440</v>
      </c>
      <c r="B2050" s="27" t="s">
        <v>3441</v>
      </c>
      <c r="C2050" s="42">
        <f t="shared" si="31"/>
        <v>112.3657808</v>
      </c>
      <c r="D2050" s="33" t="s">
        <v>2058</v>
      </c>
      <c r="E2050" s="33">
        <v>1</v>
      </c>
      <c r="F2050" s="33" t="s">
        <v>2059</v>
      </c>
      <c r="G2050" s="14">
        <f>(VLOOKUP(D2050,'[1]BOM Info General'!$A:$L,12,0))*E2050</f>
        <v>35.56</v>
      </c>
      <c r="H2050" s="34" t="s">
        <v>39</v>
      </c>
      <c r="I2050" s="34">
        <v>1</v>
      </c>
      <c r="J2050" s="34" t="s">
        <v>46</v>
      </c>
      <c r="K2050" s="15">
        <f>(VLOOKUP(H2050,'[1]BOM Info General'!$A:$L,12,0))*I2050</f>
        <v>24.42</v>
      </c>
      <c r="L2050" s="35" t="s">
        <v>78</v>
      </c>
      <c r="M2050" s="35">
        <v>1</v>
      </c>
      <c r="N2050" s="35" t="s">
        <v>75</v>
      </c>
      <c r="O2050" s="9">
        <f>(VLOOKUP(L2050,'[1]Simulation pricing per sub assy'!$D:$E,2,0))*M2050</f>
        <v>43.608799999999988</v>
      </c>
      <c r="P2050" s="36" t="s">
        <v>51</v>
      </c>
      <c r="Q2050" s="36">
        <v>2</v>
      </c>
      <c r="R2050" s="36" t="s">
        <v>17</v>
      </c>
      <c r="S2050" s="40">
        <f>(VLOOKUP(P2050,'[1]BOM Info General'!$A:$L,12,0))*Q2050</f>
        <v>5.3</v>
      </c>
      <c r="T2050" s="37" t="s">
        <v>14</v>
      </c>
      <c r="U2050" s="37">
        <v>1</v>
      </c>
      <c r="V2050" s="37" t="s">
        <v>15</v>
      </c>
      <c r="W2050" s="17">
        <f>(VLOOKUP(T2050,'[1]Simulation pricing per sub assy'!$D:$E,2,0))*U2050</f>
        <v>1.9</v>
      </c>
      <c r="X2050" s="32" t="s">
        <v>615</v>
      </c>
      <c r="Y2050" s="38">
        <v>1</v>
      </c>
      <c r="Z2050" s="38" t="s">
        <v>9</v>
      </c>
      <c r="AA2050" s="18">
        <f>(VLOOKUP(X2050,'[1]Simulation pricing per sub assy'!$D:$E,2,0))*Y2050</f>
        <v>1.5769808000000001</v>
      </c>
    </row>
    <row r="2051" spans="1:27" x14ac:dyDescent="0.35">
      <c r="A2051" s="27" t="s">
        <v>3442</v>
      </c>
      <c r="B2051" s="27" t="s">
        <v>3443</v>
      </c>
      <c r="C2051" s="42">
        <f t="shared" ref="C2051:C2114" si="32">SUM(G2051+K2051+O2051+S2051+W2051+AA2051)</f>
        <v>120.0357808</v>
      </c>
      <c r="D2051" s="33" t="s">
        <v>2058</v>
      </c>
      <c r="E2051" s="33">
        <v>1</v>
      </c>
      <c r="F2051" s="33" t="s">
        <v>2059</v>
      </c>
      <c r="G2051" s="14">
        <f>(VLOOKUP(D2051,'[1]BOM Info General'!$A:$L,12,0))*E2051</f>
        <v>35.56</v>
      </c>
      <c r="H2051" s="34" t="s">
        <v>39</v>
      </c>
      <c r="I2051" s="34">
        <v>1</v>
      </c>
      <c r="J2051" s="34" t="s">
        <v>46</v>
      </c>
      <c r="K2051" s="15">
        <f>(VLOOKUP(H2051,'[1]BOM Info General'!$A:$L,12,0))*I2051</f>
        <v>24.42</v>
      </c>
      <c r="L2051" s="35" t="s">
        <v>74</v>
      </c>
      <c r="M2051" s="35">
        <v>1</v>
      </c>
      <c r="N2051" s="35" t="s">
        <v>77</v>
      </c>
      <c r="O2051" s="9">
        <f>(VLOOKUP(L2051,'[1]Simulation pricing per sub assy'!$D:$E,2,0))*M2051</f>
        <v>51.27879999999999</v>
      </c>
      <c r="P2051" s="36" t="s">
        <v>51</v>
      </c>
      <c r="Q2051" s="36">
        <v>2</v>
      </c>
      <c r="R2051" s="36" t="s">
        <v>17</v>
      </c>
      <c r="S2051" s="40">
        <f>(VLOOKUP(P2051,'[1]BOM Info General'!$A:$L,12,0))*Q2051</f>
        <v>5.3</v>
      </c>
      <c r="T2051" s="37" t="s">
        <v>14</v>
      </c>
      <c r="U2051" s="37">
        <v>1</v>
      </c>
      <c r="V2051" s="37" t="s">
        <v>15</v>
      </c>
      <c r="W2051" s="17">
        <f>(VLOOKUP(T2051,'[1]Simulation pricing per sub assy'!$D:$E,2,0))*U2051</f>
        <v>1.9</v>
      </c>
      <c r="X2051" s="32" t="s">
        <v>615</v>
      </c>
      <c r="Y2051" s="38">
        <v>1</v>
      </c>
      <c r="Z2051" s="38" t="s">
        <v>9</v>
      </c>
      <c r="AA2051" s="18">
        <f>(VLOOKUP(X2051,'[1]Simulation pricing per sub assy'!$D:$E,2,0))*Y2051</f>
        <v>1.5769808000000001</v>
      </c>
    </row>
    <row r="2052" spans="1:27" x14ac:dyDescent="0.35">
      <c r="A2052" s="27" t="s">
        <v>3444</v>
      </c>
      <c r="B2052" s="27" t="s">
        <v>3445</v>
      </c>
      <c r="C2052" s="42">
        <f t="shared" si="32"/>
        <v>111.21578079999999</v>
      </c>
      <c r="D2052" s="33" t="s">
        <v>2058</v>
      </c>
      <c r="E2052" s="33">
        <v>1</v>
      </c>
      <c r="F2052" s="33" t="s">
        <v>2059</v>
      </c>
      <c r="G2052" s="14">
        <f>(VLOOKUP(D2052,'[1]BOM Info General'!$A:$L,12,0))*E2052</f>
        <v>35.56</v>
      </c>
      <c r="H2052" s="34" t="s">
        <v>39</v>
      </c>
      <c r="I2052" s="34">
        <v>1</v>
      </c>
      <c r="J2052" s="34" t="s">
        <v>46</v>
      </c>
      <c r="K2052" s="15">
        <f>(VLOOKUP(H2052,'[1]BOM Info General'!$A:$L,12,0))*I2052</f>
        <v>24.42</v>
      </c>
      <c r="L2052" s="35" t="s">
        <v>527</v>
      </c>
      <c r="M2052" s="35">
        <v>1</v>
      </c>
      <c r="N2052" s="35" t="s">
        <v>79</v>
      </c>
      <c r="O2052" s="9">
        <f>(VLOOKUP(L2052,'[1]Simulation pricing per sub assy'!$D:$E,2,0))*M2052</f>
        <v>42.308799999999991</v>
      </c>
      <c r="P2052" s="36" t="s">
        <v>52</v>
      </c>
      <c r="Q2052" s="36">
        <v>2</v>
      </c>
      <c r="R2052" s="36" t="s">
        <v>18</v>
      </c>
      <c r="S2052" s="40">
        <f>(VLOOKUP(P2052,'[1]BOM Info General'!$A:$L,12,0))*Q2052</f>
        <v>5.3</v>
      </c>
      <c r="T2052" s="37" t="s">
        <v>10</v>
      </c>
      <c r="U2052" s="37">
        <v>1</v>
      </c>
      <c r="V2052" s="37" t="s">
        <v>11</v>
      </c>
      <c r="W2052" s="17">
        <f>(VLOOKUP(T2052,'[1]Simulation pricing per sub assy'!$D:$E,2,0))*U2052</f>
        <v>2.0499999999999998</v>
      </c>
      <c r="X2052" s="32" t="s">
        <v>615</v>
      </c>
      <c r="Y2052" s="38">
        <v>1</v>
      </c>
      <c r="Z2052" s="38" t="s">
        <v>9</v>
      </c>
      <c r="AA2052" s="18">
        <f>(VLOOKUP(X2052,'[1]Simulation pricing per sub assy'!$D:$E,2,0))*Y2052</f>
        <v>1.5769808000000001</v>
      </c>
    </row>
    <row r="2053" spans="1:27" x14ac:dyDescent="0.35">
      <c r="A2053" s="27" t="s">
        <v>3446</v>
      </c>
      <c r="B2053" s="27" t="s">
        <v>3447</v>
      </c>
      <c r="C2053" s="42">
        <f t="shared" si="32"/>
        <v>112.19578079999999</v>
      </c>
      <c r="D2053" s="33" t="s">
        <v>2058</v>
      </c>
      <c r="E2053" s="33">
        <v>1</v>
      </c>
      <c r="F2053" s="33" t="s">
        <v>2059</v>
      </c>
      <c r="G2053" s="14">
        <f>(VLOOKUP(D2053,'[1]BOM Info General'!$A:$L,12,0))*E2053</f>
        <v>35.56</v>
      </c>
      <c r="H2053" s="34" t="s">
        <v>39</v>
      </c>
      <c r="I2053" s="34">
        <v>1</v>
      </c>
      <c r="J2053" s="34" t="s">
        <v>46</v>
      </c>
      <c r="K2053" s="15">
        <f>(VLOOKUP(H2053,'[1]BOM Info General'!$A:$L,12,0))*I2053</f>
        <v>24.42</v>
      </c>
      <c r="L2053" s="35" t="s">
        <v>76</v>
      </c>
      <c r="M2053" s="35">
        <v>1</v>
      </c>
      <c r="N2053" s="35" t="s">
        <v>73</v>
      </c>
      <c r="O2053" s="9">
        <f>(VLOOKUP(L2053,'[1]Simulation pricing per sub assy'!$D:$E,2,0))*M2053</f>
        <v>43.288799999999988</v>
      </c>
      <c r="P2053" s="36" t="s">
        <v>52</v>
      </c>
      <c r="Q2053" s="36">
        <v>2</v>
      </c>
      <c r="R2053" s="36" t="s">
        <v>18</v>
      </c>
      <c r="S2053" s="40">
        <f>(VLOOKUP(P2053,'[1]BOM Info General'!$A:$L,12,0))*Q2053</f>
        <v>5.3</v>
      </c>
      <c r="T2053" s="37" t="s">
        <v>10</v>
      </c>
      <c r="U2053" s="37">
        <v>1</v>
      </c>
      <c r="V2053" s="37" t="s">
        <v>11</v>
      </c>
      <c r="W2053" s="17">
        <f>(VLOOKUP(T2053,'[1]Simulation pricing per sub assy'!$D:$E,2,0))*U2053</f>
        <v>2.0499999999999998</v>
      </c>
      <c r="X2053" s="32" t="s">
        <v>615</v>
      </c>
      <c r="Y2053" s="38">
        <v>1</v>
      </c>
      <c r="Z2053" s="38" t="s">
        <v>9</v>
      </c>
      <c r="AA2053" s="18">
        <f>(VLOOKUP(X2053,'[1]Simulation pricing per sub assy'!$D:$E,2,0))*Y2053</f>
        <v>1.5769808000000001</v>
      </c>
    </row>
    <row r="2054" spans="1:27" x14ac:dyDescent="0.35">
      <c r="A2054" s="27" t="s">
        <v>3448</v>
      </c>
      <c r="B2054" s="27" t="s">
        <v>3449</v>
      </c>
      <c r="C2054" s="42">
        <f t="shared" si="32"/>
        <v>112.77578079999999</v>
      </c>
      <c r="D2054" s="33" t="s">
        <v>2058</v>
      </c>
      <c r="E2054" s="33">
        <v>1</v>
      </c>
      <c r="F2054" s="33" t="s">
        <v>2059</v>
      </c>
      <c r="G2054" s="14">
        <f>(VLOOKUP(D2054,'[1]BOM Info General'!$A:$L,12,0))*E2054</f>
        <v>35.56</v>
      </c>
      <c r="H2054" s="34" t="s">
        <v>39</v>
      </c>
      <c r="I2054" s="34">
        <v>1</v>
      </c>
      <c r="J2054" s="34" t="s">
        <v>46</v>
      </c>
      <c r="K2054" s="15">
        <f>(VLOOKUP(H2054,'[1]BOM Info General'!$A:$L,12,0))*I2054</f>
        <v>24.42</v>
      </c>
      <c r="L2054" s="35" t="s">
        <v>72</v>
      </c>
      <c r="M2054" s="35">
        <v>1</v>
      </c>
      <c r="N2054" s="35" t="s">
        <v>71</v>
      </c>
      <c r="O2054" s="9">
        <f>(VLOOKUP(L2054,'[1]Simulation pricing per sub assy'!$D:$E,2,0))*M2054</f>
        <v>43.868799999999993</v>
      </c>
      <c r="P2054" s="36" t="s">
        <v>52</v>
      </c>
      <c r="Q2054" s="36">
        <v>2</v>
      </c>
      <c r="R2054" s="36" t="s">
        <v>18</v>
      </c>
      <c r="S2054" s="40">
        <f>(VLOOKUP(P2054,'[1]BOM Info General'!$A:$L,12,0))*Q2054</f>
        <v>5.3</v>
      </c>
      <c r="T2054" s="37" t="s">
        <v>10</v>
      </c>
      <c r="U2054" s="37">
        <v>1</v>
      </c>
      <c r="V2054" s="37" t="s">
        <v>11</v>
      </c>
      <c r="W2054" s="17">
        <f>(VLOOKUP(T2054,'[1]Simulation pricing per sub assy'!$D:$E,2,0))*U2054</f>
        <v>2.0499999999999998</v>
      </c>
      <c r="X2054" s="32" t="s">
        <v>615</v>
      </c>
      <c r="Y2054" s="38">
        <v>1</v>
      </c>
      <c r="Z2054" s="38" t="s">
        <v>9</v>
      </c>
      <c r="AA2054" s="18">
        <f>(VLOOKUP(X2054,'[1]Simulation pricing per sub assy'!$D:$E,2,0))*Y2054</f>
        <v>1.5769808000000001</v>
      </c>
    </row>
    <row r="2055" spans="1:27" x14ac:dyDescent="0.35">
      <c r="A2055" s="27" t="s">
        <v>3450</v>
      </c>
      <c r="B2055" s="27" t="s">
        <v>3451</v>
      </c>
      <c r="C2055" s="42">
        <f t="shared" si="32"/>
        <v>112.51578079999999</v>
      </c>
      <c r="D2055" s="33" t="s">
        <v>2058</v>
      </c>
      <c r="E2055" s="33">
        <v>1</v>
      </c>
      <c r="F2055" s="33" t="s">
        <v>2059</v>
      </c>
      <c r="G2055" s="14">
        <f>(VLOOKUP(D2055,'[1]BOM Info General'!$A:$L,12,0))*E2055</f>
        <v>35.56</v>
      </c>
      <c r="H2055" s="34" t="s">
        <v>39</v>
      </c>
      <c r="I2055" s="34">
        <v>1</v>
      </c>
      <c r="J2055" s="34" t="s">
        <v>46</v>
      </c>
      <c r="K2055" s="15">
        <f>(VLOOKUP(H2055,'[1]BOM Info General'!$A:$L,12,0))*I2055</f>
        <v>24.42</v>
      </c>
      <c r="L2055" s="35" t="s">
        <v>78</v>
      </c>
      <c r="M2055" s="35">
        <v>1</v>
      </c>
      <c r="N2055" s="35" t="s">
        <v>75</v>
      </c>
      <c r="O2055" s="9">
        <f>(VLOOKUP(L2055,'[1]Simulation pricing per sub assy'!$D:$E,2,0))*M2055</f>
        <v>43.608799999999988</v>
      </c>
      <c r="P2055" s="36" t="s">
        <v>52</v>
      </c>
      <c r="Q2055" s="36">
        <v>2</v>
      </c>
      <c r="R2055" s="36" t="s">
        <v>18</v>
      </c>
      <c r="S2055" s="40">
        <f>(VLOOKUP(P2055,'[1]BOM Info General'!$A:$L,12,0))*Q2055</f>
        <v>5.3</v>
      </c>
      <c r="T2055" s="37" t="s">
        <v>10</v>
      </c>
      <c r="U2055" s="37">
        <v>1</v>
      </c>
      <c r="V2055" s="37" t="s">
        <v>11</v>
      </c>
      <c r="W2055" s="17">
        <f>(VLOOKUP(T2055,'[1]Simulation pricing per sub assy'!$D:$E,2,0))*U2055</f>
        <v>2.0499999999999998</v>
      </c>
      <c r="X2055" s="32" t="s">
        <v>615</v>
      </c>
      <c r="Y2055" s="38">
        <v>1</v>
      </c>
      <c r="Z2055" s="38" t="s">
        <v>9</v>
      </c>
      <c r="AA2055" s="18">
        <f>(VLOOKUP(X2055,'[1]Simulation pricing per sub assy'!$D:$E,2,0))*Y2055</f>
        <v>1.5769808000000001</v>
      </c>
    </row>
    <row r="2056" spans="1:27" x14ac:dyDescent="0.35">
      <c r="A2056" s="27" t="s">
        <v>3452</v>
      </c>
      <c r="B2056" s="27" t="s">
        <v>3453</v>
      </c>
      <c r="C2056" s="42">
        <f t="shared" si="32"/>
        <v>120.18578079999999</v>
      </c>
      <c r="D2056" s="33" t="s">
        <v>2058</v>
      </c>
      <c r="E2056" s="33">
        <v>1</v>
      </c>
      <c r="F2056" s="33" t="s">
        <v>2059</v>
      </c>
      <c r="G2056" s="14">
        <f>(VLOOKUP(D2056,'[1]BOM Info General'!$A:$L,12,0))*E2056</f>
        <v>35.56</v>
      </c>
      <c r="H2056" s="34" t="s">
        <v>39</v>
      </c>
      <c r="I2056" s="34">
        <v>1</v>
      </c>
      <c r="J2056" s="34" t="s">
        <v>46</v>
      </c>
      <c r="K2056" s="15">
        <f>(VLOOKUP(H2056,'[1]BOM Info General'!$A:$L,12,0))*I2056</f>
        <v>24.42</v>
      </c>
      <c r="L2056" s="35" t="s">
        <v>74</v>
      </c>
      <c r="M2056" s="35">
        <v>1</v>
      </c>
      <c r="N2056" s="35" t="s">
        <v>77</v>
      </c>
      <c r="O2056" s="9">
        <f>(VLOOKUP(L2056,'[1]Simulation pricing per sub assy'!$D:$E,2,0))*M2056</f>
        <v>51.27879999999999</v>
      </c>
      <c r="P2056" s="36" t="s">
        <v>52</v>
      </c>
      <c r="Q2056" s="36">
        <v>2</v>
      </c>
      <c r="R2056" s="36" t="s">
        <v>18</v>
      </c>
      <c r="S2056" s="40">
        <f>(VLOOKUP(P2056,'[1]BOM Info General'!$A:$L,12,0))*Q2056</f>
        <v>5.3</v>
      </c>
      <c r="T2056" s="37" t="s">
        <v>10</v>
      </c>
      <c r="U2056" s="37">
        <v>1</v>
      </c>
      <c r="V2056" s="37" t="s">
        <v>11</v>
      </c>
      <c r="W2056" s="17">
        <f>(VLOOKUP(T2056,'[1]Simulation pricing per sub assy'!$D:$E,2,0))*U2056</f>
        <v>2.0499999999999998</v>
      </c>
      <c r="X2056" s="32" t="s">
        <v>615</v>
      </c>
      <c r="Y2056" s="38">
        <v>1</v>
      </c>
      <c r="Z2056" s="38" t="s">
        <v>9</v>
      </c>
      <c r="AA2056" s="18">
        <f>(VLOOKUP(X2056,'[1]Simulation pricing per sub assy'!$D:$E,2,0))*Y2056</f>
        <v>1.5769808000000001</v>
      </c>
    </row>
    <row r="2057" spans="1:27" x14ac:dyDescent="0.35">
      <c r="A2057" s="27" t="s">
        <v>3454</v>
      </c>
      <c r="B2057" s="27" t="s">
        <v>3455</v>
      </c>
      <c r="C2057" s="42">
        <f t="shared" si="32"/>
        <v>111.0657808</v>
      </c>
      <c r="D2057" s="33" t="s">
        <v>2058</v>
      </c>
      <c r="E2057" s="33">
        <v>1</v>
      </c>
      <c r="F2057" s="33" t="s">
        <v>2059</v>
      </c>
      <c r="G2057" s="14">
        <f>(VLOOKUP(D2057,'[1]BOM Info General'!$A:$L,12,0))*E2057</f>
        <v>35.56</v>
      </c>
      <c r="H2057" s="34" t="s">
        <v>39</v>
      </c>
      <c r="I2057" s="34">
        <v>1</v>
      </c>
      <c r="J2057" s="34" t="s">
        <v>46</v>
      </c>
      <c r="K2057" s="15">
        <f>(VLOOKUP(H2057,'[1]BOM Info General'!$A:$L,12,0))*I2057</f>
        <v>24.42</v>
      </c>
      <c r="L2057" s="35" t="s">
        <v>527</v>
      </c>
      <c r="M2057" s="35">
        <v>1</v>
      </c>
      <c r="N2057" s="35" t="s">
        <v>79</v>
      </c>
      <c r="O2057" s="9">
        <f>(VLOOKUP(L2057,'[1]Simulation pricing per sub assy'!$D:$E,2,0))*M2057</f>
        <v>42.308799999999991</v>
      </c>
      <c r="P2057" s="36" t="s">
        <v>52</v>
      </c>
      <c r="Q2057" s="36">
        <v>2</v>
      </c>
      <c r="R2057" s="36" t="s">
        <v>18</v>
      </c>
      <c r="S2057" s="40">
        <f>(VLOOKUP(P2057,'[1]BOM Info General'!$A:$L,12,0))*Q2057</f>
        <v>5.3</v>
      </c>
      <c r="T2057" s="37" t="s">
        <v>12</v>
      </c>
      <c r="U2057" s="37">
        <v>1</v>
      </c>
      <c r="V2057" s="37" t="s">
        <v>13</v>
      </c>
      <c r="W2057" s="17">
        <f>(VLOOKUP(T2057,'[1]Simulation pricing per sub assy'!$D:$E,2,0))*U2057</f>
        <v>1.9</v>
      </c>
      <c r="X2057" s="32" t="s">
        <v>615</v>
      </c>
      <c r="Y2057" s="38">
        <v>1</v>
      </c>
      <c r="Z2057" s="38" t="s">
        <v>9</v>
      </c>
      <c r="AA2057" s="18">
        <f>(VLOOKUP(X2057,'[1]Simulation pricing per sub assy'!$D:$E,2,0))*Y2057</f>
        <v>1.5769808000000001</v>
      </c>
    </row>
    <row r="2058" spans="1:27" x14ac:dyDescent="0.35">
      <c r="A2058" s="27" t="s">
        <v>3456</v>
      </c>
      <c r="B2058" s="27" t="s">
        <v>3457</v>
      </c>
      <c r="C2058" s="42">
        <f t="shared" si="32"/>
        <v>112.0457808</v>
      </c>
      <c r="D2058" s="33" t="s">
        <v>2058</v>
      </c>
      <c r="E2058" s="33">
        <v>1</v>
      </c>
      <c r="F2058" s="33" t="s">
        <v>2059</v>
      </c>
      <c r="G2058" s="14">
        <f>(VLOOKUP(D2058,'[1]BOM Info General'!$A:$L,12,0))*E2058</f>
        <v>35.56</v>
      </c>
      <c r="H2058" s="34" t="s">
        <v>39</v>
      </c>
      <c r="I2058" s="34">
        <v>1</v>
      </c>
      <c r="J2058" s="34" t="s">
        <v>46</v>
      </c>
      <c r="K2058" s="15">
        <f>(VLOOKUP(H2058,'[1]BOM Info General'!$A:$L,12,0))*I2058</f>
        <v>24.42</v>
      </c>
      <c r="L2058" s="35" t="s">
        <v>76</v>
      </c>
      <c r="M2058" s="35">
        <v>1</v>
      </c>
      <c r="N2058" s="35" t="s">
        <v>73</v>
      </c>
      <c r="O2058" s="9">
        <f>(VLOOKUP(L2058,'[1]Simulation pricing per sub assy'!$D:$E,2,0))*M2058</f>
        <v>43.288799999999988</v>
      </c>
      <c r="P2058" s="36" t="s">
        <v>52</v>
      </c>
      <c r="Q2058" s="36">
        <v>2</v>
      </c>
      <c r="R2058" s="36" t="s">
        <v>18</v>
      </c>
      <c r="S2058" s="40">
        <f>(VLOOKUP(P2058,'[1]BOM Info General'!$A:$L,12,0))*Q2058</f>
        <v>5.3</v>
      </c>
      <c r="T2058" s="37" t="s">
        <v>12</v>
      </c>
      <c r="U2058" s="37">
        <v>1</v>
      </c>
      <c r="V2058" s="37" t="s">
        <v>13</v>
      </c>
      <c r="W2058" s="17">
        <f>(VLOOKUP(T2058,'[1]Simulation pricing per sub assy'!$D:$E,2,0))*U2058</f>
        <v>1.9</v>
      </c>
      <c r="X2058" s="32" t="s">
        <v>615</v>
      </c>
      <c r="Y2058" s="38">
        <v>1</v>
      </c>
      <c r="Z2058" s="38" t="s">
        <v>9</v>
      </c>
      <c r="AA2058" s="18">
        <f>(VLOOKUP(X2058,'[1]Simulation pricing per sub assy'!$D:$E,2,0))*Y2058</f>
        <v>1.5769808000000001</v>
      </c>
    </row>
    <row r="2059" spans="1:27" x14ac:dyDescent="0.35">
      <c r="A2059" s="27" t="s">
        <v>3458</v>
      </c>
      <c r="B2059" s="27" t="s">
        <v>3459</v>
      </c>
      <c r="C2059" s="42">
        <f t="shared" si="32"/>
        <v>112.6257808</v>
      </c>
      <c r="D2059" s="33" t="s">
        <v>2058</v>
      </c>
      <c r="E2059" s="33">
        <v>1</v>
      </c>
      <c r="F2059" s="33" t="s">
        <v>2059</v>
      </c>
      <c r="G2059" s="14">
        <f>(VLOOKUP(D2059,'[1]BOM Info General'!$A:$L,12,0))*E2059</f>
        <v>35.56</v>
      </c>
      <c r="H2059" s="34" t="s">
        <v>39</v>
      </c>
      <c r="I2059" s="34">
        <v>1</v>
      </c>
      <c r="J2059" s="34" t="s">
        <v>46</v>
      </c>
      <c r="K2059" s="15">
        <f>(VLOOKUP(H2059,'[1]BOM Info General'!$A:$L,12,0))*I2059</f>
        <v>24.42</v>
      </c>
      <c r="L2059" s="35" t="s">
        <v>72</v>
      </c>
      <c r="M2059" s="35">
        <v>1</v>
      </c>
      <c r="N2059" s="35" t="s">
        <v>71</v>
      </c>
      <c r="O2059" s="9">
        <f>(VLOOKUP(L2059,'[1]Simulation pricing per sub assy'!$D:$E,2,0))*M2059</f>
        <v>43.868799999999993</v>
      </c>
      <c r="P2059" s="36" t="s">
        <v>52</v>
      </c>
      <c r="Q2059" s="36">
        <v>2</v>
      </c>
      <c r="R2059" s="36" t="s">
        <v>18</v>
      </c>
      <c r="S2059" s="40">
        <f>(VLOOKUP(P2059,'[1]BOM Info General'!$A:$L,12,0))*Q2059</f>
        <v>5.3</v>
      </c>
      <c r="T2059" s="37" t="s">
        <v>12</v>
      </c>
      <c r="U2059" s="37">
        <v>1</v>
      </c>
      <c r="V2059" s="37" t="s">
        <v>13</v>
      </c>
      <c r="W2059" s="17">
        <f>(VLOOKUP(T2059,'[1]Simulation pricing per sub assy'!$D:$E,2,0))*U2059</f>
        <v>1.9</v>
      </c>
      <c r="X2059" s="32" t="s">
        <v>615</v>
      </c>
      <c r="Y2059" s="38">
        <v>1</v>
      </c>
      <c r="Z2059" s="38" t="s">
        <v>9</v>
      </c>
      <c r="AA2059" s="18">
        <f>(VLOOKUP(X2059,'[1]Simulation pricing per sub assy'!$D:$E,2,0))*Y2059</f>
        <v>1.5769808000000001</v>
      </c>
    </row>
    <row r="2060" spans="1:27" x14ac:dyDescent="0.35">
      <c r="A2060" s="27" t="s">
        <v>3460</v>
      </c>
      <c r="B2060" s="27" t="s">
        <v>3461</v>
      </c>
      <c r="C2060" s="42">
        <f t="shared" si="32"/>
        <v>112.3657808</v>
      </c>
      <c r="D2060" s="33" t="s">
        <v>2058</v>
      </c>
      <c r="E2060" s="33">
        <v>1</v>
      </c>
      <c r="F2060" s="33" t="s">
        <v>2059</v>
      </c>
      <c r="G2060" s="14">
        <f>(VLOOKUP(D2060,'[1]BOM Info General'!$A:$L,12,0))*E2060</f>
        <v>35.56</v>
      </c>
      <c r="H2060" s="34" t="s">
        <v>39</v>
      </c>
      <c r="I2060" s="34">
        <v>1</v>
      </c>
      <c r="J2060" s="34" t="s">
        <v>46</v>
      </c>
      <c r="K2060" s="15">
        <f>(VLOOKUP(H2060,'[1]BOM Info General'!$A:$L,12,0))*I2060</f>
        <v>24.42</v>
      </c>
      <c r="L2060" s="35" t="s">
        <v>78</v>
      </c>
      <c r="M2060" s="35">
        <v>1</v>
      </c>
      <c r="N2060" s="35" t="s">
        <v>75</v>
      </c>
      <c r="O2060" s="9">
        <f>(VLOOKUP(L2060,'[1]Simulation pricing per sub assy'!$D:$E,2,0))*M2060</f>
        <v>43.608799999999988</v>
      </c>
      <c r="P2060" s="36" t="s">
        <v>52</v>
      </c>
      <c r="Q2060" s="36">
        <v>2</v>
      </c>
      <c r="R2060" s="36" t="s">
        <v>18</v>
      </c>
      <c r="S2060" s="40">
        <f>(VLOOKUP(P2060,'[1]BOM Info General'!$A:$L,12,0))*Q2060</f>
        <v>5.3</v>
      </c>
      <c r="T2060" s="37" t="s">
        <v>12</v>
      </c>
      <c r="U2060" s="37">
        <v>1</v>
      </c>
      <c r="V2060" s="37" t="s">
        <v>13</v>
      </c>
      <c r="W2060" s="17">
        <f>(VLOOKUP(T2060,'[1]Simulation pricing per sub assy'!$D:$E,2,0))*U2060</f>
        <v>1.9</v>
      </c>
      <c r="X2060" s="32" t="s">
        <v>615</v>
      </c>
      <c r="Y2060" s="38">
        <v>1</v>
      </c>
      <c r="Z2060" s="38" t="s">
        <v>9</v>
      </c>
      <c r="AA2060" s="18">
        <f>(VLOOKUP(X2060,'[1]Simulation pricing per sub assy'!$D:$E,2,0))*Y2060</f>
        <v>1.5769808000000001</v>
      </c>
    </row>
    <row r="2061" spans="1:27" x14ac:dyDescent="0.35">
      <c r="A2061" s="27" t="s">
        <v>3462</v>
      </c>
      <c r="B2061" s="27" t="s">
        <v>3463</v>
      </c>
      <c r="C2061" s="42">
        <f t="shared" si="32"/>
        <v>120.0357808</v>
      </c>
      <c r="D2061" s="33" t="s">
        <v>2058</v>
      </c>
      <c r="E2061" s="33">
        <v>1</v>
      </c>
      <c r="F2061" s="33" t="s">
        <v>2059</v>
      </c>
      <c r="G2061" s="14">
        <f>(VLOOKUP(D2061,'[1]BOM Info General'!$A:$L,12,0))*E2061</f>
        <v>35.56</v>
      </c>
      <c r="H2061" s="34" t="s">
        <v>39</v>
      </c>
      <c r="I2061" s="34">
        <v>1</v>
      </c>
      <c r="J2061" s="34" t="s">
        <v>46</v>
      </c>
      <c r="K2061" s="15">
        <f>(VLOOKUP(H2061,'[1]BOM Info General'!$A:$L,12,0))*I2061</f>
        <v>24.42</v>
      </c>
      <c r="L2061" s="35" t="s">
        <v>74</v>
      </c>
      <c r="M2061" s="35">
        <v>1</v>
      </c>
      <c r="N2061" s="35" t="s">
        <v>77</v>
      </c>
      <c r="O2061" s="9">
        <f>(VLOOKUP(L2061,'[1]Simulation pricing per sub assy'!$D:$E,2,0))*M2061</f>
        <v>51.27879999999999</v>
      </c>
      <c r="P2061" s="36" t="s">
        <v>52</v>
      </c>
      <c r="Q2061" s="36">
        <v>2</v>
      </c>
      <c r="R2061" s="36" t="s">
        <v>18</v>
      </c>
      <c r="S2061" s="40">
        <f>(VLOOKUP(P2061,'[1]BOM Info General'!$A:$L,12,0))*Q2061</f>
        <v>5.3</v>
      </c>
      <c r="T2061" s="37" t="s">
        <v>12</v>
      </c>
      <c r="U2061" s="37">
        <v>1</v>
      </c>
      <c r="V2061" s="37" t="s">
        <v>13</v>
      </c>
      <c r="W2061" s="17">
        <f>(VLOOKUP(T2061,'[1]Simulation pricing per sub assy'!$D:$E,2,0))*U2061</f>
        <v>1.9</v>
      </c>
      <c r="X2061" s="32" t="s">
        <v>615</v>
      </c>
      <c r="Y2061" s="38">
        <v>1</v>
      </c>
      <c r="Z2061" s="38" t="s">
        <v>9</v>
      </c>
      <c r="AA2061" s="18">
        <f>(VLOOKUP(X2061,'[1]Simulation pricing per sub assy'!$D:$E,2,0))*Y2061</f>
        <v>1.5769808000000001</v>
      </c>
    </row>
    <row r="2062" spans="1:27" x14ac:dyDescent="0.35">
      <c r="A2062" s="27" t="s">
        <v>3464</v>
      </c>
      <c r="B2062" s="27" t="s">
        <v>3465</v>
      </c>
      <c r="C2062" s="42">
        <f t="shared" si="32"/>
        <v>111.0657808</v>
      </c>
      <c r="D2062" s="33" t="s">
        <v>2058</v>
      </c>
      <c r="E2062" s="33">
        <v>1</v>
      </c>
      <c r="F2062" s="33" t="s">
        <v>2059</v>
      </c>
      <c r="G2062" s="14">
        <f>(VLOOKUP(D2062,'[1]BOM Info General'!$A:$L,12,0))*E2062</f>
        <v>35.56</v>
      </c>
      <c r="H2062" s="34" t="s">
        <v>39</v>
      </c>
      <c r="I2062" s="34">
        <v>1</v>
      </c>
      <c r="J2062" s="34" t="s">
        <v>46</v>
      </c>
      <c r="K2062" s="15">
        <f>(VLOOKUP(H2062,'[1]BOM Info General'!$A:$L,12,0))*I2062</f>
        <v>24.42</v>
      </c>
      <c r="L2062" s="35" t="s">
        <v>527</v>
      </c>
      <c r="M2062" s="35">
        <v>1</v>
      </c>
      <c r="N2062" s="35" t="s">
        <v>79</v>
      </c>
      <c r="O2062" s="9">
        <f>(VLOOKUP(L2062,'[1]Simulation pricing per sub assy'!$D:$E,2,0))*M2062</f>
        <v>42.308799999999991</v>
      </c>
      <c r="P2062" s="36" t="s">
        <v>52</v>
      </c>
      <c r="Q2062" s="36">
        <v>2</v>
      </c>
      <c r="R2062" s="36" t="s">
        <v>18</v>
      </c>
      <c r="S2062" s="40">
        <f>(VLOOKUP(P2062,'[1]BOM Info General'!$A:$L,12,0))*Q2062</f>
        <v>5.3</v>
      </c>
      <c r="T2062" s="37" t="s">
        <v>14</v>
      </c>
      <c r="U2062" s="37">
        <v>1</v>
      </c>
      <c r="V2062" s="37" t="s">
        <v>15</v>
      </c>
      <c r="W2062" s="17">
        <f>(VLOOKUP(T2062,'[1]Simulation pricing per sub assy'!$D:$E,2,0))*U2062</f>
        <v>1.9</v>
      </c>
      <c r="X2062" s="32" t="s">
        <v>615</v>
      </c>
      <c r="Y2062" s="38">
        <v>1</v>
      </c>
      <c r="Z2062" s="38" t="s">
        <v>9</v>
      </c>
      <c r="AA2062" s="18">
        <f>(VLOOKUP(X2062,'[1]Simulation pricing per sub assy'!$D:$E,2,0))*Y2062</f>
        <v>1.5769808000000001</v>
      </c>
    </row>
    <row r="2063" spans="1:27" x14ac:dyDescent="0.35">
      <c r="A2063" s="27" t="s">
        <v>3466</v>
      </c>
      <c r="B2063" s="27" t="s">
        <v>3467</v>
      </c>
      <c r="C2063" s="42">
        <f t="shared" si="32"/>
        <v>112.0457808</v>
      </c>
      <c r="D2063" s="33" t="s">
        <v>2058</v>
      </c>
      <c r="E2063" s="33">
        <v>1</v>
      </c>
      <c r="F2063" s="33" t="s">
        <v>2059</v>
      </c>
      <c r="G2063" s="14">
        <f>(VLOOKUP(D2063,'[1]BOM Info General'!$A:$L,12,0))*E2063</f>
        <v>35.56</v>
      </c>
      <c r="H2063" s="34" t="s">
        <v>39</v>
      </c>
      <c r="I2063" s="34">
        <v>1</v>
      </c>
      <c r="J2063" s="34" t="s">
        <v>46</v>
      </c>
      <c r="K2063" s="15">
        <f>(VLOOKUP(H2063,'[1]BOM Info General'!$A:$L,12,0))*I2063</f>
        <v>24.42</v>
      </c>
      <c r="L2063" s="35" t="s">
        <v>76</v>
      </c>
      <c r="M2063" s="35">
        <v>1</v>
      </c>
      <c r="N2063" s="35" t="s">
        <v>73</v>
      </c>
      <c r="O2063" s="9">
        <f>(VLOOKUP(L2063,'[1]Simulation pricing per sub assy'!$D:$E,2,0))*M2063</f>
        <v>43.288799999999988</v>
      </c>
      <c r="P2063" s="36" t="s">
        <v>52</v>
      </c>
      <c r="Q2063" s="36">
        <v>2</v>
      </c>
      <c r="R2063" s="36" t="s">
        <v>18</v>
      </c>
      <c r="S2063" s="40">
        <f>(VLOOKUP(P2063,'[1]BOM Info General'!$A:$L,12,0))*Q2063</f>
        <v>5.3</v>
      </c>
      <c r="T2063" s="37" t="s">
        <v>14</v>
      </c>
      <c r="U2063" s="37">
        <v>1</v>
      </c>
      <c r="V2063" s="37" t="s">
        <v>15</v>
      </c>
      <c r="W2063" s="17">
        <f>(VLOOKUP(T2063,'[1]Simulation pricing per sub assy'!$D:$E,2,0))*U2063</f>
        <v>1.9</v>
      </c>
      <c r="X2063" s="32" t="s">
        <v>615</v>
      </c>
      <c r="Y2063" s="38">
        <v>1</v>
      </c>
      <c r="Z2063" s="38" t="s">
        <v>9</v>
      </c>
      <c r="AA2063" s="18">
        <f>(VLOOKUP(X2063,'[1]Simulation pricing per sub assy'!$D:$E,2,0))*Y2063</f>
        <v>1.5769808000000001</v>
      </c>
    </row>
    <row r="2064" spans="1:27" x14ac:dyDescent="0.35">
      <c r="A2064" s="27" t="s">
        <v>3468</v>
      </c>
      <c r="B2064" s="27" t="s">
        <v>3469</v>
      </c>
      <c r="C2064" s="42">
        <f t="shared" si="32"/>
        <v>112.6257808</v>
      </c>
      <c r="D2064" s="33" t="s">
        <v>2058</v>
      </c>
      <c r="E2064" s="33">
        <v>1</v>
      </c>
      <c r="F2064" s="33" t="s">
        <v>2059</v>
      </c>
      <c r="G2064" s="14">
        <f>(VLOOKUP(D2064,'[1]BOM Info General'!$A:$L,12,0))*E2064</f>
        <v>35.56</v>
      </c>
      <c r="H2064" s="34" t="s">
        <v>39</v>
      </c>
      <c r="I2064" s="34">
        <v>1</v>
      </c>
      <c r="J2064" s="34" t="s">
        <v>46</v>
      </c>
      <c r="K2064" s="15">
        <f>(VLOOKUP(H2064,'[1]BOM Info General'!$A:$L,12,0))*I2064</f>
        <v>24.42</v>
      </c>
      <c r="L2064" s="35" t="s">
        <v>72</v>
      </c>
      <c r="M2064" s="35">
        <v>1</v>
      </c>
      <c r="N2064" s="35" t="s">
        <v>71</v>
      </c>
      <c r="O2064" s="9">
        <f>(VLOOKUP(L2064,'[1]Simulation pricing per sub assy'!$D:$E,2,0))*M2064</f>
        <v>43.868799999999993</v>
      </c>
      <c r="P2064" s="36" t="s">
        <v>52</v>
      </c>
      <c r="Q2064" s="36">
        <v>2</v>
      </c>
      <c r="R2064" s="36" t="s">
        <v>18</v>
      </c>
      <c r="S2064" s="40">
        <f>(VLOOKUP(P2064,'[1]BOM Info General'!$A:$L,12,0))*Q2064</f>
        <v>5.3</v>
      </c>
      <c r="T2064" s="37" t="s">
        <v>14</v>
      </c>
      <c r="U2064" s="37">
        <v>1</v>
      </c>
      <c r="V2064" s="37" t="s">
        <v>15</v>
      </c>
      <c r="W2064" s="17">
        <f>(VLOOKUP(T2064,'[1]Simulation pricing per sub assy'!$D:$E,2,0))*U2064</f>
        <v>1.9</v>
      </c>
      <c r="X2064" s="32" t="s">
        <v>615</v>
      </c>
      <c r="Y2064" s="38">
        <v>1</v>
      </c>
      <c r="Z2064" s="38" t="s">
        <v>9</v>
      </c>
      <c r="AA2064" s="18">
        <f>(VLOOKUP(X2064,'[1]Simulation pricing per sub assy'!$D:$E,2,0))*Y2064</f>
        <v>1.5769808000000001</v>
      </c>
    </row>
    <row r="2065" spans="1:27" x14ac:dyDescent="0.35">
      <c r="A2065" s="27" t="s">
        <v>3470</v>
      </c>
      <c r="B2065" s="27" t="s">
        <v>3471</v>
      </c>
      <c r="C2065" s="42">
        <f t="shared" si="32"/>
        <v>112.3657808</v>
      </c>
      <c r="D2065" s="33" t="s">
        <v>2058</v>
      </c>
      <c r="E2065" s="33">
        <v>1</v>
      </c>
      <c r="F2065" s="33" t="s">
        <v>2059</v>
      </c>
      <c r="G2065" s="14">
        <f>(VLOOKUP(D2065,'[1]BOM Info General'!$A:$L,12,0))*E2065</f>
        <v>35.56</v>
      </c>
      <c r="H2065" s="34" t="s">
        <v>39</v>
      </c>
      <c r="I2065" s="34">
        <v>1</v>
      </c>
      <c r="J2065" s="34" t="s">
        <v>46</v>
      </c>
      <c r="K2065" s="15">
        <f>(VLOOKUP(H2065,'[1]BOM Info General'!$A:$L,12,0))*I2065</f>
        <v>24.42</v>
      </c>
      <c r="L2065" s="35" t="s">
        <v>78</v>
      </c>
      <c r="M2065" s="35">
        <v>1</v>
      </c>
      <c r="N2065" s="35" t="s">
        <v>75</v>
      </c>
      <c r="O2065" s="9">
        <f>(VLOOKUP(L2065,'[1]Simulation pricing per sub assy'!$D:$E,2,0))*M2065</f>
        <v>43.608799999999988</v>
      </c>
      <c r="P2065" s="36" t="s">
        <v>52</v>
      </c>
      <c r="Q2065" s="36">
        <v>2</v>
      </c>
      <c r="R2065" s="36" t="s">
        <v>18</v>
      </c>
      <c r="S2065" s="40">
        <f>(VLOOKUP(P2065,'[1]BOM Info General'!$A:$L,12,0))*Q2065</f>
        <v>5.3</v>
      </c>
      <c r="T2065" s="37" t="s">
        <v>14</v>
      </c>
      <c r="U2065" s="37">
        <v>1</v>
      </c>
      <c r="V2065" s="37" t="s">
        <v>15</v>
      </c>
      <c r="W2065" s="17">
        <f>(VLOOKUP(T2065,'[1]Simulation pricing per sub assy'!$D:$E,2,0))*U2065</f>
        <v>1.9</v>
      </c>
      <c r="X2065" s="32" t="s">
        <v>615</v>
      </c>
      <c r="Y2065" s="38">
        <v>1</v>
      </c>
      <c r="Z2065" s="38" t="s">
        <v>9</v>
      </c>
      <c r="AA2065" s="18">
        <f>(VLOOKUP(X2065,'[1]Simulation pricing per sub assy'!$D:$E,2,0))*Y2065</f>
        <v>1.5769808000000001</v>
      </c>
    </row>
    <row r="2066" spans="1:27" x14ac:dyDescent="0.35">
      <c r="A2066" s="27" t="s">
        <v>3472</v>
      </c>
      <c r="B2066" s="27" t="s">
        <v>3473</v>
      </c>
      <c r="C2066" s="42">
        <f t="shared" si="32"/>
        <v>120.0357808</v>
      </c>
      <c r="D2066" s="33" t="s">
        <v>2058</v>
      </c>
      <c r="E2066" s="33">
        <v>1</v>
      </c>
      <c r="F2066" s="33" t="s">
        <v>2059</v>
      </c>
      <c r="G2066" s="14">
        <f>(VLOOKUP(D2066,'[1]BOM Info General'!$A:$L,12,0))*E2066</f>
        <v>35.56</v>
      </c>
      <c r="H2066" s="34" t="s">
        <v>39</v>
      </c>
      <c r="I2066" s="34">
        <v>1</v>
      </c>
      <c r="J2066" s="34" t="s">
        <v>46</v>
      </c>
      <c r="K2066" s="15">
        <f>(VLOOKUP(H2066,'[1]BOM Info General'!$A:$L,12,0))*I2066</f>
        <v>24.42</v>
      </c>
      <c r="L2066" s="35" t="s">
        <v>74</v>
      </c>
      <c r="M2066" s="35">
        <v>1</v>
      </c>
      <c r="N2066" s="35" t="s">
        <v>77</v>
      </c>
      <c r="O2066" s="9">
        <f>(VLOOKUP(L2066,'[1]Simulation pricing per sub assy'!$D:$E,2,0))*M2066</f>
        <v>51.27879999999999</v>
      </c>
      <c r="P2066" s="36" t="s">
        <v>52</v>
      </c>
      <c r="Q2066" s="36">
        <v>2</v>
      </c>
      <c r="R2066" s="36" t="s">
        <v>18</v>
      </c>
      <c r="S2066" s="40">
        <f>(VLOOKUP(P2066,'[1]BOM Info General'!$A:$L,12,0))*Q2066</f>
        <v>5.3</v>
      </c>
      <c r="T2066" s="37" t="s">
        <v>14</v>
      </c>
      <c r="U2066" s="37">
        <v>1</v>
      </c>
      <c r="V2066" s="37" t="s">
        <v>15</v>
      </c>
      <c r="W2066" s="17">
        <f>(VLOOKUP(T2066,'[1]Simulation pricing per sub assy'!$D:$E,2,0))*U2066</f>
        <v>1.9</v>
      </c>
      <c r="X2066" s="32" t="s">
        <v>615</v>
      </c>
      <c r="Y2066" s="38">
        <v>1</v>
      </c>
      <c r="Z2066" s="38" t="s">
        <v>9</v>
      </c>
      <c r="AA2066" s="18">
        <f>(VLOOKUP(X2066,'[1]Simulation pricing per sub assy'!$D:$E,2,0))*Y2066</f>
        <v>1.5769808000000001</v>
      </c>
    </row>
    <row r="2067" spans="1:27" x14ac:dyDescent="0.35">
      <c r="A2067" s="27" t="s">
        <v>3474</v>
      </c>
      <c r="B2067" s="27" t="s">
        <v>3475</v>
      </c>
      <c r="C2067" s="42">
        <f t="shared" si="32"/>
        <v>111.5057808</v>
      </c>
      <c r="D2067" s="33" t="s">
        <v>2058</v>
      </c>
      <c r="E2067" s="33">
        <v>1</v>
      </c>
      <c r="F2067" s="33" t="s">
        <v>2059</v>
      </c>
      <c r="G2067" s="14">
        <f>(VLOOKUP(D2067,'[1]BOM Info General'!$A:$L,12,0))*E2067</f>
        <v>35.56</v>
      </c>
      <c r="H2067" s="34" t="s">
        <v>39</v>
      </c>
      <c r="I2067" s="34">
        <v>1</v>
      </c>
      <c r="J2067" s="34" t="s">
        <v>46</v>
      </c>
      <c r="K2067" s="15">
        <f>(VLOOKUP(H2067,'[1]BOM Info General'!$A:$L,12,0))*I2067</f>
        <v>24.42</v>
      </c>
      <c r="L2067" s="35" t="s">
        <v>527</v>
      </c>
      <c r="M2067" s="35">
        <v>1</v>
      </c>
      <c r="N2067" s="35" t="s">
        <v>79</v>
      </c>
      <c r="O2067" s="9">
        <f>(VLOOKUP(L2067,'[1]Simulation pricing per sub assy'!$D:$E,2,0))*M2067</f>
        <v>42.308799999999991</v>
      </c>
      <c r="P2067" s="36" t="s">
        <v>50</v>
      </c>
      <c r="Q2067" s="36">
        <v>2</v>
      </c>
      <c r="R2067" s="36" t="s">
        <v>611</v>
      </c>
      <c r="S2067" s="40">
        <f>(VLOOKUP(P2067,'[1]BOM Info General'!$A:$L,12,0))*Q2067</f>
        <v>5.3</v>
      </c>
      <c r="T2067" s="37" t="s">
        <v>19</v>
      </c>
      <c r="U2067" s="37">
        <v>1</v>
      </c>
      <c r="V2067" s="37" t="s">
        <v>20</v>
      </c>
      <c r="W2067" s="17">
        <f>(VLOOKUP(T2067,'[1]Simulation pricing per sub assy'!$D:$E,2,0))*U2067</f>
        <v>2.3400000000000003</v>
      </c>
      <c r="X2067" s="32" t="s">
        <v>615</v>
      </c>
      <c r="Y2067" s="38">
        <v>1</v>
      </c>
      <c r="Z2067" s="38" t="s">
        <v>9</v>
      </c>
      <c r="AA2067" s="18">
        <f>(VLOOKUP(X2067,'[1]Simulation pricing per sub assy'!$D:$E,2,0))*Y2067</f>
        <v>1.5769808000000001</v>
      </c>
    </row>
    <row r="2068" spans="1:27" x14ac:dyDescent="0.35">
      <c r="A2068" s="27" t="s">
        <v>3476</v>
      </c>
      <c r="B2068" s="27" t="s">
        <v>3477</v>
      </c>
      <c r="C2068" s="42">
        <f t="shared" si="32"/>
        <v>112.4857808</v>
      </c>
      <c r="D2068" s="33" t="s">
        <v>2058</v>
      </c>
      <c r="E2068" s="33">
        <v>1</v>
      </c>
      <c r="F2068" s="33" t="s">
        <v>2059</v>
      </c>
      <c r="G2068" s="14">
        <f>(VLOOKUP(D2068,'[1]BOM Info General'!$A:$L,12,0))*E2068</f>
        <v>35.56</v>
      </c>
      <c r="H2068" s="34" t="s">
        <v>39</v>
      </c>
      <c r="I2068" s="34">
        <v>1</v>
      </c>
      <c r="J2068" s="34" t="s">
        <v>46</v>
      </c>
      <c r="K2068" s="15">
        <f>(VLOOKUP(H2068,'[1]BOM Info General'!$A:$L,12,0))*I2068</f>
        <v>24.42</v>
      </c>
      <c r="L2068" s="35" t="s">
        <v>76</v>
      </c>
      <c r="M2068" s="35">
        <v>1</v>
      </c>
      <c r="N2068" s="35" t="s">
        <v>73</v>
      </c>
      <c r="O2068" s="9">
        <f>(VLOOKUP(L2068,'[1]Simulation pricing per sub assy'!$D:$E,2,0))*M2068</f>
        <v>43.288799999999988</v>
      </c>
      <c r="P2068" s="36" t="s">
        <v>50</v>
      </c>
      <c r="Q2068" s="36">
        <v>2</v>
      </c>
      <c r="R2068" s="36" t="s">
        <v>611</v>
      </c>
      <c r="S2068" s="40">
        <f>(VLOOKUP(P2068,'[1]BOM Info General'!$A:$L,12,0))*Q2068</f>
        <v>5.3</v>
      </c>
      <c r="T2068" s="37" t="s">
        <v>19</v>
      </c>
      <c r="U2068" s="37">
        <v>1</v>
      </c>
      <c r="V2068" s="37" t="s">
        <v>20</v>
      </c>
      <c r="W2068" s="17">
        <f>(VLOOKUP(T2068,'[1]Simulation pricing per sub assy'!$D:$E,2,0))*U2068</f>
        <v>2.3400000000000003</v>
      </c>
      <c r="X2068" s="32" t="s">
        <v>615</v>
      </c>
      <c r="Y2068" s="38">
        <v>1</v>
      </c>
      <c r="Z2068" s="38" t="s">
        <v>9</v>
      </c>
      <c r="AA2068" s="18">
        <f>(VLOOKUP(X2068,'[1]Simulation pricing per sub assy'!$D:$E,2,0))*Y2068</f>
        <v>1.5769808000000001</v>
      </c>
    </row>
    <row r="2069" spans="1:27" x14ac:dyDescent="0.35">
      <c r="A2069" s="27" t="s">
        <v>3478</v>
      </c>
      <c r="B2069" s="27" t="s">
        <v>3479</v>
      </c>
      <c r="C2069" s="42">
        <f t="shared" si="32"/>
        <v>113.0657808</v>
      </c>
      <c r="D2069" s="33" t="s">
        <v>2058</v>
      </c>
      <c r="E2069" s="33">
        <v>1</v>
      </c>
      <c r="F2069" s="33" t="s">
        <v>2059</v>
      </c>
      <c r="G2069" s="14">
        <f>(VLOOKUP(D2069,'[1]BOM Info General'!$A:$L,12,0))*E2069</f>
        <v>35.56</v>
      </c>
      <c r="H2069" s="34" t="s">
        <v>39</v>
      </c>
      <c r="I2069" s="34">
        <v>1</v>
      </c>
      <c r="J2069" s="34" t="s">
        <v>46</v>
      </c>
      <c r="K2069" s="15">
        <f>(VLOOKUP(H2069,'[1]BOM Info General'!$A:$L,12,0))*I2069</f>
        <v>24.42</v>
      </c>
      <c r="L2069" s="35" t="s">
        <v>72</v>
      </c>
      <c r="M2069" s="35">
        <v>1</v>
      </c>
      <c r="N2069" s="35" t="s">
        <v>71</v>
      </c>
      <c r="O2069" s="9">
        <f>(VLOOKUP(L2069,'[1]Simulation pricing per sub assy'!$D:$E,2,0))*M2069</f>
        <v>43.868799999999993</v>
      </c>
      <c r="P2069" s="36" t="s">
        <v>50</v>
      </c>
      <c r="Q2069" s="36">
        <v>2</v>
      </c>
      <c r="R2069" s="36" t="s">
        <v>611</v>
      </c>
      <c r="S2069" s="40">
        <f>(VLOOKUP(P2069,'[1]BOM Info General'!$A:$L,12,0))*Q2069</f>
        <v>5.3</v>
      </c>
      <c r="T2069" s="37" t="s">
        <v>19</v>
      </c>
      <c r="U2069" s="37">
        <v>1</v>
      </c>
      <c r="V2069" s="37" t="s">
        <v>20</v>
      </c>
      <c r="W2069" s="17">
        <f>(VLOOKUP(T2069,'[1]Simulation pricing per sub assy'!$D:$E,2,0))*U2069</f>
        <v>2.3400000000000003</v>
      </c>
      <c r="X2069" s="32" t="s">
        <v>615</v>
      </c>
      <c r="Y2069" s="38">
        <v>1</v>
      </c>
      <c r="Z2069" s="38" t="s">
        <v>9</v>
      </c>
      <c r="AA2069" s="18">
        <f>(VLOOKUP(X2069,'[1]Simulation pricing per sub assy'!$D:$E,2,0))*Y2069</f>
        <v>1.5769808000000001</v>
      </c>
    </row>
    <row r="2070" spans="1:27" x14ac:dyDescent="0.35">
      <c r="A2070" s="27" t="s">
        <v>3480</v>
      </c>
      <c r="B2070" s="27" t="s">
        <v>3481</v>
      </c>
      <c r="C2070" s="42">
        <f t="shared" si="32"/>
        <v>112.80578079999999</v>
      </c>
      <c r="D2070" s="33" t="s">
        <v>2058</v>
      </c>
      <c r="E2070" s="33">
        <v>1</v>
      </c>
      <c r="F2070" s="33" t="s">
        <v>2059</v>
      </c>
      <c r="G2070" s="14">
        <f>(VLOOKUP(D2070,'[1]BOM Info General'!$A:$L,12,0))*E2070</f>
        <v>35.56</v>
      </c>
      <c r="H2070" s="34" t="s">
        <v>39</v>
      </c>
      <c r="I2070" s="34">
        <v>1</v>
      </c>
      <c r="J2070" s="34" t="s">
        <v>46</v>
      </c>
      <c r="K2070" s="15">
        <f>(VLOOKUP(H2070,'[1]BOM Info General'!$A:$L,12,0))*I2070</f>
        <v>24.42</v>
      </c>
      <c r="L2070" s="35" t="s">
        <v>78</v>
      </c>
      <c r="M2070" s="35">
        <v>1</v>
      </c>
      <c r="N2070" s="35" t="s">
        <v>75</v>
      </c>
      <c r="O2070" s="9">
        <f>(VLOOKUP(L2070,'[1]Simulation pricing per sub assy'!$D:$E,2,0))*M2070</f>
        <v>43.608799999999988</v>
      </c>
      <c r="P2070" s="36" t="s">
        <v>50</v>
      </c>
      <c r="Q2070" s="36">
        <v>2</v>
      </c>
      <c r="R2070" s="36" t="s">
        <v>611</v>
      </c>
      <c r="S2070" s="40">
        <f>(VLOOKUP(P2070,'[1]BOM Info General'!$A:$L,12,0))*Q2070</f>
        <v>5.3</v>
      </c>
      <c r="T2070" s="37" t="s">
        <v>19</v>
      </c>
      <c r="U2070" s="37">
        <v>1</v>
      </c>
      <c r="V2070" s="37" t="s">
        <v>20</v>
      </c>
      <c r="W2070" s="17">
        <f>(VLOOKUP(T2070,'[1]Simulation pricing per sub assy'!$D:$E,2,0))*U2070</f>
        <v>2.3400000000000003</v>
      </c>
      <c r="X2070" s="32" t="s">
        <v>615</v>
      </c>
      <c r="Y2070" s="38">
        <v>1</v>
      </c>
      <c r="Z2070" s="38" t="s">
        <v>9</v>
      </c>
      <c r="AA2070" s="18">
        <f>(VLOOKUP(X2070,'[1]Simulation pricing per sub assy'!$D:$E,2,0))*Y2070</f>
        <v>1.5769808000000001</v>
      </c>
    </row>
    <row r="2071" spans="1:27" x14ac:dyDescent="0.35">
      <c r="A2071" s="27" t="s">
        <v>3482</v>
      </c>
      <c r="B2071" s="27" t="s">
        <v>3483</v>
      </c>
      <c r="C2071" s="42">
        <f t="shared" si="32"/>
        <v>120.4757808</v>
      </c>
      <c r="D2071" s="33" t="s">
        <v>2058</v>
      </c>
      <c r="E2071" s="33">
        <v>1</v>
      </c>
      <c r="F2071" s="33" t="s">
        <v>2059</v>
      </c>
      <c r="G2071" s="14">
        <f>(VLOOKUP(D2071,'[1]BOM Info General'!$A:$L,12,0))*E2071</f>
        <v>35.56</v>
      </c>
      <c r="H2071" s="34" t="s">
        <v>39</v>
      </c>
      <c r="I2071" s="34">
        <v>1</v>
      </c>
      <c r="J2071" s="34" t="s">
        <v>46</v>
      </c>
      <c r="K2071" s="15">
        <f>(VLOOKUP(H2071,'[1]BOM Info General'!$A:$L,12,0))*I2071</f>
        <v>24.42</v>
      </c>
      <c r="L2071" s="35" t="s">
        <v>74</v>
      </c>
      <c r="M2071" s="35">
        <v>1</v>
      </c>
      <c r="N2071" s="35" t="s">
        <v>77</v>
      </c>
      <c r="O2071" s="9">
        <f>(VLOOKUP(L2071,'[1]Simulation pricing per sub assy'!$D:$E,2,0))*M2071</f>
        <v>51.27879999999999</v>
      </c>
      <c r="P2071" s="36" t="s">
        <v>50</v>
      </c>
      <c r="Q2071" s="36">
        <v>2</v>
      </c>
      <c r="R2071" s="36" t="s">
        <v>611</v>
      </c>
      <c r="S2071" s="40">
        <f>(VLOOKUP(P2071,'[1]BOM Info General'!$A:$L,12,0))*Q2071</f>
        <v>5.3</v>
      </c>
      <c r="T2071" s="37" t="s">
        <v>19</v>
      </c>
      <c r="U2071" s="37">
        <v>1</v>
      </c>
      <c r="V2071" s="37" t="s">
        <v>20</v>
      </c>
      <c r="W2071" s="17">
        <f>(VLOOKUP(T2071,'[1]Simulation pricing per sub assy'!$D:$E,2,0))*U2071</f>
        <v>2.3400000000000003</v>
      </c>
      <c r="X2071" s="32" t="s">
        <v>615</v>
      </c>
      <c r="Y2071" s="38">
        <v>1</v>
      </c>
      <c r="Z2071" s="38" t="s">
        <v>9</v>
      </c>
      <c r="AA2071" s="18">
        <f>(VLOOKUP(X2071,'[1]Simulation pricing per sub assy'!$D:$E,2,0))*Y2071</f>
        <v>1.5769808000000001</v>
      </c>
    </row>
    <row r="2072" spans="1:27" x14ac:dyDescent="0.35">
      <c r="A2072" s="27" t="s">
        <v>3484</v>
      </c>
      <c r="B2072" s="27" t="s">
        <v>4779</v>
      </c>
      <c r="C2072" s="42">
        <f t="shared" si="32"/>
        <v>111.01578079999999</v>
      </c>
      <c r="D2072" s="28" t="s">
        <v>2058</v>
      </c>
      <c r="E2072" s="28">
        <v>1</v>
      </c>
      <c r="F2072" s="28" t="s">
        <v>2059</v>
      </c>
      <c r="G2072" s="14">
        <f>(VLOOKUP(D2072,'[1]BOM Info General'!$A:$L,12,0))*E2072</f>
        <v>35.56</v>
      </c>
      <c r="H2072" s="29" t="s">
        <v>39</v>
      </c>
      <c r="I2072" s="29">
        <v>1</v>
      </c>
      <c r="J2072" s="29" t="s">
        <v>46</v>
      </c>
      <c r="K2072" s="15">
        <f>(VLOOKUP(H2072,'[1]BOM Info General'!$A:$L,12,0))*I2072</f>
        <v>24.42</v>
      </c>
      <c r="L2072" s="26" t="s">
        <v>527</v>
      </c>
      <c r="M2072" s="26">
        <v>1</v>
      </c>
      <c r="N2072" s="26" t="s">
        <v>79</v>
      </c>
      <c r="O2072" s="9">
        <f>(VLOOKUP(L2072,'[1]Simulation pricing per sub assy'!$D:$E,2,0))*M2072</f>
        <v>42.308799999999991</v>
      </c>
      <c r="P2072" s="30" t="s">
        <v>50</v>
      </c>
      <c r="Q2072" s="30">
        <v>2</v>
      </c>
      <c r="R2072" s="30" t="s">
        <v>611</v>
      </c>
      <c r="S2072" s="40">
        <f>(VLOOKUP(P2072,'[1]BOM Info General'!$A:$L,12,0))*Q2072</f>
        <v>5.3</v>
      </c>
      <c r="T2072" s="31" t="s">
        <v>7</v>
      </c>
      <c r="U2072" s="31">
        <v>1</v>
      </c>
      <c r="V2072" s="31" t="s">
        <v>8</v>
      </c>
      <c r="W2072" s="17">
        <f>(VLOOKUP(T2072,'[1]Simulation pricing per sub assy'!$D:$E,2,0))*U2072</f>
        <v>1.85</v>
      </c>
      <c r="X2072" s="32" t="s">
        <v>615</v>
      </c>
      <c r="Y2072" s="32">
        <v>1</v>
      </c>
      <c r="Z2072" s="32" t="s">
        <v>9</v>
      </c>
      <c r="AA2072" s="18">
        <f>(VLOOKUP(X2072,'[1]Simulation pricing per sub assy'!$D:$E,2,0))*Y2072</f>
        <v>1.5769808000000001</v>
      </c>
    </row>
    <row r="2073" spans="1:27" x14ac:dyDescent="0.35">
      <c r="A2073" s="27" t="s">
        <v>3485</v>
      </c>
      <c r="B2073" s="27" t="s">
        <v>4780</v>
      </c>
      <c r="C2073" s="42">
        <f t="shared" si="32"/>
        <v>111.99578079999999</v>
      </c>
      <c r="D2073" s="28" t="s">
        <v>2058</v>
      </c>
      <c r="E2073" s="28">
        <v>1</v>
      </c>
      <c r="F2073" s="28" t="s">
        <v>2059</v>
      </c>
      <c r="G2073" s="14">
        <f>(VLOOKUP(D2073,'[1]BOM Info General'!$A:$L,12,0))*E2073</f>
        <v>35.56</v>
      </c>
      <c r="H2073" s="29" t="s">
        <v>39</v>
      </c>
      <c r="I2073" s="29">
        <v>1</v>
      </c>
      <c r="J2073" s="29" t="s">
        <v>46</v>
      </c>
      <c r="K2073" s="15">
        <f>(VLOOKUP(H2073,'[1]BOM Info General'!$A:$L,12,0))*I2073</f>
        <v>24.42</v>
      </c>
      <c r="L2073" s="26" t="s">
        <v>76</v>
      </c>
      <c r="M2073" s="26">
        <v>1</v>
      </c>
      <c r="N2073" s="26" t="s">
        <v>73</v>
      </c>
      <c r="O2073" s="9">
        <f>(VLOOKUP(L2073,'[1]Simulation pricing per sub assy'!$D:$E,2,0))*M2073</f>
        <v>43.288799999999988</v>
      </c>
      <c r="P2073" s="30" t="s">
        <v>50</v>
      </c>
      <c r="Q2073" s="30">
        <v>2</v>
      </c>
      <c r="R2073" s="30" t="s">
        <v>611</v>
      </c>
      <c r="S2073" s="40">
        <f>(VLOOKUP(P2073,'[1]BOM Info General'!$A:$L,12,0))*Q2073</f>
        <v>5.3</v>
      </c>
      <c r="T2073" s="31" t="s">
        <v>7</v>
      </c>
      <c r="U2073" s="31">
        <v>1</v>
      </c>
      <c r="V2073" s="31" t="s">
        <v>8</v>
      </c>
      <c r="W2073" s="17">
        <f>(VLOOKUP(T2073,'[1]Simulation pricing per sub assy'!$D:$E,2,0))*U2073</f>
        <v>1.85</v>
      </c>
      <c r="X2073" s="32" t="s">
        <v>615</v>
      </c>
      <c r="Y2073" s="32">
        <v>1</v>
      </c>
      <c r="Z2073" s="32" t="s">
        <v>9</v>
      </c>
      <c r="AA2073" s="18">
        <f>(VLOOKUP(X2073,'[1]Simulation pricing per sub assy'!$D:$E,2,0))*Y2073</f>
        <v>1.5769808000000001</v>
      </c>
    </row>
    <row r="2074" spans="1:27" x14ac:dyDescent="0.35">
      <c r="A2074" s="27" t="s">
        <v>3486</v>
      </c>
      <c r="B2074" s="27" t="s">
        <v>4781</v>
      </c>
      <c r="C2074" s="42">
        <f t="shared" si="32"/>
        <v>112.57578079999999</v>
      </c>
      <c r="D2074" s="28" t="s">
        <v>2058</v>
      </c>
      <c r="E2074" s="28">
        <v>1</v>
      </c>
      <c r="F2074" s="28" t="s">
        <v>2059</v>
      </c>
      <c r="G2074" s="14">
        <f>(VLOOKUP(D2074,'[1]BOM Info General'!$A:$L,12,0))*E2074</f>
        <v>35.56</v>
      </c>
      <c r="H2074" s="29" t="s">
        <v>39</v>
      </c>
      <c r="I2074" s="29">
        <v>1</v>
      </c>
      <c r="J2074" s="29" t="s">
        <v>46</v>
      </c>
      <c r="K2074" s="15">
        <f>(VLOOKUP(H2074,'[1]BOM Info General'!$A:$L,12,0))*I2074</f>
        <v>24.42</v>
      </c>
      <c r="L2074" s="26" t="s">
        <v>72</v>
      </c>
      <c r="M2074" s="26">
        <v>1</v>
      </c>
      <c r="N2074" s="26" t="s">
        <v>71</v>
      </c>
      <c r="O2074" s="9">
        <f>(VLOOKUP(L2074,'[1]Simulation pricing per sub assy'!$D:$E,2,0))*M2074</f>
        <v>43.868799999999993</v>
      </c>
      <c r="P2074" s="30" t="s">
        <v>50</v>
      </c>
      <c r="Q2074" s="30">
        <v>2</v>
      </c>
      <c r="R2074" s="30" t="s">
        <v>611</v>
      </c>
      <c r="S2074" s="40">
        <f>(VLOOKUP(P2074,'[1]BOM Info General'!$A:$L,12,0))*Q2074</f>
        <v>5.3</v>
      </c>
      <c r="T2074" s="31" t="s">
        <v>7</v>
      </c>
      <c r="U2074" s="31">
        <v>1</v>
      </c>
      <c r="V2074" s="31" t="s">
        <v>8</v>
      </c>
      <c r="W2074" s="17">
        <f>(VLOOKUP(T2074,'[1]Simulation pricing per sub assy'!$D:$E,2,0))*U2074</f>
        <v>1.85</v>
      </c>
      <c r="X2074" s="32" t="s">
        <v>615</v>
      </c>
      <c r="Y2074" s="32">
        <v>1</v>
      </c>
      <c r="Z2074" s="32" t="s">
        <v>9</v>
      </c>
      <c r="AA2074" s="18">
        <f>(VLOOKUP(X2074,'[1]Simulation pricing per sub assy'!$D:$E,2,0))*Y2074</f>
        <v>1.5769808000000001</v>
      </c>
    </row>
    <row r="2075" spans="1:27" x14ac:dyDescent="0.35">
      <c r="A2075" s="27" t="s">
        <v>3487</v>
      </c>
      <c r="B2075" s="27" t="s">
        <v>4782</v>
      </c>
      <c r="C2075" s="42">
        <f t="shared" si="32"/>
        <v>112.31578079999998</v>
      </c>
      <c r="D2075" s="28" t="s">
        <v>2058</v>
      </c>
      <c r="E2075" s="28">
        <v>1</v>
      </c>
      <c r="F2075" s="28" t="s">
        <v>2059</v>
      </c>
      <c r="G2075" s="14">
        <f>(VLOOKUP(D2075,'[1]BOM Info General'!$A:$L,12,0))*E2075</f>
        <v>35.56</v>
      </c>
      <c r="H2075" s="29" t="s">
        <v>39</v>
      </c>
      <c r="I2075" s="29">
        <v>1</v>
      </c>
      <c r="J2075" s="29" t="s">
        <v>46</v>
      </c>
      <c r="K2075" s="15">
        <f>(VLOOKUP(H2075,'[1]BOM Info General'!$A:$L,12,0))*I2075</f>
        <v>24.42</v>
      </c>
      <c r="L2075" s="26" t="s">
        <v>78</v>
      </c>
      <c r="M2075" s="26">
        <v>1</v>
      </c>
      <c r="N2075" s="26" t="s">
        <v>75</v>
      </c>
      <c r="O2075" s="9">
        <f>(VLOOKUP(L2075,'[1]Simulation pricing per sub assy'!$D:$E,2,0))*M2075</f>
        <v>43.608799999999988</v>
      </c>
      <c r="P2075" s="30" t="s">
        <v>50</v>
      </c>
      <c r="Q2075" s="30">
        <v>2</v>
      </c>
      <c r="R2075" s="30" t="s">
        <v>611</v>
      </c>
      <c r="S2075" s="40">
        <f>(VLOOKUP(P2075,'[1]BOM Info General'!$A:$L,12,0))*Q2075</f>
        <v>5.3</v>
      </c>
      <c r="T2075" s="31" t="s">
        <v>7</v>
      </c>
      <c r="U2075" s="31">
        <v>1</v>
      </c>
      <c r="V2075" s="31" t="s">
        <v>8</v>
      </c>
      <c r="W2075" s="17">
        <f>(VLOOKUP(T2075,'[1]Simulation pricing per sub assy'!$D:$E,2,0))*U2075</f>
        <v>1.85</v>
      </c>
      <c r="X2075" s="32" t="s">
        <v>615</v>
      </c>
      <c r="Y2075" s="32">
        <v>1</v>
      </c>
      <c r="Z2075" s="32" t="s">
        <v>9</v>
      </c>
      <c r="AA2075" s="18">
        <f>(VLOOKUP(X2075,'[1]Simulation pricing per sub assy'!$D:$E,2,0))*Y2075</f>
        <v>1.5769808000000001</v>
      </c>
    </row>
    <row r="2076" spans="1:27" x14ac:dyDescent="0.35">
      <c r="A2076" s="27" t="s">
        <v>3488</v>
      </c>
      <c r="B2076" s="27" t="s">
        <v>4783</v>
      </c>
      <c r="C2076" s="42">
        <f t="shared" si="32"/>
        <v>119.98578079999999</v>
      </c>
      <c r="D2076" s="28" t="s">
        <v>2058</v>
      </c>
      <c r="E2076" s="28">
        <v>1</v>
      </c>
      <c r="F2076" s="28" t="s">
        <v>2059</v>
      </c>
      <c r="G2076" s="14">
        <f>(VLOOKUP(D2076,'[1]BOM Info General'!$A:$L,12,0))*E2076</f>
        <v>35.56</v>
      </c>
      <c r="H2076" s="29" t="s">
        <v>39</v>
      </c>
      <c r="I2076" s="29">
        <v>1</v>
      </c>
      <c r="J2076" s="29" t="s">
        <v>46</v>
      </c>
      <c r="K2076" s="15">
        <f>(VLOOKUP(H2076,'[1]BOM Info General'!$A:$L,12,0))*I2076</f>
        <v>24.42</v>
      </c>
      <c r="L2076" s="26" t="s">
        <v>74</v>
      </c>
      <c r="M2076" s="26">
        <v>1</v>
      </c>
      <c r="N2076" s="26" t="s">
        <v>77</v>
      </c>
      <c r="O2076" s="9">
        <f>(VLOOKUP(L2076,'[1]Simulation pricing per sub assy'!$D:$E,2,0))*M2076</f>
        <v>51.27879999999999</v>
      </c>
      <c r="P2076" s="30" t="s">
        <v>50</v>
      </c>
      <c r="Q2076" s="30">
        <v>2</v>
      </c>
      <c r="R2076" s="30" t="s">
        <v>611</v>
      </c>
      <c r="S2076" s="40">
        <f>(VLOOKUP(P2076,'[1]BOM Info General'!$A:$L,12,0))*Q2076</f>
        <v>5.3</v>
      </c>
      <c r="T2076" s="31" t="s">
        <v>7</v>
      </c>
      <c r="U2076" s="31">
        <v>1</v>
      </c>
      <c r="V2076" s="31" t="s">
        <v>8</v>
      </c>
      <c r="W2076" s="17">
        <f>(VLOOKUP(T2076,'[1]Simulation pricing per sub assy'!$D:$E,2,0))*U2076</f>
        <v>1.85</v>
      </c>
      <c r="X2076" s="32" t="s">
        <v>615</v>
      </c>
      <c r="Y2076" s="32">
        <v>1</v>
      </c>
      <c r="Z2076" s="32" t="s">
        <v>9</v>
      </c>
      <c r="AA2076" s="18">
        <f>(VLOOKUP(X2076,'[1]Simulation pricing per sub assy'!$D:$E,2,0))*Y2076</f>
        <v>1.5769808000000001</v>
      </c>
    </row>
    <row r="2077" spans="1:27" x14ac:dyDescent="0.35">
      <c r="A2077" s="27" t="s">
        <v>3489</v>
      </c>
      <c r="B2077" s="27" t="s">
        <v>4784</v>
      </c>
      <c r="C2077" s="42">
        <f t="shared" si="32"/>
        <v>111.21578079999999</v>
      </c>
      <c r="D2077" s="28" t="s">
        <v>2058</v>
      </c>
      <c r="E2077" s="28">
        <v>1</v>
      </c>
      <c r="F2077" s="28" t="s">
        <v>2059</v>
      </c>
      <c r="G2077" s="14">
        <f>(VLOOKUP(D2077,'[1]BOM Info General'!$A:$L,12,0))*E2077</f>
        <v>35.56</v>
      </c>
      <c r="H2077" s="29" t="s">
        <v>39</v>
      </c>
      <c r="I2077" s="29">
        <v>1</v>
      </c>
      <c r="J2077" s="29" t="s">
        <v>46</v>
      </c>
      <c r="K2077" s="15">
        <f>(VLOOKUP(H2077,'[1]BOM Info General'!$A:$L,12,0))*I2077</f>
        <v>24.42</v>
      </c>
      <c r="L2077" s="26" t="s">
        <v>527</v>
      </c>
      <c r="M2077" s="26">
        <v>1</v>
      </c>
      <c r="N2077" s="26" t="s">
        <v>79</v>
      </c>
      <c r="O2077" s="9">
        <f>(VLOOKUP(L2077,'[1]Simulation pricing per sub assy'!$D:$E,2,0))*M2077</f>
        <v>42.308799999999991</v>
      </c>
      <c r="P2077" s="30" t="s">
        <v>50</v>
      </c>
      <c r="Q2077" s="30">
        <v>2</v>
      </c>
      <c r="R2077" s="30" t="s">
        <v>16</v>
      </c>
      <c r="S2077" s="40">
        <f>(VLOOKUP(P2077,'[1]BOM Info General'!$A:$L,12,0))*Q2077</f>
        <v>5.3</v>
      </c>
      <c r="T2077" s="31" t="s">
        <v>10</v>
      </c>
      <c r="U2077" s="31">
        <v>1</v>
      </c>
      <c r="V2077" s="31" t="s">
        <v>11</v>
      </c>
      <c r="W2077" s="17">
        <f>(VLOOKUP(T2077,'[1]Simulation pricing per sub assy'!$D:$E,2,0))*U2077</f>
        <v>2.0499999999999998</v>
      </c>
      <c r="X2077" s="32" t="s">
        <v>615</v>
      </c>
      <c r="Y2077" s="32">
        <v>1</v>
      </c>
      <c r="Z2077" s="32" t="s">
        <v>9</v>
      </c>
      <c r="AA2077" s="18">
        <f>(VLOOKUP(X2077,'[1]Simulation pricing per sub assy'!$D:$E,2,0))*Y2077</f>
        <v>1.5769808000000001</v>
      </c>
    </row>
    <row r="2078" spans="1:27" x14ac:dyDescent="0.35">
      <c r="A2078" s="27" t="s">
        <v>3490</v>
      </c>
      <c r="B2078" s="27" t="s">
        <v>4785</v>
      </c>
      <c r="C2078" s="42">
        <f t="shared" si="32"/>
        <v>112.19578079999999</v>
      </c>
      <c r="D2078" s="28" t="s">
        <v>2058</v>
      </c>
      <c r="E2078" s="28">
        <v>1</v>
      </c>
      <c r="F2078" s="28" t="s">
        <v>2059</v>
      </c>
      <c r="G2078" s="14">
        <f>(VLOOKUP(D2078,'[1]BOM Info General'!$A:$L,12,0))*E2078</f>
        <v>35.56</v>
      </c>
      <c r="H2078" s="29" t="s">
        <v>39</v>
      </c>
      <c r="I2078" s="29">
        <v>1</v>
      </c>
      <c r="J2078" s="29" t="s">
        <v>46</v>
      </c>
      <c r="K2078" s="15">
        <f>(VLOOKUP(H2078,'[1]BOM Info General'!$A:$L,12,0))*I2078</f>
        <v>24.42</v>
      </c>
      <c r="L2078" s="26" t="s">
        <v>76</v>
      </c>
      <c r="M2078" s="26">
        <v>1</v>
      </c>
      <c r="N2078" s="26" t="s">
        <v>73</v>
      </c>
      <c r="O2078" s="9">
        <f>(VLOOKUP(L2078,'[1]Simulation pricing per sub assy'!$D:$E,2,0))*M2078</f>
        <v>43.288799999999988</v>
      </c>
      <c r="P2078" s="30" t="s">
        <v>50</v>
      </c>
      <c r="Q2078" s="30">
        <v>2</v>
      </c>
      <c r="R2078" s="30" t="s">
        <v>16</v>
      </c>
      <c r="S2078" s="40">
        <f>(VLOOKUP(P2078,'[1]BOM Info General'!$A:$L,12,0))*Q2078</f>
        <v>5.3</v>
      </c>
      <c r="T2078" s="31" t="s">
        <v>10</v>
      </c>
      <c r="U2078" s="31">
        <v>1</v>
      </c>
      <c r="V2078" s="31" t="s">
        <v>11</v>
      </c>
      <c r="W2078" s="17">
        <f>(VLOOKUP(T2078,'[1]Simulation pricing per sub assy'!$D:$E,2,0))*U2078</f>
        <v>2.0499999999999998</v>
      </c>
      <c r="X2078" s="32" t="s">
        <v>615</v>
      </c>
      <c r="Y2078" s="32">
        <v>1</v>
      </c>
      <c r="Z2078" s="32" t="s">
        <v>9</v>
      </c>
      <c r="AA2078" s="18">
        <f>(VLOOKUP(X2078,'[1]Simulation pricing per sub assy'!$D:$E,2,0))*Y2078</f>
        <v>1.5769808000000001</v>
      </c>
    </row>
    <row r="2079" spans="1:27" x14ac:dyDescent="0.35">
      <c r="A2079" s="27" t="s">
        <v>3491</v>
      </c>
      <c r="B2079" s="27" t="s">
        <v>4786</v>
      </c>
      <c r="C2079" s="42">
        <f t="shared" si="32"/>
        <v>112.77578079999999</v>
      </c>
      <c r="D2079" s="28" t="s">
        <v>2058</v>
      </c>
      <c r="E2079" s="28">
        <v>1</v>
      </c>
      <c r="F2079" s="28" t="s">
        <v>2059</v>
      </c>
      <c r="G2079" s="14">
        <f>(VLOOKUP(D2079,'[1]BOM Info General'!$A:$L,12,0))*E2079</f>
        <v>35.56</v>
      </c>
      <c r="H2079" s="29" t="s">
        <v>39</v>
      </c>
      <c r="I2079" s="29">
        <v>1</v>
      </c>
      <c r="J2079" s="29" t="s">
        <v>46</v>
      </c>
      <c r="K2079" s="15">
        <f>(VLOOKUP(H2079,'[1]BOM Info General'!$A:$L,12,0))*I2079</f>
        <v>24.42</v>
      </c>
      <c r="L2079" s="26" t="s">
        <v>72</v>
      </c>
      <c r="M2079" s="26">
        <v>1</v>
      </c>
      <c r="N2079" s="26" t="s">
        <v>71</v>
      </c>
      <c r="O2079" s="9">
        <f>(VLOOKUP(L2079,'[1]Simulation pricing per sub assy'!$D:$E,2,0))*M2079</f>
        <v>43.868799999999993</v>
      </c>
      <c r="P2079" s="30" t="s">
        <v>50</v>
      </c>
      <c r="Q2079" s="30">
        <v>2</v>
      </c>
      <c r="R2079" s="30" t="s">
        <v>16</v>
      </c>
      <c r="S2079" s="40">
        <f>(VLOOKUP(P2079,'[1]BOM Info General'!$A:$L,12,0))*Q2079</f>
        <v>5.3</v>
      </c>
      <c r="T2079" s="31" t="s">
        <v>10</v>
      </c>
      <c r="U2079" s="31">
        <v>1</v>
      </c>
      <c r="V2079" s="31" t="s">
        <v>11</v>
      </c>
      <c r="W2079" s="17">
        <f>(VLOOKUP(T2079,'[1]Simulation pricing per sub assy'!$D:$E,2,0))*U2079</f>
        <v>2.0499999999999998</v>
      </c>
      <c r="X2079" s="32" t="s">
        <v>615</v>
      </c>
      <c r="Y2079" s="32">
        <v>1</v>
      </c>
      <c r="Z2079" s="32" t="s">
        <v>9</v>
      </c>
      <c r="AA2079" s="18">
        <f>(VLOOKUP(X2079,'[1]Simulation pricing per sub assy'!$D:$E,2,0))*Y2079</f>
        <v>1.5769808000000001</v>
      </c>
    </row>
    <row r="2080" spans="1:27" x14ac:dyDescent="0.35">
      <c r="A2080" s="27" t="s">
        <v>3492</v>
      </c>
      <c r="B2080" s="27" t="s">
        <v>4787</v>
      </c>
      <c r="C2080" s="42">
        <f t="shared" si="32"/>
        <v>112.51578079999999</v>
      </c>
      <c r="D2080" s="28" t="s">
        <v>2058</v>
      </c>
      <c r="E2080" s="28">
        <v>1</v>
      </c>
      <c r="F2080" s="28" t="s">
        <v>2059</v>
      </c>
      <c r="G2080" s="14">
        <f>(VLOOKUP(D2080,'[1]BOM Info General'!$A:$L,12,0))*E2080</f>
        <v>35.56</v>
      </c>
      <c r="H2080" s="29" t="s">
        <v>39</v>
      </c>
      <c r="I2080" s="29">
        <v>1</v>
      </c>
      <c r="J2080" s="29" t="s">
        <v>46</v>
      </c>
      <c r="K2080" s="15">
        <f>(VLOOKUP(H2080,'[1]BOM Info General'!$A:$L,12,0))*I2080</f>
        <v>24.42</v>
      </c>
      <c r="L2080" s="26" t="s">
        <v>78</v>
      </c>
      <c r="M2080" s="26">
        <v>1</v>
      </c>
      <c r="N2080" s="26" t="s">
        <v>75</v>
      </c>
      <c r="O2080" s="9">
        <f>(VLOOKUP(L2080,'[1]Simulation pricing per sub assy'!$D:$E,2,0))*M2080</f>
        <v>43.608799999999988</v>
      </c>
      <c r="P2080" s="30" t="s">
        <v>50</v>
      </c>
      <c r="Q2080" s="30">
        <v>2</v>
      </c>
      <c r="R2080" s="30" t="s">
        <v>16</v>
      </c>
      <c r="S2080" s="40">
        <f>(VLOOKUP(P2080,'[1]BOM Info General'!$A:$L,12,0))*Q2080</f>
        <v>5.3</v>
      </c>
      <c r="T2080" s="31" t="s">
        <v>10</v>
      </c>
      <c r="U2080" s="31">
        <v>1</v>
      </c>
      <c r="V2080" s="31" t="s">
        <v>11</v>
      </c>
      <c r="W2080" s="17">
        <f>(VLOOKUP(T2080,'[1]Simulation pricing per sub assy'!$D:$E,2,0))*U2080</f>
        <v>2.0499999999999998</v>
      </c>
      <c r="X2080" s="32" t="s">
        <v>615</v>
      </c>
      <c r="Y2080" s="32">
        <v>1</v>
      </c>
      <c r="Z2080" s="32" t="s">
        <v>9</v>
      </c>
      <c r="AA2080" s="18">
        <f>(VLOOKUP(X2080,'[1]Simulation pricing per sub assy'!$D:$E,2,0))*Y2080</f>
        <v>1.5769808000000001</v>
      </c>
    </row>
    <row r="2081" spans="1:27" x14ac:dyDescent="0.35">
      <c r="A2081" s="27" t="s">
        <v>3493</v>
      </c>
      <c r="B2081" s="27" t="s">
        <v>4788</v>
      </c>
      <c r="C2081" s="42">
        <f t="shared" si="32"/>
        <v>120.18578079999999</v>
      </c>
      <c r="D2081" s="28" t="s">
        <v>2058</v>
      </c>
      <c r="E2081" s="28">
        <v>1</v>
      </c>
      <c r="F2081" s="28" t="s">
        <v>2059</v>
      </c>
      <c r="G2081" s="14">
        <f>(VLOOKUP(D2081,'[1]BOM Info General'!$A:$L,12,0))*E2081</f>
        <v>35.56</v>
      </c>
      <c r="H2081" s="29" t="s">
        <v>39</v>
      </c>
      <c r="I2081" s="29">
        <v>1</v>
      </c>
      <c r="J2081" s="29" t="s">
        <v>46</v>
      </c>
      <c r="K2081" s="15">
        <f>(VLOOKUP(H2081,'[1]BOM Info General'!$A:$L,12,0))*I2081</f>
        <v>24.42</v>
      </c>
      <c r="L2081" s="26" t="s">
        <v>74</v>
      </c>
      <c r="M2081" s="26">
        <v>1</v>
      </c>
      <c r="N2081" s="26" t="s">
        <v>77</v>
      </c>
      <c r="O2081" s="9">
        <f>(VLOOKUP(L2081,'[1]Simulation pricing per sub assy'!$D:$E,2,0))*M2081</f>
        <v>51.27879999999999</v>
      </c>
      <c r="P2081" s="30" t="s">
        <v>50</v>
      </c>
      <c r="Q2081" s="30">
        <v>2</v>
      </c>
      <c r="R2081" s="30" t="s">
        <v>16</v>
      </c>
      <c r="S2081" s="40">
        <f>(VLOOKUP(P2081,'[1]BOM Info General'!$A:$L,12,0))*Q2081</f>
        <v>5.3</v>
      </c>
      <c r="T2081" s="31" t="s">
        <v>10</v>
      </c>
      <c r="U2081" s="31">
        <v>1</v>
      </c>
      <c r="V2081" s="31" t="s">
        <v>11</v>
      </c>
      <c r="W2081" s="17">
        <f>(VLOOKUP(T2081,'[1]Simulation pricing per sub assy'!$D:$E,2,0))*U2081</f>
        <v>2.0499999999999998</v>
      </c>
      <c r="X2081" s="32" t="s">
        <v>615</v>
      </c>
      <c r="Y2081" s="32">
        <v>1</v>
      </c>
      <c r="Z2081" s="32" t="s">
        <v>9</v>
      </c>
      <c r="AA2081" s="18">
        <f>(VLOOKUP(X2081,'[1]Simulation pricing per sub assy'!$D:$E,2,0))*Y2081</f>
        <v>1.5769808000000001</v>
      </c>
    </row>
    <row r="2082" spans="1:27" x14ac:dyDescent="0.35">
      <c r="A2082" s="27" t="s">
        <v>3494</v>
      </c>
      <c r="B2082" s="27" t="s">
        <v>4789</v>
      </c>
      <c r="C2082" s="42">
        <f t="shared" si="32"/>
        <v>111.0657808</v>
      </c>
      <c r="D2082" s="28" t="s">
        <v>2058</v>
      </c>
      <c r="E2082" s="28">
        <v>1</v>
      </c>
      <c r="F2082" s="28" t="s">
        <v>2059</v>
      </c>
      <c r="G2082" s="14">
        <f>(VLOOKUP(D2082,'[1]BOM Info General'!$A:$L,12,0))*E2082</f>
        <v>35.56</v>
      </c>
      <c r="H2082" s="29" t="s">
        <v>39</v>
      </c>
      <c r="I2082" s="29">
        <v>1</v>
      </c>
      <c r="J2082" s="29" t="s">
        <v>46</v>
      </c>
      <c r="K2082" s="15">
        <f>(VLOOKUP(H2082,'[1]BOM Info General'!$A:$L,12,0))*I2082</f>
        <v>24.42</v>
      </c>
      <c r="L2082" s="26" t="s">
        <v>527</v>
      </c>
      <c r="M2082" s="26">
        <v>1</v>
      </c>
      <c r="N2082" s="26" t="s">
        <v>79</v>
      </c>
      <c r="O2082" s="9">
        <f>(VLOOKUP(L2082,'[1]Simulation pricing per sub assy'!$D:$E,2,0))*M2082</f>
        <v>42.308799999999991</v>
      </c>
      <c r="P2082" s="30" t="s">
        <v>50</v>
      </c>
      <c r="Q2082" s="30">
        <v>2</v>
      </c>
      <c r="R2082" s="30" t="s">
        <v>16</v>
      </c>
      <c r="S2082" s="40">
        <f>(VLOOKUP(P2082,'[1]BOM Info General'!$A:$L,12,0))*Q2082</f>
        <v>5.3</v>
      </c>
      <c r="T2082" s="31" t="s">
        <v>12</v>
      </c>
      <c r="U2082" s="31">
        <v>1</v>
      </c>
      <c r="V2082" s="31" t="s">
        <v>13</v>
      </c>
      <c r="W2082" s="17">
        <f>(VLOOKUP(T2082,'[1]Simulation pricing per sub assy'!$D:$E,2,0))*U2082</f>
        <v>1.9</v>
      </c>
      <c r="X2082" s="32" t="s">
        <v>615</v>
      </c>
      <c r="Y2082" s="32">
        <v>1</v>
      </c>
      <c r="Z2082" s="32" t="s">
        <v>9</v>
      </c>
      <c r="AA2082" s="18">
        <f>(VLOOKUP(X2082,'[1]Simulation pricing per sub assy'!$D:$E,2,0))*Y2082</f>
        <v>1.5769808000000001</v>
      </c>
    </row>
    <row r="2083" spans="1:27" x14ac:dyDescent="0.35">
      <c r="A2083" s="27" t="s">
        <v>3495</v>
      </c>
      <c r="B2083" s="27" t="s">
        <v>4790</v>
      </c>
      <c r="C2083" s="42">
        <f t="shared" si="32"/>
        <v>112.0457808</v>
      </c>
      <c r="D2083" s="28" t="s">
        <v>2058</v>
      </c>
      <c r="E2083" s="28">
        <v>1</v>
      </c>
      <c r="F2083" s="28" t="s">
        <v>2059</v>
      </c>
      <c r="G2083" s="14">
        <f>(VLOOKUP(D2083,'[1]BOM Info General'!$A:$L,12,0))*E2083</f>
        <v>35.56</v>
      </c>
      <c r="H2083" s="29" t="s">
        <v>39</v>
      </c>
      <c r="I2083" s="29">
        <v>1</v>
      </c>
      <c r="J2083" s="29" t="s">
        <v>46</v>
      </c>
      <c r="K2083" s="15">
        <f>(VLOOKUP(H2083,'[1]BOM Info General'!$A:$L,12,0))*I2083</f>
        <v>24.42</v>
      </c>
      <c r="L2083" s="26" t="s">
        <v>76</v>
      </c>
      <c r="M2083" s="26">
        <v>1</v>
      </c>
      <c r="N2083" s="26" t="s">
        <v>73</v>
      </c>
      <c r="O2083" s="9">
        <f>(VLOOKUP(L2083,'[1]Simulation pricing per sub assy'!$D:$E,2,0))*M2083</f>
        <v>43.288799999999988</v>
      </c>
      <c r="P2083" s="30" t="s">
        <v>50</v>
      </c>
      <c r="Q2083" s="30">
        <v>2</v>
      </c>
      <c r="R2083" s="30" t="s">
        <v>16</v>
      </c>
      <c r="S2083" s="40">
        <f>(VLOOKUP(P2083,'[1]BOM Info General'!$A:$L,12,0))*Q2083</f>
        <v>5.3</v>
      </c>
      <c r="T2083" s="31" t="s">
        <v>12</v>
      </c>
      <c r="U2083" s="31">
        <v>1</v>
      </c>
      <c r="V2083" s="31" t="s">
        <v>13</v>
      </c>
      <c r="W2083" s="17">
        <f>(VLOOKUP(T2083,'[1]Simulation pricing per sub assy'!$D:$E,2,0))*U2083</f>
        <v>1.9</v>
      </c>
      <c r="X2083" s="32" t="s">
        <v>615</v>
      </c>
      <c r="Y2083" s="32">
        <v>1</v>
      </c>
      <c r="Z2083" s="32" t="s">
        <v>9</v>
      </c>
      <c r="AA2083" s="18">
        <f>(VLOOKUP(X2083,'[1]Simulation pricing per sub assy'!$D:$E,2,0))*Y2083</f>
        <v>1.5769808000000001</v>
      </c>
    </row>
    <row r="2084" spans="1:27" x14ac:dyDescent="0.35">
      <c r="A2084" s="27" t="s">
        <v>3496</v>
      </c>
      <c r="B2084" s="27" t="s">
        <v>4791</v>
      </c>
      <c r="C2084" s="42">
        <f t="shared" si="32"/>
        <v>112.6257808</v>
      </c>
      <c r="D2084" s="28" t="s">
        <v>2058</v>
      </c>
      <c r="E2084" s="28">
        <v>1</v>
      </c>
      <c r="F2084" s="28" t="s">
        <v>2059</v>
      </c>
      <c r="G2084" s="14">
        <f>(VLOOKUP(D2084,'[1]BOM Info General'!$A:$L,12,0))*E2084</f>
        <v>35.56</v>
      </c>
      <c r="H2084" s="29" t="s">
        <v>39</v>
      </c>
      <c r="I2084" s="29">
        <v>1</v>
      </c>
      <c r="J2084" s="29" t="s">
        <v>46</v>
      </c>
      <c r="K2084" s="15">
        <f>(VLOOKUP(H2084,'[1]BOM Info General'!$A:$L,12,0))*I2084</f>
        <v>24.42</v>
      </c>
      <c r="L2084" s="26" t="s">
        <v>72</v>
      </c>
      <c r="M2084" s="26">
        <v>1</v>
      </c>
      <c r="N2084" s="26" t="s">
        <v>71</v>
      </c>
      <c r="O2084" s="9">
        <f>(VLOOKUP(L2084,'[1]Simulation pricing per sub assy'!$D:$E,2,0))*M2084</f>
        <v>43.868799999999993</v>
      </c>
      <c r="P2084" s="30" t="s">
        <v>50</v>
      </c>
      <c r="Q2084" s="30">
        <v>2</v>
      </c>
      <c r="R2084" s="30" t="s">
        <v>16</v>
      </c>
      <c r="S2084" s="40">
        <f>(VLOOKUP(P2084,'[1]BOM Info General'!$A:$L,12,0))*Q2084</f>
        <v>5.3</v>
      </c>
      <c r="T2084" s="31" t="s">
        <v>12</v>
      </c>
      <c r="U2084" s="31">
        <v>1</v>
      </c>
      <c r="V2084" s="31" t="s">
        <v>13</v>
      </c>
      <c r="W2084" s="17">
        <f>(VLOOKUP(T2084,'[1]Simulation pricing per sub assy'!$D:$E,2,0))*U2084</f>
        <v>1.9</v>
      </c>
      <c r="X2084" s="32" t="s">
        <v>615</v>
      </c>
      <c r="Y2084" s="32">
        <v>1</v>
      </c>
      <c r="Z2084" s="32" t="s">
        <v>9</v>
      </c>
      <c r="AA2084" s="18">
        <f>(VLOOKUP(X2084,'[1]Simulation pricing per sub assy'!$D:$E,2,0))*Y2084</f>
        <v>1.5769808000000001</v>
      </c>
    </row>
    <row r="2085" spans="1:27" x14ac:dyDescent="0.35">
      <c r="A2085" s="27" t="s">
        <v>3497</v>
      </c>
      <c r="B2085" s="27" t="s">
        <v>4792</v>
      </c>
      <c r="C2085" s="42">
        <f t="shared" si="32"/>
        <v>112.3657808</v>
      </c>
      <c r="D2085" s="28" t="s">
        <v>2058</v>
      </c>
      <c r="E2085" s="28">
        <v>1</v>
      </c>
      <c r="F2085" s="28" t="s">
        <v>2059</v>
      </c>
      <c r="G2085" s="14">
        <f>(VLOOKUP(D2085,'[1]BOM Info General'!$A:$L,12,0))*E2085</f>
        <v>35.56</v>
      </c>
      <c r="H2085" s="29" t="s">
        <v>39</v>
      </c>
      <c r="I2085" s="29">
        <v>1</v>
      </c>
      <c r="J2085" s="29" t="s">
        <v>46</v>
      </c>
      <c r="K2085" s="15">
        <f>(VLOOKUP(H2085,'[1]BOM Info General'!$A:$L,12,0))*I2085</f>
        <v>24.42</v>
      </c>
      <c r="L2085" s="26" t="s">
        <v>78</v>
      </c>
      <c r="M2085" s="26">
        <v>1</v>
      </c>
      <c r="N2085" s="26" t="s">
        <v>75</v>
      </c>
      <c r="O2085" s="9">
        <f>(VLOOKUP(L2085,'[1]Simulation pricing per sub assy'!$D:$E,2,0))*M2085</f>
        <v>43.608799999999988</v>
      </c>
      <c r="P2085" s="30" t="s">
        <v>50</v>
      </c>
      <c r="Q2085" s="30">
        <v>2</v>
      </c>
      <c r="R2085" s="30" t="s">
        <v>16</v>
      </c>
      <c r="S2085" s="40">
        <f>(VLOOKUP(P2085,'[1]BOM Info General'!$A:$L,12,0))*Q2085</f>
        <v>5.3</v>
      </c>
      <c r="T2085" s="31" t="s">
        <v>12</v>
      </c>
      <c r="U2085" s="31">
        <v>1</v>
      </c>
      <c r="V2085" s="31" t="s">
        <v>13</v>
      </c>
      <c r="W2085" s="17">
        <f>(VLOOKUP(T2085,'[1]Simulation pricing per sub assy'!$D:$E,2,0))*U2085</f>
        <v>1.9</v>
      </c>
      <c r="X2085" s="32" t="s">
        <v>615</v>
      </c>
      <c r="Y2085" s="32">
        <v>1</v>
      </c>
      <c r="Z2085" s="32" t="s">
        <v>9</v>
      </c>
      <c r="AA2085" s="18">
        <f>(VLOOKUP(X2085,'[1]Simulation pricing per sub assy'!$D:$E,2,0))*Y2085</f>
        <v>1.5769808000000001</v>
      </c>
    </row>
    <row r="2086" spans="1:27" x14ac:dyDescent="0.35">
      <c r="A2086" s="27" t="s">
        <v>3498</v>
      </c>
      <c r="B2086" s="27" t="s">
        <v>4793</v>
      </c>
      <c r="C2086" s="42">
        <f t="shared" si="32"/>
        <v>120.0357808</v>
      </c>
      <c r="D2086" s="28" t="s">
        <v>2058</v>
      </c>
      <c r="E2086" s="28">
        <v>1</v>
      </c>
      <c r="F2086" s="28" t="s">
        <v>2059</v>
      </c>
      <c r="G2086" s="14">
        <f>(VLOOKUP(D2086,'[1]BOM Info General'!$A:$L,12,0))*E2086</f>
        <v>35.56</v>
      </c>
      <c r="H2086" s="29" t="s">
        <v>39</v>
      </c>
      <c r="I2086" s="29">
        <v>1</v>
      </c>
      <c r="J2086" s="29" t="s">
        <v>46</v>
      </c>
      <c r="K2086" s="15">
        <f>(VLOOKUP(H2086,'[1]BOM Info General'!$A:$L,12,0))*I2086</f>
        <v>24.42</v>
      </c>
      <c r="L2086" s="26" t="s">
        <v>74</v>
      </c>
      <c r="M2086" s="26">
        <v>1</v>
      </c>
      <c r="N2086" s="26" t="s">
        <v>77</v>
      </c>
      <c r="O2086" s="9">
        <f>(VLOOKUP(L2086,'[1]Simulation pricing per sub assy'!$D:$E,2,0))*M2086</f>
        <v>51.27879999999999</v>
      </c>
      <c r="P2086" s="30" t="s">
        <v>50</v>
      </c>
      <c r="Q2086" s="30">
        <v>2</v>
      </c>
      <c r="R2086" s="30" t="s">
        <v>16</v>
      </c>
      <c r="S2086" s="40">
        <f>(VLOOKUP(P2086,'[1]BOM Info General'!$A:$L,12,0))*Q2086</f>
        <v>5.3</v>
      </c>
      <c r="T2086" s="31" t="s">
        <v>12</v>
      </c>
      <c r="U2086" s="31">
        <v>1</v>
      </c>
      <c r="V2086" s="31" t="s">
        <v>13</v>
      </c>
      <c r="W2086" s="17">
        <f>(VLOOKUP(T2086,'[1]Simulation pricing per sub assy'!$D:$E,2,0))*U2086</f>
        <v>1.9</v>
      </c>
      <c r="X2086" s="32" t="s">
        <v>615</v>
      </c>
      <c r="Y2086" s="32">
        <v>1</v>
      </c>
      <c r="Z2086" s="32" t="s">
        <v>9</v>
      </c>
      <c r="AA2086" s="18">
        <f>(VLOOKUP(X2086,'[1]Simulation pricing per sub assy'!$D:$E,2,0))*Y2086</f>
        <v>1.5769808000000001</v>
      </c>
    </row>
    <row r="2087" spans="1:27" x14ac:dyDescent="0.35">
      <c r="A2087" s="27" t="s">
        <v>3499</v>
      </c>
      <c r="B2087" s="27" t="s">
        <v>4794</v>
      </c>
      <c r="C2087" s="42">
        <f t="shared" si="32"/>
        <v>111.0657808</v>
      </c>
      <c r="D2087" s="28" t="s">
        <v>2058</v>
      </c>
      <c r="E2087" s="28">
        <v>1</v>
      </c>
      <c r="F2087" s="28" t="s">
        <v>2059</v>
      </c>
      <c r="G2087" s="14">
        <f>(VLOOKUP(D2087,'[1]BOM Info General'!$A:$L,12,0))*E2087</f>
        <v>35.56</v>
      </c>
      <c r="H2087" s="29" t="s">
        <v>39</v>
      </c>
      <c r="I2087" s="29">
        <v>1</v>
      </c>
      <c r="J2087" s="29" t="s">
        <v>46</v>
      </c>
      <c r="K2087" s="15">
        <f>(VLOOKUP(H2087,'[1]BOM Info General'!$A:$L,12,0))*I2087</f>
        <v>24.42</v>
      </c>
      <c r="L2087" s="26" t="s">
        <v>527</v>
      </c>
      <c r="M2087" s="26">
        <v>1</v>
      </c>
      <c r="N2087" s="26" t="s">
        <v>79</v>
      </c>
      <c r="O2087" s="9">
        <f>(VLOOKUP(L2087,'[1]Simulation pricing per sub assy'!$D:$E,2,0))*M2087</f>
        <v>42.308799999999991</v>
      </c>
      <c r="P2087" s="30" t="s">
        <v>50</v>
      </c>
      <c r="Q2087" s="30">
        <v>2</v>
      </c>
      <c r="R2087" s="30" t="s">
        <v>16</v>
      </c>
      <c r="S2087" s="40">
        <f>(VLOOKUP(P2087,'[1]BOM Info General'!$A:$L,12,0))*Q2087</f>
        <v>5.3</v>
      </c>
      <c r="T2087" s="31" t="s">
        <v>14</v>
      </c>
      <c r="U2087" s="31">
        <v>1</v>
      </c>
      <c r="V2087" s="31" t="s">
        <v>15</v>
      </c>
      <c r="W2087" s="17">
        <f>(VLOOKUP(T2087,'[1]Simulation pricing per sub assy'!$D:$E,2,0))*U2087</f>
        <v>1.9</v>
      </c>
      <c r="X2087" s="32" t="s">
        <v>615</v>
      </c>
      <c r="Y2087" s="32">
        <v>1</v>
      </c>
      <c r="Z2087" s="32" t="s">
        <v>9</v>
      </c>
      <c r="AA2087" s="18">
        <f>(VLOOKUP(X2087,'[1]Simulation pricing per sub assy'!$D:$E,2,0))*Y2087</f>
        <v>1.5769808000000001</v>
      </c>
    </row>
    <row r="2088" spans="1:27" x14ac:dyDescent="0.35">
      <c r="A2088" s="27" t="s">
        <v>3500</v>
      </c>
      <c r="B2088" s="27" t="s">
        <v>4795</v>
      </c>
      <c r="C2088" s="42">
        <f t="shared" si="32"/>
        <v>112.0457808</v>
      </c>
      <c r="D2088" s="28" t="s">
        <v>2058</v>
      </c>
      <c r="E2088" s="28">
        <v>1</v>
      </c>
      <c r="F2088" s="28" t="s">
        <v>2059</v>
      </c>
      <c r="G2088" s="14">
        <f>(VLOOKUP(D2088,'[1]BOM Info General'!$A:$L,12,0))*E2088</f>
        <v>35.56</v>
      </c>
      <c r="H2088" s="29" t="s">
        <v>39</v>
      </c>
      <c r="I2088" s="29">
        <v>1</v>
      </c>
      <c r="J2088" s="29" t="s">
        <v>46</v>
      </c>
      <c r="K2088" s="15">
        <f>(VLOOKUP(H2088,'[1]BOM Info General'!$A:$L,12,0))*I2088</f>
        <v>24.42</v>
      </c>
      <c r="L2088" s="26" t="s">
        <v>76</v>
      </c>
      <c r="M2088" s="26">
        <v>1</v>
      </c>
      <c r="N2088" s="26" t="s">
        <v>73</v>
      </c>
      <c r="O2088" s="9">
        <f>(VLOOKUP(L2088,'[1]Simulation pricing per sub assy'!$D:$E,2,0))*M2088</f>
        <v>43.288799999999988</v>
      </c>
      <c r="P2088" s="30" t="s">
        <v>50</v>
      </c>
      <c r="Q2088" s="30">
        <v>2</v>
      </c>
      <c r="R2088" s="30" t="s">
        <v>16</v>
      </c>
      <c r="S2088" s="40">
        <f>(VLOOKUP(P2088,'[1]BOM Info General'!$A:$L,12,0))*Q2088</f>
        <v>5.3</v>
      </c>
      <c r="T2088" s="31" t="s">
        <v>14</v>
      </c>
      <c r="U2088" s="31">
        <v>1</v>
      </c>
      <c r="V2088" s="31" t="s">
        <v>15</v>
      </c>
      <c r="W2088" s="17">
        <f>(VLOOKUP(T2088,'[1]Simulation pricing per sub assy'!$D:$E,2,0))*U2088</f>
        <v>1.9</v>
      </c>
      <c r="X2088" s="32" t="s">
        <v>615</v>
      </c>
      <c r="Y2088" s="32">
        <v>1</v>
      </c>
      <c r="Z2088" s="32" t="s">
        <v>9</v>
      </c>
      <c r="AA2088" s="18">
        <f>(VLOOKUP(X2088,'[1]Simulation pricing per sub assy'!$D:$E,2,0))*Y2088</f>
        <v>1.5769808000000001</v>
      </c>
    </row>
    <row r="2089" spans="1:27" x14ac:dyDescent="0.35">
      <c r="A2089" s="27" t="s">
        <v>3501</v>
      </c>
      <c r="B2089" s="27" t="s">
        <v>4796</v>
      </c>
      <c r="C2089" s="42">
        <f t="shared" si="32"/>
        <v>112.6257808</v>
      </c>
      <c r="D2089" s="28" t="s">
        <v>2058</v>
      </c>
      <c r="E2089" s="28">
        <v>1</v>
      </c>
      <c r="F2089" s="28" t="s">
        <v>2059</v>
      </c>
      <c r="G2089" s="14">
        <f>(VLOOKUP(D2089,'[1]BOM Info General'!$A:$L,12,0))*E2089</f>
        <v>35.56</v>
      </c>
      <c r="H2089" s="29" t="s">
        <v>39</v>
      </c>
      <c r="I2089" s="29">
        <v>1</v>
      </c>
      <c r="J2089" s="29" t="s">
        <v>46</v>
      </c>
      <c r="K2089" s="15">
        <f>(VLOOKUP(H2089,'[1]BOM Info General'!$A:$L,12,0))*I2089</f>
        <v>24.42</v>
      </c>
      <c r="L2089" s="26" t="s">
        <v>72</v>
      </c>
      <c r="M2089" s="26">
        <v>1</v>
      </c>
      <c r="N2089" s="26" t="s">
        <v>71</v>
      </c>
      <c r="O2089" s="9">
        <f>(VLOOKUP(L2089,'[1]Simulation pricing per sub assy'!$D:$E,2,0))*M2089</f>
        <v>43.868799999999993</v>
      </c>
      <c r="P2089" s="30" t="s">
        <v>50</v>
      </c>
      <c r="Q2089" s="30">
        <v>2</v>
      </c>
      <c r="R2089" s="30" t="s">
        <v>16</v>
      </c>
      <c r="S2089" s="40">
        <f>(VLOOKUP(P2089,'[1]BOM Info General'!$A:$L,12,0))*Q2089</f>
        <v>5.3</v>
      </c>
      <c r="T2089" s="31" t="s">
        <v>14</v>
      </c>
      <c r="U2089" s="31">
        <v>1</v>
      </c>
      <c r="V2089" s="31" t="s">
        <v>15</v>
      </c>
      <c r="W2089" s="17">
        <f>(VLOOKUP(T2089,'[1]Simulation pricing per sub assy'!$D:$E,2,0))*U2089</f>
        <v>1.9</v>
      </c>
      <c r="X2089" s="32" t="s">
        <v>615</v>
      </c>
      <c r="Y2089" s="32">
        <v>1</v>
      </c>
      <c r="Z2089" s="32" t="s">
        <v>9</v>
      </c>
      <c r="AA2089" s="18">
        <f>(VLOOKUP(X2089,'[1]Simulation pricing per sub assy'!$D:$E,2,0))*Y2089</f>
        <v>1.5769808000000001</v>
      </c>
    </row>
    <row r="2090" spans="1:27" x14ac:dyDescent="0.35">
      <c r="A2090" s="27" t="s">
        <v>3502</v>
      </c>
      <c r="B2090" s="27" t="s">
        <v>4797</v>
      </c>
      <c r="C2090" s="42">
        <f t="shared" si="32"/>
        <v>112.3657808</v>
      </c>
      <c r="D2090" s="28" t="s">
        <v>2058</v>
      </c>
      <c r="E2090" s="28">
        <v>1</v>
      </c>
      <c r="F2090" s="28" t="s">
        <v>2059</v>
      </c>
      <c r="G2090" s="14">
        <f>(VLOOKUP(D2090,'[1]BOM Info General'!$A:$L,12,0))*E2090</f>
        <v>35.56</v>
      </c>
      <c r="H2090" s="29" t="s">
        <v>39</v>
      </c>
      <c r="I2090" s="29">
        <v>1</v>
      </c>
      <c r="J2090" s="29" t="s">
        <v>46</v>
      </c>
      <c r="K2090" s="15">
        <f>(VLOOKUP(H2090,'[1]BOM Info General'!$A:$L,12,0))*I2090</f>
        <v>24.42</v>
      </c>
      <c r="L2090" s="26" t="s">
        <v>78</v>
      </c>
      <c r="M2090" s="26">
        <v>1</v>
      </c>
      <c r="N2090" s="26" t="s">
        <v>75</v>
      </c>
      <c r="O2090" s="9">
        <f>(VLOOKUP(L2090,'[1]Simulation pricing per sub assy'!$D:$E,2,0))*M2090</f>
        <v>43.608799999999988</v>
      </c>
      <c r="P2090" s="30" t="s">
        <v>50</v>
      </c>
      <c r="Q2090" s="30">
        <v>2</v>
      </c>
      <c r="R2090" s="30" t="s">
        <v>16</v>
      </c>
      <c r="S2090" s="40">
        <f>(VLOOKUP(P2090,'[1]BOM Info General'!$A:$L,12,0))*Q2090</f>
        <v>5.3</v>
      </c>
      <c r="T2090" s="31" t="s">
        <v>14</v>
      </c>
      <c r="U2090" s="31">
        <v>1</v>
      </c>
      <c r="V2090" s="31" t="s">
        <v>15</v>
      </c>
      <c r="W2090" s="17">
        <f>(VLOOKUP(T2090,'[1]Simulation pricing per sub assy'!$D:$E,2,0))*U2090</f>
        <v>1.9</v>
      </c>
      <c r="X2090" s="32" t="s">
        <v>615</v>
      </c>
      <c r="Y2090" s="32">
        <v>1</v>
      </c>
      <c r="Z2090" s="32" t="s">
        <v>9</v>
      </c>
      <c r="AA2090" s="18">
        <f>(VLOOKUP(X2090,'[1]Simulation pricing per sub assy'!$D:$E,2,0))*Y2090</f>
        <v>1.5769808000000001</v>
      </c>
    </row>
    <row r="2091" spans="1:27" x14ac:dyDescent="0.35">
      <c r="A2091" s="27" t="s">
        <v>3503</v>
      </c>
      <c r="B2091" s="27" t="s">
        <v>4798</v>
      </c>
      <c r="C2091" s="42">
        <f t="shared" si="32"/>
        <v>120.0357808</v>
      </c>
      <c r="D2091" s="28" t="s">
        <v>2058</v>
      </c>
      <c r="E2091" s="28">
        <v>1</v>
      </c>
      <c r="F2091" s="28" t="s">
        <v>2059</v>
      </c>
      <c r="G2091" s="14">
        <f>(VLOOKUP(D2091,'[1]BOM Info General'!$A:$L,12,0))*E2091</f>
        <v>35.56</v>
      </c>
      <c r="H2091" s="29" t="s">
        <v>39</v>
      </c>
      <c r="I2091" s="29">
        <v>1</v>
      </c>
      <c r="J2091" s="29" t="s">
        <v>46</v>
      </c>
      <c r="K2091" s="15">
        <f>(VLOOKUP(H2091,'[1]BOM Info General'!$A:$L,12,0))*I2091</f>
        <v>24.42</v>
      </c>
      <c r="L2091" s="26" t="s">
        <v>74</v>
      </c>
      <c r="M2091" s="26">
        <v>1</v>
      </c>
      <c r="N2091" s="26" t="s">
        <v>77</v>
      </c>
      <c r="O2091" s="9">
        <f>(VLOOKUP(L2091,'[1]Simulation pricing per sub assy'!$D:$E,2,0))*M2091</f>
        <v>51.27879999999999</v>
      </c>
      <c r="P2091" s="30" t="s">
        <v>50</v>
      </c>
      <c r="Q2091" s="30">
        <v>2</v>
      </c>
      <c r="R2091" s="30" t="s">
        <v>16</v>
      </c>
      <c r="S2091" s="40">
        <f>(VLOOKUP(P2091,'[1]BOM Info General'!$A:$L,12,0))*Q2091</f>
        <v>5.3</v>
      </c>
      <c r="T2091" s="31" t="s">
        <v>14</v>
      </c>
      <c r="U2091" s="31">
        <v>1</v>
      </c>
      <c r="V2091" s="31" t="s">
        <v>15</v>
      </c>
      <c r="W2091" s="17">
        <f>(VLOOKUP(T2091,'[1]Simulation pricing per sub assy'!$D:$E,2,0))*U2091</f>
        <v>1.9</v>
      </c>
      <c r="X2091" s="32" t="s">
        <v>615</v>
      </c>
      <c r="Y2091" s="32">
        <v>1</v>
      </c>
      <c r="Z2091" s="32" t="s">
        <v>9</v>
      </c>
      <c r="AA2091" s="18">
        <f>(VLOOKUP(X2091,'[1]Simulation pricing per sub assy'!$D:$E,2,0))*Y2091</f>
        <v>1.5769808000000001</v>
      </c>
    </row>
    <row r="2092" spans="1:27" x14ac:dyDescent="0.35">
      <c r="A2092" s="27" t="s">
        <v>3504</v>
      </c>
      <c r="B2092" s="27" t="s">
        <v>4799</v>
      </c>
      <c r="C2092" s="42">
        <f t="shared" si="32"/>
        <v>111.21578079999999</v>
      </c>
      <c r="D2092" s="28" t="s">
        <v>2058</v>
      </c>
      <c r="E2092" s="28">
        <v>1</v>
      </c>
      <c r="F2092" s="28" t="s">
        <v>2059</v>
      </c>
      <c r="G2092" s="14">
        <f>(VLOOKUP(D2092,'[1]BOM Info General'!$A:$L,12,0))*E2092</f>
        <v>35.56</v>
      </c>
      <c r="H2092" s="29" t="s">
        <v>39</v>
      </c>
      <c r="I2092" s="29">
        <v>1</v>
      </c>
      <c r="J2092" s="29" t="s">
        <v>46</v>
      </c>
      <c r="K2092" s="15">
        <f>(VLOOKUP(H2092,'[1]BOM Info General'!$A:$L,12,0))*I2092</f>
        <v>24.42</v>
      </c>
      <c r="L2092" s="26" t="s">
        <v>527</v>
      </c>
      <c r="M2092" s="26">
        <v>1</v>
      </c>
      <c r="N2092" s="26" t="s">
        <v>79</v>
      </c>
      <c r="O2092" s="9">
        <f>(VLOOKUP(L2092,'[1]Simulation pricing per sub assy'!$D:$E,2,0))*M2092</f>
        <v>42.308799999999991</v>
      </c>
      <c r="P2092" s="30" t="s">
        <v>51</v>
      </c>
      <c r="Q2092" s="30">
        <v>2</v>
      </c>
      <c r="R2092" s="30" t="s">
        <v>17</v>
      </c>
      <c r="S2092" s="40">
        <f>(VLOOKUP(P2092,'[1]BOM Info General'!$A:$L,12,0))*Q2092</f>
        <v>5.3</v>
      </c>
      <c r="T2092" s="31" t="s">
        <v>10</v>
      </c>
      <c r="U2092" s="31">
        <v>1</v>
      </c>
      <c r="V2092" s="31" t="s">
        <v>11</v>
      </c>
      <c r="W2092" s="17">
        <f>(VLOOKUP(T2092,'[1]Simulation pricing per sub assy'!$D:$E,2,0))*U2092</f>
        <v>2.0499999999999998</v>
      </c>
      <c r="X2092" s="32" t="s">
        <v>615</v>
      </c>
      <c r="Y2092" s="32">
        <v>1</v>
      </c>
      <c r="Z2092" s="32" t="s">
        <v>9</v>
      </c>
      <c r="AA2092" s="18">
        <f>(VLOOKUP(X2092,'[1]Simulation pricing per sub assy'!$D:$E,2,0))*Y2092</f>
        <v>1.5769808000000001</v>
      </c>
    </row>
    <row r="2093" spans="1:27" x14ac:dyDescent="0.35">
      <c r="A2093" s="27" t="s">
        <v>3505</v>
      </c>
      <c r="B2093" s="27" t="s">
        <v>4800</v>
      </c>
      <c r="C2093" s="42">
        <f t="shared" si="32"/>
        <v>112.19578079999999</v>
      </c>
      <c r="D2093" s="28" t="s">
        <v>2058</v>
      </c>
      <c r="E2093" s="28">
        <v>1</v>
      </c>
      <c r="F2093" s="28" t="s">
        <v>2059</v>
      </c>
      <c r="G2093" s="14">
        <f>(VLOOKUP(D2093,'[1]BOM Info General'!$A:$L,12,0))*E2093</f>
        <v>35.56</v>
      </c>
      <c r="H2093" s="29" t="s">
        <v>39</v>
      </c>
      <c r="I2093" s="29">
        <v>1</v>
      </c>
      <c r="J2093" s="29" t="s">
        <v>46</v>
      </c>
      <c r="K2093" s="15">
        <f>(VLOOKUP(H2093,'[1]BOM Info General'!$A:$L,12,0))*I2093</f>
        <v>24.42</v>
      </c>
      <c r="L2093" s="26" t="s">
        <v>76</v>
      </c>
      <c r="M2093" s="26">
        <v>1</v>
      </c>
      <c r="N2093" s="26" t="s">
        <v>73</v>
      </c>
      <c r="O2093" s="9">
        <f>(VLOOKUP(L2093,'[1]Simulation pricing per sub assy'!$D:$E,2,0))*M2093</f>
        <v>43.288799999999988</v>
      </c>
      <c r="P2093" s="30" t="s">
        <v>51</v>
      </c>
      <c r="Q2093" s="30">
        <v>2</v>
      </c>
      <c r="R2093" s="30" t="s">
        <v>17</v>
      </c>
      <c r="S2093" s="40">
        <f>(VLOOKUP(P2093,'[1]BOM Info General'!$A:$L,12,0))*Q2093</f>
        <v>5.3</v>
      </c>
      <c r="T2093" s="31" t="s">
        <v>10</v>
      </c>
      <c r="U2093" s="31">
        <v>1</v>
      </c>
      <c r="V2093" s="31" t="s">
        <v>11</v>
      </c>
      <c r="W2093" s="17">
        <f>(VLOOKUP(T2093,'[1]Simulation pricing per sub assy'!$D:$E,2,0))*U2093</f>
        <v>2.0499999999999998</v>
      </c>
      <c r="X2093" s="32" t="s">
        <v>615</v>
      </c>
      <c r="Y2093" s="32">
        <v>1</v>
      </c>
      <c r="Z2093" s="32" t="s">
        <v>9</v>
      </c>
      <c r="AA2093" s="18">
        <f>(VLOOKUP(X2093,'[1]Simulation pricing per sub assy'!$D:$E,2,0))*Y2093</f>
        <v>1.5769808000000001</v>
      </c>
    </row>
    <row r="2094" spans="1:27" x14ac:dyDescent="0.35">
      <c r="A2094" s="27" t="s">
        <v>3506</v>
      </c>
      <c r="B2094" s="27" t="s">
        <v>4801</v>
      </c>
      <c r="C2094" s="42">
        <f t="shared" si="32"/>
        <v>112.77578079999999</v>
      </c>
      <c r="D2094" s="28" t="s">
        <v>2058</v>
      </c>
      <c r="E2094" s="28">
        <v>1</v>
      </c>
      <c r="F2094" s="28" t="s">
        <v>2059</v>
      </c>
      <c r="G2094" s="14">
        <f>(VLOOKUP(D2094,'[1]BOM Info General'!$A:$L,12,0))*E2094</f>
        <v>35.56</v>
      </c>
      <c r="H2094" s="29" t="s">
        <v>39</v>
      </c>
      <c r="I2094" s="29">
        <v>1</v>
      </c>
      <c r="J2094" s="29" t="s">
        <v>46</v>
      </c>
      <c r="K2094" s="15">
        <f>(VLOOKUP(H2094,'[1]BOM Info General'!$A:$L,12,0))*I2094</f>
        <v>24.42</v>
      </c>
      <c r="L2094" s="26" t="s">
        <v>72</v>
      </c>
      <c r="M2094" s="26">
        <v>1</v>
      </c>
      <c r="N2094" s="26" t="s">
        <v>71</v>
      </c>
      <c r="O2094" s="9">
        <f>(VLOOKUP(L2094,'[1]Simulation pricing per sub assy'!$D:$E,2,0))*M2094</f>
        <v>43.868799999999993</v>
      </c>
      <c r="P2094" s="30" t="s">
        <v>51</v>
      </c>
      <c r="Q2094" s="30">
        <v>2</v>
      </c>
      <c r="R2094" s="30" t="s">
        <v>17</v>
      </c>
      <c r="S2094" s="40">
        <f>(VLOOKUP(P2094,'[1]BOM Info General'!$A:$L,12,0))*Q2094</f>
        <v>5.3</v>
      </c>
      <c r="T2094" s="31" t="s">
        <v>10</v>
      </c>
      <c r="U2094" s="31">
        <v>1</v>
      </c>
      <c r="V2094" s="31" t="s">
        <v>11</v>
      </c>
      <c r="W2094" s="17">
        <f>(VLOOKUP(T2094,'[1]Simulation pricing per sub assy'!$D:$E,2,0))*U2094</f>
        <v>2.0499999999999998</v>
      </c>
      <c r="X2094" s="32" t="s">
        <v>615</v>
      </c>
      <c r="Y2094" s="32">
        <v>1</v>
      </c>
      <c r="Z2094" s="32" t="s">
        <v>9</v>
      </c>
      <c r="AA2094" s="18">
        <f>(VLOOKUP(X2094,'[1]Simulation pricing per sub assy'!$D:$E,2,0))*Y2094</f>
        <v>1.5769808000000001</v>
      </c>
    </row>
    <row r="2095" spans="1:27" x14ac:dyDescent="0.35">
      <c r="A2095" s="27" t="s">
        <v>3507</v>
      </c>
      <c r="B2095" s="27" t="s">
        <v>4802</v>
      </c>
      <c r="C2095" s="42">
        <f t="shared" si="32"/>
        <v>112.51578079999999</v>
      </c>
      <c r="D2095" s="28" t="s">
        <v>2058</v>
      </c>
      <c r="E2095" s="28">
        <v>1</v>
      </c>
      <c r="F2095" s="28" t="s">
        <v>2059</v>
      </c>
      <c r="G2095" s="14">
        <f>(VLOOKUP(D2095,'[1]BOM Info General'!$A:$L,12,0))*E2095</f>
        <v>35.56</v>
      </c>
      <c r="H2095" s="29" t="s">
        <v>39</v>
      </c>
      <c r="I2095" s="29">
        <v>1</v>
      </c>
      <c r="J2095" s="29" t="s">
        <v>46</v>
      </c>
      <c r="K2095" s="15">
        <f>(VLOOKUP(H2095,'[1]BOM Info General'!$A:$L,12,0))*I2095</f>
        <v>24.42</v>
      </c>
      <c r="L2095" s="26" t="s">
        <v>78</v>
      </c>
      <c r="M2095" s="26">
        <v>1</v>
      </c>
      <c r="N2095" s="26" t="s">
        <v>75</v>
      </c>
      <c r="O2095" s="9">
        <f>(VLOOKUP(L2095,'[1]Simulation pricing per sub assy'!$D:$E,2,0))*M2095</f>
        <v>43.608799999999988</v>
      </c>
      <c r="P2095" s="30" t="s">
        <v>51</v>
      </c>
      <c r="Q2095" s="30">
        <v>2</v>
      </c>
      <c r="R2095" s="30" t="s">
        <v>17</v>
      </c>
      <c r="S2095" s="40">
        <f>(VLOOKUP(P2095,'[1]BOM Info General'!$A:$L,12,0))*Q2095</f>
        <v>5.3</v>
      </c>
      <c r="T2095" s="31" t="s">
        <v>10</v>
      </c>
      <c r="U2095" s="31">
        <v>1</v>
      </c>
      <c r="V2095" s="31" t="s">
        <v>11</v>
      </c>
      <c r="W2095" s="17">
        <f>(VLOOKUP(T2095,'[1]Simulation pricing per sub assy'!$D:$E,2,0))*U2095</f>
        <v>2.0499999999999998</v>
      </c>
      <c r="X2095" s="32" t="s">
        <v>615</v>
      </c>
      <c r="Y2095" s="32">
        <v>1</v>
      </c>
      <c r="Z2095" s="32" t="s">
        <v>9</v>
      </c>
      <c r="AA2095" s="18">
        <f>(VLOOKUP(X2095,'[1]Simulation pricing per sub assy'!$D:$E,2,0))*Y2095</f>
        <v>1.5769808000000001</v>
      </c>
    </row>
    <row r="2096" spans="1:27" x14ac:dyDescent="0.35">
      <c r="A2096" s="27" t="s">
        <v>3508</v>
      </c>
      <c r="B2096" s="27" t="s">
        <v>4803</v>
      </c>
      <c r="C2096" s="42">
        <f t="shared" si="32"/>
        <v>120.18578079999999</v>
      </c>
      <c r="D2096" s="28" t="s">
        <v>2058</v>
      </c>
      <c r="E2096" s="28">
        <v>1</v>
      </c>
      <c r="F2096" s="28" t="s">
        <v>2059</v>
      </c>
      <c r="G2096" s="14">
        <f>(VLOOKUP(D2096,'[1]BOM Info General'!$A:$L,12,0))*E2096</f>
        <v>35.56</v>
      </c>
      <c r="H2096" s="29" t="s">
        <v>39</v>
      </c>
      <c r="I2096" s="29">
        <v>1</v>
      </c>
      <c r="J2096" s="29" t="s">
        <v>46</v>
      </c>
      <c r="K2096" s="15">
        <f>(VLOOKUP(H2096,'[1]BOM Info General'!$A:$L,12,0))*I2096</f>
        <v>24.42</v>
      </c>
      <c r="L2096" s="26" t="s">
        <v>74</v>
      </c>
      <c r="M2096" s="26">
        <v>1</v>
      </c>
      <c r="N2096" s="26" t="s">
        <v>77</v>
      </c>
      <c r="O2096" s="9">
        <f>(VLOOKUP(L2096,'[1]Simulation pricing per sub assy'!$D:$E,2,0))*M2096</f>
        <v>51.27879999999999</v>
      </c>
      <c r="P2096" s="30" t="s">
        <v>51</v>
      </c>
      <c r="Q2096" s="30">
        <v>2</v>
      </c>
      <c r="R2096" s="30" t="s">
        <v>17</v>
      </c>
      <c r="S2096" s="40">
        <f>(VLOOKUP(P2096,'[1]BOM Info General'!$A:$L,12,0))*Q2096</f>
        <v>5.3</v>
      </c>
      <c r="T2096" s="31" t="s">
        <v>10</v>
      </c>
      <c r="U2096" s="31">
        <v>1</v>
      </c>
      <c r="V2096" s="31" t="s">
        <v>11</v>
      </c>
      <c r="W2096" s="17">
        <f>(VLOOKUP(T2096,'[1]Simulation pricing per sub assy'!$D:$E,2,0))*U2096</f>
        <v>2.0499999999999998</v>
      </c>
      <c r="X2096" s="32" t="s">
        <v>615</v>
      </c>
      <c r="Y2096" s="32">
        <v>1</v>
      </c>
      <c r="Z2096" s="32" t="s">
        <v>9</v>
      </c>
      <c r="AA2096" s="18">
        <f>(VLOOKUP(X2096,'[1]Simulation pricing per sub assy'!$D:$E,2,0))*Y2096</f>
        <v>1.5769808000000001</v>
      </c>
    </row>
    <row r="2097" spans="1:27" x14ac:dyDescent="0.35">
      <c r="A2097" s="27" t="s">
        <v>3509</v>
      </c>
      <c r="B2097" s="27" t="s">
        <v>4804</v>
      </c>
      <c r="C2097" s="42">
        <f t="shared" si="32"/>
        <v>111.0657808</v>
      </c>
      <c r="D2097" s="28" t="s">
        <v>2058</v>
      </c>
      <c r="E2097" s="28">
        <v>1</v>
      </c>
      <c r="F2097" s="28" t="s">
        <v>2059</v>
      </c>
      <c r="G2097" s="14">
        <f>(VLOOKUP(D2097,'[1]BOM Info General'!$A:$L,12,0))*E2097</f>
        <v>35.56</v>
      </c>
      <c r="H2097" s="29" t="s">
        <v>39</v>
      </c>
      <c r="I2097" s="29">
        <v>1</v>
      </c>
      <c r="J2097" s="29" t="s">
        <v>46</v>
      </c>
      <c r="K2097" s="15">
        <f>(VLOOKUP(H2097,'[1]BOM Info General'!$A:$L,12,0))*I2097</f>
        <v>24.42</v>
      </c>
      <c r="L2097" s="26" t="s">
        <v>527</v>
      </c>
      <c r="M2097" s="26">
        <v>1</v>
      </c>
      <c r="N2097" s="26" t="s">
        <v>79</v>
      </c>
      <c r="O2097" s="9">
        <f>(VLOOKUP(L2097,'[1]Simulation pricing per sub assy'!$D:$E,2,0))*M2097</f>
        <v>42.308799999999991</v>
      </c>
      <c r="P2097" s="30" t="s">
        <v>51</v>
      </c>
      <c r="Q2097" s="30">
        <v>2</v>
      </c>
      <c r="R2097" s="30" t="s">
        <v>17</v>
      </c>
      <c r="S2097" s="40">
        <f>(VLOOKUP(P2097,'[1]BOM Info General'!$A:$L,12,0))*Q2097</f>
        <v>5.3</v>
      </c>
      <c r="T2097" s="31" t="s">
        <v>12</v>
      </c>
      <c r="U2097" s="31">
        <v>1</v>
      </c>
      <c r="V2097" s="31" t="s">
        <v>13</v>
      </c>
      <c r="W2097" s="17">
        <f>(VLOOKUP(T2097,'[1]Simulation pricing per sub assy'!$D:$E,2,0))*U2097</f>
        <v>1.9</v>
      </c>
      <c r="X2097" s="32" t="s">
        <v>615</v>
      </c>
      <c r="Y2097" s="32">
        <v>1</v>
      </c>
      <c r="Z2097" s="32" t="s">
        <v>9</v>
      </c>
      <c r="AA2097" s="18">
        <f>(VLOOKUP(X2097,'[1]Simulation pricing per sub assy'!$D:$E,2,0))*Y2097</f>
        <v>1.5769808000000001</v>
      </c>
    </row>
    <row r="2098" spans="1:27" x14ac:dyDescent="0.35">
      <c r="A2098" s="27" t="s">
        <v>3510</v>
      </c>
      <c r="B2098" s="27" t="s">
        <v>4805</v>
      </c>
      <c r="C2098" s="42">
        <f t="shared" si="32"/>
        <v>112.0457808</v>
      </c>
      <c r="D2098" s="28" t="s">
        <v>2058</v>
      </c>
      <c r="E2098" s="28">
        <v>1</v>
      </c>
      <c r="F2098" s="28" t="s">
        <v>2059</v>
      </c>
      <c r="G2098" s="14">
        <f>(VLOOKUP(D2098,'[1]BOM Info General'!$A:$L,12,0))*E2098</f>
        <v>35.56</v>
      </c>
      <c r="H2098" s="29" t="s">
        <v>39</v>
      </c>
      <c r="I2098" s="29">
        <v>1</v>
      </c>
      <c r="J2098" s="29" t="s">
        <v>46</v>
      </c>
      <c r="K2098" s="15">
        <f>(VLOOKUP(H2098,'[1]BOM Info General'!$A:$L,12,0))*I2098</f>
        <v>24.42</v>
      </c>
      <c r="L2098" s="26" t="s">
        <v>76</v>
      </c>
      <c r="M2098" s="26">
        <v>1</v>
      </c>
      <c r="N2098" s="26" t="s">
        <v>73</v>
      </c>
      <c r="O2098" s="9">
        <f>(VLOOKUP(L2098,'[1]Simulation pricing per sub assy'!$D:$E,2,0))*M2098</f>
        <v>43.288799999999988</v>
      </c>
      <c r="P2098" s="30" t="s">
        <v>51</v>
      </c>
      <c r="Q2098" s="30">
        <v>2</v>
      </c>
      <c r="R2098" s="30" t="s">
        <v>17</v>
      </c>
      <c r="S2098" s="40">
        <f>(VLOOKUP(P2098,'[1]BOM Info General'!$A:$L,12,0))*Q2098</f>
        <v>5.3</v>
      </c>
      <c r="T2098" s="31" t="s">
        <v>12</v>
      </c>
      <c r="U2098" s="31">
        <v>1</v>
      </c>
      <c r="V2098" s="31" t="s">
        <v>13</v>
      </c>
      <c r="W2098" s="17">
        <f>(VLOOKUP(T2098,'[1]Simulation pricing per sub assy'!$D:$E,2,0))*U2098</f>
        <v>1.9</v>
      </c>
      <c r="X2098" s="32" t="s">
        <v>615</v>
      </c>
      <c r="Y2098" s="32">
        <v>1</v>
      </c>
      <c r="Z2098" s="32" t="s">
        <v>9</v>
      </c>
      <c r="AA2098" s="18">
        <f>(VLOOKUP(X2098,'[1]Simulation pricing per sub assy'!$D:$E,2,0))*Y2098</f>
        <v>1.5769808000000001</v>
      </c>
    </row>
    <row r="2099" spans="1:27" x14ac:dyDescent="0.35">
      <c r="A2099" s="27" t="s">
        <v>3511</v>
      </c>
      <c r="B2099" s="27" t="s">
        <v>4806</v>
      </c>
      <c r="C2099" s="42">
        <f t="shared" si="32"/>
        <v>112.6257808</v>
      </c>
      <c r="D2099" s="28" t="s">
        <v>2058</v>
      </c>
      <c r="E2099" s="28">
        <v>1</v>
      </c>
      <c r="F2099" s="28" t="s">
        <v>2059</v>
      </c>
      <c r="G2099" s="14">
        <f>(VLOOKUP(D2099,'[1]BOM Info General'!$A:$L,12,0))*E2099</f>
        <v>35.56</v>
      </c>
      <c r="H2099" s="29" t="s">
        <v>39</v>
      </c>
      <c r="I2099" s="29">
        <v>1</v>
      </c>
      <c r="J2099" s="29" t="s">
        <v>46</v>
      </c>
      <c r="K2099" s="15">
        <f>(VLOOKUP(H2099,'[1]BOM Info General'!$A:$L,12,0))*I2099</f>
        <v>24.42</v>
      </c>
      <c r="L2099" s="26" t="s">
        <v>72</v>
      </c>
      <c r="M2099" s="26">
        <v>1</v>
      </c>
      <c r="N2099" s="26" t="s">
        <v>71</v>
      </c>
      <c r="O2099" s="9">
        <f>(VLOOKUP(L2099,'[1]Simulation pricing per sub assy'!$D:$E,2,0))*M2099</f>
        <v>43.868799999999993</v>
      </c>
      <c r="P2099" s="30" t="s">
        <v>51</v>
      </c>
      <c r="Q2099" s="30">
        <v>2</v>
      </c>
      <c r="R2099" s="30" t="s">
        <v>17</v>
      </c>
      <c r="S2099" s="40">
        <f>(VLOOKUP(P2099,'[1]BOM Info General'!$A:$L,12,0))*Q2099</f>
        <v>5.3</v>
      </c>
      <c r="T2099" s="31" t="s">
        <v>12</v>
      </c>
      <c r="U2099" s="31">
        <v>1</v>
      </c>
      <c r="V2099" s="31" t="s">
        <v>13</v>
      </c>
      <c r="W2099" s="17">
        <f>(VLOOKUP(T2099,'[1]Simulation pricing per sub assy'!$D:$E,2,0))*U2099</f>
        <v>1.9</v>
      </c>
      <c r="X2099" s="32" t="s">
        <v>615</v>
      </c>
      <c r="Y2099" s="32">
        <v>1</v>
      </c>
      <c r="Z2099" s="32" t="s">
        <v>9</v>
      </c>
      <c r="AA2099" s="18">
        <f>(VLOOKUP(X2099,'[1]Simulation pricing per sub assy'!$D:$E,2,0))*Y2099</f>
        <v>1.5769808000000001</v>
      </c>
    </row>
    <row r="2100" spans="1:27" x14ac:dyDescent="0.35">
      <c r="A2100" s="27" t="s">
        <v>3512</v>
      </c>
      <c r="B2100" s="27" t="s">
        <v>4807</v>
      </c>
      <c r="C2100" s="42">
        <f t="shared" si="32"/>
        <v>112.3657808</v>
      </c>
      <c r="D2100" s="28" t="s">
        <v>2058</v>
      </c>
      <c r="E2100" s="28">
        <v>1</v>
      </c>
      <c r="F2100" s="28" t="s">
        <v>2059</v>
      </c>
      <c r="G2100" s="14">
        <f>(VLOOKUP(D2100,'[1]BOM Info General'!$A:$L,12,0))*E2100</f>
        <v>35.56</v>
      </c>
      <c r="H2100" s="29" t="s">
        <v>39</v>
      </c>
      <c r="I2100" s="29">
        <v>1</v>
      </c>
      <c r="J2100" s="29" t="s">
        <v>46</v>
      </c>
      <c r="K2100" s="15">
        <f>(VLOOKUP(H2100,'[1]BOM Info General'!$A:$L,12,0))*I2100</f>
        <v>24.42</v>
      </c>
      <c r="L2100" s="26" t="s">
        <v>78</v>
      </c>
      <c r="M2100" s="26">
        <v>1</v>
      </c>
      <c r="N2100" s="26" t="s">
        <v>75</v>
      </c>
      <c r="O2100" s="9">
        <f>(VLOOKUP(L2100,'[1]Simulation pricing per sub assy'!$D:$E,2,0))*M2100</f>
        <v>43.608799999999988</v>
      </c>
      <c r="P2100" s="30" t="s">
        <v>51</v>
      </c>
      <c r="Q2100" s="30">
        <v>2</v>
      </c>
      <c r="R2100" s="30" t="s">
        <v>17</v>
      </c>
      <c r="S2100" s="40">
        <f>(VLOOKUP(P2100,'[1]BOM Info General'!$A:$L,12,0))*Q2100</f>
        <v>5.3</v>
      </c>
      <c r="T2100" s="31" t="s">
        <v>12</v>
      </c>
      <c r="U2100" s="31">
        <v>1</v>
      </c>
      <c r="V2100" s="31" t="s">
        <v>13</v>
      </c>
      <c r="W2100" s="17">
        <f>(VLOOKUP(T2100,'[1]Simulation pricing per sub assy'!$D:$E,2,0))*U2100</f>
        <v>1.9</v>
      </c>
      <c r="X2100" s="32" t="s">
        <v>615</v>
      </c>
      <c r="Y2100" s="32">
        <v>1</v>
      </c>
      <c r="Z2100" s="32" t="s">
        <v>9</v>
      </c>
      <c r="AA2100" s="18">
        <f>(VLOOKUP(X2100,'[1]Simulation pricing per sub assy'!$D:$E,2,0))*Y2100</f>
        <v>1.5769808000000001</v>
      </c>
    </row>
    <row r="2101" spans="1:27" x14ac:dyDescent="0.35">
      <c r="A2101" s="27" t="s">
        <v>3513</v>
      </c>
      <c r="B2101" s="27" t="s">
        <v>4808</v>
      </c>
      <c r="C2101" s="42">
        <f t="shared" si="32"/>
        <v>120.0357808</v>
      </c>
      <c r="D2101" s="28" t="s">
        <v>2058</v>
      </c>
      <c r="E2101" s="28">
        <v>1</v>
      </c>
      <c r="F2101" s="28" t="s">
        <v>2059</v>
      </c>
      <c r="G2101" s="14">
        <f>(VLOOKUP(D2101,'[1]BOM Info General'!$A:$L,12,0))*E2101</f>
        <v>35.56</v>
      </c>
      <c r="H2101" s="29" t="s">
        <v>39</v>
      </c>
      <c r="I2101" s="29">
        <v>1</v>
      </c>
      <c r="J2101" s="29" t="s">
        <v>46</v>
      </c>
      <c r="K2101" s="15">
        <f>(VLOOKUP(H2101,'[1]BOM Info General'!$A:$L,12,0))*I2101</f>
        <v>24.42</v>
      </c>
      <c r="L2101" s="26" t="s">
        <v>74</v>
      </c>
      <c r="M2101" s="26">
        <v>1</v>
      </c>
      <c r="N2101" s="26" t="s">
        <v>77</v>
      </c>
      <c r="O2101" s="9">
        <f>(VLOOKUP(L2101,'[1]Simulation pricing per sub assy'!$D:$E,2,0))*M2101</f>
        <v>51.27879999999999</v>
      </c>
      <c r="P2101" s="30" t="s">
        <v>51</v>
      </c>
      <c r="Q2101" s="30">
        <v>2</v>
      </c>
      <c r="R2101" s="30" t="s">
        <v>17</v>
      </c>
      <c r="S2101" s="40">
        <f>(VLOOKUP(P2101,'[1]BOM Info General'!$A:$L,12,0))*Q2101</f>
        <v>5.3</v>
      </c>
      <c r="T2101" s="31" t="s">
        <v>12</v>
      </c>
      <c r="U2101" s="31">
        <v>1</v>
      </c>
      <c r="V2101" s="31" t="s">
        <v>13</v>
      </c>
      <c r="W2101" s="17">
        <f>(VLOOKUP(T2101,'[1]Simulation pricing per sub assy'!$D:$E,2,0))*U2101</f>
        <v>1.9</v>
      </c>
      <c r="X2101" s="32" t="s">
        <v>615</v>
      </c>
      <c r="Y2101" s="32">
        <v>1</v>
      </c>
      <c r="Z2101" s="32" t="s">
        <v>9</v>
      </c>
      <c r="AA2101" s="18">
        <f>(VLOOKUP(X2101,'[1]Simulation pricing per sub assy'!$D:$E,2,0))*Y2101</f>
        <v>1.5769808000000001</v>
      </c>
    </row>
    <row r="2102" spans="1:27" x14ac:dyDescent="0.35">
      <c r="A2102" s="27" t="s">
        <v>3514</v>
      </c>
      <c r="B2102" s="27" t="s">
        <v>4809</v>
      </c>
      <c r="C2102" s="42">
        <f t="shared" si="32"/>
        <v>111.0657808</v>
      </c>
      <c r="D2102" s="28" t="s">
        <v>2058</v>
      </c>
      <c r="E2102" s="28">
        <v>1</v>
      </c>
      <c r="F2102" s="28" t="s">
        <v>2059</v>
      </c>
      <c r="G2102" s="14">
        <f>(VLOOKUP(D2102,'[1]BOM Info General'!$A:$L,12,0))*E2102</f>
        <v>35.56</v>
      </c>
      <c r="H2102" s="29" t="s">
        <v>39</v>
      </c>
      <c r="I2102" s="29">
        <v>1</v>
      </c>
      <c r="J2102" s="29" t="s">
        <v>46</v>
      </c>
      <c r="K2102" s="15">
        <f>(VLOOKUP(H2102,'[1]BOM Info General'!$A:$L,12,0))*I2102</f>
        <v>24.42</v>
      </c>
      <c r="L2102" s="26" t="s">
        <v>527</v>
      </c>
      <c r="M2102" s="26">
        <v>1</v>
      </c>
      <c r="N2102" s="26" t="s">
        <v>79</v>
      </c>
      <c r="O2102" s="9">
        <f>(VLOOKUP(L2102,'[1]Simulation pricing per sub assy'!$D:$E,2,0))*M2102</f>
        <v>42.308799999999991</v>
      </c>
      <c r="P2102" s="30" t="s">
        <v>51</v>
      </c>
      <c r="Q2102" s="30">
        <v>2</v>
      </c>
      <c r="R2102" s="30" t="s">
        <v>17</v>
      </c>
      <c r="S2102" s="40">
        <f>(VLOOKUP(P2102,'[1]BOM Info General'!$A:$L,12,0))*Q2102</f>
        <v>5.3</v>
      </c>
      <c r="T2102" s="31" t="s">
        <v>14</v>
      </c>
      <c r="U2102" s="31">
        <v>1</v>
      </c>
      <c r="V2102" s="31" t="s">
        <v>15</v>
      </c>
      <c r="W2102" s="17">
        <f>(VLOOKUP(T2102,'[1]Simulation pricing per sub assy'!$D:$E,2,0))*U2102</f>
        <v>1.9</v>
      </c>
      <c r="X2102" s="32" t="s">
        <v>615</v>
      </c>
      <c r="Y2102" s="32">
        <v>1</v>
      </c>
      <c r="Z2102" s="32" t="s">
        <v>9</v>
      </c>
      <c r="AA2102" s="18">
        <f>(VLOOKUP(X2102,'[1]Simulation pricing per sub assy'!$D:$E,2,0))*Y2102</f>
        <v>1.5769808000000001</v>
      </c>
    </row>
    <row r="2103" spans="1:27" x14ac:dyDescent="0.35">
      <c r="A2103" s="27" t="s">
        <v>3515</v>
      </c>
      <c r="B2103" s="27" t="s">
        <v>4810</v>
      </c>
      <c r="C2103" s="42">
        <f t="shared" si="32"/>
        <v>112.0457808</v>
      </c>
      <c r="D2103" s="28" t="s">
        <v>2058</v>
      </c>
      <c r="E2103" s="28">
        <v>1</v>
      </c>
      <c r="F2103" s="28" t="s">
        <v>2059</v>
      </c>
      <c r="G2103" s="14">
        <f>(VLOOKUP(D2103,'[1]BOM Info General'!$A:$L,12,0))*E2103</f>
        <v>35.56</v>
      </c>
      <c r="H2103" s="29" t="s">
        <v>39</v>
      </c>
      <c r="I2103" s="29">
        <v>1</v>
      </c>
      <c r="J2103" s="29" t="s">
        <v>46</v>
      </c>
      <c r="K2103" s="15">
        <f>(VLOOKUP(H2103,'[1]BOM Info General'!$A:$L,12,0))*I2103</f>
        <v>24.42</v>
      </c>
      <c r="L2103" s="26" t="s">
        <v>76</v>
      </c>
      <c r="M2103" s="26">
        <v>1</v>
      </c>
      <c r="N2103" s="26" t="s">
        <v>73</v>
      </c>
      <c r="O2103" s="9">
        <f>(VLOOKUP(L2103,'[1]Simulation pricing per sub assy'!$D:$E,2,0))*M2103</f>
        <v>43.288799999999988</v>
      </c>
      <c r="P2103" s="30" t="s">
        <v>51</v>
      </c>
      <c r="Q2103" s="30">
        <v>2</v>
      </c>
      <c r="R2103" s="30" t="s">
        <v>17</v>
      </c>
      <c r="S2103" s="40">
        <f>(VLOOKUP(P2103,'[1]BOM Info General'!$A:$L,12,0))*Q2103</f>
        <v>5.3</v>
      </c>
      <c r="T2103" s="31" t="s">
        <v>14</v>
      </c>
      <c r="U2103" s="31">
        <v>1</v>
      </c>
      <c r="V2103" s="31" t="s">
        <v>15</v>
      </c>
      <c r="W2103" s="17">
        <f>(VLOOKUP(T2103,'[1]Simulation pricing per sub assy'!$D:$E,2,0))*U2103</f>
        <v>1.9</v>
      </c>
      <c r="X2103" s="32" t="s">
        <v>615</v>
      </c>
      <c r="Y2103" s="32">
        <v>1</v>
      </c>
      <c r="Z2103" s="32" t="s">
        <v>9</v>
      </c>
      <c r="AA2103" s="18">
        <f>(VLOOKUP(X2103,'[1]Simulation pricing per sub assy'!$D:$E,2,0))*Y2103</f>
        <v>1.5769808000000001</v>
      </c>
    </row>
    <row r="2104" spans="1:27" x14ac:dyDescent="0.35">
      <c r="A2104" s="27" t="s">
        <v>3516</v>
      </c>
      <c r="B2104" s="27" t="s">
        <v>4811</v>
      </c>
      <c r="C2104" s="42">
        <f t="shared" si="32"/>
        <v>112.6257808</v>
      </c>
      <c r="D2104" s="28" t="s">
        <v>2058</v>
      </c>
      <c r="E2104" s="28">
        <v>1</v>
      </c>
      <c r="F2104" s="28" t="s">
        <v>2059</v>
      </c>
      <c r="G2104" s="14">
        <f>(VLOOKUP(D2104,'[1]BOM Info General'!$A:$L,12,0))*E2104</f>
        <v>35.56</v>
      </c>
      <c r="H2104" s="29" t="s">
        <v>39</v>
      </c>
      <c r="I2104" s="29">
        <v>1</v>
      </c>
      <c r="J2104" s="29" t="s">
        <v>46</v>
      </c>
      <c r="K2104" s="15">
        <f>(VLOOKUP(H2104,'[1]BOM Info General'!$A:$L,12,0))*I2104</f>
        <v>24.42</v>
      </c>
      <c r="L2104" s="26" t="s">
        <v>72</v>
      </c>
      <c r="M2104" s="26">
        <v>1</v>
      </c>
      <c r="N2104" s="26" t="s">
        <v>71</v>
      </c>
      <c r="O2104" s="9">
        <f>(VLOOKUP(L2104,'[1]Simulation pricing per sub assy'!$D:$E,2,0))*M2104</f>
        <v>43.868799999999993</v>
      </c>
      <c r="P2104" s="30" t="s">
        <v>51</v>
      </c>
      <c r="Q2104" s="30">
        <v>2</v>
      </c>
      <c r="R2104" s="30" t="s">
        <v>17</v>
      </c>
      <c r="S2104" s="40">
        <f>(VLOOKUP(P2104,'[1]BOM Info General'!$A:$L,12,0))*Q2104</f>
        <v>5.3</v>
      </c>
      <c r="T2104" s="31" t="s">
        <v>14</v>
      </c>
      <c r="U2104" s="31">
        <v>1</v>
      </c>
      <c r="V2104" s="31" t="s">
        <v>15</v>
      </c>
      <c r="W2104" s="17">
        <f>(VLOOKUP(T2104,'[1]Simulation pricing per sub assy'!$D:$E,2,0))*U2104</f>
        <v>1.9</v>
      </c>
      <c r="X2104" s="32" t="s">
        <v>615</v>
      </c>
      <c r="Y2104" s="32">
        <v>1</v>
      </c>
      <c r="Z2104" s="32" t="s">
        <v>9</v>
      </c>
      <c r="AA2104" s="18">
        <f>(VLOOKUP(X2104,'[1]Simulation pricing per sub assy'!$D:$E,2,0))*Y2104</f>
        <v>1.5769808000000001</v>
      </c>
    </row>
    <row r="2105" spans="1:27" x14ac:dyDescent="0.35">
      <c r="A2105" s="27" t="s">
        <v>3517</v>
      </c>
      <c r="B2105" s="27" t="s">
        <v>4812</v>
      </c>
      <c r="C2105" s="42">
        <f t="shared" si="32"/>
        <v>112.3657808</v>
      </c>
      <c r="D2105" s="28" t="s">
        <v>2058</v>
      </c>
      <c r="E2105" s="28">
        <v>1</v>
      </c>
      <c r="F2105" s="28" t="s">
        <v>2059</v>
      </c>
      <c r="G2105" s="14">
        <f>(VLOOKUP(D2105,'[1]BOM Info General'!$A:$L,12,0))*E2105</f>
        <v>35.56</v>
      </c>
      <c r="H2105" s="29" t="s">
        <v>39</v>
      </c>
      <c r="I2105" s="29">
        <v>1</v>
      </c>
      <c r="J2105" s="29" t="s">
        <v>46</v>
      </c>
      <c r="K2105" s="15">
        <f>(VLOOKUP(H2105,'[1]BOM Info General'!$A:$L,12,0))*I2105</f>
        <v>24.42</v>
      </c>
      <c r="L2105" s="26" t="s">
        <v>78</v>
      </c>
      <c r="M2105" s="26">
        <v>1</v>
      </c>
      <c r="N2105" s="26" t="s">
        <v>75</v>
      </c>
      <c r="O2105" s="9">
        <f>(VLOOKUP(L2105,'[1]Simulation pricing per sub assy'!$D:$E,2,0))*M2105</f>
        <v>43.608799999999988</v>
      </c>
      <c r="P2105" s="30" t="s">
        <v>51</v>
      </c>
      <c r="Q2105" s="30">
        <v>2</v>
      </c>
      <c r="R2105" s="30" t="s">
        <v>17</v>
      </c>
      <c r="S2105" s="40">
        <f>(VLOOKUP(P2105,'[1]BOM Info General'!$A:$L,12,0))*Q2105</f>
        <v>5.3</v>
      </c>
      <c r="T2105" s="31" t="s">
        <v>14</v>
      </c>
      <c r="U2105" s="31">
        <v>1</v>
      </c>
      <c r="V2105" s="31" t="s">
        <v>15</v>
      </c>
      <c r="W2105" s="17">
        <f>(VLOOKUP(T2105,'[1]Simulation pricing per sub assy'!$D:$E,2,0))*U2105</f>
        <v>1.9</v>
      </c>
      <c r="X2105" s="32" t="s">
        <v>615</v>
      </c>
      <c r="Y2105" s="32">
        <v>1</v>
      </c>
      <c r="Z2105" s="32" t="s">
        <v>9</v>
      </c>
      <c r="AA2105" s="18">
        <f>(VLOOKUP(X2105,'[1]Simulation pricing per sub assy'!$D:$E,2,0))*Y2105</f>
        <v>1.5769808000000001</v>
      </c>
    </row>
    <row r="2106" spans="1:27" x14ac:dyDescent="0.35">
      <c r="A2106" s="27" t="s">
        <v>3518</v>
      </c>
      <c r="B2106" s="27" t="s">
        <v>4813</v>
      </c>
      <c r="C2106" s="42">
        <f t="shared" si="32"/>
        <v>120.0357808</v>
      </c>
      <c r="D2106" s="28" t="s">
        <v>2058</v>
      </c>
      <c r="E2106" s="28">
        <v>1</v>
      </c>
      <c r="F2106" s="28" t="s">
        <v>2059</v>
      </c>
      <c r="G2106" s="14">
        <f>(VLOOKUP(D2106,'[1]BOM Info General'!$A:$L,12,0))*E2106</f>
        <v>35.56</v>
      </c>
      <c r="H2106" s="29" t="s">
        <v>39</v>
      </c>
      <c r="I2106" s="29">
        <v>1</v>
      </c>
      <c r="J2106" s="29" t="s">
        <v>46</v>
      </c>
      <c r="K2106" s="15">
        <f>(VLOOKUP(H2106,'[1]BOM Info General'!$A:$L,12,0))*I2106</f>
        <v>24.42</v>
      </c>
      <c r="L2106" s="26" t="s">
        <v>74</v>
      </c>
      <c r="M2106" s="26">
        <v>1</v>
      </c>
      <c r="N2106" s="26" t="s">
        <v>77</v>
      </c>
      <c r="O2106" s="9">
        <f>(VLOOKUP(L2106,'[1]Simulation pricing per sub assy'!$D:$E,2,0))*M2106</f>
        <v>51.27879999999999</v>
      </c>
      <c r="P2106" s="30" t="s">
        <v>51</v>
      </c>
      <c r="Q2106" s="30">
        <v>2</v>
      </c>
      <c r="R2106" s="30" t="s">
        <v>17</v>
      </c>
      <c r="S2106" s="40">
        <f>(VLOOKUP(P2106,'[1]BOM Info General'!$A:$L,12,0))*Q2106</f>
        <v>5.3</v>
      </c>
      <c r="T2106" s="31" t="s">
        <v>14</v>
      </c>
      <c r="U2106" s="31">
        <v>1</v>
      </c>
      <c r="V2106" s="31" t="s">
        <v>15</v>
      </c>
      <c r="W2106" s="17">
        <f>(VLOOKUP(T2106,'[1]Simulation pricing per sub assy'!$D:$E,2,0))*U2106</f>
        <v>1.9</v>
      </c>
      <c r="X2106" s="32" t="s">
        <v>615</v>
      </c>
      <c r="Y2106" s="32">
        <v>1</v>
      </c>
      <c r="Z2106" s="32" t="s">
        <v>9</v>
      </c>
      <c r="AA2106" s="18">
        <f>(VLOOKUP(X2106,'[1]Simulation pricing per sub assy'!$D:$E,2,0))*Y2106</f>
        <v>1.5769808000000001</v>
      </c>
    </row>
    <row r="2107" spans="1:27" x14ac:dyDescent="0.35">
      <c r="A2107" s="27" t="s">
        <v>3519</v>
      </c>
      <c r="B2107" s="27" t="s">
        <v>4814</v>
      </c>
      <c r="C2107" s="42">
        <f t="shared" si="32"/>
        <v>111.21578079999999</v>
      </c>
      <c r="D2107" s="28" t="s">
        <v>2058</v>
      </c>
      <c r="E2107" s="28">
        <v>1</v>
      </c>
      <c r="F2107" s="28" t="s">
        <v>2059</v>
      </c>
      <c r="G2107" s="14">
        <f>(VLOOKUP(D2107,'[1]BOM Info General'!$A:$L,12,0))*E2107</f>
        <v>35.56</v>
      </c>
      <c r="H2107" s="29" t="s">
        <v>39</v>
      </c>
      <c r="I2107" s="29">
        <v>1</v>
      </c>
      <c r="J2107" s="29" t="s">
        <v>46</v>
      </c>
      <c r="K2107" s="15">
        <f>(VLOOKUP(H2107,'[1]BOM Info General'!$A:$L,12,0))*I2107</f>
        <v>24.42</v>
      </c>
      <c r="L2107" s="26" t="s">
        <v>527</v>
      </c>
      <c r="M2107" s="26">
        <v>1</v>
      </c>
      <c r="N2107" s="26" t="s">
        <v>79</v>
      </c>
      <c r="O2107" s="9">
        <f>(VLOOKUP(L2107,'[1]Simulation pricing per sub assy'!$D:$E,2,0))*M2107</f>
        <v>42.308799999999991</v>
      </c>
      <c r="P2107" s="30" t="s">
        <v>52</v>
      </c>
      <c r="Q2107" s="30">
        <v>2</v>
      </c>
      <c r="R2107" s="30" t="s">
        <v>18</v>
      </c>
      <c r="S2107" s="40">
        <f>(VLOOKUP(P2107,'[1]BOM Info General'!$A:$L,12,0))*Q2107</f>
        <v>5.3</v>
      </c>
      <c r="T2107" s="31" t="s">
        <v>10</v>
      </c>
      <c r="U2107" s="31">
        <v>1</v>
      </c>
      <c r="V2107" s="31" t="s">
        <v>11</v>
      </c>
      <c r="W2107" s="17">
        <f>(VLOOKUP(T2107,'[1]Simulation pricing per sub assy'!$D:$E,2,0))*U2107</f>
        <v>2.0499999999999998</v>
      </c>
      <c r="X2107" s="32" t="s">
        <v>615</v>
      </c>
      <c r="Y2107" s="32">
        <v>1</v>
      </c>
      <c r="Z2107" s="32" t="s">
        <v>9</v>
      </c>
      <c r="AA2107" s="18">
        <f>(VLOOKUP(X2107,'[1]Simulation pricing per sub assy'!$D:$E,2,0))*Y2107</f>
        <v>1.5769808000000001</v>
      </c>
    </row>
    <row r="2108" spans="1:27" x14ac:dyDescent="0.35">
      <c r="A2108" s="27" t="s">
        <v>3520</v>
      </c>
      <c r="B2108" s="27" t="s">
        <v>4815</v>
      </c>
      <c r="C2108" s="42">
        <f t="shared" si="32"/>
        <v>112.19578079999999</v>
      </c>
      <c r="D2108" s="28" t="s">
        <v>2058</v>
      </c>
      <c r="E2108" s="28">
        <v>1</v>
      </c>
      <c r="F2108" s="28" t="s">
        <v>2059</v>
      </c>
      <c r="G2108" s="14">
        <f>(VLOOKUP(D2108,'[1]BOM Info General'!$A:$L,12,0))*E2108</f>
        <v>35.56</v>
      </c>
      <c r="H2108" s="29" t="s">
        <v>39</v>
      </c>
      <c r="I2108" s="29">
        <v>1</v>
      </c>
      <c r="J2108" s="29" t="s">
        <v>46</v>
      </c>
      <c r="K2108" s="15">
        <f>(VLOOKUP(H2108,'[1]BOM Info General'!$A:$L,12,0))*I2108</f>
        <v>24.42</v>
      </c>
      <c r="L2108" s="26" t="s">
        <v>76</v>
      </c>
      <c r="M2108" s="26">
        <v>1</v>
      </c>
      <c r="N2108" s="26" t="s">
        <v>73</v>
      </c>
      <c r="O2108" s="9">
        <f>(VLOOKUP(L2108,'[1]Simulation pricing per sub assy'!$D:$E,2,0))*M2108</f>
        <v>43.288799999999988</v>
      </c>
      <c r="P2108" s="30" t="s">
        <v>52</v>
      </c>
      <c r="Q2108" s="30">
        <v>2</v>
      </c>
      <c r="R2108" s="30" t="s">
        <v>18</v>
      </c>
      <c r="S2108" s="40">
        <f>(VLOOKUP(P2108,'[1]BOM Info General'!$A:$L,12,0))*Q2108</f>
        <v>5.3</v>
      </c>
      <c r="T2108" s="31" t="s">
        <v>10</v>
      </c>
      <c r="U2108" s="31">
        <v>1</v>
      </c>
      <c r="V2108" s="31" t="s">
        <v>11</v>
      </c>
      <c r="W2108" s="17">
        <f>(VLOOKUP(T2108,'[1]Simulation pricing per sub assy'!$D:$E,2,0))*U2108</f>
        <v>2.0499999999999998</v>
      </c>
      <c r="X2108" s="32" t="s">
        <v>615</v>
      </c>
      <c r="Y2108" s="32">
        <v>1</v>
      </c>
      <c r="Z2108" s="32" t="s">
        <v>9</v>
      </c>
      <c r="AA2108" s="18">
        <f>(VLOOKUP(X2108,'[1]Simulation pricing per sub assy'!$D:$E,2,0))*Y2108</f>
        <v>1.5769808000000001</v>
      </c>
    </row>
    <row r="2109" spans="1:27" x14ac:dyDescent="0.35">
      <c r="A2109" s="27" t="s">
        <v>3521</v>
      </c>
      <c r="B2109" s="27" t="s">
        <v>4816</v>
      </c>
      <c r="C2109" s="42">
        <f t="shared" si="32"/>
        <v>112.77578079999999</v>
      </c>
      <c r="D2109" s="28" t="s">
        <v>2058</v>
      </c>
      <c r="E2109" s="28">
        <v>1</v>
      </c>
      <c r="F2109" s="28" t="s">
        <v>2059</v>
      </c>
      <c r="G2109" s="14">
        <f>(VLOOKUP(D2109,'[1]BOM Info General'!$A:$L,12,0))*E2109</f>
        <v>35.56</v>
      </c>
      <c r="H2109" s="29" t="s">
        <v>39</v>
      </c>
      <c r="I2109" s="29">
        <v>1</v>
      </c>
      <c r="J2109" s="29" t="s">
        <v>46</v>
      </c>
      <c r="K2109" s="15">
        <f>(VLOOKUP(H2109,'[1]BOM Info General'!$A:$L,12,0))*I2109</f>
        <v>24.42</v>
      </c>
      <c r="L2109" s="26" t="s">
        <v>72</v>
      </c>
      <c r="M2109" s="26">
        <v>1</v>
      </c>
      <c r="N2109" s="26" t="s">
        <v>71</v>
      </c>
      <c r="O2109" s="9">
        <f>(VLOOKUP(L2109,'[1]Simulation pricing per sub assy'!$D:$E,2,0))*M2109</f>
        <v>43.868799999999993</v>
      </c>
      <c r="P2109" s="30" t="s">
        <v>52</v>
      </c>
      <c r="Q2109" s="30">
        <v>2</v>
      </c>
      <c r="R2109" s="30" t="s">
        <v>18</v>
      </c>
      <c r="S2109" s="40">
        <f>(VLOOKUP(P2109,'[1]BOM Info General'!$A:$L,12,0))*Q2109</f>
        <v>5.3</v>
      </c>
      <c r="T2109" s="31" t="s">
        <v>10</v>
      </c>
      <c r="U2109" s="31">
        <v>1</v>
      </c>
      <c r="V2109" s="31" t="s">
        <v>11</v>
      </c>
      <c r="W2109" s="17">
        <f>(VLOOKUP(T2109,'[1]Simulation pricing per sub assy'!$D:$E,2,0))*U2109</f>
        <v>2.0499999999999998</v>
      </c>
      <c r="X2109" s="32" t="s">
        <v>615</v>
      </c>
      <c r="Y2109" s="32">
        <v>1</v>
      </c>
      <c r="Z2109" s="32" t="s">
        <v>9</v>
      </c>
      <c r="AA2109" s="18">
        <f>(VLOOKUP(X2109,'[1]Simulation pricing per sub assy'!$D:$E,2,0))*Y2109</f>
        <v>1.5769808000000001</v>
      </c>
    </row>
    <row r="2110" spans="1:27" x14ac:dyDescent="0.35">
      <c r="A2110" s="27" t="s">
        <v>3522</v>
      </c>
      <c r="B2110" s="27" t="s">
        <v>4817</v>
      </c>
      <c r="C2110" s="42">
        <f t="shared" si="32"/>
        <v>112.51578079999999</v>
      </c>
      <c r="D2110" s="28" t="s">
        <v>2058</v>
      </c>
      <c r="E2110" s="28">
        <v>1</v>
      </c>
      <c r="F2110" s="28" t="s">
        <v>2059</v>
      </c>
      <c r="G2110" s="14">
        <f>(VLOOKUP(D2110,'[1]BOM Info General'!$A:$L,12,0))*E2110</f>
        <v>35.56</v>
      </c>
      <c r="H2110" s="29" t="s">
        <v>39</v>
      </c>
      <c r="I2110" s="29">
        <v>1</v>
      </c>
      <c r="J2110" s="29" t="s">
        <v>46</v>
      </c>
      <c r="K2110" s="15">
        <f>(VLOOKUP(H2110,'[1]BOM Info General'!$A:$L,12,0))*I2110</f>
        <v>24.42</v>
      </c>
      <c r="L2110" s="26" t="s">
        <v>78</v>
      </c>
      <c r="M2110" s="26">
        <v>1</v>
      </c>
      <c r="N2110" s="26" t="s">
        <v>75</v>
      </c>
      <c r="O2110" s="9">
        <f>(VLOOKUP(L2110,'[1]Simulation pricing per sub assy'!$D:$E,2,0))*M2110</f>
        <v>43.608799999999988</v>
      </c>
      <c r="P2110" s="30" t="s">
        <v>52</v>
      </c>
      <c r="Q2110" s="30">
        <v>2</v>
      </c>
      <c r="R2110" s="30" t="s">
        <v>18</v>
      </c>
      <c r="S2110" s="40">
        <f>(VLOOKUP(P2110,'[1]BOM Info General'!$A:$L,12,0))*Q2110</f>
        <v>5.3</v>
      </c>
      <c r="T2110" s="31" t="s">
        <v>10</v>
      </c>
      <c r="U2110" s="31">
        <v>1</v>
      </c>
      <c r="V2110" s="31" t="s">
        <v>11</v>
      </c>
      <c r="W2110" s="17">
        <f>(VLOOKUP(T2110,'[1]Simulation pricing per sub assy'!$D:$E,2,0))*U2110</f>
        <v>2.0499999999999998</v>
      </c>
      <c r="X2110" s="32" t="s">
        <v>615</v>
      </c>
      <c r="Y2110" s="32">
        <v>1</v>
      </c>
      <c r="Z2110" s="32" t="s">
        <v>9</v>
      </c>
      <c r="AA2110" s="18">
        <f>(VLOOKUP(X2110,'[1]Simulation pricing per sub assy'!$D:$E,2,0))*Y2110</f>
        <v>1.5769808000000001</v>
      </c>
    </row>
    <row r="2111" spans="1:27" x14ac:dyDescent="0.35">
      <c r="A2111" s="27" t="s">
        <v>3523</v>
      </c>
      <c r="B2111" s="27" t="s">
        <v>4818</v>
      </c>
      <c r="C2111" s="42">
        <f t="shared" si="32"/>
        <v>120.18578079999999</v>
      </c>
      <c r="D2111" s="28" t="s">
        <v>2058</v>
      </c>
      <c r="E2111" s="28">
        <v>1</v>
      </c>
      <c r="F2111" s="28" t="s">
        <v>2059</v>
      </c>
      <c r="G2111" s="14">
        <f>(VLOOKUP(D2111,'[1]BOM Info General'!$A:$L,12,0))*E2111</f>
        <v>35.56</v>
      </c>
      <c r="H2111" s="29" t="s">
        <v>39</v>
      </c>
      <c r="I2111" s="29">
        <v>1</v>
      </c>
      <c r="J2111" s="29" t="s">
        <v>46</v>
      </c>
      <c r="K2111" s="15">
        <f>(VLOOKUP(H2111,'[1]BOM Info General'!$A:$L,12,0))*I2111</f>
        <v>24.42</v>
      </c>
      <c r="L2111" s="26" t="s">
        <v>74</v>
      </c>
      <c r="M2111" s="26">
        <v>1</v>
      </c>
      <c r="N2111" s="26" t="s">
        <v>77</v>
      </c>
      <c r="O2111" s="9">
        <f>(VLOOKUP(L2111,'[1]Simulation pricing per sub assy'!$D:$E,2,0))*M2111</f>
        <v>51.27879999999999</v>
      </c>
      <c r="P2111" s="30" t="s">
        <v>52</v>
      </c>
      <c r="Q2111" s="30">
        <v>2</v>
      </c>
      <c r="R2111" s="30" t="s">
        <v>18</v>
      </c>
      <c r="S2111" s="40">
        <f>(VLOOKUP(P2111,'[1]BOM Info General'!$A:$L,12,0))*Q2111</f>
        <v>5.3</v>
      </c>
      <c r="T2111" s="31" t="s">
        <v>10</v>
      </c>
      <c r="U2111" s="31">
        <v>1</v>
      </c>
      <c r="V2111" s="31" t="s">
        <v>11</v>
      </c>
      <c r="W2111" s="17">
        <f>(VLOOKUP(T2111,'[1]Simulation pricing per sub assy'!$D:$E,2,0))*U2111</f>
        <v>2.0499999999999998</v>
      </c>
      <c r="X2111" s="32" t="s">
        <v>615</v>
      </c>
      <c r="Y2111" s="32">
        <v>1</v>
      </c>
      <c r="Z2111" s="32" t="s">
        <v>9</v>
      </c>
      <c r="AA2111" s="18">
        <f>(VLOOKUP(X2111,'[1]Simulation pricing per sub assy'!$D:$E,2,0))*Y2111</f>
        <v>1.5769808000000001</v>
      </c>
    </row>
    <row r="2112" spans="1:27" x14ac:dyDescent="0.35">
      <c r="A2112" s="27" t="s">
        <v>3524</v>
      </c>
      <c r="B2112" s="27" t="s">
        <v>4819</v>
      </c>
      <c r="C2112" s="42">
        <f t="shared" si="32"/>
        <v>111.0657808</v>
      </c>
      <c r="D2112" s="28" t="s">
        <v>2058</v>
      </c>
      <c r="E2112" s="28">
        <v>1</v>
      </c>
      <c r="F2112" s="28" t="s">
        <v>2059</v>
      </c>
      <c r="G2112" s="14">
        <f>(VLOOKUP(D2112,'[1]BOM Info General'!$A:$L,12,0))*E2112</f>
        <v>35.56</v>
      </c>
      <c r="H2112" s="29" t="s">
        <v>39</v>
      </c>
      <c r="I2112" s="29">
        <v>1</v>
      </c>
      <c r="J2112" s="29" t="s">
        <v>46</v>
      </c>
      <c r="K2112" s="15">
        <f>(VLOOKUP(H2112,'[1]BOM Info General'!$A:$L,12,0))*I2112</f>
        <v>24.42</v>
      </c>
      <c r="L2112" s="26" t="s">
        <v>527</v>
      </c>
      <c r="M2112" s="26">
        <v>1</v>
      </c>
      <c r="N2112" s="26" t="s">
        <v>79</v>
      </c>
      <c r="O2112" s="9">
        <f>(VLOOKUP(L2112,'[1]Simulation pricing per sub assy'!$D:$E,2,0))*M2112</f>
        <v>42.308799999999991</v>
      </c>
      <c r="P2112" s="30" t="s">
        <v>52</v>
      </c>
      <c r="Q2112" s="30">
        <v>2</v>
      </c>
      <c r="R2112" s="30" t="s">
        <v>18</v>
      </c>
      <c r="S2112" s="40">
        <f>(VLOOKUP(P2112,'[1]BOM Info General'!$A:$L,12,0))*Q2112</f>
        <v>5.3</v>
      </c>
      <c r="T2112" s="31" t="s">
        <v>12</v>
      </c>
      <c r="U2112" s="31">
        <v>1</v>
      </c>
      <c r="V2112" s="31" t="s">
        <v>13</v>
      </c>
      <c r="W2112" s="17">
        <f>(VLOOKUP(T2112,'[1]Simulation pricing per sub assy'!$D:$E,2,0))*U2112</f>
        <v>1.9</v>
      </c>
      <c r="X2112" s="32" t="s">
        <v>615</v>
      </c>
      <c r="Y2112" s="32">
        <v>1</v>
      </c>
      <c r="Z2112" s="32" t="s">
        <v>9</v>
      </c>
      <c r="AA2112" s="18">
        <f>(VLOOKUP(X2112,'[1]Simulation pricing per sub assy'!$D:$E,2,0))*Y2112</f>
        <v>1.5769808000000001</v>
      </c>
    </row>
    <row r="2113" spans="1:27" x14ac:dyDescent="0.35">
      <c r="A2113" s="27" t="s">
        <v>3525</v>
      </c>
      <c r="B2113" s="27" t="s">
        <v>4820</v>
      </c>
      <c r="C2113" s="42">
        <f t="shared" si="32"/>
        <v>112.0457808</v>
      </c>
      <c r="D2113" s="28" t="s">
        <v>2058</v>
      </c>
      <c r="E2113" s="28">
        <v>1</v>
      </c>
      <c r="F2113" s="28" t="s">
        <v>2059</v>
      </c>
      <c r="G2113" s="14">
        <f>(VLOOKUP(D2113,'[1]BOM Info General'!$A:$L,12,0))*E2113</f>
        <v>35.56</v>
      </c>
      <c r="H2113" s="29" t="s">
        <v>39</v>
      </c>
      <c r="I2113" s="29">
        <v>1</v>
      </c>
      <c r="J2113" s="29" t="s">
        <v>46</v>
      </c>
      <c r="K2113" s="15">
        <f>(VLOOKUP(H2113,'[1]BOM Info General'!$A:$L,12,0))*I2113</f>
        <v>24.42</v>
      </c>
      <c r="L2113" s="26" t="s">
        <v>76</v>
      </c>
      <c r="M2113" s="26">
        <v>1</v>
      </c>
      <c r="N2113" s="26" t="s">
        <v>73</v>
      </c>
      <c r="O2113" s="9">
        <f>(VLOOKUP(L2113,'[1]Simulation pricing per sub assy'!$D:$E,2,0))*M2113</f>
        <v>43.288799999999988</v>
      </c>
      <c r="P2113" s="30" t="s">
        <v>52</v>
      </c>
      <c r="Q2113" s="30">
        <v>2</v>
      </c>
      <c r="R2113" s="30" t="s">
        <v>18</v>
      </c>
      <c r="S2113" s="40">
        <f>(VLOOKUP(P2113,'[1]BOM Info General'!$A:$L,12,0))*Q2113</f>
        <v>5.3</v>
      </c>
      <c r="T2113" s="31" t="s">
        <v>12</v>
      </c>
      <c r="U2113" s="31">
        <v>1</v>
      </c>
      <c r="V2113" s="31" t="s">
        <v>13</v>
      </c>
      <c r="W2113" s="17">
        <f>(VLOOKUP(T2113,'[1]Simulation pricing per sub assy'!$D:$E,2,0))*U2113</f>
        <v>1.9</v>
      </c>
      <c r="X2113" s="32" t="s">
        <v>615</v>
      </c>
      <c r="Y2113" s="32">
        <v>1</v>
      </c>
      <c r="Z2113" s="32" t="s">
        <v>9</v>
      </c>
      <c r="AA2113" s="18">
        <f>(VLOOKUP(X2113,'[1]Simulation pricing per sub assy'!$D:$E,2,0))*Y2113</f>
        <v>1.5769808000000001</v>
      </c>
    </row>
    <row r="2114" spans="1:27" x14ac:dyDescent="0.35">
      <c r="A2114" s="27" t="s">
        <v>3526</v>
      </c>
      <c r="B2114" s="27" t="s">
        <v>4821</v>
      </c>
      <c r="C2114" s="42">
        <f t="shared" si="32"/>
        <v>112.6257808</v>
      </c>
      <c r="D2114" s="28" t="s">
        <v>2058</v>
      </c>
      <c r="E2114" s="28">
        <v>1</v>
      </c>
      <c r="F2114" s="28" t="s">
        <v>2059</v>
      </c>
      <c r="G2114" s="14">
        <f>(VLOOKUP(D2114,'[1]BOM Info General'!$A:$L,12,0))*E2114</f>
        <v>35.56</v>
      </c>
      <c r="H2114" s="29" t="s">
        <v>39</v>
      </c>
      <c r="I2114" s="29">
        <v>1</v>
      </c>
      <c r="J2114" s="29" t="s">
        <v>46</v>
      </c>
      <c r="K2114" s="15">
        <f>(VLOOKUP(H2114,'[1]BOM Info General'!$A:$L,12,0))*I2114</f>
        <v>24.42</v>
      </c>
      <c r="L2114" s="26" t="s">
        <v>72</v>
      </c>
      <c r="M2114" s="26">
        <v>1</v>
      </c>
      <c r="N2114" s="26" t="s">
        <v>71</v>
      </c>
      <c r="O2114" s="9">
        <f>(VLOOKUP(L2114,'[1]Simulation pricing per sub assy'!$D:$E,2,0))*M2114</f>
        <v>43.868799999999993</v>
      </c>
      <c r="P2114" s="30" t="s">
        <v>52</v>
      </c>
      <c r="Q2114" s="30">
        <v>2</v>
      </c>
      <c r="R2114" s="30" t="s">
        <v>18</v>
      </c>
      <c r="S2114" s="40">
        <f>(VLOOKUP(P2114,'[1]BOM Info General'!$A:$L,12,0))*Q2114</f>
        <v>5.3</v>
      </c>
      <c r="T2114" s="31" t="s">
        <v>12</v>
      </c>
      <c r="U2114" s="31">
        <v>1</v>
      </c>
      <c r="V2114" s="31" t="s">
        <v>13</v>
      </c>
      <c r="W2114" s="17">
        <f>(VLOOKUP(T2114,'[1]Simulation pricing per sub assy'!$D:$E,2,0))*U2114</f>
        <v>1.9</v>
      </c>
      <c r="X2114" s="32" t="s">
        <v>615</v>
      </c>
      <c r="Y2114" s="32">
        <v>1</v>
      </c>
      <c r="Z2114" s="32" t="s">
        <v>9</v>
      </c>
      <c r="AA2114" s="18">
        <f>(VLOOKUP(X2114,'[1]Simulation pricing per sub assy'!$D:$E,2,0))*Y2114</f>
        <v>1.5769808000000001</v>
      </c>
    </row>
    <row r="2115" spans="1:27" x14ac:dyDescent="0.35">
      <c r="A2115" s="27" t="s">
        <v>3527</v>
      </c>
      <c r="B2115" s="27" t="s">
        <v>4822</v>
      </c>
      <c r="C2115" s="42">
        <f t="shared" ref="C2115:C2178" si="33">SUM(G2115+K2115+O2115+S2115+W2115+AA2115)</f>
        <v>112.3657808</v>
      </c>
      <c r="D2115" s="28" t="s">
        <v>2058</v>
      </c>
      <c r="E2115" s="28">
        <v>1</v>
      </c>
      <c r="F2115" s="28" t="s">
        <v>2059</v>
      </c>
      <c r="G2115" s="14">
        <f>(VLOOKUP(D2115,'[1]BOM Info General'!$A:$L,12,0))*E2115</f>
        <v>35.56</v>
      </c>
      <c r="H2115" s="29" t="s">
        <v>39</v>
      </c>
      <c r="I2115" s="29">
        <v>1</v>
      </c>
      <c r="J2115" s="29" t="s">
        <v>46</v>
      </c>
      <c r="K2115" s="15">
        <f>(VLOOKUP(H2115,'[1]BOM Info General'!$A:$L,12,0))*I2115</f>
        <v>24.42</v>
      </c>
      <c r="L2115" s="26" t="s">
        <v>78</v>
      </c>
      <c r="M2115" s="26">
        <v>1</v>
      </c>
      <c r="N2115" s="26" t="s">
        <v>75</v>
      </c>
      <c r="O2115" s="9">
        <f>(VLOOKUP(L2115,'[1]Simulation pricing per sub assy'!$D:$E,2,0))*M2115</f>
        <v>43.608799999999988</v>
      </c>
      <c r="P2115" s="30" t="s">
        <v>52</v>
      </c>
      <c r="Q2115" s="30">
        <v>2</v>
      </c>
      <c r="R2115" s="30" t="s">
        <v>18</v>
      </c>
      <c r="S2115" s="40">
        <f>(VLOOKUP(P2115,'[1]BOM Info General'!$A:$L,12,0))*Q2115</f>
        <v>5.3</v>
      </c>
      <c r="T2115" s="31" t="s">
        <v>12</v>
      </c>
      <c r="U2115" s="31">
        <v>1</v>
      </c>
      <c r="V2115" s="31" t="s">
        <v>13</v>
      </c>
      <c r="W2115" s="17">
        <f>(VLOOKUP(T2115,'[1]Simulation pricing per sub assy'!$D:$E,2,0))*U2115</f>
        <v>1.9</v>
      </c>
      <c r="X2115" s="32" t="s">
        <v>615</v>
      </c>
      <c r="Y2115" s="32">
        <v>1</v>
      </c>
      <c r="Z2115" s="32" t="s">
        <v>9</v>
      </c>
      <c r="AA2115" s="18">
        <f>(VLOOKUP(X2115,'[1]Simulation pricing per sub assy'!$D:$E,2,0))*Y2115</f>
        <v>1.5769808000000001</v>
      </c>
    </row>
    <row r="2116" spans="1:27" x14ac:dyDescent="0.35">
      <c r="A2116" s="27" t="s">
        <v>3528</v>
      </c>
      <c r="B2116" s="27" t="s">
        <v>4823</v>
      </c>
      <c r="C2116" s="42">
        <f t="shared" si="33"/>
        <v>120.0357808</v>
      </c>
      <c r="D2116" s="28" t="s">
        <v>2058</v>
      </c>
      <c r="E2116" s="28">
        <v>1</v>
      </c>
      <c r="F2116" s="28" t="s">
        <v>2059</v>
      </c>
      <c r="G2116" s="14">
        <f>(VLOOKUP(D2116,'[1]BOM Info General'!$A:$L,12,0))*E2116</f>
        <v>35.56</v>
      </c>
      <c r="H2116" s="29" t="s">
        <v>39</v>
      </c>
      <c r="I2116" s="29">
        <v>1</v>
      </c>
      <c r="J2116" s="29" t="s">
        <v>46</v>
      </c>
      <c r="K2116" s="15">
        <f>(VLOOKUP(H2116,'[1]BOM Info General'!$A:$L,12,0))*I2116</f>
        <v>24.42</v>
      </c>
      <c r="L2116" s="26" t="s">
        <v>74</v>
      </c>
      <c r="M2116" s="26">
        <v>1</v>
      </c>
      <c r="N2116" s="26" t="s">
        <v>77</v>
      </c>
      <c r="O2116" s="9">
        <f>(VLOOKUP(L2116,'[1]Simulation pricing per sub assy'!$D:$E,2,0))*M2116</f>
        <v>51.27879999999999</v>
      </c>
      <c r="P2116" s="30" t="s">
        <v>52</v>
      </c>
      <c r="Q2116" s="30">
        <v>2</v>
      </c>
      <c r="R2116" s="30" t="s">
        <v>18</v>
      </c>
      <c r="S2116" s="40">
        <f>(VLOOKUP(P2116,'[1]BOM Info General'!$A:$L,12,0))*Q2116</f>
        <v>5.3</v>
      </c>
      <c r="T2116" s="31" t="s">
        <v>12</v>
      </c>
      <c r="U2116" s="31">
        <v>1</v>
      </c>
      <c r="V2116" s="31" t="s">
        <v>13</v>
      </c>
      <c r="W2116" s="17">
        <f>(VLOOKUP(T2116,'[1]Simulation pricing per sub assy'!$D:$E,2,0))*U2116</f>
        <v>1.9</v>
      </c>
      <c r="X2116" s="32" t="s">
        <v>615</v>
      </c>
      <c r="Y2116" s="32">
        <v>1</v>
      </c>
      <c r="Z2116" s="32" t="s">
        <v>9</v>
      </c>
      <c r="AA2116" s="18">
        <f>(VLOOKUP(X2116,'[1]Simulation pricing per sub assy'!$D:$E,2,0))*Y2116</f>
        <v>1.5769808000000001</v>
      </c>
    </row>
    <row r="2117" spans="1:27" x14ac:dyDescent="0.35">
      <c r="A2117" s="27" t="s">
        <v>3529</v>
      </c>
      <c r="B2117" s="27" t="s">
        <v>4824</v>
      </c>
      <c r="C2117" s="42">
        <f t="shared" si="33"/>
        <v>111.0657808</v>
      </c>
      <c r="D2117" s="28" t="s">
        <v>2058</v>
      </c>
      <c r="E2117" s="28">
        <v>1</v>
      </c>
      <c r="F2117" s="28" t="s">
        <v>2059</v>
      </c>
      <c r="G2117" s="14">
        <f>(VLOOKUP(D2117,'[1]BOM Info General'!$A:$L,12,0))*E2117</f>
        <v>35.56</v>
      </c>
      <c r="H2117" s="29" t="s">
        <v>39</v>
      </c>
      <c r="I2117" s="29">
        <v>1</v>
      </c>
      <c r="J2117" s="29" t="s">
        <v>46</v>
      </c>
      <c r="K2117" s="15">
        <f>(VLOOKUP(H2117,'[1]BOM Info General'!$A:$L,12,0))*I2117</f>
        <v>24.42</v>
      </c>
      <c r="L2117" s="26" t="s">
        <v>527</v>
      </c>
      <c r="M2117" s="26">
        <v>1</v>
      </c>
      <c r="N2117" s="26" t="s">
        <v>79</v>
      </c>
      <c r="O2117" s="9">
        <f>(VLOOKUP(L2117,'[1]Simulation pricing per sub assy'!$D:$E,2,0))*M2117</f>
        <v>42.308799999999991</v>
      </c>
      <c r="P2117" s="30" t="s">
        <v>52</v>
      </c>
      <c r="Q2117" s="30">
        <v>2</v>
      </c>
      <c r="R2117" s="30" t="s">
        <v>18</v>
      </c>
      <c r="S2117" s="40">
        <f>(VLOOKUP(P2117,'[1]BOM Info General'!$A:$L,12,0))*Q2117</f>
        <v>5.3</v>
      </c>
      <c r="T2117" s="31" t="s">
        <v>14</v>
      </c>
      <c r="U2117" s="31">
        <v>1</v>
      </c>
      <c r="V2117" s="31" t="s">
        <v>15</v>
      </c>
      <c r="W2117" s="17">
        <f>(VLOOKUP(T2117,'[1]Simulation pricing per sub assy'!$D:$E,2,0))*U2117</f>
        <v>1.9</v>
      </c>
      <c r="X2117" s="32" t="s">
        <v>615</v>
      </c>
      <c r="Y2117" s="32">
        <v>1</v>
      </c>
      <c r="Z2117" s="32" t="s">
        <v>9</v>
      </c>
      <c r="AA2117" s="18">
        <f>(VLOOKUP(X2117,'[1]Simulation pricing per sub assy'!$D:$E,2,0))*Y2117</f>
        <v>1.5769808000000001</v>
      </c>
    </row>
    <row r="2118" spans="1:27" x14ac:dyDescent="0.35">
      <c r="A2118" s="27" t="s">
        <v>3530</v>
      </c>
      <c r="B2118" s="27" t="s">
        <v>4825</v>
      </c>
      <c r="C2118" s="42">
        <f t="shared" si="33"/>
        <v>112.0457808</v>
      </c>
      <c r="D2118" s="28" t="s">
        <v>2058</v>
      </c>
      <c r="E2118" s="28">
        <v>1</v>
      </c>
      <c r="F2118" s="28" t="s">
        <v>2059</v>
      </c>
      <c r="G2118" s="14">
        <f>(VLOOKUP(D2118,'[1]BOM Info General'!$A:$L,12,0))*E2118</f>
        <v>35.56</v>
      </c>
      <c r="H2118" s="29" t="s">
        <v>39</v>
      </c>
      <c r="I2118" s="29">
        <v>1</v>
      </c>
      <c r="J2118" s="29" t="s">
        <v>46</v>
      </c>
      <c r="K2118" s="15">
        <f>(VLOOKUP(H2118,'[1]BOM Info General'!$A:$L,12,0))*I2118</f>
        <v>24.42</v>
      </c>
      <c r="L2118" s="26" t="s">
        <v>76</v>
      </c>
      <c r="M2118" s="26">
        <v>1</v>
      </c>
      <c r="N2118" s="26" t="s">
        <v>73</v>
      </c>
      <c r="O2118" s="9">
        <f>(VLOOKUP(L2118,'[1]Simulation pricing per sub assy'!$D:$E,2,0))*M2118</f>
        <v>43.288799999999988</v>
      </c>
      <c r="P2118" s="30" t="s">
        <v>52</v>
      </c>
      <c r="Q2118" s="30">
        <v>2</v>
      </c>
      <c r="R2118" s="30" t="s">
        <v>18</v>
      </c>
      <c r="S2118" s="40">
        <f>(VLOOKUP(P2118,'[1]BOM Info General'!$A:$L,12,0))*Q2118</f>
        <v>5.3</v>
      </c>
      <c r="T2118" s="31" t="s">
        <v>14</v>
      </c>
      <c r="U2118" s="31">
        <v>1</v>
      </c>
      <c r="V2118" s="31" t="s">
        <v>15</v>
      </c>
      <c r="W2118" s="17">
        <f>(VLOOKUP(T2118,'[1]Simulation pricing per sub assy'!$D:$E,2,0))*U2118</f>
        <v>1.9</v>
      </c>
      <c r="X2118" s="32" t="s">
        <v>615</v>
      </c>
      <c r="Y2118" s="32">
        <v>1</v>
      </c>
      <c r="Z2118" s="32" t="s">
        <v>9</v>
      </c>
      <c r="AA2118" s="18">
        <f>(VLOOKUP(X2118,'[1]Simulation pricing per sub assy'!$D:$E,2,0))*Y2118</f>
        <v>1.5769808000000001</v>
      </c>
    </row>
    <row r="2119" spans="1:27" x14ac:dyDescent="0.35">
      <c r="A2119" s="27" t="s">
        <v>3531</v>
      </c>
      <c r="B2119" s="27" t="s">
        <v>4826</v>
      </c>
      <c r="C2119" s="42">
        <f t="shared" si="33"/>
        <v>112.6257808</v>
      </c>
      <c r="D2119" s="28" t="s">
        <v>2058</v>
      </c>
      <c r="E2119" s="28">
        <v>1</v>
      </c>
      <c r="F2119" s="28" t="s">
        <v>2059</v>
      </c>
      <c r="G2119" s="14">
        <f>(VLOOKUP(D2119,'[1]BOM Info General'!$A:$L,12,0))*E2119</f>
        <v>35.56</v>
      </c>
      <c r="H2119" s="29" t="s">
        <v>39</v>
      </c>
      <c r="I2119" s="29">
        <v>1</v>
      </c>
      <c r="J2119" s="29" t="s">
        <v>46</v>
      </c>
      <c r="K2119" s="15">
        <f>(VLOOKUP(H2119,'[1]BOM Info General'!$A:$L,12,0))*I2119</f>
        <v>24.42</v>
      </c>
      <c r="L2119" s="26" t="s">
        <v>72</v>
      </c>
      <c r="M2119" s="26">
        <v>1</v>
      </c>
      <c r="N2119" s="26" t="s">
        <v>71</v>
      </c>
      <c r="O2119" s="9">
        <f>(VLOOKUP(L2119,'[1]Simulation pricing per sub assy'!$D:$E,2,0))*M2119</f>
        <v>43.868799999999993</v>
      </c>
      <c r="P2119" s="30" t="s">
        <v>52</v>
      </c>
      <c r="Q2119" s="30">
        <v>2</v>
      </c>
      <c r="R2119" s="30" t="s">
        <v>18</v>
      </c>
      <c r="S2119" s="40">
        <f>(VLOOKUP(P2119,'[1]BOM Info General'!$A:$L,12,0))*Q2119</f>
        <v>5.3</v>
      </c>
      <c r="T2119" s="31" t="s">
        <v>14</v>
      </c>
      <c r="U2119" s="31">
        <v>1</v>
      </c>
      <c r="V2119" s="31" t="s">
        <v>15</v>
      </c>
      <c r="W2119" s="17">
        <f>(VLOOKUP(T2119,'[1]Simulation pricing per sub assy'!$D:$E,2,0))*U2119</f>
        <v>1.9</v>
      </c>
      <c r="X2119" s="32" t="s">
        <v>615</v>
      </c>
      <c r="Y2119" s="32">
        <v>1</v>
      </c>
      <c r="Z2119" s="32" t="s">
        <v>9</v>
      </c>
      <c r="AA2119" s="18">
        <f>(VLOOKUP(X2119,'[1]Simulation pricing per sub assy'!$D:$E,2,0))*Y2119</f>
        <v>1.5769808000000001</v>
      </c>
    </row>
    <row r="2120" spans="1:27" x14ac:dyDescent="0.35">
      <c r="A2120" s="27" t="s">
        <v>3532</v>
      </c>
      <c r="B2120" s="27" t="s">
        <v>4827</v>
      </c>
      <c r="C2120" s="42">
        <f t="shared" si="33"/>
        <v>112.3657808</v>
      </c>
      <c r="D2120" s="28" t="s">
        <v>2058</v>
      </c>
      <c r="E2120" s="28">
        <v>1</v>
      </c>
      <c r="F2120" s="28" t="s">
        <v>2059</v>
      </c>
      <c r="G2120" s="14">
        <f>(VLOOKUP(D2120,'[1]BOM Info General'!$A:$L,12,0))*E2120</f>
        <v>35.56</v>
      </c>
      <c r="H2120" s="29" t="s">
        <v>39</v>
      </c>
      <c r="I2120" s="29">
        <v>1</v>
      </c>
      <c r="J2120" s="29" t="s">
        <v>46</v>
      </c>
      <c r="K2120" s="15">
        <f>(VLOOKUP(H2120,'[1]BOM Info General'!$A:$L,12,0))*I2120</f>
        <v>24.42</v>
      </c>
      <c r="L2120" s="26" t="s">
        <v>78</v>
      </c>
      <c r="M2120" s="26">
        <v>1</v>
      </c>
      <c r="N2120" s="26" t="s">
        <v>75</v>
      </c>
      <c r="O2120" s="9">
        <f>(VLOOKUP(L2120,'[1]Simulation pricing per sub assy'!$D:$E,2,0))*M2120</f>
        <v>43.608799999999988</v>
      </c>
      <c r="P2120" s="30" t="s">
        <v>52</v>
      </c>
      <c r="Q2120" s="30">
        <v>2</v>
      </c>
      <c r="R2120" s="30" t="s">
        <v>18</v>
      </c>
      <c r="S2120" s="40">
        <f>(VLOOKUP(P2120,'[1]BOM Info General'!$A:$L,12,0))*Q2120</f>
        <v>5.3</v>
      </c>
      <c r="T2120" s="31" t="s">
        <v>14</v>
      </c>
      <c r="U2120" s="31">
        <v>1</v>
      </c>
      <c r="V2120" s="31" t="s">
        <v>15</v>
      </c>
      <c r="W2120" s="17">
        <f>(VLOOKUP(T2120,'[1]Simulation pricing per sub assy'!$D:$E,2,0))*U2120</f>
        <v>1.9</v>
      </c>
      <c r="X2120" s="32" t="s">
        <v>615</v>
      </c>
      <c r="Y2120" s="32">
        <v>1</v>
      </c>
      <c r="Z2120" s="32" t="s">
        <v>9</v>
      </c>
      <c r="AA2120" s="18">
        <f>(VLOOKUP(X2120,'[1]Simulation pricing per sub assy'!$D:$E,2,0))*Y2120</f>
        <v>1.5769808000000001</v>
      </c>
    </row>
    <row r="2121" spans="1:27" x14ac:dyDescent="0.35">
      <c r="A2121" s="27" t="s">
        <v>3533</v>
      </c>
      <c r="B2121" s="27" t="s">
        <v>4828</v>
      </c>
      <c r="C2121" s="42">
        <f t="shared" si="33"/>
        <v>120.0357808</v>
      </c>
      <c r="D2121" s="28" t="s">
        <v>2058</v>
      </c>
      <c r="E2121" s="28">
        <v>1</v>
      </c>
      <c r="F2121" s="28" t="s">
        <v>2059</v>
      </c>
      <c r="G2121" s="14">
        <f>(VLOOKUP(D2121,'[1]BOM Info General'!$A:$L,12,0))*E2121</f>
        <v>35.56</v>
      </c>
      <c r="H2121" s="29" t="s">
        <v>39</v>
      </c>
      <c r="I2121" s="29">
        <v>1</v>
      </c>
      <c r="J2121" s="29" t="s">
        <v>46</v>
      </c>
      <c r="K2121" s="15">
        <f>(VLOOKUP(H2121,'[1]BOM Info General'!$A:$L,12,0))*I2121</f>
        <v>24.42</v>
      </c>
      <c r="L2121" s="26" t="s">
        <v>74</v>
      </c>
      <c r="M2121" s="26">
        <v>1</v>
      </c>
      <c r="N2121" s="26" t="s">
        <v>77</v>
      </c>
      <c r="O2121" s="9">
        <f>(VLOOKUP(L2121,'[1]Simulation pricing per sub assy'!$D:$E,2,0))*M2121</f>
        <v>51.27879999999999</v>
      </c>
      <c r="P2121" s="30" t="s">
        <v>52</v>
      </c>
      <c r="Q2121" s="30">
        <v>2</v>
      </c>
      <c r="R2121" s="30" t="s">
        <v>18</v>
      </c>
      <c r="S2121" s="40">
        <f>(VLOOKUP(P2121,'[1]BOM Info General'!$A:$L,12,0))*Q2121</f>
        <v>5.3</v>
      </c>
      <c r="T2121" s="31" t="s">
        <v>14</v>
      </c>
      <c r="U2121" s="31">
        <v>1</v>
      </c>
      <c r="V2121" s="31" t="s">
        <v>15</v>
      </c>
      <c r="W2121" s="17">
        <f>(VLOOKUP(T2121,'[1]Simulation pricing per sub assy'!$D:$E,2,0))*U2121</f>
        <v>1.9</v>
      </c>
      <c r="X2121" s="32" t="s">
        <v>615</v>
      </c>
      <c r="Y2121" s="32">
        <v>1</v>
      </c>
      <c r="Z2121" s="32" t="s">
        <v>9</v>
      </c>
      <c r="AA2121" s="18">
        <f>(VLOOKUP(X2121,'[1]Simulation pricing per sub assy'!$D:$E,2,0))*Y2121</f>
        <v>1.5769808000000001</v>
      </c>
    </row>
    <row r="2122" spans="1:27" x14ac:dyDescent="0.35">
      <c r="A2122" s="27" t="s">
        <v>3534</v>
      </c>
      <c r="B2122" s="27" t="s">
        <v>4829</v>
      </c>
      <c r="C2122" s="42">
        <f t="shared" si="33"/>
        <v>111.5057808</v>
      </c>
      <c r="D2122" s="28" t="s">
        <v>2058</v>
      </c>
      <c r="E2122" s="28">
        <v>1</v>
      </c>
      <c r="F2122" s="28" t="s">
        <v>2059</v>
      </c>
      <c r="G2122" s="14">
        <f>(VLOOKUP(D2122,'[1]BOM Info General'!$A:$L,12,0))*E2122</f>
        <v>35.56</v>
      </c>
      <c r="H2122" s="29" t="s">
        <v>39</v>
      </c>
      <c r="I2122" s="29">
        <v>1</v>
      </c>
      <c r="J2122" s="29" t="s">
        <v>46</v>
      </c>
      <c r="K2122" s="15">
        <f>(VLOOKUP(H2122,'[1]BOM Info General'!$A:$L,12,0))*I2122</f>
        <v>24.42</v>
      </c>
      <c r="L2122" s="26" t="s">
        <v>527</v>
      </c>
      <c r="M2122" s="26">
        <v>1</v>
      </c>
      <c r="N2122" s="26" t="s">
        <v>79</v>
      </c>
      <c r="O2122" s="9">
        <f>(VLOOKUP(L2122,'[1]Simulation pricing per sub assy'!$D:$E,2,0))*M2122</f>
        <v>42.308799999999991</v>
      </c>
      <c r="P2122" s="30" t="s">
        <v>50</v>
      </c>
      <c r="Q2122" s="30">
        <v>2</v>
      </c>
      <c r="R2122" s="30" t="s">
        <v>611</v>
      </c>
      <c r="S2122" s="40">
        <f>(VLOOKUP(P2122,'[1]BOM Info General'!$A:$L,12,0))*Q2122</f>
        <v>5.3</v>
      </c>
      <c r="T2122" s="31" t="s">
        <v>19</v>
      </c>
      <c r="U2122" s="31">
        <v>1</v>
      </c>
      <c r="V2122" s="31" t="s">
        <v>20</v>
      </c>
      <c r="W2122" s="17">
        <f>(VLOOKUP(T2122,'[1]Simulation pricing per sub assy'!$D:$E,2,0))*U2122</f>
        <v>2.3400000000000003</v>
      </c>
      <c r="X2122" s="32" t="s">
        <v>615</v>
      </c>
      <c r="Y2122" s="32">
        <v>1</v>
      </c>
      <c r="Z2122" s="32" t="s">
        <v>9</v>
      </c>
      <c r="AA2122" s="18">
        <f>(VLOOKUP(X2122,'[1]Simulation pricing per sub assy'!$D:$E,2,0))*Y2122</f>
        <v>1.5769808000000001</v>
      </c>
    </row>
    <row r="2123" spans="1:27" x14ac:dyDescent="0.35">
      <c r="A2123" s="27" t="s">
        <v>3535</v>
      </c>
      <c r="B2123" s="27" t="s">
        <v>4830</v>
      </c>
      <c r="C2123" s="42">
        <f t="shared" si="33"/>
        <v>112.4857808</v>
      </c>
      <c r="D2123" s="28" t="s">
        <v>2058</v>
      </c>
      <c r="E2123" s="28">
        <v>1</v>
      </c>
      <c r="F2123" s="28" t="s">
        <v>2059</v>
      </c>
      <c r="G2123" s="14">
        <f>(VLOOKUP(D2123,'[1]BOM Info General'!$A:$L,12,0))*E2123</f>
        <v>35.56</v>
      </c>
      <c r="H2123" s="29" t="s">
        <v>39</v>
      </c>
      <c r="I2123" s="29">
        <v>1</v>
      </c>
      <c r="J2123" s="29" t="s">
        <v>46</v>
      </c>
      <c r="K2123" s="15">
        <f>(VLOOKUP(H2123,'[1]BOM Info General'!$A:$L,12,0))*I2123</f>
        <v>24.42</v>
      </c>
      <c r="L2123" s="26" t="s">
        <v>76</v>
      </c>
      <c r="M2123" s="26">
        <v>1</v>
      </c>
      <c r="N2123" s="26" t="s">
        <v>73</v>
      </c>
      <c r="O2123" s="9">
        <f>(VLOOKUP(L2123,'[1]Simulation pricing per sub assy'!$D:$E,2,0))*M2123</f>
        <v>43.288799999999988</v>
      </c>
      <c r="P2123" s="30" t="s">
        <v>50</v>
      </c>
      <c r="Q2123" s="30">
        <v>2</v>
      </c>
      <c r="R2123" s="30" t="s">
        <v>611</v>
      </c>
      <c r="S2123" s="40">
        <f>(VLOOKUP(P2123,'[1]BOM Info General'!$A:$L,12,0))*Q2123</f>
        <v>5.3</v>
      </c>
      <c r="T2123" s="31" t="s">
        <v>19</v>
      </c>
      <c r="U2123" s="31">
        <v>1</v>
      </c>
      <c r="V2123" s="31" t="s">
        <v>20</v>
      </c>
      <c r="W2123" s="17">
        <f>(VLOOKUP(T2123,'[1]Simulation pricing per sub assy'!$D:$E,2,0))*U2123</f>
        <v>2.3400000000000003</v>
      </c>
      <c r="X2123" s="32" t="s">
        <v>615</v>
      </c>
      <c r="Y2123" s="32">
        <v>1</v>
      </c>
      <c r="Z2123" s="32" t="s">
        <v>9</v>
      </c>
      <c r="AA2123" s="18">
        <f>(VLOOKUP(X2123,'[1]Simulation pricing per sub assy'!$D:$E,2,0))*Y2123</f>
        <v>1.5769808000000001</v>
      </c>
    </row>
    <row r="2124" spans="1:27" x14ac:dyDescent="0.35">
      <c r="A2124" s="27" t="s">
        <v>3536</v>
      </c>
      <c r="B2124" s="27" t="s">
        <v>4831</v>
      </c>
      <c r="C2124" s="42">
        <f t="shared" si="33"/>
        <v>113.0657808</v>
      </c>
      <c r="D2124" s="28" t="s">
        <v>2058</v>
      </c>
      <c r="E2124" s="28">
        <v>1</v>
      </c>
      <c r="F2124" s="28" t="s">
        <v>2059</v>
      </c>
      <c r="G2124" s="14">
        <f>(VLOOKUP(D2124,'[1]BOM Info General'!$A:$L,12,0))*E2124</f>
        <v>35.56</v>
      </c>
      <c r="H2124" s="29" t="s">
        <v>39</v>
      </c>
      <c r="I2124" s="29">
        <v>1</v>
      </c>
      <c r="J2124" s="29" t="s">
        <v>46</v>
      </c>
      <c r="K2124" s="15">
        <f>(VLOOKUP(H2124,'[1]BOM Info General'!$A:$L,12,0))*I2124</f>
        <v>24.42</v>
      </c>
      <c r="L2124" s="26" t="s">
        <v>72</v>
      </c>
      <c r="M2124" s="26">
        <v>1</v>
      </c>
      <c r="N2124" s="26" t="s">
        <v>71</v>
      </c>
      <c r="O2124" s="9">
        <f>(VLOOKUP(L2124,'[1]Simulation pricing per sub assy'!$D:$E,2,0))*M2124</f>
        <v>43.868799999999993</v>
      </c>
      <c r="P2124" s="30" t="s">
        <v>50</v>
      </c>
      <c r="Q2124" s="30">
        <v>2</v>
      </c>
      <c r="R2124" s="30" t="s">
        <v>611</v>
      </c>
      <c r="S2124" s="40">
        <f>(VLOOKUP(P2124,'[1]BOM Info General'!$A:$L,12,0))*Q2124</f>
        <v>5.3</v>
      </c>
      <c r="T2124" s="31" t="s">
        <v>19</v>
      </c>
      <c r="U2124" s="31">
        <v>1</v>
      </c>
      <c r="V2124" s="31" t="s">
        <v>20</v>
      </c>
      <c r="W2124" s="17">
        <f>(VLOOKUP(T2124,'[1]Simulation pricing per sub assy'!$D:$E,2,0))*U2124</f>
        <v>2.3400000000000003</v>
      </c>
      <c r="X2124" s="32" t="s">
        <v>615</v>
      </c>
      <c r="Y2124" s="32">
        <v>1</v>
      </c>
      <c r="Z2124" s="32" t="s">
        <v>9</v>
      </c>
      <c r="AA2124" s="18">
        <f>(VLOOKUP(X2124,'[1]Simulation pricing per sub assy'!$D:$E,2,0))*Y2124</f>
        <v>1.5769808000000001</v>
      </c>
    </row>
    <row r="2125" spans="1:27" x14ac:dyDescent="0.35">
      <c r="A2125" s="27" t="s">
        <v>3537</v>
      </c>
      <c r="B2125" s="27" t="s">
        <v>4832</v>
      </c>
      <c r="C2125" s="42">
        <f t="shared" si="33"/>
        <v>112.80578079999999</v>
      </c>
      <c r="D2125" s="28" t="s">
        <v>2058</v>
      </c>
      <c r="E2125" s="28">
        <v>1</v>
      </c>
      <c r="F2125" s="28" t="s">
        <v>2059</v>
      </c>
      <c r="G2125" s="14">
        <f>(VLOOKUP(D2125,'[1]BOM Info General'!$A:$L,12,0))*E2125</f>
        <v>35.56</v>
      </c>
      <c r="H2125" s="29" t="s">
        <v>39</v>
      </c>
      <c r="I2125" s="29">
        <v>1</v>
      </c>
      <c r="J2125" s="29" t="s">
        <v>46</v>
      </c>
      <c r="K2125" s="15">
        <f>(VLOOKUP(H2125,'[1]BOM Info General'!$A:$L,12,0))*I2125</f>
        <v>24.42</v>
      </c>
      <c r="L2125" s="26" t="s">
        <v>78</v>
      </c>
      <c r="M2125" s="26">
        <v>1</v>
      </c>
      <c r="N2125" s="26" t="s">
        <v>75</v>
      </c>
      <c r="O2125" s="9">
        <f>(VLOOKUP(L2125,'[1]Simulation pricing per sub assy'!$D:$E,2,0))*M2125</f>
        <v>43.608799999999988</v>
      </c>
      <c r="P2125" s="30" t="s">
        <v>50</v>
      </c>
      <c r="Q2125" s="30">
        <v>2</v>
      </c>
      <c r="R2125" s="30" t="s">
        <v>611</v>
      </c>
      <c r="S2125" s="40">
        <f>(VLOOKUP(P2125,'[1]BOM Info General'!$A:$L,12,0))*Q2125</f>
        <v>5.3</v>
      </c>
      <c r="T2125" s="31" t="s">
        <v>19</v>
      </c>
      <c r="U2125" s="31">
        <v>1</v>
      </c>
      <c r="V2125" s="31" t="s">
        <v>20</v>
      </c>
      <c r="W2125" s="17">
        <f>(VLOOKUP(T2125,'[1]Simulation pricing per sub assy'!$D:$E,2,0))*U2125</f>
        <v>2.3400000000000003</v>
      </c>
      <c r="X2125" s="32" t="s">
        <v>615</v>
      </c>
      <c r="Y2125" s="32">
        <v>1</v>
      </c>
      <c r="Z2125" s="32" t="s">
        <v>9</v>
      </c>
      <c r="AA2125" s="18">
        <f>(VLOOKUP(X2125,'[1]Simulation pricing per sub assy'!$D:$E,2,0))*Y2125</f>
        <v>1.5769808000000001</v>
      </c>
    </row>
    <row r="2126" spans="1:27" x14ac:dyDescent="0.35">
      <c r="A2126" s="27" t="s">
        <v>3538</v>
      </c>
      <c r="B2126" s="27" t="s">
        <v>4833</v>
      </c>
      <c r="C2126" s="42">
        <f t="shared" si="33"/>
        <v>120.4757808</v>
      </c>
      <c r="D2126" s="28" t="s">
        <v>2058</v>
      </c>
      <c r="E2126" s="28">
        <v>1</v>
      </c>
      <c r="F2126" s="28" t="s">
        <v>2059</v>
      </c>
      <c r="G2126" s="14">
        <f>(VLOOKUP(D2126,'[1]BOM Info General'!$A:$L,12,0))*E2126</f>
        <v>35.56</v>
      </c>
      <c r="H2126" s="29" t="s">
        <v>39</v>
      </c>
      <c r="I2126" s="29">
        <v>1</v>
      </c>
      <c r="J2126" s="29" t="s">
        <v>46</v>
      </c>
      <c r="K2126" s="15">
        <f>(VLOOKUP(H2126,'[1]BOM Info General'!$A:$L,12,0))*I2126</f>
        <v>24.42</v>
      </c>
      <c r="L2126" s="26" t="s">
        <v>74</v>
      </c>
      <c r="M2126" s="26">
        <v>1</v>
      </c>
      <c r="N2126" s="26" t="s">
        <v>77</v>
      </c>
      <c r="O2126" s="9">
        <f>(VLOOKUP(L2126,'[1]Simulation pricing per sub assy'!$D:$E,2,0))*M2126</f>
        <v>51.27879999999999</v>
      </c>
      <c r="P2126" s="30" t="s">
        <v>50</v>
      </c>
      <c r="Q2126" s="30">
        <v>2</v>
      </c>
      <c r="R2126" s="30" t="s">
        <v>611</v>
      </c>
      <c r="S2126" s="40">
        <f>(VLOOKUP(P2126,'[1]BOM Info General'!$A:$L,12,0))*Q2126</f>
        <v>5.3</v>
      </c>
      <c r="T2126" s="31" t="s">
        <v>19</v>
      </c>
      <c r="U2126" s="31">
        <v>1</v>
      </c>
      <c r="V2126" s="31" t="s">
        <v>20</v>
      </c>
      <c r="W2126" s="17">
        <f>(VLOOKUP(T2126,'[1]Simulation pricing per sub assy'!$D:$E,2,0))*U2126</f>
        <v>2.3400000000000003</v>
      </c>
      <c r="X2126" s="32" t="s">
        <v>615</v>
      </c>
      <c r="Y2126" s="32">
        <v>1</v>
      </c>
      <c r="Z2126" s="32" t="s">
        <v>9</v>
      </c>
      <c r="AA2126" s="18">
        <f>(VLOOKUP(X2126,'[1]Simulation pricing per sub assy'!$D:$E,2,0))*Y2126</f>
        <v>1.5769808000000001</v>
      </c>
    </row>
    <row r="2127" spans="1:27" x14ac:dyDescent="0.35">
      <c r="A2127" s="27" t="s">
        <v>3539</v>
      </c>
      <c r="B2127" s="27" t="s">
        <v>4834</v>
      </c>
      <c r="C2127" s="42">
        <f t="shared" si="33"/>
        <v>283.24669080000001</v>
      </c>
      <c r="D2127" s="28" t="s">
        <v>3540</v>
      </c>
      <c r="E2127" s="28">
        <v>2</v>
      </c>
      <c r="F2127" s="28" t="s">
        <v>3541</v>
      </c>
      <c r="G2127" s="14">
        <f>(VLOOKUP(D2127,'[1]BOM Info General'!$A:$L,12,0))*E2127</f>
        <v>130.12</v>
      </c>
      <c r="H2127" s="29" t="s">
        <v>40</v>
      </c>
      <c r="I2127" s="29">
        <v>1</v>
      </c>
      <c r="J2127" s="29" t="s">
        <v>45</v>
      </c>
      <c r="K2127" s="15">
        <f>(VLOOKUP(H2127,'[1]BOM Info General'!$A:$L,12,0))*I2127</f>
        <v>25.59</v>
      </c>
      <c r="L2127" s="26" t="s">
        <v>528</v>
      </c>
      <c r="M2127" s="26">
        <v>1</v>
      </c>
      <c r="N2127" s="26" t="s">
        <v>88</v>
      </c>
      <c r="O2127" s="9">
        <f>(VLOOKUP(L2127,'[1]Simulation pricing per sub assy'!$D:$E,2,0))*M2127</f>
        <v>94.656400000000033</v>
      </c>
      <c r="P2127" s="30" t="s">
        <v>50</v>
      </c>
      <c r="Q2127" s="30">
        <v>8</v>
      </c>
      <c r="R2127" s="30" t="s">
        <v>611</v>
      </c>
      <c r="S2127" s="40">
        <f>(VLOOKUP(P2127,'[1]BOM Info General'!$A:$L,12,0))*Q2127</f>
        <v>21.2</v>
      </c>
      <c r="T2127" s="31" t="s">
        <v>21</v>
      </c>
      <c r="U2127" s="31">
        <v>1</v>
      </c>
      <c r="V2127" s="31" t="s">
        <v>22</v>
      </c>
      <c r="W2127" s="17">
        <f>(VLOOKUP(T2127,'[1]Simulation pricing per sub assy'!$D:$E,2,0))*U2127</f>
        <v>7.2</v>
      </c>
      <c r="X2127" s="32" t="s">
        <v>616</v>
      </c>
      <c r="Y2127" s="32">
        <v>1</v>
      </c>
      <c r="Z2127" s="32" t="s">
        <v>23</v>
      </c>
      <c r="AA2127" s="18">
        <f>(VLOOKUP(X2127,'[1]Simulation pricing per sub assy'!$D:$E,2,0))*Y2127</f>
        <v>4.4802908000000006</v>
      </c>
    </row>
    <row r="2128" spans="1:27" x14ac:dyDescent="0.35">
      <c r="A2128" s="27" t="s">
        <v>3542</v>
      </c>
      <c r="B2128" s="27" t="s">
        <v>4835</v>
      </c>
      <c r="C2128" s="42">
        <f t="shared" si="33"/>
        <v>284.34669080000003</v>
      </c>
      <c r="D2128" s="28" t="s">
        <v>3540</v>
      </c>
      <c r="E2128" s="28">
        <v>2</v>
      </c>
      <c r="F2128" s="28" t="s">
        <v>3541</v>
      </c>
      <c r="G2128" s="14">
        <f>(VLOOKUP(D2128,'[1]BOM Info General'!$A:$L,12,0))*E2128</f>
        <v>130.12</v>
      </c>
      <c r="H2128" s="29" t="s">
        <v>40</v>
      </c>
      <c r="I2128" s="29">
        <v>1</v>
      </c>
      <c r="J2128" s="29" t="s">
        <v>45</v>
      </c>
      <c r="K2128" s="15">
        <f>(VLOOKUP(H2128,'[1]BOM Info General'!$A:$L,12,0))*I2128</f>
        <v>25.59</v>
      </c>
      <c r="L2128" s="26" t="s">
        <v>85</v>
      </c>
      <c r="M2128" s="26">
        <v>1</v>
      </c>
      <c r="N2128" s="26" t="s">
        <v>82</v>
      </c>
      <c r="O2128" s="9">
        <f>(VLOOKUP(L2128,'[1]Simulation pricing per sub assy'!$D:$E,2,0))*M2128</f>
        <v>95.756400000000042</v>
      </c>
      <c r="P2128" s="30" t="s">
        <v>50</v>
      </c>
      <c r="Q2128" s="30">
        <v>8</v>
      </c>
      <c r="R2128" s="30" t="s">
        <v>611</v>
      </c>
      <c r="S2128" s="40">
        <f>(VLOOKUP(P2128,'[1]BOM Info General'!$A:$L,12,0))*Q2128</f>
        <v>21.2</v>
      </c>
      <c r="T2128" s="31" t="s">
        <v>21</v>
      </c>
      <c r="U2128" s="31">
        <v>1</v>
      </c>
      <c r="V2128" s="31" t="s">
        <v>22</v>
      </c>
      <c r="W2128" s="17">
        <f>(VLOOKUP(T2128,'[1]Simulation pricing per sub assy'!$D:$E,2,0))*U2128</f>
        <v>7.2</v>
      </c>
      <c r="X2128" s="32" t="s">
        <v>616</v>
      </c>
      <c r="Y2128" s="32">
        <v>1</v>
      </c>
      <c r="Z2128" s="32" t="s">
        <v>23</v>
      </c>
      <c r="AA2128" s="18">
        <f>(VLOOKUP(X2128,'[1]Simulation pricing per sub assy'!$D:$E,2,0))*Y2128</f>
        <v>4.4802908000000006</v>
      </c>
    </row>
    <row r="2129" spans="1:27" x14ac:dyDescent="0.35">
      <c r="A2129" s="27" t="s">
        <v>3543</v>
      </c>
      <c r="B2129" s="27" t="s">
        <v>4836</v>
      </c>
      <c r="C2129" s="42">
        <f t="shared" si="33"/>
        <v>284.34669080000003</v>
      </c>
      <c r="D2129" s="28" t="s">
        <v>3540</v>
      </c>
      <c r="E2129" s="28">
        <v>2</v>
      </c>
      <c r="F2129" s="28" t="s">
        <v>3541</v>
      </c>
      <c r="G2129" s="14">
        <f>(VLOOKUP(D2129,'[1]BOM Info General'!$A:$L,12,0))*E2129</f>
        <v>130.12</v>
      </c>
      <c r="H2129" s="29" t="s">
        <v>40</v>
      </c>
      <c r="I2129" s="29">
        <v>1</v>
      </c>
      <c r="J2129" s="29" t="s">
        <v>45</v>
      </c>
      <c r="K2129" s="15">
        <f>(VLOOKUP(H2129,'[1]BOM Info General'!$A:$L,12,0))*I2129</f>
        <v>25.59</v>
      </c>
      <c r="L2129" s="26" t="s">
        <v>81</v>
      </c>
      <c r="M2129" s="26">
        <v>1</v>
      </c>
      <c r="N2129" s="26" t="s">
        <v>80</v>
      </c>
      <c r="O2129" s="9">
        <f>(VLOOKUP(L2129,'[1]Simulation pricing per sub assy'!$D:$E,2,0))*M2129</f>
        <v>95.756400000000042</v>
      </c>
      <c r="P2129" s="30" t="s">
        <v>50</v>
      </c>
      <c r="Q2129" s="30">
        <v>8</v>
      </c>
      <c r="R2129" s="30" t="s">
        <v>611</v>
      </c>
      <c r="S2129" s="40">
        <f>(VLOOKUP(P2129,'[1]BOM Info General'!$A:$L,12,0))*Q2129</f>
        <v>21.2</v>
      </c>
      <c r="T2129" s="31" t="s">
        <v>21</v>
      </c>
      <c r="U2129" s="31">
        <v>1</v>
      </c>
      <c r="V2129" s="31" t="s">
        <v>22</v>
      </c>
      <c r="W2129" s="17">
        <f>(VLOOKUP(T2129,'[1]Simulation pricing per sub assy'!$D:$E,2,0))*U2129</f>
        <v>7.2</v>
      </c>
      <c r="X2129" s="32" t="s">
        <v>616</v>
      </c>
      <c r="Y2129" s="32">
        <v>1</v>
      </c>
      <c r="Z2129" s="32" t="s">
        <v>23</v>
      </c>
      <c r="AA2129" s="18">
        <f>(VLOOKUP(X2129,'[1]Simulation pricing per sub assy'!$D:$E,2,0))*Y2129</f>
        <v>4.4802908000000006</v>
      </c>
    </row>
    <row r="2130" spans="1:27" x14ac:dyDescent="0.35">
      <c r="A2130" s="27" t="s">
        <v>3544</v>
      </c>
      <c r="B2130" s="27" t="s">
        <v>4837</v>
      </c>
      <c r="C2130" s="42">
        <f t="shared" si="33"/>
        <v>283.79669080000002</v>
      </c>
      <c r="D2130" s="28" t="s">
        <v>3540</v>
      </c>
      <c r="E2130" s="28">
        <v>2</v>
      </c>
      <c r="F2130" s="28" t="s">
        <v>3541</v>
      </c>
      <c r="G2130" s="14">
        <f>(VLOOKUP(D2130,'[1]BOM Info General'!$A:$L,12,0))*E2130</f>
        <v>130.12</v>
      </c>
      <c r="H2130" s="29" t="s">
        <v>40</v>
      </c>
      <c r="I2130" s="29">
        <v>1</v>
      </c>
      <c r="J2130" s="29" t="s">
        <v>45</v>
      </c>
      <c r="K2130" s="15">
        <f>(VLOOKUP(H2130,'[1]BOM Info General'!$A:$L,12,0))*I2130</f>
        <v>25.59</v>
      </c>
      <c r="L2130" s="26" t="s">
        <v>87</v>
      </c>
      <c r="M2130" s="26">
        <v>1</v>
      </c>
      <c r="N2130" s="26" t="s">
        <v>84</v>
      </c>
      <c r="O2130" s="9">
        <f>(VLOOKUP(L2130,'[1]Simulation pricing per sub assy'!$D:$E,2,0))*M2130</f>
        <v>95.206400000000031</v>
      </c>
      <c r="P2130" s="30" t="s">
        <v>50</v>
      </c>
      <c r="Q2130" s="30">
        <v>8</v>
      </c>
      <c r="R2130" s="30" t="s">
        <v>611</v>
      </c>
      <c r="S2130" s="40">
        <f>(VLOOKUP(P2130,'[1]BOM Info General'!$A:$L,12,0))*Q2130</f>
        <v>21.2</v>
      </c>
      <c r="T2130" s="31" t="s">
        <v>21</v>
      </c>
      <c r="U2130" s="31">
        <v>1</v>
      </c>
      <c r="V2130" s="31" t="s">
        <v>22</v>
      </c>
      <c r="W2130" s="17">
        <f>(VLOOKUP(T2130,'[1]Simulation pricing per sub assy'!$D:$E,2,0))*U2130</f>
        <v>7.2</v>
      </c>
      <c r="X2130" s="32" t="s">
        <v>616</v>
      </c>
      <c r="Y2130" s="32">
        <v>1</v>
      </c>
      <c r="Z2130" s="32" t="s">
        <v>23</v>
      </c>
      <c r="AA2130" s="18">
        <f>(VLOOKUP(X2130,'[1]Simulation pricing per sub assy'!$D:$E,2,0))*Y2130</f>
        <v>4.4802908000000006</v>
      </c>
    </row>
    <row r="2131" spans="1:27" x14ac:dyDescent="0.35">
      <c r="A2131" s="27" t="s">
        <v>3545</v>
      </c>
      <c r="B2131" s="27" t="s">
        <v>4838</v>
      </c>
      <c r="C2131" s="42">
        <f t="shared" si="33"/>
        <v>291.7566908</v>
      </c>
      <c r="D2131" s="28" t="s">
        <v>3540</v>
      </c>
      <c r="E2131" s="28">
        <v>2</v>
      </c>
      <c r="F2131" s="28" t="s">
        <v>3541</v>
      </c>
      <c r="G2131" s="14">
        <f>(VLOOKUP(D2131,'[1]BOM Info General'!$A:$L,12,0))*E2131</f>
        <v>130.12</v>
      </c>
      <c r="H2131" s="29" t="s">
        <v>40</v>
      </c>
      <c r="I2131" s="29">
        <v>1</v>
      </c>
      <c r="J2131" s="29" t="s">
        <v>45</v>
      </c>
      <c r="K2131" s="15">
        <f>(VLOOKUP(H2131,'[1]BOM Info General'!$A:$L,12,0))*I2131</f>
        <v>25.59</v>
      </c>
      <c r="L2131" s="26" t="s">
        <v>83</v>
      </c>
      <c r="M2131" s="26">
        <v>1</v>
      </c>
      <c r="N2131" s="26" t="s">
        <v>86</v>
      </c>
      <c r="O2131" s="9">
        <f>(VLOOKUP(L2131,'[1]Simulation pricing per sub assy'!$D:$E,2,0))*M2131</f>
        <v>103.16640000000004</v>
      </c>
      <c r="P2131" s="30" t="s">
        <v>50</v>
      </c>
      <c r="Q2131" s="30">
        <v>8</v>
      </c>
      <c r="R2131" s="30" t="s">
        <v>611</v>
      </c>
      <c r="S2131" s="40">
        <f>(VLOOKUP(P2131,'[1]BOM Info General'!$A:$L,12,0))*Q2131</f>
        <v>21.2</v>
      </c>
      <c r="T2131" s="31" t="s">
        <v>21</v>
      </c>
      <c r="U2131" s="31">
        <v>1</v>
      </c>
      <c r="V2131" s="31" t="s">
        <v>22</v>
      </c>
      <c r="W2131" s="17">
        <f>(VLOOKUP(T2131,'[1]Simulation pricing per sub assy'!$D:$E,2,0))*U2131</f>
        <v>7.2</v>
      </c>
      <c r="X2131" s="32" t="s">
        <v>616</v>
      </c>
      <c r="Y2131" s="32">
        <v>1</v>
      </c>
      <c r="Z2131" s="32" t="s">
        <v>23</v>
      </c>
      <c r="AA2131" s="18">
        <f>(VLOOKUP(X2131,'[1]Simulation pricing per sub assy'!$D:$E,2,0))*Y2131</f>
        <v>4.4802908000000006</v>
      </c>
    </row>
    <row r="2132" spans="1:27" x14ac:dyDescent="0.35">
      <c r="A2132" s="27" t="s">
        <v>3546</v>
      </c>
      <c r="B2132" s="27" t="s">
        <v>4839</v>
      </c>
      <c r="C2132" s="42">
        <f t="shared" si="33"/>
        <v>282.48669080000002</v>
      </c>
      <c r="D2132" s="28" t="s">
        <v>3540</v>
      </c>
      <c r="E2132" s="28">
        <v>2</v>
      </c>
      <c r="F2132" s="28" t="s">
        <v>3541</v>
      </c>
      <c r="G2132" s="14">
        <f>(VLOOKUP(D2132,'[1]BOM Info General'!$A:$L,12,0))*E2132</f>
        <v>130.12</v>
      </c>
      <c r="H2132" s="29" t="s">
        <v>40</v>
      </c>
      <c r="I2132" s="29">
        <v>1</v>
      </c>
      <c r="J2132" s="29" t="s">
        <v>45</v>
      </c>
      <c r="K2132" s="15">
        <f>(VLOOKUP(H2132,'[1]BOM Info General'!$A:$L,12,0))*I2132</f>
        <v>25.59</v>
      </c>
      <c r="L2132" s="26" t="s">
        <v>528</v>
      </c>
      <c r="M2132" s="26">
        <v>1</v>
      </c>
      <c r="N2132" s="26" t="s">
        <v>88</v>
      </c>
      <c r="O2132" s="9">
        <f>(VLOOKUP(L2132,'[1]Simulation pricing per sub assy'!$D:$E,2,0))*M2132</f>
        <v>94.656400000000033</v>
      </c>
      <c r="P2132" s="30" t="s">
        <v>50</v>
      </c>
      <c r="Q2132" s="30">
        <v>8</v>
      </c>
      <c r="R2132" s="30" t="s">
        <v>16</v>
      </c>
      <c r="S2132" s="40">
        <f>(VLOOKUP(P2132,'[1]BOM Info General'!$A:$L,12,0))*Q2132</f>
        <v>21.2</v>
      </c>
      <c r="T2132" s="31" t="s">
        <v>24</v>
      </c>
      <c r="U2132" s="31">
        <v>1</v>
      </c>
      <c r="V2132" s="31" t="s">
        <v>25</v>
      </c>
      <c r="W2132" s="17">
        <f>(VLOOKUP(T2132,'[1]Simulation pricing per sub assy'!$D:$E,2,0))*U2132</f>
        <v>6.44</v>
      </c>
      <c r="X2132" s="32" t="s">
        <v>616</v>
      </c>
      <c r="Y2132" s="32">
        <v>1</v>
      </c>
      <c r="Z2132" s="32" t="s">
        <v>23</v>
      </c>
      <c r="AA2132" s="18">
        <f>(VLOOKUP(X2132,'[1]Simulation pricing per sub assy'!$D:$E,2,0))*Y2132</f>
        <v>4.4802908000000006</v>
      </c>
    </row>
    <row r="2133" spans="1:27" x14ac:dyDescent="0.35">
      <c r="A2133" s="27" t="s">
        <v>3547</v>
      </c>
      <c r="B2133" s="27" t="s">
        <v>4840</v>
      </c>
      <c r="C2133" s="42">
        <f t="shared" si="33"/>
        <v>283.58669080000004</v>
      </c>
      <c r="D2133" s="28" t="s">
        <v>3540</v>
      </c>
      <c r="E2133" s="28">
        <v>2</v>
      </c>
      <c r="F2133" s="28" t="s">
        <v>3541</v>
      </c>
      <c r="G2133" s="14">
        <f>(VLOOKUP(D2133,'[1]BOM Info General'!$A:$L,12,0))*E2133</f>
        <v>130.12</v>
      </c>
      <c r="H2133" s="29" t="s">
        <v>40</v>
      </c>
      <c r="I2133" s="29">
        <v>1</v>
      </c>
      <c r="J2133" s="29" t="s">
        <v>45</v>
      </c>
      <c r="K2133" s="15">
        <f>(VLOOKUP(H2133,'[1]BOM Info General'!$A:$L,12,0))*I2133</f>
        <v>25.59</v>
      </c>
      <c r="L2133" s="26" t="s">
        <v>85</v>
      </c>
      <c r="M2133" s="26">
        <v>1</v>
      </c>
      <c r="N2133" s="26" t="s">
        <v>82</v>
      </c>
      <c r="O2133" s="9">
        <f>(VLOOKUP(L2133,'[1]Simulation pricing per sub assy'!$D:$E,2,0))*M2133</f>
        <v>95.756400000000042</v>
      </c>
      <c r="P2133" s="30" t="s">
        <v>50</v>
      </c>
      <c r="Q2133" s="30">
        <v>8</v>
      </c>
      <c r="R2133" s="30" t="s">
        <v>16</v>
      </c>
      <c r="S2133" s="40">
        <f>(VLOOKUP(P2133,'[1]BOM Info General'!$A:$L,12,0))*Q2133</f>
        <v>21.2</v>
      </c>
      <c r="T2133" s="31" t="s">
        <v>24</v>
      </c>
      <c r="U2133" s="31">
        <v>1</v>
      </c>
      <c r="V2133" s="31" t="s">
        <v>25</v>
      </c>
      <c r="W2133" s="17">
        <f>(VLOOKUP(T2133,'[1]Simulation pricing per sub assy'!$D:$E,2,0))*U2133</f>
        <v>6.44</v>
      </c>
      <c r="X2133" s="32" t="s">
        <v>616</v>
      </c>
      <c r="Y2133" s="32">
        <v>1</v>
      </c>
      <c r="Z2133" s="32" t="s">
        <v>23</v>
      </c>
      <c r="AA2133" s="18">
        <f>(VLOOKUP(X2133,'[1]Simulation pricing per sub assy'!$D:$E,2,0))*Y2133</f>
        <v>4.4802908000000006</v>
      </c>
    </row>
    <row r="2134" spans="1:27" x14ac:dyDescent="0.35">
      <c r="A2134" s="27" t="s">
        <v>3548</v>
      </c>
      <c r="B2134" s="27" t="s">
        <v>4841</v>
      </c>
      <c r="C2134" s="42">
        <f t="shared" si="33"/>
        <v>283.58669080000004</v>
      </c>
      <c r="D2134" s="28" t="s">
        <v>3540</v>
      </c>
      <c r="E2134" s="28">
        <v>2</v>
      </c>
      <c r="F2134" s="28" t="s">
        <v>3541</v>
      </c>
      <c r="G2134" s="14">
        <f>(VLOOKUP(D2134,'[1]BOM Info General'!$A:$L,12,0))*E2134</f>
        <v>130.12</v>
      </c>
      <c r="H2134" s="29" t="s">
        <v>40</v>
      </c>
      <c r="I2134" s="29">
        <v>1</v>
      </c>
      <c r="J2134" s="29" t="s">
        <v>45</v>
      </c>
      <c r="K2134" s="15">
        <f>(VLOOKUP(H2134,'[1]BOM Info General'!$A:$L,12,0))*I2134</f>
        <v>25.59</v>
      </c>
      <c r="L2134" s="26" t="s">
        <v>81</v>
      </c>
      <c r="M2134" s="26">
        <v>1</v>
      </c>
      <c r="N2134" s="26" t="s">
        <v>80</v>
      </c>
      <c r="O2134" s="9">
        <f>(VLOOKUP(L2134,'[1]Simulation pricing per sub assy'!$D:$E,2,0))*M2134</f>
        <v>95.756400000000042</v>
      </c>
      <c r="P2134" s="30" t="s">
        <v>50</v>
      </c>
      <c r="Q2134" s="30">
        <v>8</v>
      </c>
      <c r="R2134" s="30" t="s">
        <v>16</v>
      </c>
      <c r="S2134" s="40">
        <f>(VLOOKUP(P2134,'[1]BOM Info General'!$A:$L,12,0))*Q2134</f>
        <v>21.2</v>
      </c>
      <c r="T2134" s="31" t="s">
        <v>24</v>
      </c>
      <c r="U2134" s="31">
        <v>1</v>
      </c>
      <c r="V2134" s="31" t="s">
        <v>25</v>
      </c>
      <c r="W2134" s="17">
        <f>(VLOOKUP(T2134,'[1]Simulation pricing per sub assy'!$D:$E,2,0))*U2134</f>
        <v>6.44</v>
      </c>
      <c r="X2134" s="32" t="s">
        <v>616</v>
      </c>
      <c r="Y2134" s="32">
        <v>1</v>
      </c>
      <c r="Z2134" s="32" t="s">
        <v>23</v>
      </c>
      <c r="AA2134" s="18">
        <f>(VLOOKUP(X2134,'[1]Simulation pricing per sub assy'!$D:$E,2,0))*Y2134</f>
        <v>4.4802908000000006</v>
      </c>
    </row>
    <row r="2135" spans="1:27" x14ac:dyDescent="0.35">
      <c r="A2135" s="27" t="s">
        <v>3549</v>
      </c>
      <c r="B2135" s="27" t="s">
        <v>4842</v>
      </c>
      <c r="C2135" s="42">
        <f t="shared" si="33"/>
        <v>283.03669080000003</v>
      </c>
      <c r="D2135" s="28" t="s">
        <v>3540</v>
      </c>
      <c r="E2135" s="28">
        <v>2</v>
      </c>
      <c r="F2135" s="28" t="s">
        <v>3541</v>
      </c>
      <c r="G2135" s="14">
        <f>(VLOOKUP(D2135,'[1]BOM Info General'!$A:$L,12,0))*E2135</f>
        <v>130.12</v>
      </c>
      <c r="H2135" s="29" t="s">
        <v>40</v>
      </c>
      <c r="I2135" s="29">
        <v>1</v>
      </c>
      <c r="J2135" s="29" t="s">
        <v>45</v>
      </c>
      <c r="K2135" s="15">
        <f>(VLOOKUP(H2135,'[1]BOM Info General'!$A:$L,12,0))*I2135</f>
        <v>25.59</v>
      </c>
      <c r="L2135" s="26" t="s">
        <v>87</v>
      </c>
      <c r="M2135" s="26">
        <v>1</v>
      </c>
      <c r="N2135" s="26" t="s">
        <v>84</v>
      </c>
      <c r="O2135" s="9">
        <f>(VLOOKUP(L2135,'[1]Simulation pricing per sub assy'!$D:$E,2,0))*M2135</f>
        <v>95.206400000000031</v>
      </c>
      <c r="P2135" s="30" t="s">
        <v>50</v>
      </c>
      <c r="Q2135" s="30">
        <v>8</v>
      </c>
      <c r="R2135" s="30" t="s">
        <v>16</v>
      </c>
      <c r="S2135" s="40">
        <f>(VLOOKUP(P2135,'[1]BOM Info General'!$A:$L,12,0))*Q2135</f>
        <v>21.2</v>
      </c>
      <c r="T2135" s="31" t="s">
        <v>24</v>
      </c>
      <c r="U2135" s="31">
        <v>1</v>
      </c>
      <c r="V2135" s="31" t="s">
        <v>25</v>
      </c>
      <c r="W2135" s="17">
        <f>(VLOOKUP(T2135,'[1]Simulation pricing per sub assy'!$D:$E,2,0))*U2135</f>
        <v>6.44</v>
      </c>
      <c r="X2135" s="32" t="s">
        <v>616</v>
      </c>
      <c r="Y2135" s="32">
        <v>1</v>
      </c>
      <c r="Z2135" s="32" t="s">
        <v>23</v>
      </c>
      <c r="AA2135" s="18">
        <f>(VLOOKUP(X2135,'[1]Simulation pricing per sub assy'!$D:$E,2,0))*Y2135</f>
        <v>4.4802908000000006</v>
      </c>
    </row>
    <row r="2136" spans="1:27" x14ac:dyDescent="0.35">
      <c r="A2136" s="27" t="s">
        <v>3550</v>
      </c>
      <c r="B2136" s="27" t="s">
        <v>4843</v>
      </c>
      <c r="C2136" s="42">
        <f t="shared" si="33"/>
        <v>290.99669080000001</v>
      </c>
      <c r="D2136" s="28" t="s">
        <v>3540</v>
      </c>
      <c r="E2136" s="28">
        <v>2</v>
      </c>
      <c r="F2136" s="28" t="s">
        <v>3541</v>
      </c>
      <c r="G2136" s="14">
        <f>(VLOOKUP(D2136,'[1]BOM Info General'!$A:$L,12,0))*E2136</f>
        <v>130.12</v>
      </c>
      <c r="H2136" s="29" t="s">
        <v>40</v>
      </c>
      <c r="I2136" s="29">
        <v>1</v>
      </c>
      <c r="J2136" s="29" t="s">
        <v>45</v>
      </c>
      <c r="K2136" s="15">
        <f>(VLOOKUP(H2136,'[1]BOM Info General'!$A:$L,12,0))*I2136</f>
        <v>25.59</v>
      </c>
      <c r="L2136" s="26" t="s">
        <v>83</v>
      </c>
      <c r="M2136" s="26">
        <v>1</v>
      </c>
      <c r="N2136" s="26" t="s">
        <v>86</v>
      </c>
      <c r="O2136" s="9">
        <f>(VLOOKUP(L2136,'[1]Simulation pricing per sub assy'!$D:$E,2,0))*M2136</f>
        <v>103.16640000000004</v>
      </c>
      <c r="P2136" s="30" t="s">
        <v>50</v>
      </c>
      <c r="Q2136" s="30">
        <v>8</v>
      </c>
      <c r="R2136" s="30" t="s">
        <v>16</v>
      </c>
      <c r="S2136" s="40">
        <f>(VLOOKUP(P2136,'[1]BOM Info General'!$A:$L,12,0))*Q2136</f>
        <v>21.2</v>
      </c>
      <c r="T2136" s="31" t="s">
        <v>24</v>
      </c>
      <c r="U2136" s="31">
        <v>1</v>
      </c>
      <c r="V2136" s="31" t="s">
        <v>25</v>
      </c>
      <c r="W2136" s="17">
        <f>(VLOOKUP(T2136,'[1]Simulation pricing per sub assy'!$D:$E,2,0))*U2136</f>
        <v>6.44</v>
      </c>
      <c r="X2136" s="32" t="s">
        <v>616</v>
      </c>
      <c r="Y2136" s="32">
        <v>1</v>
      </c>
      <c r="Z2136" s="32" t="s">
        <v>23</v>
      </c>
      <c r="AA2136" s="18">
        <f>(VLOOKUP(X2136,'[1]Simulation pricing per sub assy'!$D:$E,2,0))*Y2136</f>
        <v>4.4802908000000006</v>
      </c>
    </row>
    <row r="2137" spans="1:27" x14ac:dyDescent="0.35">
      <c r="A2137" s="27" t="s">
        <v>3551</v>
      </c>
      <c r="B2137" s="27" t="s">
        <v>4844</v>
      </c>
      <c r="C2137" s="42">
        <f t="shared" si="33"/>
        <v>283.08669080000004</v>
      </c>
      <c r="D2137" s="28" t="s">
        <v>3540</v>
      </c>
      <c r="E2137" s="28">
        <v>2</v>
      </c>
      <c r="F2137" s="28" t="s">
        <v>3541</v>
      </c>
      <c r="G2137" s="14">
        <f>(VLOOKUP(D2137,'[1]BOM Info General'!$A:$L,12,0))*E2137</f>
        <v>130.12</v>
      </c>
      <c r="H2137" s="29" t="s">
        <v>40</v>
      </c>
      <c r="I2137" s="29">
        <v>1</v>
      </c>
      <c r="J2137" s="29" t="s">
        <v>45</v>
      </c>
      <c r="K2137" s="15">
        <f>(VLOOKUP(H2137,'[1]BOM Info General'!$A:$L,12,0))*I2137</f>
        <v>25.59</v>
      </c>
      <c r="L2137" s="26" t="s">
        <v>528</v>
      </c>
      <c r="M2137" s="26">
        <v>1</v>
      </c>
      <c r="N2137" s="26" t="s">
        <v>88</v>
      </c>
      <c r="O2137" s="9">
        <f>(VLOOKUP(L2137,'[1]Simulation pricing per sub assy'!$D:$E,2,0))*M2137</f>
        <v>94.656400000000033</v>
      </c>
      <c r="P2137" s="30" t="s">
        <v>50</v>
      </c>
      <c r="Q2137" s="30">
        <v>8</v>
      </c>
      <c r="R2137" s="30" t="s">
        <v>16</v>
      </c>
      <c r="S2137" s="40">
        <f>(VLOOKUP(P2137,'[1]BOM Info General'!$A:$L,12,0))*Q2137</f>
        <v>21.2</v>
      </c>
      <c r="T2137" s="31" t="s">
        <v>26</v>
      </c>
      <c r="U2137" s="31">
        <v>1</v>
      </c>
      <c r="V2137" s="31" t="s">
        <v>27</v>
      </c>
      <c r="W2137" s="17">
        <f>(VLOOKUP(T2137,'[1]Simulation pricing per sub assy'!$D:$E,2,0))*U2137</f>
        <v>7.04</v>
      </c>
      <c r="X2137" s="32" t="s">
        <v>616</v>
      </c>
      <c r="Y2137" s="32">
        <v>1</v>
      </c>
      <c r="Z2137" s="32" t="s">
        <v>23</v>
      </c>
      <c r="AA2137" s="18">
        <f>(VLOOKUP(X2137,'[1]Simulation pricing per sub assy'!$D:$E,2,0))*Y2137</f>
        <v>4.4802908000000006</v>
      </c>
    </row>
    <row r="2138" spans="1:27" x14ac:dyDescent="0.35">
      <c r="A2138" s="27" t="s">
        <v>3552</v>
      </c>
      <c r="B2138" s="27" t="s">
        <v>4845</v>
      </c>
      <c r="C2138" s="42">
        <f t="shared" si="33"/>
        <v>284.18669080000006</v>
      </c>
      <c r="D2138" s="28" t="s">
        <v>3540</v>
      </c>
      <c r="E2138" s="28">
        <v>2</v>
      </c>
      <c r="F2138" s="28" t="s">
        <v>3541</v>
      </c>
      <c r="G2138" s="14">
        <f>(VLOOKUP(D2138,'[1]BOM Info General'!$A:$L,12,0))*E2138</f>
        <v>130.12</v>
      </c>
      <c r="H2138" s="29" t="s">
        <v>40</v>
      </c>
      <c r="I2138" s="29">
        <v>1</v>
      </c>
      <c r="J2138" s="29" t="s">
        <v>45</v>
      </c>
      <c r="K2138" s="15">
        <f>(VLOOKUP(H2138,'[1]BOM Info General'!$A:$L,12,0))*I2138</f>
        <v>25.59</v>
      </c>
      <c r="L2138" s="26" t="s">
        <v>85</v>
      </c>
      <c r="M2138" s="26">
        <v>1</v>
      </c>
      <c r="N2138" s="26" t="s">
        <v>82</v>
      </c>
      <c r="O2138" s="9">
        <f>(VLOOKUP(L2138,'[1]Simulation pricing per sub assy'!$D:$E,2,0))*M2138</f>
        <v>95.756400000000042</v>
      </c>
      <c r="P2138" s="30" t="s">
        <v>50</v>
      </c>
      <c r="Q2138" s="30">
        <v>8</v>
      </c>
      <c r="R2138" s="30" t="s">
        <v>16</v>
      </c>
      <c r="S2138" s="40">
        <f>(VLOOKUP(P2138,'[1]BOM Info General'!$A:$L,12,0))*Q2138</f>
        <v>21.2</v>
      </c>
      <c r="T2138" s="31" t="s">
        <v>26</v>
      </c>
      <c r="U2138" s="31">
        <v>1</v>
      </c>
      <c r="V2138" s="31" t="s">
        <v>27</v>
      </c>
      <c r="W2138" s="17">
        <f>(VLOOKUP(T2138,'[1]Simulation pricing per sub assy'!$D:$E,2,0))*U2138</f>
        <v>7.04</v>
      </c>
      <c r="X2138" s="32" t="s">
        <v>616</v>
      </c>
      <c r="Y2138" s="32">
        <v>1</v>
      </c>
      <c r="Z2138" s="32" t="s">
        <v>23</v>
      </c>
      <c r="AA2138" s="18">
        <f>(VLOOKUP(X2138,'[1]Simulation pricing per sub assy'!$D:$E,2,0))*Y2138</f>
        <v>4.4802908000000006</v>
      </c>
    </row>
    <row r="2139" spans="1:27" x14ac:dyDescent="0.35">
      <c r="A2139" s="27" t="s">
        <v>3553</v>
      </c>
      <c r="B2139" s="27" t="s">
        <v>4846</v>
      </c>
      <c r="C2139" s="42">
        <f t="shared" si="33"/>
        <v>284.18669080000006</v>
      </c>
      <c r="D2139" s="28" t="s">
        <v>3540</v>
      </c>
      <c r="E2139" s="28">
        <v>2</v>
      </c>
      <c r="F2139" s="28" t="s">
        <v>3541</v>
      </c>
      <c r="G2139" s="14">
        <f>(VLOOKUP(D2139,'[1]BOM Info General'!$A:$L,12,0))*E2139</f>
        <v>130.12</v>
      </c>
      <c r="H2139" s="29" t="s">
        <v>40</v>
      </c>
      <c r="I2139" s="29">
        <v>1</v>
      </c>
      <c r="J2139" s="29" t="s">
        <v>45</v>
      </c>
      <c r="K2139" s="15">
        <f>(VLOOKUP(H2139,'[1]BOM Info General'!$A:$L,12,0))*I2139</f>
        <v>25.59</v>
      </c>
      <c r="L2139" s="26" t="s">
        <v>81</v>
      </c>
      <c r="M2139" s="26">
        <v>1</v>
      </c>
      <c r="N2139" s="26" t="s">
        <v>80</v>
      </c>
      <c r="O2139" s="9">
        <f>(VLOOKUP(L2139,'[1]Simulation pricing per sub assy'!$D:$E,2,0))*M2139</f>
        <v>95.756400000000042</v>
      </c>
      <c r="P2139" s="30" t="s">
        <v>50</v>
      </c>
      <c r="Q2139" s="30">
        <v>8</v>
      </c>
      <c r="R2139" s="30" t="s">
        <v>16</v>
      </c>
      <c r="S2139" s="40">
        <f>(VLOOKUP(P2139,'[1]BOM Info General'!$A:$L,12,0))*Q2139</f>
        <v>21.2</v>
      </c>
      <c r="T2139" s="31" t="s">
        <v>26</v>
      </c>
      <c r="U2139" s="31">
        <v>1</v>
      </c>
      <c r="V2139" s="31" t="s">
        <v>27</v>
      </c>
      <c r="W2139" s="17">
        <f>(VLOOKUP(T2139,'[1]Simulation pricing per sub assy'!$D:$E,2,0))*U2139</f>
        <v>7.04</v>
      </c>
      <c r="X2139" s="32" t="s">
        <v>616</v>
      </c>
      <c r="Y2139" s="32">
        <v>1</v>
      </c>
      <c r="Z2139" s="32" t="s">
        <v>23</v>
      </c>
      <c r="AA2139" s="18">
        <f>(VLOOKUP(X2139,'[1]Simulation pricing per sub assy'!$D:$E,2,0))*Y2139</f>
        <v>4.4802908000000006</v>
      </c>
    </row>
    <row r="2140" spans="1:27" x14ac:dyDescent="0.35">
      <c r="A2140" s="27" t="s">
        <v>3554</v>
      </c>
      <c r="B2140" s="27" t="s">
        <v>4847</v>
      </c>
      <c r="C2140" s="42">
        <f t="shared" si="33"/>
        <v>283.63669080000005</v>
      </c>
      <c r="D2140" s="28" t="s">
        <v>3540</v>
      </c>
      <c r="E2140" s="28">
        <v>2</v>
      </c>
      <c r="F2140" s="28" t="s">
        <v>3541</v>
      </c>
      <c r="G2140" s="14">
        <f>(VLOOKUP(D2140,'[1]BOM Info General'!$A:$L,12,0))*E2140</f>
        <v>130.12</v>
      </c>
      <c r="H2140" s="29" t="s">
        <v>40</v>
      </c>
      <c r="I2140" s="29">
        <v>1</v>
      </c>
      <c r="J2140" s="29" t="s">
        <v>45</v>
      </c>
      <c r="K2140" s="15">
        <f>(VLOOKUP(H2140,'[1]BOM Info General'!$A:$L,12,0))*I2140</f>
        <v>25.59</v>
      </c>
      <c r="L2140" s="26" t="s">
        <v>87</v>
      </c>
      <c r="M2140" s="26">
        <v>1</v>
      </c>
      <c r="N2140" s="26" t="s">
        <v>84</v>
      </c>
      <c r="O2140" s="9">
        <f>(VLOOKUP(L2140,'[1]Simulation pricing per sub assy'!$D:$E,2,0))*M2140</f>
        <v>95.206400000000031</v>
      </c>
      <c r="P2140" s="30" t="s">
        <v>50</v>
      </c>
      <c r="Q2140" s="30">
        <v>8</v>
      </c>
      <c r="R2140" s="30" t="s">
        <v>16</v>
      </c>
      <c r="S2140" s="40">
        <f>(VLOOKUP(P2140,'[1]BOM Info General'!$A:$L,12,0))*Q2140</f>
        <v>21.2</v>
      </c>
      <c r="T2140" s="31" t="s">
        <v>26</v>
      </c>
      <c r="U2140" s="31">
        <v>1</v>
      </c>
      <c r="V2140" s="31" t="s">
        <v>27</v>
      </c>
      <c r="W2140" s="17">
        <f>(VLOOKUP(T2140,'[1]Simulation pricing per sub assy'!$D:$E,2,0))*U2140</f>
        <v>7.04</v>
      </c>
      <c r="X2140" s="32" t="s">
        <v>616</v>
      </c>
      <c r="Y2140" s="32">
        <v>1</v>
      </c>
      <c r="Z2140" s="32" t="s">
        <v>23</v>
      </c>
      <c r="AA2140" s="18">
        <f>(VLOOKUP(X2140,'[1]Simulation pricing per sub assy'!$D:$E,2,0))*Y2140</f>
        <v>4.4802908000000006</v>
      </c>
    </row>
    <row r="2141" spans="1:27" x14ac:dyDescent="0.35">
      <c r="A2141" s="27" t="s">
        <v>3555</v>
      </c>
      <c r="B2141" s="27" t="s">
        <v>4848</v>
      </c>
      <c r="C2141" s="42">
        <f t="shared" si="33"/>
        <v>291.59669080000003</v>
      </c>
      <c r="D2141" s="28" t="s">
        <v>3540</v>
      </c>
      <c r="E2141" s="28">
        <v>2</v>
      </c>
      <c r="F2141" s="28" t="s">
        <v>3541</v>
      </c>
      <c r="G2141" s="14">
        <f>(VLOOKUP(D2141,'[1]BOM Info General'!$A:$L,12,0))*E2141</f>
        <v>130.12</v>
      </c>
      <c r="H2141" s="29" t="s">
        <v>40</v>
      </c>
      <c r="I2141" s="29">
        <v>1</v>
      </c>
      <c r="J2141" s="29" t="s">
        <v>45</v>
      </c>
      <c r="K2141" s="15">
        <f>(VLOOKUP(H2141,'[1]BOM Info General'!$A:$L,12,0))*I2141</f>
        <v>25.59</v>
      </c>
      <c r="L2141" s="26" t="s">
        <v>83</v>
      </c>
      <c r="M2141" s="26">
        <v>1</v>
      </c>
      <c r="N2141" s="26" t="s">
        <v>86</v>
      </c>
      <c r="O2141" s="9">
        <f>(VLOOKUP(L2141,'[1]Simulation pricing per sub assy'!$D:$E,2,0))*M2141</f>
        <v>103.16640000000004</v>
      </c>
      <c r="P2141" s="30" t="s">
        <v>50</v>
      </c>
      <c r="Q2141" s="30">
        <v>8</v>
      </c>
      <c r="R2141" s="30" t="s">
        <v>16</v>
      </c>
      <c r="S2141" s="40">
        <f>(VLOOKUP(P2141,'[1]BOM Info General'!$A:$L,12,0))*Q2141</f>
        <v>21.2</v>
      </c>
      <c r="T2141" s="31" t="s">
        <v>26</v>
      </c>
      <c r="U2141" s="31">
        <v>1</v>
      </c>
      <c r="V2141" s="31" t="s">
        <v>27</v>
      </c>
      <c r="W2141" s="17">
        <f>(VLOOKUP(T2141,'[1]Simulation pricing per sub assy'!$D:$E,2,0))*U2141</f>
        <v>7.04</v>
      </c>
      <c r="X2141" s="32" t="s">
        <v>616</v>
      </c>
      <c r="Y2141" s="32">
        <v>1</v>
      </c>
      <c r="Z2141" s="32" t="s">
        <v>23</v>
      </c>
      <c r="AA2141" s="18">
        <f>(VLOOKUP(X2141,'[1]Simulation pricing per sub assy'!$D:$E,2,0))*Y2141</f>
        <v>4.4802908000000006</v>
      </c>
    </row>
    <row r="2142" spans="1:27" x14ac:dyDescent="0.35">
      <c r="A2142" s="27" t="s">
        <v>3556</v>
      </c>
      <c r="B2142" s="27" t="s">
        <v>4849</v>
      </c>
      <c r="C2142" s="42">
        <f t="shared" si="33"/>
        <v>283.04669080000002</v>
      </c>
      <c r="D2142" s="28" t="s">
        <v>3540</v>
      </c>
      <c r="E2142" s="28">
        <v>2</v>
      </c>
      <c r="F2142" s="28" t="s">
        <v>3541</v>
      </c>
      <c r="G2142" s="14">
        <f>(VLOOKUP(D2142,'[1]BOM Info General'!$A:$L,12,0))*E2142</f>
        <v>130.12</v>
      </c>
      <c r="H2142" s="29" t="s">
        <v>40</v>
      </c>
      <c r="I2142" s="29">
        <v>1</v>
      </c>
      <c r="J2142" s="29" t="s">
        <v>45</v>
      </c>
      <c r="K2142" s="15">
        <f>(VLOOKUP(H2142,'[1]BOM Info General'!$A:$L,12,0))*I2142</f>
        <v>25.59</v>
      </c>
      <c r="L2142" s="26" t="s">
        <v>528</v>
      </c>
      <c r="M2142" s="26">
        <v>1</v>
      </c>
      <c r="N2142" s="26" t="s">
        <v>88</v>
      </c>
      <c r="O2142" s="9">
        <f>(VLOOKUP(L2142,'[1]Simulation pricing per sub assy'!$D:$E,2,0))*M2142</f>
        <v>94.656400000000033</v>
      </c>
      <c r="P2142" s="30" t="s">
        <v>50</v>
      </c>
      <c r="Q2142" s="30">
        <v>8</v>
      </c>
      <c r="R2142" s="30" t="s">
        <v>16</v>
      </c>
      <c r="S2142" s="40">
        <f>(VLOOKUP(P2142,'[1]BOM Info General'!$A:$L,12,0))*Q2142</f>
        <v>21.2</v>
      </c>
      <c r="T2142" s="31" t="s">
        <v>28</v>
      </c>
      <c r="U2142" s="31">
        <v>1</v>
      </c>
      <c r="V2142" s="31" t="s">
        <v>29</v>
      </c>
      <c r="W2142" s="17">
        <f>(VLOOKUP(T2142,'[1]Simulation pricing per sub assy'!$D:$E,2,0))*U2142</f>
        <v>7</v>
      </c>
      <c r="X2142" s="32" t="s">
        <v>616</v>
      </c>
      <c r="Y2142" s="32">
        <v>1</v>
      </c>
      <c r="Z2142" s="32" t="s">
        <v>23</v>
      </c>
      <c r="AA2142" s="18">
        <f>(VLOOKUP(X2142,'[1]Simulation pricing per sub assy'!$D:$E,2,0))*Y2142</f>
        <v>4.4802908000000006</v>
      </c>
    </row>
    <row r="2143" spans="1:27" x14ac:dyDescent="0.35">
      <c r="A2143" s="27" t="s">
        <v>3557</v>
      </c>
      <c r="B2143" s="27" t="s">
        <v>4850</v>
      </c>
      <c r="C2143" s="42">
        <f t="shared" si="33"/>
        <v>284.14669080000004</v>
      </c>
      <c r="D2143" s="28" t="s">
        <v>3540</v>
      </c>
      <c r="E2143" s="28">
        <v>2</v>
      </c>
      <c r="F2143" s="28" t="s">
        <v>3541</v>
      </c>
      <c r="G2143" s="14">
        <f>(VLOOKUP(D2143,'[1]BOM Info General'!$A:$L,12,0))*E2143</f>
        <v>130.12</v>
      </c>
      <c r="H2143" s="29" t="s">
        <v>40</v>
      </c>
      <c r="I2143" s="29">
        <v>1</v>
      </c>
      <c r="J2143" s="29" t="s">
        <v>45</v>
      </c>
      <c r="K2143" s="15">
        <f>(VLOOKUP(H2143,'[1]BOM Info General'!$A:$L,12,0))*I2143</f>
        <v>25.59</v>
      </c>
      <c r="L2143" s="26" t="s">
        <v>85</v>
      </c>
      <c r="M2143" s="26">
        <v>1</v>
      </c>
      <c r="N2143" s="26" t="s">
        <v>82</v>
      </c>
      <c r="O2143" s="9">
        <f>(VLOOKUP(L2143,'[1]Simulation pricing per sub assy'!$D:$E,2,0))*M2143</f>
        <v>95.756400000000042</v>
      </c>
      <c r="P2143" s="30" t="s">
        <v>50</v>
      </c>
      <c r="Q2143" s="30">
        <v>8</v>
      </c>
      <c r="R2143" s="30" t="s">
        <v>16</v>
      </c>
      <c r="S2143" s="40">
        <f>(VLOOKUP(P2143,'[1]BOM Info General'!$A:$L,12,0))*Q2143</f>
        <v>21.2</v>
      </c>
      <c r="T2143" s="31" t="s">
        <v>28</v>
      </c>
      <c r="U2143" s="31">
        <v>1</v>
      </c>
      <c r="V2143" s="31" t="s">
        <v>29</v>
      </c>
      <c r="W2143" s="17">
        <f>(VLOOKUP(T2143,'[1]Simulation pricing per sub assy'!$D:$E,2,0))*U2143</f>
        <v>7</v>
      </c>
      <c r="X2143" s="32" t="s">
        <v>616</v>
      </c>
      <c r="Y2143" s="32">
        <v>1</v>
      </c>
      <c r="Z2143" s="32" t="s">
        <v>23</v>
      </c>
      <c r="AA2143" s="18">
        <f>(VLOOKUP(X2143,'[1]Simulation pricing per sub assy'!$D:$E,2,0))*Y2143</f>
        <v>4.4802908000000006</v>
      </c>
    </row>
    <row r="2144" spans="1:27" x14ac:dyDescent="0.35">
      <c r="A2144" s="27" t="s">
        <v>3558</v>
      </c>
      <c r="B2144" s="27" t="s">
        <v>4851</v>
      </c>
      <c r="C2144" s="42">
        <f t="shared" si="33"/>
        <v>284.14669080000004</v>
      </c>
      <c r="D2144" s="28" t="s">
        <v>3540</v>
      </c>
      <c r="E2144" s="28">
        <v>2</v>
      </c>
      <c r="F2144" s="28" t="s">
        <v>3541</v>
      </c>
      <c r="G2144" s="14">
        <f>(VLOOKUP(D2144,'[1]BOM Info General'!$A:$L,12,0))*E2144</f>
        <v>130.12</v>
      </c>
      <c r="H2144" s="29" t="s">
        <v>40</v>
      </c>
      <c r="I2144" s="29">
        <v>1</v>
      </c>
      <c r="J2144" s="29" t="s">
        <v>45</v>
      </c>
      <c r="K2144" s="15">
        <f>(VLOOKUP(H2144,'[1]BOM Info General'!$A:$L,12,0))*I2144</f>
        <v>25.59</v>
      </c>
      <c r="L2144" s="26" t="s">
        <v>81</v>
      </c>
      <c r="M2144" s="26">
        <v>1</v>
      </c>
      <c r="N2144" s="26" t="s">
        <v>80</v>
      </c>
      <c r="O2144" s="9">
        <f>(VLOOKUP(L2144,'[1]Simulation pricing per sub assy'!$D:$E,2,0))*M2144</f>
        <v>95.756400000000042</v>
      </c>
      <c r="P2144" s="30" t="s">
        <v>50</v>
      </c>
      <c r="Q2144" s="30">
        <v>8</v>
      </c>
      <c r="R2144" s="30" t="s">
        <v>16</v>
      </c>
      <c r="S2144" s="40">
        <f>(VLOOKUP(P2144,'[1]BOM Info General'!$A:$L,12,0))*Q2144</f>
        <v>21.2</v>
      </c>
      <c r="T2144" s="31" t="s">
        <v>28</v>
      </c>
      <c r="U2144" s="31">
        <v>1</v>
      </c>
      <c r="V2144" s="31" t="s">
        <v>29</v>
      </c>
      <c r="W2144" s="17">
        <f>(VLOOKUP(T2144,'[1]Simulation pricing per sub assy'!$D:$E,2,0))*U2144</f>
        <v>7</v>
      </c>
      <c r="X2144" s="32" t="s">
        <v>616</v>
      </c>
      <c r="Y2144" s="32">
        <v>1</v>
      </c>
      <c r="Z2144" s="32" t="s">
        <v>23</v>
      </c>
      <c r="AA2144" s="18">
        <f>(VLOOKUP(X2144,'[1]Simulation pricing per sub assy'!$D:$E,2,0))*Y2144</f>
        <v>4.4802908000000006</v>
      </c>
    </row>
    <row r="2145" spans="1:27" x14ac:dyDescent="0.35">
      <c r="A2145" s="27" t="s">
        <v>3559</v>
      </c>
      <c r="B2145" s="27" t="s">
        <v>4852</v>
      </c>
      <c r="C2145" s="42">
        <f t="shared" si="33"/>
        <v>283.59669080000003</v>
      </c>
      <c r="D2145" s="28" t="s">
        <v>3540</v>
      </c>
      <c r="E2145" s="28">
        <v>2</v>
      </c>
      <c r="F2145" s="28" t="s">
        <v>3541</v>
      </c>
      <c r="G2145" s="14">
        <f>(VLOOKUP(D2145,'[1]BOM Info General'!$A:$L,12,0))*E2145</f>
        <v>130.12</v>
      </c>
      <c r="H2145" s="29" t="s">
        <v>40</v>
      </c>
      <c r="I2145" s="29">
        <v>1</v>
      </c>
      <c r="J2145" s="29" t="s">
        <v>45</v>
      </c>
      <c r="K2145" s="15">
        <f>(VLOOKUP(H2145,'[1]BOM Info General'!$A:$L,12,0))*I2145</f>
        <v>25.59</v>
      </c>
      <c r="L2145" s="26" t="s">
        <v>87</v>
      </c>
      <c r="M2145" s="26">
        <v>1</v>
      </c>
      <c r="N2145" s="26" t="s">
        <v>84</v>
      </c>
      <c r="O2145" s="9">
        <f>(VLOOKUP(L2145,'[1]Simulation pricing per sub assy'!$D:$E,2,0))*M2145</f>
        <v>95.206400000000031</v>
      </c>
      <c r="P2145" s="30" t="s">
        <v>50</v>
      </c>
      <c r="Q2145" s="30">
        <v>8</v>
      </c>
      <c r="R2145" s="30" t="s">
        <v>16</v>
      </c>
      <c r="S2145" s="40">
        <f>(VLOOKUP(P2145,'[1]BOM Info General'!$A:$L,12,0))*Q2145</f>
        <v>21.2</v>
      </c>
      <c r="T2145" s="31" t="s">
        <v>28</v>
      </c>
      <c r="U2145" s="31">
        <v>1</v>
      </c>
      <c r="V2145" s="31" t="s">
        <v>29</v>
      </c>
      <c r="W2145" s="17">
        <f>(VLOOKUP(T2145,'[1]Simulation pricing per sub assy'!$D:$E,2,0))*U2145</f>
        <v>7</v>
      </c>
      <c r="X2145" s="32" t="s">
        <v>616</v>
      </c>
      <c r="Y2145" s="32">
        <v>1</v>
      </c>
      <c r="Z2145" s="32" t="s">
        <v>23</v>
      </c>
      <c r="AA2145" s="18">
        <f>(VLOOKUP(X2145,'[1]Simulation pricing per sub assy'!$D:$E,2,0))*Y2145</f>
        <v>4.4802908000000006</v>
      </c>
    </row>
    <row r="2146" spans="1:27" x14ac:dyDescent="0.35">
      <c r="A2146" s="27" t="s">
        <v>3560</v>
      </c>
      <c r="B2146" s="27" t="s">
        <v>4853</v>
      </c>
      <c r="C2146" s="42">
        <f t="shared" si="33"/>
        <v>291.55669080000001</v>
      </c>
      <c r="D2146" s="28" t="s">
        <v>3540</v>
      </c>
      <c r="E2146" s="28">
        <v>2</v>
      </c>
      <c r="F2146" s="28" t="s">
        <v>3541</v>
      </c>
      <c r="G2146" s="14">
        <f>(VLOOKUP(D2146,'[1]BOM Info General'!$A:$L,12,0))*E2146</f>
        <v>130.12</v>
      </c>
      <c r="H2146" s="29" t="s">
        <v>40</v>
      </c>
      <c r="I2146" s="29">
        <v>1</v>
      </c>
      <c r="J2146" s="29" t="s">
        <v>45</v>
      </c>
      <c r="K2146" s="15">
        <f>(VLOOKUP(H2146,'[1]BOM Info General'!$A:$L,12,0))*I2146</f>
        <v>25.59</v>
      </c>
      <c r="L2146" s="26" t="s">
        <v>83</v>
      </c>
      <c r="M2146" s="26">
        <v>1</v>
      </c>
      <c r="N2146" s="26" t="s">
        <v>86</v>
      </c>
      <c r="O2146" s="9">
        <f>(VLOOKUP(L2146,'[1]Simulation pricing per sub assy'!$D:$E,2,0))*M2146</f>
        <v>103.16640000000004</v>
      </c>
      <c r="P2146" s="30" t="s">
        <v>50</v>
      </c>
      <c r="Q2146" s="30">
        <v>8</v>
      </c>
      <c r="R2146" s="30" t="s">
        <v>16</v>
      </c>
      <c r="S2146" s="40">
        <f>(VLOOKUP(P2146,'[1]BOM Info General'!$A:$L,12,0))*Q2146</f>
        <v>21.2</v>
      </c>
      <c r="T2146" s="31" t="s">
        <v>28</v>
      </c>
      <c r="U2146" s="31">
        <v>1</v>
      </c>
      <c r="V2146" s="31" t="s">
        <v>29</v>
      </c>
      <c r="W2146" s="17">
        <f>(VLOOKUP(T2146,'[1]Simulation pricing per sub assy'!$D:$E,2,0))*U2146</f>
        <v>7</v>
      </c>
      <c r="X2146" s="32" t="s">
        <v>616</v>
      </c>
      <c r="Y2146" s="32">
        <v>1</v>
      </c>
      <c r="Z2146" s="32" t="s">
        <v>23</v>
      </c>
      <c r="AA2146" s="18">
        <f>(VLOOKUP(X2146,'[1]Simulation pricing per sub assy'!$D:$E,2,0))*Y2146</f>
        <v>4.4802908000000006</v>
      </c>
    </row>
    <row r="2147" spans="1:27" x14ac:dyDescent="0.35">
      <c r="A2147" s="27" t="s">
        <v>3561</v>
      </c>
      <c r="B2147" s="27" t="s">
        <v>4854</v>
      </c>
      <c r="C2147" s="42">
        <f t="shared" si="33"/>
        <v>282.48669080000002</v>
      </c>
      <c r="D2147" s="28" t="s">
        <v>3540</v>
      </c>
      <c r="E2147" s="28">
        <v>2</v>
      </c>
      <c r="F2147" s="28" t="s">
        <v>3541</v>
      </c>
      <c r="G2147" s="14">
        <f>(VLOOKUP(D2147,'[1]BOM Info General'!$A:$L,12,0))*E2147</f>
        <v>130.12</v>
      </c>
      <c r="H2147" s="29" t="s">
        <v>40</v>
      </c>
      <c r="I2147" s="29">
        <v>1</v>
      </c>
      <c r="J2147" s="29" t="s">
        <v>45</v>
      </c>
      <c r="K2147" s="15">
        <f>(VLOOKUP(H2147,'[1]BOM Info General'!$A:$L,12,0))*I2147</f>
        <v>25.59</v>
      </c>
      <c r="L2147" s="26" t="s">
        <v>528</v>
      </c>
      <c r="M2147" s="26">
        <v>1</v>
      </c>
      <c r="N2147" s="26" t="s">
        <v>88</v>
      </c>
      <c r="O2147" s="9">
        <f>(VLOOKUP(L2147,'[1]Simulation pricing per sub assy'!$D:$E,2,0))*M2147</f>
        <v>94.656400000000033</v>
      </c>
      <c r="P2147" s="30" t="s">
        <v>51</v>
      </c>
      <c r="Q2147" s="30">
        <v>8</v>
      </c>
      <c r="R2147" s="30" t="s">
        <v>17</v>
      </c>
      <c r="S2147" s="40">
        <f>(VLOOKUP(P2147,'[1]BOM Info General'!$A:$L,12,0))*Q2147</f>
        <v>21.2</v>
      </c>
      <c r="T2147" s="31" t="s">
        <v>24</v>
      </c>
      <c r="U2147" s="31">
        <v>1</v>
      </c>
      <c r="V2147" s="31" t="s">
        <v>25</v>
      </c>
      <c r="W2147" s="17">
        <f>(VLOOKUP(T2147,'[1]Simulation pricing per sub assy'!$D:$E,2,0))*U2147</f>
        <v>6.44</v>
      </c>
      <c r="X2147" s="32" t="s">
        <v>616</v>
      </c>
      <c r="Y2147" s="32">
        <v>1</v>
      </c>
      <c r="Z2147" s="32" t="s">
        <v>23</v>
      </c>
      <c r="AA2147" s="18">
        <f>(VLOOKUP(X2147,'[1]Simulation pricing per sub assy'!$D:$E,2,0))*Y2147</f>
        <v>4.4802908000000006</v>
      </c>
    </row>
    <row r="2148" spans="1:27" x14ac:dyDescent="0.35">
      <c r="A2148" s="27" t="s">
        <v>3562</v>
      </c>
      <c r="B2148" s="27" t="s">
        <v>4855</v>
      </c>
      <c r="C2148" s="42">
        <f t="shared" si="33"/>
        <v>283.58669080000004</v>
      </c>
      <c r="D2148" s="28" t="s">
        <v>3540</v>
      </c>
      <c r="E2148" s="28">
        <v>2</v>
      </c>
      <c r="F2148" s="28" t="s">
        <v>3541</v>
      </c>
      <c r="G2148" s="14">
        <f>(VLOOKUP(D2148,'[1]BOM Info General'!$A:$L,12,0))*E2148</f>
        <v>130.12</v>
      </c>
      <c r="H2148" s="29" t="s">
        <v>40</v>
      </c>
      <c r="I2148" s="29">
        <v>1</v>
      </c>
      <c r="J2148" s="29" t="s">
        <v>45</v>
      </c>
      <c r="K2148" s="15">
        <f>(VLOOKUP(H2148,'[1]BOM Info General'!$A:$L,12,0))*I2148</f>
        <v>25.59</v>
      </c>
      <c r="L2148" s="26" t="s">
        <v>85</v>
      </c>
      <c r="M2148" s="26">
        <v>1</v>
      </c>
      <c r="N2148" s="26" t="s">
        <v>82</v>
      </c>
      <c r="O2148" s="9">
        <f>(VLOOKUP(L2148,'[1]Simulation pricing per sub assy'!$D:$E,2,0))*M2148</f>
        <v>95.756400000000042</v>
      </c>
      <c r="P2148" s="30" t="s">
        <v>51</v>
      </c>
      <c r="Q2148" s="30">
        <v>8</v>
      </c>
      <c r="R2148" s="30" t="s">
        <v>17</v>
      </c>
      <c r="S2148" s="40">
        <f>(VLOOKUP(P2148,'[1]BOM Info General'!$A:$L,12,0))*Q2148</f>
        <v>21.2</v>
      </c>
      <c r="T2148" s="31" t="s">
        <v>24</v>
      </c>
      <c r="U2148" s="31">
        <v>1</v>
      </c>
      <c r="V2148" s="31" t="s">
        <v>25</v>
      </c>
      <c r="W2148" s="17">
        <f>(VLOOKUP(T2148,'[1]Simulation pricing per sub assy'!$D:$E,2,0))*U2148</f>
        <v>6.44</v>
      </c>
      <c r="X2148" s="32" t="s">
        <v>616</v>
      </c>
      <c r="Y2148" s="32">
        <v>1</v>
      </c>
      <c r="Z2148" s="32" t="s">
        <v>23</v>
      </c>
      <c r="AA2148" s="18">
        <f>(VLOOKUP(X2148,'[1]Simulation pricing per sub assy'!$D:$E,2,0))*Y2148</f>
        <v>4.4802908000000006</v>
      </c>
    </row>
    <row r="2149" spans="1:27" x14ac:dyDescent="0.35">
      <c r="A2149" s="27" t="s">
        <v>3563</v>
      </c>
      <c r="B2149" s="27" t="s">
        <v>4856</v>
      </c>
      <c r="C2149" s="42">
        <f t="shared" si="33"/>
        <v>283.58669080000004</v>
      </c>
      <c r="D2149" s="28" t="s">
        <v>3540</v>
      </c>
      <c r="E2149" s="28">
        <v>2</v>
      </c>
      <c r="F2149" s="28" t="s">
        <v>3541</v>
      </c>
      <c r="G2149" s="14">
        <f>(VLOOKUP(D2149,'[1]BOM Info General'!$A:$L,12,0))*E2149</f>
        <v>130.12</v>
      </c>
      <c r="H2149" s="29" t="s">
        <v>40</v>
      </c>
      <c r="I2149" s="29">
        <v>1</v>
      </c>
      <c r="J2149" s="29" t="s">
        <v>45</v>
      </c>
      <c r="K2149" s="15">
        <f>(VLOOKUP(H2149,'[1]BOM Info General'!$A:$L,12,0))*I2149</f>
        <v>25.59</v>
      </c>
      <c r="L2149" s="26" t="s">
        <v>81</v>
      </c>
      <c r="M2149" s="26">
        <v>1</v>
      </c>
      <c r="N2149" s="26" t="s">
        <v>80</v>
      </c>
      <c r="O2149" s="9">
        <f>(VLOOKUP(L2149,'[1]Simulation pricing per sub assy'!$D:$E,2,0))*M2149</f>
        <v>95.756400000000042</v>
      </c>
      <c r="P2149" s="30" t="s">
        <v>51</v>
      </c>
      <c r="Q2149" s="30">
        <v>8</v>
      </c>
      <c r="R2149" s="30" t="s">
        <v>17</v>
      </c>
      <c r="S2149" s="40">
        <f>(VLOOKUP(P2149,'[1]BOM Info General'!$A:$L,12,0))*Q2149</f>
        <v>21.2</v>
      </c>
      <c r="T2149" s="31" t="s">
        <v>24</v>
      </c>
      <c r="U2149" s="31">
        <v>1</v>
      </c>
      <c r="V2149" s="31" t="s">
        <v>25</v>
      </c>
      <c r="W2149" s="17">
        <f>(VLOOKUP(T2149,'[1]Simulation pricing per sub assy'!$D:$E,2,0))*U2149</f>
        <v>6.44</v>
      </c>
      <c r="X2149" s="32" t="s">
        <v>616</v>
      </c>
      <c r="Y2149" s="32">
        <v>1</v>
      </c>
      <c r="Z2149" s="32" t="s">
        <v>23</v>
      </c>
      <c r="AA2149" s="18">
        <f>(VLOOKUP(X2149,'[1]Simulation pricing per sub assy'!$D:$E,2,0))*Y2149</f>
        <v>4.4802908000000006</v>
      </c>
    </row>
    <row r="2150" spans="1:27" x14ac:dyDescent="0.35">
      <c r="A2150" s="27" t="s">
        <v>3564</v>
      </c>
      <c r="B2150" s="27" t="s">
        <v>4857</v>
      </c>
      <c r="C2150" s="42">
        <f t="shared" si="33"/>
        <v>283.03669080000003</v>
      </c>
      <c r="D2150" s="28" t="s">
        <v>3540</v>
      </c>
      <c r="E2150" s="28">
        <v>2</v>
      </c>
      <c r="F2150" s="28" t="s">
        <v>3541</v>
      </c>
      <c r="G2150" s="14">
        <f>(VLOOKUP(D2150,'[1]BOM Info General'!$A:$L,12,0))*E2150</f>
        <v>130.12</v>
      </c>
      <c r="H2150" s="29" t="s">
        <v>40</v>
      </c>
      <c r="I2150" s="29">
        <v>1</v>
      </c>
      <c r="J2150" s="29" t="s">
        <v>45</v>
      </c>
      <c r="K2150" s="15">
        <f>(VLOOKUP(H2150,'[1]BOM Info General'!$A:$L,12,0))*I2150</f>
        <v>25.59</v>
      </c>
      <c r="L2150" s="26" t="s">
        <v>87</v>
      </c>
      <c r="M2150" s="26">
        <v>1</v>
      </c>
      <c r="N2150" s="26" t="s">
        <v>84</v>
      </c>
      <c r="O2150" s="9">
        <f>(VLOOKUP(L2150,'[1]Simulation pricing per sub assy'!$D:$E,2,0))*M2150</f>
        <v>95.206400000000031</v>
      </c>
      <c r="P2150" s="30" t="s">
        <v>51</v>
      </c>
      <c r="Q2150" s="30">
        <v>8</v>
      </c>
      <c r="R2150" s="30" t="s">
        <v>17</v>
      </c>
      <c r="S2150" s="40">
        <f>(VLOOKUP(P2150,'[1]BOM Info General'!$A:$L,12,0))*Q2150</f>
        <v>21.2</v>
      </c>
      <c r="T2150" s="31" t="s">
        <v>24</v>
      </c>
      <c r="U2150" s="31">
        <v>1</v>
      </c>
      <c r="V2150" s="31" t="s">
        <v>25</v>
      </c>
      <c r="W2150" s="17">
        <f>(VLOOKUP(T2150,'[1]Simulation pricing per sub assy'!$D:$E,2,0))*U2150</f>
        <v>6.44</v>
      </c>
      <c r="X2150" s="32" t="s">
        <v>616</v>
      </c>
      <c r="Y2150" s="32">
        <v>1</v>
      </c>
      <c r="Z2150" s="32" t="s">
        <v>23</v>
      </c>
      <c r="AA2150" s="18">
        <f>(VLOOKUP(X2150,'[1]Simulation pricing per sub assy'!$D:$E,2,0))*Y2150</f>
        <v>4.4802908000000006</v>
      </c>
    </row>
    <row r="2151" spans="1:27" x14ac:dyDescent="0.35">
      <c r="A2151" s="27" t="s">
        <v>3565</v>
      </c>
      <c r="B2151" s="27" t="s">
        <v>4858</v>
      </c>
      <c r="C2151" s="42">
        <f t="shared" si="33"/>
        <v>290.99669080000001</v>
      </c>
      <c r="D2151" s="28" t="s">
        <v>3540</v>
      </c>
      <c r="E2151" s="28">
        <v>2</v>
      </c>
      <c r="F2151" s="28" t="s">
        <v>3541</v>
      </c>
      <c r="G2151" s="14">
        <f>(VLOOKUP(D2151,'[1]BOM Info General'!$A:$L,12,0))*E2151</f>
        <v>130.12</v>
      </c>
      <c r="H2151" s="29" t="s">
        <v>40</v>
      </c>
      <c r="I2151" s="29">
        <v>1</v>
      </c>
      <c r="J2151" s="29" t="s">
        <v>45</v>
      </c>
      <c r="K2151" s="15">
        <f>(VLOOKUP(H2151,'[1]BOM Info General'!$A:$L,12,0))*I2151</f>
        <v>25.59</v>
      </c>
      <c r="L2151" s="26" t="s">
        <v>83</v>
      </c>
      <c r="M2151" s="26">
        <v>1</v>
      </c>
      <c r="N2151" s="26" t="s">
        <v>86</v>
      </c>
      <c r="O2151" s="9">
        <f>(VLOOKUP(L2151,'[1]Simulation pricing per sub assy'!$D:$E,2,0))*M2151</f>
        <v>103.16640000000004</v>
      </c>
      <c r="P2151" s="30" t="s">
        <v>51</v>
      </c>
      <c r="Q2151" s="30">
        <v>8</v>
      </c>
      <c r="R2151" s="30" t="s">
        <v>17</v>
      </c>
      <c r="S2151" s="40">
        <f>(VLOOKUP(P2151,'[1]BOM Info General'!$A:$L,12,0))*Q2151</f>
        <v>21.2</v>
      </c>
      <c r="T2151" s="31" t="s">
        <v>24</v>
      </c>
      <c r="U2151" s="31">
        <v>1</v>
      </c>
      <c r="V2151" s="31" t="s">
        <v>25</v>
      </c>
      <c r="W2151" s="17">
        <f>(VLOOKUP(T2151,'[1]Simulation pricing per sub assy'!$D:$E,2,0))*U2151</f>
        <v>6.44</v>
      </c>
      <c r="X2151" s="32" t="s">
        <v>616</v>
      </c>
      <c r="Y2151" s="32">
        <v>1</v>
      </c>
      <c r="Z2151" s="32" t="s">
        <v>23</v>
      </c>
      <c r="AA2151" s="18">
        <f>(VLOOKUP(X2151,'[1]Simulation pricing per sub assy'!$D:$E,2,0))*Y2151</f>
        <v>4.4802908000000006</v>
      </c>
    </row>
    <row r="2152" spans="1:27" x14ac:dyDescent="0.35">
      <c r="A2152" s="27" t="s">
        <v>3566</v>
      </c>
      <c r="B2152" s="27" t="s">
        <v>4859</v>
      </c>
      <c r="C2152" s="42">
        <f t="shared" si="33"/>
        <v>283.08669080000004</v>
      </c>
      <c r="D2152" s="28" t="s">
        <v>3540</v>
      </c>
      <c r="E2152" s="28">
        <v>2</v>
      </c>
      <c r="F2152" s="28" t="s">
        <v>3541</v>
      </c>
      <c r="G2152" s="14">
        <f>(VLOOKUP(D2152,'[1]BOM Info General'!$A:$L,12,0))*E2152</f>
        <v>130.12</v>
      </c>
      <c r="H2152" s="29" t="s">
        <v>40</v>
      </c>
      <c r="I2152" s="29">
        <v>1</v>
      </c>
      <c r="J2152" s="29" t="s">
        <v>45</v>
      </c>
      <c r="K2152" s="15">
        <f>(VLOOKUP(H2152,'[1]BOM Info General'!$A:$L,12,0))*I2152</f>
        <v>25.59</v>
      </c>
      <c r="L2152" s="26" t="s">
        <v>528</v>
      </c>
      <c r="M2152" s="26">
        <v>1</v>
      </c>
      <c r="N2152" s="26" t="s">
        <v>88</v>
      </c>
      <c r="O2152" s="9">
        <f>(VLOOKUP(L2152,'[1]Simulation pricing per sub assy'!$D:$E,2,0))*M2152</f>
        <v>94.656400000000033</v>
      </c>
      <c r="P2152" s="30" t="s">
        <v>51</v>
      </c>
      <c r="Q2152" s="30">
        <v>8</v>
      </c>
      <c r="R2152" s="30" t="s">
        <v>17</v>
      </c>
      <c r="S2152" s="40">
        <f>(VLOOKUP(P2152,'[1]BOM Info General'!$A:$L,12,0))*Q2152</f>
        <v>21.2</v>
      </c>
      <c r="T2152" s="31" t="s">
        <v>26</v>
      </c>
      <c r="U2152" s="31">
        <v>1</v>
      </c>
      <c r="V2152" s="31" t="s">
        <v>27</v>
      </c>
      <c r="W2152" s="17">
        <f>(VLOOKUP(T2152,'[1]Simulation pricing per sub assy'!$D:$E,2,0))*U2152</f>
        <v>7.04</v>
      </c>
      <c r="X2152" s="32" t="s">
        <v>616</v>
      </c>
      <c r="Y2152" s="32">
        <v>1</v>
      </c>
      <c r="Z2152" s="32" t="s">
        <v>23</v>
      </c>
      <c r="AA2152" s="18">
        <f>(VLOOKUP(X2152,'[1]Simulation pricing per sub assy'!$D:$E,2,0))*Y2152</f>
        <v>4.4802908000000006</v>
      </c>
    </row>
    <row r="2153" spans="1:27" x14ac:dyDescent="0.35">
      <c r="A2153" s="27" t="s">
        <v>3567</v>
      </c>
      <c r="B2153" s="27" t="s">
        <v>4860</v>
      </c>
      <c r="C2153" s="42">
        <f t="shared" si="33"/>
        <v>284.18669080000006</v>
      </c>
      <c r="D2153" s="28" t="s">
        <v>3540</v>
      </c>
      <c r="E2153" s="28">
        <v>2</v>
      </c>
      <c r="F2153" s="28" t="s">
        <v>3541</v>
      </c>
      <c r="G2153" s="14">
        <f>(VLOOKUP(D2153,'[1]BOM Info General'!$A:$L,12,0))*E2153</f>
        <v>130.12</v>
      </c>
      <c r="H2153" s="29" t="s">
        <v>40</v>
      </c>
      <c r="I2153" s="29">
        <v>1</v>
      </c>
      <c r="J2153" s="29" t="s">
        <v>45</v>
      </c>
      <c r="K2153" s="15">
        <f>(VLOOKUP(H2153,'[1]BOM Info General'!$A:$L,12,0))*I2153</f>
        <v>25.59</v>
      </c>
      <c r="L2153" s="26" t="s">
        <v>85</v>
      </c>
      <c r="M2153" s="26">
        <v>1</v>
      </c>
      <c r="N2153" s="26" t="s">
        <v>82</v>
      </c>
      <c r="O2153" s="9">
        <f>(VLOOKUP(L2153,'[1]Simulation pricing per sub assy'!$D:$E,2,0))*M2153</f>
        <v>95.756400000000042</v>
      </c>
      <c r="P2153" s="30" t="s">
        <v>51</v>
      </c>
      <c r="Q2153" s="30">
        <v>8</v>
      </c>
      <c r="R2153" s="30" t="s">
        <v>17</v>
      </c>
      <c r="S2153" s="40">
        <f>(VLOOKUP(P2153,'[1]BOM Info General'!$A:$L,12,0))*Q2153</f>
        <v>21.2</v>
      </c>
      <c r="T2153" s="31" t="s">
        <v>26</v>
      </c>
      <c r="U2153" s="31">
        <v>1</v>
      </c>
      <c r="V2153" s="31" t="s">
        <v>27</v>
      </c>
      <c r="W2153" s="17">
        <f>(VLOOKUP(T2153,'[1]Simulation pricing per sub assy'!$D:$E,2,0))*U2153</f>
        <v>7.04</v>
      </c>
      <c r="X2153" s="32" t="s">
        <v>616</v>
      </c>
      <c r="Y2153" s="32">
        <v>1</v>
      </c>
      <c r="Z2153" s="32" t="s">
        <v>23</v>
      </c>
      <c r="AA2153" s="18">
        <f>(VLOOKUP(X2153,'[1]Simulation pricing per sub assy'!$D:$E,2,0))*Y2153</f>
        <v>4.4802908000000006</v>
      </c>
    </row>
    <row r="2154" spans="1:27" x14ac:dyDescent="0.35">
      <c r="A2154" s="27" t="s">
        <v>3568</v>
      </c>
      <c r="B2154" s="27" t="s">
        <v>4861</v>
      </c>
      <c r="C2154" s="42">
        <f t="shared" si="33"/>
        <v>284.18669080000006</v>
      </c>
      <c r="D2154" s="28" t="s">
        <v>3540</v>
      </c>
      <c r="E2154" s="28">
        <v>2</v>
      </c>
      <c r="F2154" s="28" t="s">
        <v>3541</v>
      </c>
      <c r="G2154" s="14">
        <f>(VLOOKUP(D2154,'[1]BOM Info General'!$A:$L,12,0))*E2154</f>
        <v>130.12</v>
      </c>
      <c r="H2154" s="29" t="s">
        <v>40</v>
      </c>
      <c r="I2154" s="29">
        <v>1</v>
      </c>
      <c r="J2154" s="29" t="s">
        <v>45</v>
      </c>
      <c r="K2154" s="15">
        <f>(VLOOKUP(H2154,'[1]BOM Info General'!$A:$L,12,0))*I2154</f>
        <v>25.59</v>
      </c>
      <c r="L2154" s="26" t="s">
        <v>81</v>
      </c>
      <c r="M2154" s="26">
        <v>1</v>
      </c>
      <c r="N2154" s="26" t="s">
        <v>80</v>
      </c>
      <c r="O2154" s="9">
        <f>(VLOOKUP(L2154,'[1]Simulation pricing per sub assy'!$D:$E,2,0))*M2154</f>
        <v>95.756400000000042</v>
      </c>
      <c r="P2154" s="30" t="s">
        <v>51</v>
      </c>
      <c r="Q2154" s="30">
        <v>8</v>
      </c>
      <c r="R2154" s="30" t="s">
        <v>17</v>
      </c>
      <c r="S2154" s="40">
        <f>(VLOOKUP(P2154,'[1]BOM Info General'!$A:$L,12,0))*Q2154</f>
        <v>21.2</v>
      </c>
      <c r="T2154" s="31" t="s">
        <v>26</v>
      </c>
      <c r="U2154" s="31">
        <v>1</v>
      </c>
      <c r="V2154" s="31" t="s">
        <v>27</v>
      </c>
      <c r="W2154" s="17">
        <f>(VLOOKUP(T2154,'[1]Simulation pricing per sub assy'!$D:$E,2,0))*U2154</f>
        <v>7.04</v>
      </c>
      <c r="X2154" s="32" t="s">
        <v>616</v>
      </c>
      <c r="Y2154" s="32">
        <v>1</v>
      </c>
      <c r="Z2154" s="32" t="s">
        <v>23</v>
      </c>
      <c r="AA2154" s="18">
        <f>(VLOOKUP(X2154,'[1]Simulation pricing per sub assy'!$D:$E,2,0))*Y2154</f>
        <v>4.4802908000000006</v>
      </c>
    </row>
    <row r="2155" spans="1:27" x14ac:dyDescent="0.35">
      <c r="A2155" s="27" t="s">
        <v>3569</v>
      </c>
      <c r="B2155" s="27" t="s">
        <v>4862</v>
      </c>
      <c r="C2155" s="42">
        <f t="shared" si="33"/>
        <v>283.63669080000005</v>
      </c>
      <c r="D2155" s="28" t="s">
        <v>3540</v>
      </c>
      <c r="E2155" s="28">
        <v>2</v>
      </c>
      <c r="F2155" s="28" t="s">
        <v>3541</v>
      </c>
      <c r="G2155" s="14">
        <f>(VLOOKUP(D2155,'[1]BOM Info General'!$A:$L,12,0))*E2155</f>
        <v>130.12</v>
      </c>
      <c r="H2155" s="29" t="s">
        <v>40</v>
      </c>
      <c r="I2155" s="29">
        <v>1</v>
      </c>
      <c r="J2155" s="29" t="s">
        <v>45</v>
      </c>
      <c r="K2155" s="15">
        <f>(VLOOKUP(H2155,'[1]BOM Info General'!$A:$L,12,0))*I2155</f>
        <v>25.59</v>
      </c>
      <c r="L2155" s="26" t="s">
        <v>87</v>
      </c>
      <c r="M2155" s="26">
        <v>1</v>
      </c>
      <c r="N2155" s="26" t="s">
        <v>84</v>
      </c>
      <c r="O2155" s="9">
        <f>(VLOOKUP(L2155,'[1]Simulation pricing per sub assy'!$D:$E,2,0))*M2155</f>
        <v>95.206400000000031</v>
      </c>
      <c r="P2155" s="30" t="s">
        <v>51</v>
      </c>
      <c r="Q2155" s="30">
        <v>8</v>
      </c>
      <c r="R2155" s="30" t="s">
        <v>17</v>
      </c>
      <c r="S2155" s="40">
        <f>(VLOOKUP(P2155,'[1]BOM Info General'!$A:$L,12,0))*Q2155</f>
        <v>21.2</v>
      </c>
      <c r="T2155" s="31" t="s">
        <v>26</v>
      </c>
      <c r="U2155" s="31">
        <v>1</v>
      </c>
      <c r="V2155" s="31" t="s">
        <v>27</v>
      </c>
      <c r="W2155" s="17">
        <f>(VLOOKUP(T2155,'[1]Simulation pricing per sub assy'!$D:$E,2,0))*U2155</f>
        <v>7.04</v>
      </c>
      <c r="X2155" s="32" t="s">
        <v>616</v>
      </c>
      <c r="Y2155" s="32">
        <v>1</v>
      </c>
      <c r="Z2155" s="32" t="s">
        <v>23</v>
      </c>
      <c r="AA2155" s="18">
        <f>(VLOOKUP(X2155,'[1]Simulation pricing per sub assy'!$D:$E,2,0))*Y2155</f>
        <v>4.4802908000000006</v>
      </c>
    </row>
    <row r="2156" spans="1:27" x14ac:dyDescent="0.35">
      <c r="A2156" s="27" t="s">
        <v>3570</v>
      </c>
      <c r="B2156" s="27" t="s">
        <v>4863</v>
      </c>
      <c r="C2156" s="42">
        <f t="shared" si="33"/>
        <v>291.59669080000003</v>
      </c>
      <c r="D2156" s="28" t="s">
        <v>3540</v>
      </c>
      <c r="E2156" s="28">
        <v>2</v>
      </c>
      <c r="F2156" s="28" t="s">
        <v>3541</v>
      </c>
      <c r="G2156" s="14">
        <f>(VLOOKUP(D2156,'[1]BOM Info General'!$A:$L,12,0))*E2156</f>
        <v>130.12</v>
      </c>
      <c r="H2156" s="29" t="s">
        <v>40</v>
      </c>
      <c r="I2156" s="29">
        <v>1</v>
      </c>
      <c r="J2156" s="29" t="s">
        <v>45</v>
      </c>
      <c r="K2156" s="15">
        <f>(VLOOKUP(H2156,'[1]BOM Info General'!$A:$L,12,0))*I2156</f>
        <v>25.59</v>
      </c>
      <c r="L2156" s="26" t="s">
        <v>83</v>
      </c>
      <c r="M2156" s="26">
        <v>1</v>
      </c>
      <c r="N2156" s="26" t="s">
        <v>86</v>
      </c>
      <c r="O2156" s="9">
        <f>(VLOOKUP(L2156,'[1]Simulation pricing per sub assy'!$D:$E,2,0))*M2156</f>
        <v>103.16640000000004</v>
      </c>
      <c r="P2156" s="30" t="s">
        <v>51</v>
      </c>
      <c r="Q2156" s="30">
        <v>8</v>
      </c>
      <c r="R2156" s="30" t="s">
        <v>17</v>
      </c>
      <c r="S2156" s="40">
        <f>(VLOOKUP(P2156,'[1]BOM Info General'!$A:$L,12,0))*Q2156</f>
        <v>21.2</v>
      </c>
      <c r="T2156" s="31" t="s">
        <v>26</v>
      </c>
      <c r="U2156" s="31">
        <v>1</v>
      </c>
      <c r="V2156" s="31" t="s">
        <v>27</v>
      </c>
      <c r="W2156" s="17">
        <f>(VLOOKUP(T2156,'[1]Simulation pricing per sub assy'!$D:$E,2,0))*U2156</f>
        <v>7.04</v>
      </c>
      <c r="X2156" s="32" t="s">
        <v>616</v>
      </c>
      <c r="Y2156" s="32">
        <v>1</v>
      </c>
      <c r="Z2156" s="32" t="s">
        <v>23</v>
      </c>
      <c r="AA2156" s="18">
        <f>(VLOOKUP(X2156,'[1]Simulation pricing per sub assy'!$D:$E,2,0))*Y2156</f>
        <v>4.4802908000000006</v>
      </c>
    </row>
    <row r="2157" spans="1:27" x14ac:dyDescent="0.35">
      <c r="A2157" s="27" t="s">
        <v>3571</v>
      </c>
      <c r="B2157" s="27" t="s">
        <v>4864</v>
      </c>
      <c r="C2157" s="42">
        <f t="shared" si="33"/>
        <v>283.04669080000002</v>
      </c>
      <c r="D2157" s="28" t="s">
        <v>3540</v>
      </c>
      <c r="E2157" s="28">
        <v>2</v>
      </c>
      <c r="F2157" s="28" t="s">
        <v>3541</v>
      </c>
      <c r="G2157" s="14">
        <f>(VLOOKUP(D2157,'[1]BOM Info General'!$A:$L,12,0))*E2157</f>
        <v>130.12</v>
      </c>
      <c r="H2157" s="29" t="s">
        <v>40</v>
      </c>
      <c r="I2157" s="29">
        <v>1</v>
      </c>
      <c r="J2157" s="29" t="s">
        <v>45</v>
      </c>
      <c r="K2157" s="15">
        <f>(VLOOKUP(H2157,'[1]BOM Info General'!$A:$L,12,0))*I2157</f>
        <v>25.59</v>
      </c>
      <c r="L2157" s="26" t="s">
        <v>528</v>
      </c>
      <c r="M2157" s="26">
        <v>1</v>
      </c>
      <c r="N2157" s="26" t="s">
        <v>88</v>
      </c>
      <c r="O2157" s="9">
        <f>(VLOOKUP(L2157,'[1]Simulation pricing per sub assy'!$D:$E,2,0))*M2157</f>
        <v>94.656400000000033</v>
      </c>
      <c r="P2157" s="30" t="s">
        <v>51</v>
      </c>
      <c r="Q2157" s="30">
        <v>8</v>
      </c>
      <c r="R2157" s="30" t="s">
        <v>17</v>
      </c>
      <c r="S2157" s="40">
        <f>(VLOOKUP(P2157,'[1]BOM Info General'!$A:$L,12,0))*Q2157</f>
        <v>21.2</v>
      </c>
      <c r="T2157" s="31" t="s">
        <v>28</v>
      </c>
      <c r="U2157" s="31">
        <v>1</v>
      </c>
      <c r="V2157" s="31" t="s">
        <v>29</v>
      </c>
      <c r="W2157" s="17">
        <f>(VLOOKUP(T2157,'[1]Simulation pricing per sub assy'!$D:$E,2,0))*U2157</f>
        <v>7</v>
      </c>
      <c r="X2157" s="32" t="s">
        <v>616</v>
      </c>
      <c r="Y2157" s="32">
        <v>1</v>
      </c>
      <c r="Z2157" s="32" t="s">
        <v>23</v>
      </c>
      <c r="AA2157" s="18">
        <f>(VLOOKUP(X2157,'[1]Simulation pricing per sub assy'!$D:$E,2,0))*Y2157</f>
        <v>4.4802908000000006</v>
      </c>
    </row>
    <row r="2158" spans="1:27" x14ac:dyDescent="0.35">
      <c r="A2158" s="27" t="s">
        <v>3572</v>
      </c>
      <c r="B2158" s="27" t="s">
        <v>4865</v>
      </c>
      <c r="C2158" s="42">
        <f t="shared" si="33"/>
        <v>284.14669080000004</v>
      </c>
      <c r="D2158" s="28" t="s">
        <v>3540</v>
      </c>
      <c r="E2158" s="28">
        <v>2</v>
      </c>
      <c r="F2158" s="28" t="s">
        <v>3541</v>
      </c>
      <c r="G2158" s="14">
        <f>(VLOOKUP(D2158,'[1]BOM Info General'!$A:$L,12,0))*E2158</f>
        <v>130.12</v>
      </c>
      <c r="H2158" s="29" t="s">
        <v>40</v>
      </c>
      <c r="I2158" s="29">
        <v>1</v>
      </c>
      <c r="J2158" s="29" t="s">
        <v>45</v>
      </c>
      <c r="K2158" s="15">
        <f>(VLOOKUP(H2158,'[1]BOM Info General'!$A:$L,12,0))*I2158</f>
        <v>25.59</v>
      </c>
      <c r="L2158" s="26" t="s">
        <v>85</v>
      </c>
      <c r="M2158" s="26">
        <v>1</v>
      </c>
      <c r="N2158" s="26" t="s">
        <v>82</v>
      </c>
      <c r="O2158" s="9">
        <f>(VLOOKUP(L2158,'[1]Simulation pricing per sub assy'!$D:$E,2,0))*M2158</f>
        <v>95.756400000000042</v>
      </c>
      <c r="P2158" s="30" t="s">
        <v>51</v>
      </c>
      <c r="Q2158" s="30">
        <v>8</v>
      </c>
      <c r="R2158" s="30" t="s">
        <v>17</v>
      </c>
      <c r="S2158" s="40">
        <f>(VLOOKUP(P2158,'[1]BOM Info General'!$A:$L,12,0))*Q2158</f>
        <v>21.2</v>
      </c>
      <c r="T2158" s="31" t="s">
        <v>28</v>
      </c>
      <c r="U2158" s="31">
        <v>1</v>
      </c>
      <c r="V2158" s="31" t="s">
        <v>29</v>
      </c>
      <c r="W2158" s="17">
        <f>(VLOOKUP(T2158,'[1]Simulation pricing per sub assy'!$D:$E,2,0))*U2158</f>
        <v>7</v>
      </c>
      <c r="X2158" s="32" t="s">
        <v>616</v>
      </c>
      <c r="Y2158" s="32">
        <v>1</v>
      </c>
      <c r="Z2158" s="32" t="s">
        <v>23</v>
      </c>
      <c r="AA2158" s="18">
        <f>(VLOOKUP(X2158,'[1]Simulation pricing per sub assy'!$D:$E,2,0))*Y2158</f>
        <v>4.4802908000000006</v>
      </c>
    </row>
    <row r="2159" spans="1:27" x14ac:dyDescent="0.35">
      <c r="A2159" s="27" t="s">
        <v>3573</v>
      </c>
      <c r="B2159" s="27" t="s">
        <v>4866</v>
      </c>
      <c r="C2159" s="42">
        <f t="shared" si="33"/>
        <v>284.14669080000004</v>
      </c>
      <c r="D2159" s="28" t="s">
        <v>3540</v>
      </c>
      <c r="E2159" s="28">
        <v>2</v>
      </c>
      <c r="F2159" s="28" t="s">
        <v>3541</v>
      </c>
      <c r="G2159" s="14">
        <f>(VLOOKUP(D2159,'[1]BOM Info General'!$A:$L,12,0))*E2159</f>
        <v>130.12</v>
      </c>
      <c r="H2159" s="29" t="s">
        <v>40</v>
      </c>
      <c r="I2159" s="29">
        <v>1</v>
      </c>
      <c r="J2159" s="29" t="s">
        <v>45</v>
      </c>
      <c r="K2159" s="15">
        <f>(VLOOKUP(H2159,'[1]BOM Info General'!$A:$L,12,0))*I2159</f>
        <v>25.59</v>
      </c>
      <c r="L2159" s="26" t="s">
        <v>81</v>
      </c>
      <c r="M2159" s="26">
        <v>1</v>
      </c>
      <c r="N2159" s="26" t="s">
        <v>80</v>
      </c>
      <c r="O2159" s="9">
        <f>(VLOOKUP(L2159,'[1]Simulation pricing per sub assy'!$D:$E,2,0))*M2159</f>
        <v>95.756400000000042</v>
      </c>
      <c r="P2159" s="30" t="s">
        <v>51</v>
      </c>
      <c r="Q2159" s="30">
        <v>8</v>
      </c>
      <c r="R2159" s="30" t="s">
        <v>17</v>
      </c>
      <c r="S2159" s="40">
        <f>(VLOOKUP(P2159,'[1]BOM Info General'!$A:$L,12,0))*Q2159</f>
        <v>21.2</v>
      </c>
      <c r="T2159" s="31" t="s">
        <v>28</v>
      </c>
      <c r="U2159" s="31">
        <v>1</v>
      </c>
      <c r="V2159" s="31" t="s">
        <v>29</v>
      </c>
      <c r="W2159" s="17">
        <f>(VLOOKUP(T2159,'[1]Simulation pricing per sub assy'!$D:$E,2,0))*U2159</f>
        <v>7</v>
      </c>
      <c r="X2159" s="32" t="s">
        <v>616</v>
      </c>
      <c r="Y2159" s="32">
        <v>1</v>
      </c>
      <c r="Z2159" s="32" t="s">
        <v>23</v>
      </c>
      <c r="AA2159" s="18">
        <f>(VLOOKUP(X2159,'[1]Simulation pricing per sub assy'!$D:$E,2,0))*Y2159</f>
        <v>4.4802908000000006</v>
      </c>
    </row>
    <row r="2160" spans="1:27" x14ac:dyDescent="0.35">
      <c r="A2160" s="27" t="s">
        <v>3574</v>
      </c>
      <c r="B2160" s="27" t="s">
        <v>4867</v>
      </c>
      <c r="C2160" s="42">
        <f t="shared" si="33"/>
        <v>283.59669080000003</v>
      </c>
      <c r="D2160" s="28" t="s">
        <v>3540</v>
      </c>
      <c r="E2160" s="28">
        <v>2</v>
      </c>
      <c r="F2160" s="28" t="s">
        <v>3541</v>
      </c>
      <c r="G2160" s="14">
        <f>(VLOOKUP(D2160,'[1]BOM Info General'!$A:$L,12,0))*E2160</f>
        <v>130.12</v>
      </c>
      <c r="H2160" s="29" t="s">
        <v>40</v>
      </c>
      <c r="I2160" s="29">
        <v>1</v>
      </c>
      <c r="J2160" s="29" t="s">
        <v>45</v>
      </c>
      <c r="K2160" s="15">
        <f>(VLOOKUP(H2160,'[1]BOM Info General'!$A:$L,12,0))*I2160</f>
        <v>25.59</v>
      </c>
      <c r="L2160" s="26" t="s">
        <v>87</v>
      </c>
      <c r="M2160" s="26">
        <v>1</v>
      </c>
      <c r="N2160" s="26" t="s">
        <v>84</v>
      </c>
      <c r="O2160" s="9">
        <f>(VLOOKUP(L2160,'[1]Simulation pricing per sub assy'!$D:$E,2,0))*M2160</f>
        <v>95.206400000000031</v>
      </c>
      <c r="P2160" s="30" t="s">
        <v>51</v>
      </c>
      <c r="Q2160" s="30">
        <v>8</v>
      </c>
      <c r="R2160" s="30" t="s">
        <v>17</v>
      </c>
      <c r="S2160" s="40">
        <f>(VLOOKUP(P2160,'[1]BOM Info General'!$A:$L,12,0))*Q2160</f>
        <v>21.2</v>
      </c>
      <c r="T2160" s="31" t="s">
        <v>28</v>
      </c>
      <c r="U2160" s="31">
        <v>1</v>
      </c>
      <c r="V2160" s="31" t="s">
        <v>29</v>
      </c>
      <c r="W2160" s="17">
        <f>(VLOOKUP(T2160,'[1]Simulation pricing per sub assy'!$D:$E,2,0))*U2160</f>
        <v>7</v>
      </c>
      <c r="X2160" s="32" t="s">
        <v>616</v>
      </c>
      <c r="Y2160" s="32">
        <v>1</v>
      </c>
      <c r="Z2160" s="32" t="s">
        <v>23</v>
      </c>
      <c r="AA2160" s="18">
        <f>(VLOOKUP(X2160,'[1]Simulation pricing per sub assy'!$D:$E,2,0))*Y2160</f>
        <v>4.4802908000000006</v>
      </c>
    </row>
    <row r="2161" spans="1:27" x14ac:dyDescent="0.35">
      <c r="A2161" s="27" t="s">
        <v>3575</v>
      </c>
      <c r="B2161" s="27" t="s">
        <v>4868</v>
      </c>
      <c r="C2161" s="42">
        <f t="shared" si="33"/>
        <v>291.55669080000001</v>
      </c>
      <c r="D2161" s="28" t="s">
        <v>3540</v>
      </c>
      <c r="E2161" s="28">
        <v>2</v>
      </c>
      <c r="F2161" s="28" t="s">
        <v>3541</v>
      </c>
      <c r="G2161" s="14">
        <f>(VLOOKUP(D2161,'[1]BOM Info General'!$A:$L,12,0))*E2161</f>
        <v>130.12</v>
      </c>
      <c r="H2161" s="29" t="s">
        <v>40</v>
      </c>
      <c r="I2161" s="29">
        <v>1</v>
      </c>
      <c r="J2161" s="29" t="s">
        <v>45</v>
      </c>
      <c r="K2161" s="15">
        <f>(VLOOKUP(H2161,'[1]BOM Info General'!$A:$L,12,0))*I2161</f>
        <v>25.59</v>
      </c>
      <c r="L2161" s="26" t="s">
        <v>83</v>
      </c>
      <c r="M2161" s="26">
        <v>1</v>
      </c>
      <c r="N2161" s="26" t="s">
        <v>86</v>
      </c>
      <c r="O2161" s="9">
        <f>(VLOOKUP(L2161,'[1]Simulation pricing per sub assy'!$D:$E,2,0))*M2161</f>
        <v>103.16640000000004</v>
      </c>
      <c r="P2161" s="30" t="s">
        <v>51</v>
      </c>
      <c r="Q2161" s="30">
        <v>8</v>
      </c>
      <c r="R2161" s="30" t="s">
        <v>17</v>
      </c>
      <c r="S2161" s="40">
        <f>(VLOOKUP(P2161,'[1]BOM Info General'!$A:$L,12,0))*Q2161</f>
        <v>21.2</v>
      </c>
      <c r="T2161" s="31" t="s">
        <v>28</v>
      </c>
      <c r="U2161" s="31">
        <v>1</v>
      </c>
      <c r="V2161" s="31" t="s">
        <v>29</v>
      </c>
      <c r="W2161" s="17">
        <f>(VLOOKUP(T2161,'[1]Simulation pricing per sub assy'!$D:$E,2,0))*U2161</f>
        <v>7</v>
      </c>
      <c r="X2161" s="32" t="s">
        <v>616</v>
      </c>
      <c r="Y2161" s="32">
        <v>1</v>
      </c>
      <c r="Z2161" s="32" t="s">
        <v>23</v>
      </c>
      <c r="AA2161" s="18">
        <f>(VLOOKUP(X2161,'[1]Simulation pricing per sub assy'!$D:$E,2,0))*Y2161</f>
        <v>4.4802908000000006</v>
      </c>
    </row>
    <row r="2162" spans="1:27" x14ac:dyDescent="0.35">
      <c r="A2162" s="27" t="s">
        <v>3576</v>
      </c>
      <c r="B2162" s="27" t="s">
        <v>4869</v>
      </c>
      <c r="C2162" s="42">
        <f t="shared" si="33"/>
        <v>282.48669080000002</v>
      </c>
      <c r="D2162" s="28" t="s">
        <v>3540</v>
      </c>
      <c r="E2162" s="28">
        <v>2</v>
      </c>
      <c r="F2162" s="28" t="s">
        <v>3541</v>
      </c>
      <c r="G2162" s="14">
        <f>(VLOOKUP(D2162,'[1]BOM Info General'!$A:$L,12,0))*E2162</f>
        <v>130.12</v>
      </c>
      <c r="H2162" s="29" t="s">
        <v>40</v>
      </c>
      <c r="I2162" s="29">
        <v>1</v>
      </c>
      <c r="J2162" s="29" t="s">
        <v>45</v>
      </c>
      <c r="K2162" s="15">
        <f>(VLOOKUP(H2162,'[1]BOM Info General'!$A:$L,12,0))*I2162</f>
        <v>25.59</v>
      </c>
      <c r="L2162" s="26" t="s">
        <v>528</v>
      </c>
      <c r="M2162" s="26">
        <v>1</v>
      </c>
      <c r="N2162" s="26" t="s">
        <v>88</v>
      </c>
      <c r="O2162" s="9">
        <f>(VLOOKUP(L2162,'[1]Simulation pricing per sub assy'!$D:$E,2,0))*M2162</f>
        <v>94.656400000000033</v>
      </c>
      <c r="P2162" s="30" t="s">
        <v>52</v>
      </c>
      <c r="Q2162" s="30">
        <v>8</v>
      </c>
      <c r="R2162" s="30" t="s">
        <v>18</v>
      </c>
      <c r="S2162" s="40">
        <f>(VLOOKUP(P2162,'[1]BOM Info General'!$A:$L,12,0))*Q2162</f>
        <v>21.2</v>
      </c>
      <c r="T2162" s="31" t="s">
        <v>24</v>
      </c>
      <c r="U2162" s="31">
        <v>1</v>
      </c>
      <c r="V2162" s="31" t="s">
        <v>25</v>
      </c>
      <c r="W2162" s="17">
        <f>(VLOOKUP(T2162,'[1]Simulation pricing per sub assy'!$D:$E,2,0))*U2162</f>
        <v>6.44</v>
      </c>
      <c r="X2162" s="32" t="s">
        <v>616</v>
      </c>
      <c r="Y2162" s="32">
        <v>1</v>
      </c>
      <c r="Z2162" s="32" t="s">
        <v>23</v>
      </c>
      <c r="AA2162" s="18">
        <f>(VLOOKUP(X2162,'[1]Simulation pricing per sub assy'!$D:$E,2,0))*Y2162</f>
        <v>4.4802908000000006</v>
      </c>
    </row>
    <row r="2163" spans="1:27" x14ac:dyDescent="0.35">
      <c r="A2163" s="27" t="s">
        <v>3577</v>
      </c>
      <c r="B2163" s="27" t="s">
        <v>4870</v>
      </c>
      <c r="C2163" s="42">
        <f t="shared" si="33"/>
        <v>283.58669080000004</v>
      </c>
      <c r="D2163" s="28" t="s">
        <v>3540</v>
      </c>
      <c r="E2163" s="28">
        <v>2</v>
      </c>
      <c r="F2163" s="28" t="s">
        <v>3541</v>
      </c>
      <c r="G2163" s="14">
        <f>(VLOOKUP(D2163,'[1]BOM Info General'!$A:$L,12,0))*E2163</f>
        <v>130.12</v>
      </c>
      <c r="H2163" s="29" t="s">
        <v>40</v>
      </c>
      <c r="I2163" s="29">
        <v>1</v>
      </c>
      <c r="J2163" s="29" t="s">
        <v>45</v>
      </c>
      <c r="K2163" s="15">
        <f>(VLOOKUP(H2163,'[1]BOM Info General'!$A:$L,12,0))*I2163</f>
        <v>25.59</v>
      </c>
      <c r="L2163" s="26" t="s">
        <v>85</v>
      </c>
      <c r="M2163" s="26">
        <v>1</v>
      </c>
      <c r="N2163" s="26" t="s">
        <v>82</v>
      </c>
      <c r="O2163" s="9">
        <f>(VLOOKUP(L2163,'[1]Simulation pricing per sub assy'!$D:$E,2,0))*M2163</f>
        <v>95.756400000000042</v>
      </c>
      <c r="P2163" s="30" t="s">
        <v>52</v>
      </c>
      <c r="Q2163" s="30">
        <v>8</v>
      </c>
      <c r="R2163" s="30" t="s">
        <v>18</v>
      </c>
      <c r="S2163" s="40">
        <f>(VLOOKUP(P2163,'[1]BOM Info General'!$A:$L,12,0))*Q2163</f>
        <v>21.2</v>
      </c>
      <c r="T2163" s="31" t="s">
        <v>24</v>
      </c>
      <c r="U2163" s="31">
        <v>1</v>
      </c>
      <c r="V2163" s="31" t="s">
        <v>25</v>
      </c>
      <c r="W2163" s="17">
        <f>(VLOOKUP(T2163,'[1]Simulation pricing per sub assy'!$D:$E,2,0))*U2163</f>
        <v>6.44</v>
      </c>
      <c r="X2163" s="32" t="s">
        <v>616</v>
      </c>
      <c r="Y2163" s="32">
        <v>1</v>
      </c>
      <c r="Z2163" s="32" t="s">
        <v>23</v>
      </c>
      <c r="AA2163" s="18">
        <f>(VLOOKUP(X2163,'[1]Simulation pricing per sub assy'!$D:$E,2,0))*Y2163</f>
        <v>4.4802908000000006</v>
      </c>
    </row>
    <row r="2164" spans="1:27" x14ac:dyDescent="0.35">
      <c r="A2164" s="27" t="s">
        <v>3578</v>
      </c>
      <c r="B2164" s="27" t="s">
        <v>4871</v>
      </c>
      <c r="C2164" s="42">
        <f t="shared" si="33"/>
        <v>283.58669080000004</v>
      </c>
      <c r="D2164" s="28" t="s">
        <v>3540</v>
      </c>
      <c r="E2164" s="28">
        <v>2</v>
      </c>
      <c r="F2164" s="28" t="s">
        <v>3541</v>
      </c>
      <c r="G2164" s="14">
        <f>(VLOOKUP(D2164,'[1]BOM Info General'!$A:$L,12,0))*E2164</f>
        <v>130.12</v>
      </c>
      <c r="H2164" s="29" t="s">
        <v>40</v>
      </c>
      <c r="I2164" s="29">
        <v>1</v>
      </c>
      <c r="J2164" s="29" t="s">
        <v>45</v>
      </c>
      <c r="K2164" s="15">
        <f>(VLOOKUP(H2164,'[1]BOM Info General'!$A:$L,12,0))*I2164</f>
        <v>25.59</v>
      </c>
      <c r="L2164" s="26" t="s">
        <v>81</v>
      </c>
      <c r="M2164" s="26">
        <v>1</v>
      </c>
      <c r="N2164" s="26" t="s">
        <v>80</v>
      </c>
      <c r="O2164" s="9">
        <f>(VLOOKUP(L2164,'[1]Simulation pricing per sub assy'!$D:$E,2,0))*M2164</f>
        <v>95.756400000000042</v>
      </c>
      <c r="P2164" s="30" t="s">
        <v>52</v>
      </c>
      <c r="Q2164" s="30">
        <v>8</v>
      </c>
      <c r="R2164" s="30" t="s">
        <v>18</v>
      </c>
      <c r="S2164" s="40">
        <f>(VLOOKUP(P2164,'[1]BOM Info General'!$A:$L,12,0))*Q2164</f>
        <v>21.2</v>
      </c>
      <c r="T2164" s="31" t="s">
        <v>24</v>
      </c>
      <c r="U2164" s="31">
        <v>1</v>
      </c>
      <c r="V2164" s="31" t="s">
        <v>25</v>
      </c>
      <c r="W2164" s="17">
        <f>(VLOOKUP(T2164,'[1]Simulation pricing per sub assy'!$D:$E,2,0))*U2164</f>
        <v>6.44</v>
      </c>
      <c r="X2164" s="32" t="s">
        <v>616</v>
      </c>
      <c r="Y2164" s="32">
        <v>1</v>
      </c>
      <c r="Z2164" s="32" t="s">
        <v>23</v>
      </c>
      <c r="AA2164" s="18">
        <f>(VLOOKUP(X2164,'[1]Simulation pricing per sub assy'!$D:$E,2,0))*Y2164</f>
        <v>4.4802908000000006</v>
      </c>
    </row>
    <row r="2165" spans="1:27" x14ac:dyDescent="0.35">
      <c r="A2165" s="27" t="s">
        <v>3579</v>
      </c>
      <c r="B2165" s="27" t="s">
        <v>4872</v>
      </c>
      <c r="C2165" s="42">
        <f t="shared" si="33"/>
        <v>283.03669080000003</v>
      </c>
      <c r="D2165" s="28" t="s">
        <v>3540</v>
      </c>
      <c r="E2165" s="28">
        <v>2</v>
      </c>
      <c r="F2165" s="28" t="s">
        <v>3541</v>
      </c>
      <c r="G2165" s="14">
        <f>(VLOOKUP(D2165,'[1]BOM Info General'!$A:$L,12,0))*E2165</f>
        <v>130.12</v>
      </c>
      <c r="H2165" s="29" t="s">
        <v>40</v>
      </c>
      <c r="I2165" s="29">
        <v>1</v>
      </c>
      <c r="J2165" s="29" t="s">
        <v>45</v>
      </c>
      <c r="K2165" s="15">
        <f>(VLOOKUP(H2165,'[1]BOM Info General'!$A:$L,12,0))*I2165</f>
        <v>25.59</v>
      </c>
      <c r="L2165" s="26" t="s">
        <v>87</v>
      </c>
      <c r="M2165" s="26">
        <v>1</v>
      </c>
      <c r="N2165" s="26" t="s">
        <v>84</v>
      </c>
      <c r="O2165" s="9">
        <f>(VLOOKUP(L2165,'[1]Simulation pricing per sub assy'!$D:$E,2,0))*M2165</f>
        <v>95.206400000000031</v>
      </c>
      <c r="P2165" s="30" t="s">
        <v>52</v>
      </c>
      <c r="Q2165" s="30">
        <v>8</v>
      </c>
      <c r="R2165" s="30" t="s">
        <v>18</v>
      </c>
      <c r="S2165" s="40">
        <f>(VLOOKUP(P2165,'[1]BOM Info General'!$A:$L,12,0))*Q2165</f>
        <v>21.2</v>
      </c>
      <c r="T2165" s="31" t="s">
        <v>24</v>
      </c>
      <c r="U2165" s="31">
        <v>1</v>
      </c>
      <c r="V2165" s="31" t="s">
        <v>25</v>
      </c>
      <c r="W2165" s="17">
        <f>(VLOOKUP(T2165,'[1]Simulation pricing per sub assy'!$D:$E,2,0))*U2165</f>
        <v>6.44</v>
      </c>
      <c r="X2165" s="32" t="s">
        <v>616</v>
      </c>
      <c r="Y2165" s="32">
        <v>1</v>
      </c>
      <c r="Z2165" s="32" t="s">
        <v>23</v>
      </c>
      <c r="AA2165" s="18">
        <f>(VLOOKUP(X2165,'[1]Simulation pricing per sub assy'!$D:$E,2,0))*Y2165</f>
        <v>4.4802908000000006</v>
      </c>
    </row>
    <row r="2166" spans="1:27" x14ac:dyDescent="0.35">
      <c r="A2166" s="27" t="s">
        <v>3580</v>
      </c>
      <c r="B2166" s="27" t="s">
        <v>4873</v>
      </c>
      <c r="C2166" s="42">
        <f t="shared" si="33"/>
        <v>290.99669080000001</v>
      </c>
      <c r="D2166" s="28" t="s">
        <v>3540</v>
      </c>
      <c r="E2166" s="28">
        <v>2</v>
      </c>
      <c r="F2166" s="28" t="s">
        <v>3541</v>
      </c>
      <c r="G2166" s="14">
        <f>(VLOOKUP(D2166,'[1]BOM Info General'!$A:$L,12,0))*E2166</f>
        <v>130.12</v>
      </c>
      <c r="H2166" s="29" t="s">
        <v>40</v>
      </c>
      <c r="I2166" s="29">
        <v>1</v>
      </c>
      <c r="J2166" s="29" t="s">
        <v>45</v>
      </c>
      <c r="K2166" s="15">
        <f>(VLOOKUP(H2166,'[1]BOM Info General'!$A:$L,12,0))*I2166</f>
        <v>25.59</v>
      </c>
      <c r="L2166" s="26" t="s">
        <v>83</v>
      </c>
      <c r="M2166" s="26">
        <v>1</v>
      </c>
      <c r="N2166" s="26" t="s">
        <v>86</v>
      </c>
      <c r="O2166" s="9">
        <f>(VLOOKUP(L2166,'[1]Simulation pricing per sub assy'!$D:$E,2,0))*M2166</f>
        <v>103.16640000000004</v>
      </c>
      <c r="P2166" s="30" t="s">
        <v>52</v>
      </c>
      <c r="Q2166" s="30">
        <v>8</v>
      </c>
      <c r="R2166" s="30" t="s">
        <v>18</v>
      </c>
      <c r="S2166" s="40">
        <f>(VLOOKUP(P2166,'[1]BOM Info General'!$A:$L,12,0))*Q2166</f>
        <v>21.2</v>
      </c>
      <c r="T2166" s="31" t="s">
        <v>24</v>
      </c>
      <c r="U2166" s="31">
        <v>1</v>
      </c>
      <c r="V2166" s="31" t="s">
        <v>25</v>
      </c>
      <c r="W2166" s="17">
        <f>(VLOOKUP(T2166,'[1]Simulation pricing per sub assy'!$D:$E,2,0))*U2166</f>
        <v>6.44</v>
      </c>
      <c r="X2166" s="32" t="s">
        <v>616</v>
      </c>
      <c r="Y2166" s="32">
        <v>1</v>
      </c>
      <c r="Z2166" s="32" t="s">
        <v>23</v>
      </c>
      <c r="AA2166" s="18">
        <f>(VLOOKUP(X2166,'[1]Simulation pricing per sub assy'!$D:$E,2,0))*Y2166</f>
        <v>4.4802908000000006</v>
      </c>
    </row>
    <row r="2167" spans="1:27" x14ac:dyDescent="0.35">
      <c r="A2167" s="27" t="s">
        <v>3581</v>
      </c>
      <c r="B2167" s="27" t="s">
        <v>4874</v>
      </c>
      <c r="C2167" s="42">
        <f t="shared" si="33"/>
        <v>283.08669080000004</v>
      </c>
      <c r="D2167" s="28" t="s">
        <v>3540</v>
      </c>
      <c r="E2167" s="28">
        <v>2</v>
      </c>
      <c r="F2167" s="28" t="s">
        <v>3541</v>
      </c>
      <c r="G2167" s="14">
        <f>(VLOOKUP(D2167,'[1]BOM Info General'!$A:$L,12,0))*E2167</f>
        <v>130.12</v>
      </c>
      <c r="H2167" s="29" t="s">
        <v>40</v>
      </c>
      <c r="I2167" s="29">
        <v>1</v>
      </c>
      <c r="J2167" s="29" t="s">
        <v>45</v>
      </c>
      <c r="K2167" s="15">
        <f>(VLOOKUP(H2167,'[1]BOM Info General'!$A:$L,12,0))*I2167</f>
        <v>25.59</v>
      </c>
      <c r="L2167" s="26" t="s">
        <v>528</v>
      </c>
      <c r="M2167" s="26">
        <v>1</v>
      </c>
      <c r="N2167" s="26" t="s">
        <v>88</v>
      </c>
      <c r="O2167" s="9">
        <f>(VLOOKUP(L2167,'[1]Simulation pricing per sub assy'!$D:$E,2,0))*M2167</f>
        <v>94.656400000000033</v>
      </c>
      <c r="P2167" s="30" t="s">
        <v>52</v>
      </c>
      <c r="Q2167" s="30">
        <v>8</v>
      </c>
      <c r="R2167" s="30" t="s">
        <v>18</v>
      </c>
      <c r="S2167" s="40">
        <f>(VLOOKUP(P2167,'[1]BOM Info General'!$A:$L,12,0))*Q2167</f>
        <v>21.2</v>
      </c>
      <c r="T2167" s="31" t="s">
        <v>26</v>
      </c>
      <c r="U2167" s="31">
        <v>1</v>
      </c>
      <c r="V2167" s="31" t="s">
        <v>27</v>
      </c>
      <c r="W2167" s="17">
        <f>(VLOOKUP(T2167,'[1]Simulation pricing per sub assy'!$D:$E,2,0))*U2167</f>
        <v>7.04</v>
      </c>
      <c r="X2167" s="32" t="s">
        <v>616</v>
      </c>
      <c r="Y2167" s="32">
        <v>1</v>
      </c>
      <c r="Z2167" s="32" t="s">
        <v>23</v>
      </c>
      <c r="AA2167" s="18">
        <f>(VLOOKUP(X2167,'[1]Simulation pricing per sub assy'!$D:$E,2,0))*Y2167</f>
        <v>4.4802908000000006</v>
      </c>
    </row>
    <row r="2168" spans="1:27" x14ac:dyDescent="0.35">
      <c r="A2168" s="27" t="s">
        <v>3582</v>
      </c>
      <c r="B2168" s="27" t="s">
        <v>4875</v>
      </c>
      <c r="C2168" s="42">
        <f t="shared" si="33"/>
        <v>284.18669080000006</v>
      </c>
      <c r="D2168" s="28" t="s">
        <v>3540</v>
      </c>
      <c r="E2168" s="28">
        <v>2</v>
      </c>
      <c r="F2168" s="28" t="s">
        <v>3541</v>
      </c>
      <c r="G2168" s="14">
        <f>(VLOOKUP(D2168,'[1]BOM Info General'!$A:$L,12,0))*E2168</f>
        <v>130.12</v>
      </c>
      <c r="H2168" s="29" t="s">
        <v>40</v>
      </c>
      <c r="I2168" s="29">
        <v>1</v>
      </c>
      <c r="J2168" s="29" t="s">
        <v>45</v>
      </c>
      <c r="K2168" s="15">
        <f>(VLOOKUP(H2168,'[1]BOM Info General'!$A:$L,12,0))*I2168</f>
        <v>25.59</v>
      </c>
      <c r="L2168" s="26" t="s">
        <v>85</v>
      </c>
      <c r="M2168" s="26">
        <v>1</v>
      </c>
      <c r="N2168" s="26" t="s">
        <v>82</v>
      </c>
      <c r="O2168" s="9">
        <f>(VLOOKUP(L2168,'[1]Simulation pricing per sub assy'!$D:$E,2,0))*M2168</f>
        <v>95.756400000000042</v>
      </c>
      <c r="P2168" s="30" t="s">
        <v>52</v>
      </c>
      <c r="Q2168" s="30">
        <v>8</v>
      </c>
      <c r="R2168" s="30" t="s">
        <v>18</v>
      </c>
      <c r="S2168" s="40">
        <f>(VLOOKUP(P2168,'[1]BOM Info General'!$A:$L,12,0))*Q2168</f>
        <v>21.2</v>
      </c>
      <c r="T2168" s="31" t="s">
        <v>26</v>
      </c>
      <c r="U2168" s="31">
        <v>1</v>
      </c>
      <c r="V2168" s="31" t="s">
        <v>27</v>
      </c>
      <c r="W2168" s="17">
        <f>(VLOOKUP(T2168,'[1]Simulation pricing per sub assy'!$D:$E,2,0))*U2168</f>
        <v>7.04</v>
      </c>
      <c r="X2168" s="32" t="s">
        <v>616</v>
      </c>
      <c r="Y2168" s="32">
        <v>1</v>
      </c>
      <c r="Z2168" s="32" t="s">
        <v>23</v>
      </c>
      <c r="AA2168" s="18">
        <f>(VLOOKUP(X2168,'[1]Simulation pricing per sub assy'!$D:$E,2,0))*Y2168</f>
        <v>4.4802908000000006</v>
      </c>
    </row>
    <row r="2169" spans="1:27" x14ac:dyDescent="0.35">
      <c r="A2169" s="27" t="s">
        <v>3583</v>
      </c>
      <c r="B2169" s="27" t="s">
        <v>4876</v>
      </c>
      <c r="C2169" s="42">
        <f t="shared" si="33"/>
        <v>284.18669080000006</v>
      </c>
      <c r="D2169" s="28" t="s">
        <v>3540</v>
      </c>
      <c r="E2169" s="28">
        <v>2</v>
      </c>
      <c r="F2169" s="28" t="s">
        <v>3541</v>
      </c>
      <c r="G2169" s="14">
        <f>(VLOOKUP(D2169,'[1]BOM Info General'!$A:$L,12,0))*E2169</f>
        <v>130.12</v>
      </c>
      <c r="H2169" s="29" t="s">
        <v>40</v>
      </c>
      <c r="I2169" s="29">
        <v>1</v>
      </c>
      <c r="J2169" s="29" t="s">
        <v>45</v>
      </c>
      <c r="K2169" s="15">
        <f>(VLOOKUP(H2169,'[1]BOM Info General'!$A:$L,12,0))*I2169</f>
        <v>25.59</v>
      </c>
      <c r="L2169" s="26" t="s">
        <v>81</v>
      </c>
      <c r="M2169" s="26">
        <v>1</v>
      </c>
      <c r="N2169" s="26" t="s">
        <v>80</v>
      </c>
      <c r="O2169" s="9">
        <f>(VLOOKUP(L2169,'[1]Simulation pricing per sub assy'!$D:$E,2,0))*M2169</f>
        <v>95.756400000000042</v>
      </c>
      <c r="P2169" s="30" t="s">
        <v>52</v>
      </c>
      <c r="Q2169" s="30">
        <v>8</v>
      </c>
      <c r="R2169" s="30" t="s">
        <v>18</v>
      </c>
      <c r="S2169" s="40">
        <f>(VLOOKUP(P2169,'[1]BOM Info General'!$A:$L,12,0))*Q2169</f>
        <v>21.2</v>
      </c>
      <c r="T2169" s="31" t="s">
        <v>26</v>
      </c>
      <c r="U2169" s="31">
        <v>1</v>
      </c>
      <c r="V2169" s="31" t="s">
        <v>27</v>
      </c>
      <c r="W2169" s="17">
        <f>(VLOOKUP(T2169,'[1]Simulation pricing per sub assy'!$D:$E,2,0))*U2169</f>
        <v>7.04</v>
      </c>
      <c r="X2169" s="32" t="s">
        <v>616</v>
      </c>
      <c r="Y2169" s="32">
        <v>1</v>
      </c>
      <c r="Z2169" s="32" t="s">
        <v>23</v>
      </c>
      <c r="AA2169" s="18">
        <f>(VLOOKUP(X2169,'[1]Simulation pricing per sub assy'!$D:$E,2,0))*Y2169</f>
        <v>4.4802908000000006</v>
      </c>
    </row>
    <row r="2170" spans="1:27" x14ac:dyDescent="0.35">
      <c r="A2170" s="27" t="s">
        <v>3584</v>
      </c>
      <c r="B2170" s="27" t="s">
        <v>4877</v>
      </c>
      <c r="C2170" s="42">
        <f t="shared" si="33"/>
        <v>283.63669080000005</v>
      </c>
      <c r="D2170" s="28" t="s">
        <v>3540</v>
      </c>
      <c r="E2170" s="28">
        <v>2</v>
      </c>
      <c r="F2170" s="28" t="s">
        <v>3541</v>
      </c>
      <c r="G2170" s="14">
        <f>(VLOOKUP(D2170,'[1]BOM Info General'!$A:$L,12,0))*E2170</f>
        <v>130.12</v>
      </c>
      <c r="H2170" s="29" t="s">
        <v>40</v>
      </c>
      <c r="I2170" s="29">
        <v>1</v>
      </c>
      <c r="J2170" s="29" t="s">
        <v>45</v>
      </c>
      <c r="K2170" s="15">
        <f>(VLOOKUP(H2170,'[1]BOM Info General'!$A:$L,12,0))*I2170</f>
        <v>25.59</v>
      </c>
      <c r="L2170" s="26" t="s">
        <v>87</v>
      </c>
      <c r="M2170" s="26">
        <v>1</v>
      </c>
      <c r="N2170" s="26" t="s">
        <v>84</v>
      </c>
      <c r="O2170" s="9">
        <f>(VLOOKUP(L2170,'[1]Simulation pricing per sub assy'!$D:$E,2,0))*M2170</f>
        <v>95.206400000000031</v>
      </c>
      <c r="P2170" s="30" t="s">
        <v>52</v>
      </c>
      <c r="Q2170" s="30">
        <v>8</v>
      </c>
      <c r="R2170" s="30" t="s">
        <v>18</v>
      </c>
      <c r="S2170" s="40">
        <f>(VLOOKUP(P2170,'[1]BOM Info General'!$A:$L,12,0))*Q2170</f>
        <v>21.2</v>
      </c>
      <c r="T2170" s="31" t="s">
        <v>26</v>
      </c>
      <c r="U2170" s="31">
        <v>1</v>
      </c>
      <c r="V2170" s="31" t="s">
        <v>27</v>
      </c>
      <c r="W2170" s="17">
        <f>(VLOOKUP(T2170,'[1]Simulation pricing per sub assy'!$D:$E,2,0))*U2170</f>
        <v>7.04</v>
      </c>
      <c r="X2170" s="32" t="s">
        <v>616</v>
      </c>
      <c r="Y2170" s="32">
        <v>1</v>
      </c>
      <c r="Z2170" s="32" t="s">
        <v>23</v>
      </c>
      <c r="AA2170" s="18">
        <f>(VLOOKUP(X2170,'[1]Simulation pricing per sub assy'!$D:$E,2,0))*Y2170</f>
        <v>4.4802908000000006</v>
      </c>
    </row>
    <row r="2171" spans="1:27" x14ac:dyDescent="0.35">
      <c r="A2171" s="27" t="s">
        <v>3585</v>
      </c>
      <c r="B2171" s="27" t="s">
        <v>4878</v>
      </c>
      <c r="C2171" s="42">
        <f t="shared" si="33"/>
        <v>291.59669080000003</v>
      </c>
      <c r="D2171" s="28" t="s">
        <v>3540</v>
      </c>
      <c r="E2171" s="28">
        <v>2</v>
      </c>
      <c r="F2171" s="28" t="s">
        <v>3541</v>
      </c>
      <c r="G2171" s="14">
        <f>(VLOOKUP(D2171,'[1]BOM Info General'!$A:$L,12,0))*E2171</f>
        <v>130.12</v>
      </c>
      <c r="H2171" s="29" t="s">
        <v>40</v>
      </c>
      <c r="I2171" s="29">
        <v>1</v>
      </c>
      <c r="J2171" s="29" t="s">
        <v>45</v>
      </c>
      <c r="K2171" s="15">
        <f>(VLOOKUP(H2171,'[1]BOM Info General'!$A:$L,12,0))*I2171</f>
        <v>25.59</v>
      </c>
      <c r="L2171" s="26" t="s">
        <v>83</v>
      </c>
      <c r="M2171" s="26">
        <v>1</v>
      </c>
      <c r="N2171" s="26" t="s">
        <v>86</v>
      </c>
      <c r="O2171" s="9">
        <f>(VLOOKUP(L2171,'[1]Simulation pricing per sub assy'!$D:$E,2,0))*M2171</f>
        <v>103.16640000000004</v>
      </c>
      <c r="P2171" s="30" t="s">
        <v>52</v>
      </c>
      <c r="Q2171" s="30">
        <v>8</v>
      </c>
      <c r="R2171" s="30" t="s">
        <v>18</v>
      </c>
      <c r="S2171" s="40">
        <f>(VLOOKUP(P2171,'[1]BOM Info General'!$A:$L,12,0))*Q2171</f>
        <v>21.2</v>
      </c>
      <c r="T2171" s="31" t="s">
        <v>26</v>
      </c>
      <c r="U2171" s="31">
        <v>1</v>
      </c>
      <c r="V2171" s="31" t="s">
        <v>27</v>
      </c>
      <c r="W2171" s="17">
        <f>(VLOOKUP(T2171,'[1]Simulation pricing per sub assy'!$D:$E,2,0))*U2171</f>
        <v>7.04</v>
      </c>
      <c r="X2171" s="32" t="s">
        <v>616</v>
      </c>
      <c r="Y2171" s="32">
        <v>1</v>
      </c>
      <c r="Z2171" s="32" t="s">
        <v>23</v>
      </c>
      <c r="AA2171" s="18">
        <f>(VLOOKUP(X2171,'[1]Simulation pricing per sub assy'!$D:$E,2,0))*Y2171</f>
        <v>4.4802908000000006</v>
      </c>
    </row>
    <row r="2172" spans="1:27" x14ac:dyDescent="0.35">
      <c r="A2172" s="27" t="s">
        <v>3586</v>
      </c>
      <c r="B2172" s="27" t="s">
        <v>4879</v>
      </c>
      <c r="C2172" s="42">
        <f t="shared" si="33"/>
        <v>283.04669080000002</v>
      </c>
      <c r="D2172" s="28" t="s">
        <v>3540</v>
      </c>
      <c r="E2172" s="28">
        <v>2</v>
      </c>
      <c r="F2172" s="28" t="s">
        <v>3541</v>
      </c>
      <c r="G2172" s="14">
        <f>(VLOOKUP(D2172,'[1]BOM Info General'!$A:$L,12,0))*E2172</f>
        <v>130.12</v>
      </c>
      <c r="H2172" s="29" t="s">
        <v>40</v>
      </c>
      <c r="I2172" s="29">
        <v>1</v>
      </c>
      <c r="J2172" s="29" t="s">
        <v>45</v>
      </c>
      <c r="K2172" s="15">
        <f>(VLOOKUP(H2172,'[1]BOM Info General'!$A:$L,12,0))*I2172</f>
        <v>25.59</v>
      </c>
      <c r="L2172" s="26" t="s">
        <v>528</v>
      </c>
      <c r="M2172" s="26">
        <v>1</v>
      </c>
      <c r="N2172" s="26" t="s">
        <v>88</v>
      </c>
      <c r="O2172" s="9">
        <f>(VLOOKUP(L2172,'[1]Simulation pricing per sub assy'!$D:$E,2,0))*M2172</f>
        <v>94.656400000000033</v>
      </c>
      <c r="P2172" s="30" t="s">
        <v>52</v>
      </c>
      <c r="Q2172" s="30">
        <v>8</v>
      </c>
      <c r="R2172" s="30" t="s">
        <v>18</v>
      </c>
      <c r="S2172" s="40">
        <f>(VLOOKUP(P2172,'[1]BOM Info General'!$A:$L,12,0))*Q2172</f>
        <v>21.2</v>
      </c>
      <c r="T2172" s="31" t="s">
        <v>28</v>
      </c>
      <c r="U2172" s="31">
        <v>1</v>
      </c>
      <c r="V2172" s="31" t="s">
        <v>29</v>
      </c>
      <c r="W2172" s="17">
        <f>(VLOOKUP(T2172,'[1]Simulation pricing per sub assy'!$D:$E,2,0))*U2172</f>
        <v>7</v>
      </c>
      <c r="X2172" s="32" t="s">
        <v>616</v>
      </c>
      <c r="Y2172" s="32">
        <v>1</v>
      </c>
      <c r="Z2172" s="32" t="s">
        <v>23</v>
      </c>
      <c r="AA2172" s="18">
        <f>(VLOOKUP(X2172,'[1]Simulation pricing per sub assy'!$D:$E,2,0))*Y2172</f>
        <v>4.4802908000000006</v>
      </c>
    </row>
    <row r="2173" spans="1:27" x14ac:dyDescent="0.35">
      <c r="A2173" s="27" t="s">
        <v>3587</v>
      </c>
      <c r="B2173" s="27" t="s">
        <v>4880</v>
      </c>
      <c r="C2173" s="42">
        <f t="shared" si="33"/>
        <v>284.14669080000004</v>
      </c>
      <c r="D2173" s="28" t="s">
        <v>3540</v>
      </c>
      <c r="E2173" s="28">
        <v>2</v>
      </c>
      <c r="F2173" s="28" t="s">
        <v>3541</v>
      </c>
      <c r="G2173" s="14">
        <f>(VLOOKUP(D2173,'[1]BOM Info General'!$A:$L,12,0))*E2173</f>
        <v>130.12</v>
      </c>
      <c r="H2173" s="29" t="s">
        <v>40</v>
      </c>
      <c r="I2173" s="29">
        <v>1</v>
      </c>
      <c r="J2173" s="29" t="s">
        <v>45</v>
      </c>
      <c r="K2173" s="15">
        <f>(VLOOKUP(H2173,'[1]BOM Info General'!$A:$L,12,0))*I2173</f>
        <v>25.59</v>
      </c>
      <c r="L2173" s="26" t="s">
        <v>85</v>
      </c>
      <c r="M2173" s="26">
        <v>1</v>
      </c>
      <c r="N2173" s="26" t="s">
        <v>82</v>
      </c>
      <c r="O2173" s="9">
        <f>(VLOOKUP(L2173,'[1]Simulation pricing per sub assy'!$D:$E,2,0))*M2173</f>
        <v>95.756400000000042</v>
      </c>
      <c r="P2173" s="30" t="s">
        <v>52</v>
      </c>
      <c r="Q2173" s="30">
        <v>8</v>
      </c>
      <c r="R2173" s="30" t="s">
        <v>18</v>
      </c>
      <c r="S2173" s="40">
        <f>(VLOOKUP(P2173,'[1]BOM Info General'!$A:$L,12,0))*Q2173</f>
        <v>21.2</v>
      </c>
      <c r="T2173" s="31" t="s">
        <v>28</v>
      </c>
      <c r="U2173" s="31">
        <v>1</v>
      </c>
      <c r="V2173" s="31" t="s">
        <v>29</v>
      </c>
      <c r="W2173" s="17">
        <f>(VLOOKUP(T2173,'[1]Simulation pricing per sub assy'!$D:$E,2,0))*U2173</f>
        <v>7</v>
      </c>
      <c r="X2173" s="32" t="s">
        <v>616</v>
      </c>
      <c r="Y2173" s="32">
        <v>1</v>
      </c>
      <c r="Z2173" s="32" t="s">
        <v>23</v>
      </c>
      <c r="AA2173" s="18">
        <f>(VLOOKUP(X2173,'[1]Simulation pricing per sub assy'!$D:$E,2,0))*Y2173</f>
        <v>4.4802908000000006</v>
      </c>
    </row>
    <row r="2174" spans="1:27" x14ac:dyDescent="0.35">
      <c r="A2174" s="27" t="s">
        <v>3588</v>
      </c>
      <c r="B2174" s="27" t="s">
        <v>4881</v>
      </c>
      <c r="C2174" s="42">
        <f t="shared" si="33"/>
        <v>284.14669080000004</v>
      </c>
      <c r="D2174" s="28" t="s">
        <v>3540</v>
      </c>
      <c r="E2174" s="28">
        <v>2</v>
      </c>
      <c r="F2174" s="28" t="s">
        <v>3541</v>
      </c>
      <c r="G2174" s="14">
        <f>(VLOOKUP(D2174,'[1]BOM Info General'!$A:$L,12,0))*E2174</f>
        <v>130.12</v>
      </c>
      <c r="H2174" s="29" t="s">
        <v>40</v>
      </c>
      <c r="I2174" s="29">
        <v>1</v>
      </c>
      <c r="J2174" s="29" t="s">
        <v>45</v>
      </c>
      <c r="K2174" s="15">
        <f>(VLOOKUP(H2174,'[1]BOM Info General'!$A:$L,12,0))*I2174</f>
        <v>25.59</v>
      </c>
      <c r="L2174" s="26" t="s">
        <v>81</v>
      </c>
      <c r="M2174" s="26">
        <v>1</v>
      </c>
      <c r="N2174" s="26" t="s">
        <v>80</v>
      </c>
      <c r="O2174" s="9">
        <f>(VLOOKUP(L2174,'[1]Simulation pricing per sub assy'!$D:$E,2,0))*M2174</f>
        <v>95.756400000000042</v>
      </c>
      <c r="P2174" s="30" t="s">
        <v>52</v>
      </c>
      <c r="Q2174" s="30">
        <v>8</v>
      </c>
      <c r="R2174" s="30" t="s">
        <v>18</v>
      </c>
      <c r="S2174" s="40">
        <f>(VLOOKUP(P2174,'[1]BOM Info General'!$A:$L,12,0))*Q2174</f>
        <v>21.2</v>
      </c>
      <c r="T2174" s="31" t="s">
        <v>28</v>
      </c>
      <c r="U2174" s="31">
        <v>1</v>
      </c>
      <c r="V2174" s="31" t="s">
        <v>29</v>
      </c>
      <c r="W2174" s="17">
        <f>(VLOOKUP(T2174,'[1]Simulation pricing per sub assy'!$D:$E,2,0))*U2174</f>
        <v>7</v>
      </c>
      <c r="X2174" s="32" t="s">
        <v>616</v>
      </c>
      <c r="Y2174" s="32">
        <v>1</v>
      </c>
      <c r="Z2174" s="32" t="s">
        <v>23</v>
      </c>
      <c r="AA2174" s="18">
        <f>(VLOOKUP(X2174,'[1]Simulation pricing per sub assy'!$D:$E,2,0))*Y2174</f>
        <v>4.4802908000000006</v>
      </c>
    </row>
    <row r="2175" spans="1:27" x14ac:dyDescent="0.35">
      <c r="A2175" s="27" t="s">
        <v>3589</v>
      </c>
      <c r="B2175" s="27" t="s">
        <v>4882</v>
      </c>
      <c r="C2175" s="42">
        <f t="shared" si="33"/>
        <v>283.59669080000003</v>
      </c>
      <c r="D2175" s="28" t="s">
        <v>3540</v>
      </c>
      <c r="E2175" s="28">
        <v>2</v>
      </c>
      <c r="F2175" s="28" t="s">
        <v>3541</v>
      </c>
      <c r="G2175" s="14">
        <f>(VLOOKUP(D2175,'[1]BOM Info General'!$A:$L,12,0))*E2175</f>
        <v>130.12</v>
      </c>
      <c r="H2175" s="29" t="s">
        <v>40</v>
      </c>
      <c r="I2175" s="29">
        <v>1</v>
      </c>
      <c r="J2175" s="29" t="s">
        <v>45</v>
      </c>
      <c r="K2175" s="15">
        <f>(VLOOKUP(H2175,'[1]BOM Info General'!$A:$L,12,0))*I2175</f>
        <v>25.59</v>
      </c>
      <c r="L2175" s="26" t="s">
        <v>87</v>
      </c>
      <c r="M2175" s="26">
        <v>1</v>
      </c>
      <c r="N2175" s="26" t="s">
        <v>84</v>
      </c>
      <c r="O2175" s="9">
        <f>(VLOOKUP(L2175,'[1]Simulation pricing per sub assy'!$D:$E,2,0))*M2175</f>
        <v>95.206400000000031</v>
      </c>
      <c r="P2175" s="30" t="s">
        <v>52</v>
      </c>
      <c r="Q2175" s="30">
        <v>8</v>
      </c>
      <c r="R2175" s="30" t="s">
        <v>18</v>
      </c>
      <c r="S2175" s="40">
        <f>(VLOOKUP(P2175,'[1]BOM Info General'!$A:$L,12,0))*Q2175</f>
        <v>21.2</v>
      </c>
      <c r="T2175" s="31" t="s">
        <v>28</v>
      </c>
      <c r="U2175" s="31">
        <v>1</v>
      </c>
      <c r="V2175" s="31" t="s">
        <v>29</v>
      </c>
      <c r="W2175" s="17">
        <f>(VLOOKUP(T2175,'[1]Simulation pricing per sub assy'!$D:$E,2,0))*U2175</f>
        <v>7</v>
      </c>
      <c r="X2175" s="32" t="s">
        <v>616</v>
      </c>
      <c r="Y2175" s="32">
        <v>1</v>
      </c>
      <c r="Z2175" s="32" t="s">
        <v>23</v>
      </c>
      <c r="AA2175" s="18">
        <f>(VLOOKUP(X2175,'[1]Simulation pricing per sub assy'!$D:$E,2,0))*Y2175</f>
        <v>4.4802908000000006</v>
      </c>
    </row>
    <row r="2176" spans="1:27" x14ac:dyDescent="0.35">
      <c r="A2176" s="27" t="s">
        <v>3590</v>
      </c>
      <c r="B2176" s="27" t="s">
        <v>4883</v>
      </c>
      <c r="C2176" s="42">
        <f t="shared" si="33"/>
        <v>291.55669080000001</v>
      </c>
      <c r="D2176" s="28" t="s">
        <v>3540</v>
      </c>
      <c r="E2176" s="28">
        <v>2</v>
      </c>
      <c r="F2176" s="28" t="s">
        <v>3541</v>
      </c>
      <c r="G2176" s="14">
        <f>(VLOOKUP(D2176,'[1]BOM Info General'!$A:$L,12,0))*E2176</f>
        <v>130.12</v>
      </c>
      <c r="H2176" s="29" t="s">
        <v>40</v>
      </c>
      <c r="I2176" s="29">
        <v>1</v>
      </c>
      <c r="J2176" s="29" t="s">
        <v>45</v>
      </c>
      <c r="K2176" s="15">
        <f>(VLOOKUP(H2176,'[1]BOM Info General'!$A:$L,12,0))*I2176</f>
        <v>25.59</v>
      </c>
      <c r="L2176" s="26" t="s">
        <v>83</v>
      </c>
      <c r="M2176" s="26">
        <v>1</v>
      </c>
      <c r="N2176" s="26" t="s">
        <v>86</v>
      </c>
      <c r="O2176" s="9">
        <f>(VLOOKUP(L2176,'[1]Simulation pricing per sub assy'!$D:$E,2,0))*M2176</f>
        <v>103.16640000000004</v>
      </c>
      <c r="P2176" s="30" t="s">
        <v>52</v>
      </c>
      <c r="Q2176" s="30">
        <v>8</v>
      </c>
      <c r="R2176" s="30" t="s">
        <v>18</v>
      </c>
      <c r="S2176" s="40">
        <f>(VLOOKUP(P2176,'[1]BOM Info General'!$A:$L,12,0))*Q2176</f>
        <v>21.2</v>
      </c>
      <c r="T2176" s="31" t="s">
        <v>28</v>
      </c>
      <c r="U2176" s="31">
        <v>1</v>
      </c>
      <c r="V2176" s="31" t="s">
        <v>29</v>
      </c>
      <c r="W2176" s="17">
        <f>(VLOOKUP(T2176,'[1]Simulation pricing per sub assy'!$D:$E,2,0))*U2176</f>
        <v>7</v>
      </c>
      <c r="X2176" s="32" t="s">
        <v>616</v>
      </c>
      <c r="Y2176" s="32">
        <v>1</v>
      </c>
      <c r="Z2176" s="32" t="s">
        <v>23</v>
      </c>
      <c r="AA2176" s="18">
        <f>(VLOOKUP(X2176,'[1]Simulation pricing per sub assy'!$D:$E,2,0))*Y2176</f>
        <v>4.4802908000000006</v>
      </c>
    </row>
    <row r="2177" spans="1:27" x14ac:dyDescent="0.35">
      <c r="A2177" s="27" t="s">
        <v>3591</v>
      </c>
      <c r="B2177" s="27" t="s">
        <v>4884</v>
      </c>
      <c r="C2177" s="42">
        <f t="shared" si="33"/>
        <v>284.60669080000002</v>
      </c>
      <c r="D2177" s="28" t="s">
        <v>3540</v>
      </c>
      <c r="E2177" s="28">
        <v>2</v>
      </c>
      <c r="F2177" s="28" t="s">
        <v>3541</v>
      </c>
      <c r="G2177" s="14">
        <f>(VLOOKUP(D2177,'[1]BOM Info General'!$A:$L,12,0))*E2177</f>
        <v>130.12</v>
      </c>
      <c r="H2177" s="29" t="s">
        <v>40</v>
      </c>
      <c r="I2177" s="29">
        <v>1</v>
      </c>
      <c r="J2177" s="29" t="s">
        <v>45</v>
      </c>
      <c r="K2177" s="15">
        <f>(VLOOKUP(H2177,'[1]BOM Info General'!$A:$L,12,0))*I2177</f>
        <v>25.59</v>
      </c>
      <c r="L2177" s="26" t="s">
        <v>528</v>
      </c>
      <c r="M2177" s="26">
        <v>1</v>
      </c>
      <c r="N2177" s="26" t="s">
        <v>88</v>
      </c>
      <c r="O2177" s="9">
        <f>(VLOOKUP(L2177,'[1]Simulation pricing per sub assy'!$D:$E,2,0))*M2177</f>
        <v>94.656400000000033</v>
      </c>
      <c r="P2177" s="30" t="s">
        <v>50</v>
      </c>
      <c r="Q2177" s="30">
        <v>8</v>
      </c>
      <c r="R2177" s="30" t="s">
        <v>611</v>
      </c>
      <c r="S2177" s="40">
        <f>(VLOOKUP(P2177,'[1]BOM Info General'!$A:$L,12,0))*Q2177</f>
        <v>21.2</v>
      </c>
      <c r="T2177" s="31" t="s">
        <v>30</v>
      </c>
      <c r="U2177" s="31">
        <v>1</v>
      </c>
      <c r="V2177" s="31" t="s">
        <v>31</v>
      </c>
      <c r="W2177" s="17">
        <f>(VLOOKUP(T2177,'[1]Simulation pricing per sub assy'!$D:$E,2,0))*U2177</f>
        <v>8.5599999999999987</v>
      </c>
      <c r="X2177" s="32" t="s">
        <v>616</v>
      </c>
      <c r="Y2177" s="32">
        <v>1</v>
      </c>
      <c r="Z2177" s="32" t="s">
        <v>23</v>
      </c>
      <c r="AA2177" s="18">
        <f>(VLOOKUP(X2177,'[1]Simulation pricing per sub assy'!$D:$E,2,0))*Y2177</f>
        <v>4.4802908000000006</v>
      </c>
    </row>
    <row r="2178" spans="1:27" x14ac:dyDescent="0.35">
      <c r="A2178" s="27" t="s">
        <v>3592</v>
      </c>
      <c r="B2178" s="27" t="s">
        <v>4885</v>
      </c>
      <c r="C2178" s="42">
        <f t="shared" si="33"/>
        <v>285.70669080000005</v>
      </c>
      <c r="D2178" s="28" t="s">
        <v>3540</v>
      </c>
      <c r="E2178" s="28">
        <v>2</v>
      </c>
      <c r="F2178" s="28" t="s">
        <v>3541</v>
      </c>
      <c r="G2178" s="14">
        <f>(VLOOKUP(D2178,'[1]BOM Info General'!$A:$L,12,0))*E2178</f>
        <v>130.12</v>
      </c>
      <c r="H2178" s="29" t="s">
        <v>40</v>
      </c>
      <c r="I2178" s="29">
        <v>1</v>
      </c>
      <c r="J2178" s="29" t="s">
        <v>45</v>
      </c>
      <c r="K2178" s="15">
        <f>(VLOOKUP(H2178,'[1]BOM Info General'!$A:$L,12,0))*I2178</f>
        <v>25.59</v>
      </c>
      <c r="L2178" s="26" t="s">
        <v>85</v>
      </c>
      <c r="M2178" s="26">
        <v>1</v>
      </c>
      <c r="N2178" s="26" t="s">
        <v>82</v>
      </c>
      <c r="O2178" s="9">
        <f>(VLOOKUP(L2178,'[1]Simulation pricing per sub assy'!$D:$E,2,0))*M2178</f>
        <v>95.756400000000042</v>
      </c>
      <c r="P2178" s="30" t="s">
        <v>50</v>
      </c>
      <c r="Q2178" s="30">
        <v>8</v>
      </c>
      <c r="R2178" s="30" t="s">
        <v>611</v>
      </c>
      <c r="S2178" s="40">
        <f>(VLOOKUP(P2178,'[1]BOM Info General'!$A:$L,12,0))*Q2178</f>
        <v>21.2</v>
      </c>
      <c r="T2178" s="31" t="s">
        <v>30</v>
      </c>
      <c r="U2178" s="31">
        <v>1</v>
      </c>
      <c r="V2178" s="31" t="s">
        <v>31</v>
      </c>
      <c r="W2178" s="17">
        <f>(VLOOKUP(T2178,'[1]Simulation pricing per sub assy'!$D:$E,2,0))*U2178</f>
        <v>8.5599999999999987</v>
      </c>
      <c r="X2178" s="32" t="s">
        <v>616</v>
      </c>
      <c r="Y2178" s="32">
        <v>1</v>
      </c>
      <c r="Z2178" s="32" t="s">
        <v>23</v>
      </c>
      <c r="AA2178" s="18">
        <f>(VLOOKUP(X2178,'[1]Simulation pricing per sub assy'!$D:$E,2,0))*Y2178</f>
        <v>4.4802908000000006</v>
      </c>
    </row>
    <row r="2179" spans="1:27" x14ac:dyDescent="0.35">
      <c r="A2179" s="27" t="s">
        <v>3593</v>
      </c>
      <c r="B2179" s="27" t="s">
        <v>4886</v>
      </c>
      <c r="C2179" s="42">
        <f t="shared" ref="C2179:C2242" si="34">SUM(G2179+K2179+O2179+S2179+W2179+AA2179)</f>
        <v>285.70669080000005</v>
      </c>
      <c r="D2179" s="28" t="s">
        <v>3540</v>
      </c>
      <c r="E2179" s="28">
        <v>2</v>
      </c>
      <c r="F2179" s="28" t="s">
        <v>3541</v>
      </c>
      <c r="G2179" s="14">
        <f>(VLOOKUP(D2179,'[1]BOM Info General'!$A:$L,12,0))*E2179</f>
        <v>130.12</v>
      </c>
      <c r="H2179" s="29" t="s">
        <v>40</v>
      </c>
      <c r="I2179" s="29">
        <v>1</v>
      </c>
      <c r="J2179" s="29" t="s">
        <v>45</v>
      </c>
      <c r="K2179" s="15">
        <f>(VLOOKUP(H2179,'[1]BOM Info General'!$A:$L,12,0))*I2179</f>
        <v>25.59</v>
      </c>
      <c r="L2179" s="26" t="s">
        <v>81</v>
      </c>
      <c r="M2179" s="26">
        <v>1</v>
      </c>
      <c r="N2179" s="26" t="s">
        <v>80</v>
      </c>
      <c r="O2179" s="9">
        <f>(VLOOKUP(L2179,'[1]Simulation pricing per sub assy'!$D:$E,2,0))*M2179</f>
        <v>95.756400000000042</v>
      </c>
      <c r="P2179" s="30" t="s">
        <v>50</v>
      </c>
      <c r="Q2179" s="30">
        <v>8</v>
      </c>
      <c r="R2179" s="30" t="s">
        <v>611</v>
      </c>
      <c r="S2179" s="40">
        <f>(VLOOKUP(P2179,'[1]BOM Info General'!$A:$L,12,0))*Q2179</f>
        <v>21.2</v>
      </c>
      <c r="T2179" s="31" t="s">
        <v>30</v>
      </c>
      <c r="U2179" s="31">
        <v>1</v>
      </c>
      <c r="V2179" s="31" t="s">
        <v>31</v>
      </c>
      <c r="W2179" s="17">
        <f>(VLOOKUP(T2179,'[1]Simulation pricing per sub assy'!$D:$E,2,0))*U2179</f>
        <v>8.5599999999999987</v>
      </c>
      <c r="X2179" s="32" t="s">
        <v>616</v>
      </c>
      <c r="Y2179" s="32">
        <v>1</v>
      </c>
      <c r="Z2179" s="32" t="s">
        <v>23</v>
      </c>
      <c r="AA2179" s="18">
        <f>(VLOOKUP(X2179,'[1]Simulation pricing per sub assy'!$D:$E,2,0))*Y2179</f>
        <v>4.4802908000000006</v>
      </c>
    </row>
    <row r="2180" spans="1:27" x14ac:dyDescent="0.35">
      <c r="A2180" s="27" t="s">
        <v>3594</v>
      </c>
      <c r="B2180" s="27" t="s">
        <v>4887</v>
      </c>
      <c r="C2180" s="42">
        <f t="shared" si="34"/>
        <v>285.15669080000004</v>
      </c>
      <c r="D2180" s="28" t="s">
        <v>3540</v>
      </c>
      <c r="E2180" s="28">
        <v>2</v>
      </c>
      <c r="F2180" s="28" t="s">
        <v>3541</v>
      </c>
      <c r="G2180" s="14">
        <f>(VLOOKUP(D2180,'[1]BOM Info General'!$A:$L,12,0))*E2180</f>
        <v>130.12</v>
      </c>
      <c r="H2180" s="29" t="s">
        <v>40</v>
      </c>
      <c r="I2180" s="29">
        <v>1</v>
      </c>
      <c r="J2180" s="29" t="s">
        <v>45</v>
      </c>
      <c r="K2180" s="15">
        <f>(VLOOKUP(H2180,'[1]BOM Info General'!$A:$L,12,0))*I2180</f>
        <v>25.59</v>
      </c>
      <c r="L2180" s="26" t="s">
        <v>87</v>
      </c>
      <c r="M2180" s="26">
        <v>1</v>
      </c>
      <c r="N2180" s="26" t="s">
        <v>84</v>
      </c>
      <c r="O2180" s="9">
        <f>(VLOOKUP(L2180,'[1]Simulation pricing per sub assy'!$D:$E,2,0))*M2180</f>
        <v>95.206400000000031</v>
      </c>
      <c r="P2180" s="30" t="s">
        <v>50</v>
      </c>
      <c r="Q2180" s="30">
        <v>8</v>
      </c>
      <c r="R2180" s="30" t="s">
        <v>611</v>
      </c>
      <c r="S2180" s="40">
        <f>(VLOOKUP(P2180,'[1]BOM Info General'!$A:$L,12,0))*Q2180</f>
        <v>21.2</v>
      </c>
      <c r="T2180" s="31" t="s">
        <v>30</v>
      </c>
      <c r="U2180" s="31">
        <v>1</v>
      </c>
      <c r="V2180" s="31" t="s">
        <v>31</v>
      </c>
      <c r="W2180" s="17">
        <f>(VLOOKUP(T2180,'[1]Simulation pricing per sub assy'!$D:$E,2,0))*U2180</f>
        <v>8.5599999999999987</v>
      </c>
      <c r="X2180" s="32" t="s">
        <v>616</v>
      </c>
      <c r="Y2180" s="32">
        <v>1</v>
      </c>
      <c r="Z2180" s="32" t="s">
        <v>23</v>
      </c>
      <c r="AA2180" s="18">
        <f>(VLOOKUP(X2180,'[1]Simulation pricing per sub assy'!$D:$E,2,0))*Y2180</f>
        <v>4.4802908000000006</v>
      </c>
    </row>
    <row r="2181" spans="1:27" x14ac:dyDescent="0.35">
      <c r="A2181" s="27" t="s">
        <v>3595</v>
      </c>
      <c r="B2181" s="27" t="s">
        <v>4888</v>
      </c>
      <c r="C2181" s="42">
        <f t="shared" si="34"/>
        <v>293.11669080000001</v>
      </c>
      <c r="D2181" s="28" t="s">
        <v>3540</v>
      </c>
      <c r="E2181" s="28">
        <v>2</v>
      </c>
      <c r="F2181" s="28" t="s">
        <v>3541</v>
      </c>
      <c r="G2181" s="14">
        <f>(VLOOKUP(D2181,'[1]BOM Info General'!$A:$L,12,0))*E2181</f>
        <v>130.12</v>
      </c>
      <c r="H2181" s="29" t="s">
        <v>40</v>
      </c>
      <c r="I2181" s="29">
        <v>1</v>
      </c>
      <c r="J2181" s="29" t="s">
        <v>45</v>
      </c>
      <c r="K2181" s="15">
        <f>(VLOOKUP(H2181,'[1]BOM Info General'!$A:$L,12,0))*I2181</f>
        <v>25.59</v>
      </c>
      <c r="L2181" s="26" t="s">
        <v>83</v>
      </c>
      <c r="M2181" s="26">
        <v>1</v>
      </c>
      <c r="N2181" s="26" t="s">
        <v>86</v>
      </c>
      <c r="O2181" s="9">
        <f>(VLOOKUP(L2181,'[1]Simulation pricing per sub assy'!$D:$E,2,0))*M2181</f>
        <v>103.16640000000004</v>
      </c>
      <c r="P2181" s="30" t="s">
        <v>50</v>
      </c>
      <c r="Q2181" s="30">
        <v>8</v>
      </c>
      <c r="R2181" s="30" t="s">
        <v>611</v>
      </c>
      <c r="S2181" s="40">
        <f>(VLOOKUP(P2181,'[1]BOM Info General'!$A:$L,12,0))*Q2181</f>
        <v>21.2</v>
      </c>
      <c r="T2181" s="31" t="s">
        <v>30</v>
      </c>
      <c r="U2181" s="31">
        <v>1</v>
      </c>
      <c r="V2181" s="31" t="s">
        <v>31</v>
      </c>
      <c r="W2181" s="17">
        <f>(VLOOKUP(T2181,'[1]Simulation pricing per sub assy'!$D:$E,2,0))*U2181</f>
        <v>8.5599999999999987</v>
      </c>
      <c r="X2181" s="32" t="s">
        <v>616</v>
      </c>
      <c r="Y2181" s="32">
        <v>1</v>
      </c>
      <c r="Z2181" s="32" t="s">
        <v>23</v>
      </c>
      <c r="AA2181" s="18">
        <f>(VLOOKUP(X2181,'[1]Simulation pricing per sub assy'!$D:$E,2,0))*Y2181</f>
        <v>4.4802908000000006</v>
      </c>
    </row>
    <row r="2182" spans="1:27" x14ac:dyDescent="0.35">
      <c r="A2182" s="27" t="s">
        <v>3596</v>
      </c>
      <c r="B2182" s="27" t="s">
        <v>3597</v>
      </c>
      <c r="C2182" s="42">
        <f t="shared" si="34"/>
        <v>283.24669080000001</v>
      </c>
      <c r="D2182" s="33" t="s">
        <v>3540</v>
      </c>
      <c r="E2182" s="33">
        <v>2</v>
      </c>
      <c r="F2182" s="33" t="s">
        <v>3541</v>
      </c>
      <c r="G2182" s="14">
        <f>(VLOOKUP(D2182,'[1]BOM Info General'!$A:$L,12,0))*E2182</f>
        <v>130.12</v>
      </c>
      <c r="H2182" s="34" t="s">
        <v>40</v>
      </c>
      <c r="I2182" s="34">
        <v>1</v>
      </c>
      <c r="J2182" s="34" t="s">
        <v>45</v>
      </c>
      <c r="K2182" s="15">
        <f>(VLOOKUP(H2182,'[1]BOM Info General'!$A:$L,12,0))*I2182</f>
        <v>25.59</v>
      </c>
      <c r="L2182" s="35" t="s">
        <v>528</v>
      </c>
      <c r="M2182" s="35">
        <v>1</v>
      </c>
      <c r="N2182" s="35" t="s">
        <v>88</v>
      </c>
      <c r="O2182" s="9">
        <f>(VLOOKUP(L2182,'[1]Simulation pricing per sub assy'!$D:$E,2,0))*M2182</f>
        <v>94.656400000000033</v>
      </c>
      <c r="P2182" s="36" t="s">
        <v>50</v>
      </c>
      <c r="Q2182" s="36">
        <v>8</v>
      </c>
      <c r="R2182" s="36" t="s">
        <v>611</v>
      </c>
      <c r="S2182" s="40">
        <f>(VLOOKUP(P2182,'[1]BOM Info General'!$A:$L,12,0))*Q2182</f>
        <v>21.2</v>
      </c>
      <c r="T2182" s="37" t="s">
        <v>21</v>
      </c>
      <c r="U2182" s="37">
        <v>1</v>
      </c>
      <c r="V2182" s="37" t="s">
        <v>22</v>
      </c>
      <c r="W2182" s="17">
        <f>(VLOOKUP(T2182,'[1]Simulation pricing per sub assy'!$D:$E,2,0))*U2182</f>
        <v>7.2</v>
      </c>
      <c r="X2182" s="32" t="s">
        <v>616</v>
      </c>
      <c r="Y2182" s="38">
        <v>1</v>
      </c>
      <c r="Z2182" s="38" t="s">
        <v>23</v>
      </c>
      <c r="AA2182" s="18">
        <f>(VLOOKUP(X2182,'[1]Simulation pricing per sub assy'!$D:$E,2,0))*Y2182</f>
        <v>4.4802908000000006</v>
      </c>
    </row>
    <row r="2183" spans="1:27" x14ac:dyDescent="0.35">
      <c r="A2183" s="27" t="s">
        <v>3598</v>
      </c>
      <c r="B2183" s="27" t="s">
        <v>3599</v>
      </c>
      <c r="C2183" s="42">
        <f t="shared" si="34"/>
        <v>284.34669080000003</v>
      </c>
      <c r="D2183" s="33" t="s">
        <v>3540</v>
      </c>
      <c r="E2183" s="33">
        <v>2</v>
      </c>
      <c r="F2183" s="33" t="s">
        <v>3541</v>
      </c>
      <c r="G2183" s="14">
        <f>(VLOOKUP(D2183,'[1]BOM Info General'!$A:$L,12,0))*E2183</f>
        <v>130.12</v>
      </c>
      <c r="H2183" s="34" t="s">
        <v>40</v>
      </c>
      <c r="I2183" s="34">
        <v>1</v>
      </c>
      <c r="J2183" s="34" t="s">
        <v>45</v>
      </c>
      <c r="K2183" s="15">
        <f>(VLOOKUP(H2183,'[1]BOM Info General'!$A:$L,12,0))*I2183</f>
        <v>25.59</v>
      </c>
      <c r="L2183" s="35" t="s">
        <v>85</v>
      </c>
      <c r="M2183" s="35">
        <v>1</v>
      </c>
      <c r="N2183" s="35" t="s">
        <v>82</v>
      </c>
      <c r="O2183" s="9">
        <f>(VLOOKUP(L2183,'[1]Simulation pricing per sub assy'!$D:$E,2,0))*M2183</f>
        <v>95.756400000000042</v>
      </c>
      <c r="P2183" s="36" t="s">
        <v>50</v>
      </c>
      <c r="Q2183" s="36">
        <v>8</v>
      </c>
      <c r="R2183" s="36" t="s">
        <v>611</v>
      </c>
      <c r="S2183" s="40">
        <f>(VLOOKUP(P2183,'[1]BOM Info General'!$A:$L,12,0))*Q2183</f>
        <v>21.2</v>
      </c>
      <c r="T2183" s="37" t="s">
        <v>21</v>
      </c>
      <c r="U2183" s="37">
        <v>1</v>
      </c>
      <c r="V2183" s="37" t="s">
        <v>22</v>
      </c>
      <c r="W2183" s="17">
        <f>(VLOOKUP(T2183,'[1]Simulation pricing per sub assy'!$D:$E,2,0))*U2183</f>
        <v>7.2</v>
      </c>
      <c r="X2183" s="32" t="s">
        <v>616</v>
      </c>
      <c r="Y2183" s="38">
        <v>1</v>
      </c>
      <c r="Z2183" s="38" t="s">
        <v>23</v>
      </c>
      <c r="AA2183" s="18">
        <f>(VLOOKUP(X2183,'[1]Simulation pricing per sub assy'!$D:$E,2,0))*Y2183</f>
        <v>4.4802908000000006</v>
      </c>
    </row>
    <row r="2184" spans="1:27" x14ac:dyDescent="0.35">
      <c r="A2184" s="27" t="s">
        <v>3600</v>
      </c>
      <c r="B2184" s="27" t="s">
        <v>3601</v>
      </c>
      <c r="C2184" s="42">
        <f t="shared" si="34"/>
        <v>284.34669080000003</v>
      </c>
      <c r="D2184" s="33" t="s">
        <v>3540</v>
      </c>
      <c r="E2184" s="33">
        <v>2</v>
      </c>
      <c r="F2184" s="33" t="s">
        <v>3541</v>
      </c>
      <c r="G2184" s="14">
        <f>(VLOOKUP(D2184,'[1]BOM Info General'!$A:$L,12,0))*E2184</f>
        <v>130.12</v>
      </c>
      <c r="H2184" s="34" t="s">
        <v>40</v>
      </c>
      <c r="I2184" s="34">
        <v>1</v>
      </c>
      <c r="J2184" s="34" t="s">
        <v>45</v>
      </c>
      <c r="K2184" s="15">
        <f>(VLOOKUP(H2184,'[1]BOM Info General'!$A:$L,12,0))*I2184</f>
        <v>25.59</v>
      </c>
      <c r="L2184" s="35" t="s">
        <v>81</v>
      </c>
      <c r="M2184" s="35">
        <v>1</v>
      </c>
      <c r="N2184" s="35" t="s">
        <v>80</v>
      </c>
      <c r="O2184" s="9">
        <f>(VLOOKUP(L2184,'[1]Simulation pricing per sub assy'!$D:$E,2,0))*M2184</f>
        <v>95.756400000000042</v>
      </c>
      <c r="P2184" s="36" t="s">
        <v>50</v>
      </c>
      <c r="Q2184" s="36">
        <v>8</v>
      </c>
      <c r="R2184" s="36" t="s">
        <v>611</v>
      </c>
      <c r="S2184" s="40">
        <f>(VLOOKUP(P2184,'[1]BOM Info General'!$A:$L,12,0))*Q2184</f>
        <v>21.2</v>
      </c>
      <c r="T2184" s="37" t="s">
        <v>21</v>
      </c>
      <c r="U2184" s="37">
        <v>1</v>
      </c>
      <c r="V2184" s="37" t="s">
        <v>22</v>
      </c>
      <c r="W2184" s="17">
        <f>(VLOOKUP(T2184,'[1]Simulation pricing per sub assy'!$D:$E,2,0))*U2184</f>
        <v>7.2</v>
      </c>
      <c r="X2184" s="32" t="s">
        <v>616</v>
      </c>
      <c r="Y2184" s="38">
        <v>1</v>
      </c>
      <c r="Z2184" s="38" t="s">
        <v>23</v>
      </c>
      <c r="AA2184" s="18">
        <f>(VLOOKUP(X2184,'[1]Simulation pricing per sub assy'!$D:$E,2,0))*Y2184</f>
        <v>4.4802908000000006</v>
      </c>
    </row>
    <row r="2185" spans="1:27" x14ac:dyDescent="0.35">
      <c r="A2185" s="27" t="s">
        <v>3602</v>
      </c>
      <c r="B2185" s="27" t="s">
        <v>3603</v>
      </c>
      <c r="C2185" s="42">
        <f t="shared" si="34"/>
        <v>283.79669080000002</v>
      </c>
      <c r="D2185" s="33" t="s">
        <v>3540</v>
      </c>
      <c r="E2185" s="33">
        <v>2</v>
      </c>
      <c r="F2185" s="33" t="s">
        <v>3541</v>
      </c>
      <c r="G2185" s="14">
        <f>(VLOOKUP(D2185,'[1]BOM Info General'!$A:$L,12,0))*E2185</f>
        <v>130.12</v>
      </c>
      <c r="H2185" s="34" t="s">
        <v>40</v>
      </c>
      <c r="I2185" s="34">
        <v>1</v>
      </c>
      <c r="J2185" s="34" t="s">
        <v>45</v>
      </c>
      <c r="K2185" s="15">
        <f>(VLOOKUP(H2185,'[1]BOM Info General'!$A:$L,12,0))*I2185</f>
        <v>25.59</v>
      </c>
      <c r="L2185" s="35" t="s">
        <v>87</v>
      </c>
      <c r="M2185" s="35">
        <v>1</v>
      </c>
      <c r="N2185" s="35" t="s">
        <v>84</v>
      </c>
      <c r="O2185" s="9">
        <f>(VLOOKUP(L2185,'[1]Simulation pricing per sub assy'!$D:$E,2,0))*M2185</f>
        <v>95.206400000000031</v>
      </c>
      <c r="P2185" s="36" t="s">
        <v>50</v>
      </c>
      <c r="Q2185" s="36">
        <v>8</v>
      </c>
      <c r="R2185" s="36" t="s">
        <v>611</v>
      </c>
      <c r="S2185" s="40">
        <f>(VLOOKUP(P2185,'[1]BOM Info General'!$A:$L,12,0))*Q2185</f>
        <v>21.2</v>
      </c>
      <c r="T2185" s="37" t="s">
        <v>21</v>
      </c>
      <c r="U2185" s="37">
        <v>1</v>
      </c>
      <c r="V2185" s="37" t="s">
        <v>22</v>
      </c>
      <c r="W2185" s="17">
        <f>(VLOOKUP(T2185,'[1]Simulation pricing per sub assy'!$D:$E,2,0))*U2185</f>
        <v>7.2</v>
      </c>
      <c r="X2185" s="32" t="s">
        <v>616</v>
      </c>
      <c r="Y2185" s="38">
        <v>1</v>
      </c>
      <c r="Z2185" s="38" t="s">
        <v>23</v>
      </c>
      <c r="AA2185" s="18">
        <f>(VLOOKUP(X2185,'[1]Simulation pricing per sub assy'!$D:$E,2,0))*Y2185</f>
        <v>4.4802908000000006</v>
      </c>
    </row>
    <row r="2186" spans="1:27" x14ac:dyDescent="0.35">
      <c r="A2186" s="27" t="s">
        <v>3604</v>
      </c>
      <c r="B2186" s="27" t="s">
        <v>3605</v>
      </c>
      <c r="C2186" s="42">
        <f t="shared" si="34"/>
        <v>291.7566908</v>
      </c>
      <c r="D2186" s="33" t="s">
        <v>3540</v>
      </c>
      <c r="E2186" s="33">
        <v>2</v>
      </c>
      <c r="F2186" s="33" t="s">
        <v>3541</v>
      </c>
      <c r="G2186" s="14">
        <f>(VLOOKUP(D2186,'[1]BOM Info General'!$A:$L,12,0))*E2186</f>
        <v>130.12</v>
      </c>
      <c r="H2186" s="34" t="s">
        <v>40</v>
      </c>
      <c r="I2186" s="34">
        <v>1</v>
      </c>
      <c r="J2186" s="34" t="s">
        <v>45</v>
      </c>
      <c r="K2186" s="15">
        <f>(VLOOKUP(H2186,'[1]BOM Info General'!$A:$L,12,0))*I2186</f>
        <v>25.59</v>
      </c>
      <c r="L2186" s="35" t="s">
        <v>83</v>
      </c>
      <c r="M2186" s="35">
        <v>1</v>
      </c>
      <c r="N2186" s="35" t="s">
        <v>86</v>
      </c>
      <c r="O2186" s="9">
        <f>(VLOOKUP(L2186,'[1]Simulation pricing per sub assy'!$D:$E,2,0))*M2186</f>
        <v>103.16640000000004</v>
      </c>
      <c r="P2186" s="36" t="s">
        <v>50</v>
      </c>
      <c r="Q2186" s="36">
        <v>8</v>
      </c>
      <c r="R2186" s="36" t="s">
        <v>611</v>
      </c>
      <c r="S2186" s="40">
        <f>(VLOOKUP(P2186,'[1]BOM Info General'!$A:$L,12,0))*Q2186</f>
        <v>21.2</v>
      </c>
      <c r="T2186" s="37" t="s">
        <v>21</v>
      </c>
      <c r="U2186" s="37">
        <v>1</v>
      </c>
      <c r="V2186" s="37" t="s">
        <v>22</v>
      </c>
      <c r="W2186" s="17">
        <f>(VLOOKUP(T2186,'[1]Simulation pricing per sub assy'!$D:$E,2,0))*U2186</f>
        <v>7.2</v>
      </c>
      <c r="X2186" s="32" t="s">
        <v>616</v>
      </c>
      <c r="Y2186" s="38">
        <v>1</v>
      </c>
      <c r="Z2186" s="38" t="s">
        <v>23</v>
      </c>
      <c r="AA2186" s="18">
        <f>(VLOOKUP(X2186,'[1]Simulation pricing per sub assy'!$D:$E,2,0))*Y2186</f>
        <v>4.4802908000000006</v>
      </c>
    </row>
    <row r="2187" spans="1:27" x14ac:dyDescent="0.35">
      <c r="A2187" s="27" t="s">
        <v>3606</v>
      </c>
      <c r="B2187" s="27" t="s">
        <v>3607</v>
      </c>
      <c r="C2187" s="42">
        <f t="shared" si="34"/>
        <v>282.48669080000002</v>
      </c>
      <c r="D2187" s="33" t="s">
        <v>3540</v>
      </c>
      <c r="E2187" s="33">
        <v>2</v>
      </c>
      <c r="F2187" s="33" t="s">
        <v>3541</v>
      </c>
      <c r="G2187" s="14">
        <f>(VLOOKUP(D2187,'[1]BOM Info General'!$A:$L,12,0))*E2187</f>
        <v>130.12</v>
      </c>
      <c r="H2187" s="34" t="s">
        <v>40</v>
      </c>
      <c r="I2187" s="34">
        <v>1</v>
      </c>
      <c r="J2187" s="34" t="s">
        <v>45</v>
      </c>
      <c r="K2187" s="15">
        <f>(VLOOKUP(H2187,'[1]BOM Info General'!$A:$L,12,0))*I2187</f>
        <v>25.59</v>
      </c>
      <c r="L2187" s="35" t="s">
        <v>528</v>
      </c>
      <c r="M2187" s="35">
        <v>1</v>
      </c>
      <c r="N2187" s="35" t="s">
        <v>88</v>
      </c>
      <c r="O2187" s="9">
        <f>(VLOOKUP(L2187,'[1]Simulation pricing per sub assy'!$D:$E,2,0))*M2187</f>
        <v>94.656400000000033</v>
      </c>
      <c r="P2187" s="36" t="s">
        <v>50</v>
      </c>
      <c r="Q2187" s="36">
        <v>8</v>
      </c>
      <c r="R2187" s="36" t="s">
        <v>16</v>
      </c>
      <c r="S2187" s="40">
        <f>(VLOOKUP(P2187,'[1]BOM Info General'!$A:$L,12,0))*Q2187</f>
        <v>21.2</v>
      </c>
      <c r="T2187" s="37" t="s">
        <v>24</v>
      </c>
      <c r="U2187" s="37">
        <v>1</v>
      </c>
      <c r="V2187" s="37" t="s">
        <v>25</v>
      </c>
      <c r="W2187" s="17">
        <f>(VLOOKUP(T2187,'[1]Simulation pricing per sub assy'!$D:$E,2,0))*U2187</f>
        <v>6.44</v>
      </c>
      <c r="X2187" s="32" t="s">
        <v>616</v>
      </c>
      <c r="Y2187" s="38">
        <v>1</v>
      </c>
      <c r="Z2187" s="38" t="s">
        <v>23</v>
      </c>
      <c r="AA2187" s="18">
        <f>(VLOOKUP(X2187,'[1]Simulation pricing per sub assy'!$D:$E,2,0))*Y2187</f>
        <v>4.4802908000000006</v>
      </c>
    </row>
    <row r="2188" spans="1:27" x14ac:dyDescent="0.35">
      <c r="A2188" s="27" t="s">
        <v>3608</v>
      </c>
      <c r="B2188" s="27" t="s">
        <v>3609</v>
      </c>
      <c r="C2188" s="42">
        <f t="shared" si="34"/>
        <v>283.58669080000004</v>
      </c>
      <c r="D2188" s="33" t="s">
        <v>3540</v>
      </c>
      <c r="E2188" s="33">
        <v>2</v>
      </c>
      <c r="F2188" s="33" t="s">
        <v>3541</v>
      </c>
      <c r="G2188" s="14">
        <f>(VLOOKUP(D2188,'[1]BOM Info General'!$A:$L,12,0))*E2188</f>
        <v>130.12</v>
      </c>
      <c r="H2188" s="34" t="s">
        <v>40</v>
      </c>
      <c r="I2188" s="34">
        <v>1</v>
      </c>
      <c r="J2188" s="34" t="s">
        <v>45</v>
      </c>
      <c r="K2188" s="15">
        <f>(VLOOKUP(H2188,'[1]BOM Info General'!$A:$L,12,0))*I2188</f>
        <v>25.59</v>
      </c>
      <c r="L2188" s="35" t="s">
        <v>85</v>
      </c>
      <c r="M2188" s="35">
        <v>1</v>
      </c>
      <c r="N2188" s="35" t="s">
        <v>82</v>
      </c>
      <c r="O2188" s="9">
        <f>(VLOOKUP(L2188,'[1]Simulation pricing per sub assy'!$D:$E,2,0))*M2188</f>
        <v>95.756400000000042</v>
      </c>
      <c r="P2188" s="36" t="s">
        <v>50</v>
      </c>
      <c r="Q2188" s="36">
        <v>8</v>
      </c>
      <c r="R2188" s="36" t="s">
        <v>16</v>
      </c>
      <c r="S2188" s="40">
        <f>(VLOOKUP(P2188,'[1]BOM Info General'!$A:$L,12,0))*Q2188</f>
        <v>21.2</v>
      </c>
      <c r="T2188" s="37" t="s">
        <v>24</v>
      </c>
      <c r="U2188" s="37">
        <v>1</v>
      </c>
      <c r="V2188" s="37" t="s">
        <v>25</v>
      </c>
      <c r="W2188" s="17">
        <f>(VLOOKUP(T2188,'[1]Simulation pricing per sub assy'!$D:$E,2,0))*U2188</f>
        <v>6.44</v>
      </c>
      <c r="X2188" s="32" t="s">
        <v>616</v>
      </c>
      <c r="Y2188" s="38">
        <v>1</v>
      </c>
      <c r="Z2188" s="38" t="s">
        <v>23</v>
      </c>
      <c r="AA2188" s="18">
        <f>(VLOOKUP(X2188,'[1]Simulation pricing per sub assy'!$D:$E,2,0))*Y2188</f>
        <v>4.4802908000000006</v>
      </c>
    </row>
    <row r="2189" spans="1:27" x14ac:dyDescent="0.35">
      <c r="A2189" s="27" t="s">
        <v>3610</v>
      </c>
      <c r="B2189" s="27" t="s">
        <v>3611</v>
      </c>
      <c r="C2189" s="42">
        <f t="shared" si="34"/>
        <v>283.58669080000004</v>
      </c>
      <c r="D2189" s="33" t="s">
        <v>3540</v>
      </c>
      <c r="E2189" s="33">
        <v>2</v>
      </c>
      <c r="F2189" s="33" t="s">
        <v>3541</v>
      </c>
      <c r="G2189" s="14">
        <f>(VLOOKUP(D2189,'[1]BOM Info General'!$A:$L,12,0))*E2189</f>
        <v>130.12</v>
      </c>
      <c r="H2189" s="34" t="s">
        <v>40</v>
      </c>
      <c r="I2189" s="34">
        <v>1</v>
      </c>
      <c r="J2189" s="34" t="s">
        <v>45</v>
      </c>
      <c r="K2189" s="15">
        <f>(VLOOKUP(H2189,'[1]BOM Info General'!$A:$L,12,0))*I2189</f>
        <v>25.59</v>
      </c>
      <c r="L2189" s="35" t="s">
        <v>81</v>
      </c>
      <c r="M2189" s="35">
        <v>1</v>
      </c>
      <c r="N2189" s="35" t="s">
        <v>80</v>
      </c>
      <c r="O2189" s="9">
        <f>(VLOOKUP(L2189,'[1]Simulation pricing per sub assy'!$D:$E,2,0))*M2189</f>
        <v>95.756400000000042</v>
      </c>
      <c r="P2189" s="36" t="s">
        <v>50</v>
      </c>
      <c r="Q2189" s="36">
        <v>8</v>
      </c>
      <c r="R2189" s="36" t="s">
        <v>16</v>
      </c>
      <c r="S2189" s="40">
        <f>(VLOOKUP(P2189,'[1]BOM Info General'!$A:$L,12,0))*Q2189</f>
        <v>21.2</v>
      </c>
      <c r="T2189" s="37" t="s">
        <v>24</v>
      </c>
      <c r="U2189" s="37">
        <v>1</v>
      </c>
      <c r="V2189" s="37" t="s">
        <v>25</v>
      </c>
      <c r="W2189" s="17">
        <f>(VLOOKUP(T2189,'[1]Simulation pricing per sub assy'!$D:$E,2,0))*U2189</f>
        <v>6.44</v>
      </c>
      <c r="X2189" s="32" t="s">
        <v>616</v>
      </c>
      <c r="Y2189" s="38">
        <v>1</v>
      </c>
      <c r="Z2189" s="38" t="s">
        <v>23</v>
      </c>
      <c r="AA2189" s="18">
        <f>(VLOOKUP(X2189,'[1]Simulation pricing per sub assy'!$D:$E,2,0))*Y2189</f>
        <v>4.4802908000000006</v>
      </c>
    </row>
    <row r="2190" spans="1:27" x14ac:dyDescent="0.35">
      <c r="A2190" s="27" t="s">
        <v>3612</v>
      </c>
      <c r="B2190" s="27" t="s">
        <v>3613</v>
      </c>
      <c r="C2190" s="42">
        <f t="shared" si="34"/>
        <v>283.03669080000003</v>
      </c>
      <c r="D2190" s="33" t="s">
        <v>3540</v>
      </c>
      <c r="E2190" s="33">
        <v>2</v>
      </c>
      <c r="F2190" s="33" t="s">
        <v>3541</v>
      </c>
      <c r="G2190" s="14">
        <f>(VLOOKUP(D2190,'[1]BOM Info General'!$A:$L,12,0))*E2190</f>
        <v>130.12</v>
      </c>
      <c r="H2190" s="34" t="s">
        <v>40</v>
      </c>
      <c r="I2190" s="34">
        <v>1</v>
      </c>
      <c r="J2190" s="34" t="s">
        <v>45</v>
      </c>
      <c r="K2190" s="15">
        <f>(VLOOKUP(H2190,'[1]BOM Info General'!$A:$L,12,0))*I2190</f>
        <v>25.59</v>
      </c>
      <c r="L2190" s="35" t="s">
        <v>87</v>
      </c>
      <c r="M2190" s="35">
        <v>1</v>
      </c>
      <c r="N2190" s="35" t="s">
        <v>84</v>
      </c>
      <c r="O2190" s="9">
        <f>(VLOOKUP(L2190,'[1]Simulation pricing per sub assy'!$D:$E,2,0))*M2190</f>
        <v>95.206400000000031</v>
      </c>
      <c r="P2190" s="36" t="s">
        <v>50</v>
      </c>
      <c r="Q2190" s="36">
        <v>8</v>
      </c>
      <c r="R2190" s="36" t="s">
        <v>16</v>
      </c>
      <c r="S2190" s="40">
        <f>(VLOOKUP(P2190,'[1]BOM Info General'!$A:$L,12,0))*Q2190</f>
        <v>21.2</v>
      </c>
      <c r="T2190" s="37" t="s">
        <v>24</v>
      </c>
      <c r="U2190" s="37">
        <v>1</v>
      </c>
      <c r="V2190" s="37" t="s">
        <v>25</v>
      </c>
      <c r="W2190" s="17">
        <f>(VLOOKUP(T2190,'[1]Simulation pricing per sub assy'!$D:$E,2,0))*U2190</f>
        <v>6.44</v>
      </c>
      <c r="X2190" s="32" t="s">
        <v>616</v>
      </c>
      <c r="Y2190" s="38">
        <v>1</v>
      </c>
      <c r="Z2190" s="38" t="s">
        <v>23</v>
      </c>
      <c r="AA2190" s="18">
        <f>(VLOOKUP(X2190,'[1]Simulation pricing per sub assy'!$D:$E,2,0))*Y2190</f>
        <v>4.4802908000000006</v>
      </c>
    </row>
    <row r="2191" spans="1:27" x14ac:dyDescent="0.35">
      <c r="A2191" s="27" t="s">
        <v>3614</v>
      </c>
      <c r="B2191" s="27" t="s">
        <v>3615</v>
      </c>
      <c r="C2191" s="42">
        <f t="shared" si="34"/>
        <v>290.99669080000001</v>
      </c>
      <c r="D2191" s="33" t="s">
        <v>3540</v>
      </c>
      <c r="E2191" s="33">
        <v>2</v>
      </c>
      <c r="F2191" s="33" t="s">
        <v>3541</v>
      </c>
      <c r="G2191" s="14">
        <f>(VLOOKUP(D2191,'[1]BOM Info General'!$A:$L,12,0))*E2191</f>
        <v>130.12</v>
      </c>
      <c r="H2191" s="34" t="s">
        <v>40</v>
      </c>
      <c r="I2191" s="34">
        <v>1</v>
      </c>
      <c r="J2191" s="34" t="s">
        <v>45</v>
      </c>
      <c r="K2191" s="15">
        <f>(VLOOKUP(H2191,'[1]BOM Info General'!$A:$L,12,0))*I2191</f>
        <v>25.59</v>
      </c>
      <c r="L2191" s="35" t="s">
        <v>83</v>
      </c>
      <c r="M2191" s="35">
        <v>1</v>
      </c>
      <c r="N2191" s="35" t="s">
        <v>86</v>
      </c>
      <c r="O2191" s="9">
        <f>(VLOOKUP(L2191,'[1]Simulation pricing per sub assy'!$D:$E,2,0))*M2191</f>
        <v>103.16640000000004</v>
      </c>
      <c r="P2191" s="36" t="s">
        <v>50</v>
      </c>
      <c r="Q2191" s="36">
        <v>8</v>
      </c>
      <c r="R2191" s="36" t="s">
        <v>16</v>
      </c>
      <c r="S2191" s="40">
        <f>(VLOOKUP(P2191,'[1]BOM Info General'!$A:$L,12,0))*Q2191</f>
        <v>21.2</v>
      </c>
      <c r="T2191" s="37" t="s">
        <v>24</v>
      </c>
      <c r="U2191" s="37">
        <v>1</v>
      </c>
      <c r="V2191" s="37" t="s">
        <v>25</v>
      </c>
      <c r="W2191" s="17">
        <f>(VLOOKUP(T2191,'[1]Simulation pricing per sub assy'!$D:$E,2,0))*U2191</f>
        <v>6.44</v>
      </c>
      <c r="X2191" s="32" t="s">
        <v>616</v>
      </c>
      <c r="Y2191" s="38">
        <v>1</v>
      </c>
      <c r="Z2191" s="38" t="s">
        <v>23</v>
      </c>
      <c r="AA2191" s="18">
        <f>(VLOOKUP(X2191,'[1]Simulation pricing per sub assy'!$D:$E,2,0))*Y2191</f>
        <v>4.4802908000000006</v>
      </c>
    </row>
    <row r="2192" spans="1:27" x14ac:dyDescent="0.35">
      <c r="A2192" s="27" t="s">
        <v>3616</v>
      </c>
      <c r="B2192" s="27" t="s">
        <v>3617</v>
      </c>
      <c r="C2192" s="42">
        <f t="shared" si="34"/>
        <v>283.08669080000004</v>
      </c>
      <c r="D2192" s="33" t="s">
        <v>3540</v>
      </c>
      <c r="E2192" s="33">
        <v>2</v>
      </c>
      <c r="F2192" s="33" t="s">
        <v>3541</v>
      </c>
      <c r="G2192" s="14">
        <f>(VLOOKUP(D2192,'[1]BOM Info General'!$A:$L,12,0))*E2192</f>
        <v>130.12</v>
      </c>
      <c r="H2192" s="34" t="s">
        <v>40</v>
      </c>
      <c r="I2192" s="34">
        <v>1</v>
      </c>
      <c r="J2192" s="34" t="s">
        <v>45</v>
      </c>
      <c r="K2192" s="15">
        <f>(VLOOKUP(H2192,'[1]BOM Info General'!$A:$L,12,0))*I2192</f>
        <v>25.59</v>
      </c>
      <c r="L2192" s="35" t="s">
        <v>528</v>
      </c>
      <c r="M2192" s="35">
        <v>1</v>
      </c>
      <c r="N2192" s="35" t="s">
        <v>88</v>
      </c>
      <c r="O2192" s="9">
        <f>(VLOOKUP(L2192,'[1]Simulation pricing per sub assy'!$D:$E,2,0))*M2192</f>
        <v>94.656400000000033</v>
      </c>
      <c r="P2192" s="36" t="s">
        <v>50</v>
      </c>
      <c r="Q2192" s="36">
        <v>8</v>
      </c>
      <c r="R2192" s="36" t="s">
        <v>16</v>
      </c>
      <c r="S2192" s="40">
        <f>(VLOOKUP(P2192,'[1]BOM Info General'!$A:$L,12,0))*Q2192</f>
        <v>21.2</v>
      </c>
      <c r="T2192" s="37" t="s">
        <v>26</v>
      </c>
      <c r="U2192" s="37">
        <v>1</v>
      </c>
      <c r="V2192" s="37" t="s">
        <v>27</v>
      </c>
      <c r="W2192" s="17">
        <f>(VLOOKUP(T2192,'[1]Simulation pricing per sub assy'!$D:$E,2,0))*U2192</f>
        <v>7.04</v>
      </c>
      <c r="X2192" s="32" t="s">
        <v>616</v>
      </c>
      <c r="Y2192" s="38">
        <v>1</v>
      </c>
      <c r="Z2192" s="38" t="s">
        <v>23</v>
      </c>
      <c r="AA2192" s="18">
        <f>(VLOOKUP(X2192,'[1]Simulation pricing per sub assy'!$D:$E,2,0))*Y2192</f>
        <v>4.4802908000000006</v>
      </c>
    </row>
    <row r="2193" spans="1:27" x14ac:dyDescent="0.35">
      <c r="A2193" s="27" t="s">
        <v>3618</v>
      </c>
      <c r="B2193" s="27" t="s">
        <v>3619</v>
      </c>
      <c r="C2193" s="42">
        <f t="shared" si="34"/>
        <v>284.18669080000006</v>
      </c>
      <c r="D2193" s="33" t="s">
        <v>3540</v>
      </c>
      <c r="E2193" s="33">
        <v>2</v>
      </c>
      <c r="F2193" s="33" t="s">
        <v>3541</v>
      </c>
      <c r="G2193" s="14">
        <f>(VLOOKUP(D2193,'[1]BOM Info General'!$A:$L,12,0))*E2193</f>
        <v>130.12</v>
      </c>
      <c r="H2193" s="34" t="s">
        <v>40</v>
      </c>
      <c r="I2193" s="34">
        <v>1</v>
      </c>
      <c r="J2193" s="34" t="s">
        <v>45</v>
      </c>
      <c r="K2193" s="15">
        <f>(VLOOKUP(H2193,'[1]BOM Info General'!$A:$L,12,0))*I2193</f>
        <v>25.59</v>
      </c>
      <c r="L2193" s="35" t="s">
        <v>85</v>
      </c>
      <c r="M2193" s="35">
        <v>1</v>
      </c>
      <c r="N2193" s="35" t="s">
        <v>82</v>
      </c>
      <c r="O2193" s="9">
        <f>(VLOOKUP(L2193,'[1]Simulation pricing per sub assy'!$D:$E,2,0))*M2193</f>
        <v>95.756400000000042</v>
      </c>
      <c r="P2193" s="36" t="s">
        <v>50</v>
      </c>
      <c r="Q2193" s="36">
        <v>8</v>
      </c>
      <c r="R2193" s="36" t="s">
        <v>16</v>
      </c>
      <c r="S2193" s="40">
        <f>(VLOOKUP(P2193,'[1]BOM Info General'!$A:$L,12,0))*Q2193</f>
        <v>21.2</v>
      </c>
      <c r="T2193" s="37" t="s">
        <v>26</v>
      </c>
      <c r="U2193" s="37">
        <v>1</v>
      </c>
      <c r="V2193" s="37" t="s">
        <v>27</v>
      </c>
      <c r="W2193" s="17">
        <f>(VLOOKUP(T2193,'[1]Simulation pricing per sub assy'!$D:$E,2,0))*U2193</f>
        <v>7.04</v>
      </c>
      <c r="X2193" s="32" t="s">
        <v>616</v>
      </c>
      <c r="Y2193" s="38">
        <v>1</v>
      </c>
      <c r="Z2193" s="38" t="s">
        <v>23</v>
      </c>
      <c r="AA2193" s="18">
        <f>(VLOOKUP(X2193,'[1]Simulation pricing per sub assy'!$D:$E,2,0))*Y2193</f>
        <v>4.4802908000000006</v>
      </c>
    </row>
    <row r="2194" spans="1:27" x14ac:dyDescent="0.35">
      <c r="A2194" s="27" t="s">
        <v>3620</v>
      </c>
      <c r="B2194" s="27" t="s">
        <v>3621</v>
      </c>
      <c r="C2194" s="42">
        <f t="shared" si="34"/>
        <v>284.18669080000006</v>
      </c>
      <c r="D2194" s="33" t="s">
        <v>3540</v>
      </c>
      <c r="E2194" s="33">
        <v>2</v>
      </c>
      <c r="F2194" s="33" t="s">
        <v>3541</v>
      </c>
      <c r="G2194" s="14">
        <f>(VLOOKUP(D2194,'[1]BOM Info General'!$A:$L,12,0))*E2194</f>
        <v>130.12</v>
      </c>
      <c r="H2194" s="34" t="s">
        <v>40</v>
      </c>
      <c r="I2194" s="34">
        <v>1</v>
      </c>
      <c r="J2194" s="34" t="s">
        <v>45</v>
      </c>
      <c r="K2194" s="15">
        <f>(VLOOKUP(H2194,'[1]BOM Info General'!$A:$L,12,0))*I2194</f>
        <v>25.59</v>
      </c>
      <c r="L2194" s="35" t="s">
        <v>81</v>
      </c>
      <c r="M2194" s="35">
        <v>1</v>
      </c>
      <c r="N2194" s="35" t="s">
        <v>80</v>
      </c>
      <c r="O2194" s="9">
        <f>(VLOOKUP(L2194,'[1]Simulation pricing per sub assy'!$D:$E,2,0))*M2194</f>
        <v>95.756400000000042</v>
      </c>
      <c r="P2194" s="36" t="s">
        <v>50</v>
      </c>
      <c r="Q2194" s="36">
        <v>8</v>
      </c>
      <c r="R2194" s="36" t="s">
        <v>16</v>
      </c>
      <c r="S2194" s="40">
        <f>(VLOOKUP(P2194,'[1]BOM Info General'!$A:$L,12,0))*Q2194</f>
        <v>21.2</v>
      </c>
      <c r="T2194" s="37" t="s">
        <v>26</v>
      </c>
      <c r="U2194" s="37">
        <v>1</v>
      </c>
      <c r="V2194" s="37" t="s">
        <v>27</v>
      </c>
      <c r="W2194" s="17">
        <f>(VLOOKUP(T2194,'[1]Simulation pricing per sub assy'!$D:$E,2,0))*U2194</f>
        <v>7.04</v>
      </c>
      <c r="X2194" s="32" t="s">
        <v>616</v>
      </c>
      <c r="Y2194" s="38">
        <v>1</v>
      </c>
      <c r="Z2194" s="38" t="s">
        <v>23</v>
      </c>
      <c r="AA2194" s="18">
        <f>(VLOOKUP(X2194,'[1]Simulation pricing per sub assy'!$D:$E,2,0))*Y2194</f>
        <v>4.4802908000000006</v>
      </c>
    </row>
    <row r="2195" spans="1:27" x14ac:dyDescent="0.35">
      <c r="A2195" s="27" t="s">
        <v>3622</v>
      </c>
      <c r="B2195" s="27" t="s">
        <v>3623</v>
      </c>
      <c r="C2195" s="42">
        <f t="shared" si="34"/>
        <v>283.63669080000005</v>
      </c>
      <c r="D2195" s="33" t="s">
        <v>3540</v>
      </c>
      <c r="E2195" s="33">
        <v>2</v>
      </c>
      <c r="F2195" s="33" t="s">
        <v>3541</v>
      </c>
      <c r="G2195" s="14">
        <f>(VLOOKUP(D2195,'[1]BOM Info General'!$A:$L,12,0))*E2195</f>
        <v>130.12</v>
      </c>
      <c r="H2195" s="34" t="s">
        <v>40</v>
      </c>
      <c r="I2195" s="34">
        <v>1</v>
      </c>
      <c r="J2195" s="34" t="s">
        <v>45</v>
      </c>
      <c r="K2195" s="15">
        <f>(VLOOKUP(H2195,'[1]BOM Info General'!$A:$L,12,0))*I2195</f>
        <v>25.59</v>
      </c>
      <c r="L2195" s="35" t="s">
        <v>87</v>
      </c>
      <c r="M2195" s="35">
        <v>1</v>
      </c>
      <c r="N2195" s="35" t="s">
        <v>84</v>
      </c>
      <c r="O2195" s="9">
        <f>(VLOOKUP(L2195,'[1]Simulation pricing per sub assy'!$D:$E,2,0))*M2195</f>
        <v>95.206400000000031</v>
      </c>
      <c r="P2195" s="36" t="s">
        <v>50</v>
      </c>
      <c r="Q2195" s="36">
        <v>8</v>
      </c>
      <c r="R2195" s="36" t="s">
        <v>16</v>
      </c>
      <c r="S2195" s="40">
        <f>(VLOOKUP(P2195,'[1]BOM Info General'!$A:$L,12,0))*Q2195</f>
        <v>21.2</v>
      </c>
      <c r="T2195" s="37" t="s">
        <v>26</v>
      </c>
      <c r="U2195" s="37">
        <v>1</v>
      </c>
      <c r="V2195" s="37" t="s">
        <v>27</v>
      </c>
      <c r="W2195" s="17">
        <f>(VLOOKUP(T2195,'[1]Simulation pricing per sub assy'!$D:$E,2,0))*U2195</f>
        <v>7.04</v>
      </c>
      <c r="X2195" s="32" t="s">
        <v>616</v>
      </c>
      <c r="Y2195" s="38">
        <v>1</v>
      </c>
      <c r="Z2195" s="38" t="s">
        <v>23</v>
      </c>
      <c r="AA2195" s="18">
        <f>(VLOOKUP(X2195,'[1]Simulation pricing per sub assy'!$D:$E,2,0))*Y2195</f>
        <v>4.4802908000000006</v>
      </c>
    </row>
    <row r="2196" spans="1:27" x14ac:dyDescent="0.35">
      <c r="A2196" s="27" t="s">
        <v>3624</v>
      </c>
      <c r="B2196" s="27" t="s">
        <v>3625</v>
      </c>
      <c r="C2196" s="42">
        <f t="shared" si="34"/>
        <v>291.59669080000003</v>
      </c>
      <c r="D2196" s="33" t="s">
        <v>3540</v>
      </c>
      <c r="E2196" s="33">
        <v>2</v>
      </c>
      <c r="F2196" s="33" t="s">
        <v>3541</v>
      </c>
      <c r="G2196" s="14">
        <f>(VLOOKUP(D2196,'[1]BOM Info General'!$A:$L,12,0))*E2196</f>
        <v>130.12</v>
      </c>
      <c r="H2196" s="34" t="s">
        <v>40</v>
      </c>
      <c r="I2196" s="34">
        <v>1</v>
      </c>
      <c r="J2196" s="34" t="s">
        <v>45</v>
      </c>
      <c r="K2196" s="15">
        <f>(VLOOKUP(H2196,'[1]BOM Info General'!$A:$L,12,0))*I2196</f>
        <v>25.59</v>
      </c>
      <c r="L2196" s="35" t="s">
        <v>83</v>
      </c>
      <c r="M2196" s="35">
        <v>1</v>
      </c>
      <c r="N2196" s="35" t="s">
        <v>86</v>
      </c>
      <c r="O2196" s="9">
        <f>(VLOOKUP(L2196,'[1]Simulation pricing per sub assy'!$D:$E,2,0))*M2196</f>
        <v>103.16640000000004</v>
      </c>
      <c r="P2196" s="36" t="s">
        <v>50</v>
      </c>
      <c r="Q2196" s="36">
        <v>8</v>
      </c>
      <c r="R2196" s="36" t="s">
        <v>16</v>
      </c>
      <c r="S2196" s="40">
        <f>(VLOOKUP(P2196,'[1]BOM Info General'!$A:$L,12,0))*Q2196</f>
        <v>21.2</v>
      </c>
      <c r="T2196" s="37" t="s">
        <v>26</v>
      </c>
      <c r="U2196" s="37">
        <v>1</v>
      </c>
      <c r="V2196" s="37" t="s">
        <v>27</v>
      </c>
      <c r="W2196" s="17">
        <f>(VLOOKUP(T2196,'[1]Simulation pricing per sub assy'!$D:$E,2,0))*U2196</f>
        <v>7.04</v>
      </c>
      <c r="X2196" s="32" t="s">
        <v>616</v>
      </c>
      <c r="Y2196" s="38">
        <v>1</v>
      </c>
      <c r="Z2196" s="38" t="s">
        <v>23</v>
      </c>
      <c r="AA2196" s="18">
        <f>(VLOOKUP(X2196,'[1]Simulation pricing per sub assy'!$D:$E,2,0))*Y2196</f>
        <v>4.4802908000000006</v>
      </c>
    </row>
    <row r="2197" spans="1:27" x14ac:dyDescent="0.35">
      <c r="A2197" s="27" t="s">
        <v>3626</v>
      </c>
      <c r="B2197" s="27" t="s">
        <v>3627</v>
      </c>
      <c r="C2197" s="42">
        <f t="shared" si="34"/>
        <v>283.04669080000002</v>
      </c>
      <c r="D2197" s="33" t="s">
        <v>3540</v>
      </c>
      <c r="E2197" s="33">
        <v>2</v>
      </c>
      <c r="F2197" s="33" t="s">
        <v>3541</v>
      </c>
      <c r="G2197" s="14">
        <f>(VLOOKUP(D2197,'[1]BOM Info General'!$A:$L,12,0))*E2197</f>
        <v>130.12</v>
      </c>
      <c r="H2197" s="34" t="s">
        <v>40</v>
      </c>
      <c r="I2197" s="34">
        <v>1</v>
      </c>
      <c r="J2197" s="34" t="s">
        <v>45</v>
      </c>
      <c r="K2197" s="15">
        <f>(VLOOKUP(H2197,'[1]BOM Info General'!$A:$L,12,0))*I2197</f>
        <v>25.59</v>
      </c>
      <c r="L2197" s="35" t="s">
        <v>528</v>
      </c>
      <c r="M2197" s="35">
        <v>1</v>
      </c>
      <c r="N2197" s="35" t="s">
        <v>88</v>
      </c>
      <c r="O2197" s="9">
        <f>(VLOOKUP(L2197,'[1]Simulation pricing per sub assy'!$D:$E,2,0))*M2197</f>
        <v>94.656400000000033</v>
      </c>
      <c r="P2197" s="36" t="s">
        <v>50</v>
      </c>
      <c r="Q2197" s="36">
        <v>8</v>
      </c>
      <c r="R2197" s="36" t="s">
        <v>16</v>
      </c>
      <c r="S2197" s="40">
        <f>(VLOOKUP(P2197,'[1]BOM Info General'!$A:$L,12,0))*Q2197</f>
        <v>21.2</v>
      </c>
      <c r="T2197" s="37" t="s">
        <v>28</v>
      </c>
      <c r="U2197" s="37">
        <v>1</v>
      </c>
      <c r="V2197" s="37" t="s">
        <v>29</v>
      </c>
      <c r="W2197" s="17">
        <f>(VLOOKUP(T2197,'[1]Simulation pricing per sub assy'!$D:$E,2,0))*U2197</f>
        <v>7</v>
      </c>
      <c r="X2197" s="32" t="s">
        <v>616</v>
      </c>
      <c r="Y2197" s="38">
        <v>1</v>
      </c>
      <c r="Z2197" s="38" t="s">
        <v>23</v>
      </c>
      <c r="AA2197" s="18">
        <f>(VLOOKUP(X2197,'[1]Simulation pricing per sub assy'!$D:$E,2,0))*Y2197</f>
        <v>4.4802908000000006</v>
      </c>
    </row>
    <row r="2198" spans="1:27" x14ac:dyDescent="0.35">
      <c r="A2198" s="27" t="s">
        <v>3628</v>
      </c>
      <c r="B2198" s="27" t="s">
        <v>3629</v>
      </c>
      <c r="C2198" s="42">
        <f t="shared" si="34"/>
        <v>284.14669080000004</v>
      </c>
      <c r="D2198" s="33" t="s">
        <v>3540</v>
      </c>
      <c r="E2198" s="33">
        <v>2</v>
      </c>
      <c r="F2198" s="33" t="s">
        <v>3541</v>
      </c>
      <c r="G2198" s="14">
        <f>(VLOOKUP(D2198,'[1]BOM Info General'!$A:$L,12,0))*E2198</f>
        <v>130.12</v>
      </c>
      <c r="H2198" s="34" t="s">
        <v>40</v>
      </c>
      <c r="I2198" s="34">
        <v>1</v>
      </c>
      <c r="J2198" s="34" t="s">
        <v>45</v>
      </c>
      <c r="K2198" s="15">
        <f>(VLOOKUP(H2198,'[1]BOM Info General'!$A:$L,12,0))*I2198</f>
        <v>25.59</v>
      </c>
      <c r="L2198" s="35" t="s">
        <v>85</v>
      </c>
      <c r="M2198" s="35">
        <v>1</v>
      </c>
      <c r="N2198" s="35" t="s">
        <v>82</v>
      </c>
      <c r="O2198" s="9">
        <f>(VLOOKUP(L2198,'[1]Simulation pricing per sub assy'!$D:$E,2,0))*M2198</f>
        <v>95.756400000000042</v>
      </c>
      <c r="P2198" s="36" t="s">
        <v>50</v>
      </c>
      <c r="Q2198" s="36">
        <v>8</v>
      </c>
      <c r="R2198" s="36" t="s">
        <v>16</v>
      </c>
      <c r="S2198" s="40">
        <f>(VLOOKUP(P2198,'[1]BOM Info General'!$A:$L,12,0))*Q2198</f>
        <v>21.2</v>
      </c>
      <c r="T2198" s="37" t="s">
        <v>28</v>
      </c>
      <c r="U2198" s="37">
        <v>1</v>
      </c>
      <c r="V2198" s="37" t="s">
        <v>29</v>
      </c>
      <c r="W2198" s="17">
        <f>(VLOOKUP(T2198,'[1]Simulation pricing per sub assy'!$D:$E,2,0))*U2198</f>
        <v>7</v>
      </c>
      <c r="X2198" s="32" t="s">
        <v>616</v>
      </c>
      <c r="Y2198" s="38">
        <v>1</v>
      </c>
      <c r="Z2198" s="38" t="s">
        <v>23</v>
      </c>
      <c r="AA2198" s="18">
        <f>(VLOOKUP(X2198,'[1]Simulation pricing per sub assy'!$D:$E,2,0))*Y2198</f>
        <v>4.4802908000000006</v>
      </c>
    </row>
    <row r="2199" spans="1:27" x14ac:dyDescent="0.35">
      <c r="A2199" s="27" t="s">
        <v>3630</v>
      </c>
      <c r="B2199" s="27" t="s">
        <v>3631</v>
      </c>
      <c r="C2199" s="42">
        <f t="shared" si="34"/>
        <v>284.14669080000004</v>
      </c>
      <c r="D2199" s="33" t="s">
        <v>3540</v>
      </c>
      <c r="E2199" s="33">
        <v>2</v>
      </c>
      <c r="F2199" s="33" t="s">
        <v>3541</v>
      </c>
      <c r="G2199" s="14">
        <f>(VLOOKUP(D2199,'[1]BOM Info General'!$A:$L,12,0))*E2199</f>
        <v>130.12</v>
      </c>
      <c r="H2199" s="34" t="s">
        <v>40</v>
      </c>
      <c r="I2199" s="34">
        <v>1</v>
      </c>
      <c r="J2199" s="34" t="s">
        <v>45</v>
      </c>
      <c r="K2199" s="15">
        <f>(VLOOKUP(H2199,'[1]BOM Info General'!$A:$L,12,0))*I2199</f>
        <v>25.59</v>
      </c>
      <c r="L2199" s="35" t="s">
        <v>81</v>
      </c>
      <c r="M2199" s="35">
        <v>1</v>
      </c>
      <c r="N2199" s="35" t="s">
        <v>80</v>
      </c>
      <c r="O2199" s="9">
        <f>(VLOOKUP(L2199,'[1]Simulation pricing per sub assy'!$D:$E,2,0))*M2199</f>
        <v>95.756400000000042</v>
      </c>
      <c r="P2199" s="36" t="s">
        <v>50</v>
      </c>
      <c r="Q2199" s="36">
        <v>8</v>
      </c>
      <c r="R2199" s="36" t="s">
        <v>16</v>
      </c>
      <c r="S2199" s="40">
        <f>(VLOOKUP(P2199,'[1]BOM Info General'!$A:$L,12,0))*Q2199</f>
        <v>21.2</v>
      </c>
      <c r="T2199" s="37" t="s">
        <v>28</v>
      </c>
      <c r="U2199" s="37">
        <v>1</v>
      </c>
      <c r="V2199" s="37" t="s">
        <v>29</v>
      </c>
      <c r="W2199" s="17">
        <f>(VLOOKUP(T2199,'[1]Simulation pricing per sub assy'!$D:$E,2,0))*U2199</f>
        <v>7</v>
      </c>
      <c r="X2199" s="32" t="s">
        <v>616</v>
      </c>
      <c r="Y2199" s="38">
        <v>1</v>
      </c>
      <c r="Z2199" s="38" t="s">
        <v>23</v>
      </c>
      <c r="AA2199" s="18">
        <f>(VLOOKUP(X2199,'[1]Simulation pricing per sub assy'!$D:$E,2,0))*Y2199</f>
        <v>4.4802908000000006</v>
      </c>
    </row>
    <row r="2200" spans="1:27" x14ac:dyDescent="0.35">
      <c r="A2200" s="27" t="s">
        <v>3632</v>
      </c>
      <c r="B2200" s="27" t="s">
        <v>3633</v>
      </c>
      <c r="C2200" s="42">
        <f t="shared" si="34"/>
        <v>283.59669080000003</v>
      </c>
      <c r="D2200" s="33" t="s">
        <v>3540</v>
      </c>
      <c r="E2200" s="33">
        <v>2</v>
      </c>
      <c r="F2200" s="33" t="s">
        <v>3541</v>
      </c>
      <c r="G2200" s="14">
        <f>(VLOOKUP(D2200,'[1]BOM Info General'!$A:$L,12,0))*E2200</f>
        <v>130.12</v>
      </c>
      <c r="H2200" s="34" t="s">
        <v>40</v>
      </c>
      <c r="I2200" s="34">
        <v>1</v>
      </c>
      <c r="J2200" s="34" t="s">
        <v>45</v>
      </c>
      <c r="K2200" s="15">
        <f>(VLOOKUP(H2200,'[1]BOM Info General'!$A:$L,12,0))*I2200</f>
        <v>25.59</v>
      </c>
      <c r="L2200" s="35" t="s">
        <v>87</v>
      </c>
      <c r="M2200" s="35">
        <v>1</v>
      </c>
      <c r="N2200" s="35" t="s">
        <v>84</v>
      </c>
      <c r="O2200" s="9">
        <f>(VLOOKUP(L2200,'[1]Simulation pricing per sub assy'!$D:$E,2,0))*M2200</f>
        <v>95.206400000000031</v>
      </c>
      <c r="P2200" s="36" t="s">
        <v>50</v>
      </c>
      <c r="Q2200" s="36">
        <v>8</v>
      </c>
      <c r="R2200" s="36" t="s">
        <v>16</v>
      </c>
      <c r="S2200" s="40">
        <f>(VLOOKUP(P2200,'[1]BOM Info General'!$A:$L,12,0))*Q2200</f>
        <v>21.2</v>
      </c>
      <c r="T2200" s="37" t="s">
        <v>28</v>
      </c>
      <c r="U2200" s="37">
        <v>1</v>
      </c>
      <c r="V2200" s="37" t="s">
        <v>29</v>
      </c>
      <c r="W2200" s="17">
        <f>(VLOOKUP(T2200,'[1]Simulation pricing per sub assy'!$D:$E,2,0))*U2200</f>
        <v>7</v>
      </c>
      <c r="X2200" s="32" t="s">
        <v>616</v>
      </c>
      <c r="Y2200" s="38">
        <v>1</v>
      </c>
      <c r="Z2200" s="38" t="s">
        <v>23</v>
      </c>
      <c r="AA2200" s="18">
        <f>(VLOOKUP(X2200,'[1]Simulation pricing per sub assy'!$D:$E,2,0))*Y2200</f>
        <v>4.4802908000000006</v>
      </c>
    </row>
    <row r="2201" spans="1:27" x14ac:dyDescent="0.35">
      <c r="A2201" s="27" t="s">
        <v>3634</v>
      </c>
      <c r="B2201" s="27" t="s">
        <v>3635</v>
      </c>
      <c r="C2201" s="42">
        <f t="shared" si="34"/>
        <v>291.55669080000001</v>
      </c>
      <c r="D2201" s="33" t="s">
        <v>3540</v>
      </c>
      <c r="E2201" s="33">
        <v>2</v>
      </c>
      <c r="F2201" s="33" t="s">
        <v>3541</v>
      </c>
      <c r="G2201" s="14">
        <f>(VLOOKUP(D2201,'[1]BOM Info General'!$A:$L,12,0))*E2201</f>
        <v>130.12</v>
      </c>
      <c r="H2201" s="34" t="s">
        <v>40</v>
      </c>
      <c r="I2201" s="34">
        <v>1</v>
      </c>
      <c r="J2201" s="34" t="s">
        <v>45</v>
      </c>
      <c r="K2201" s="15">
        <f>(VLOOKUP(H2201,'[1]BOM Info General'!$A:$L,12,0))*I2201</f>
        <v>25.59</v>
      </c>
      <c r="L2201" s="35" t="s">
        <v>83</v>
      </c>
      <c r="M2201" s="35">
        <v>1</v>
      </c>
      <c r="N2201" s="35" t="s">
        <v>86</v>
      </c>
      <c r="O2201" s="9">
        <f>(VLOOKUP(L2201,'[1]Simulation pricing per sub assy'!$D:$E,2,0))*M2201</f>
        <v>103.16640000000004</v>
      </c>
      <c r="P2201" s="36" t="s">
        <v>50</v>
      </c>
      <c r="Q2201" s="36">
        <v>8</v>
      </c>
      <c r="R2201" s="36" t="s">
        <v>16</v>
      </c>
      <c r="S2201" s="40">
        <f>(VLOOKUP(P2201,'[1]BOM Info General'!$A:$L,12,0))*Q2201</f>
        <v>21.2</v>
      </c>
      <c r="T2201" s="37" t="s">
        <v>28</v>
      </c>
      <c r="U2201" s="37">
        <v>1</v>
      </c>
      <c r="V2201" s="37" t="s">
        <v>29</v>
      </c>
      <c r="W2201" s="17">
        <f>(VLOOKUP(T2201,'[1]Simulation pricing per sub assy'!$D:$E,2,0))*U2201</f>
        <v>7</v>
      </c>
      <c r="X2201" s="32" t="s">
        <v>616</v>
      </c>
      <c r="Y2201" s="38">
        <v>1</v>
      </c>
      <c r="Z2201" s="38" t="s">
        <v>23</v>
      </c>
      <c r="AA2201" s="18">
        <f>(VLOOKUP(X2201,'[1]Simulation pricing per sub assy'!$D:$E,2,0))*Y2201</f>
        <v>4.4802908000000006</v>
      </c>
    </row>
    <row r="2202" spans="1:27" x14ac:dyDescent="0.35">
      <c r="A2202" s="27" t="s">
        <v>3636</v>
      </c>
      <c r="B2202" s="27" t="s">
        <v>3637</v>
      </c>
      <c r="C2202" s="42">
        <f t="shared" si="34"/>
        <v>282.48669080000002</v>
      </c>
      <c r="D2202" s="33" t="s">
        <v>3540</v>
      </c>
      <c r="E2202" s="33">
        <v>2</v>
      </c>
      <c r="F2202" s="33" t="s">
        <v>3541</v>
      </c>
      <c r="G2202" s="14">
        <f>(VLOOKUP(D2202,'[1]BOM Info General'!$A:$L,12,0))*E2202</f>
        <v>130.12</v>
      </c>
      <c r="H2202" s="34" t="s">
        <v>40</v>
      </c>
      <c r="I2202" s="34">
        <v>1</v>
      </c>
      <c r="J2202" s="34" t="s">
        <v>45</v>
      </c>
      <c r="K2202" s="15">
        <f>(VLOOKUP(H2202,'[1]BOM Info General'!$A:$L,12,0))*I2202</f>
        <v>25.59</v>
      </c>
      <c r="L2202" s="35" t="s">
        <v>528</v>
      </c>
      <c r="M2202" s="35">
        <v>1</v>
      </c>
      <c r="N2202" s="35" t="s">
        <v>88</v>
      </c>
      <c r="O2202" s="9">
        <f>(VLOOKUP(L2202,'[1]Simulation pricing per sub assy'!$D:$E,2,0))*M2202</f>
        <v>94.656400000000033</v>
      </c>
      <c r="P2202" s="36" t="s">
        <v>51</v>
      </c>
      <c r="Q2202" s="36">
        <v>8</v>
      </c>
      <c r="R2202" s="36" t="s">
        <v>17</v>
      </c>
      <c r="S2202" s="40">
        <f>(VLOOKUP(P2202,'[1]BOM Info General'!$A:$L,12,0))*Q2202</f>
        <v>21.2</v>
      </c>
      <c r="T2202" s="37" t="s">
        <v>24</v>
      </c>
      <c r="U2202" s="37">
        <v>1</v>
      </c>
      <c r="V2202" s="37" t="s">
        <v>25</v>
      </c>
      <c r="W2202" s="17">
        <f>(VLOOKUP(T2202,'[1]Simulation pricing per sub assy'!$D:$E,2,0))*U2202</f>
        <v>6.44</v>
      </c>
      <c r="X2202" s="32" t="s">
        <v>616</v>
      </c>
      <c r="Y2202" s="38">
        <v>1</v>
      </c>
      <c r="Z2202" s="38" t="s">
        <v>23</v>
      </c>
      <c r="AA2202" s="18">
        <f>(VLOOKUP(X2202,'[1]Simulation pricing per sub assy'!$D:$E,2,0))*Y2202</f>
        <v>4.4802908000000006</v>
      </c>
    </row>
    <row r="2203" spans="1:27" x14ac:dyDescent="0.35">
      <c r="A2203" s="27" t="s">
        <v>3638</v>
      </c>
      <c r="B2203" s="27" t="s">
        <v>3639</v>
      </c>
      <c r="C2203" s="42">
        <f t="shared" si="34"/>
        <v>283.58669080000004</v>
      </c>
      <c r="D2203" s="33" t="s">
        <v>3540</v>
      </c>
      <c r="E2203" s="33">
        <v>2</v>
      </c>
      <c r="F2203" s="33" t="s">
        <v>3541</v>
      </c>
      <c r="G2203" s="14">
        <f>(VLOOKUP(D2203,'[1]BOM Info General'!$A:$L,12,0))*E2203</f>
        <v>130.12</v>
      </c>
      <c r="H2203" s="34" t="s">
        <v>40</v>
      </c>
      <c r="I2203" s="34">
        <v>1</v>
      </c>
      <c r="J2203" s="34" t="s">
        <v>45</v>
      </c>
      <c r="K2203" s="15">
        <f>(VLOOKUP(H2203,'[1]BOM Info General'!$A:$L,12,0))*I2203</f>
        <v>25.59</v>
      </c>
      <c r="L2203" s="35" t="s">
        <v>85</v>
      </c>
      <c r="M2203" s="35">
        <v>1</v>
      </c>
      <c r="N2203" s="35" t="s">
        <v>82</v>
      </c>
      <c r="O2203" s="9">
        <f>(VLOOKUP(L2203,'[1]Simulation pricing per sub assy'!$D:$E,2,0))*M2203</f>
        <v>95.756400000000042</v>
      </c>
      <c r="P2203" s="36" t="s">
        <v>51</v>
      </c>
      <c r="Q2203" s="36">
        <v>8</v>
      </c>
      <c r="R2203" s="36" t="s">
        <v>17</v>
      </c>
      <c r="S2203" s="40">
        <f>(VLOOKUP(P2203,'[1]BOM Info General'!$A:$L,12,0))*Q2203</f>
        <v>21.2</v>
      </c>
      <c r="T2203" s="37" t="s">
        <v>24</v>
      </c>
      <c r="U2203" s="37">
        <v>1</v>
      </c>
      <c r="V2203" s="37" t="s">
        <v>25</v>
      </c>
      <c r="W2203" s="17">
        <f>(VLOOKUP(T2203,'[1]Simulation pricing per sub assy'!$D:$E,2,0))*U2203</f>
        <v>6.44</v>
      </c>
      <c r="X2203" s="32" t="s">
        <v>616</v>
      </c>
      <c r="Y2203" s="38">
        <v>1</v>
      </c>
      <c r="Z2203" s="38" t="s">
        <v>23</v>
      </c>
      <c r="AA2203" s="18">
        <f>(VLOOKUP(X2203,'[1]Simulation pricing per sub assy'!$D:$E,2,0))*Y2203</f>
        <v>4.4802908000000006</v>
      </c>
    </row>
    <row r="2204" spans="1:27" x14ac:dyDescent="0.35">
      <c r="A2204" s="27" t="s">
        <v>3640</v>
      </c>
      <c r="B2204" s="27" t="s">
        <v>3641</v>
      </c>
      <c r="C2204" s="42">
        <f t="shared" si="34"/>
        <v>283.58669080000004</v>
      </c>
      <c r="D2204" s="33" t="s">
        <v>3540</v>
      </c>
      <c r="E2204" s="33">
        <v>2</v>
      </c>
      <c r="F2204" s="33" t="s">
        <v>3541</v>
      </c>
      <c r="G2204" s="14">
        <f>(VLOOKUP(D2204,'[1]BOM Info General'!$A:$L,12,0))*E2204</f>
        <v>130.12</v>
      </c>
      <c r="H2204" s="34" t="s">
        <v>40</v>
      </c>
      <c r="I2204" s="34">
        <v>1</v>
      </c>
      <c r="J2204" s="34" t="s">
        <v>45</v>
      </c>
      <c r="K2204" s="15">
        <f>(VLOOKUP(H2204,'[1]BOM Info General'!$A:$L,12,0))*I2204</f>
        <v>25.59</v>
      </c>
      <c r="L2204" s="35" t="s">
        <v>81</v>
      </c>
      <c r="M2204" s="35">
        <v>1</v>
      </c>
      <c r="N2204" s="35" t="s">
        <v>80</v>
      </c>
      <c r="O2204" s="9">
        <f>(VLOOKUP(L2204,'[1]Simulation pricing per sub assy'!$D:$E,2,0))*M2204</f>
        <v>95.756400000000042</v>
      </c>
      <c r="P2204" s="36" t="s">
        <v>51</v>
      </c>
      <c r="Q2204" s="36">
        <v>8</v>
      </c>
      <c r="R2204" s="36" t="s">
        <v>17</v>
      </c>
      <c r="S2204" s="40">
        <f>(VLOOKUP(P2204,'[1]BOM Info General'!$A:$L,12,0))*Q2204</f>
        <v>21.2</v>
      </c>
      <c r="T2204" s="37" t="s">
        <v>24</v>
      </c>
      <c r="U2204" s="37">
        <v>1</v>
      </c>
      <c r="V2204" s="37" t="s">
        <v>25</v>
      </c>
      <c r="W2204" s="17">
        <f>(VLOOKUP(T2204,'[1]Simulation pricing per sub assy'!$D:$E,2,0))*U2204</f>
        <v>6.44</v>
      </c>
      <c r="X2204" s="32" t="s">
        <v>616</v>
      </c>
      <c r="Y2204" s="38">
        <v>1</v>
      </c>
      <c r="Z2204" s="38" t="s">
        <v>23</v>
      </c>
      <c r="AA2204" s="18">
        <f>(VLOOKUP(X2204,'[1]Simulation pricing per sub assy'!$D:$E,2,0))*Y2204</f>
        <v>4.4802908000000006</v>
      </c>
    </row>
    <row r="2205" spans="1:27" x14ac:dyDescent="0.35">
      <c r="A2205" s="27" t="s">
        <v>3642</v>
      </c>
      <c r="B2205" s="27" t="s">
        <v>3643</v>
      </c>
      <c r="C2205" s="42">
        <f t="shared" si="34"/>
        <v>283.03669080000003</v>
      </c>
      <c r="D2205" s="33" t="s">
        <v>3540</v>
      </c>
      <c r="E2205" s="33">
        <v>2</v>
      </c>
      <c r="F2205" s="33" t="s">
        <v>3541</v>
      </c>
      <c r="G2205" s="14">
        <f>(VLOOKUP(D2205,'[1]BOM Info General'!$A:$L,12,0))*E2205</f>
        <v>130.12</v>
      </c>
      <c r="H2205" s="34" t="s">
        <v>40</v>
      </c>
      <c r="I2205" s="34">
        <v>1</v>
      </c>
      <c r="J2205" s="34" t="s">
        <v>45</v>
      </c>
      <c r="K2205" s="15">
        <f>(VLOOKUP(H2205,'[1]BOM Info General'!$A:$L,12,0))*I2205</f>
        <v>25.59</v>
      </c>
      <c r="L2205" s="35" t="s">
        <v>87</v>
      </c>
      <c r="M2205" s="35">
        <v>1</v>
      </c>
      <c r="N2205" s="35" t="s">
        <v>84</v>
      </c>
      <c r="O2205" s="9">
        <f>(VLOOKUP(L2205,'[1]Simulation pricing per sub assy'!$D:$E,2,0))*M2205</f>
        <v>95.206400000000031</v>
      </c>
      <c r="P2205" s="36" t="s">
        <v>51</v>
      </c>
      <c r="Q2205" s="36">
        <v>8</v>
      </c>
      <c r="R2205" s="36" t="s">
        <v>17</v>
      </c>
      <c r="S2205" s="40">
        <f>(VLOOKUP(P2205,'[1]BOM Info General'!$A:$L,12,0))*Q2205</f>
        <v>21.2</v>
      </c>
      <c r="T2205" s="37" t="s">
        <v>24</v>
      </c>
      <c r="U2205" s="37">
        <v>1</v>
      </c>
      <c r="V2205" s="37" t="s">
        <v>25</v>
      </c>
      <c r="W2205" s="17">
        <f>(VLOOKUP(T2205,'[1]Simulation pricing per sub assy'!$D:$E,2,0))*U2205</f>
        <v>6.44</v>
      </c>
      <c r="X2205" s="32" t="s">
        <v>616</v>
      </c>
      <c r="Y2205" s="38">
        <v>1</v>
      </c>
      <c r="Z2205" s="38" t="s">
        <v>23</v>
      </c>
      <c r="AA2205" s="18">
        <f>(VLOOKUP(X2205,'[1]Simulation pricing per sub assy'!$D:$E,2,0))*Y2205</f>
        <v>4.4802908000000006</v>
      </c>
    </row>
    <row r="2206" spans="1:27" x14ac:dyDescent="0.35">
      <c r="A2206" s="27" t="s">
        <v>3644</v>
      </c>
      <c r="B2206" s="27" t="s">
        <v>3645</v>
      </c>
      <c r="C2206" s="42">
        <f t="shared" si="34"/>
        <v>290.99669080000001</v>
      </c>
      <c r="D2206" s="33" t="s">
        <v>3540</v>
      </c>
      <c r="E2206" s="33">
        <v>2</v>
      </c>
      <c r="F2206" s="33" t="s">
        <v>3541</v>
      </c>
      <c r="G2206" s="14">
        <f>(VLOOKUP(D2206,'[1]BOM Info General'!$A:$L,12,0))*E2206</f>
        <v>130.12</v>
      </c>
      <c r="H2206" s="34" t="s">
        <v>40</v>
      </c>
      <c r="I2206" s="34">
        <v>1</v>
      </c>
      <c r="J2206" s="34" t="s">
        <v>45</v>
      </c>
      <c r="K2206" s="15">
        <f>(VLOOKUP(H2206,'[1]BOM Info General'!$A:$L,12,0))*I2206</f>
        <v>25.59</v>
      </c>
      <c r="L2206" s="35" t="s">
        <v>83</v>
      </c>
      <c r="M2206" s="35">
        <v>1</v>
      </c>
      <c r="N2206" s="35" t="s">
        <v>86</v>
      </c>
      <c r="O2206" s="9">
        <f>(VLOOKUP(L2206,'[1]Simulation pricing per sub assy'!$D:$E,2,0))*M2206</f>
        <v>103.16640000000004</v>
      </c>
      <c r="P2206" s="36" t="s">
        <v>51</v>
      </c>
      <c r="Q2206" s="36">
        <v>8</v>
      </c>
      <c r="R2206" s="36" t="s">
        <v>17</v>
      </c>
      <c r="S2206" s="40">
        <f>(VLOOKUP(P2206,'[1]BOM Info General'!$A:$L,12,0))*Q2206</f>
        <v>21.2</v>
      </c>
      <c r="T2206" s="37" t="s">
        <v>24</v>
      </c>
      <c r="U2206" s="37">
        <v>1</v>
      </c>
      <c r="V2206" s="37" t="s">
        <v>25</v>
      </c>
      <c r="W2206" s="17">
        <f>(VLOOKUP(T2206,'[1]Simulation pricing per sub assy'!$D:$E,2,0))*U2206</f>
        <v>6.44</v>
      </c>
      <c r="X2206" s="32" t="s">
        <v>616</v>
      </c>
      <c r="Y2206" s="38">
        <v>1</v>
      </c>
      <c r="Z2206" s="38" t="s">
        <v>23</v>
      </c>
      <c r="AA2206" s="18">
        <f>(VLOOKUP(X2206,'[1]Simulation pricing per sub assy'!$D:$E,2,0))*Y2206</f>
        <v>4.4802908000000006</v>
      </c>
    </row>
    <row r="2207" spans="1:27" x14ac:dyDescent="0.35">
      <c r="A2207" s="27" t="s">
        <v>3646</v>
      </c>
      <c r="B2207" s="27" t="s">
        <v>3647</v>
      </c>
      <c r="C2207" s="42">
        <f t="shared" si="34"/>
        <v>283.08669080000004</v>
      </c>
      <c r="D2207" s="33" t="s">
        <v>3540</v>
      </c>
      <c r="E2207" s="33">
        <v>2</v>
      </c>
      <c r="F2207" s="33" t="s">
        <v>3541</v>
      </c>
      <c r="G2207" s="14">
        <f>(VLOOKUP(D2207,'[1]BOM Info General'!$A:$L,12,0))*E2207</f>
        <v>130.12</v>
      </c>
      <c r="H2207" s="34" t="s">
        <v>40</v>
      </c>
      <c r="I2207" s="34">
        <v>1</v>
      </c>
      <c r="J2207" s="34" t="s">
        <v>45</v>
      </c>
      <c r="K2207" s="15">
        <f>(VLOOKUP(H2207,'[1]BOM Info General'!$A:$L,12,0))*I2207</f>
        <v>25.59</v>
      </c>
      <c r="L2207" s="35" t="s">
        <v>528</v>
      </c>
      <c r="M2207" s="35">
        <v>1</v>
      </c>
      <c r="N2207" s="35" t="s">
        <v>88</v>
      </c>
      <c r="O2207" s="9">
        <f>(VLOOKUP(L2207,'[1]Simulation pricing per sub assy'!$D:$E,2,0))*M2207</f>
        <v>94.656400000000033</v>
      </c>
      <c r="P2207" s="36" t="s">
        <v>51</v>
      </c>
      <c r="Q2207" s="36">
        <v>8</v>
      </c>
      <c r="R2207" s="36" t="s">
        <v>17</v>
      </c>
      <c r="S2207" s="40">
        <f>(VLOOKUP(P2207,'[1]BOM Info General'!$A:$L,12,0))*Q2207</f>
        <v>21.2</v>
      </c>
      <c r="T2207" s="37" t="s">
        <v>26</v>
      </c>
      <c r="U2207" s="37">
        <v>1</v>
      </c>
      <c r="V2207" s="37" t="s">
        <v>27</v>
      </c>
      <c r="W2207" s="17">
        <f>(VLOOKUP(T2207,'[1]Simulation pricing per sub assy'!$D:$E,2,0))*U2207</f>
        <v>7.04</v>
      </c>
      <c r="X2207" s="32" t="s">
        <v>616</v>
      </c>
      <c r="Y2207" s="38">
        <v>1</v>
      </c>
      <c r="Z2207" s="38" t="s">
        <v>23</v>
      </c>
      <c r="AA2207" s="18">
        <f>(VLOOKUP(X2207,'[1]Simulation pricing per sub assy'!$D:$E,2,0))*Y2207</f>
        <v>4.4802908000000006</v>
      </c>
    </row>
    <row r="2208" spans="1:27" x14ac:dyDescent="0.35">
      <c r="A2208" s="27" t="s">
        <v>3648</v>
      </c>
      <c r="B2208" s="27" t="s">
        <v>3649</v>
      </c>
      <c r="C2208" s="42">
        <f t="shared" si="34"/>
        <v>284.18669080000006</v>
      </c>
      <c r="D2208" s="33" t="s">
        <v>3540</v>
      </c>
      <c r="E2208" s="33">
        <v>2</v>
      </c>
      <c r="F2208" s="33" t="s">
        <v>3541</v>
      </c>
      <c r="G2208" s="14">
        <f>(VLOOKUP(D2208,'[1]BOM Info General'!$A:$L,12,0))*E2208</f>
        <v>130.12</v>
      </c>
      <c r="H2208" s="34" t="s">
        <v>40</v>
      </c>
      <c r="I2208" s="34">
        <v>1</v>
      </c>
      <c r="J2208" s="34" t="s">
        <v>45</v>
      </c>
      <c r="K2208" s="15">
        <f>(VLOOKUP(H2208,'[1]BOM Info General'!$A:$L,12,0))*I2208</f>
        <v>25.59</v>
      </c>
      <c r="L2208" s="35" t="s">
        <v>85</v>
      </c>
      <c r="M2208" s="35">
        <v>1</v>
      </c>
      <c r="N2208" s="35" t="s">
        <v>82</v>
      </c>
      <c r="O2208" s="9">
        <f>(VLOOKUP(L2208,'[1]Simulation pricing per sub assy'!$D:$E,2,0))*M2208</f>
        <v>95.756400000000042</v>
      </c>
      <c r="P2208" s="36" t="s">
        <v>51</v>
      </c>
      <c r="Q2208" s="36">
        <v>8</v>
      </c>
      <c r="R2208" s="36" t="s">
        <v>17</v>
      </c>
      <c r="S2208" s="40">
        <f>(VLOOKUP(P2208,'[1]BOM Info General'!$A:$L,12,0))*Q2208</f>
        <v>21.2</v>
      </c>
      <c r="T2208" s="37" t="s">
        <v>26</v>
      </c>
      <c r="U2208" s="37">
        <v>1</v>
      </c>
      <c r="V2208" s="37" t="s">
        <v>27</v>
      </c>
      <c r="W2208" s="17">
        <f>(VLOOKUP(T2208,'[1]Simulation pricing per sub assy'!$D:$E,2,0))*U2208</f>
        <v>7.04</v>
      </c>
      <c r="X2208" s="32" t="s">
        <v>616</v>
      </c>
      <c r="Y2208" s="38">
        <v>1</v>
      </c>
      <c r="Z2208" s="38" t="s">
        <v>23</v>
      </c>
      <c r="AA2208" s="18">
        <f>(VLOOKUP(X2208,'[1]Simulation pricing per sub assy'!$D:$E,2,0))*Y2208</f>
        <v>4.4802908000000006</v>
      </c>
    </row>
    <row r="2209" spans="1:27" x14ac:dyDescent="0.35">
      <c r="A2209" s="27" t="s">
        <v>3650</v>
      </c>
      <c r="B2209" s="27" t="s">
        <v>3651</v>
      </c>
      <c r="C2209" s="42">
        <f t="shared" si="34"/>
        <v>284.18669080000006</v>
      </c>
      <c r="D2209" s="33" t="s">
        <v>3540</v>
      </c>
      <c r="E2209" s="33">
        <v>2</v>
      </c>
      <c r="F2209" s="33" t="s">
        <v>3541</v>
      </c>
      <c r="G2209" s="14">
        <f>(VLOOKUP(D2209,'[1]BOM Info General'!$A:$L,12,0))*E2209</f>
        <v>130.12</v>
      </c>
      <c r="H2209" s="34" t="s">
        <v>40</v>
      </c>
      <c r="I2209" s="34">
        <v>1</v>
      </c>
      <c r="J2209" s="34" t="s">
        <v>45</v>
      </c>
      <c r="K2209" s="15">
        <f>(VLOOKUP(H2209,'[1]BOM Info General'!$A:$L,12,0))*I2209</f>
        <v>25.59</v>
      </c>
      <c r="L2209" s="35" t="s">
        <v>81</v>
      </c>
      <c r="M2209" s="35">
        <v>1</v>
      </c>
      <c r="N2209" s="35" t="s">
        <v>80</v>
      </c>
      <c r="O2209" s="9">
        <f>(VLOOKUP(L2209,'[1]Simulation pricing per sub assy'!$D:$E,2,0))*M2209</f>
        <v>95.756400000000042</v>
      </c>
      <c r="P2209" s="36" t="s">
        <v>51</v>
      </c>
      <c r="Q2209" s="36">
        <v>8</v>
      </c>
      <c r="R2209" s="36" t="s">
        <v>17</v>
      </c>
      <c r="S2209" s="40">
        <f>(VLOOKUP(P2209,'[1]BOM Info General'!$A:$L,12,0))*Q2209</f>
        <v>21.2</v>
      </c>
      <c r="T2209" s="37" t="s">
        <v>26</v>
      </c>
      <c r="U2209" s="37">
        <v>1</v>
      </c>
      <c r="V2209" s="37" t="s">
        <v>27</v>
      </c>
      <c r="W2209" s="17">
        <f>(VLOOKUP(T2209,'[1]Simulation pricing per sub assy'!$D:$E,2,0))*U2209</f>
        <v>7.04</v>
      </c>
      <c r="X2209" s="32" t="s">
        <v>616</v>
      </c>
      <c r="Y2209" s="38">
        <v>1</v>
      </c>
      <c r="Z2209" s="38" t="s">
        <v>23</v>
      </c>
      <c r="AA2209" s="18">
        <f>(VLOOKUP(X2209,'[1]Simulation pricing per sub assy'!$D:$E,2,0))*Y2209</f>
        <v>4.4802908000000006</v>
      </c>
    </row>
    <row r="2210" spans="1:27" x14ac:dyDescent="0.35">
      <c r="A2210" s="27" t="s">
        <v>3652</v>
      </c>
      <c r="B2210" s="27" t="s">
        <v>3653</v>
      </c>
      <c r="C2210" s="42">
        <f t="shared" si="34"/>
        <v>283.63669080000005</v>
      </c>
      <c r="D2210" s="33" t="s">
        <v>3540</v>
      </c>
      <c r="E2210" s="33">
        <v>2</v>
      </c>
      <c r="F2210" s="33" t="s">
        <v>3541</v>
      </c>
      <c r="G2210" s="14">
        <f>(VLOOKUP(D2210,'[1]BOM Info General'!$A:$L,12,0))*E2210</f>
        <v>130.12</v>
      </c>
      <c r="H2210" s="34" t="s">
        <v>40</v>
      </c>
      <c r="I2210" s="34">
        <v>1</v>
      </c>
      <c r="J2210" s="34" t="s">
        <v>45</v>
      </c>
      <c r="K2210" s="15">
        <f>(VLOOKUP(H2210,'[1]BOM Info General'!$A:$L,12,0))*I2210</f>
        <v>25.59</v>
      </c>
      <c r="L2210" s="35" t="s">
        <v>87</v>
      </c>
      <c r="M2210" s="35">
        <v>1</v>
      </c>
      <c r="N2210" s="35" t="s">
        <v>84</v>
      </c>
      <c r="O2210" s="9">
        <f>(VLOOKUP(L2210,'[1]Simulation pricing per sub assy'!$D:$E,2,0))*M2210</f>
        <v>95.206400000000031</v>
      </c>
      <c r="P2210" s="36" t="s">
        <v>51</v>
      </c>
      <c r="Q2210" s="36">
        <v>8</v>
      </c>
      <c r="R2210" s="36" t="s">
        <v>17</v>
      </c>
      <c r="S2210" s="40">
        <f>(VLOOKUP(P2210,'[1]BOM Info General'!$A:$L,12,0))*Q2210</f>
        <v>21.2</v>
      </c>
      <c r="T2210" s="37" t="s">
        <v>26</v>
      </c>
      <c r="U2210" s="37">
        <v>1</v>
      </c>
      <c r="V2210" s="37" t="s">
        <v>27</v>
      </c>
      <c r="W2210" s="17">
        <f>(VLOOKUP(T2210,'[1]Simulation pricing per sub assy'!$D:$E,2,0))*U2210</f>
        <v>7.04</v>
      </c>
      <c r="X2210" s="32" t="s">
        <v>616</v>
      </c>
      <c r="Y2210" s="38">
        <v>1</v>
      </c>
      <c r="Z2210" s="38" t="s">
        <v>23</v>
      </c>
      <c r="AA2210" s="18">
        <f>(VLOOKUP(X2210,'[1]Simulation pricing per sub assy'!$D:$E,2,0))*Y2210</f>
        <v>4.4802908000000006</v>
      </c>
    </row>
    <row r="2211" spans="1:27" x14ac:dyDescent="0.35">
      <c r="A2211" s="27" t="s">
        <v>3654</v>
      </c>
      <c r="B2211" s="27" t="s">
        <v>3655</v>
      </c>
      <c r="C2211" s="42">
        <f t="shared" si="34"/>
        <v>291.59669080000003</v>
      </c>
      <c r="D2211" s="33" t="s">
        <v>3540</v>
      </c>
      <c r="E2211" s="33">
        <v>2</v>
      </c>
      <c r="F2211" s="33" t="s">
        <v>3541</v>
      </c>
      <c r="G2211" s="14">
        <f>(VLOOKUP(D2211,'[1]BOM Info General'!$A:$L,12,0))*E2211</f>
        <v>130.12</v>
      </c>
      <c r="H2211" s="34" t="s">
        <v>40</v>
      </c>
      <c r="I2211" s="34">
        <v>1</v>
      </c>
      <c r="J2211" s="34" t="s">
        <v>45</v>
      </c>
      <c r="K2211" s="15">
        <f>(VLOOKUP(H2211,'[1]BOM Info General'!$A:$L,12,0))*I2211</f>
        <v>25.59</v>
      </c>
      <c r="L2211" s="35" t="s">
        <v>83</v>
      </c>
      <c r="M2211" s="35">
        <v>1</v>
      </c>
      <c r="N2211" s="35" t="s">
        <v>86</v>
      </c>
      <c r="O2211" s="9">
        <f>(VLOOKUP(L2211,'[1]Simulation pricing per sub assy'!$D:$E,2,0))*M2211</f>
        <v>103.16640000000004</v>
      </c>
      <c r="P2211" s="36" t="s">
        <v>51</v>
      </c>
      <c r="Q2211" s="36">
        <v>8</v>
      </c>
      <c r="R2211" s="36" t="s">
        <v>17</v>
      </c>
      <c r="S2211" s="40">
        <f>(VLOOKUP(P2211,'[1]BOM Info General'!$A:$L,12,0))*Q2211</f>
        <v>21.2</v>
      </c>
      <c r="T2211" s="37" t="s">
        <v>26</v>
      </c>
      <c r="U2211" s="37">
        <v>1</v>
      </c>
      <c r="V2211" s="37" t="s">
        <v>27</v>
      </c>
      <c r="W2211" s="17">
        <f>(VLOOKUP(T2211,'[1]Simulation pricing per sub assy'!$D:$E,2,0))*U2211</f>
        <v>7.04</v>
      </c>
      <c r="X2211" s="32" t="s">
        <v>616</v>
      </c>
      <c r="Y2211" s="38">
        <v>1</v>
      </c>
      <c r="Z2211" s="38" t="s">
        <v>23</v>
      </c>
      <c r="AA2211" s="18">
        <f>(VLOOKUP(X2211,'[1]Simulation pricing per sub assy'!$D:$E,2,0))*Y2211</f>
        <v>4.4802908000000006</v>
      </c>
    </row>
    <row r="2212" spans="1:27" x14ac:dyDescent="0.35">
      <c r="A2212" s="27" t="s">
        <v>3656</v>
      </c>
      <c r="B2212" s="27" t="s">
        <v>3657</v>
      </c>
      <c r="C2212" s="42">
        <f t="shared" si="34"/>
        <v>283.04669080000002</v>
      </c>
      <c r="D2212" s="33" t="s">
        <v>3540</v>
      </c>
      <c r="E2212" s="33">
        <v>2</v>
      </c>
      <c r="F2212" s="33" t="s">
        <v>3541</v>
      </c>
      <c r="G2212" s="14">
        <f>(VLOOKUP(D2212,'[1]BOM Info General'!$A:$L,12,0))*E2212</f>
        <v>130.12</v>
      </c>
      <c r="H2212" s="34" t="s">
        <v>40</v>
      </c>
      <c r="I2212" s="34">
        <v>1</v>
      </c>
      <c r="J2212" s="34" t="s">
        <v>45</v>
      </c>
      <c r="K2212" s="15">
        <f>(VLOOKUP(H2212,'[1]BOM Info General'!$A:$L,12,0))*I2212</f>
        <v>25.59</v>
      </c>
      <c r="L2212" s="35" t="s">
        <v>528</v>
      </c>
      <c r="M2212" s="35">
        <v>1</v>
      </c>
      <c r="N2212" s="35" t="s">
        <v>88</v>
      </c>
      <c r="O2212" s="9">
        <f>(VLOOKUP(L2212,'[1]Simulation pricing per sub assy'!$D:$E,2,0))*M2212</f>
        <v>94.656400000000033</v>
      </c>
      <c r="P2212" s="36" t="s">
        <v>51</v>
      </c>
      <c r="Q2212" s="36">
        <v>8</v>
      </c>
      <c r="R2212" s="36" t="s">
        <v>17</v>
      </c>
      <c r="S2212" s="40">
        <f>(VLOOKUP(P2212,'[1]BOM Info General'!$A:$L,12,0))*Q2212</f>
        <v>21.2</v>
      </c>
      <c r="T2212" s="37" t="s">
        <v>28</v>
      </c>
      <c r="U2212" s="37">
        <v>1</v>
      </c>
      <c r="V2212" s="37" t="s">
        <v>29</v>
      </c>
      <c r="W2212" s="17">
        <f>(VLOOKUP(T2212,'[1]Simulation pricing per sub assy'!$D:$E,2,0))*U2212</f>
        <v>7</v>
      </c>
      <c r="X2212" s="32" t="s">
        <v>616</v>
      </c>
      <c r="Y2212" s="38">
        <v>1</v>
      </c>
      <c r="Z2212" s="38" t="s">
        <v>23</v>
      </c>
      <c r="AA2212" s="18">
        <f>(VLOOKUP(X2212,'[1]Simulation pricing per sub assy'!$D:$E,2,0))*Y2212</f>
        <v>4.4802908000000006</v>
      </c>
    </row>
    <row r="2213" spans="1:27" x14ac:dyDescent="0.35">
      <c r="A2213" s="27" t="s">
        <v>3658</v>
      </c>
      <c r="B2213" s="27" t="s">
        <v>3659</v>
      </c>
      <c r="C2213" s="42">
        <f t="shared" si="34"/>
        <v>284.14669080000004</v>
      </c>
      <c r="D2213" s="33" t="s">
        <v>3540</v>
      </c>
      <c r="E2213" s="33">
        <v>2</v>
      </c>
      <c r="F2213" s="33" t="s">
        <v>3541</v>
      </c>
      <c r="G2213" s="14">
        <f>(VLOOKUP(D2213,'[1]BOM Info General'!$A:$L,12,0))*E2213</f>
        <v>130.12</v>
      </c>
      <c r="H2213" s="34" t="s">
        <v>40</v>
      </c>
      <c r="I2213" s="34">
        <v>1</v>
      </c>
      <c r="J2213" s="34" t="s">
        <v>45</v>
      </c>
      <c r="K2213" s="15">
        <f>(VLOOKUP(H2213,'[1]BOM Info General'!$A:$L,12,0))*I2213</f>
        <v>25.59</v>
      </c>
      <c r="L2213" s="35" t="s">
        <v>85</v>
      </c>
      <c r="M2213" s="35">
        <v>1</v>
      </c>
      <c r="N2213" s="35" t="s">
        <v>82</v>
      </c>
      <c r="O2213" s="9">
        <f>(VLOOKUP(L2213,'[1]Simulation pricing per sub assy'!$D:$E,2,0))*M2213</f>
        <v>95.756400000000042</v>
      </c>
      <c r="P2213" s="36" t="s">
        <v>51</v>
      </c>
      <c r="Q2213" s="36">
        <v>8</v>
      </c>
      <c r="R2213" s="36" t="s">
        <v>17</v>
      </c>
      <c r="S2213" s="40">
        <f>(VLOOKUP(P2213,'[1]BOM Info General'!$A:$L,12,0))*Q2213</f>
        <v>21.2</v>
      </c>
      <c r="T2213" s="37" t="s">
        <v>28</v>
      </c>
      <c r="U2213" s="37">
        <v>1</v>
      </c>
      <c r="V2213" s="37" t="s">
        <v>29</v>
      </c>
      <c r="W2213" s="17">
        <f>(VLOOKUP(T2213,'[1]Simulation pricing per sub assy'!$D:$E,2,0))*U2213</f>
        <v>7</v>
      </c>
      <c r="X2213" s="32" t="s">
        <v>616</v>
      </c>
      <c r="Y2213" s="38">
        <v>1</v>
      </c>
      <c r="Z2213" s="38" t="s">
        <v>23</v>
      </c>
      <c r="AA2213" s="18">
        <f>(VLOOKUP(X2213,'[1]Simulation pricing per sub assy'!$D:$E,2,0))*Y2213</f>
        <v>4.4802908000000006</v>
      </c>
    </row>
    <row r="2214" spans="1:27" x14ac:dyDescent="0.35">
      <c r="A2214" s="27" t="s">
        <v>3660</v>
      </c>
      <c r="B2214" s="27" t="s">
        <v>3661</v>
      </c>
      <c r="C2214" s="42">
        <f t="shared" si="34"/>
        <v>284.14669080000004</v>
      </c>
      <c r="D2214" s="33" t="s">
        <v>3540</v>
      </c>
      <c r="E2214" s="33">
        <v>2</v>
      </c>
      <c r="F2214" s="33" t="s">
        <v>3541</v>
      </c>
      <c r="G2214" s="14">
        <f>(VLOOKUP(D2214,'[1]BOM Info General'!$A:$L,12,0))*E2214</f>
        <v>130.12</v>
      </c>
      <c r="H2214" s="34" t="s">
        <v>40</v>
      </c>
      <c r="I2214" s="34">
        <v>1</v>
      </c>
      <c r="J2214" s="34" t="s">
        <v>45</v>
      </c>
      <c r="K2214" s="15">
        <f>(VLOOKUP(H2214,'[1]BOM Info General'!$A:$L,12,0))*I2214</f>
        <v>25.59</v>
      </c>
      <c r="L2214" s="35" t="s">
        <v>81</v>
      </c>
      <c r="M2214" s="35">
        <v>1</v>
      </c>
      <c r="N2214" s="35" t="s">
        <v>80</v>
      </c>
      <c r="O2214" s="9">
        <f>(VLOOKUP(L2214,'[1]Simulation pricing per sub assy'!$D:$E,2,0))*M2214</f>
        <v>95.756400000000042</v>
      </c>
      <c r="P2214" s="36" t="s">
        <v>51</v>
      </c>
      <c r="Q2214" s="36">
        <v>8</v>
      </c>
      <c r="R2214" s="36" t="s">
        <v>17</v>
      </c>
      <c r="S2214" s="40">
        <f>(VLOOKUP(P2214,'[1]BOM Info General'!$A:$L,12,0))*Q2214</f>
        <v>21.2</v>
      </c>
      <c r="T2214" s="37" t="s">
        <v>28</v>
      </c>
      <c r="U2214" s="37">
        <v>1</v>
      </c>
      <c r="V2214" s="37" t="s">
        <v>29</v>
      </c>
      <c r="W2214" s="17">
        <f>(VLOOKUP(T2214,'[1]Simulation pricing per sub assy'!$D:$E,2,0))*U2214</f>
        <v>7</v>
      </c>
      <c r="X2214" s="32" t="s">
        <v>616</v>
      </c>
      <c r="Y2214" s="38">
        <v>1</v>
      </c>
      <c r="Z2214" s="38" t="s">
        <v>23</v>
      </c>
      <c r="AA2214" s="18">
        <f>(VLOOKUP(X2214,'[1]Simulation pricing per sub assy'!$D:$E,2,0))*Y2214</f>
        <v>4.4802908000000006</v>
      </c>
    </row>
    <row r="2215" spans="1:27" x14ac:dyDescent="0.35">
      <c r="A2215" s="27" t="s">
        <v>3662</v>
      </c>
      <c r="B2215" s="27" t="s">
        <v>3663</v>
      </c>
      <c r="C2215" s="42">
        <f t="shared" si="34"/>
        <v>283.59669080000003</v>
      </c>
      <c r="D2215" s="33" t="s">
        <v>3540</v>
      </c>
      <c r="E2215" s="33">
        <v>2</v>
      </c>
      <c r="F2215" s="33" t="s">
        <v>3541</v>
      </c>
      <c r="G2215" s="14">
        <f>(VLOOKUP(D2215,'[1]BOM Info General'!$A:$L,12,0))*E2215</f>
        <v>130.12</v>
      </c>
      <c r="H2215" s="34" t="s">
        <v>40</v>
      </c>
      <c r="I2215" s="34">
        <v>1</v>
      </c>
      <c r="J2215" s="34" t="s">
        <v>45</v>
      </c>
      <c r="K2215" s="15">
        <f>(VLOOKUP(H2215,'[1]BOM Info General'!$A:$L,12,0))*I2215</f>
        <v>25.59</v>
      </c>
      <c r="L2215" s="35" t="s">
        <v>87</v>
      </c>
      <c r="M2215" s="35">
        <v>1</v>
      </c>
      <c r="N2215" s="35" t="s">
        <v>84</v>
      </c>
      <c r="O2215" s="9">
        <f>(VLOOKUP(L2215,'[1]Simulation pricing per sub assy'!$D:$E,2,0))*M2215</f>
        <v>95.206400000000031</v>
      </c>
      <c r="P2215" s="36" t="s">
        <v>51</v>
      </c>
      <c r="Q2215" s="36">
        <v>8</v>
      </c>
      <c r="R2215" s="36" t="s">
        <v>17</v>
      </c>
      <c r="S2215" s="40">
        <f>(VLOOKUP(P2215,'[1]BOM Info General'!$A:$L,12,0))*Q2215</f>
        <v>21.2</v>
      </c>
      <c r="T2215" s="37" t="s">
        <v>28</v>
      </c>
      <c r="U2215" s="37">
        <v>1</v>
      </c>
      <c r="V2215" s="37" t="s">
        <v>29</v>
      </c>
      <c r="W2215" s="17">
        <f>(VLOOKUP(T2215,'[1]Simulation pricing per sub assy'!$D:$E,2,0))*U2215</f>
        <v>7</v>
      </c>
      <c r="X2215" s="32" t="s">
        <v>616</v>
      </c>
      <c r="Y2215" s="38">
        <v>1</v>
      </c>
      <c r="Z2215" s="38" t="s">
        <v>23</v>
      </c>
      <c r="AA2215" s="18">
        <f>(VLOOKUP(X2215,'[1]Simulation pricing per sub assy'!$D:$E,2,0))*Y2215</f>
        <v>4.4802908000000006</v>
      </c>
    </row>
    <row r="2216" spans="1:27" x14ac:dyDescent="0.35">
      <c r="A2216" s="27" t="s">
        <v>3664</v>
      </c>
      <c r="B2216" s="27" t="s">
        <v>3665</v>
      </c>
      <c r="C2216" s="42">
        <f t="shared" si="34"/>
        <v>291.55669080000001</v>
      </c>
      <c r="D2216" s="33" t="s">
        <v>3540</v>
      </c>
      <c r="E2216" s="33">
        <v>2</v>
      </c>
      <c r="F2216" s="33" t="s">
        <v>3541</v>
      </c>
      <c r="G2216" s="14">
        <f>(VLOOKUP(D2216,'[1]BOM Info General'!$A:$L,12,0))*E2216</f>
        <v>130.12</v>
      </c>
      <c r="H2216" s="34" t="s">
        <v>40</v>
      </c>
      <c r="I2216" s="34">
        <v>1</v>
      </c>
      <c r="J2216" s="34" t="s">
        <v>45</v>
      </c>
      <c r="K2216" s="15">
        <f>(VLOOKUP(H2216,'[1]BOM Info General'!$A:$L,12,0))*I2216</f>
        <v>25.59</v>
      </c>
      <c r="L2216" s="35" t="s">
        <v>83</v>
      </c>
      <c r="M2216" s="35">
        <v>1</v>
      </c>
      <c r="N2216" s="35" t="s">
        <v>86</v>
      </c>
      <c r="O2216" s="9">
        <f>(VLOOKUP(L2216,'[1]Simulation pricing per sub assy'!$D:$E,2,0))*M2216</f>
        <v>103.16640000000004</v>
      </c>
      <c r="P2216" s="36" t="s">
        <v>51</v>
      </c>
      <c r="Q2216" s="36">
        <v>8</v>
      </c>
      <c r="R2216" s="36" t="s">
        <v>17</v>
      </c>
      <c r="S2216" s="40">
        <f>(VLOOKUP(P2216,'[1]BOM Info General'!$A:$L,12,0))*Q2216</f>
        <v>21.2</v>
      </c>
      <c r="T2216" s="37" t="s">
        <v>28</v>
      </c>
      <c r="U2216" s="37">
        <v>1</v>
      </c>
      <c r="V2216" s="37" t="s">
        <v>29</v>
      </c>
      <c r="W2216" s="17">
        <f>(VLOOKUP(T2216,'[1]Simulation pricing per sub assy'!$D:$E,2,0))*U2216</f>
        <v>7</v>
      </c>
      <c r="X2216" s="32" t="s">
        <v>616</v>
      </c>
      <c r="Y2216" s="38">
        <v>1</v>
      </c>
      <c r="Z2216" s="38" t="s">
        <v>23</v>
      </c>
      <c r="AA2216" s="18">
        <f>(VLOOKUP(X2216,'[1]Simulation pricing per sub assy'!$D:$E,2,0))*Y2216</f>
        <v>4.4802908000000006</v>
      </c>
    </row>
    <row r="2217" spans="1:27" x14ac:dyDescent="0.35">
      <c r="A2217" s="27" t="s">
        <v>3666</v>
      </c>
      <c r="B2217" s="27" t="s">
        <v>3667</v>
      </c>
      <c r="C2217" s="42">
        <f t="shared" si="34"/>
        <v>282.48669080000002</v>
      </c>
      <c r="D2217" s="33" t="s">
        <v>3540</v>
      </c>
      <c r="E2217" s="33">
        <v>2</v>
      </c>
      <c r="F2217" s="33" t="s">
        <v>3541</v>
      </c>
      <c r="G2217" s="14">
        <f>(VLOOKUP(D2217,'[1]BOM Info General'!$A:$L,12,0))*E2217</f>
        <v>130.12</v>
      </c>
      <c r="H2217" s="34" t="s">
        <v>40</v>
      </c>
      <c r="I2217" s="34">
        <v>1</v>
      </c>
      <c r="J2217" s="34" t="s">
        <v>45</v>
      </c>
      <c r="K2217" s="15">
        <f>(VLOOKUP(H2217,'[1]BOM Info General'!$A:$L,12,0))*I2217</f>
        <v>25.59</v>
      </c>
      <c r="L2217" s="35" t="s">
        <v>528</v>
      </c>
      <c r="M2217" s="35">
        <v>1</v>
      </c>
      <c r="N2217" s="35" t="s">
        <v>88</v>
      </c>
      <c r="O2217" s="9">
        <f>(VLOOKUP(L2217,'[1]Simulation pricing per sub assy'!$D:$E,2,0))*M2217</f>
        <v>94.656400000000033</v>
      </c>
      <c r="P2217" s="36" t="s">
        <v>52</v>
      </c>
      <c r="Q2217" s="36">
        <v>8</v>
      </c>
      <c r="R2217" s="36" t="s">
        <v>18</v>
      </c>
      <c r="S2217" s="40">
        <f>(VLOOKUP(P2217,'[1]BOM Info General'!$A:$L,12,0))*Q2217</f>
        <v>21.2</v>
      </c>
      <c r="T2217" s="37" t="s">
        <v>24</v>
      </c>
      <c r="U2217" s="37">
        <v>1</v>
      </c>
      <c r="V2217" s="37" t="s">
        <v>25</v>
      </c>
      <c r="W2217" s="17">
        <f>(VLOOKUP(T2217,'[1]Simulation pricing per sub assy'!$D:$E,2,0))*U2217</f>
        <v>6.44</v>
      </c>
      <c r="X2217" s="32" t="s">
        <v>616</v>
      </c>
      <c r="Y2217" s="38">
        <v>1</v>
      </c>
      <c r="Z2217" s="38" t="s">
        <v>23</v>
      </c>
      <c r="AA2217" s="18">
        <f>(VLOOKUP(X2217,'[1]Simulation pricing per sub assy'!$D:$E,2,0))*Y2217</f>
        <v>4.4802908000000006</v>
      </c>
    </row>
    <row r="2218" spans="1:27" x14ac:dyDescent="0.35">
      <c r="A2218" s="27" t="s">
        <v>3668</v>
      </c>
      <c r="B2218" s="27" t="s">
        <v>3669</v>
      </c>
      <c r="C2218" s="42">
        <f t="shared" si="34"/>
        <v>283.58669080000004</v>
      </c>
      <c r="D2218" s="33" t="s">
        <v>3540</v>
      </c>
      <c r="E2218" s="33">
        <v>2</v>
      </c>
      <c r="F2218" s="33" t="s">
        <v>3541</v>
      </c>
      <c r="G2218" s="14">
        <f>(VLOOKUP(D2218,'[1]BOM Info General'!$A:$L,12,0))*E2218</f>
        <v>130.12</v>
      </c>
      <c r="H2218" s="34" t="s">
        <v>40</v>
      </c>
      <c r="I2218" s="34">
        <v>1</v>
      </c>
      <c r="J2218" s="34" t="s">
        <v>45</v>
      </c>
      <c r="K2218" s="15">
        <f>(VLOOKUP(H2218,'[1]BOM Info General'!$A:$L,12,0))*I2218</f>
        <v>25.59</v>
      </c>
      <c r="L2218" s="35" t="s">
        <v>85</v>
      </c>
      <c r="M2218" s="35">
        <v>1</v>
      </c>
      <c r="N2218" s="35" t="s">
        <v>82</v>
      </c>
      <c r="O2218" s="9">
        <f>(VLOOKUP(L2218,'[1]Simulation pricing per sub assy'!$D:$E,2,0))*M2218</f>
        <v>95.756400000000042</v>
      </c>
      <c r="P2218" s="36" t="s">
        <v>52</v>
      </c>
      <c r="Q2218" s="36">
        <v>8</v>
      </c>
      <c r="R2218" s="36" t="s">
        <v>18</v>
      </c>
      <c r="S2218" s="40">
        <f>(VLOOKUP(P2218,'[1]BOM Info General'!$A:$L,12,0))*Q2218</f>
        <v>21.2</v>
      </c>
      <c r="T2218" s="37" t="s">
        <v>24</v>
      </c>
      <c r="U2218" s="37">
        <v>1</v>
      </c>
      <c r="V2218" s="37" t="s">
        <v>25</v>
      </c>
      <c r="W2218" s="17">
        <f>(VLOOKUP(T2218,'[1]Simulation pricing per sub assy'!$D:$E,2,0))*U2218</f>
        <v>6.44</v>
      </c>
      <c r="X2218" s="32" t="s">
        <v>616</v>
      </c>
      <c r="Y2218" s="38">
        <v>1</v>
      </c>
      <c r="Z2218" s="38" t="s">
        <v>23</v>
      </c>
      <c r="AA2218" s="18">
        <f>(VLOOKUP(X2218,'[1]Simulation pricing per sub assy'!$D:$E,2,0))*Y2218</f>
        <v>4.4802908000000006</v>
      </c>
    </row>
    <row r="2219" spans="1:27" x14ac:dyDescent="0.35">
      <c r="A2219" s="27" t="s">
        <v>3670</v>
      </c>
      <c r="B2219" s="27" t="s">
        <v>3671</v>
      </c>
      <c r="C2219" s="42">
        <f t="shared" si="34"/>
        <v>283.58669080000004</v>
      </c>
      <c r="D2219" s="33" t="s">
        <v>3540</v>
      </c>
      <c r="E2219" s="33">
        <v>2</v>
      </c>
      <c r="F2219" s="33" t="s">
        <v>3541</v>
      </c>
      <c r="G2219" s="14">
        <f>(VLOOKUP(D2219,'[1]BOM Info General'!$A:$L,12,0))*E2219</f>
        <v>130.12</v>
      </c>
      <c r="H2219" s="34" t="s">
        <v>40</v>
      </c>
      <c r="I2219" s="34">
        <v>1</v>
      </c>
      <c r="J2219" s="34" t="s">
        <v>45</v>
      </c>
      <c r="K2219" s="15">
        <f>(VLOOKUP(H2219,'[1]BOM Info General'!$A:$L,12,0))*I2219</f>
        <v>25.59</v>
      </c>
      <c r="L2219" s="35" t="s">
        <v>81</v>
      </c>
      <c r="M2219" s="35">
        <v>1</v>
      </c>
      <c r="N2219" s="35" t="s">
        <v>80</v>
      </c>
      <c r="O2219" s="9">
        <f>(VLOOKUP(L2219,'[1]Simulation pricing per sub assy'!$D:$E,2,0))*M2219</f>
        <v>95.756400000000042</v>
      </c>
      <c r="P2219" s="36" t="s">
        <v>52</v>
      </c>
      <c r="Q2219" s="36">
        <v>8</v>
      </c>
      <c r="R2219" s="36" t="s">
        <v>18</v>
      </c>
      <c r="S2219" s="40">
        <f>(VLOOKUP(P2219,'[1]BOM Info General'!$A:$L,12,0))*Q2219</f>
        <v>21.2</v>
      </c>
      <c r="T2219" s="37" t="s">
        <v>24</v>
      </c>
      <c r="U2219" s="37">
        <v>1</v>
      </c>
      <c r="V2219" s="37" t="s">
        <v>25</v>
      </c>
      <c r="W2219" s="17">
        <f>(VLOOKUP(T2219,'[1]Simulation pricing per sub assy'!$D:$E,2,0))*U2219</f>
        <v>6.44</v>
      </c>
      <c r="X2219" s="32" t="s">
        <v>616</v>
      </c>
      <c r="Y2219" s="38">
        <v>1</v>
      </c>
      <c r="Z2219" s="38" t="s">
        <v>23</v>
      </c>
      <c r="AA2219" s="18">
        <f>(VLOOKUP(X2219,'[1]Simulation pricing per sub assy'!$D:$E,2,0))*Y2219</f>
        <v>4.4802908000000006</v>
      </c>
    </row>
    <row r="2220" spans="1:27" x14ac:dyDescent="0.35">
      <c r="A2220" s="27" t="s">
        <v>3672</v>
      </c>
      <c r="B2220" s="27" t="s">
        <v>3673</v>
      </c>
      <c r="C2220" s="42">
        <f t="shared" si="34"/>
        <v>283.03669080000003</v>
      </c>
      <c r="D2220" s="33" t="s">
        <v>3540</v>
      </c>
      <c r="E2220" s="33">
        <v>2</v>
      </c>
      <c r="F2220" s="33" t="s">
        <v>3541</v>
      </c>
      <c r="G2220" s="14">
        <f>(VLOOKUP(D2220,'[1]BOM Info General'!$A:$L,12,0))*E2220</f>
        <v>130.12</v>
      </c>
      <c r="H2220" s="34" t="s">
        <v>40</v>
      </c>
      <c r="I2220" s="34">
        <v>1</v>
      </c>
      <c r="J2220" s="34" t="s">
        <v>45</v>
      </c>
      <c r="K2220" s="15">
        <f>(VLOOKUP(H2220,'[1]BOM Info General'!$A:$L,12,0))*I2220</f>
        <v>25.59</v>
      </c>
      <c r="L2220" s="35" t="s">
        <v>87</v>
      </c>
      <c r="M2220" s="35">
        <v>1</v>
      </c>
      <c r="N2220" s="35" t="s">
        <v>84</v>
      </c>
      <c r="O2220" s="9">
        <f>(VLOOKUP(L2220,'[1]Simulation pricing per sub assy'!$D:$E,2,0))*M2220</f>
        <v>95.206400000000031</v>
      </c>
      <c r="P2220" s="36" t="s">
        <v>52</v>
      </c>
      <c r="Q2220" s="36">
        <v>8</v>
      </c>
      <c r="R2220" s="36" t="s">
        <v>18</v>
      </c>
      <c r="S2220" s="40">
        <f>(VLOOKUP(P2220,'[1]BOM Info General'!$A:$L,12,0))*Q2220</f>
        <v>21.2</v>
      </c>
      <c r="T2220" s="37" t="s">
        <v>24</v>
      </c>
      <c r="U2220" s="37">
        <v>1</v>
      </c>
      <c r="V2220" s="37" t="s">
        <v>25</v>
      </c>
      <c r="W2220" s="17">
        <f>(VLOOKUP(T2220,'[1]Simulation pricing per sub assy'!$D:$E,2,0))*U2220</f>
        <v>6.44</v>
      </c>
      <c r="X2220" s="32" t="s">
        <v>616</v>
      </c>
      <c r="Y2220" s="38">
        <v>1</v>
      </c>
      <c r="Z2220" s="38" t="s">
        <v>23</v>
      </c>
      <c r="AA2220" s="18">
        <f>(VLOOKUP(X2220,'[1]Simulation pricing per sub assy'!$D:$E,2,0))*Y2220</f>
        <v>4.4802908000000006</v>
      </c>
    </row>
    <row r="2221" spans="1:27" x14ac:dyDescent="0.35">
      <c r="A2221" s="27" t="s">
        <v>3674</v>
      </c>
      <c r="B2221" s="27" t="s">
        <v>3675</v>
      </c>
      <c r="C2221" s="42">
        <f t="shared" si="34"/>
        <v>290.99669080000001</v>
      </c>
      <c r="D2221" s="33" t="s">
        <v>3540</v>
      </c>
      <c r="E2221" s="33">
        <v>2</v>
      </c>
      <c r="F2221" s="33" t="s">
        <v>3541</v>
      </c>
      <c r="G2221" s="14">
        <f>(VLOOKUP(D2221,'[1]BOM Info General'!$A:$L,12,0))*E2221</f>
        <v>130.12</v>
      </c>
      <c r="H2221" s="34" t="s">
        <v>40</v>
      </c>
      <c r="I2221" s="34">
        <v>1</v>
      </c>
      <c r="J2221" s="34" t="s">
        <v>45</v>
      </c>
      <c r="K2221" s="15">
        <f>(VLOOKUP(H2221,'[1]BOM Info General'!$A:$L,12,0))*I2221</f>
        <v>25.59</v>
      </c>
      <c r="L2221" s="35" t="s">
        <v>83</v>
      </c>
      <c r="M2221" s="35">
        <v>1</v>
      </c>
      <c r="N2221" s="35" t="s">
        <v>86</v>
      </c>
      <c r="O2221" s="9">
        <f>(VLOOKUP(L2221,'[1]Simulation pricing per sub assy'!$D:$E,2,0))*M2221</f>
        <v>103.16640000000004</v>
      </c>
      <c r="P2221" s="36" t="s">
        <v>52</v>
      </c>
      <c r="Q2221" s="36">
        <v>8</v>
      </c>
      <c r="R2221" s="36" t="s">
        <v>18</v>
      </c>
      <c r="S2221" s="40">
        <f>(VLOOKUP(P2221,'[1]BOM Info General'!$A:$L,12,0))*Q2221</f>
        <v>21.2</v>
      </c>
      <c r="T2221" s="37" t="s">
        <v>24</v>
      </c>
      <c r="U2221" s="37">
        <v>1</v>
      </c>
      <c r="V2221" s="37" t="s">
        <v>25</v>
      </c>
      <c r="W2221" s="17">
        <f>(VLOOKUP(T2221,'[1]Simulation pricing per sub assy'!$D:$E,2,0))*U2221</f>
        <v>6.44</v>
      </c>
      <c r="X2221" s="32" t="s">
        <v>616</v>
      </c>
      <c r="Y2221" s="38">
        <v>1</v>
      </c>
      <c r="Z2221" s="38" t="s">
        <v>23</v>
      </c>
      <c r="AA2221" s="18">
        <f>(VLOOKUP(X2221,'[1]Simulation pricing per sub assy'!$D:$E,2,0))*Y2221</f>
        <v>4.4802908000000006</v>
      </c>
    </row>
    <row r="2222" spans="1:27" x14ac:dyDescent="0.35">
      <c r="A2222" s="27" t="s">
        <v>3676</v>
      </c>
      <c r="B2222" s="27" t="s">
        <v>3677</v>
      </c>
      <c r="C2222" s="42">
        <f t="shared" si="34"/>
        <v>283.08669080000004</v>
      </c>
      <c r="D2222" s="33" t="s">
        <v>3540</v>
      </c>
      <c r="E2222" s="33">
        <v>2</v>
      </c>
      <c r="F2222" s="33" t="s">
        <v>3541</v>
      </c>
      <c r="G2222" s="14">
        <f>(VLOOKUP(D2222,'[1]BOM Info General'!$A:$L,12,0))*E2222</f>
        <v>130.12</v>
      </c>
      <c r="H2222" s="34" t="s">
        <v>40</v>
      </c>
      <c r="I2222" s="34">
        <v>1</v>
      </c>
      <c r="J2222" s="34" t="s">
        <v>45</v>
      </c>
      <c r="K2222" s="15">
        <f>(VLOOKUP(H2222,'[1]BOM Info General'!$A:$L,12,0))*I2222</f>
        <v>25.59</v>
      </c>
      <c r="L2222" s="35" t="s">
        <v>528</v>
      </c>
      <c r="M2222" s="35">
        <v>1</v>
      </c>
      <c r="N2222" s="35" t="s">
        <v>88</v>
      </c>
      <c r="O2222" s="9">
        <f>(VLOOKUP(L2222,'[1]Simulation pricing per sub assy'!$D:$E,2,0))*M2222</f>
        <v>94.656400000000033</v>
      </c>
      <c r="P2222" s="36" t="s">
        <v>52</v>
      </c>
      <c r="Q2222" s="36">
        <v>8</v>
      </c>
      <c r="R2222" s="36" t="s">
        <v>18</v>
      </c>
      <c r="S2222" s="40">
        <f>(VLOOKUP(P2222,'[1]BOM Info General'!$A:$L,12,0))*Q2222</f>
        <v>21.2</v>
      </c>
      <c r="T2222" s="37" t="s">
        <v>26</v>
      </c>
      <c r="U2222" s="37">
        <v>1</v>
      </c>
      <c r="V2222" s="37" t="s">
        <v>27</v>
      </c>
      <c r="W2222" s="17">
        <f>(VLOOKUP(T2222,'[1]Simulation pricing per sub assy'!$D:$E,2,0))*U2222</f>
        <v>7.04</v>
      </c>
      <c r="X2222" s="32" t="s">
        <v>616</v>
      </c>
      <c r="Y2222" s="38">
        <v>1</v>
      </c>
      <c r="Z2222" s="38" t="s">
        <v>23</v>
      </c>
      <c r="AA2222" s="18">
        <f>(VLOOKUP(X2222,'[1]Simulation pricing per sub assy'!$D:$E,2,0))*Y2222</f>
        <v>4.4802908000000006</v>
      </c>
    </row>
    <row r="2223" spans="1:27" x14ac:dyDescent="0.35">
      <c r="A2223" s="27" t="s">
        <v>3678</v>
      </c>
      <c r="B2223" s="27" t="s">
        <v>3679</v>
      </c>
      <c r="C2223" s="42">
        <f t="shared" si="34"/>
        <v>284.18669080000006</v>
      </c>
      <c r="D2223" s="33" t="s">
        <v>3540</v>
      </c>
      <c r="E2223" s="33">
        <v>2</v>
      </c>
      <c r="F2223" s="33" t="s">
        <v>3541</v>
      </c>
      <c r="G2223" s="14">
        <f>(VLOOKUP(D2223,'[1]BOM Info General'!$A:$L,12,0))*E2223</f>
        <v>130.12</v>
      </c>
      <c r="H2223" s="34" t="s">
        <v>40</v>
      </c>
      <c r="I2223" s="34">
        <v>1</v>
      </c>
      <c r="J2223" s="34" t="s">
        <v>45</v>
      </c>
      <c r="K2223" s="15">
        <f>(VLOOKUP(H2223,'[1]BOM Info General'!$A:$L,12,0))*I2223</f>
        <v>25.59</v>
      </c>
      <c r="L2223" s="35" t="s">
        <v>85</v>
      </c>
      <c r="M2223" s="35">
        <v>1</v>
      </c>
      <c r="N2223" s="35" t="s">
        <v>82</v>
      </c>
      <c r="O2223" s="9">
        <f>(VLOOKUP(L2223,'[1]Simulation pricing per sub assy'!$D:$E,2,0))*M2223</f>
        <v>95.756400000000042</v>
      </c>
      <c r="P2223" s="36" t="s">
        <v>52</v>
      </c>
      <c r="Q2223" s="36">
        <v>8</v>
      </c>
      <c r="R2223" s="36" t="s">
        <v>18</v>
      </c>
      <c r="S2223" s="40">
        <f>(VLOOKUP(P2223,'[1]BOM Info General'!$A:$L,12,0))*Q2223</f>
        <v>21.2</v>
      </c>
      <c r="T2223" s="37" t="s">
        <v>26</v>
      </c>
      <c r="U2223" s="37">
        <v>1</v>
      </c>
      <c r="V2223" s="37" t="s">
        <v>27</v>
      </c>
      <c r="W2223" s="17">
        <f>(VLOOKUP(T2223,'[1]Simulation pricing per sub assy'!$D:$E,2,0))*U2223</f>
        <v>7.04</v>
      </c>
      <c r="X2223" s="32" t="s">
        <v>616</v>
      </c>
      <c r="Y2223" s="38">
        <v>1</v>
      </c>
      <c r="Z2223" s="38" t="s">
        <v>23</v>
      </c>
      <c r="AA2223" s="18">
        <f>(VLOOKUP(X2223,'[1]Simulation pricing per sub assy'!$D:$E,2,0))*Y2223</f>
        <v>4.4802908000000006</v>
      </c>
    </row>
    <row r="2224" spans="1:27" x14ac:dyDescent="0.35">
      <c r="A2224" s="27" t="s">
        <v>3680</v>
      </c>
      <c r="B2224" s="27" t="s">
        <v>3681</v>
      </c>
      <c r="C2224" s="42">
        <f t="shared" si="34"/>
        <v>284.18669080000006</v>
      </c>
      <c r="D2224" s="33" t="s">
        <v>3540</v>
      </c>
      <c r="E2224" s="33">
        <v>2</v>
      </c>
      <c r="F2224" s="33" t="s">
        <v>3541</v>
      </c>
      <c r="G2224" s="14">
        <f>(VLOOKUP(D2224,'[1]BOM Info General'!$A:$L,12,0))*E2224</f>
        <v>130.12</v>
      </c>
      <c r="H2224" s="34" t="s">
        <v>40</v>
      </c>
      <c r="I2224" s="34">
        <v>1</v>
      </c>
      <c r="J2224" s="34" t="s">
        <v>45</v>
      </c>
      <c r="K2224" s="15">
        <f>(VLOOKUP(H2224,'[1]BOM Info General'!$A:$L,12,0))*I2224</f>
        <v>25.59</v>
      </c>
      <c r="L2224" s="35" t="s">
        <v>81</v>
      </c>
      <c r="M2224" s="35">
        <v>1</v>
      </c>
      <c r="N2224" s="35" t="s">
        <v>80</v>
      </c>
      <c r="O2224" s="9">
        <f>(VLOOKUP(L2224,'[1]Simulation pricing per sub assy'!$D:$E,2,0))*M2224</f>
        <v>95.756400000000042</v>
      </c>
      <c r="P2224" s="36" t="s">
        <v>52</v>
      </c>
      <c r="Q2224" s="36">
        <v>8</v>
      </c>
      <c r="R2224" s="36" t="s">
        <v>18</v>
      </c>
      <c r="S2224" s="40">
        <f>(VLOOKUP(P2224,'[1]BOM Info General'!$A:$L,12,0))*Q2224</f>
        <v>21.2</v>
      </c>
      <c r="T2224" s="37" t="s">
        <v>26</v>
      </c>
      <c r="U2224" s="37">
        <v>1</v>
      </c>
      <c r="V2224" s="37" t="s">
        <v>27</v>
      </c>
      <c r="W2224" s="17">
        <f>(VLOOKUP(T2224,'[1]Simulation pricing per sub assy'!$D:$E,2,0))*U2224</f>
        <v>7.04</v>
      </c>
      <c r="X2224" s="32" t="s">
        <v>616</v>
      </c>
      <c r="Y2224" s="38">
        <v>1</v>
      </c>
      <c r="Z2224" s="38" t="s">
        <v>23</v>
      </c>
      <c r="AA2224" s="18">
        <f>(VLOOKUP(X2224,'[1]Simulation pricing per sub assy'!$D:$E,2,0))*Y2224</f>
        <v>4.4802908000000006</v>
      </c>
    </row>
    <row r="2225" spans="1:27" x14ac:dyDescent="0.35">
      <c r="A2225" s="27" t="s">
        <v>3682</v>
      </c>
      <c r="B2225" s="27" t="s">
        <v>3683</v>
      </c>
      <c r="C2225" s="42">
        <f t="shared" si="34"/>
        <v>283.63669080000005</v>
      </c>
      <c r="D2225" s="33" t="s">
        <v>3540</v>
      </c>
      <c r="E2225" s="33">
        <v>2</v>
      </c>
      <c r="F2225" s="33" t="s">
        <v>3541</v>
      </c>
      <c r="G2225" s="14">
        <f>(VLOOKUP(D2225,'[1]BOM Info General'!$A:$L,12,0))*E2225</f>
        <v>130.12</v>
      </c>
      <c r="H2225" s="34" t="s">
        <v>40</v>
      </c>
      <c r="I2225" s="34">
        <v>1</v>
      </c>
      <c r="J2225" s="34" t="s">
        <v>45</v>
      </c>
      <c r="K2225" s="15">
        <f>(VLOOKUP(H2225,'[1]BOM Info General'!$A:$L,12,0))*I2225</f>
        <v>25.59</v>
      </c>
      <c r="L2225" s="35" t="s">
        <v>87</v>
      </c>
      <c r="M2225" s="35">
        <v>1</v>
      </c>
      <c r="N2225" s="35" t="s">
        <v>84</v>
      </c>
      <c r="O2225" s="9">
        <f>(VLOOKUP(L2225,'[1]Simulation pricing per sub assy'!$D:$E,2,0))*M2225</f>
        <v>95.206400000000031</v>
      </c>
      <c r="P2225" s="36" t="s">
        <v>52</v>
      </c>
      <c r="Q2225" s="36">
        <v>8</v>
      </c>
      <c r="R2225" s="36" t="s">
        <v>18</v>
      </c>
      <c r="S2225" s="40">
        <f>(VLOOKUP(P2225,'[1]BOM Info General'!$A:$L,12,0))*Q2225</f>
        <v>21.2</v>
      </c>
      <c r="T2225" s="37" t="s">
        <v>26</v>
      </c>
      <c r="U2225" s="37">
        <v>1</v>
      </c>
      <c r="V2225" s="37" t="s">
        <v>27</v>
      </c>
      <c r="W2225" s="17">
        <f>(VLOOKUP(T2225,'[1]Simulation pricing per sub assy'!$D:$E,2,0))*U2225</f>
        <v>7.04</v>
      </c>
      <c r="X2225" s="32" t="s">
        <v>616</v>
      </c>
      <c r="Y2225" s="38">
        <v>1</v>
      </c>
      <c r="Z2225" s="38" t="s">
        <v>23</v>
      </c>
      <c r="AA2225" s="18">
        <f>(VLOOKUP(X2225,'[1]Simulation pricing per sub assy'!$D:$E,2,0))*Y2225</f>
        <v>4.4802908000000006</v>
      </c>
    </row>
    <row r="2226" spans="1:27" x14ac:dyDescent="0.35">
      <c r="A2226" s="27" t="s">
        <v>3684</v>
      </c>
      <c r="B2226" s="27" t="s">
        <v>3685</v>
      </c>
      <c r="C2226" s="42">
        <f t="shared" si="34"/>
        <v>291.59669080000003</v>
      </c>
      <c r="D2226" s="33" t="s">
        <v>3540</v>
      </c>
      <c r="E2226" s="33">
        <v>2</v>
      </c>
      <c r="F2226" s="33" t="s">
        <v>3541</v>
      </c>
      <c r="G2226" s="14">
        <f>(VLOOKUP(D2226,'[1]BOM Info General'!$A:$L,12,0))*E2226</f>
        <v>130.12</v>
      </c>
      <c r="H2226" s="34" t="s">
        <v>40</v>
      </c>
      <c r="I2226" s="34">
        <v>1</v>
      </c>
      <c r="J2226" s="34" t="s">
        <v>45</v>
      </c>
      <c r="K2226" s="15">
        <f>(VLOOKUP(H2226,'[1]BOM Info General'!$A:$L,12,0))*I2226</f>
        <v>25.59</v>
      </c>
      <c r="L2226" s="35" t="s">
        <v>83</v>
      </c>
      <c r="M2226" s="35">
        <v>1</v>
      </c>
      <c r="N2226" s="35" t="s">
        <v>86</v>
      </c>
      <c r="O2226" s="9">
        <f>(VLOOKUP(L2226,'[1]Simulation pricing per sub assy'!$D:$E,2,0))*M2226</f>
        <v>103.16640000000004</v>
      </c>
      <c r="P2226" s="36" t="s">
        <v>52</v>
      </c>
      <c r="Q2226" s="36">
        <v>8</v>
      </c>
      <c r="R2226" s="36" t="s">
        <v>18</v>
      </c>
      <c r="S2226" s="40">
        <f>(VLOOKUP(P2226,'[1]BOM Info General'!$A:$L,12,0))*Q2226</f>
        <v>21.2</v>
      </c>
      <c r="T2226" s="37" t="s">
        <v>26</v>
      </c>
      <c r="U2226" s="37">
        <v>1</v>
      </c>
      <c r="V2226" s="37" t="s">
        <v>27</v>
      </c>
      <c r="W2226" s="17">
        <f>(VLOOKUP(T2226,'[1]Simulation pricing per sub assy'!$D:$E,2,0))*U2226</f>
        <v>7.04</v>
      </c>
      <c r="X2226" s="32" t="s">
        <v>616</v>
      </c>
      <c r="Y2226" s="38">
        <v>1</v>
      </c>
      <c r="Z2226" s="38" t="s">
        <v>23</v>
      </c>
      <c r="AA2226" s="18">
        <f>(VLOOKUP(X2226,'[1]Simulation pricing per sub assy'!$D:$E,2,0))*Y2226</f>
        <v>4.4802908000000006</v>
      </c>
    </row>
    <row r="2227" spans="1:27" x14ac:dyDescent="0.35">
      <c r="A2227" s="27" t="s">
        <v>3686</v>
      </c>
      <c r="B2227" s="27" t="s">
        <v>3687</v>
      </c>
      <c r="C2227" s="42">
        <f t="shared" si="34"/>
        <v>283.04669080000002</v>
      </c>
      <c r="D2227" s="33" t="s">
        <v>3540</v>
      </c>
      <c r="E2227" s="33">
        <v>2</v>
      </c>
      <c r="F2227" s="33" t="s">
        <v>3541</v>
      </c>
      <c r="G2227" s="14">
        <f>(VLOOKUP(D2227,'[1]BOM Info General'!$A:$L,12,0))*E2227</f>
        <v>130.12</v>
      </c>
      <c r="H2227" s="34" t="s">
        <v>40</v>
      </c>
      <c r="I2227" s="34">
        <v>1</v>
      </c>
      <c r="J2227" s="34" t="s">
        <v>45</v>
      </c>
      <c r="K2227" s="15">
        <f>(VLOOKUP(H2227,'[1]BOM Info General'!$A:$L,12,0))*I2227</f>
        <v>25.59</v>
      </c>
      <c r="L2227" s="35" t="s">
        <v>528</v>
      </c>
      <c r="M2227" s="35">
        <v>1</v>
      </c>
      <c r="N2227" s="35" t="s">
        <v>88</v>
      </c>
      <c r="O2227" s="9">
        <f>(VLOOKUP(L2227,'[1]Simulation pricing per sub assy'!$D:$E,2,0))*M2227</f>
        <v>94.656400000000033</v>
      </c>
      <c r="P2227" s="36" t="s">
        <v>52</v>
      </c>
      <c r="Q2227" s="36">
        <v>8</v>
      </c>
      <c r="R2227" s="36" t="s">
        <v>18</v>
      </c>
      <c r="S2227" s="40">
        <f>(VLOOKUP(P2227,'[1]BOM Info General'!$A:$L,12,0))*Q2227</f>
        <v>21.2</v>
      </c>
      <c r="T2227" s="37" t="s">
        <v>28</v>
      </c>
      <c r="U2227" s="37">
        <v>1</v>
      </c>
      <c r="V2227" s="37" t="s">
        <v>29</v>
      </c>
      <c r="W2227" s="17">
        <f>(VLOOKUP(T2227,'[1]Simulation pricing per sub assy'!$D:$E,2,0))*U2227</f>
        <v>7</v>
      </c>
      <c r="X2227" s="32" t="s">
        <v>616</v>
      </c>
      <c r="Y2227" s="38">
        <v>1</v>
      </c>
      <c r="Z2227" s="38" t="s">
        <v>23</v>
      </c>
      <c r="AA2227" s="18">
        <f>(VLOOKUP(X2227,'[1]Simulation pricing per sub assy'!$D:$E,2,0))*Y2227</f>
        <v>4.4802908000000006</v>
      </c>
    </row>
    <row r="2228" spans="1:27" x14ac:dyDescent="0.35">
      <c r="A2228" s="27" t="s">
        <v>3688</v>
      </c>
      <c r="B2228" s="27" t="s">
        <v>3689</v>
      </c>
      <c r="C2228" s="42">
        <f t="shared" si="34"/>
        <v>284.14669080000004</v>
      </c>
      <c r="D2228" s="33" t="s">
        <v>3540</v>
      </c>
      <c r="E2228" s="33">
        <v>2</v>
      </c>
      <c r="F2228" s="33" t="s">
        <v>3541</v>
      </c>
      <c r="G2228" s="14">
        <f>(VLOOKUP(D2228,'[1]BOM Info General'!$A:$L,12,0))*E2228</f>
        <v>130.12</v>
      </c>
      <c r="H2228" s="34" t="s">
        <v>40</v>
      </c>
      <c r="I2228" s="34">
        <v>1</v>
      </c>
      <c r="J2228" s="34" t="s">
        <v>45</v>
      </c>
      <c r="K2228" s="15">
        <f>(VLOOKUP(H2228,'[1]BOM Info General'!$A:$L,12,0))*I2228</f>
        <v>25.59</v>
      </c>
      <c r="L2228" s="35" t="s">
        <v>85</v>
      </c>
      <c r="M2228" s="35">
        <v>1</v>
      </c>
      <c r="N2228" s="35" t="s">
        <v>82</v>
      </c>
      <c r="O2228" s="9">
        <f>(VLOOKUP(L2228,'[1]Simulation pricing per sub assy'!$D:$E,2,0))*M2228</f>
        <v>95.756400000000042</v>
      </c>
      <c r="P2228" s="36" t="s">
        <v>52</v>
      </c>
      <c r="Q2228" s="36">
        <v>8</v>
      </c>
      <c r="R2228" s="36" t="s">
        <v>18</v>
      </c>
      <c r="S2228" s="40">
        <f>(VLOOKUP(P2228,'[1]BOM Info General'!$A:$L,12,0))*Q2228</f>
        <v>21.2</v>
      </c>
      <c r="T2228" s="37" t="s">
        <v>28</v>
      </c>
      <c r="U2228" s="37">
        <v>1</v>
      </c>
      <c r="V2228" s="37" t="s">
        <v>29</v>
      </c>
      <c r="W2228" s="17">
        <f>(VLOOKUP(T2228,'[1]Simulation pricing per sub assy'!$D:$E,2,0))*U2228</f>
        <v>7</v>
      </c>
      <c r="X2228" s="32" t="s">
        <v>616</v>
      </c>
      <c r="Y2228" s="38">
        <v>1</v>
      </c>
      <c r="Z2228" s="38" t="s">
        <v>23</v>
      </c>
      <c r="AA2228" s="18">
        <f>(VLOOKUP(X2228,'[1]Simulation pricing per sub assy'!$D:$E,2,0))*Y2228</f>
        <v>4.4802908000000006</v>
      </c>
    </row>
    <row r="2229" spans="1:27" x14ac:dyDescent="0.35">
      <c r="A2229" s="27" t="s">
        <v>3690</v>
      </c>
      <c r="B2229" s="27" t="s">
        <v>3691</v>
      </c>
      <c r="C2229" s="42">
        <f t="shared" si="34"/>
        <v>284.14669080000004</v>
      </c>
      <c r="D2229" s="33" t="s">
        <v>3540</v>
      </c>
      <c r="E2229" s="33">
        <v>2</v>
      </c>
      <c r="F2229" s="33" t="s">
        <v>3541</v>
      </c>
      <c r="G2229" s="14">
        <f>(VLOOKUP(D2229,'[1]BOM Info General'!$A:$L,12,0))*E2229</f>
        <v>130.12</v>
      </c>
      <c r="H2229" s="34" t="s">
        <v>40</v>
      </c>
      <c r="I2229" s="34">
        <v>1</v>
      </c>
      <c r="J2229" s="34" t="s">
        <v>45</v>
      </c>
      <c r="K2229" s="15">
        <f>(VLOOKUP(H2229,'[1]BOM Info General'!$A:$L,12,0))*I2229</f>
        <v>25.59</v>
      </c>
      <c r="L2229" s="35" t="s">
        <v>81</v>
      </c>
      <c r="M2229" s="35">
        <v>1</v>
      </c>
      <c r="N2229" s="35" t="s">
        <v>80</v>
      </c>
      <c r="O2229" s="9">
        <f>(VLOOKUP(L2229,'[1]Simulation pricing per sub assy'!$D:$E,2,0))*M2229</f>
        <v>95.756400000000042</v>
      </c>
      <c r="P2229" s="36" t="s">
        <v>52</v>
      </c>
      <c r="Q2229" s="36">
        <v>8</v>
      </c>
      <c r="R2229" s="36" t="s">
        <v>18</v>
      </c>
      <c r="S2229" s="40">
        <f>(VLOOKUP(P2229,'[1]BOM Info General'!$A:$L,12,0))*Q2229</f>
        <v>21.2</v>
      </c>
      <c r="T2229" s="37" t="s">
        <v>28</v>
      </c>
      <c r="U2229" s="37">
        <v>1</v>
      </c>
      <c r="V2229" s="37" t="s">
        <v>29</v>
      </c>
      <c r="W2229" s="17">
        <f>(VLOOKUP(T2229,'[1]Simulation pricing per sub assy'!$D:$E,2,0))*U2229</f>
        <v>7</v>
      </c>
      <c r="X2229" s="32" t="s">
        <v>616</v>
      </c>
      <c r="Y2229" s="38">
        <v>1</v>
      </c>
      <c r="Z2229" s="38" t="s">
        <v>23</v>
      </c>
      <c r="AA2229" s="18">
        <f>(VLOOKUP(X2229,'[1]Simulation pricing per sub assy'!$D:$E,2,0))*Y2229</f>
        <v>4.4802908000000006</v>
      </c>
    </row>
    <row r="2230" spans="1:27" x14ac:dyDescent="0.35">
      <c r="A2230" s="27" t="s">
        <v>3692</v>
      </c>
      <c r="B2230" s="27" t="s">
        <v>3693</v>
      </c>
      <c r="C2230" s="42">
        <f t="shared" si="34"/>
        <v>283.59669080000003</v>
      </c>
      <c r="D2230" s="33" t="s">
        <v>3540</v>
      </c>
      <c r="E2230" s="33">
        <v>2</v>
      </c>
      <c r="F2230" s="33" t="s">
        <v>3541</v>
      </c>
      <c r="G2230" s="14">
        <f>(VLOOKUP(D2230,'[1]BOM Info General'!$A:$L,12,0))*E2230</f>
        <v>130.12</v>
      </c>
      <c r="H2230" s="34" t="s">
        <v>40</v>
      </c>
      <c r="I2230" s="34">
        <v>1</v>
      </c>
      <c r="J2230" s="34" t="s">
        <v>45</v>
      </c>
      <c r="K2230" s="15">
        <f>(VLOOKUP(H2230,'[1]BOM Info General'!$A:$L,12,0))*I2230</f>
        <v>25.59</v>
      </c>
      <c r="L2230" s="35" t="s">
        <v>87</v>
      </c>
      <c r="M2230" s="35">
        <v>1</v>
      </c>
      <c r="N2230" s="35" t="s">
        <v>84</v>
      </c>
      <c r="O2230" s="9">
        <f>(VLOOKUP(L2230,'[1]Simulation pricing per sub assy'!$D:$E,2,0))*M2230</f>
        <v>95.206400000000031</v>
      </c>
      <c r="P2230" s="36" t="s">
        <v>52</v>
      </c>
      <c r="Q2230" s="36">
        <v>8</v>
      </c>
      <c r="R2230" s="36" t="s">
        <v>18</v>
      </c>
      <c r="S2230" s="40">
        <f>(VLOOKUP(P2230,'[1]BOM Info General'!$A:$L,12,0))*Q2230</f>
        <v>21.2</v>
      </c>
      <c r="T2230" s="37" t="s">
        <v>28</v>
      </c>
      <c r="U2230" s="37">
        <v>1</v>
      </c>
      <c r="V2230" s="37" t="s">
        <v>29</v>
      </c>
      <c r="W2230" s="17">
        <f>(VLOOKUP(T2230,'[1]Simulation pricing per sub assy'!$D:$E,2,0))*U2230</f>
        <v>7</v>
      </c>
      <c r="X2230" s="32" t="s">
        <v>616</v>
      </c>
      <c r="Y2230" s="38">
        <v>1</v>
      </c>
      <c r="Z2230" s="38" t="s">
        <v>23</v>
      </c>
      <c r="AA2230" s="18">
        <f>(VLOOKUP(X2230,'[1]Simulation pricing per sub assy'!$D:$E,2,0))*Y2230</f>
        <v>4.4802908000000006</v>
      </c>
    </row>
    <row r="2231" spans="1:27" x14ac:dyDescent="0.35">
      <c r="A2231" s="27" t="s">
        <v>3694</v>
      </c>
      <c r="B2231" s="27" t="s">
        <v>3695</v>
      </c>
      <c r="C2231" s="42">
        <f t="shared" si="34"/>
        <v>291.55669080000001</v>
      </c>
      <c r="D2231" s="33" t="s">
        <v>3540</v>
      </c>
      <c r="E2231" s="33">
        <v>2</v>
      </c>
      <c r="F2231" s="33" t="s">
        <v>3541</v>
      </c>
      <c r="G2231" s="14">
        <f>(VLOOKUP(D2231,'[1]BOM Info General'!$A:$L,12,0))*E2231</f>
        <v>130.12</v>
      </c>
      <c r="H2231" s="34" t="s">
        <v>40</v>
      </c>
      <c r="I2231" s="34">
        <v>1</v>
      </c>
      <c r="J2231" s="34" t="s">
        <v>45</v>
      </c>
      <c r="K2231" s="15">
        <f>(VLOOKUP(H2231,'[1]BOM Info General'!$A:$L,12,0))*I2231</f>
        <v>25.59</v>
      </c>
      <c r="L2231" s="35" t="s">
        <v>83</v>
      </c>
      <c r="M2231" s="35">
        <v>1</v>
      </c>
      <c r="N2231" s="35" t="s">
        <v>86</v>
      </c>
      <c r="O2231" s="9">
        <f>(VLOOKUP(L2231,'[1]Simulation pricing per sub assy'!$D:$E,2,0))*M2231</f>
        <v>103.16640000000004</v>
      </c>
      <c r="P2231" s="36" t="s">
        <v>52</v>
      </c>
      <c r="Q2231" s="36">
        <v>8</v>
      </c>
      <c r="R2231" s="36" t="s">
        <v>18</v>
      </c>
      <c r="S2231" s="40">
        <f>(VLOOKUP(P2231,'[1]BOM Info General'!$A:$L,12,0))*Q2231</f>
        <v>21.2</v>
      </c>
      <c r="T2231" s="37" t="s">
        <v>28</v>
      </c>
      <c r="U2231" s="37">
        <v>1</v>
      </c>
      <c r="V2231" s="37" t="s">
        <v>29</v>
      </c>
      <c r="W2231" s="17">
        <f>(VLOOKUP(T2231,'[1]Simulation pricing per sub assy'!$D:$E,2,0))*U2231</f>
        <v>7</v>
      </c>
      <c r="X2231" s="32" t="s">
        <v>616</v>
      </c>
      <c r="Y2231" s="38">
        <v>1</v>
      </c>
      <c r="Z2231" s="38" t="s">
        <v>23</v>
      </c>
      <c r="AA2231" s="18">
        <f>(VLOOKUP(X2231,'[1]Simulation pricing per sub assy'!$D:$E,2,0))*Y2231</f>
        <v>4.4802908000000006</v>
      </c>
    </row>
    <row r="2232" spans="1:27" x14ac:dyDescent="0.35">
      <c r="A2232" s="27" t="s">
        <v>3696</v>
      </c>
      <c r="B2232" s="27" t="s">
        <v>3697</v>
      </c>
      <c r="C2232" s="42">
        <f t="shared" si="34"/>
        <v>284.60669080000002</v>
      </c>
      <c r="D2232" s="33" t="s">
        <v>3540</v>
      </c>
      <c r="E2232" s="33">
        <v>2</v>
      </c>
      <c r="F2232" s="33" t="s">
        <v>3541</v>
      </c>
      <c r="G2232" s="14">
        <f>(VLOOKUP(D2232,'[1]BOM Info General'!$A:$L,12,0))*E2232</f>
        <v>130.12</v>
      </c>
      <c r="H2232" s="34" t="s">
        <v>40</v>
      </c>
      <c r="I2232" s="34">
        <v>1</v>
      </c>
      <c r="J2232" s="34" t="s">
        <v>45</v>
      </c>
      <c r="K2232" s="15">
        <f>(VLOOKUP(H2232,'[1]BOM Info General'!$A:$L,12,0))*I2232</f>
        <v>25.59</v>
      </c>
      <c r="L2232" s="35" t="s">
        <v>528</v>
      </c>
      <c r="M2232" s="35">
        <v>1</v>
      </c>
      <c r="N2232" s="35" t="s">
        <v>88</v>
      </c>
      <c r="O2232" s="9">
        <f>(VLOOKUP(L2232,'[1]Simulation pricing per sub assy'!$D:$E,2,0))*M2232</f>
        <v>94.656400000000033</v>
      </c>
      <c r="P2232" s="36" t="s">
        <v>50</v>
      </c>
      <c r="Q2232" s="36">
        <v>8</v>
      </c>
      <c r="R2232" s="36" t="s">
        <v>611</v>
      </c>
      <c r="S2232" s="40">
        <f>(VLOOKUP(P2232,'[1]BOM Info General'!$A:$L,12,0))*Q2232</f>
        <v>21.2</v>
      </c>
      <c r="T2232" s="37" t="s">
        <v>30</v>
      </c>
      <c r="U2232" s="37">
        <v>1</v>
      </c>
      <c r="V2232" s="37" t="s">
        <v>31</v>
      </c>
      <c r="W2232" s="17">
        <f>(VLOOKUP(T2232,'[1]Simulation pricing per sub assy'!$D:$E,2,0))*U2232</f>
        <v>8.5599999999999987</v>
      </c>
      <c r="X2232" s="32" t="s">
        <v>616</v>
      </c>
      <c r="Y2232" s="38">
        <v>1</v>
      </c>
      <c r="Z2232" s="38" t="s">
        <v>23</v>
      </c>
      <c r="AA2232" s="18">
        <f>(VLOOKUP(X2232,'[1]Simulation pricing per sub assy'!$D:$E,2,0))*Y2232</f>
        <v>4.4802908000000006</v>
      </c>
    </row>
    <row r="2233" spans="1:27" x14ac:dyDescent="0.35">
      <c r="A2233" s="27" t="s">
        <v>3698</v>
      </c>
      <c r="B2233" s="27" t="s">
        <v>3699</v>
      </c>
      <c r="C2233" s="42">
        <f t="shared" si="34"/>
        <v>285.70669080000005</v>
      </c>
      <c r="D2233" s="33" t="s">
        <v>3540</v>
      </c>
      <c r="E2233" s="33">
        <v>2</v>
      </c>
      <c r="F2233" s="33" t="s">
        <v>3541</v>
      </c>
      <c r="G2233" s="14">
        <f>(VLOOKUP(D2233,'[1]BOM Info General'!$A:$L,12,0))*E2233</f>
        <v>130.12</v>
      </c>
      <c r="H2233" s="34" t="s">
        <v>40</v>
      </c>
      <c r="I2233" s="34">
        <v>1</v>
      </c>
      <c r="J2233" s="34" t="s">
        <v>45</v>
      </c>
      <c r="K2233" s="15">
        <f>(VLOOKUP(H2233,'[1]BOM Info General'!$A:$L,12,0))*I2233</f>
        <v>25.59</v>
      </c>
      <c r="L2233" s="35" t="s">
        <v>85</v>
      </c>
      <c r="M2233" s="35">
        <v>1</v>
      </c>
      <c r="N2233" s="35" t="s">
        <v>82</v>
      </c>
      <c r="O2233" s="9">
        <f>(VLOOKUP(L2233,'[1]Simulation pricing per sub assy'!$D:$E,2,0))*M2233</f>
        <v>95.756400000000042</v>
      </c>
      <c r="P2233" s="36" t="s">
        <v>50</v>
      </c>
      <c r="Q2233" s="36">
        <v>8</v>
      </c>
      <c r="R2233" s="36" t="s">
        <v>611</v>
      </c>
      <c r="S2233" s="40">
        <f>(VLOOKUP(P2233,'[1]BOM Info General'!$A:$L,12,0))*Q2233</f>
        <v>21.2</v>
      </c>
      <c r="T2233" s="37" t="s">
        <v>30</v>
      </c>
      <c r="U2233" s="37">
        <v>1</v>
      </c>
      <c r="V2233" s="37" t="s">
        <v>31</v>
      </c>
      <c r="W2233" s="17">
        <f>(VLOOKUP(T2233,'[1]Simulation pricing per sub assy'!$D:$E,2,0))*U2233</f>
        <v>8.5599999999999987</v>
      </c>
      <c r="X2233" s="32" t="s">
        <v>616</v>
      </c>
      <c r="Y2233" s="38">
        <v>1</v>
      </c>
      <c r="Z2233" s="38" t="s">
        <v>23</v>
      </c>
      <c r="AA2233" s="18">
        <f>(VLOOKUP(X2233,'[1]Simulation pricing per sub assy'!$D:$E,2,0))*Y2233</f>
        <v>4.4802908000000006</v>
      </c>
    </row>
    <row r="2234" spans="1:27" x14ac:dyDescent="0.35">
      <c r="A2234" s="27" t="s">
        <v>3700</v>
      </c>
      <c r="B2234" s="27" t="s">
        <v>3701</v>
      </c>
      <c r="C2234" s="42">
        <f t="shared" si="34"/>
        <v>285.70669080000005</v>
      </c>
      <c r="D2234" s="33" t="s">
        <v>3540</v>
      </c>
      <c r="E2234" s="33">
        <v>2</v>
      </c>
      <c r="F2234" s="33" t="s">
        <v>3541</v>
      </c>
      <c r="G2234" s="14">
        <f>(VLOOKUP(D2234,'[1]BOM Info General'!$A:$L,12,0))*E2234</f>
        <v>130.12</v>
      </c>
      <c r="H2234" s="34" t="s">
        <v>40</v>
      </c>
      <c r="I2234" s="34">
        <v>1</v>
      </c>
      <c r="J2234" s="34" t="s">
        <v>45</v>
      </c>
      <c r="K2234" s="15">
        <f>(VLOOKUP(H2234,'[1]BOM Info General'!$A:$L,12,0))*I2234</f>
        <v>25.59</v>
      </c>
      <c r="L2234" s="35" t="s">
        <v>81</v>
      </c>
      <c r="M2234" s="35">
        <v>1</v>
      </c>
      <c r="N2234" s="35" t="s">
        <v>80</v>
      </c>
      <c r="O2234" s="9">
        <f>(VLOOKUP(L2234,'[1]Simulation pricing per sub assy'!$D:$E,2,0))*M2234</f>
        <v>95.756400000000042</v>
      </c>
      <c r="P2234" s="36" t="s">
        <v>50</v>
      </c>
      <c r="Q2234" s="36">
        <v>8</v>
      </c>
      <c r="R2234" s="36" t="s">
        <v>611</v>
      </c>
      <c r="S2234" s="40">
        <f>(VLOOKUP(P2234,'[1]BOM Info General'!$A:$L,12,0))*Q2234</f>
        <v>21.2</v>
      </c>
      <c r="T2234" s="37" t="s">
        <v>30</v>
      </c>
      <c r="U2234" s="37">
        <v>1</v>
      </c>
      <c r="V2234" s="37" t="s">
        <v>31</v>
      </c>
      <c r="W2234" s="17">
        <f>(VLOOKUP(T2234,'[1]Simulation pricing per sub assy'!$D:$E,2,0))*U2234</f>
        <v>8.5599999999999987</v>
      </c>
      <c r="X2234" s="32" t="s">
        <v>616</v>
      </c>
      <c r="Y2234" s="38">
        <v>1</v>
      </c>
      <c r="Z2234" s="38" t="s">
        <v>23</v>
      </c>
      <c r="AA2234" s="18">
        <f>(VLOOKUP(X2234,'[1]Simulation pricing per sub assy'!$D:$E,2,0))*Y2234</f>
        <v>4.4802908000000006</v>
      </c>
    </row>
    <row r="2235" spans="1:27" x14ac:dyDescent="0.35">
      <c r="A2235" s="27" t="s">
        <v>3702</v>
      </c>
      <c r="B2235" s="27" t="s">
        <v>3703</v>
      </c>
      <c r="C2235" s="42">
        <f t="shared" si="34"/>
        <v>285.15669080000004</v>
      </c>
      <c r="D2235" s="33" t="s">
        <v>3540</v>
      </c>
      <c r="E2235" s="33">
        <v>2</v>
      </c>
      <c r="F2235" s="33" t="s">
        <v>3541</v>
      </c>
      <c r="G2235" s="14">
        <f>(VLOOKUP(D2235,'[1]BOM Info General'!$A:$L,12,0))*E2235</f>
        <v>130.12</v>
      </c>
      <c r="H2235" s="34" t="s">
        <v>40</v>
      </c>
      <c r="I2235" s="34">
        <v>1</v>
      </c>
      <c r="J2235" s="34" t="s">
        <v>45</v>
      </c>
      <c r="K2235" s="15">
        <f>(VLOOKUP(H2235,'[1]BOM Info General'!$A:$L,12,0))*I2235</f>
        <v>25.59</v>
      </c>
      <c r="L2235" s="35" t="s">
        <v>87</v>
      </c>
      <c r="M2235" s="35">
        <v>1</v>
      </c>
      <c r="N2235" s="35" t="s">
        <v>84</v>
      </c>
      <c r="O2235" s="9">
        <f>(VLOOKUP(L2235,'[1]Simulation pricing per sub assy'!$D:$E,2,0))*M2235</f>
        <v>95.206400000000031</v>
      </c>
      <c r="P2235" s="36" t="s">
        <v>50</v>
      </c>
      <c r="Q2235" s="36">
        <v>8</v>
      </c>
      <c r="R2235" s="36" t="s">
        <v>611</v>
      </c>
      <c r="S2235" s="40">
        <f>(VLOOKUP(P2235,'[1]BOM Info General'!$A:$L,12,0))*Q2235</f>
        <v>21.2</v>
      </c>
      <c r="T2235" s="37" t="s">
        <v>30</v>
      </c>
      <c r="U2235" s="37">
        <v>1</v>
      </c>
      <c r="V2235" s="37" t="s">
        <v>31</v>
      </c>
      <c r="W2235" s="17">
        <f>(VLOOKUP(T2235,'[1]Simulation pricing per sub assy'!$D:$E,2,0))*U2235</f>
        <v>8.5599999999999987</v>
      </c>
      <c r="X2235" s="32" t="s">
        <v>616</v>
      </c>
      <c r="Y2235" s="38">
        <v>1</v>
      </c>
      <c r="Z2235" s="38" t="s">
        <v>23</v>
      </c>
      <c r="AA2235" s="18">
        <f>(VLOOKUP(X2235,'[1]Simulation pricing per sub assy'!$D:$E,2,0))*Y2235</f>
        <v>4.4802908000000006</v>
      </c>
    </row>
    <row r="2236" spans="1:27" x14ac:dyDescent="0.35">
      <c r="A2236" s="27" t="s">
        <v>3704</v>
      </c>
      <c r="B2236" s="27" t="s">
        <v>3705</v>
      </c>
      <c r="C2236" s="42">
        <f t="shared" si="34"/>
        <v>293.11669080000001</v>
      </c>
      <c r="D2236" s="33" t="s">
        <v>3540</v>
      </c>
      <c r="E2236" s="33">
        <v>2</v>
      </c>
      <c r="F2236" s="33" t="s">
        <v>3541</v>
      </c>
      <c r="G2236" s="14">
        <f>(VLOOKUP(D2236,'[1]BOM Info General'!$A:$L,12,0))*E2236</f>
        <v>130.12</v>
      </c>
      <c r="H2236" s="34" t="s">
        <v>40</v>
      </c>
      <c r="I2236" s="34">
        <v>1</v>
      </c>
      <c r="J2236" s="34" t="s">
        <v>45</v>
      </c>
      <c r="K2236" s="15">
        <f>(VLOOKUP(H2236,'[1]BOM Info General'!$A:$L,12,0))*I2236</f>
        <v>25.59</v>
      </c>
      <c r="L2236" s="35" t="s">
        <v>83</v>
      </c>
      <c r="M2236" s="35">
        <v>1</v>
      </c>
      <c r="N2236" s="35" t="s">
        <v>86</v>
      </c>
      <c r="O2236" s="9">
        <f>(VLOOKUP(L2236,'[1]Simulation pricing per sub assy'!$D:$E,2,0))*M2236</f>
        <v>103.16640000000004</v>
      </c>
      <c r="P2236" s="36" t="s">
        <v>50</v>
      </c>
      <c r="Q2236" s="36">
        <v>8</v>
      </c>
      <c r="R2236" s="36" t="s">
        <v>611</v>
      </c>
      <c r="S2236" s="40">
        <f>(VLOOKUP(P2236,'[1]BOM Info General'!$A:$L,12,0))*Q2236</f>
        <v>21.2</v>
      </c>
      <c r="T2236" s="37" t="s">
        <v>30</v>
      </c>
      <c r="U2236" s="37">
        <v>1</v>
      </c>
      <c r="V2236" s="37" t="s">
        <v>31</v>
      </c>
      <c r="W2236" s="17">
        <f>(VLOOKUP(T2236,'[1]Simulation pricing per sub assy'!$D:$E,2,0))*U2236</f>
        <v>8.5599999999999987</v>
      </c>
      <c r="X2236" s="32" t="s">
        <v>616</v>
      </c>
      <c r="Y2236" s="38">
        <v>1</v>
      </c>
      <c r="Z2236" s="38" t="s">
        <v>23</v>
      </c>
      <c r="AA2236" s="18">
        <f>(VLOOKUP(X2236,'[1]Simulation pricing per sub assy'!$D:$E,2,0))*Y2236</f>
        <v>4.4802908000000006</v>
      </c>
    </row>
    <row r="2237" spans="1:27" x14ac:dyDescent="0.35">
      <c r="A2237" s="27" t="s">
        <v>3706</v>
      </c>
      <c r="B2237" s="27" t="s">
        <v>3707</v>
      </c>
      <c r="C2237" s="42">
        <f t="shared" si="34"/>
        <v>284.83669079999999</v>
      </c>
      <c r="D2237" s="33" t="s">
        <v>3540</v>
      </c>
      <c r="E2237" s="33">
        <v>2</v>
      </c>
      <c r="F2237" s="33" t="s">
        <v>3541</v>
      </c>
      <c r="G2237" s="14">
        <f>(VLOOKUP(D2237,'[1]BOM Info General'!$A:$L,12,0))*E2237</f>
        <v>130.12</v>
      </c>
      <c r="H2237" s="34" t="s">
        <v>41</v>
      </c>
      <c r="I2237" s="34">
        <v>1</v>
      </c>
      <c r="J2237" s="34" t="s">
        <v>47</v>
      </c>
      <c r="K2237" s="15">
        <f>(VLOOKUP(H2237,'[1]BOM Info General'!$A:$L,12,0))*I2237</f>
        <v>27.18</v>
      </c>
      <c r="L2237" s="35" t="s">
        <v>528</v>
      </c>
      <c r="M2237" s="35">
        <v>1</v>
      </c>
      <c r="N2237" s="35" t="s">
        <v>88</v>
      </c>
      <c r="O2237" s="9">
        <f>(VLOOKUP(L2237,'[1]Simulation pricing per sub assy'!$D:$E,2,0))*M2237</f>
        <v>94.656400000000033</v>
      </c>
      <c r="P2237" s="36" t="s">
        <v>50</v>
      </c>
      <c r="Q2237" s="36">
        <v>8</v>
      </c>
      <c r="R2237" s="36" t="s">
        <v>611</v>
      </c>
      <c r="S2237" s="40">
        <f>(VLOOKUP(P2237,'[1]BOM Info General'!$A:$L,12,0))*Q2237</f>
        <v>21.2</v>
      </c>
      <c r="T2237" s="37" t="s">
        <v>21</v>
      </c>
      <c r="U2237" s="37">
        <v>1</v>
      </c>
      <c r="V2237" s="37" t="s">
        <v>22</v>
      </c>
      <c r="W2237" s="17">
        <f>(VLOOKUP(T2237,'[1]Simulation pricing per sub assy'!$D:$E,2,0))*U2237</f>
        <v>7.2</v>
      </c>
      <c r="X2237" s="32" t="s">
        <v>616</v>
      </c>
      <c r="Y2237" s="38">
        <v>1</v>
      </c>
      <c r="Z2237" s="38" t="s">
        <v>23</v>
      </c>
      <c r="AA2237" s="18">
        <f>(VLOOKUP(X2237,'[1]Simulation pricing per sub assy'!$D:$E,2,0))*Y2237</f>
        <v>4.4802908000000006</v>
      </c>
    </row>
    <row r="2238" spans="1:27" x14ac:dyDescent="0.35">
      <c r="A2238" s="27" t="s">
        <v>3708</v>
      </c>
      <c r="B2238" s="27" t="s">
        <v>3709</v>
      </c>
      <c r="C2238" s="42">
        <f t="shared" si="34"/>
        <v>285.93669080000001</v>
      </c>
      <c r="D2238" s="33" t="s">
        <v>3540</v>
      </c>
      <c r="E2238" s="33">
        <v>2</v>
      </c>
      <c r="F2238" s="33" t="s">
        <v>3541</v>
      </c>
      <c r="G2238" s="14">
        <f>(VLOOKUP(D2238,'[1]BOM Info General'!$A:$L,12,0))*E2238</f>
        <v>130.12</v>
      </c>
      <c r="H2238" s="34" t="s">
        <v>41</v>
      </c>
      <c r="I2238" s="34">
        <v>1</v>
      </c>
      <c r="J2238" s="34" t="s">
        <v>47</v>
      </c>
      <c r="K2238" s="15">
        <f>(VLOOKUP(H2238,'[1]BOM Info General'!$A:$L,12,0))*I2238</f>
        <v>27.18</v>
      </c>
      <c r="L2238" s="35" t="s">
        <v>85</v>
      </c>
      <c r="M2238" s="35">
        <v>1</v>
      </c>
      <c r="N2238" s="35" t="s">
        <v>82</v>
      </c>
      <c r="O2238" s="9">
        <f>(VLOOKUP(L2238,'[1]Simulation pricing per sub assy'!$D:$E,2,0))*M2238</f>
        <v>95.756400000000042</v>
      </c>
      <c r="P2238" s="36" t="s">
        <v>50</v>
      </c>
      <c r="Q2238" s="36">
        <v>8</v>
      </c>
      <c r="R2238" s="36" t="s">
        <v>611</v>
      </c>
      <c r="S2238" s="40">
        <f>(VLOOKUP(P2238,'[1]BOM Info General'!$A:$L,12,0))*Q2238</f>
        <v>21.2</v>
      </c>
      <c r="T2238" s="37" t="s">
        <v>21</v>
      </c>
      <c r="U2238" s="37">
        <v>1</v>
      </c>
      <c r="V2238" s="37" t="s">
        <v>22</v>
      </c>
      <c r="W2238" s="17">
        <f>(VLOOKUP(T2238,'[1]Simulation pricing per sub assy'!$D:$E,2,0))*U2238</f>
        <v>7.2</v>
      </c>
      <c r="X2238" s="32" t="s">
        <v>616</v>
      </c>
      <c r="Y2238" s="38">
        <v>1</v>
      </c>
      <c r="Z2238" s="38" t="s">
        <v>23</v>
      </c>
      <c r="AA2238" s="18">
        <f>(VLOOKUP(X2238,'[1]Simulation pricing per sub assy'!$D:$E,2,0))*Y2238</f>
        <v>4.4802908000000006</v>
      </c>
    </row>
    <row r="2239" spans="1:27" x14ac:dyDescent="0.35">
      <c r="A2239" s="27" t="s">
        <v>3710</v>
      </c>
      <c r="B2239" s="27" t="s">
        <v>3711</v>
      </c>
      <c r="C2239" s="42">
        <f t="shared" si="34"/>
        <v>285.93669080000001</v>
      </c>
      <c r="D2239" s="33" t="s">
        <v>3540</v>
      </c>
      <c r="E2239" s="33">
        <v>2</v>
      </c>
      <c r="F2239" s="33" t="s">
        <v>3541</v>
      </c>
      <c r="G2239" s="14">
        <f>(VLOOKUP(D2239,'[1]BOM Info General'!$A:$L,12,0))*E2239</f>
        <v>130.12</v>
      </c>
      <c r="H2239" s="34" t="s">
        <v>41</v>
      </c>
      <c r="I2239" s="34">
        <v>1</v>
      </c>
      <c r="J2239" s="34" t="s">
        <v>47</v>
      </c>
      <c r="K2239" s="15">
        <f>(VLOOKUP(H2239,'[1]BOM Info General'!$A:$L,12,0))*I2239</f>
        <v>27.18</v>
      </c>
      <c r="L2239" s="35" t="s">
        <v>81</v>
      </c>
      <c r="M2239" s="35">
        <v>1</v>
      </c>
      <c r="N2239" s="35" t="s">
        <v>80</v>
      </c>
      <c r="O2239" s="9">
        <f>(VLOOKUP(L2239,'[1]Simulation pricing per sub assy'!$D:$E,2,0))*M2239</f>
        <v>95.756400000000042</v>
      </c>
      <c r="P2239" s="36" t="s">
        <v>50</v>
      </c>
      <c r="Q2239" s="36">
        <v>8</v>
      </c>
      <c r="R2239" s="36" t="s">
        <v>611</v>
      </c>
      <c r="S2239" s="40">
        <f>(VLOOKUP(P2239,'[1]BOM Info General'!$A:$L,12,0))*Q2239</f>
        <v>21.2</v>
      </c>
      <c r="T2239" s="37" t="s">
        <v>21</v>
      </c>
      <c r="U2239" s="37">
        <v>1</v>
      </c>
      <c r="V2239" s="37" t="s">
        <v>22</v>
      </c>
      <c r="W2239" s="17">
        <f>(VLOOKUP(T2239,'[1]Simulation pricing per sub assy'!$D:$E,2,0))*U2239</f>
        <v>7.2</v>
      </c>
      <c r="X2239" s="32" t="s">
        <v>616</v>
      </c>
      <c r="Y2239" s="38">
        <v>1</v>
      </c>
      <c r="Z2239" s="38" t="s">
        <v>23</v>
      </c>
      <c r="AA2239" s="18">
        <f>(VLOOKUP(X2239,'[1]Simulation pricing per sub assy'!$D:$E,2,0))*Y2239</f>
        <v>4.4802908000000006</v>
      </c>
    </row>
    <row r="2240" spans="1:27" x14ac:dyDescent="0.35">
      <c r="A2240" s="27" t="s">
        <v>3712</v>
      </c>
      <c r="B2240" s="27" t="s">
        <v>3713</v>
      </c>
      <c r="C2240" s="42">
        <f t="shared" si="34"/>
        <v>285.3866908</v>
      </c>
      <c r="D2240" s="33" t="s">
        <v>3540</v>
      </c>
      <c r="E2240" s="33">
        <v>2</v>
      </c>
      <c r="F2240" s="33" t="s">
        <v>3541</v>
      </c>
      <c r="G2240" s="14">
        <f>(VLOOKUP(D2240,'[1]BOM Info General'!$A:$L,12,0))*E2240</f>
        <v>130.12</v>
      </c>
      <c r="H2240" s="34" t="s">
        <v>41</v>
      </c>
      <c r="I2240" s="34">
        <v>1</v>
      </c>
      <c r="J2240" s="34" t="s">
        <v>47</v>
      </c>
      <c r="K2240" s="15">
        <f>(VLOOKUP(H2240,'[1]BOM Info General'!$A:$L,12,0))*I2240</f>
        <v>27.18</v>
      </c>
      <c r="L2240" s="35" t="s">
        <v>87</v>
      </c>
      <c r="M2240" s="35">
        <v>1</v>
      </c>
      <c r="N2240" s="35" t="s">
        <v>84</v>
      </c>
      <c r="O2240" s="9">
        <f>(VLOOKUP(L2240,'[1]Simulation pricing per sub assy'!$D:$E,2,0))*M2240</f>
        <v>95.206400000000031</v>
      </c>
      <c r="P2240" s="36" t="s">
        <v>50</v>
      </c>
      <c r="Q2240" s="36">
        <v>8</v>
      </c>
      <c r="R2240" s="36" t="s">
        <v>611</v>
      </c>
      <c r="S2240" s="40">
        <f>(VLOOKUP(P2240,'[1]BOM Info General'!$A:$L,12,0))*Q2240</f>
        <v>21.2</v>
      </c>
      <c r="T2240" s="37" t="s">
        <v>21</v>
      </c>
      <c r="U2240" s="37">
        <v>1</v>
      </c>
      <c r="V2240" s="37" t="s">
        <v>22</v>
      </c>
      <c r="W2240" s="17">
        <f>(VLOOKUP(T2240,'[1]Simulation pricing per sub assy'!$D:$E,2,0))*U2240</f>
        <v>7.2</v>
      </c>
      <c r="X2240" s="32" t="s">
        <v>616</v>
      </c>
      <c r="Y2240" s="38">
        <v>1</v>
      </c>
      <c r="Z2240" s="38" t="s">
        <v>23</v>
      </c>
      <c r="AA2240" s="18">
        <f>(VLOOKUP(X2240,'[1]Simulation pricing per sub assy'!$D:$E,2,0))*Y2240</f>
        <v>4.4802908000000006</v>
      </c>
    </row>
    <row r="2241" spans="1:27" x14ac:dyDescent="0.35">
      <c r="A2241" s="27" t="s">
        <v>3714</v>
      </c>
      <c r="B2241" s="27" t="s">
        <v>3715</v>
      </c>
      <c r="C2241" s="42">
        <f t="shared" si="34"/>
        <v>293.34669079999998</v>
      </c>
      <c r="D2241" s="33" t="s">
        <v>3540</v>
      </c>
      <c r="E2241" s="33">
        <v>2</v>
      </c>
      <c r="F2241" s="33" t="s">
        <v>3541</v>
      </c>
      <c r="G2241" s="14">
        <f>(VLOOKUP(D2241,'[1]BOM Info General'!$A:$L,12,0))*E2241</f>
        <v>130.12</v>
      </c>
      <c r="H2241" s="34" t="s">
        <v>41</v>
      </c>
      <c r="I2241" s="34">
        <v>1</v>
      </c>
      <c r="J2241" s="34" t="s">
        <v>47</v>
      </c>
      <c r="K2241" s="15">
        <f>(VLOOKUP(H2241,'[1]BOM Info General'!$A:$L,12,0))*I2241</f>
        <v>27.18</v>
      </c>
      <c r="L2241" s="35" t="s">
        <v>83</v>
      </c>
      <c r="M2241" s="35">
        <v>1</v>
      </c>
      <c r="N2241" s="35" t="s">
        <v>86</v>
      </c>
      <c r="O2241" s="9">
        <f>(VLOOKUP(L2241,'[1]Simulation pricing per sub assy'!$D:$E,2,0))*M2241</f>
        <v>103.16640000000004</v>
      </c>
      <c r="P2241" s="36" t="s">
        <v>50</v>
      </c>
      <c r="Q2241" s="36">
        <v>8</v>
      </c>
      <c r="R2241" s="36" t="s">
        <v>611</v>
      </c>
      <c r="S2241" s="40">
        <f>(VLOOKUP(P2241,'[1]BOM Info General'!$A:$L,12,0))*Q2241</f>
        <v>21.2</v>
      </c>
      <c r="T2241" s="37" t="s">
        <v>21</v>
      </c>
      <c r="U2241" s="37">
        <v>1</v>
      </c>
      <c r="V2241" s="37" t="s">
        <v>22</v>
      </c>
      <c r="W2241" s="17">
        <f>(VLOOKUP(T2241,'[1]Simulation pricing per sub assy'!$D:$E,2,0))*U2241</f>
        <v>7.2</v>
      </c>
      <c r="X2241" s="32" t="s">
        <v>616</v>
      </c>
      <c r="Y2241" s="38">
        <v>1</v>
      </c>
      <c r="Z2241" s="38" t="s">
        <v>23</v>
      </c>
      <c r="AA2241" s="18">
        <f>(VLOOKUP(X2241,'[1]Simulation pricing per sub assy'!$D:$E,2,0))*Y2241</f>
        <v>4.4802908000000006</v>
      </c>
    </row>
    <row r="2242" spans="1:27" x14ac:dyDescent="0.35">
      <c r="A2242" s="27" t="s">
        <v>3716</v>
      </c>
      <c r="B2242" s="27" t="s">
        <v>3717</v>
      </c>
      <c r="C2242" s="42">
        <f t="shared" si="34"/>
        <v>284.07669079999999</v>
      </c>
      <c r="D2242" s="33" t="s">
        <v>3540</v>
      </c>
      <c r="E2242" s="33">
        <v>2</v>
      </c>
      <c r="F2242" s="33" t="s">
        <v>3541</v>
      </c>
      <c r="G2242" s="14">
        <f>(VLOOKUP(D2242,'[1]BOM Info General'!$A:$L,12,0))*E2242</f>
        <v>130.12</v>
      </c>
      <c r="H2242" s="34" t="s">
        <v>41</v>
      </c>
      <c r="I2242" s="34">
        <v>1</v>
      </c>
      <c r="J2242" s="34" t="s">
        <v>47</v>
      </c>
      <c r="K2242" s="15">
        <f>(VLOOKUP(H2242,'[1]BOM Info General'!$A:$L,12,0))*I2242</f>
        <v>27.18</v>
      </c>
      <c r="L2242" s="35" t="s">
        <v>528</v>
      </c>
      <c r="M2242" s="35">
        <v>1</v>
      </c>
      <c r="N2242" s="35" t="s">
        <v>88</v>
      </c>
      <c r="O2242" s="9">
        <f>(VLOOKUP(L2242,'[1]Simulation pricing per sub assy'!$D:$E,2,0))*M2242</f>
        <v>94.656400000000033</v>
      </c>
      <c r="P2242" s="36" t="s">
        <v>50</v>
      </c>
      <c r="Q2242" s="36">
        <v>8</v>
      </c>
      <c r="R2242" s="36" t="s">
        <v>16</v>
      </c>
      <c r="S2242" s="40">
        <f>(VLOOKUP(P2242,'[1]BOM Info General'!$A:$L,12,0))*Q2242</f>
        <v>21.2</v>
      </c>
      <c r="T2242" s="37" t="s">
        <v>24</v>
      </c>
      <c r="U2242" s="37">
        <v>1</v>
      </c>
      <c r="V2242" s="37" t="s">
        <v>25</v>
      </c>
      <c r="W2242" s="17">
        <f>(VLOOKUP(T2242,'[1]Simulation pricing per sub assy'!$D:$E,2,0))*U2242</f>
        <v>6.44</v>
      </c>
      <c r="X2242" s="32" t="s">
        <v>616</v>
      </c>
      <c r="Y2242" s="38">
        <v>1</v>
      </c>
      <c r="Z2242" s="38" t="s">
        <v>23</v>
      </c>
      <c r="AA2242" s="18">
        <f>(VLOOKUP(X2242,'[1]Simulation pricing per sub assy'!$D:$E,2,0))*Y2242</f>
        <v>4.4802908000000006</v>
      </c>
    </row>
    <row r="2243" spans="1:27" x14ac:dyDescent="0.35">
      <c r="A2243" s="27" t="s">
        <v>3718</v>
      </c>
      <c r="B2243" s="27" t="s">
        <v>3719</v>
      </c>
      <c r="C2243" s="42">
        <f t="shared" ref="C2243:C2306" si="35">SUM(G2243+K2243+O2243+S2243+W2243+AA2243)</f>
        <v>285.17669080000002</v>
      </c>
      <c r="D2243" s="33" t="s">
        <v>3540</v>
      </c>
      <c r="E2243" s="33">
        <v>2</v>
      </c>
      <c r="F2243" s="33" t="s">
        <v>3541</v>
      </c>
      <c r="G2243" s="14">
        <f>(VLOOKUP(D2243,'[1]BOM Info General'!$A:$L,12,0))*E2243</f>
        <v>130.12</v>
      </c>
      <c r="H2243" s="34" t="s">
        <v>41</v>
      </c>
      <c r="I2243" s="34">
        <v>1</v>
      </c>
      <c r="J2243" s="34" t="s">
        <v>47</v>
      </c>
      <c r="K2243" s="15">
        <f>(VLOOKUP(H2243,'[1]BOM Info General'!$A:$L,12,0))*I2243</f>
        <v>27.18</v>
      </c>
      <c r="L2243" s="35" t="s">
        <v>85</v>
      </c>
      <c r="M2243" s="35">
        <v>1</v>
      </c>
      <c r="N2243" s="35" t="s">
        <v>82</v>
      </c>
      <c r="O2243" s="9">
        <f>(VLOOKUP(L2243,'[1]Simulation pricing per sub assy'!$D:$E,2,0))*M2243</f>
        <v>95.756400000000042</v>
      </c>
      <c r="P2243" s="36" t="s">
        <v>50</v>
      </c>
      <c r="Q2243" s="36">
        <v>8</v>
      </c>
      <c r="R2243" s="36" t="s">
        <v>16</v>
      </c>
      <c r="S2243" s="40">
        <f>(VLOOKUP(P2243,'[1]BOM Info General'!$A:$L,12,0))*Q2243</f>
        <v>21.2</v>
      </c>
      <c r="T2243" s="37" t="s">
        <v>24</v>
      </c>
      <c r="U2243" s="37">
        <v>1</v>
      </c>
      <c r="V2243" s="37" t="s">
        <v>25</v>
      </c>
      <c r="W2243" s="17">
        <f>(VLOOKUP(T2243,'[1]Simulation pricing per sub assy'!$D:$E,2,0))*U2243</f>
        <v>6.44</v>
      </c>
      <c r="X2243" s="32" t="s">
        <v>616</v>
      </c>
      <c r="Y2243" s="38">
        <v>1</v>
      </c>
      <c r="Z2243" s="38" t="s">
        <v>23</v>
      </c>
      <c r="AA2243" s="18">
        <f>(VLOOKUP(X2243,'[1]Simulation pricing per sub assy'!$D:$E,2,0))*Y2243</f>
        <v>4.4802908000000006</v>
      </c>
    </row>
    <row r="2244" spans="1:27" x14ac:dyDescent="0.35">
      <c r="A2244" s="27" t="s">
        <v>3720</v>
      </c>
      <c r="B2244" s="27" t="s">
        <v>3721</v>
      </c>
      <c r="C2244" s="42">
        <f t="shared" si="35"/>
        <v>285.17669080000002</v>
      </c>
      <c r="D2244" s="33" t="s">
        <v>3540</v>
      </c>
      <c r="E2244" s="33">
        <v>2</v>
      </c>
      <c r="F2244" s="33" t="s">
        <v>3541</v>
      </c>
      <c r="G2244" s="14">
        <f>(VLOOKUP(D2244,'[1]BOM Info General'!$A:$L,12,0))*E2244</f>
        <v>130.12</v>
      </c>
      <c r="H2244" s="34" t="s">
        <v>41</v>
      </c>
      <c r="I2244" s="34">
        <v>1</v>
      </c>
      <c r="J2244" s="34" t="s">
        <v>47</v>
      </c>
      <c r="K2244" s="15">
        <f>(VLOOKUP(H2244,'[1]BOM Info General'!$A:$L,12,0))*I2244</f>
        <v>27.18</v>
      </c>
      <c r="L2244" s="35" t="s">
        <v>81</v>
      </c>
      <c r="M2244" s="35">
        <v>1</v>
      </c>
      <c r="N2244" s="35" t="s">
        <v>80</v>
      </c>
      <c r="O2244" s="9">
        <f>(VLOOKUP(L2244,'[1]Simulation pricing per sub assy'!$D:$E,2,0))*M2244</f>
        <v>95.756400000000042</v>
      </c>
      <c r="P2244" s="36" t="s">
        <v>50</v>
      </c>
      <c r="Q2244" s="36">
        <v>8</v>
      </c>
      <c r="R2244" s="36" t="s">
        <v>16</v>
      </c>
      <c r="S2244" s="40">
        <f>(VLOOKUP(P2244,'[1]BOM Info General'!$A:$L,12,0))*Q2244</f>
        <v>21.2</v>
      </c>
      <c r="T2244" s="37" t="s">
        <v>24</v>
      </c>
      <c r="U2244" s="37">
        <v>1</v>
      </c>
      <c r="V2244" s="37" t="s">
        <v>25</v>
      </c>
      <c r="W2244" s="17">
        <f>(VLOOKUP(T2244,'[1]Simulation pricing per sub assy'!$D:$E,2,0))*U2244</f>
        <v>6.44</v>
      </c>
      <c r="X2244" s="32" t="s">
        <v>616</v>
      </c>
      <c r="Y2244" s="38">
        <v>1</v>
      </c>
      <c r="Z2244" s="38" t="s">
        <v>23</v>
      </c>
      <c r="AA2244" s="18">
        <f>(VLOOKUP(X2244,'[1]Simulation pricing per sub assy'!$D:$E,2,0))*Y2244</f>
        <v>4.4802908000000006</v>
      </c>
    </row>
    <row r="2245" spans="1:27" x14ac:dyDescent="0.35">
      <c r="A2245" s="27" t="s">
        <v>3722</v>
      </c>
      <c r="B2245" s="27" t="s">
        <v>3723</v>
      </c>
      <c r="C2245" s="42">
        <f t="shared" si="35"/>
        <v>284.62669080000001</v>
      </c>
      <c r="D2245" s="33" t="s">
        <v>3540</v>
      </c>
      <c r="E2245" s="33">
        <v>2</v>
      </c>
      <c r="F2245" s="33" t="s">
        <v>3541</v>
      </c>
      <c r="G2245" s="14">
        <f>(VLOOKUP(D2245,'[1]BOM Info General'!$A:$L,12,0))*E2245</f>
        <v>130.12</v>
      </c>
      <c r="H2245" s="34" t="s">
        <v>41</v>
      </c>
      <c r="I2245" s="34">
        <v>1</v>
      </c>
      <c r="J2245" s="34" t="s">
        <v>47</v>
      </c>
      <c r="K2245" s="15">
        <f>(VLOOKUP(H2245,'[1]BOM Info General'!$A:$L,12,0))*I2245</f>
        <v>27.18</v>
      </c>
      <c r="L2245" s="35" t="s">
        <v>87</v>
      </c>
      <c r="M2245" s="35">
        <v>1</v>
      </c>
      <c r="N2245" s="35" t="s">
        <v>84</v>
      </c>
      <c r="O2245" s="9">
        <f>(VLOOKUP(L2245,'[1]Simulation pricing per sub assy'!$D:$E,2,0))*M2245</f>
        <v>95.206400000000031</v>
      </c>
      <c r="P2245" s="36" t="s">
        <v>50</v>
      </c>
      <c r="Q2245" s="36">
        <v>8</v>
      </c>
      <c r="R2245" s="36" t="s">
        <v>16</v>
      </c>
      <c r="S2245" s="40">
        <f>(VLOOKUP(P2245,'[1]BOM Info General'!$A:$L,12,0))*Q2245</f>
        <v>21.2</v>
      </c>
      <c r="T2245" s="37" t="s">
        <v>24</v>
      </c>
      <c r="U2245" s="37">
        <v>1</v>
      </c>
      <c r="V2245" s="37" t="s">
        <v>25</v>
      </c>
      <c r="W2245" s="17">
        <f>(VLOOKUP(T2245,'[1]Simulation pricing per sub assy'!$D:$E,2,0))*U2245</f>
        <v>6.44</v>
      </c>
      <c r="X2245" s="32" t="s">
        <v>616</v>
      </c>
      <c r="Y2245" s="38">
        <v>1</v>
      </c>
      <c r="Z2245" s="38" t="s">
        <v>23</v>
      </c>
      <c r="AA2245" s="18">
        <f>(VLOOKUP(X2245,'[1]Simulation pricing per sub assy'!$D:$E,2,0))*Y2245</f>
        <v>4.4802908000000006</v>
      </c>
    </row>
    <row r="2246" spans="1:27" x14ac:dyDescent="0.35">
      <c r="A2246" s="27" t="s">
        <v>3724</v>
      </c>
      <c r="B2246" s="27" t="s">
        <v>3725</v>
      </c>
      <c r="C2246" s="42">
        <f t="shared" si="35"/>
        <v>292.58669079999999</v>
      </c>
      <c r="D2246" s="33" t="s">
        <v>3540</v>
      </c>
      <c r="E2246" s="33">
        <v>2</v>
      </c>
      <c r="F2246" s="33" t="s">
        <v>3541</v>
      </c>
      <c r="G2246" s="14">
        <f>(VLOOKUP(D2246,'[1]BOM Info General'!$A:$L,12,0))*E2246</f>
        <v>130.12</v>
      </c>
      <c r="H2246" s="34" t="s">
        <v>41</v>
      </c>
      <c r="I2246" s="34">
        <v>1</v>
      </c>
      <c r="J2246" s="34" t="s">
        <v>47</v>
      </c>
      <c r="K2246" s="15">
        <f>(VLOOKUP(H2246,'[1]BOM Info General'!$A:$L,12,0))*I2246</f>
        <v>27.18</v>
      </c>
      <c r="L2246" s="35" t="s">
        <v>83</v>
      </c>
      <c r="M2246" s="35">
        <v>1</v>
      </c>
      <c r="N2246" s="35" t="s">
        <v>86</v>
      </c>
      <c r="O2246" s="9">
        <f>(VLOOKUP(L2246,'[1]Simulation pricing per sub assy'!$D:$E,2,0))*M2246</f>
        <v>103.16640000000004</v>
      </c>
      <c r="P2246" s="36" t="s">
        <v>50</v>
      </c>
      <c r="Q2246" s="36">
        <v>8</v>
      </c>
      <c r="R2246" s="36" t="s">
        <v>16</v>
      </c>
      <c r="S2246" s="40">
        <f>(VLOOKUP(P2246,'[1]BOM Info General'!$A:$L,12,0))*Q2246</f>
        <v>21.2</v>
      </c>
      <c r="T2246" s="37" t="s">
        <v>24</v>
      </c>
      <c r="U2246" s="37">
        <v>1</v>
      </c>
      <c r="V2246" s="37" t="s">
        <v>25</v>
      </c>
      <c r="W2246" s="17">
        <f>(VLOOKUP(T2246,'[1]Simulation pricing per sub assy'!$D:$E,2,0))*U2246</f>
        <v>6.44</v>
      </c>
      <c r="X2246" s="32" t="s">
        <v>616</v>
      </c>
      <c r="Y2246" s="38">
        <v>1</v>
      </c>
      <c r="Z2246" s="38" t="s">
        <v>23</v>
      </c>
      <c r="AA2246" s="18">
        <f>(VLOOKUP(X2246,'[1]Simulation pricing per sub assy'!$D:$E,2,0))*Y2246</f>
        <v>4.4802908000000006</v>
      </c>
    </row>
    <row r="2247" spans="1:27" x14ac:dyDescent="0.35">
      <c r="A2247" s="27" t="s">
        <v>3726</v>
      </c>
      <c r="B2247" s="27" t="s">
        <v>3727</v>
      </c>
      <c r="C2247" s="42">
        <f t="shared" si="35"/>
        <v>284.67669080000002</v>
      </c>
      <c r="D2247" s="33" t="s">
        <v>3540</v>
      </c>
      <c r="E2247" s="33">
        <v>2</v>
      </c>
      <c r="F2247" s="33" t="s">
        <v>3541</v>
      </c>
      <c r="G2247" s="14">
        <f>(VLOOKUP(D2247,'[1]BOM Info General'!$A:$L,12,0))*E2247</f>
        <v>130.12</v>
      </c>
      <c r="H2247" s="34" t="s">
        <v>41</v>
      </c>
      <c r="I2247" s="34">
        <v>1</v>
      </c>
      <c r="J2247" s="34" t="s">
        <v>47</v>
      </c>
      <c r="K2247" s="15">
        <f>(VLOOKUP(H2247,'[1]BOM Info General'!$A:$L,12,0))*I2247</f>
        <v>27.18</v>
      </c>
      <c r="L2247" s="35" t="s">
        <v>528</v>
      </c>
      <c r="M2247" s="35">
        <v>1</v>
      </c>
      <c r="N2247" s="35" t="s">
        <v>88</v>
      </c>
      <c r="O2247" s="9">
        <f>(VLOOKUP(L2247,'[1]Simulation pricing per sub assy'!$D:$E,2,0))*M2247</f>
        <v>94.656400000000033</v>
      </c>
      <c r="P2247" s="36" t="s">
        <v>50</v>
      </c>
      <c r="Q2247" s="36">
        <v>8</v>
      </c>
      <c r="R2247" s="36" t="s">
        <v>16</v>
      </c>
      <c r="S2247" s="40">
        <f>(VLOOKUP(P2247,'[1]BOM Info General'!$A:$L,12,0))*Q2247</f>
        <v>21.2</v>
      </c>
      <c r="T2247" s="37" t="s">
        <v>26</v>
      </c>
      <c r="U2247" s="37">
        <v>1</v>
      </c>
      <c r="V2247" s="37" t="s">
        <v>27</v>
      </c>
      <c r="W2247" s="17">
        <f>(VLOOKUP(T2247,'[1]Simulation pricing per sub assy'!$D:$E,2,0))*U2247</f>
        <v>7.04</v>
      </c>
      <c r="X2247" s="32" t="s">
        <v>616</v>
      </c>
      <c r="Y2247" s="38">
        <v>1</v>
      </c>
      <c r="Z2247" s="38" t="s">
        <v>23</v>
      </c>
      <c r="AA2247" s="18">
        <f>(VLOOKUP(X2247,'[1]Simulation pricing per sub assy'!$D:$E,2,0))*Y2247</f>
        <v>4.4802908000000006</v>
      </c>
    </row>
    <row r="2248" spans="1:27" x14ac:dyDescent="0.35">
      <c r="A2248" s="27" t="s">
        <v>3728</v>
      </c>
      <c r="B2248" s="27" t="s">
        <v>3729</v>
      </c>
      <c r="C2248" s="42">
        <f t="shared" si="35"/>
        <v>285.77669080000004</v>
      </c>
      <c r="D2248" s="33" t="s">
        <v>3540</v>
      </c>
      <c r="E2248" s="33">
        <v>2</v>
      </c>
      <c r="F2248" s="33" t="s">
        <v>3541</v>
      </c>
      <c r="G2248" s="14">
        <f>(VLOOKUP(D2248,'[1]BOM Info General'!$A:$L,12,0))*E2248</f>
        <v>130.12</v>
      </c>
      <c r="H2248" s="34" t="s">
        <v>41</v>
      </c>
      <c r="I2248" s="34">
        <v>1</v>
      </c>
      <c r="J2248" s="34" t="s">
        <v>47</v>
      </c>
      <c r="K2248" s="15">
        <f>(VLOOKUP(H2248,'[1]BOM Info General'!$A:$L,12,0))*I2248</f>
        <v>27.18</v>
      </c>
      <c r="L2248" s="35" t="s">
        <v>85</v>
      </c>
      <c r="M2248" s="35">
        <v>1</v>
      </c>
      <c r="N2248" s="35" t="s">
        <v>82</v>
      </c>
      <c r="O2248" s="9">
        <f>(VLOOKUP(L2248,'[1]Simulation pricing per sub assy'!$D:$E,2,0))*M2248</f>
        <v>95.756400000000042</v>
      </c>
      <c r="P2248" s="36" t="s">
        <v>50</v>
      </c>
      <c r="Q2248" s="36">
        <v>8</v>
      </c>
      <c r="R2248" s="36" t="s">
        <v>16</v>
      </c>
      <c r="S2248" s="40">
        <f>(VLOOKUP(P2248,'[1]BOM Info General'!$A:$L,12,0))*Q2248</f>
        <v>21.2</v>
      </c>
      <c r="T2248" s="37" t="s">
        <v>26</v>
      </c>
      <c r="U2248" s="37">
        <v>1</v>
      </c>
      <c r="V2248" s="37" t="s">
        <v>27</v>
      </c>
      <c r="W2248" s="17">
        <f>(VLOOKUP(T2248,'[1]Simulation pricing per sub assy'!$D:$E,2,0))*U2248</f>
        <v>7.04</v>
      </c>
      <c r="X2248" s="32" t="s">
        <v>616</v>
      </c>
      <c r="Y2248" s="38">
        <v>1</v>
      </c>
      <c r="Z2248" s="38" t="s">
        <v>23</v>
      </c>
      <c r="AA2248" s="18">
        <f>(VLOOKUP(X2248,'[1]Simulation pricing per sub assy'!$D:$E,2,0))*Y2248</f>
        <v>4.4802908000000006</v>
      </c>
    </row>
    <row r="2249" spans="1:27" x14ac:dyDescent="0.35">
      <c r="A2249" s="27" t="s">
        <v>3730</v>
      </c>
      <c r="B2249" s="27" t="s">
        <v>3731</v>
      </c>
      <c r="C2249" s="42">
        <f t="shared" si="35"/>
        <v>285.77669080000004</v>
      </c>
      <c r="D2249" s="33" t="s">
        <v>3540</v>
      </c>
      <c r="E2249" s="33">
        <v>2</v>
      </c>
      <c r="F2249" s="33" t="s">
        <v>3541</v>
      </c>
      <c r="G2249" s="14">
        <f>(VLOOKUP(D2249,'[1]BOM Info General'!$A:$L,12,0))*E2249</f>
        <v>130.12</v>
      </c>
      <c r="H2249" s="34" t="s">
        <v>41</v>
      </c>
      <c r="I2249" s="34">
        <v>1</v>
      </c>
      <c r="J2249" s="34" t="s">
        <v>47</v>
      </c>
      <c r="K2249" s="15">
        <f>(VLOOKUP(H2249,'[1]BOM Info General'!$A:$L,12,0))*I2249</f>
        <v>27.18</v>
      </c>
      <c r="L2249" s="35" t="s">
        <v>81</v>
      </c>
      <c r="M2249" s="35">
        <v>1</v>
      </c>
      <c r="N2249" s="35" t="s">
        <v>80</v>
      </c>
      <c r="O2249" s="9">
        <f>(VLOOKUP(L2249,'[1]Simulation pricing per sub assy'!$D:$E,2,0))*M2249</f>
        <v>95.756400000000042</v>
      </c>
      <c r="P2249" s="36" t="s">
        <v>50</v>
      </c>
      <c r="Q2249" s="36">
        <v>8</v>
      </c>
      <c r="R2249" s="36" t="s">
        <v>16</v>
      </c>
      <c r="S2249" s="40">
        <f>(VLOOKUP(P2249,'[1]BOM Info General'!$A:$L,12,0))*Q2249</f>
        <v>21.2</v>
      </c>
      <c r="T2249" s="37" t="s">
        <v>26</v>
      </c>
      <c r="U2249" s="37">
        <v>1</v>
      </c>
      <c r="V2249" s="37" t="s">
        <v>27</v>
      </c>
      <c r="W2249" s="17">
        <f>(VLOOKUP(T2249,'[1]Simulation pricing per sub assy'!$D:$E,2,0))*U2249</f>
        <v>7.04</v>
      </c>
      <c r="X2249" s="32" t="s">
        <v>616</v>
      </c>
      <c r="Y2249" s="38">
        <v>1</v>
      </c>
      <c r="Z2249" s="38" t="s">
        <v>23</v>
      </c>
      <c r="AA2249" s="18">
        <f>(VLOOKUP(X2249,'[1]Simulation pricing per sub assy'!$D:$E,2,0))*Y2249</f>
        <v>4.4802908000000006</v>
      </c>
    </row>
    <row r="2250" spans="1:27" x14ac:dyDescent="0.35">
      <c r="A2250" s="27" t="s">
        <v>3732</v>
      </c>
      <c r="B2250" s="27" t="s">
        <v>3733</v>
      </c>
      <c r="C2250" s="42">
        <f t="shared" si="35"/>
        <v>285.22669080000003</v>
      </c>
      <c r="D2250" s="33" t="s">
        <v>3540</v>
      </c>
      <c r="E2250" s="33">
        <v>2</v>
      </c>
      <c r="F2250" s="33" t="s">
        <v>3541</v>
      </c>
      <c r="G2250" s="14">
        <f>(VLOOKUP(D2250,'[1]BOM Info General'!$A:$L,12,0))*E2250</f>
        <v>130.12</v>
      </c>
      <c r="H2250" s="34" t="s">
        <v>41</v>
      </c>
      <c r="I2250" s="34">
        <v>1</v>
      </c>
      <c r="J2250" s="34" t="s">
        <v>47</v>
      </c>
      <c r="K2250" s="15">
        <f>(VLOOKUP(H2250,'[1]BOM Info General'!$A:$L,12,0))*I2250</f>
        <v>27.18</v>
      </c>
      <c r="L2250" s="35" t="s">
        <v>87</v>
      </c>
      <c r="M2250" s="35">
        <v>1</v>
      </c>
      <c r="N2250" s="35" t="s">
        <v>84</v>
      </c>
      <c r="O2250" s="9">
        <f>(VLOOKUP(L2250,'[1]Simulation pricing per sub assy'!$D:$E,2,0))*M2250</f>
        <v>95.206400000000031</v>
      </c>
      <c r="P2250" s="36" t="s">
        <v>50</v>
      </c>
      <c r="Q2250" s="36">
        <v>8</v>
      </c>
      <c r="R2250" s="36" t="s">
        <v>16</v>
      </c>
      <c r="S2250" s="40">
        <f>(VLOOKUP(P2250,'[1]BOM Info General'!$A:$L,12,0))*Q2250</f>
        <v>21.2</v>
      </c>
      <c r="T2250" s="37" t="s">
        <v>26</v>
      </c>
      <c r="U2250" s="37">
        <v>1</v>
      </c>
      <c r="V2250" s="37" t="s">
        <v>27</v>
      </c>
      <c r="W2250" s="17">
        <f>(VLOOKUP(T2250,'[1]Simulation pricing per sub assy'!$D:$E,2,0))*U2250</f>
        <v>7.04</v>
      </c>
      <c r="X2250" s="32" t="s">
        <v>616</v>
      </c>
      <c r="Y2250" s="38">
        <v>1</v>
      </c>
      <c r="Z2250" s="38" t="s">
        <v>23</v>
      </c>
      <c r="AA2250" s="18">
        <f>(VLOOKUP(X2250,'[1]Simulation pricing per sub assy'!$D:$E,2,0))*Y2250</f>
        <v>4.4802908000000006</v>
      </c>
    </row>
    <row r="2251" spans="1:27" x14ac:dyDescent="0.35">
      <c r="A2251" s="27" t="s">
        <v>3734</v>
      </c>
      <c r="B2251" s="27" t="s">
        <v>3735</v>
      </c>
      <c r="C2251" s="42">
        <f t="shared" si="35"/>
        <v>293.18669080000001</v>
      </c>
      <c r="D2251" s="33" t="s">
        <v>3540</v>
      </c>
      <c r="E2251" s="33">
        <v>2</v>
      </c>
      <c r="F2251" s="33" t="s">
        <v>3541</v>
      </c>
      <c r="G2251" s="14">
        <f>(VLOOKUP(D2251,'[1]BOM Info General'!$A:$L,12,0))*E2251</f>
        <v>130.12</v>
      </c>
      <c r="H2251" s="34" t="s">
        <v>41</v>
      </c>
      <c r="I2251" s="34">
        <v>1</v>
      </c>
      <c r="J2251" s="34" t="s">
        <v>47</v>
      </c>
      <c r="K2251" s="15">
        <f>(VLOOKUP(H2251,'[1]BOM Info General'!$A:$L,12,0))*I2251</f>
        <v>27.18</v>
      </c>
      <c r="L2251" s="35" t="s">
        <v>83</v>
      </c>
      <c r="M2251" s="35">
        <v>1</v>
      </c>
      <c r="N2251" s="35" t="s">
        <v>86</v>
      </c>
      <c r="O2251" s="9">
        <f>(VLOOKUP(L2251,'[1]Simulation pricing per sub assy'!$D:$E,2,0))*M2251</f>
        <v>103.16640000000004</v>
      </c>
      <c r="P2251" s="36" t="s">
        <v>50</v>
      </c>
      <c r="Q2251" s="36">
        <v>8</v>
      </c>
      <c r="R2251" s="36" t="s">
        <v>16</v>
      </c>
      <c r="S2251" s="40">
        <f>(VLOOKUP(P2251,'[1]BOM Info General'!$A:$L,12,0))*Q2251</f>
        <v>21.2</v>
      </c>
      <c r="T2251" s="37" t="s">
        <v>26</v>
      </c>
      <c r="U2251" s="37">
        <v>1</v>
      </c>
      <c r="V2251" s="37" t="s">
        <v>27</v>
      </c>
      <c r="W2251" s="17">
        <f>(VLOOKUP(T2251,'[1]Simulation pricing per sub assy'!$D:$E,2,0))*U2251</f>
        <v>7.04</v>
      </c>
      <c r="X2251" s="32" t="s">
        <v>616</v>
      </c>
      <c r="Y2251" s="38">
        <v>1</v>
      </c>
      <c r="Z2251" s="38" t="s">
        <v>23</v>
      </c>
      <c r="AA2251" s="18">
        <f>(VLOOKUP(X2251,'[1]Simulation pricing per sub assy'!$D:$E,2,0))*Y2251</f>
        <v>4.4802908000000006</v>
      </c>
    </row>
    <row r="2252" spans="1:27" x14ac:dyDescent="0.35">
      <c r="A2252" s="27" t="s">
        <v>3736</v>
      </c>
      <c r="B2252" s="27" t="s">
        <v>3737</v>
      </c>
      <c r="C2252" s="42">
        <f t="shared" si="35"/>
        <v>284.6366908</v>
      </c>
      <c r="D2252" s="33" t="s">
        <v>3540</v>
      </c>
      <c r="E2252" s="33">
        <v>2</v>
      </c>
      <c r="F2252" s="33" t="s">
        <v>3541</v>
      </c>
      <c r="G2252" s="14">
        <f>(VLOOKUP(D2252,'[1]BOM Info General'!$A:$L,12,0))*E2252</f>
        <v>130.12</v>
      </c>
      <c r="H2252" s="34" t="s">
        <v>41</v>
      </c>
      <c r="I2252" s="34">
        <v>1</v>
      </c>
      <c r="J2252" s="34" t="s">
        <v>47</v>
      </c>
      <c r="K2252" s="15">
        <f>(VLOOKUP(H2252,'[1]BOM Info General'!$A:$L,12,0))*I2252</f>
        <v>27.18</v>
      </c>
      <c r="L2252" s="35" t="s">
        <v>528</v>
      </c>
      <c r="M2252" s="35">
        <v>1</v>
      </c>
      <c r="N2252" s="35" t="s">
        <v>88</v>
      </c>
      <c r="O2252" s="9">
        <f>(VLOOKUP(L2252,'[1]Simulation pricing per sub assy'!$D:$E,2,0))*M2252</f>
        <v>94.656400000000033</v>
      </c>
      <c r="P2252" s="36" t="s">
        <v>50</v>
      </c>
      <c r="Q2252" s="36">
        <v>8</v>
      </c>
      <c r="R2252" s="36" t="s">
        <v>16</v>
      </c>
      <c r="S2252" s="40">
        <f>(VLOOKUP(P2252,'[1]BOM Info General'!$A:$L,12,0))*Q2252</f>
        <v>21.2</v>
      </c>
      <c r="T2252" s="37" t="s">
        <v>28</v>
      </c>
      <c r="U2252" s="37">
        <v>1</v>
      </c>
      <c r="V2252" s="37" t="s">
        <v>29</v>
      </c>
      <c r="W2252" s="17">
        <f>(VLOOKUP(T2252,'[1]Simulation pricing per sub assy'!$D:$E,2,0))*U2252</f>
        <v>7</v>
      </c>
      <c r="X2252" s="32" t="s">
        <v>616</v>
      </c>
      <c r="Y2252" s="38">
        <v>1</v>
      </c>
      <c r="Z2252" s="38" t="s">
        <v>23</v>
      </c>
      <c r="AA2252" s="18">
        <f>(VLOOKUP(X2252,'[1]Simulation pricing per sub assy'!$D:$E,2,0))*Y2252</f>
        <v>4.4802908000000006</v>
      </c>
    </row>
    <row r="2253" spans="1:27" x14ac:dyDescent="0.35">
      <c r="A2253" s="27" t="s">
        <v>3738</v>
      </c>
      <c r="B2253" s="27" t="s">
        <v>3739</v>
      </c>
      <c r="C2253" s="42">
        <f t="shared" si="35"/>
        <v>285.73669080000002</v>
      </c>
      <c r="D2253" s="33" t="s">
        <v>3540</v>
      </c>
      <c r="E2253" s="33">
        <v>2</v>
      </c>
      <c r="F2253" s="33" t="s">
        <v>3541</v>
      </c>
      <c r="G2253" s="14">
        <f>(VLOOKUP(D2253,'[1]BOM Info General'!$A:$L,12,0))*E2253</f>
        <v>130.12</v>
      </c>
      <c r="H2253" s="34" t="s">
        <v>41</v>
      </c>
      <c r="I2253" s="34">
        <v>1</v>
      </c>
      <c r="J2253" s="34" t="s">
        <v>47</v>
      </c>
      <c r="K2253" s="15">
        <f>(VLOOKUP(H2253,'[1]BOM Info General'!$A:$L,12,0))*I2253</f>
        <v>27.18</v>
      </c>
      <c r="L2253" s="35" t="s">
        <v>85</v>
      </c>
      <c r="M2253" s="35">
        <v>1</v>
      </c>
      <c r="N2253" s="35" t="s">
        <v>82</v>
      </c>
      <c r="O2253" s="9">
        <f>(VLOOKUP(L2253,'[1]Simulation pricing per sub assy'!$D:$E,2,0))*M2253</f>
        <v>95.756400000000042</v>
      </c>
      <c r="P2253" s="36" t="s">
        <v>50</v>
      </c>
      <c r="Q2253" s="36">
        <v>8</v>
      </c>
      <c r="R2253" s="36" t="s">
        <v>16</v>
      </c>
      <c r="S2253" s="40">
        <f>(VLOOKUP(P2253,'[1]BOM Info General'!$A:$L,12,0))*Q2253</f>
        <v>21.2</v>
      </c>
      <c r="T2253" s="37" t="s">
        <v>28</v>
      </c>
      <c r="U2253" s="37">
        <v>1</v>
      </c>
      <c r="V2253" s="37" t="s">
        <v>29</v>
      </c>
      <c r="W2253" s="17">
        <f>(VLOOKUP(T2253,'[1]Simulation pricing per sub assy'!$D:$E,2,0))*U2253</f>
        <v>7</v>
      </c>
      <c r="X2253" s="32" t="s">
        <v>616</v>
      </c>
      <c r="Y2253" s="38">
        <v>1</v>
      </c>
      <c r="Z2253" s="38" t="s">
        <v>23</v>
      </c>
      <c r="AA2253" s="18">
        <f>(VLOOKUP(X2253,'[1]Simulation pricing per sub assy'!$D:$E,2,0))*Y2253</f>
        <v>4.4802908000000006</v>
      </c>
    </row>
    <row r="2254" spans="1:27" x14ac:dyDescent="0.35">
      <c r="A2254" s="27" t="s">
        <v>3740</v>
      </c>
      <c r="B2254" s="27" t="s">
        <v>3741</v>
      </c>
      <c r="C2254" s="42">
        <f t="shared" si="35"/>
        <v>285.73669080000002</v>
      </c>
      <c r="D2254" s="33" t="s">
        <v>3540</v>
      </c>
      <c r="E2254" s="33">
        <v>2</v>
      </c>
      <c r="F2254" s="33" t="s">
        <v>3541</v>
      </c>
      <c r="G2254" s="14">
        <f>(VLOOKUP(D2254,'[1]BOM Info General'!$A:$L,12,0))*E2254</f>
        <v>130.12</v>
      </c>
      <c r="H2254" s="34" t="s">
        <v>41</v>
      </c>
      <c r="I2254" s="34">
        <v>1</v>
      </c>
      <c r="J2254" s="34" t="s">
        <v>47</v>
      </c>
      <c r="K2254" s="15">
        <f>(VLOOKUP(H2254,'[1]BOM Info General'!$A:$L,12,0))*I2254</f>
        <v>27.18</v>
      </c>
      <c r="L2254" s="35" t="s">
        <v>81</v>
      </c>
      <c r="M2254" s="35">
        <v>1</v>
      </c>
      <c r="N2254" s="35" t="s">
        <v>80</v>
      </c>
      <c r="O2254" s="9">
        <f>(VLOOKUP(L2254,'[1]Simulation pricing per sub assy'!$D:$E,2,0))*M2254</f>
        <v>95.756400000000042</v>
      </c>
      <c r="P2254" s="36" t="s">
        <v>50</v>
      </c>
      <c r="Q2254" s="36">
        <v>8</v>
      </c>
      <c r="R2254" s="36" t="s">
        <v>16</v>
      </c>
      <c r="S2254" s="40">
        <f>(VLOOKUP(P2254,'[1]BOM Info General'!$A:$L,12,0))*Q2254</f>
        <v>21.2</v>
      </c>
      <c r="T2254" s="37" t="s">
        <v>28</v>
      </c>
      <c r="U2254" s="37">
        <v>1</v>
      </c>
      <c r="V2254" s="37" t="s">
        <v>29</v>
      </c>
      <c r="W2254" s="17">
        <f>(VLOOKUP(T2254,'[1]Simulation pricing per sub assy'!$D:$E,2,0))*U2254</f>
        <v>7</v>
      </c>
      <c r="X2254" s="32" t="s">
        <v>616</v>
      </c>
      <c r="Y2254" s="38">
        <v>1</v>
      </c>
      <c r="Z2254" s="38" t="s">
        <v>23</v>
      </c>
      <c r="AA2254" s="18">
        <f>(VLOOKUP(X2254,'[1]Simulation pricing per sub assy'!$D:$E,2,0))*Y2254</f>
        <v>4.4802908000000006</v>
      </c>
    </row>
    <row r="2255" spans="1:27" x14ac:dyDescent="0.35">
      <c r="A2255" s="27" t="s">
        <v>3742</v>
      </c>
      <c r="B2255" s="27" t="s">
        <v>3743</v>
      </c>
      <c r="C2255" s="42">
        <f t="shared" si="35"/>
        <v>285.18669080000001</v>
      </c>
      <c r="D2255" s="33" t="s">
        <v>3540</v>
      </c>
      <c r="E2255" s="33">
        <v>2</v>
      </c>
      <c r="F2255" s="33" t="s">
        <v>3541</v>
      </c>
      <c r="G2255" s="14">
        <f>(VLOOKUP(D2255,'[1]BOM Info General'!$A:$L,12,0))*E2255</f>
        <v>130.12</v>
      </c>
      <c r="H2255" s="34" t="s">
        <v>41</v>
      </c>
      <c r="I2255" s="34">
        <v>1</v>
      </c>
      <c r="J2255" s="34" t="s">
        <v>47</v>
      </c>
      <c r="K2255" s="15">
        <f>(VLOOKUP(H2255,'[1]BOM Info General'!$A:$L,12,0))*I2255</f>
        <v>27.18</v>
      </c>
      <c r="L2255" s="35" t="s">
        <v>87</v>
      </c>
      <c r="M2255" s="35">
        <v>1</v>
      </c>
      <c r="N2255" s="35" t="s">
        <v>84</v>
      </c>
      <c r="O2255" s="9">
        <f>(VLOOKUP(L2255,'[1]Simulation pricing per sub assy'!$D:$E,2,0))*M2255</f>
        <v>95.206400000000031</v>
      </c>
      <c r="P2255" s="36" t="s">
        <v>50</v>
      </c>
      <c r="Q2255" s="36">
        <v>8</v>
      </c>
      <c r="R2255" s="36" t="s">
        <v>16</v>
      </c>
      <c r="S2255" s="40">
        <f>(VLOOKUP(P2255,'[1]BOM Info General'!$A:$L,12,0))*Q2255</f>
        <v>21.2</v>
      </c>
      <c r="T2255" s="37" t="s">
        <v>28</v>
      </c>
      <c r="U2255" s="37">
        <v>1</v>
      </c>
      <c r="V2255" s="37" t="s">
        <v>29</v>
      </c>
      <c r="W2255" s="17">
        <f>(VLOOKUP(T2255,'[1]Simulation pricing per sub assy'!$D:$E,2,0))*U2255</f>
        <v>7</v>
      </c>
      <c r="X2255" s="32" t="s">
        <v>616</v>
      </c>
      <c r="Y2255" s="38">
        <v>1</v>
      </c>
      <c r="Z2255" s="38" t="s">
        <v>23</v>
      </c>
      <c r="AA2255" s="18">
        <f>(VLOOKUP(X2255,'[1]Simulation pricing per sub assy'!$D:$E,2,0))*Y2255</f>
        <v>4.4802908000000006</v>
      </c>
    </row>
    <row r="2256" spans="1:27" x14ac:dyDescent="0.35">
      <c r="A2256" s="27" t="s">
        <v>3744</v>
      </c>
      <c r="B2256" s="27" t="s">
        <v>3745</v>
      </c>
      <c r="C2256" s="42">
        <f t="shared" si="35"/>
        <v>293.14669079999999</v>
      </c>
      <c r="D2256" s="33" t="s">
        <v>3540</v>
      </c>
      <c r="E2256" s="33">
        <v>2</v>
      </c>
      <c r="F2256" s="33" t="s">
        <v>3541</v>
      </c>
      <c r="G2256" s="14">
        <f>(VLOOKUP(D2256,'[1]BOM Info General'!$A:$L,12,0))*E2256</f>
        <v>130.12</v>
      </c>
      <c r="H2256" s="34" t="s">
        <v>41</v>
      </c>
      <c r="I2256" s="34">
        <v>1</v>
      </c>
      <c r="J2256" s="34" t="s">
        <v>47</v>
      </c>
      <c r="K2256" s="15">
        <f>(VLOOKUP(H2256,'[1]BOM Info General'!$A:$L,12,0))*I2256</f>
        <v>27.18</v>
      </c>
      <c r="L2256" s="35" t="s">
        <v>83</v>
      </c>
      <c r="M2256" s="35">
        <v>1</v>
      </c>
      <c r="N2256" s="35" t="s">
        <v>86</v>
      </c>
      <c r="O2256" s="9">
        <f>(VLOOKUP(L2256,'[1]Simulation pricing per sub assy'!$D:$E,2,0))*M2256</f>
        <v>103.16640000000004</v>
      </c>
      <c r="P2256" s="36" t="s">
        <v>50</v>
      </c>
      <c r="Q2256" s="36">
        <v>8</v>
      </c>
      <c r="R2256" s="36" t="s">
        <v>16</v>
      </c>
      <c r="S2256" s="40">
        <f>(VLOOKUP(P2256,'[1]BOM Info General'!$A:$L,12,0))*Q2256</f>
        <v>21.2</v>
      </c>
      <c r="T2256" s="37" t="s">
        <v>28</v>
      </c>
      <c r="U2256" s="37">
        <v>1</v>
      </c>
      <c r="V2256" s="37" t="s">
        <v>29</v>
      </c>
      <c r="W2256" s="17">
        <f>(VLOOKUP(T2256,'[1]Simulation pricing per sub assy'!$D:$E,2,0))*U2256</f>
        <v>7</v>
      </c>
      <c r="X2256" s="32" t="s">
        <v>616</v>
      </c>
      <c r="Y2256" s="38">
        <v>1</v>
      </c>
      <c r="Z2256" s="38" t="s">
        <v>23</v>
      </c>
      <c r="AA2256" s="18">
        <f>(VLOOKUP(X2256,'[1]Simulation pricing per sub assy'!$D:$E,2,0))*Y2256</f>
        <v>4.4802908000000006</v>
      </c>
    </row>
    <row r="2257" spans="1:27" x14ac:dyDescent="0.35">
      <c r="A2257" s="27" t="s">
        <v>3746</v>
      </c>
      <c r="B2257" s="27" t="s">
        <v>3747</v>
      </c>
      <c r="C2257" s="42">
        <f t="shared" si="35"/>
        <v>284.07669079999999</v>
      </c>
      <c r="D2257" s="33" t="s">
        <v>3540</v>
      </c>
      <c r="E2257" s="33">
        <v>2</v>
      </c>
      <c r="F2257" s="33" t="s">
        <v>3541</v>
      </c>
      <c r="G2257" s="14">
        <f>(VLOOKUP(D2257,'[1]BOM Info General'!$A:$L,12,0))*E2257</f>
        <v>130.12</v>
      </c>
      <c r="H2257" s="34" t="s">
        <v>41</v>
      </c>
      <c r="I2257" s="34">
        <v>1</v>
      </c>
      <c r="J2257" s="34" t="s">
        <v>47</v>
      </c>
      <c r="K2257" s="15">
        <f>(VLOOKUP(H2257,'[1]BOM Info General'!$A:$L,12,0))*I2257</f>
        <v>27.18</v>
      </c>
      <c r="L2257" s="35" t="s">
        <v>528</v>
      </c>
      <c r="M2257" s="35">
        <v>1</v>
      </c>
      <c r="N2257" s="35" t="s">
        <v>88</v>
      </c>
      <c r="O2257" s="9">
        <f>(VLOOKUP(L2257,'[1]Simulation pricing per sub assy'!$D:$E,2,0))*M2257</f>
        <v>94.656400000000033</v>
      </c>
      <c r="P2257" s="36" t="s">
        <v>51</v>
      </c>
      <c r="Q2257" s="36">
        <v>8</v>
      </c>
      <c r="R2257" s="36" t="s">
        <v>17</v>
      </c>
      <c r="S2257" s="40">
        <f>(VLOOKUP(P2257,'[1]BOM Info General'!$A:$L,12,0))*Q2257</f>
        <v>21.2</v>
      </c>
      <c r="T2257" s="37" t="s">
        <v>24</v>
      </c>
      <c r="U2257" s="37">
        <v>1</v>
      </c>
      <c r="V2257" s="37" t="s">
        <v>25</v>
      </c>
      <c r="W2257" s="17">
        <f>(VLOOKUP(T2257,'[1]Simulation pricing per sub assy'!$D:$E,2,0))*U2257</f>
        <v>6.44</v>
      </c>
      <c r="X2257" s="32" t="s">
        <v>616</v>
      </c>
      <c r="Y2257" s="38">
        <v>1</v>
      </c>
      <c r="Z2257" s="38" t="s">
        <v>23</v>
      </c>
      <c r="AA2257" s="18">
        <f>(VLOOKUP(X2257,'[1]Simulation pricing per sub assy'!$D:$E,2,0))*Y2257</f>
        <v>4.4802908000000006</v>
      </c>
    </row>
    <row r="2258" spans="1:27" x14ac:dyDescent="0.35">
      <c r="A2258" s="27" t="s">
        <v>3748</v>
      </c>
      <c r="B2258" s="27" t="s">
        <v>3749</v>
      </c>
      <c r="C2258" s="42">
        <f t="shared" si="35"/>
        <v>285.17669080000002</v>
      </c>
      <c r="D2258" s="33" t="s">
        <v>3540</v>
      </c>
      <c r="E2258" s="33">
        <v>2</v>
      </c>
      <c r="F2258" s="33" t="s">
        <v>3541</v>
      </c>
      <c r="G2258" s="14">
        <f>(VLOOKUP(D2258,'[1]BOM Info General'!$A:$L,12,0))*E2258</f>
        <v>130.12</v>
      </c>
      <c r="H2258" s="34" t="s">
        <v>41</v>
      </c>
      <c r="I2258" s="34">
        <v>1</v>
      </c>
      <c r="J2258" s="34" t="s">
        <v>47</v>
      </c>
      <c r="K2258" s="15">
        <f>(VLOOKUP(H2258,'[1]BOM Info General'!$A:$L,12,0))*I2258</f>
        <v>27.18</v>
      </c>
      <c r="L2258" s="35" t="s">
        <v>85</v>
      </c>
      <c r="M2258" s="35">
        <v>1</v>
      </c>
      <c r="N2258" s="35" t="s">
        <v>82</v>
      </c>
      <c r="O2258" s="9">
        <f>(VLOOKUP(L2258,'[1]Simulation pricing per sub assy'!$D:$E,2,0))*M2258</f>
        <v>95.756400000000042</v>
      </c>
      <c r="P2258" s="36" t="s">
        <v>51</v>
      </c>
      <c r="Q2258" s="36">
        <v>8</v>
      </c>
      <c r="R2258" s="36" t="s">
        <v>17</v>
      </c>
      <c r="S2258" s="40">
        <f>(VLOOKUP(P2258,'[1]BOM Info General'!$A:$L,12,0))*Q2258</f>
        <v>21.2</v>
      </c>
      <c r="T2258" s="37" t="s">
        <v>24</v>
      </c>
      <c r="U2258" s="37">
        <v>1</v>
      </c>
      <c r="V2258" s="37" t="s">
        <v>25</v>
      </c>
      <c r="W2258" s="17">
        <f>(VLOOKUP(T2258,'[1]Simulation pricing per sub assy'!$D:$E,2,0))*U2258</f>
        <v>6.44</v>
      </c>
      <c r="X2258" s="32" t="s">
        <v>616</v>
      </c>
      <c r="Y2258" s="38">
        <v>1</v>
      </c>
      <c r="Z2258" s="38" t="s">
        <v>23</v>
      </c>
      <c r="AA2258" s="18">
        <f>(VLOOKUP(X2258,'[1]Simulation pricing per sub assy'!$D:$E,2,0))*Y2258</f>
        <v>4.4802908000000006</v>
      </c>
    </row>
    <row r="2259" spans="1:27" x14ac:dyDescent="0.35">
      <c r="A2259" s="27" t="s">
        <v>3750</v>
      </c>
      <c r="B2259" s="27" t="s">
        <v>3751</v>
      </c>
      <c r="C2259" s="42">
        <f t="shared" si="35"/>
        <v>285.17669080000002</v>
      </c>
      <c r="D2259" s="33" t="s">
        <v>3540</v>
      </c>
      <c r="E2259" s="33">
        <v>2</v>
      </c>
      <c r="F2259" s="33" t="s">
        <v>3541</v>
      </c>
      <c r="G2259" s="14">
        <f>(VLOOKUP(D2259,'[1]BOM Info General'!$A:$L,12,0))*E2259</f>
        <v>130.12</v>
      </c>
      <c r="H2259" s="34" t="s">
        <v>41</v>
      </c>
      <c r="I2259" s="34">
        <v>1</v>
      </c>
      <c r="J2259" s="34" t="s">
        <v>47</v>
      </c>
      <c r="K2259" s="15">
        <f>(VLOOKUP(H2259,'[1]BOM Info General'!$A:$L,12,0))*I2259</f>
        <v>27.18</v>
      </c>
      <c r="L2259" s="35" t="s">
        <v>81</v>
      </c>
      <c r="M2259" s="35">
        <v>1</v>
      </c>
      <c r="N2259" s="35" t="s">
        <v>80</v>
      </c>
      <c r="O2259" s="9">
        <f>(VLOOKUP(L2259,'[1]Simulation pricing per sub assy'!$D:$E,2,0))*M2259</f>
        <v>95.756400000000042</v>
      </c>
      <c r="P2259" s="36" t="s">
        <v>51</v>
      </c>
      <c r="Q2259" s="36">
        <v>8</v>
      </c>
      <c r="R2259" s="36" t="s">
        <v>17</v>
      </c>
      <c r="S2259" s="40">
        <f>(VLOOKUP(P2259,'[1]BOM Info General'!$A:$L,12,0))*Q2259</f>
        <v>21.2</v>
      </c>
      <c r="T2259" s="37" t="s">
        <v>24</v>
      </c>
      <c r="U2259" s="37">
        <v>1</v>
      </c>
      <c r="V2259" s="37" t="s">
        <v>25</v>
      </c>
      <c r="W2259" s="17">
        <f>(VLOOKUP(T2259,'[1]Simulation pricing per sub assy'!$D:$E,2,0))*U2259</f>
        <v>6.44</v>
      </c>
      <c r="X2259" s="32" t="s">
        <v>616</v>
      </c>
      <c r="Y2259" s="38">
        <v>1</v>
      </c>
      <c r="Z2259" s="38" t="s">
        <v>23</v>
      </c>
      <c r="AA2259" s="18">
        <f>(VLOOKUP(X2259,'[1]Simulation pricing per sub assy'!$D:$E,2,0))*Y2259</f>
        <v>4.4802908000000006</v>
      </c>
    </row>
    <row r="2260" spans="1:27" x14ac:dyDescent="0.35">
      <c r="A2260" s="27" t="s">
        <v>3752</v>
      </c>
      <c r="B2260" s="27" t="s">
        <v>3753</v>
      </c>
      <c r="C2260" s="42">
        <f t="shared" si="35"/>
        <v>284.62669080000001</v>
      </c>
      <c r="D2260" s="33" t="s">
        <v>3540</v>
      </c>
      <c r="E2260" s="33">
        <v>2</v>
      </c>
      <c r="F2260" s="33" t="s">
        <v>3541</v>
      </c>
      <c r="G2260" s="14">
        <f>(VLOOKUP(D2260,'[1]BOM Info General'!$A:$L,12,0))*E2260</f>
        <v>130.12</v>
      </c>
      <c r="H2260" s="34" t="s">
        <v>41</v>
      </c>
      <c r="I2260" s="34">
        <v>1</v>
      </c>
      <c r="J2260" s="34" t="s">
        <v>47</v>
      </c>
      <c r="K2260" s="15">
        <f>(VLOOKUP(H2260,'[1]BOM Info General'!$A:$L,12,0))*I2260</f>
        <v>27.18</v>
      </c>
      <c r="L2260" s="35" t="s">
        <v>87</v>
      </c>
      <c r="M2260" s="35">
        <v>1</v>
      </c>
      <c r="N2260" s="35" t="s">
        <v>84</v>
      </c>
      <c r="O2260" s="9">
        <f>(VLOOKUP(L2260,'[1]Simulation pricing per sub assy'!$D:$E,2,0))*M2260</f>
        <v>95.206400000000031</v>
      </c>
      <c r="P2260" s="36" t="s">
        <v>51</v>
      </c>
      <c r="Q2260" s="36">
        <v>8</v>
      </c>
      <c r="R2260" s="36" t="s">
        <v>17</v>
      </c>
      <c r="S2260" s="40">
        <f>(VLOOKUP(P2260,'[1]BOM Info General'!$A:$L,12,0))*Q2260</f>
        <v>21.2</v>
      </c>
      <c r="T2260" s="37" t="s">
        <v>24</v>
      </c>
      <c r="U2260" s="37">
        <v>1</v>
      </c>
      <c r="V2260" s="37" t="s">
        <v>25</v>
      </c>
      <c r="W2260" s="17">
        <f>(VLOOKUP(T2260,'[1]Simulation pricing per sub assy'!$D:$E,2,0))*U2260</f>
        <v>6.44</v>
      </c>
      <c r="X2260" s="32" t="s">
        <v>616</v>
      </c>
      <c r="Y2260" s="38">
        <v>1</v>
      </c>
      <c r="Z2260" s="38" t="s">
        <v>23</v>
      </c>
      <c r="AA2260" s="18">
        <f>(VLOOKUP(X2260,'[1]Simulation pricing per sub assy'!$D:$E,2,0))*Y2260</f>
        <v>4.4802908000000006</v>
      </c>
    </row>
    <row r="2261" spans="1:27" x14ac:dyDescent="0.35">
      <c r="A2261" s="27" t="s">
        <v>3754</v>
      </c>
      <c r="B2261" s="27" t="s">
        <v>3755</v>
      </c>
      <c r="C2261" s="42">
        <f t="shared" si="35"/>
        <v>292.58669079999999</v>
      </c>
      <c r="D2261" s="33" t="s">
        <v>3540</v>
      </c>
      <c r="E2261" s="33">
        <v>2</v>
      </c>
      <c r="F2261" s="33" t="s">
        <v>3541</v>
      </c>
      <c r="G2261" s="14">
        <f>(VLOOKUP(D2261,'[1]BOM Info General'!$A:$L,12,0))*E2261</f>
        <v>130.12</v>
      </c>
      <c r="H2261" s="34" t="s">
        <v>41</v>
      </c>
      <c r="I2261" s="34">
        <v>1</v>
      </c>
      <c r="J2261" s="34" t="s">
        <v>47</v>
      </c>
      <c r="K2261" s="15">
        <f>(VLOOKUP(H2261,'[1]BOM Info General'!$A:$L,12,0))*I2261</f>
        <v>27.18</v>
      </c>
      <c r="L2261" s="35" t="s">
        <v>83</v>
      </c>
      <c r="M2261" s="35">
        <v>1</v>
      </c>
      <c r="N2261" s="35" t="s">
        <v>86</v>
      </c>
      <c r="O2261" s="9">
        <f>(VLOOKUP(L2261,'[1]Simulation pricing per sub assy'!$D:$E,2,0))*M2261</f>
        <v>103.16640000000004</v>
      </c>
      <c r="P2261" s="36" t="s">
        <v>51</v>
      </c>
      <c r="Q2261" s="36">
        <v>8</v>
      </c>
      <c r="R2261" s="36" t="s">
        <v>17</v>
      </c>
      <c r="S2261" s="40">
        <f>(VLOOKUP(P2261,'[1]BOM Info General'!$A:$L,12,0))*Q2261</f>
        <v>21.2</v>
      </c>
      <c r="T2261" s="37" t="s">
        <v>24</v>
      </c>
      <c r="U2261" s="37">
        <v>1</v>
      </c>
      <c r="V2261" s="37" t="s">
        <v>25</v>
      </c>
      <c r="W2261" s="17">
        <f>(VLOOKUP(T2261,'[1]Simulation pricing per sub assy'!$D:$E,2,0))*U2261</f>
        <v>6.44</v>
      </c>
      <c r="X2261" s="32" t="s">
        <v>616</v>
      </c>
      <c r="Y2261" s="38">
        <v>1</v>
      </c>
      <c r="Z2261" s="38" t="s">
        <v>23</v>
      </c>
      <c r="AA2261" s="18">
        <f>(VLOOKUP(X2261,'[1]Simulation pricing per sub assy'!$D:$E,2,0))*Y2261</f>
        <v>4.4802908000000006</v>
      </c>
    </row>
    <row r="2262" spans="1:27" x14ac:dyDescent="0.35">
      <c r="A2262" s="27" t="s">
        <v>3756</v>
      </c>
      <c r="B2262" s="27" t="s">
        <v>3757</v>
      </c>
      <c r="C2262" s="42">
        <f t="shared" si="35"/>
        <v>284.67669080000002</v>
      </c>
      <c r="D2262" s="33" t="s">
        <v>3540</v>
      </c>
      <c r="E2262" s="33">
        <v>2</v>
      </c>
      <c r="F2262" s="33" t="s">
        <v>3541</v>
      </c>
      <c r="G2262" s="14">
        <f>(VLOOKUP(D2262,'[1]BOM Info General'!$A:$L,12,0))*E2262</f>
        <v>130.12</v>
      </c>
      <c r="H2262" s="34" t="s">
        <v>41</v>
      </c>
      <c r="I2262" s="34">
        <v>1</v>
      </c>
      <c r="J2262" s="34" t="s">
        <v>47</v>
      </c>
      <c r="K2262" s="15">
        <f>(VLOOKUP(H2262,'[1]BOM Info General'!$A:$L,12,0))*I2262</f>
        <v>27.18</v>
      </c>
      <c r="L2262" s="35" t="s">
        <v>528</v>
      </c>
      <c r="M2262" s="35">
        <v>1</v>
      </c>
      <c r="N2262" s="35" t="s">
        <v>88</v>
      </c>
      <c r="O2262" s="9">
        <f>(VLOOKUP(L2262,'[1]Simulation pricing per sub assy'!$D:$E,2,0))*M2262</f>
        <v>94.656400000000033</v>
      </c>
      <c r="P2262" s="36" t="s">
        <v>51</v>
      </c>
      <c r="Q2262" s="36">
        <v>8</v>
      </c>
      <c r="R2262" s="36" t="s">
        <v>17</v>
      </c>
      <c r="S2262" s="40">
        <f>(VLOOKUP(P2262,'[1]BOM Info General'!$A:$L,12,0))*Q2262</f>
        <v>21.2</v>
      </c>
      <c r="T2262" s="37" t="s">
        <v>26</v>
      </c>
      <c r="U2262" s="37">
        <v>1</v>
      </c>
      <c r="V2262" s="37" t="s">
        <v>27</v>
      </c>
      <c r="W2262" s="17">
        <f>(VLOOKUP(T2262,'[1]Simulation pricing per sub assy'!$D:$E,2,0))*U2262</f>
        <v>7.04</v>
      </c>
      <c r="X2262" s="32" t="s">
        <v>616</v>
      </c>
      <c r="Y2262" s="38">
        <v>1</v>
      </c>
      <c r="Z2262" s="38" t="s">
        <v>23</v>
      </c>
      <c r="AA2262" s="18">
        <f>(VLOOKUP(X2262,'[1]Simulation pricing per sub assy'!$D:$E,2,0))*Y2262</f>
        <v>4.4802908000000006</v>
      </c>
    </row>
    <row r="2263" spans="1:27" x14ac:dyDescent="0.35">
      <c r="A2263" s="27" t="s">
        <v>3758</v>
      </c>
      <c r="B2263" s="27" t="s">
        <v>3759</v>
      </c>
      <c r="C2263" s="42">
        <f t="shared" si="35"/>
        <v>285.77669080000004</v>
      </c>
      <c r="D2263" s="33" t="s">
        <v>3540</v>
      </c>
      <c r="E2263" s="33">
        <v>2</v>
      </c>
      <c r="F2263" s="33" t="s">
        <v>3541</v>
      </c>
      <c r="G2263" s="14">
        <f>(VLOOKUP(D2263,'[1]BOM Info General'!$A:$L,12,0))*E2263</f>
        <v>130.12</v>
      </c>
      <c r="H2263" s="34" t="s">
        <v>41</v>
      </c>
      <c r="I2263" s="34">
        <v>1</v>
      </c>
      <c r="J2263" s="34" t="s">
        <v>47</v>
      </c>
      <c r="K2263" s="15">
        <f>(VLOOKUP(H2263,'[1]BOM Info General'!$A:$L,12,0))*I2263</f>
        <v>27.18</v>
      </c>
      <c r="L2263" s="35" t="s">
        <v>85</v>
      </c>
      <c r="M2263" s="35">
        <v>1</v>
      </c>
      <c r="N2263" s="35" t="s">
        <v>82</v>
      </c>
      <c r="O2263" s="9">
        <f>(VLOOKUP(L2263,'[1]Simulation pricing per sub assy'!$D:$E,2,0))*M2263</f>
        <v>95.756400000000042</v>
      </c>
      <c r="P2263" s="36" t="s">
        <v>51</v>
      </c>
      <c r="Q2263" s="36">
        <v>8</v>
      </c>
      <c r="R2263" s="36" t="s">
        <v>17</v>
      </c>
      <c r="S2263" s="40">
        <f>(VLOOKUP(P2263,'[1]BOM Info General'!$A:$L,12,0))*Q2263</f>
        <v>21.2</v>
      </c>
      <c r="T2263" s="37" t="s">
        <v>26</v>
      </c>
      <c r="U2263" s="37">
        <v>1</v>
      </c>
      <c r="V2263" s="37" t="s">
        <v>27</v>
      </c>
      <c r="W2263" s="17">
        <f>(VLOOKUP(T2263,'[1]Simulation pricing per sub assy'!$D:$E,2,0))*U2263</f>
        <v>7.04</v>
      </c>
      <c r="X2263" s="32" t="s">
        <v>616</v>
      </c>
      <c r="Y2263" s="38">
        <v>1</v>
      </c>
      <c r="Z2263" s="38" t="s">
        <v>23</v>
      </c>
      <c r="AA2263" s="18">
        <f>(VLOOKUP(X2263,'[1]Simulation pricing per sub assy'!$D:$E,2,0))*Y2263</f>
        <v>4.4802908000000006</v>
      </c>
    </row>
    <row r="2264" spans="1:27" x14ac:dyDescent="0.35">
      <c r="A2264" s="27" t="s">
        <v>3760</v>
      </c>
      <c r="B2264" s="27" t="s">
        <v>3761</v>
      </c>
      <c r="C2264" s="42">
        <f t="shared" si="35"/>
        <v>285.77669080000004</v>
      </c>
      <c r="D2264" s="33" t="s">
        <v>3540</v>
      </c>
      <c r="E2264" s="33">
        <v>2</v>
      </c>
      <c r="F2264" s="33" t="s">
        <v>3541</v>
      </c>
      <c r="G2264" s="14">
        <f>(VLOOKUP(D2264,'[1]BOM Info General'!$A:$L,12,0))*E2264</f>
        <v>130.12</v>
      </c>
      <c r="H2264" s="34" t="s">
        <v>41</v>
      </c>
      <c r="I2264" s="34">
        <v>1</v>
      </c>
      <c r="J2264" s="34" t="s">
        <v>47</v>
      </c>
      <c r="K2264" s="15">
        <f>(VLOOKUP(H2264,'[1]BOM Info General'!$A:$L,12,0))*I2264</f>
        <v>27.18</v>
      </c>
      <c r="L2264" s="35" t="s">
        <v>81</v>
      </c>
      <c r="M2264" s="35">
        <v>1</v>
      </c>
      <c r="N2264" s="35" t="s">
        <v>80</v>
      </c>
      <c r="O2264" s="9">
        <f>(VLOOKUP(L2264,'[1]Simulation pricing per sub assy'!$D:$E,2,0))*M2264</f>
        <v>95.756400000000042</v>
      </c>
      <c r="P2264" s="36" t="s">
        <v>51</v>
      </c>
      <c r="Q2264" s="36">
        <v>8</v>
      </c>
      <c r="R2264" s="36" t="s">
        <v>17</v>
      </c>
      <c r="S2264" s="40">
        <f>(VLOOKUP(P2264,'[1]BOM Info General'!$A:$L,12,0))*Q2264</f>
        <v>21.2</v>
      </c>
      <c r="T2264" s="37" t="s">
        <v>26</v>
      </c>
      <c r="U2264" s="37">
        <v>1</v>
      </c>
      <c r="V2264" s="37" t="s">
        <v>27</v>
      </c>
      <c r="W2264" s="17">
        <f>(VLOOKUP(T2264,'[1]Simulation pricing per sub assy'!$D:$E,2,0))*U2264</f>
        <v>7.04</v>
      </c>
      <c r="X2264" s="32" t="s">
        <v>616</v>
      </c>
      <c r="Y2264" s="38">
        <v>1</v>
      </c>
      <c r="Z2264" s="38" t="s">
        <v>23</v>
      </c>
      <c r="AA2264" s="18">
        <f>(VLOOKUP(X2264,'[1]Simulation pricing per sub assy'!$D:$E,2,0))*Y2264</f>
        <v>4.4802908000000006</v>
      </c>
    </row>
    <row r="2265" spans="1:27" x14ac:dyDescent="0.35">
      <c r="A2265" s="27" t="s">
        <v>3762</v>
      </c>
      <c r="B2265" s="27" t="s">
        <v>3763</v>
      </c>
      <c r="C2265" s="42">
        <f t="shared" si="35"/>
        <v>285.22669080000003</v>
      </c>
      <c r="D2265" s="33" t="s">
        <v>3540</v>
      </c>
      <c r="E2265" s="33">
        <v>2</v>
      </c>
      <c r="F2265" s="33" t="s">
        <v>3541</v>
      </c>
      <c r="G2265" s="14">
        <f>(VLOOKUP(D2265,'[1]BOM Info General'!$A:$L,12,0))*E2265</f>
        <v>130.12</v>
      </c>
      <c r="H2265" s="34" t="s">
        <v>41</v>
      </c>
      <c r="I2265" s="34">
        <v>1</v>
      </c>
      <c r="J2265" s="34" t="s">
        <v>47</v>
      </c>
      <c r="K2265" s="15">
        <f>(VLOOKUP(H2265,'[1]BOM Info General'!$A:$L,12,0))*I2265</f>
        <v>27.18</v>
      </c>
      <c r="L2265" s="35" t="s">
        <v>87</v>
      </c>
      <c r="M2265" s="35">
        <v>1</v>
      </c>
      <c r="N2265" s="35" t="s">
        <v>84</v>
      </c>
      <c r="O2265" s="9">
        <f>(VLOOKUP(L2265,'[1]Simulation pricing per sub assy'!$D:$E,2,0))*M2265</f>
        <v>95.206400000000031</v>
      </c>
      <c r="P2265" s="36" t="s">
        <v>51</v>
      </c>
      <c r="Q2265" s="36">
        <v>8</v>
      </c>
      <c r="R2265" s="36" t="s">
        <v>17</v>
      </c>
      <c r="S2265" s="40">
        <f>(VLOOKUP(P2265,'[1]BOM Info General'!$A:$L,12,0))*Q2265</f>
        <v>21.2</v>
      </c>
      <c r="T2265" s="37" t="s">
        <v>26</v>
      </c>
      <c r="U2265" s="37">
        <v>1</v>
      </c>
      <c r="V2265" s="37" t="s">
        <v>27</v>
      </c>
      <c r="W2265" s="17">
        <f>(VLOOKUP(T2265,'[1]Simulation pricing per sub assy'!$D:$E,2,0))*U2265</f>
        <v>7.04</v>
      </c>
      <c r="X2265" s="32" t="s">
        <v>616</v>
      </c>
      <c r="Y2265" s="38">
        <v>1</v>
      </c>
      <c r="Z2265" s="38" t="s">
        <v>23</v>
      </c>
      <c r="AA2265" s="18">
        <f>(VLOOKUP(X2265,'[1]Simulation pricing per sub assy'!$D:$E,2,0))*Y2265</f>
        <v>4.4802908000000006</v>
      </c>
    </row>
    <row r="2266" spans="1:27" x14ac:dyDescent="0.35">
      <c r="A2266" s="27" t="s">
        <v>3764</v>
      </c>
      <c r="B2266" s="27" t="s">
        <v>3765</v>
      </c>
      <c r="C2266" s="42">
        <f t="shared" si="35"/>
        <v>293.18669080000001</v>
      </c>
      <c r="D2266" s="33" t="s">
        <v>3540</v>
      </c>
      <c r="E2266" s="33">
        <v>2</v>
      </c>
      <c r="F2266" s="33" t="s">
        <v>3541</v>
      </c>
      <c r="G2266" s="14">
        <f>(VLOOKUP(D2266,'[1]BOM Info General'!$A:$L,12,0))*E2266</f>
        <v>130.12</v>
      </c>
      <c r="H2266" s="34" t="s">
        <v>41</v>
      </c>
      <c r="I2266" s="34">
        <v>1</v>
      </c>
      <c r="J2266" s="34" t="s">
        <v>47</v>
      </c>
      <c r="K2266" s="15">
        <f>(VLOOKUP(H2266,'[1]BOM Info General'!$A:$L,12,0))*I2266</f>
        <v>27.18</v>
      </c>
      <c r="L2266" s="35" t="s">
        <v>83</v>
      </c>
      <c r="M2266" s="35">
        <v>1</v>
      </c>
      <c r="N2266" s="35" t="s">
        <v>86</v>
      </c>
      <c r="O2266" s="9">
        <f>(VLOOKUP(L2266,'[1]Simulation pricing per sub assy'!$D:$E,2,0))*M2266</f>
        <v>103.16640000000004</v>
      </c>
      <c r="P2266" s="36" t="s">
        <v>51</v>
      </c>
      <c r="Q2266" s="36">
        <v>8</v>
      </c>
      <c r="R2266" s="36" t="s">
        <v>17</v>
      </c>
      <c r="S2266" s="40">
        <f>(VLOOKUP(P2266,'[1]BOM Info General'!$A:$L,12,0))*Q2266</f>
        <v>21.2</v>
      </c>
      <c r="T2266" s="37" t="s">
        <v>26</v>
      </c>
      <c r="U2266" s="37">
        <v>1</v>
      </c>
      <c r="V2266" s="37" t="s">
        <v>27</v>
      </c>
      <c r="W2266" s="17">
        <f>(VLOOKUP(T2266,'[1]Simulation pricing per sub assy'!$D:$E,2,0))*U2266</f>
        <v>7.04</v>
      </c>
      <c r="X2266" s="32" t="s">
        <v>616</v>
      </c>
      <c r="Y2266" s="38">
        <v>1</v>
      </c>
      <c r="Z2266" s="38" t="s">
        <v>23</v>
      </c>
      <c r="AA2266" s="18">
        <f>(VLOOKUP(X2266,'[1]Simulation pricing per sub assy'!$D:$E,2,0))*Y2266</f>
        <v>4.4802908000000006</v>
      </c>
    </row>
    <row r="2267" spans="1:27" x14ac:dyDescent="0.35">
      <c r="A2267" s="27" t="s">
        <v>3766</v>
      </c>
      <c r="B2267" s="27" t="s">
        <v>3767</v>
      </c>
      <c r="C2267" s="42">
        <f t="shared" si="35"/>
        <v>284.6366908</v>
      </c>
      <c r="D2267" s="33" t="s">
        <v>3540</v>
      </c>
      <c r="E2267" s="33">
        <v>2</v>
      </c>
      <c r="F2267" s="33" t="s">
        <v>3541</v>
      </c>
      <c r="G2267" s="14">
        <f>(VLOOKUP(D2267,'[1]BOM Info General'!$A:$L,12,0))*E2267</f>
        <v>130.12</v>
      </c>
      <c r="H2267" s="34" t="s">
        <v>41</v>
      </c>
      <c r="I2267" s="34">
        <v>1</v>
      </c>
      <c r="J2267" s="34" t="s">
        <v>47</v>
      </c>
      <c r="K2267" s="15">
        <f>(VLOOKUP(H2267,'[1]BOM Info General'!$A:$L,12,0))*I2267</f>
        <v>27.18</v>
      </c>
      <c r="L2267" s="35" t="s">
        <v>528</v>
      </c>
      <c r="M2267" s="35">
        <v>1</v>
      </c>
      <c r="N2267" s="35" t="s">
        <v>88</v>
      </c>
      <c r="O2267" s="9">
        <f>(VLOOKUP(L2267,'[1]Simulation pricing per sub assy'!$D:$E,2,0))*M2267</f>
        <v>94.656400000000033</v>
      </c>
      <c r="P2267" s="36" t="s">
        <v>51</v>
      </c>
      <c r="Q2267" s="36">
        <v>8</v>
      </c>
      <c r="R2267" s="36" t="s">
        <v>17</v>
      </c>
      <c r="S2267" s="40">
        <f>(VLOOKUP(P2267,'[1]BOM Info General'!$A:$L,12,0))*Q2267</f>
        <v>21.2</v>
      </c>
      <c r="T2267" s="37" t="s">
        <v>28</v>
      </c>
      <c r="U2267" s="37">
        <v>1</v>
      </c>
      <c r="V2267" s="37" t="s">
        <v>29</v>
      </c>
      <c r="W2267" s="17">
        <f>(VLOOKUP(T2267,'[1]Simulation pricing per sub assy'!$D:$E,2,0))*U2267</f>
        <v>7</v>
      </c>
      <c r="X2267" s="32" t="s">
        <v>616</v>
      </c>
      <c r="Y2267" s="38">
        <v>1</v>
      </c>
      <c r="Z2267" s="38" t="s">
        <v>23</v>
      </c>
      <c r="AA2267" s="18">
        <f>(VLOOKUP(X2267,'[1]Simulation pricing per sub assy'!$D:$E,2,0))*Y2267</f>
        <v>4.4802908000000006</v>
      </c>
    </row>
    <row r="2268" spans="1:27" x14ac:dyDescent="0.35">
      <c r="A2268" s="27" t="s">
        <v>3768</v>
      </c>
      <c r="B2268" s="27" t="s">
        <v>3769</v>
      </c>
      <c r="C2268" s="42">
        <f t="shared" si="35"/>
        <v>285.73669080000002</v>
      </c>
      <c r="D2268" s="33" t="s">
        <v>3540</v>
      </c>
      <c r="E2268" s="33">
        <v>2</v>
      </c>
      <c r="F2268" s="33" t="s">
        <v>3541</v>
      </c>
      <c r="G2268" s="14">
        <f>(VLOOKUP(D2268,'[1]BOM Info General'!$A:$L,12,0))*E2268</f>
        <v>130.12</v>
      </c>
      <c r="H2268" s="34" t="s">
        <v>41</v>
      </c>
      <c r="I2268" s="34">
        <v>1</v>
      </c>
      <c r="J2268" s="34" t="s">
        <v>47</v>
      </c>
      <c r="K2268" s="15">
        <f>(VLOOKUP(H2268,'[1]BOM Info General'!$A:$L,12,0))*I2268</f>
        <v>27.18</v>
      </c>
      <c r="L2268" s="35" t="s">
        <v>85</v>
      </c>
      <c r="M2268" s="35">
        <v>1</v>
      </c>
      <c r="N2268" s="35" t="s">
        <v>82</v>
      </c>
      <c r="O2268" s="9">
        <f>(VLOOKUP(L2268,'[1]Simulation pricing per sub assy'!$D:$E,2,0))*M2268</f>
        <v>95.756400000000042</v>
      </c>
      <c r="P2268" s="36" t="s">
        <v>51</v>
      </c>
      <c r="Q2268" s="36">
        <v>8</v>
      </c>
      <c r="R2268" s="36" t="s">
        <v>17</v>
      </c>
      <c r="S2268" s="40">
        <f>(VLOOKUP(P2268,'[1]BOM Info General'!$A:$L,12,0))*Q2268</f>
        <v>21.2</v>
      </c>
      <c r="T2268" s="37" t="s">
        <v>28</v>
      </c>
      <c r="U2268" s="37">
        <v>1</v>
      </c>
      <c r="V2268" s="37" t="s">
        <v>29</v>
      </c>
      <c r="W2268" s="17">
        <f>(VLOOKUP(T2268,'[1]Simulation pricing per sub assy'!$D:$E,2,0))*U2268</f>
        <v>7</v>
      </c>
      <c r="X2268" s="32" t="s">
        <v>616</v>
      </c>
      <c r="Y2268" s="38">
        <v>1</v>
      </c>
      <c r="Z2268" s="38" t="s">
        <v>23</v>
      </c>
      <c r="AA2268" s="18">
        <f>(VLOOKUP(X2268,'[1]Simulation pricing per sub assy'!$D:$E,2,0))*Y2268</f>
        <v>4.4802908000000006</v>
      </c>
    </row>
    <row r="2269" spans="1:27" x14ac:dyDescent="0.35">
      <c r="A2269" s="27" t="s">
        <v>3770</v>
      </c>
      <c r="B2269" s="27" t="s">
        <v>3771</v>
      </c>
      <c r="C2269" s="42">
        <f t="shared" si="35"/>
        <v>285.73669080000002</v>
      </c>
      <c r="D2269" s="33" t="s">
        <v>3540</v>
      </c>
      <c r="E2269" s="33">
        <v>2</v>
      </c>
      <c r="F2269" s="33" t="s">
        <v>3541</v>
      </c>
      <c r="G2269" s="14">
        <f>(VLOOKUP(D2269,'[1]BOM Info General'!$A:$L,12,0))*E2269</f>
        <v>130.12</v>
      </c>
      <c r="H2269" s="34" t="s">
        <v>41</v>
      </c>
      <c r="I2269" s="34">
        <v>1</v>
      </c>
      <c r="J2269" s="34" t="s">
        <v>47</v>
      </c>
      <c r="K2269" s="15">
        <f>(VLOOKUP(H2269,'[1]BOM Info General'!$A:$L,12,0))*I2269</f>
        <v>27.18</v>
      </c>
      <c r="L2269" s="35" t="s">
        <v>81</v>
      </c>
      <c r="M2269" s="35">
        <v>1</v>
      </c>
      <c r="N2269" s="35" t="s">
        <v>80</v>
      </c>
      <c r="O2269" s="9">
        <f>(VLOOKUP(L2269,'[1]Simulation pricing per sub assy'!$D:$E,2,0))*M2269</f>
        <v>95.756400000000042</v>
      </c>
      <c r="P2269" s="36" t="s">
        <v>51</v>
      </c>
      <c r="Q2269" s="36">
        <v>8</v>
      </c>
      <c r="R2269" s="36" t="s">
        <v>17</v>
      </c>
      <c r="S2269" s="40">
        <f>(VLOOKUP(P2269,'[1]BOM Info General'!$A:$L,12,0))*Q2269</f>
        <v>21.2</v>
      </c>
      <c r="T2269" s="37" t="s">
        <v>28</v>
      </c>
      <c r="U2269" s="37">
        <v>1</v>
      </c>
      <c r="V2269" s="37" t="s">
        <v>29</v>
      </c>
      <c r="W2269" s="17">
        <f>(VLOOKUP(T2269,'[1]Simulation pricing per sub assy'!$D:$E,2,0))*U2269</f>
        <v>7</v>
      </c>
      <c r="X2269" s="32" t="s">
        <v>616</v>
      </c>
      <c r="Y2269" s="38">
        <v>1</v>
      </c>
      <c r="Z2269" s="38" t="s">
        <v>23</v>
      </c>
      <c r="AA2269" s="18">
        <f>(VLOOKUP(X2269,'[1]Simulation pricing per sub assy'!$D:$E,2,0))*Y2269</f>
        <v>4.4802908000000006</v>
      </c>
    </row>
    <row r="2270" spans="1:27" x14ac:dyDescent="0.35">
      <c r="A2270" s="27" t="s">
        <v>3772</v>
      </c>
      <c r="B2270" s="27" t="s">
        <v>3773</v>
      </c>
      <c r="C2270" s="42">
        <f t="shared" si="35"/>
        <v>285.18669080000001</v>
      </c>
      <c r="D2270" s="33" t="s">
        <v>3540</v>
      </c>
      <c r="E2270" s="33">
        <v>2</v>
      </c>
      <c r="F2270" s="33" t="s">
        <v>3541</v>
      </c>
      <c r="G2270" s="14">
        <f>(VLOOKUP(D2270,'[1]BOM Info General'!$A:$L,12,0))*E2270</f>
        <v>130.12</v>
      </c>
      <c r="H2270" s="34" t="s">
        <v>41</v>
      </c>
      <c r="I2270" s="34">
        <v>1</v>
      </c>
      <c r="J2270" s="34" t="s">
        <v>47</v>
      </c>
      <c r="K2270" s="15">
        <f>(VLOOKUP(H2270,'[1]BOM Info General'!$A:$L,12,0))*I2270</f>
        <v>27.18</v>
      </c>
      <c r="L2270" s="35" t="s">
        <v>87</v>
      </c>
      <c r="M2270" s="35">
        <v>1</v>
      </c>
      <c r="N2270" s="35" t="s">
        <v>84</v>
      </c>
      <c r="O2270" s="9">
        <f>(VLOOKUP(L2270,'[1]Simulation pricing per sub assy'!$D:$E,2,0))*M2270</f>
        <v>95.206400000000031</v>
      </c>
      <c r="P2270" s="36" t="s">
        <v>51</v>
      </c>
      <c r="Q2270" s="36">
        <v>8</v>
      </c>
      <c r="R2270" s="36" t="s">
        <v>17</v>
      </c>
      <c r="S2270" s="40">
        <f>(VLOOKUP(P2270,'[1]BOM Info General'!$A:$L,12,0))*Q2270</f>
        <v>21.2</v>
      </c>
      <c r="T2270" s="37" t="s">
        <v>28</v>
      </c>
      <c r="U2270" s="37">
        <v>1</v>
      </c>
      <c r="V2270" s="37" t="s">
        <v>29</v>
      </c>
      <c r="W2270" s="17">
        <f>(VLOOKUP(T2270,'[1]Simulation pricing per sub assy'!$D:$E,2,0))*U2270</f>
        <v>7</v>
      </c>
      <c r="X2270" s="32" t="s">
        <v>616</v>
      </c>
      <c r="Y2270" s="38">
        <v>1</v>
      </c>
      <c r="Z2270" s="38" t="s">
        <v>23</v>
      </c>
      <c r="AA2270" s="18">
        <f>(VLOOKUP(X2270,'[1]Simulation pricing per sub assy'!$D:$E,2,0))*Y2270</f>
        <v>4.4802908000000006</v>
      </c>
    </row>
    <row r="2271" spans="1:27" x14ac:dyDescent="0.35">
      <c r="A2271" s="27" t="s">
        <v>3774</v>
      </c>
      <c r="B2271" s="27" t="s">
        <v>3775</v>
      </c>
      <c r="C2271" s="42">
        <f t="shared" si="35"/>
        <v>293.14669079999999</v>
      </c>
      <c r="D2271" s="33" t="s">
        <v>3540</v>
      </c>
      <c r="E2271" s="33">
        <v>2</v>
      </c>
      <c r="F2271" s="33" t="s">
        <v>3541</v>
      </c>
      <c r="G2271" s="14">
        <f>(VLOOKUP(D2271,'[1]BOM Info General'!$A:$L,12,0))*E2271</f>
        <v>130.12</v>
      </c>
      <c r="H2271" s="34" t="s">
        <v>41</v>
      </c>
      <c r="I2271" s="34">
        <v>1</v>
      </c>
      <c r="J2271" s="34" t="s">
        <v>47</v>
      </c>
      <c r="K2271" s="15">
        <f>(VLOOKUP(H2271,'[1]BOM Info General'!$A:$L,12,0))*I2271</f>
        <v>27.18</v>
      </c>
      <c r="L2271" s="35" t="s">
        <v>83</v>
      </c>
      <c r="M2271" s="35">
        <v>1</v>
      </c>
      <c r="N2271" s="35" t="s">
        <v>86</v>
      </c>
      <c r="O2271" s="9">
        <f>(VLOOKUP(L2271,'[1]Simulation pricing per sub assy'!$D:$E,2,0))*M2271</f>
        <v>103.16640000000004</v>
      </c>
      <c r="P2271" s="36" t="s">
        <v>51</v>
      </c>
      <c r="Q2271" s="36">
        <v>8</v>
      </c>
      <c r="R2271" s="36" t="s">
        <v>17</v>
      </c>
      <c r="S2271" s="40">
        <f>(VLOOKUP(P2271,'[1]BOM Info General'!$A:$L,12,0))*Q2271</f>
        <v>21.2</v>
      </c>
      <c r="T2271" s="37" t="s">
        <v>28</v>
      </c>
      <c r="U2271" s="37">
        <v>1</v>
      </c>
      <c r="V2271" s="37" t="s">
        <v>29</v>
      </c>
      <c r="W2271" s="17">
        <f>(VLOOKUP(T2271,'[1]Simulation pricing per sub assy'!$D:$E,2,0))*U2271</f>
        <v>7</v>
      </c>
      <c r="X2271" s="32" t="s">
        <v>616</v>
      </c>
      <c r="Y2271" s="38">
        <v>1</v>
      </c>
      <c r="Z2271" s="38" t="s">
        <v>23</v>
      </c>
      <c r="AA2271" s="18">
        <f>(VLOOKUP(X2271,'[1]Simulation pricing per sub assy'!$D:$E,2,0))*Y2271</f>
        <v>4.4802908000000006</v>
      </c>
    </row>
    <row r="2272" spans="1:27" x14ac:dyDescent="0.35">
      <c r="A2272" s="27" t="s">
        <v>3776</v>
      </c>
      <c r="B2272" s="27" t="s">
        <v>3777</v>
      </c>
      <c r="C2272" s="42">
        <f t="shared" si="35"/>
        <v>284.07669079999999</v>
      </c>
      <c r="D2272" s="33" t="s">
        <v>3540</v>
      </c>
      <c r="E2272" s="33">
        <v>2</v>
      </c>
      <c r="F2272" s="33" t="s">
        <v>3541</v>
      </c>
      <c r="G2272" s="14">
        <f>(VLOOKUP(D2272,'[1]BOM Info General'!$A:$L,12,0))*E2272</f>
        <v>130.12</v>
      </c>
      <c r="H2272" s="34" t="s">
        <v>41</v>
      </c>
      <c r="I2272" s="34">
        <v>1</v>
      </c>
      <c r="J2272" s="34" t="s">
        <v>47</v>
      </c>
      <c r="K2272" s="15">
        <f>(VLOOKUP(H2272,'[1]BOM Info General'!$A:$L,12,0))*I2272</f>
        <v>27.18</v>
      </c>
      <c r="L2272" s="35" t="s">
        <v>528</v>
      </c>
      <c r="M2272" s="35">
        <v>1</v>
      </c>
      <c r="N2272" s="35" t="s">
        <v>88</v>
      </c>
      <c r="O2272" s="9">
        <f>(VLOOKUP(L2272,'[1]Simulation pricing per sub assy'!$D:$E,2,0))*M2272</f>
        <v>94.656400000000033</v>
      </c>
      <c r="P2272" s="36" t="s">
        <v>52</v>
      </c>
      <c r="Q2272" s="36">
        <v>8</v>
      </c>
      <c r="R2272" s="36" t="s">
        <v>18</v>
      </c>
      <c r="S2272" s="40">
        <f>(VLOOKUP(P2272,'[1]BOM Info General'!$A:$L,12,0))*Q2272</f>
        <v>21.2</v>
      </c>
      <c r="T2272" s="37" t="s">
        <v>24</v>
      </c>
      <c r="U2272" s="37">
        <v>1</v>
      </c>
      <c r="V2272" s="37" t="s">
        <v>25</v>
      </c>
      <c r="W2272" s="17">
        <f>(VLOOKUP(T2272,'[1]Simulation pricing per sub assy'!$D:$E,2,0))*U2272</f>
        <v>6.44</v>
      </c>
      <c r="X2272" s="32" t="s">
        <v>616</v>
      </c>
      <c r="Y2272" s="38">
        <v>1</v>
      </c>
      <c r="Z2272" s="38" t="s">
        <v>23</v>
      </c>
      <c r="AA2272" s="18">
        <f>(VLOOKUP(X2272,'[1]Simulation pricing per sub assy'!$D:$E,2,0))*Y2272</f>
        <v>4.4802908000000006</v>
      </c>
    </row>
    <row r="2273" spans="1:27" x14ac:dyDescent="0.35">
      <c r="A2273" s="27" t="s">
        <v>3778</v>
      </c>
      <c r="B2273" s="27" t="s">
        <v>3779</v>
      </c>
      <c r="C2273" s="42">
        <f t="shared" si="35"/>
        <v>285.17669080000002</v>
      </c>
      <c r="D2273" s="33" t="s">
        <v>3540</v>
      </c>
      <c r="E2273" s="33">
        <v>2</v>
      </c>
      <c r="F2273" s="33" t="s">
        <v>3541</v>
      </c>
      <c r="G2273" s="14">
        <f>(VLOOKUP(D2273,'[1]BOM Info General'!$A:$L,12,0))*E2273</f>
        <v>130.12</v>
      </c>
      <c r="H2273" s="34" t="s">
        <v>41</v>
      </c>
      <c r="I2273" s="34">
        <v>1</v>
      </c>
      <c r="J2273" s="34" t="s">
        <v>47</v>
      </c>
      <c r="K2273" s="15">
        <f>(VLOOKUP(H2273,'[1]BOM Info General'!$A:$L,12,0))*I2273</f>
        <v>27.18</v>
      </c>
      <c r="L2273" s="35" t="s">
        <v>85</v>
      </c>
      <c r="M2273" s="35">
        <v>1</v>
      </c>
      <c r="N2273" s="35" t="s">
        <v>82</v>
      </c>
      <c r="O2273" s="9">
        <f>(VLOOKUP(L2273,'[1]Simulation pricing per sub assy'!$D:$E,2,0))*M2273</f>
        <v>95.756400000000042</v>
      </c>
      <c r="P2273" s="36" t="s">
        <v>52</v>
      </c>
      <c r="Q2273" s="36">
        <v>8</v>
      </c>
      <c r="R2273" s="36" t="s">
        <v>18</v>
      </c>
      <c r="S2273" s="40">
        <f>(VLOOKUP(P2273,'[1]BOM Info General'!$A:$L,12,0))*Q2273</f>
        <v>21.2</v>
      </c>
      <c r="T2273" s="37" t="s">
        <v>24</v>
      </c>
      <c r="U2273" s="37">
        <v>1</v>
      </c>
      <c r="V2273" s="37" t="s">
        <v>25</v>
      </c>
      <c r="W2273" s="17">
        <f>(VLOOKUP(T2273,'[1]Simulation pricing per sub assy'!$D:$E,2,0))*U2273</f>
        <v>6.44</v>
      </c>
      <c r="X2273" s="32" t="s">
        <v>616</v>
      </c>
      <c r="Y2273" s="38">
        <v>1</v>
      </c>
      <c r="Z2273" s="38" t="s">
        <v>23</v>
      </c>
      <c r="AA2273" s="18">
        <f>(VLOOKUP(X2273,'[1]Simulation pricing per sub assy'!$D:$E,2,0))*Y2273</f>
        <v>4.4802908000000006</v>
      </c>
    </row>
    <row r="2274" spans="1:27" x14ac:dyDescent="0.35">
      <c r="A2274" s="27" t="s">
        <v>3780</v>
      </c>
      <c r="B2274" s="27" t="s">
        <v>3781</v>
      </c>
      <c r="C2274" s="42">
        <f t="shared" si="35"/>
        <v>285.17669080000002</v>
      </c>
      <c r="D2274" s="33" t="s">
        <v>3540</v>
      </c>
      <c r="E2274" s="33">
        <v>2</v>
      </c>
      <c r="F2274" s="33" t="s">
        <v>3541</v>
      </c>
      <c r="G2274" s="14">
        <f>(VLOOKUP(D2274,'[1]BOM Info General'!$A:$L,12,0))*E2274</f>
        <v>130.12</v>
      </c>
      <c r="H2274" s="34" t="s">
        <v>41</v>
      </c>
      <c r="I2274" s="34">
        <v>1</v>
      </c>
      <c r="J2274" s="34" t="s">
        <v>47</v>
      </c>
      <c r="K2274" s="15">
        <f>(VLOOKUP(H2274,'[1]BOM Info General'!$A:$L,12,0))*I2274</f>
        <v>27.18</v>
      </c>
      <c r="L2274" s="35" t="s">
        <v>81</v>
      </c>
      <c r="M2274" s="35">
        <v>1</v>
      </c>
      <c r="N2274" s="35" t="s">
        <v>80</v>
      </c>
      <c r="O2274" s="9">
        <f>(VLOOKUP(L2274,'[1]Simulation pricing per sub assy'!$D:$E,2,0))*M2274</f>
        <v>95.756400000000042</v>
      </c>
      <c r="P2274" s="36" t="s">
        <v>52</v>
      </c>
      <c r="Q2274" s="36">
        <v>8</v>
      </c>
      <c r="R2274" s="36" t="s">
        <v>18</v>
      </c>
      <c r="S2274" s="40">
        <f>(VLOOKUP(P2274,'[1]BOM Info General'!$A:$L,12,0))*Q2274</f>
        <v>21.2</v>
      </c>
      <c r="T2274" s="37" t="s">
        <v>24</v>
      </c>
      <c r="U2274" s="37">
        <v>1</v>
      </c>
      <c r="V2274" s="37" t="s">
        <v>25</v>
      </c>
      <c r="W2274" s="17">
        <f>(VLOOKUP(T2274,'[1]Simulation pricing per sub assy'!$D:$E,2,0))*U2274</f>
        <v>6.44</v>
      </c>
      <c r="X2274" s="32" t="s">
        <v>616</v>
      </c>
      <c r="Y2274" s="38">
        <v>1</v>
      </c>
      <c r="Z2274" s="38" t="s">
        <v>23</v>
      </c>
      <c r="AA2274" s="18">
        <f>(VLOOKUP(X2274,'[1]Simulation pricing per sub assy'!$D:$E,2,0))*Y2274</f>
        <v>4.4802908000000006</v>
      </c>
    </row>
    <row r="2275" spans="1:27" x14ac:dyDescent="0.35">
      <c r="A2275" s="27" t="s">
        <v>3782</v>
      </c>
      <c r="B2275" s="27" t="s">
        <v>3783</v>
      </c>
      <c r="C2275" s="42">
        <f t="shared" si="35"/>
        <v>284.62669080000001</v>
      </c>
      <c r="D2275" s="33" t="s">
        <v>3540</v>
      </c>
      <c r="E2275" s="33">
        <v>2</v>
      </c>
      <c r="F2275" s="33" t="s">
        <v>3541</v>
      </c>
      <c r="G2275" s="14">
        <f>(VLOOKUP(D2275,'[1]BOM Info General'!$A:$L,12,0))*E2275</f>
        <v>130.12</v>
      </c>
      <c r="H2275" s="34" t="s">
        <v>41</v>
      </c>
      <c r="I2275" s="34">
        <v>1</v>
      </c>
      <c r="J2275" s="34" t="s">
        <v>47</v>
      </c>
      <c r="K2275" s="15">
        <f>(VLOOKUP(H2275,'[1]BOM Info General'!$A:$L,12,0))*I2275</f>
        <v>27.18</v>
      </c>
      <c r="L2275" s="35" t="s">
        <v>87</v>
      </c>
      <c r="M2275" s="35">
        <v>1</v>
      </c>
      <c r="N2275" s="35" t="s">
        <v>84</v>
      </c>
      <c r="O2275" s="9">
        <f>(VLOOKUP(L2275,'[1]Simulation pricing per sub assy'!$D:$E,2,0))*M2275</f>
        <v>95.206400000000031</v>
      </c>
      <c r="P2275" s="36" t="s">
        <v>52</v>
      </c>
      <c r="Q2275" s="36">
        <v>8</v>
      </c>
      <c r="R2275" s="36" t="s">
        <v>18</v>
      </c>
      <c r="S2275" s="40">
        <f>(VLOOKUP(P2275,'[1]BOM Info General'!$A:$L,12,0))*Q2275</f>
        <v>21.2</v>
      </c>
      <c r="T2275" s="37" t="s">
        <v>24</v>
      </c>
      <c r="U2275" s="37">
        <v>1</v>
      </c>
      <c r="V2275" s="37" t="s">
        <v>25</v>
      </c>
      <c r="W2275" s="17">
        <f>(VLOOKUP(T2275,'[1]Simulation pricing per sub assy'!$D:$E,2,0))*U2275</f>
        <v>6.44</v>
      </c>
      <c r="X2275" s="32" t="s">
        <v>616</v>
      </c>
      <c r="Y2275" s="38">
        <v>1</v>
      </c>
      <c r="Z2275" s="38" t="s">
        <v>23</v>
      </c>
      <c r="AA2275" s="18">
        <f>(VLOOKUP(X2275,'[1]Simulation pricing per sub assy'!$D:$E,2,0))*Y2275</f>
        <v>4.4802908000000006</v>
      </c>
    </row>
    <row r="2276" spans="1:27" x14ac:dyDescent="0.35">
      <c r="A2276" s="27" t="s">
        <v>3784</v>
      </c>
      <c r="B2276" s="27" t="s">
        <v>3785</v>
      </c>
      <c r="C2276" s="42">
        <f t="shared" si="35"/>
        <v>292.58669079999999</v>
      </c>
      <c r="D2276" s="33" t="s">
        <v>3540</v>
      </c>
      <c r="E2276" s="33">
        <v>2</v>
      </c>
      <c r="F2276" s="33" t="s">
        <v>3541</v>
      </c>
      <c r="G2276" s="14">
        <f>(VLOOKUP(D2276,'[1]BOM Info General'!$A:$L,12,0))*E2276</f>
        <v>130.12</v>
      </c>
      <c r="H2276" s="34" t="s">
        <v>41</v>
      </c>
      <c r="I2276" s="34">
        <v>1</v>
      </c>
      <c r="J2276" s="34" t="s">
        <v>47</v>
      </c>
      <c r="K2276" s="15">
        <f>(VLOOKUP(H2276,'[1]BOM Info General'!$A:$L,12,0))*I2276</f>
        <v>27.18</v>
      </c>
      <c r="L2276" s="35" t="s">
        <v>83</v>
      </c>
      <c r="M2276" s="35">
        <v>1</v>
      </c>
      <c r="N2276" s="35" t="s">
        <v>86</v>
      </c>
      <c r="O2276" s="9">
        <f>(VLOOKUP(L2276,'[1]Simulation pricing per sub assy'!$D:$E,2,0))*M2276</f>
        <v>103.16640000000004</v>
      </c>
      <c r="P2276" s="36" t="s">
        <v>52</v>
      </c>
      <c r="Q2276" s="36">
        <v>8</v>
      </c>
      <c r="R2276" s="36" t="s">
        <v>18</v>
      </c>
      <c r="S2276" s="40">
        <f>(VLOOKUP(P2276,'[1]BOM Info General'!$A:$L,12,0))*Q2276</f>
        <v>21.2</v>
      </c>
      <c r="T2276" s="37" t="s">
        <v>24</v>
      </c>
      <c r="U2276" s="37">
        <v>1</v>
      </c>
      <c r="V2276" s="37" t="s">
        <v>25</v>
      </c>
      <c r="W2276" s="17">
        <f>(VLOOKUP(T2276,'[1]Simulation pricing per sub assy'!$D:$E,2,0))*U2276</f>
        <v>6.44</v>
      </c>
      <c r="X2276" s="32" t="s">
        <v>616</v>
      </c>
      <c r="Y2276" s="38">
        <v>1</v>
      </c>
      <c r="Z2276" s="38" t="s">
        <v>23</v>
      </c>
      <c r="AA2276" s="18">
        <f>(VLOOKUP(X2276,'[1]Simulation pricing per sub assy'!$D:$E,2,0))*Y2276</f>
        <v>4.4802908000000006</v>
      </c>
    </row>
    <row r="2277" spans="1:27" x14ac:dyDescent="0.35">
      <c r="A2277" s="27" t="s">
        <v>3786</v>
      </c>
      <c r="B2277" s="27" t="s">
        <v>3787</v>
      </c>
      <c r="C2277" s="42">
        <f t="shared" si="35"/>
        <v>284.67669080000002</v>
      </c>
      <c r="D2277" s="33" t="s">
        <v>3540</v>
      </c>
      <c r="E2277" s="33">
        <v>2</v>
      </c>
      <c r="F2277" s="33" t="s">
        <v>3541</v>
      </c>
      <c r="G2277" s="14">
        <f>(VLOOKUP(D2277,'[1]BOM Info General'!$A:$L,12,0))*E2277</f>
        <v>130.12</v>
      </c>
      <c r="H2277" s="34" t="s">
        <v>41</v>
      </c>
      <c r="I2277" s="34">
        <v>1</v>
      </c>
      <c r="J2277" s="34" t="s">
        <v>47</v>
      </c>
      <c r="K2277" s="15">
        <f>(VLOOKUP(H2277,'[1]BOM Info General'!$A:$L,12,0))*I2277</f>
        <v>27.18</v>
      </c>
      <c r="L2277" s="35" t="s">
        <v>528</v>
      </c>
      <c r="M2277" s="35">
        <v>1</v>
      </c>
      <c r="N2277" s="35" t="s">
        <v>88</v>
      </c>
      <c r="O2277" s="9">
        <f>(VLOOKUP(L2277,'[1]Simulation pricing per sub assy'!$D:$E,2,0))*M2277</f>
        <v>94.656400000000033</v>
      </c>
      <c r="P2277" s="36" t="s">
        <v>52</v>
      </c>
      <c r="Q2277" s="36">
        <v>8</v>
      </c>
      <c r="R2277" s="36" t="s">
        <v>18</v>
      </c>
      <c r="S2277" s="40">
        <f>(VLOOKUP(P2277,'[1]BOM Info General'!$A:$L,12,0))*Q2277</f>
        <v>21.2</v>
      </c>
      <c r="T2277" s="37" t="s">
        <v>26</v>
      </c>
      <c r="U2277" s="37">
        <v>1</v>
      </c>
      <c r="V2277" s="37" t="s">
        <v>27</v>
      </c>
      <c r="W2277" s="17">
        <f>(VLOOKUP(T2277,'[1]Simulation pricing per sub assy'!$D:$E,2,0))*U2277</f>
        <v>7.04</v>
      </c>
      <c r="X2277" s="32" t="s">
        <v>616</v>
      </c>
      <c r="Y2277" s="38">
        <v>1</v>
      </c>
      <c r="Z2277" s="38" t="s">
        <v>23</v>
      </c>
      <c r="AA2277" s="18">
        <f>(VLOOKUP(X2277,'[1]Simulation pricing per sub assy'!$D:$E,2,0))*Y2277</f>
        <v>4.4802908000000006</v>
      </c>
    </row>
    <row r="2278" spans="1:27" x14ac:dyDescent="0.35">
      <c r="A2278" s="27" t="s">
        <v>3788</v>
      </c>
      <c r="B2278" s="27" t="s">
        <v>3789</v>
      </c>
      <c r="C2278" s="42">
        <f t="shared" si="35"/>
        <v>285.77669080000004</v>
      </c>
      <c r="D2278" s="33" t="s">
        <v>3540</v>
      </c>
      <c r="E2278" s="33">
        <v>2</v>
      </c>
      <c r="F2278" s="33" t="s">
        <v>3541</v>
      </c>
      <c r="G2278" s="14">
        <f>(VLOOKUP(D2278,'[1]BOM Info General'!$A:$L,12,0))*E2278</f>
        <v>130.12</v>
      </c>
      <c r="H2278" s="34" t="s">
        <v>41</v>
      </c>
      <c r="I2278" s="34">
        <v>1</v>
      </c>
      <c r="J2278" s="34" t="s">
        <v>47</v>
      </c>
      <c r="K2278" s="15">
        <f>(VLOOKUP(H2278,'[1]BOM Info General'!$A:$L,12,0))*I2278</f>
        <v>27.18</v>
      </c>
      <c r="L2278" s="35" t="s">
        <v>85</v>
      </c>
      <c r="M2278" s="35">
        <v>1</v>
      </c>
      <c r="N2278" s="35" t="s">
        <v>82</v>
      </c>
      <c r="O2278" s="9">
        <f>(VLOOKUP(L2278,'[1]Simulation pricing per sub assy'!$D:$E,2,0))*M2278</f>
        <v>95.756400000000042</v>
      </c>
      <c r="P2278" s="36" t="s">
        <v>52</v>
      </c>
      <c r="Q2278" s="36">
        <v>8</v>
      </c>
      <c r="R2278" s="36" t="s">
        <v>18</v>
      </c>
      <c r="S2278" s="40">
        <f>(VLOOKUP(P2278,'[1]BOM Info General'!$A:$L,12,0))*Q2278</f>
        <v>21.2</v>
      </c>
      <c r="T2278" s="37" t="s">
        <v>26</v>
      </c>
      <c r="U2278" s="37">
        <v>1</v>
      </c>
      <c r="V2278" s="37" t="s">
        <v>27</v>
      </c>
      <c r="W2278" s="17">
        <f>(VLOOKUP(T2278,'[1]Simulation pricing per sub assy'!$D:$E,2,0))*U2278</f>
        <v>7.04</v>
      </c>
      <c r="X2278" s="32" t="s">
        <v>616</v>
      </c>
      <c r="Y2278" s="38">
        <v>1</v>
      </c>
      <c r="Z2278" s="38" t="s">
        <v>23</v>
      </c>
      <c r="AA2278" s="18">
        <f>(VLOOKUP(X2278,'[1]Simulation pricing per sub assy'!$D:$E,2,0))*Y2278</f>
        <v>4.4802908000000006</v>
      </c>
    </row>
    <row r="2279" spans="1:27" x14ac:dyDescent="0.35">
      <c r="A2279" s="27" t="s">
        <v>3790</v>
      </c>
      <c r="B2279" s="27" t="s">
        <v>3791</v>
      </c>
      <c r="C2279" s="42">
        <f t="shared" si="35"/>
        <v>285.77669080000004</v>
      </c>
      <c r="D2279" s="33" t="s">
        <v>3540</v>
      </c>
      <c r="E2279" s="33">
        <v>2</v>
      </c>
      <c r="F2279" s="33" t="s">
        <v>3541</v>
      </c>
      <c r="G2279" s="14">
        <f>(VLOOKUP(D2279,'[1]BOM Info General'!$A:$L,12,0))*E2279</f>
        <v>130.12</v>
      </c>
      <c r="H2279" s="34" t="s">
        <v>41</v>
      </c>
      <c r="I2279" s="34">
        <v>1</v>
      </c>
      <c r="J2279" s="34" t="s">
        <v>47</v>
      </c>
      <c r="K2279" s="15">
        <f>(VLOOKUP(H2279,'[1]BOM Info General'!$A:$L,12,0))*I2279</f>
        <v>27.18</v>
      </c>
      <c r="L2279" s="35" t="s">
        <v>81</v>
      </c>
      <c r="M2279" s="35">
        <v>1</v>
      </c>
      <c r="N2279" s="35" t="s">
        <v>80</v>
      </c>
      <c r="O2279" s="9">
        <f>(VLOOKUP(L2279,'[1]Simulation pricing per sub assy'!$D:$E,2,0))*M2279</f>
        <v>95.756400000000042</v>
      </c>
      <c r="P2279" s="36" t="s">
        <v>52</v>
      </c>
      <c r="Q2279" s="36">
        <v>8</v>
      </c>
      <c r="R2279" s="36" t="s">
        <v>18</v>
      </c>
      <c r="S2279" s="40">
        <f>(VLOOKUP(P2279,'[1]BOM Info General'!$A:$L,12,0))*Q2279</f>
        <v>21.2</v>
      </c>
      <c r="T2279" s="37" t="s">
        <v>26</v>
      </c>
      <c r="U2279" s="37">
        <v>1</v>
      </c>
      <c r="V2279" s="37" t="s">
        <v>27</v>
      </c>
      <c r="W2279" s="17">
        <f>(VLOOKUP(T2279,'[1]Simulation pricing per sub assy'!$D:$E,2,0))*U2279</f>
        <v>7.04</v>
      </c>
      <c r="X2279" s="32" t="s">
        <v>616</v>
      </c>
      <c r="Y2279" s="38">
        <v>1</v>
      </c>
      <c r="Z2279" s="38" t="s">
        <v>23</v>
      </c>
      <c r="AA2279" s="18">
        <f>(VLOOKUP(X2279,'[1]Simulation pricing per sub assy'!$D:$E,2,0))*Y2279</f>
        <v>4.4802908000000006</v>
      </c>
    </row>
    <row r="2280" spans="1:27" x14ac:dyDescent="0.35">
      <c r="A2280" s="27" t="s">
        <v>3792</v>
      </c>
      <c r="B2280" s="27" t="s">
        <v>3793</v>
      </c>
      <c r="C2280" s="42">
        <f t="shared" si="35"/>
        <v>285.22669080000003</v>
      </c>
      <c r="D2280" s="33" t="s">
        <v>3540</v>
      </c>
      <c r="E2280" s="33">
        <v>2</v>
      </c>
      <c r="F2280" s="33" t="s">
        <v>3541</v>
      </c>
      <c r="G2280" s="14">
        <f>(VLOOKUP(D2280,'[1]BOM Info General'!$A:$L,12,0))*E2280</f>
        <v>130.12</v>
      </c>
      <c r="H2280" s="34" t="s">
        <v>41</v>
      </c>
      <c r="I2280" s="34">
        <v>1</v>
      </c>
      <c r="J2280" s="34" t="s">
        <v>47</v>
      </c>
      <c r="K2280" s="15">
        <f>(VLOOKUP(H2280,'[1]BOM Info General'!$A:$L,12,0))*I2280</f>
        <v>27.18</v>
      </c>
      <c r="L2280" s="35" t="s">
        <v>87</v>
      </c>
      <c r="M2280" s="35">
        <v>1</v>
      </c>
      <c r="N2280" s="35" t="s">
        <v>84</v>
      </c>
      <c r="O2280" s="9">
        <f>(VLOOKUP(L2280,'[1]Simulation pricing per sub assy'!$D:$E,2,0))*M2280</f>
        <v>95.206400000000031</v>
      </c>
      <c r="P2280" s="36" t="s">
        <v>52</v>
      </c>
      <c r="Q2280" s="36">
        <v>8</v>
      </c>
      <c r="R2280" s="36" t="s">
        <v>18</v>
      </c>
      <c r="S2280" s="40">
        <f>(VLOOKUP(P2280,'[1]BOM Info General'!$A:$L,12,0))*Q2280</f>
        <v>21.2</v>
      </c>
      <c r="T2280" s="37" t="s">
        <v>26</v>
      </c>
      <c r="U2280" s="37">
        <v>1</v>
      </c>
      <c r="V2280" s="37" t="s">
        <v>27</v>
      </c>
      <c r="W2280" s="17">
        <f>(VLOOKUP(T2280,'[1]Simulation pricing per sub assy'!$D:$E,2,0))*U2280</f>
        <v>7.04</v>
      </c>
      <c r="X2280" s="32" t="s">
        <v>616</v>
      </c>
      <c r="Y2280" s="38">
        <v>1</v>
      </c>
      <c r="Z2280" s="38" t="s">
        <v>23</v>
      </c>
      <c r="AA2280" s="18">
        <f>(VLOOKUP(X2280,'[1]Simulation pricing per sub assy'!$D:$E,2,0))*Y2280</f>
        <v>4.4802908000000006</v>
      </c>
    </row>
    <row r="2281" spans="1:27" x14ac:dyDescent="0.35">
      <c r="A2281" s="27" t="s">
        <v>3794</v>
      </c>
      <c r="B2281" s="27" t="s">
        <v>3795</v>
      </c>
      <c r="C2281" s="42">
        <f t="shared" si="35"/>
        <v>293.18669080000001</v>
      </c>
      <c r="D2281" s="33" t="s">
        <v>3540</v>
      </c>
      <c r="E2281" s="33">
        <v>2</v>
      </c>
      <c r="F2281" s="33" t="s">
        <v>3541</v>
      </c>
      <c r="G2281" s="14">
        <f>(VLOOKUP(D2281,'[1]BOM Info General'!$A:$L,12,0))*E2281</f>
        <v>130.12</v>
      </c>
      <c r="H2281" s="34" t="s">
        <v>41</v>
      </c>
      <c r="I2281" s="34">
        <v>1</v>
      </c>
      <c r="J2281" s="34" t="s">
        <v>47</v>
      </c>
      <c r="K2281" s="15">
        <f>(VLOOKUP(H2281,'[1]BOM Info General'!$A:$L,12,0))*I2281</f>
        <v>27.18</v>
      </c>
      <c r="L2281" s="35" t="s">
        <v>83</v>
      </c>
      <c r="M2281" s="35">
        <v>1</v>
      </c>
      <c r="N2281" s="35" t="s">
        <v>86</v>
      </c>
      <c r="O2281" s="9">
        <f>(VLOOKUP(L2281,'[1]Simulation pricing per sub assy'!$D:$E,2,0))*M2281</f>
        <v>103.16640000000004</v>
      </c>
      <c r="P2281" s="36" t="s">
        <v>52</v>
      </c>
      <c r="Q2281" s="36">
        <v>8</v>
      </c>
      <c r="R2281" s="36" t="s">
        <v>18</v>
      </c>
      <c r="S2281" s="40">
        <f>(VLOOKUP(P2281,'[1]BOM Info General'!$A:$L,12,0))*Q2281</f>
        <v>21.2</v>
      </c>
      <c r="T2281" s="37" t="s">
        <v>26</v>
      </c>
      <c r="U2281" s="37">
        <v>1</v>
      </c>
      <c r="V2281" s="37" t="s">
        <v>27</v>
      </c>
      <c r="W2281" s="17">
        <f>(VLOOKUP(T2281,'[1]Simulation pricing per sub assy'!$D:$E,2,0))*U2281</f>
        <v>7.04</v>
      </c>
      <c r="X2281" s="32" t="s">
        <v>616</v>
      </c>
      <c r="Y2281" s="38">
        <v>1</v>
      </c>
      <c r="Z2281" s="38" t="s">
        <v>23</v>
      </c>
      <c r="AA2281" s="18">
        <f>(VLOOKUP(X2281,'[1]Simulation pricing per sub assy'!$D:$E,2,0))*Y2281</f>
        <v>4.4802908000000006</v>
      </c>
    </row>
    <row r="2282" spans="1:27" x14ac:dyDescent="0.35">
      <c r="A2282" s="27" t="s">
        <v>3796</v>
      </c>
      <c r="B2282" s="27" t="s">
        <v>3797</v>
      </c>
      <c r="C2282" s="42">
        <f t="shared" si="35"/>
        <v>284.6366908</v>
      </c>
      <c r="D2282" s="33" t="s">
        <v>3540</v>
      </c>
      <c r="E2282" s="33">
        <v>2</v>
      </c>
      <c r="F2282" s="33" t="s">
        <v>3541</v>
      </c>
      <c r="G2282" s="14">
        <f>(VLOOKUP(D2282,'[1]BOM Info General'!$A:$L,12,0))*E2282</f>
        <v>130.12</v>
      </c>
      <c r="H2282" s="34" t="s">
        <v>41</v>
      </c>
      <c r="I2282" s="34">
        <v>1</v>
      </c>
      <c r="J2282" s="34" t="s">
        <v>47</v>
      </c>
      <c r="K2282" s="15">
        <f>(VLOOKUP(H2282,'[1]BOM Info General'!$A:$L,12,0))*I2282</f>
        <v>27.18</v>
      </c>
      <c r="L2282" s="35" t="s">
        <v>528</v>
      </c>
      <c r="M2282" s="35">
        <v>1</v>
      </c>
      <c r="N2282" s="35" t="s">
        <v>88</v>
      </c>
      <c r="O2282" s="9">
        <f>(VLOOKUP(L2282,'[1]Simulation pricing per sub assy'!$D:$E,2,0))*M2282</f>
        <v>94.656400000000033</v>
      </c>
      <c r="P2282" s="36" t="s">
        <v>52</v>
      </c>
      <c r="Q2282" s="36">
        <v>8</v>
      </c>
      <c r="R2282" s="36" t="s">
        <v>18</v>
      </c>
      <c r="S2282" s="40">
        <f>(VLOOKUP(P2282,'[1]BOM Info General'!$A:$L,12,0))*Q2282</f>
        <v>21.2</v>
      </c>
      <c r="T2282" s="37" t="s">
        <v>28</v>
      </c>
      <c r="U2282" s="37">
        <v>1</v>
      </c>
      <c r="V2282" s="37" t="s">
        <v>29</v>
      </c>
      <c r="W2282" s="17">
        <f>(VLOOKUP(T2282,'[1]Simulation pricing per sub assy'!$D:$E,2,0))*U2282</f>
        <v>7</v>
      </c>
      <c r="X2282" s="32" t="s">
        <v>616</v>
      </c>
      <c r="Y2282" s="38">
        <v>1</v>
      </c>
      <c r="Z2282" s="38" t="s">
        <v>23</v>
      </c>
      <c r="AA2282" s="18">
        <f>(VLOOKUP(X2282,'[1]Simulation pricing per sub assy'!$D:$E,2,0))*Y2282</f>
        <v>4.4802908000000006</v>
      </c>
    </row>
    <row r="2283" spans="1:27" x14ac:dyDescent="0.35">
      <c r="A2283" s="27" t="s">
        <v>3798</v>
      </c>
      <c r="B2283" s="27" t="s">
        <v>3799</v>
      </c>
      <c r="C2283" s="42">
        <f t="shared" si="35"/>
        <v>285.73669080000002</v>
      </c>
      <c r="D2283" s="33" t="s">
        <v>3540</v>
      </c>
      <c r="E2283" s="33">
        <v>2</v>
      </c>
      <c r="F2283" s="33" t="s">
        <v>3541</v>
      </c>
      <c r="G2283" s="14">
        <f>(VLOOKUP(D2283,'[1]BOM Info General'!$A:$L,12,0))*E2283</f>
        <v>130.12</v>
      </c>
      <c r="H2283" s="34" t="s">
        <v>41</v>
      </c>
      <c r="I2283" s="34">
        <v>1</v>
      </c>
      <c r="J2283" s="34" t="s">
        <v>47</v>
      </c>
      <c r="K2283" s="15">
        <f>(VLOOKUP(H2283,'[1]BOM Info General'!$A:$L,12,0))*I2283</f>
        <v>27.18</v>
      </c>
      <c r="L2283" s="35" t="s">
        <v>85</v>
      </c>
      <c r="M2283" s="35">
        <v>1</v>
      </c>
      <c r="N2283" s="35" t="s">
        <v>82</v>
      </c>
      <c r="O2283" s="9">
        <f>(VLOOKUP(L2283,'[1]Simulation pricing per sub assy'!$D:$E,2,0))*M2283</f>
        <v>95.756400000000042</v>
      </c>
      <c r="P2283" s="36" t="s">
        <v>52</v>
      </c>
      <c r="Q2283" s="36">
        <v>8</v>
      </c>
      <c r="R2283" s="36" t="s">
        <v>18</v>
      </c>
      <c r="S2283" s="40">
        <f>(VLOOKUP(P2283,'[1]BOM Info General'!$A:$L,12,0))*Q2283</f>
        <v>21.2</v>
      </c>
      <c r="T2283" s="37" t="s">
        <v>28</v>
      </c>
      <c r="U2283" s="37">
        <v>1</v>
      </c>
      <c r="V2283" s="37" t="s">
        <v>29</v>
      </c>
      <c r="W2283" s="17">
        <f>(VLOOKUP(T2283,'[1]Simulation pricing per sub assy'!$D:$E,2,0))*U2283</f>
        <v>7</v>
      </c>
      <c r="X2283" s="32" t="s">
        <v>616</v>
      </c>
      <c r="Y2283" s="38">
        <v>1</v>
      </c>
      <c r="Z2283" s="38" t="s">
        <v>23</v>
      </c>
      <c r="AA2283" s="18">
        <f>(VLOOKUP(X2283,'[1]Simulation pricing per sub assy'!$D:$E,2,0))*Y2283</f>
        <v>4.4802908000000006</v>
      </c>
    </row>
    <row r="2284" spans="1:27" x14ac:dyDescent="0.35">
      <c r="A2284" s="27" t="s">
        <v>3800</v>
      </c>
      <c r="B2284" s="27" t="s">
        <v>3801</v>
      </c>
      <c r="C2284" s="42">
        <f t="shared" si="35"/>
        <v>285.73669080000002</v>
      </c>
      <c r="D2284" s="33" t="s">
        <v>3540</v>
      </c>
      <c r="E2284" s="33">
        <v>2</v>
      </c>
      <c r="F2284" s="33" t="s">
        <v>3541</v>
      </c>
      <c r="G2284" s="14">
        <f>(VLOOKUP(D2284,'[1]BOM Info General'!$A:$L,12,0))*E2284</f>
        <v>130.12</v>
      </c>
      <c r="H2284" s="34" t="s">
        <v>41</v>
      </c>
      <c r="I2284" s="34">
        <v>1</v>
      </c>
      <c r="J2284" s="34" t="s">
        <v>47</v>
      </c>
      <c r="K2284" s="15">
        <f>(VLOOKUP(H2284,'[1]BOM Info General'!$A:$L,12,0))*I2284</f>
        <v>27.18</v>
      </c>
      <c r="L2284" s="35" t="s">
        <v>81</v>
      </c>
      <c r="M2284" s="35">
        <v>1</v>
      </c>
      <c r="N2284" s="35" t="s">
        <v>80</v>
      </c>
      <c r="O2284" s="9">
        <f>(VLOOKUP(L2284,'[1]Simulation pricing per sub assy'!$D:$E,2,0))*M2284</f>
        <v>95.756400000000042</v>
      </c>
      <c r="P2284" s="36" t="s">
        <v>52</v>
      </c>
      <c r="Q2284" s="36">
        <v>8</v>
      </c>
      <c r="R2284" s="36" t="s">
        <v>18</v>
      </c>
      <c r="S2284" s="40">
        <f>(VLOOKUP(P2284,'[1]BOM Info General'!$A:$L,12,0))*Q2284</f>
        <v>21.2</v>
      </c>
      <c r="T2284" s="37" t="s">
        <v>28</v>
      </c>
      <c r="U2284" s="37">
        <v>1</v>
      </c>
      <c r="V2284" s="37" t="s">
        <v>29</v>
      </c>
      <c r="W2284" s="17">
        <f>(VLOOKUP(T2284,'[1]Simulation pricing per sub assy'!$D:$E,2,0))*U2284</f>
        <v>7</v>
      </c>
      <c r="X2284" s="32" t="s">
        <v>616</v>
      </c>
      <c r="Y2284" s="38">
        <v>1</v>
      </c>
      <c r="Z2284" s="38" t="s">
        <v>23</v>
      </c>
      <c r="AA2284" s="18">
        <f>(VLOOKUP(X2284,'[1]Simulation pricing per sub assy'!$D:$E,2,0))*Y2284</f>
        <v>4.4802908000000006</v>
      </c>
    </row>
    <row r="2285" spans="1:27" x14ac:dyDescent="0.35">
      <c r="A2285" s="27" t="s">
        <v>3802</v>
      </c>
      <c r="B2285" s="27" t="s">
        <v>3803</v>
      </c>
      <c r="C2285" s="42">
        <f t="shared" si="35"/>
        <v>285.18669080000001</v>
      </c>
      <c r="D2285" s="33" t="s">
        <v>3540</v>
      </c>
      <c r="E2285" s="33">
        <v>2</v>
      </c>
      <c r="F2285" s="33" t="s">
        <v>3541</v>
      </c>
      <c r="G2285" s="14">
        <f>(VLOOKUP(D2285,'[1]BOM Info General'!$A:$L,12,0))*E2285</f>
        <v>130.12</v>
      </c>
      <c r="H2285" s="34" t="s">
        <v>41</v>
      </c>
      <c r="I2285" s="34">
        <v>1</v>
      </c>
      <c r="J2285" s="34" t="s">
        <v>47</v>
      </c>
      <c r="K2285" s="15">
        <f>(VLOOKUP(H2285,'[1]BOM Info General'!$A:$L,12,0))*I2285</f>
        <v>27.18</v>
      </c>
      <c r="L2285" s="35" t="s">
        <v>87</v>
      </c>
      <c r="M2285" s="35">
        <v>1</v>
      </c>
      <c r="N2285" s="35" t="s">
        <v>84</v>
      </c>
      <c r="O2285" s="9">
        <f>(VLOOKUP(L2285,'[1]Simulation pricing per sub assy'!$D:$E,2,0))*M2285</f>
        <v>95.206400000000031</v>
      </c>
      <c r="P2285" s="36" t="s">
        <v>52</v>
      </c>
      <c r="Q2285" s="36">
        <v>8</v>
      </c>
      <c r="R2285" s="36" t="s">
        <v>18</v>
      </c>
      <c r="S2285" s="40">
        <f>(VLOOKUP(P2285,'[1]BOM Info General'!$A:$L,12,0))*Q2285</f>
        <v>21.2</v>
      </c>
      <c r="T2285" s="37" t="s">
        <v>28</v>
      </c>
      <c r="U2285" s="37">
        <v>1</v>
      </c>
      <c r="V2285" s="37" t="s">
        <v>29</v>
      </c>
      <c r="W2285" s="17">
        <f>(VLOOKUP(T2285,'[1]Simulation pricing per sub assy'!$D:$E,2,0))*U2285</f>
        <v>7</v>
      </c>
      <c r="X2285" s="32" t="s">
        <v>616</v>
      </c>
      <c r="Y2285" s="38">
        <v>1</v>
      </c>
      <c r="Z2285" s="38" t="s">
        <v>23</v>
      </c>
      <c r="AA2285" s="18">
        <f>(VLOOKUP(X2285,'[1]Simulation pricing per sub assy'!$D:$E,2,0))*Y2285</f>
        <v>4.4802908000000006</v>
      </c>
    </row>
    <row r="2286" spans="1:27" x14ac:dyDescent="0.35">
      <c r="A2286" s="27" t="s">
        <v>3804</v>
      </c>
      <c r="B2286" s="27" t="s">
        <v>3805</v>
      </c>
      <c r="C2286" s="42">
        <f t="shared" si="35"/>
        <v>293.14669079999999</v>
      </c>
      <c r="D2286" s="33" t="s">
        <v>3540</v>
      </c>
      <c r="E2286" s="33">
        <v>2</v>
      </c>
      <c r="F2286" s="33" t="s">
        <v>3541</v>
      </c>
      <c r="G2286" s="14">
        <f>(VLOOKUP(D2286,'[1]BOM Info General'!$A:$L,12,0))*E2286</f>
        <v>130.12</v>
      </c>
      <c r="H2286" s="34" t="s">
        <v>41</v>
      </c>
      <c r="I2286" s="34">
        <v>1</v>
      </c>
      <c r="J2286" s="34" t="s">
        <v>47</v>
      </c>
      <c r="K2286" s="15">
        <f>(VLOOKUP(H2286,'[1]BOM Info General'!$A:$L,12,0))*I2286</f>
        <v>27.18</v>
      </c>
      <c r="L2286" s="35" t="s">
        <v>83</v>
      </c>
      <c r="M2286" s="35">
        <v>1</v>
      </c>
      <c r="N2286" s="35" t="s">
        <v>86</v>
      </c>
      <c r="O2286" s="9">
        <f>(VLOOKUP(L2286,'[1]Simulation pricing per sub assy'!$D:$E,2,0))*M2286</f>
        <v>103.16640000000004</v>
      </c>
      <c r="P2286" s="36" t="s">
        <v>52</v>
      </c>
      <c r="Q2286" s="36">
        <v>8</v>
      </c>
      <c r="R2286" s="36" t="s">
        <v>18</v>
      </c>
      <c r="S2286" s="40">
        <f>(VLOOKUP(P2286,'[1]BOM Info General'!$A:$L,12,0))*Q2286</f>
        <v>21.2</v>
      </c>
      <c r="T2286" s="37" t="s">
        <v>28</v>
      </c>
      <c r="U2286" s="37">
        <v>1</v>
      </c>
      <c r="V2286" s="37" t="s">
        <v>29</v>
      </c>
      <c r="W2286" s="17">
        <f>(VLOOKUP(T2286,'[1]Simulation pricing per sub assy'!$D:$E,2,0))*U2286</f>
        <v>7</v>
      </c>
      <c r="X2286" s="32" t="s">
        <v>616</v>
      </c>
      <c r="Y2286" s="38">
        <v>1</v>
      </c>
      <c r="Z2286" s="38" t="s">
        <v>23</v>
      </c>
      <c r="AA2286" s="18">
        <f>(VLOOKUP(X2286,'[1]Simulation pricing per sub assy'!$D:$E,2,0))*Y2286</f>
        <v>4.4802908000000006</v>
      </c>
    </row>
    <row r="2287" spans="1:27" x14ac:dyDescent="0.35">
      <c r="A2287" s="27" t="s">
        <v>3806</v>
      </c>
      <c r="B2287" s="27" t="s">
        <v>3807</v>
      </c>
      <c r="C2287" s="42">
        <f t="shared" si="35"/>
        <v>286.1966908</v>
      </c>
      <c r="D2287" s="33" t="s">
        <v>3540</v>
      </c>
      <c r="E2287" s="33">
        <v>2</v>
      </c>
      <c r="F2287" s="33" t="s">
        <v>3541</v>
      </c>
      <c r="G2287" s="14">
        <f>(VLOOKUP(D2287,'[1]BOM Info General'!$A:$L,12,0))*E2287</f>
        <v>130.12</v>
      </c>
      <c r="H2287" s="34" t="s">
        <v>41</v>
      </c>
      <c r="I2287" s="34">
        <v>1</v>
      </c>
      <c r="J2287" s="34" t="s">
        <v>47</v>
      </c>
      <c r="K2287" s="15">
        <f>(VLOOKUP(H2287,'[1]BOM Info General'!$A:$L,12,0))*I2287</f>
        <v>27.18</v>
      </c>
      <c r="L2287" s="35" t="s">
        <v>528</v>
      </c>
      <c r="M2287" s="35">
        <v>1</v>
      </c>
      <c r="N2287" s="35" t="s">
        <v>88</v>
      </c>
      <c r="O2287" s="9">
        <f>(VLOOKUP(L2287,'[1]Simulation pricing per sub assy'!$D:$E,2,0))*M2287</f>
        <v>94.656400000000033</v>
      </c>
      <c r="P2287" s="36" t="s">
        <v>50</v>
      </c>
      <c r="Q2287" s="36">
        <v>8</v>
      </c>
      <c r="R2287" s="36" t="s">
        <v>611</v>
      </c>
      <c r="S2287" s="40">
        <f>(VLOOKUP(P2287,'[1]BOM Info General'!$A:$L,12,0))*Q2287</f>
        <v>21.2</v>
      </c>
      <c r="T2287" s="37" t="s">
        <v>30</v>
      </c>
      <c r="U2287" s="37">
        <v>1</v>
      </c>
      <c r="V2287" s="37" t="s">
        <v>31</v>
      </c>
      <c r="W2287" s="17">
        <f>(VLOOKUP(T2287,'[1]Simulation pricing per sub assy'!$D:$E,2,0))*U2287</f>
        <v>8.5599999999999987</v>
      </c>
      <c r="X2287" s="32" t="s">
        <v>616</v>
      </c>
      <c r="Y2287" s="38">
        <v>1</v>
      </c>
      <c r="Z2287" s="38" t="s">
        <v>23</v>
      </c>
      <c r="AA2287" s="18">
        <f>(VLOOKUP(X2287,'[1]Simulation pricing per sub assy'!$D:$E,2,0))*Y2287</f>
        <v>4.4802908000000006</v>
      </c>
    </row>
    <row r="2288" spans="1:27" x14ac:dyDescent="0.35">
      <c r="A2288" s="27" t="s">
        <v>3808</v>
      </c>
      <c r="B2288" s="27" t="s">
        <v>3809</v>
      </c>
      <c r="C2288" s="42">
        <f t="shared" si="35"/>
        <v>287.29669080000002</v>
      </c>
      <c r="D2288" s="33" t="s">
        <v>3540</v>
      </c>
      <c r="E2288" s="33">
        <v>2</v>
      </c>
      <c r="F2288" s="33" t="s">
        <v>3541</v>
      </c>
      <c r="G2288" s="14">
        <f>(VLOOKUP(D2288,'[1]BOM Info General'!$A:$L,12,0))*E2288</f>
        <v>130.12</v>
      </c>
      <c r="H2288" s="34" t="s">
        <v>41</v>
      </c>
      <c r="I2288" s="34">
        <v>1</v>
      </c>
      <c r="J2288" s="34" t="s">
        <v>47</v>
      </c>
      <c r="K2288" s="15">
        <f>(VLOOKUP(H2288,'[1]BOM Info General'!$A:$L,12,0))*I2288</f>
        <v>27.18</v>
      </c>
      <c r="L2288" s="35" t="s">
        <v>85</v>
      </c>
      <c r="M2288" s="35">
        <v>1</v>
      </c>
      <c r="N2288" s="35" t="s">
        <v>82</v>
      </c>
      <c r="O2288" s="9">
        <f>(VLOOKUP(L2288,'[1]Simulation pricing per sub assy'!$D:$E,2,0))*M2288</f>
        <v>95.756400000000042</v>
      </c>
      <c r="P2288" s="36" t="s">
        <v>50</v>
      </c>
      <c r="Q2288" s="36">
        <v>8</v>
      </c>
      <c r="R2288" s="36" t="s">
        <v>611</v>
      </c>
      <c r="S2288" s="40">
        <f>(VLOOKUP(P2288,'[1]BOM Info General'!$A:$L,12,0))*Q2288</f>
        <v>21.2</v>
      </c>
      <c r="T2288" s="37" t="s">
        <v>30</v>
      </c>
      <c r="U2288" s="37">
        <v>1</v>
      </c>
      <c r="V2288" s="37" t="s">
        <v>31</v>
      </c>
      <c r="W2288" s="17">
        <f>(VLOOKUP(T2288,'[1]Simulation pricing per sub assy'!$D:$E,2,0))*U2288</f>
        <v>8.5599999999999987</v>
      </c>
      <c r="X2288" s="32" t="s">
        <v>616</v>
      </c>
      <c r="Y2288" s="38">
        <v>1</v>
      </c>
      <c r="Z2288" s="38" t="s">
        <v>23</v>
      </c>
      <c r="AA2288" s="18">
        <f>(VLOOKUP(X2288,'[1]Simulation pricing per sub assy'!$D:$E,2,0))*Y2288</f>
        <v>4.4802908000000006</v>
      </c>
    </row>
    <row r="2289" spans="1:27" x14ac:dyDescent="0.35">
      <c r="A2289" s="27" t="s">
        <v>3810</v>
      </c>
      <c r="B2289" s="27" t="s">
        <v>3811</v>
      </c>
      <c r="C2289" s="42">
        <f t="shared" si="35"/>
        <v>287.29669080000002</v>
      </c>
      <c r="D2289" s="33" t="s">
        <v>3540</v>
      </c>
      <c r="E2289" s="33">
        <v>2</v>
      </c>
      <c r="F2289" s="33" t="s">
        <v>3541</v>
      </c>
      <c r="G2289" s="14">
        <f>(VLOOKUP(D2289,'[1]BOM Info General'!$A:$L,12,0))*E2289</f>
        <v>130.12</v>
      </c>
      <c r="H2289" s="34" t="s">
        <v>41</v>
      </c>
      <c r="I2289" s="34">
        <v>1</v>
      </c>
      <c r="J2289" s="34" t="s">
        <v>47</v>
      </c>
      <c r="K2289" s="15">
        <f>(VLOOKUP(H2289,'[1]BOM Info General'!$A:$L,12,0))*I2289</f>
        <v>27.18</v>
      </c>
      <c r="L2289" s="35" t="s">
        <v>81</v>
      </c>
      <c r="M2289" s="35">
        <v>1</v>
      </c>
      <c r="N2289" s="35" t="s">
        <v>80</v>
      </c>
      <c r="O2289" s="9">
        <f>(VLOOKUP(L2289,'[1]Simulation pricing per sub assy'!$D:$E,2,0))*M2289</f>
        <v>95.756400000000042</v>
      </c>
      <c r="P2289" s="36" t="s">
        <v>50</v>
      </c>
      <c r="Q2289" s="36">
        <v>8</v>
      </c>
      <c r="R2289" s="36" t="s">
        <v>611</v>
      </c>
      <c r="S2289" s="40">
        <f>(VLOOKUP(P2289,'[1]BOM Info General'!$A:$L,12,0))*Q2289</f>
        <v>21.2</v>
      </c>
      <c r="T2289" s="37" t="s">
        <v>30</v>
      </c>
      <c r="U2289" s="37">
        <v>1</v>
      </c>
      <c r="V2289" s="37" t="s">
        <v>31</v>
      </c>
      <c r="W2289" s="17">
        <f>(VLOOKUP(T2289,'[1]Simulation pricing per sub assy'!$D:$E,2,0))*U2289</f>
        <v>8.5599999999999987</v>
      </c>
      <c r="X2289" s="32" t="s">
        <v>616</v>
      </c>
      <c r="Y2289" s="38">
        <v>1</v>
      </c>
      <c r="Z2289" s="38" t="s">
        <v>23</v>
      </c>
      <c r="AA2289" s="18">
        <f>(VLOOKUP(X2289,'[1]Simulation pricing per sub assy'!$D:$E,2,0))*Y2289</f>
        <v>4.4802908000000006</v>
      </c>
    </row>
    <row r="2290" spans="1:27" x14ac:dyDescent="0.35">
      <c r="A2290" s="27" t="s">
        <v>3812</v>
      </c>
      <c r="B2290" s="27" t="s">
        <v>3813</v>
      </c>
      <c r="C2290" s="42">
        <f t="shared" si="35"/>
        <v>286.74669080000001</v>
      </c>
      <c r="D2290" s="33" t="s">
        <v>3540</v>
      </c>
      <c r="E2290" s="33">
        <v>2</v>
      </c>
      <c r="F2290" s="33" t="s">
        <v>3541</v>
      </c>
      <c r="G2290" s="14">
        <f>(VLOOKUP(D2290,'[1]BOM Info General'!$A:$L,12,0))*E2290</f>
        <v>130.12</v>
      </c>
      <c r="H2290" s="34" t="s">
        <v>41</v>
      </c>
      <c r="I2290" s="34">
        <v>1</v>
      </c>
      <c r="J2290" s="34" t="s">
        <v>47</v>
      </c>
      <c r="K2290" s="15">
        <f>(VLOOKUP(H2290,'[1]BOM Info General'!$A:$L,12,0))*I2290</f>
        <v>27.18</v>
      </c>
      <c r="L2290" s="35" t="s">
        <v>87</v>
      </c>
      <c r="M2290" s="35">
        <v>1</v>
      </c>
      <c r="N2290" s="35" t="s">
        <v>84</v>
      </c>
      <c r="O2290" s="9">
        <f>(VLOOKUP(L2290,'[1]Simulation pricing per sub assy'!$D:$E,2,0))*M2290</f>
        <v>95.206400000000031</v>
      </c>
      <c r="P2290" s="36" t="s">
        <v>50</v>
      </c>
      <c r="Q2290" s="36">
        <v>8</v>
      </c>
      <c r="R2290" s="36" t="s">
        <v>611</v>
      </c>
      <c r="S2290" s="40">
        <f>(VLOOKUP(P2290,'[1]BOM Info General'!$A:$L,12,0))*Q2290</f>
        <v>21.2</v>
      </c>
      <c r="T2290" s="37" t="s">
        <v>30</v>
      </c>
      <c r="U2290" s="37">
        <v>1</v>
      </c>
      <c r="V2290" s="37" t="s">
        <v>31</v>
      </c>
      <c r="W2290" s="17">
        <f>(VLOOKUP(T2290,'[1]Simulation pricing per sub assy'!$D:$E,2,0))*U2290</f>
        <v>8.5599999999999987</v>
      </c>
      <c r="X2290" s="32" t="s">
        <v>616</v>
      </c>
      <c r="Y2290" s="38">
        <v>1</v>
      </c>
      <c r="Z2290" s="38" t="s">
        <v>23</v>
      </c>
      <c r="AA2290" s="18">
        <f>(VLOOKUP(X2290,'[1]Simulation pricing per sub assy'!$D:$E,2,0))*Y2290</f>
        <v>4.4802908000000006</v>
      </c>
    </row>
    <row r="2291" spans="1:27" x14ac:dyDescent="0.35">
      <c r="A2291" s="27" t="s">
        <v>3814</v>
      </c>
      <c r="B2291" s="27" t="s">
        <v>3815</v>
      </c>
      <c r="C2291" s="42">
        <f t="shared" si="35"/>
        <v>294.70669079999999</v>
      </c>
      <c r="D2291" s="33" t="s">
        <v>3540</v>
      </c>
      <c r="E2291" s="33">
        <v>2</v>
      </c>
      <c r="F2291" s="33" t="s">
        <v>3541</v>
      </c>
      <c r="G2291" s="14">
        <f>(VLOOKUP(D2291,'[1]BOM Info General'!$A:$L,12,0))*E2291</f>
        <v>130.12</v>
      </c>
      <c r="H2291" s="34" t="s">
        <v>41</v>
      </c>
      <c r="I2291" s="34">
        <v>1</v>
      </c>
      <c r="J2291" s="34" t="s">
        <v>47</v>
      </c>
      <c r="K2291" s="15">
        <f>(VLOOKUP(H2291,'[1]BOM Info General'!$A:$L,12,0))*I2291</f>
        <v>27.18</v>
      </c>
      <c r="L2291" s="35" t="s">
        <v>83</v>
      </c>
      <c r="M2291" s="35">
        <v>1</v>
      </c>
      <c r="N2291" s="35" t="s">
        <v>86</v>
      </c>
      <c r="O2291" s="9">
        <f>(VLOOKUP(L2291,'[1]Simulation pricing per sub assy'!$D:$E,2,0))*M2291</f>
        <v>103.16640000000004</v>
      </c>
      <c r="P2291" s="36" t="s">
        <v>50</v>
      </c>
      <c r="Q2291" s="36">
        <v>8</v>
      </c>
      <c r="R2291" s="36" t="s">
        <v>611</v>
      </c>
      <c r="S2291" s="40">
        <f>(VLOOKUP(P2291,'[1]BOM Info General'!$A:$L,12,0))*Q2291</f>
        <v>21.2</v>
      </c>
      <c r="T2291" s="37" t="s">
        <v>30</v>
      </c>
      <c r="U2291" s="37">
        <v>1</v>
      </c>
      <c r="V2291" s="37" t="s">
        <v>31</v>
      </c>
      <c r="W2291" s="17">
        <f>(VLOOKUP(T2291,'[1]Simulation pricing per sub assy'!$D:$E,2,0))*U2291</f>
        <v>8.5599999999999987</v>
      </c>
      <c r="X2291" s="32" t="s">
        <v>616</v>
      </c>
      <c r="Y2291" s="38">
        <v>1</v>
      </c>
      <c r="Z2291" s="38" t="s">
        <v>23</v>
      </c>
      <c r="AA2291" s="18">
        <f>(VLOOKUP(X2291,'[1]Simulation pricing per sub assy'!$D:$E,2,0))*Y2291</f>
        <v>4.4802908000000006</v>
      </c>
    </row>
    <row r="2292" spans="1:27" x14ac:dyDescent="0.35">
      <c r="A2292" s="27" t="s">
        <v>3816</v>
      </c>
      <c r="B2292" s="27" t="s">
        <v>3817</v>
      </c>
      <c r="C2292" s="42">
        <f t="shared" si="35"/>
        <v>284.83669079999999</v>
      </c>
      <c r="D2292" s="33" t="s">
        <v>3540</v>
      </c>
      <c r="E2292" s="33">
        <v>2</v>
      </c>
      <c r="F2292" s="33" t="s">
        <v>3541</v>
      </c>
      <c r="G2292" s="14">
        <f>(VLOOKUP(D2292,'[1]BOM Info General'!$A:$L,12,0))*E2292</f>
        <v>130.12</v>
      </c>
      <c r="H2292" s="34" t="s">
        <v>41</v>
      </c>
      <c r="I2292" s="34">
        <v>1</v>
      </c>
      <c r="J2292" s="34" t="s">
        <v>47</v>
      </c>
      <c r="K2292" s="15">
        <f>(VLOOKUP(H2292,'[1]BOM Info General'!$A:$L,12,0))*I2292</f>
        <v>27.18</v>
      </c>
      <c r="L2292" s="35" t="s">
        <v>528</v>
      </c>
      <c r="M2292" s="35">
        <v>1</v>
      </c>
      <c r="N2292" s="35" t="s">
        <v>88</v>
      </c>
      <c r="O2292" s="9">
        <f>(VLOOKUP(L2292,'[1]Simulation pricing per sub assy'!$D:$E,2,0))*M2292</f>
        <v>94.656400000000033</v>
      </c>
      <c r="P2292" s="36" t="s">
        <v>50</v>
      </c>
      <c r="Q2292" s="36">
        <v>8</v>
      </c>
      <c r="R2292" s="36" t="s">
        <v>611</v>
      </c>
      <c r="S2292" s="40">
        <f>(VLOOKUP(P2292,'[1]BOM Info General'!$A:$L,12,0))*Q2292</f>
        <v>21.2</v>
      </c>
      <c r="T2292" s="37" t="s">
        <v>21</v>
      </c>
      <c r="U2292" s="37">
        <v>1</v>
      </c>
      <c r="V2292" s="37" t="s">
        <v>22</v>
      </c>
      <c r="W2292" s="17">
        <f>(VLOOKUP(T2292,'[1]Simulation pricing per sub assy'!$D:$E,2,0))*U2292</f>
        <v>7.2</v>
      </c>
      <c r="X2292" s="32" t="s">
        <v>616</v>
      </c>
      <c r="Y2292" s="38">
        <v>1</v>
      </c>
      <c r="Z2292" s="38" t="s">
        <v>23</v>
      </c>
      <c r="AA2292" s="18">
        <f>(VLOOKUP(X2292,'[1]Simulation pricing per sub assy'!$D:$E,2,0))*Y2292</f>
        <v>4.4802908000000006</v>
      </c>
    </row>
    <row r="2293" spans="1:27" x14ac:dyDescent="0.35">
      <c r="A2293" s="27" t="s">
        <v>3818</v>
      </c>
      <c r="B2293" s="27" t="s">
        <v>3819</v>
      </c>
      <c r="C2293" s="42">
        <f t="shared" si="35"/>
        <v>285.93669080000001</v>
      </c>
      <c r="D2293" s="33" t="s">
        <v>3540</v>
      </c>
      <c r="E2293" s="33">
        <v>2</v>
      </c>
      <c r="F2293" s="33" t="s">
        <v>3541</v>
      </c>
      <c r="G2293" s="14">
        <f>(VLOOKUP(D2293,'[1]BOM Info General'!$A:$L,12,0))*E2293</f>
        <v>130.12</v>
      </c>
      <c r="H2293" s="34" t="s">
        <v>41</v>
      </c>
      <c r="I2293" s="34">
        <v>1</v>
      </c>
      <c r="J2293" s="34" t="s">
        <v>47</v>
      </c>
      <c r="K2293" s="15">
        <f>(VLOOKUP(H2293,'[1]BOM Info General'!$A:$L,12,0))*I2293</f>
        <v>27.18</v>
      </c>
      <c r="L2293" s="35" t="s">
        <v>85</v>
      </c>
      <c r="M2293" s="35">
        <v>1</v>
      </c>
      <c r="N2293" s="35" t="s">
        <v>82</v>
      </c>
      <c r="O2293" s="9">
        <f>(VLOOKUP(L2293,'[1]Simulation pricing per sub assy'!$D:$E,2,0))*M2293</f>
        <v>95.756400000000042</v>
      </c>
      <c r="P2293" s="36" t="s">
        <v>50</v>
      </c>
      <c r="Q2293" s="36">
        <v>8</v>
      </c>
      <c r="R2293" s="36" t="s">
        <v>611</v>
      </c>
      <c r="S2293" s="40">
        <f>(VLOOKUP(P2293,'[1]BOM Info General'!$A:$L,12,0))*Q2293</f>
        <v>21.2</v>
      </c>
      <c r="T2293" s="37" t="s">
        <v>21</v>
      </c>
      <c r="U2293" s="37">
        <v>1</v>
      </c>
      <c r="V2293" s="37" t="s">
        <v>22</v>
      </c>
      <c r="W2293" s="17">
        <f>(VLOOKUP(T2293,'[1]Simulation pricing per sub assy'!$D:$E,2,0))*U2293</f>
        <v>7.2</v>
      </c>
      <c r="X2293" s="32" t="s">
        <v>616</v>
      </c>
      <c r="Y2293" s="38">
        <v>1</v>
      </c>
      <c r="Z2293" s="38" t="s">
        <v>23</v>
      </c>
      <c r="AA2293" s="18">
        <f>(VLOOKUP(X2293,'[1]Simulation pricing per sub assy'!$D:$E,2,0))*Y2293</f>
        <v>4.4802908000000006</v>
      </c>
    </row>
    <row r="2294" spans="1:27" x14ac:dyDescent="0.35">
      <c r="A2294" s="27" t="s">
        <v>3820</v>
      </c>
      <c r="B2294" s="27" t="s">
        <v>3821</v>
      </c>
      <c r="C2294" s="42">
        <f t="shared" si="35"/>
        <v>285.93669080000001</v>
      </c>
      <c r="D2294" s="33" t="s">
        <v>3540</v>
      </c>
      <c r="E2294" s="33">
        <v>2</v>
      </c>
      <c r="F2294" s="33" t="s">
        <v>3541</v>
      </c>
      <c r="G2294" s="14">
        <f>(VLOOKUP(D2294,'[1]BOM Info General'!$A:$L,12,0))*E2294</f>
        <v>130.12</v>
      </c>
      <c r="H2294" s="34" t="s">
        <v>41</v>
      </c>
      <c r="I2294" s="34">
        <v>1</v>
      </c>
      <c r="J2294" s="34" t="s">
        <v>47</v>
      </c>
      <c r="K2294" s="15">
        <f>(VLOOKUP(H2294,'[1]BOM Info General'!$A:$L,12,0))*I2294</f>
        <v>27.18</v>
      </c>
      <c r="L2294" s="35" t="s">
        <v>81</v>
      </c>
      <c r="M2294" s="35">
        <v>1</v>
      </c>
      <c r="N2294" s="35" t="s">
        <v>80</v>
      </c>
      <c r="O2294" s="9">
        <f>(VLOOKUP(L2294,'[1]Simulation pricing per sub assy'!$D:$E,2,0))*M2294</f>
        <v>95.756400000000042</v>
      </c>
      <c r="P2294" s="36" t="s">
        <v>50</v>
      </c>
      <c r="Q2294" s="36">
        <v>8</v>
      </c>
      <c r="R2294" s="36" t="s">
        <v>611</v>
      </c>
      <c r="S2294" s="40">
        <f>(VLOOKUP(P2294,'[1]BOM Info General'!$A:$L,12,0))*Q2294</f>
        <v>21.2</v>
      </c>
      <c r="T2294" s="37" t="s">
        <v>21</v>
      </c>
      <c r="U2294" s="37">
        <v>1</v>
      </c>
      <c r="V2294" s="37" t="s">
        <v>22</v>
      </c>
      <c r="W2294" s="17">
        <f>(VLOOKUP(T2294,'[1]Simulation pricing per sub assy'!$D:$E,2,0))*U2294</f>
        <v>7.2</v>
      </c>
      <c r="X2294" s="32" t="s">
        <v>616</v>
      </c>
      <c r="Y2294" s="38">
        <v>1</v>
      </c>
      <c r="Z2294" s="38" t="s">
        <v>23</v>
      </c>
      <c r="AA2294" s="18">
        <f>(VLOOKUP(X2294,'[1]Simulation pricing per sub assy'!$D:$E,2,0))*Y2294</f>
        <v>4.4802908000000006</v>
      </c>
    </row>
    <row r="2295" spans="1:27" x14ac:dyDescent="0.35">
      <c r="A2295" s="27" t="s">
        <v>3822</v>
      </c>
      <c r="B2295" s="27" t="s">
        <v>3823</v>
      </c>
      <c r="C2295" s="42">
        <f t="shared" si="35"/>
        <v>285.3866908</v>
      </c>
      <c r="D2295" s="33" t="s">
        <v>3540</v>
      </c>
      <c r="E2295" s="33">
        <v>2</v>
      </c>
      <c r="F2295" s="33" t="s">
        <v>3541</v>
      </c>
      <c r="G2295" s="14">
        <f>(VLOOKUP(D2295,'[1]BOM Info General'!$A:$L,12,0))*E2295</f>
        <v>130.12</v>
      </c>
      <c r="H2295" s="34" t="s">
        <v>41</v>
      </c>
      <c r="I2295" s="34">
        <v>1</v>
      </c>
      <c r="J2295" s="34" t="s">
        <v>47</v>
      </c>
      <c r="K2295" s="15">
        <f>(VLOOKUP(H2295,'[1]BOM Info General'!$A:$L,12,0))*I2295</f>
        <v>27.18</v>
      </c>
      <c r="L2295" s="35" t="s">
        <v>87</v>
      </c>
      <c r="M2295" s="35">
        <v>1</v>
      </c>
      <c r="N2295" s="35" t="s">
        <v>84</v>
      </c>
      <c r="O2295" s="9">
        <f>(VLOOKUP(L2295,'[1]Simulation pricing per sub assy'!$D:$E,2,0))*M2295</f>
        <v>95.206400000000031</v>
      </c>
      <c r="P2295" s="36" t="s">
        <v>50</v>
      </c>
      <c r="Q2295" s="36">
        <v>8</v>
      </c>
      <c r="R2295" s="36" t="s">
        <v>611</v>
      </c>
      <c r="S2295" s="40">
        <f>(VLOOKUP(P2295,'[1]BOM Info General'!$A:$L,12,0))*Q2295</f>
        <v>21.2</v>
      </c>
      <c r="T2295" s="37" t="s">
        <v>21</v>
      </c>
      <c r="U2295" s="37">
        <v>1</v>
      </c>
      <c r="V2295" s="37" t="s">
        <v>22</v>
      </c>
      <c r="W2295" s="17">
        <f>(VLOOKUP(T2295,'[1]Simulation pricing per sub assy'!$D:$E,2,0))*U2295</f>
        <v>7.2</v>
      </c>
      <c r="X2295" s="32" t="s">
        <v>616</v>
      </c>
      <c r="Y2295" s="38">
        <v>1</v>
      </c>
      <c r="Z2295" s="38" t="s">
        <v>23</v>
      </c>
      <c r="AA2295" s="18">
        <f>(VLOOKUP(X2295,'[1]Simulation pricing per sub assy'!$D:$E,2,0))*Y2295</f>
        <v>4.4802908000000006</v>
      </c>
    </row>
    <row r="2296" spans="1:27" x14ac:dyDescent="0.35">
      <c r="A2296" s="27" t="s">
        <v>3824</v>
      </c>
      <c r="B2296" s="27" t="s">
        <v>3825</v>
      </c>
      <c r="C2296" s="42">
        <f t="shared" si="35"/>
        <v>293.34669079999998</v>
      </c>
      <c r="D2296" s="33" t="s">
        <v>3540</v>
      </c>
      <c r="E2296" s="33">
        <v>2</v>
      </c>
      <c r="F2296" s="33" t="s">
        <v>3541</v>
      </c>
      <c r="G2296" s="14">
        <f>(VLOOKUP(D2296,'[1]BOM Info General'!$A:$L,12,0))*E2296</f>
        <v>130.12</v>
      </c>
      <c r="H2296" s="34" t="s">
        <v>41</v>
      </c>
      <c r="I2296" s="34">
        <v>1</v>
      </c>
      <c r="J2296" s="34" t="s">
        <v>47</v>
      </c>
      <c r="K2296" s="15">
        <f>(VLOOKUP(H2296,'[1]BOM Info General'!$A:$L,12,0))*I2296</f>
        <v>27.18</v>
      </c>
      <c r="L2296" s="35" t="s">
        <v>83</v>
      </c>
      <c r="M2296" s="35">
        <v>1</v>
      </c>
      <c r="N2296" s="35" t="s">
        <v>86</v>
      </c>
      <c r="O2296" s="9">
        <f>(VLOOKUP(L2296,'[1]Simulation pricing per sub assy'!$D:$E,2,0))*M2296</f>
        <v>103.16640000000004</v>
      </c>
      <c r="P2296" s="36" t="s">
        <v>50</v>
      </c>
      <c r="Q2296" s="36">
        <v>8</v>
      </c>
      <c r="R2296" s="36" t="s">
        <v>611</v>
      </c>
      <c r="S2296" s="40">
        <f>(VLOOKUP(P2296,'[1]BOM Info General'!$A:$L,12,0))*Q2296</f>
        <v>21.2</v>
      </c>
      <c r="T2296" s="37" t="s">
        <v>21</v>
      </c>
      <c r="U2296" s="37">
        <v>1</v>
      </c>
      <c r="V2296" s="37" t="s">
        <v>22</v>
      </c>
      <c r="W2296" s="17">
        <f>(VLOOKUP(T2296,'[1]Simulation pricing per sub assy'!$D:$E,2,0))*U2296</f>
        <v>7.2</v>
      </c>
      <c r="X2296" s="32" t="s">
        <v>616</v>
      </c>
      <c r="Y2296" s="38">
        <v>1</v>
      </c>
      <c r="Z2296" s="38" t="s">
        <v>23</v>
      </c>
      <c r="AA2296" s="18">
        <f>(VLOOKUP(X2296,'[1]Simulation pricing per sub assy'!$D:$E,2,0))*Y2296</f>
        <v>4.4802908000000006</v>
      </c>
    </row>
    <row r="2297" spans="1:27" x14ac:dyDescent="0.35">
      <c r="A2297" s="27" t="s">
        <v>3826</v>
      </c>
      <c r="B2297" s="27" t="s">
        <v>3827</v>
      </c>
      <c r="C2297" s="42">
        <f t="shared" si="35"/>
        <v>284.07669079999999</v>
      </c>
      <c r="D2297" s="33" t="s">
        <v>3540</v>
      </c>
      <c r="E2297" s="33">
        <v>2</v>
      </c>
      <c r="F2297" s="33" t="s">
        <v>3541</v>
      </c>
      <c r="G2297" s="14">
        <f>(VLOOKUP(D2297,'[1]BOM Info General'!$A:$L,12,0))*E2297</f>
        <v>130.12</v>
      </c>
      <c r="H2297" s="34" t="s">
        <v>41</v>
      </c>
      <c r="I2297" s="34">
        <v>1</v>
      </c>
      <c r="J2297" s="34" t="s">
        <v>47</v>
      </c>
      <c r="K2297" s="15">
        <f>(VLOOKUP(H2297,'[1]BOM Info General'!$A:$L,12,0))*I2297</f>
        <v>27.18</v>
      </c>
      <c r="L2297" s="35" t="s">
        <v>528</v>
      </c>
      <c r="M2297" s="35">
        <v>1</v>
      </c>
      <c r="N2297" s="35" t="s">
        <v>88</v>
      </c>
      <c r="O2297" s="9">
        <f>(VLOOKUP(L2297,'[1]Simulation pricing per sub assy'!$D:$E,2,0))*M2297</f>
        <v>94.656400000000033</v>
      </c>
      <c r="P2297" s="36" t="s">
        <v>50</v>
      </c>
      <c r="Q2297" s="36">
        <v>8</v>
      </c>
      <c r="R2297" s="36" t="s">
        <v>16</v>
      </c>
      <c r="S2297" s="40">
        <f>(VLOOKUP(P2297,'[1]BOM Info General'!$A:$L,12,0))*Q2297</f>
        <v>21.2</v>
      </c>
      <c r="T2297" s="37" t="s">
        <v>24</v>
      </c>
      <c r="U2297" s="37">
        <v>1</v>
      </c>
      <c r="V2297" s="37" t="s">
        <v>25</v>
      </c>
      <c r="W2297" s="17">
        <f>(VLOOKUP(T2297,'[1]Simulation pricing per sub assy'!$D:$E,2,0))*U2297</f>
        <v>6.44</v>
      </c>
      <c r="X2297" s="32" t="s">
        <v>616</v>
      </c>
      <c r="Y2297" s="38">
        <v>1</v>
      </c>
      <c r="Z2297" s="38" t="s">
        <v>23</v>
      </c>
      <c r="AA2297" s="18">
        <f>(VLOOKUP(X2297,'[1]Simulation pricing per sub assy'!$D:$E,2,0))*Y2297</f>
        <v>4.4802908000000006</v>
      </c>
    </row>
    <row r="2298" spans="1:27" x14ac:dyDescent="0.35">
      <c r="A2298" s="27" t="s">
        <v>3828</v>
      </c>
      <c r="B2298" s="27" t="s">
        <v>3829</v>
      </c>
      <c r="C2298" s="42">
        <f t="shared" si="35"/>
        <v>285.17669080000002</v>
      </c>
      <c r="D2298" s="33" t="s">
        <v>3540</v>
      </c>
      <c r="E2298" s="33">
        <v>2</v>
      </c>
      <c r="F2298" s="33" t="s">
        <v>3541</v>
      </c>
      <c r="G2298" s="14">
        <f>(VLOOKUP(D2298,'[1]BOM Info General'!$A:$L,12,0))*E2298</f>
        <v>130.12</v>
      </c>
      <c r="H2298" s="34" t="s">
        <v>41</v>
      </c>
      <c r="I2298" s="34">
        <v>1</v>
      </c>
      <c r="J2298" s="34" t="s">
        <v>47</v>
      </c>
      <c r="K2298" s="15">
        <f>(VLOOKUP(H2298,'[1]BOM Info General'!$A:$L,12,0))*I2298</f>
        <v>27.18</v>
      </c>
      <c r="L2298" s="35" t="s">
        <v>85</v>
      </c>
      <c r="M2298" s="35">
        <v>1</v>
      </c>
      <c r="N2298" s="35" t="s">
        <v>82</v>
      </c>
      <c r="O2298" s="9">
        <f>(VLOOKUP(L2298,'[1]Simulation pricing per sub assy'!$D:$E,2,0))*M2298</f>
        <v>95.756400000000042</v>
      </c>
      <c r="P2298" s="36" t="s">
        <v>50</v>
      </c>
      <c r="Q2298" s="36">
        <v>8</v>
      </c>
      <c r="R2298" s="36" t="s">
        <v>16</v>
      </c>
      <c r="S2298" s="40">
        <f>(VLOOKUP(P2298,'[1]BOM Info General'!$A:$L,12,0))*Q2298</f>
        <v>21.2</v>
      </c>
      <c r="T2298" s="37" t="s">
        <v>24</v>
      </c>
      <c r="U2298" s="37">
        <v>1</v>
      </c>
      <c r="V2298" s="37" t="s">
        <v>25</v>
      </c>
      <c r="W2298" s="17">
        <f>(VLOOKUP(T2298,'[1]Simulation pricing per sub assy'!$D:$E,2,0))*U2298</f>
        <v>6.44</v>
      </c>
      <c r="X2298" s="32" t="s">
        <v>616</v>
      </c>
      <c r="Y2298" s="38">
        <v>1</v>
      </c>
      <c r="Z2298" s="38" t="s">
        <v>23</v>
      </c>
      <c r="AA2298" s="18">
        <f>(VLOOKUP(X2298,'[1]Simulation pricing per sub assy'!$D:$E,2,0))*Y2298</f>
        <v>4.4802908000000006</v>
      </c>
    </row>
    <row r="2299" spans="1:27" x14ac:dyDescent="0.35">
      <c r="A2299" s="27" t="s">
        <v>3830</v>
      </c>
      <c r="B2299" s="27" t="s">
        <v>3831</v>
      </c>
      <c r="C2299" s="42">
        <f t="shared" si="35"/>
        <v>285.17669080000002</v>
      </c>
      <c r="D2299" s="33" t="s">
        <v>3540</v>
      </c>
      <c r="E2299" s="33">
        <v>2</v>
      </c>
      <c r="F2299" s="33" t="s">
        <v>3541</v>
      </c>
      <c r="G2299" s="14">
        <f>(VLOOKUP(D2299,'[1]BOM Info General'!$A:$L,12,0))*E2299</f>
        <v>130.12</v>
      </c>
      <c r="H2299" s="34" t="s">
        <v>41</v>
      </c>
      <c r="I2299" s="34">
        <v>1</v>
      </c>
      <c r="J2299" s="34" t="s">
        <v>47</v>
      </c>
      <c r="K2299" s="15">
        <f>(VLOOKUP(H2299,'[1]BOM Info General'!$A:$L,12,0))*I2299</f>
        <v>27.18</v>
      </c>
      <c r="L2299" s="35" t="s">
        <v>81</v>
      </c>
      <c r="M2299" s="35">
        <v>1</v>
      </c>
      <c r="N2299" s="35" t="s">
        <v>80</v>
      </c>
      <c r="O2299" s="9">
        <f>(VLOOKUP(L2299,'[1]Simulation pricing per sub assy'!$D:$E,2,0))*M2299</f>
        <v>95.756400000000042</v>
      </c>
      <c r="P2299" s="36" t="s">
        <v>50</v>
      </c>
      <c r="Q2299" s="36">
        <v>8</v>
      </c>
      <c r="R2299" s="36" t="s">
        <v>16</v>
      </c>
      <c r="S2299" s="40">
        <f>(VLOOKUP(P2299,'[1]BOM Info General'!$A:$L,12,0))*Q2299</f>
        <v>21.2</v>
      </c>
      <c r="T2299" s="37" t="s">
        <v>24</v>
      </c>
      <c r="U2299" s="37">
        <v>1</v>
      </c>
      <c r="V2299" s="37" t="s">
        <v>25</v>
      </c>
      <c r="W2299" s="17">
        <f>(VLOOKUP(T2299,'[1]Simulation pricing per sub assy'!$D:$E,2,0))*U2299</f>
        <v>6.44</v>
      </c>
      <c r="X2299" s="32" t="s">
        <v>616</v>
      </c>
      <c r="Y2299" s="38">
        <v>1</v>
      </c>
      <c r="Z2299" s="38" t="s">
        <v>23</v>
      </c>
      <c r="AA2299" s="18">
        <f>(VLOOKUP(X2299,'[1]Simulation pricing per sub assy'!$D:$E,2,0))*Y2299</f>
        <v>4.4802908000000006</v>
      </c>
    </row>
    <row r="2300" spans="1:27" x14ac:dyDescent="0.35">
      <c r="A2300" s="27" t="s">
        <v>3832</v>
      </c>
      <c r="B2300" s="27" t="s">
        <v>3833</v>
      </c>
      <c r="C2300" s="42">
        <f t="shared" si="35"/>
        <v>284.62669080000001</v>
      </c>
      <c r="D2300" s="33" t="s">
        <v>3540</v>
      </c>
      <c r="E2300" s="33">
        <v>2</v>
      </c>
      <c r="F2300" s="33" t="s">
        <v>3541</v>
      </c>
      <c r="G2300" s="14">
        <f>(VLOOKUP(D2300,'[1]BOM Info General'!$A:$L,12,0))*E2300</f>
        <v>130.12</v>
      </c>
      <c r="H2300" s="34" t="s">
        <v>41</v>
      </c>
      <c r="I2300" s="34">
        <v>1</v>
      </c>
      <c r="J2300" s="34" t="s">
        <v>47</v>
      </c>
      <c r="K2300" s="15">
        <f>(VLOOKUP(H2300,'[1]BOM Info General'!$A:$L,12,0))*I2300</f>
        <v>27.18</v>
      </c>
      <c r="L2300" s="35" t="s">
        <v>87</v>
      </c>
      <c r="M2300" s="35">
        <v>1</v>
      </c>
      <c r="N2300" s="35" t="s">
        <v>84</v>
      </c>
      <c r="O2300" s="9">
        <f>(VLOOKUP(L2300,'[1]Simulation pricing per sub assy'!$D:$E,2,0))*M2300</f>
        <v>95.206400000000031</v>
      </c>
      <c r="P2300" s="36" t="s">
        <v>50</v>
      </c>
      <c r="Q2300" s="36">
        <v>8</v>
      </c>
      <c r="R2300" s="36" t="s">
        <v>16</v>
      </c>
      <c r="S2300" s="40">
        <f>(VLOOKUP(P2300,'[1]BOM Info General'!$A:$L,12,0))*Q2300</f>
        <v>21.2</v>
      </c>
      <c r="T2300" s="37" t="s">
        <v>24</v>
      </c>
      <c r="U2300" s="37">
        <v>1</v>
      </c>
      <c r="V2300" s="37" t="s">
        <v>25</v>
      </c>
      <c r="W2300" s="17">
        <f>(VLOOKUP(T2300,'[1]Simulation pricing per sub assy'!$D:$E,2,0))*U2300</f>
        <v>6.44</v>
      </c>
      <c r="X2300" s="32" t="s">
        <v>616</v>
      </c>
      <c r="Y2300" s="38">
        <v>1</v>
      </c>
      <c r="Z2300" s="38" t="s">
        <v>23</v>
      </c>
      <c r="AA2300" s="18">
        <f>(VLOOKUP(X2300,'[1]Simulation pricing per sub assy'!$D:$E,2,0))*Y2300</f>
        <v>4.4802908000000006</v>
      </c>
    </row>
    <row r="2301" spans="1:27" x14ac:dyDescent="0.35">
      <c r="A2301" s="27" t="s">
        <v>3834</v>
      </c>
      <c r="B2301" s="27" t="s">
        <v>3835</v>
      </c>
      <c r="C2301" s="42">
        <f t="shared" si="35"/>
        <v>292.58669079999999</v>
      </c>
      <c r="D2301" s="33" t="s">
        <v>3540</v>
      </c>
      <c r="E2301" s="33">
        <v>2</v>
      </c>
      <c r="F2301" s="33" t="s">
        <v>3541</v>
      </c>
      <c r="G2301" s="14">
        <f>(VLOOKUP(D2301,'[1]BOM Info General'!$A:$L,12,0))*E2301</f>
        <v>130.12</v>
      </c>
      <c r="H2301" s="34" t="s">
        <v>41</v>
      </c>
      <c r="I2301" s="34">
        <v>1</v>
      </c>
      <c r="J2301" s="34" t="s">
        <v>47</v>
      </c>
      <c r="K2301" s="15">
        <f>(VLOOKUP(H2301,'[1]BOM Info General'!$A:$L,12,0))*I2301</f>
        <v>27.18</v>
      </c>
      <c r="L2301" s="35" t="s">
        <v>83</v>
      </c>
      <c r="M2301" s="35">
        <v>1</v>
      </c>
      <c r="N2301" s="35" t="s">
        <v>86</v>
      </c>
      <c r="O2301" s="9">
        <f>(VLOOKUP(L2301,'[1]Simulation pricing per sub assy'!$D:$E,2,0))*M2301</f>
        <v>103.16640000000004</v>
      </c>
      <c r="P2301" s="36" t="s">
        <v>50</v>
      </c>
      <c r="Q2301" s="36">
        <v>8</v>
      </c>
      <c r="R2301" s="36" t="s">
        <v>16</v>
      </c>
      <c r="S2301" s="40">
        <f>(VLOOKUP(P2301,'[1]BOM Info General'!$A:$L,12,0))*Q2301</f>
        <v>21.2</v>
      </c>
      <c r="T2301" s="37" t="s">
        <v>24</v>
      </c>
      <c r="U2301" s="37">
        <v>1</v>
      </c>
      <c r="V2301" s="37" t="s">
        <v>25</v>
      </c>
      <c r="W2301" s="17">
        <f>(VLOOKUP(T2301,'[1]Simulation pricing per sub assy'!$D:$E,2,0))*U2301</f>
        <v>6.44</v>
      </c>
      <c r="X2301" s="32" t="s">
        <v>616</v>
      </c>
      <c r="Y2301" s="38">
        <v>1</v>
      </c>
      <c r="Z2301" s="38" t="s">
        <v>23</v>
      </c>
      <c r="AA2301" s="18">
        <f>(VLOOKUP(X2301,'[1]Simulation pricing per sub assy'!$D:$E,2,0))*Y2301</f>
        <v>4.4802908000000006</v>
      </c>
    </row>
    <row r="2302" spans="1:27" x14ac:dyDescent="0.35">
      <c r="A2302" s="27" t="s">
        <v>3836</v>
      </c>
      <c r="B2302" s="27" t="s">
        <v>3837</v>
      </c>
      <c r="C2302" s="42">
        <f t="shared" si="35"/>
        <v>284.67669080000002</v>
      </c>
      <c r="D2302" s="33" t="s">
        <v>3540</v>
      </c>
      <c r="E2302" s="33">
        <v>2</v>
      </c>
      <c r="F2302" s="33" t="s">
        <v>3541</v>
      </c>
      <c r="G2302" s="14">
        <f>(VLOOKUP(D2302,'[1]BOM Info General'!$A:$L,12,0))*E2302</f>
        <v>130.12</v>
      </c>
      <c r="H2302" s="34" t="s">
        <v>41</v>
      </c>
      <c r="I2302" s="34">
        <v>1</v>
      </c>
      <c r="J2302" s="34" t="s">
        <v>47</v>
      </c>
      <c r="K2302" s="15">
        <f>(VLOOKUP(H2302,'[1]BOM Info General'!$A:$L,12,0))*I2302</f>
        <v>27.18</v>
      </c>
      <c r="L2302" s="35" t="s">
        <v>528</v>
      </c>
      <c r="M2302" s="35">
        <v>1</v>
      </c>
      <c r="N2302" s="35" t="s">
        <v>88</v>
      </c>
      <c r="O2302" s="9">
        <f>(VLOOKUP(L2302,'[1]Simulation pricing per sub assy'!$D:$E,2,0))*M2302</f>
        <v>94.656400000000033</v>
      </c>
      <c r="P2302" s="36" t="s">
        <v>50</v>
      </c>
      <c r="Q2302" s="36">
        <v>8</v>
      </c>
      <c r="R2302" s="36" t="s">
        <v>16</v>
      </c>
      <c r="S2302" s="40">
        <f>(VLOOKUP(P2302,'[1]BOM Info General'!$A:$L,12,0))*Q2302</f>
        <v>21.2</v>
      </c>
      <c r="T2302" s="37" t="s">
        <v>26</v>
      </c>
      <c r="U2302" s="37">
        <v>1</v>
      </c>
      <c r="V2302" s="37" t="s">
        <v>27</v>
      </c>
      <c r="W2302" s="17">
        <f>(VLOOKUP(T2302,'[1]Simulation pricing per sub assy'!$D:$E,2,0))*U2302</f>
        <v>7.04</v>
      </c>
      <c r="X2302" s="32" t="s">
        <v>616</v>
      </c>
      <c r="Y2302" s="38">
        <v>1</v>
      </c>
      <c r="Z2302" s="38" t="s">
        <v>23</v>
      </c>
      <c r="AA2302" s="18">
        <f>(VLOOKUP(X2302,'[1]Simulation pricing per sub assy'!$D:$E,2,0))*Y2302</f>
        <v>4.4802908000000006</v>
      </c>
    </row>
    <row r="2303" spans="1:27" x14ac:dyDescent="0.35">
      <c r="A2303" s="27" t="s">
        <v>3838</v>
      </c>
      <c r="B2303" s="27" t="s">
        <v>3839</v>
      </c>
      <c r="C2303" s="42">
        <f t="shared" si="35"/>
        <v>285.77669080000004</v>
      </c>
      <c r="D2303" s="33" t="s">
        <v>3540</v>
      </c>
      <c r="E2303" s="33">
        <v>2</v>
      </c>
      <c r="F2303" s="33" t="s">
        <v>3541</v>
      </c>
      <c r="G2303" s="14">
        <f>(VLOOKUP(D2303,'[1]BOM Info General'!$A:$L,12,0))*E2303</f>
        <v>130.12</v>
      </c>
      <c r="H2303" s="34" t="s">
        <v>41</v>
      </c>
      <c r="I2303" s="34">
        <v>1</v>
      </c>
      <c r="J2303" s="34" t="s">
        <v>47</v>
      </c>
      <c r="K2303" s="15">
        <f>(VLOOKUP(H2303,'[1]BOM Info General'!$A:$L,12,0))*I2303</f>
        <v>27.18</v>
      </c>
      <c r="L2303" s="35" t="s">
        <v>85</v>
      </c>
      <c r="M2303" s="35">
        <v>1</v>
      </c>
      <c r="N2303" s="35" t="s">
        <v>82</v>
      </c>
      <c r="O2303" s="9">
        <f>(VLOOKUP(L2303,'[1]Simulation pricing per sub assy'!$D:$E,2,0))*M2303</f>
        <v>95.756400000000042</v>
      </c>
      <c r="P2303" s="36" t="s">
        <v>50</v>
      </c>
      <c r="Q2303" s="36">
        <v>8</v>
      </c>
      <c r="R2303" s="36" t="s">
        <v>16</v>
      </c>
      <c r="S2303" s="40">
        <f>(VLOOKUP(P2303,'[1]BOM Info General'!$A:$L,12,0))*Q2303</f>
        <v>21.2</v>
      </c>
      <c r="T2303" s="37" t="s">
        <v>26</v>
      </c>
      <c r="U2303" s="37">
        <v>1</v>
      </c>
      <c r="V2303" s="37" t="s">
        <v>27</v>
      </c>
      <c r="W2303" s="17">
        <f>(VLOOKUP(T2303,'[1]Simulation pricing per sub assy'!$D:$E,2,0))*U2303</f>
        <v>7.04</v>
      </c>
      <c r="X2303" s="32" t="s">
        <v>616</v>
      </c>
      <c r="Y2303" s="38">
        <v>1</v>
      </c>
      <c r="Z2303" s="38" t="s">
        <v>23</v>
      </c>
      <c r="AA2303" s="18">
        <f>(VLOOKUP(X2303,'[1]Simulation pricing per sub assy'!$D:$E,2,0))*Y2303</f>
        <v>4.4802908000000006</v>
      </c>
    </row>
    <row r="2304" spans="1:27" x14ac:dyDescent="0.35">
      <c r="A2304" s="27" t="s">
        <v>3840</v>
      </c>
      <c r="B2304" s="27" t="s">
        <v>3841</v>
      </c>
      <c r="C2304" s="42">
        <f t="shared" si="35"/>
        <v>285.77669080000004</v>
      </c>
      <c r="D2304" s="33" t="s">
        <v>3540</v>
      </c>
      <c r="E2304" s="33">
        <v>2</v>
      </c>
      <c r="F2304" s="33" t="s">
        <v>3541</v>
      </c>
      <c r="G2304" s="14">
        <f>(VLOOKUP(D2304,'[1]BOM Info General'!$A:$L,12,0))*E2304</f>
        <v>130.12</v>
      </c>
      <c r="H2304" s="34" t="s">
        <v>41</v>
      </c>
      <c r="I2304" s="34">
        <v>1</v>
      </c>
      <c r="J2304" s="34" t="s">
        <v>47</v>
      </c>
      <c r="K2304" s="15">
        <f>(VLOOKUP(H2304,'[1]BOM Info General'!$A:$L,12,0))*I2304</f>
        <v>27.18</v>
      </c>
      <c r="L2304" s="35" t="s">
        <v>81</v>
      </c>
      <c r="M2304" s="35">
        <v>1</v>
      </c>
      <c r="N2304" s="35" t="s">
        <v>80</v>
      </c>
      <c r="O2304" s="9">
        <f>(VLOOKUP(L2304,'[1]Simulation pricing per sub assy'!$D:$E,2,0))*M2304</f>
        <v>95.756400000000042</v>
      </c>
      <c r="P2304" s="36" t="s">
        <v>50</v>
      </c>
      <c r="Q2304" s="36">
        <v>8</v>
      </c>
      <c r="R2304" s="36" t="s">
        <v>16</v>
      </c>
      <c r="S2304" s="40">
        <f>(VLOOKUP(P2304,'[1]BOM Info General'!$A:$L,12,0))*Q2304</f>
        <v>21.2</v>
      </c>
      <c r="T2304" s="37" t="s">
        <v>26</v>
      </c>
      <c r="U2304" s="37">
        <v>1</v>
      </c>
      <c r="V2304" s="37" t="s">
        <v>27</v>
      </c>
      <c r="W2304" s="17">
        <f>(VLOOKUP(T2304,'[1]Simulation pricing per sub assy'!$D:$E,2,0))*U2304</f>
        <v>7.04</v>
      </c>
      <c r="X2304" s="32" t="s">
        <v>616</v>
      </c>
      <c r="Y2304" s="38">
        <v>1</v>
      </c>
      <c r="Z2304" s="38" t="s">
        <v>23</v>
      </c>
      <c r="AA2304" s="18">
        <f>(VLOOKUP(X2304,'[1]Simulation pricing per sub assy'!$D:$E,2,0))*Y2304</f>
        <v>4.4802908000000006</v>
      </c>
    </row>
    <row r="2305" spans="1:27" x14ac:dyDescent="0.35">
      <c r="A2305" s="27" t="s">
        <v>3842</v>
      </c>
      <c r="B2305" s="27" t="s">
        <v>3843</v>
      </c>
      <c r="C2305" s="42">
        <f t="shared" si="35"/>
        <v>285.22669080000003</v>
      </c>
      <c r="D2305" s="33" t="s">
        <v>3540</v>
      </c>
      <c r="E2305" s="33">
        <v>2</v>
      </c>
      <c r="F2305" s="33" t="s">
        <v>3541</v>
      </c>
      <c r="G2305" s="14">
        <f>(VLOOKUP(D2305,'[1]BOM Info General'!$A:$L,12,0))*E2305</f>
        <v>130.12</v>
      </c>
      <c r="H2305" s="34" t="s">
        <v>41</v>
      </c>
      <c r="I2305" s="34">
        <v>1</v>
      </c>
      <c r="J2305" s="34" t="s">
        <v>47</v>
      </c>
      <c r="K2305" s="15">
        <f>(VLOOKUP(H2305,'[1]BOM Info General'!$A:$L,12,0))*I2305</f>
        <v>27.18</v>
      </c>
      <c r="L2305" s="35" t="s">
        <v>87</v>
      </c>
      <c r="M2305" s="35">
        <v>1</v>
      </c>
      <c r="N2305" s="35" t="s">
        <v>84</v>
      </c>
      <c r="O2305" s="9">
        <f>(VLOOKUP(L2305,'[1]Simulation pricing per sub assy'!$D:$E,2,0))*M2305</f>
        <v>95.206400000000031</v>
      </c>
      <c r="P2305" s="36" t="s">
        <v>50</v>
      </c>
      <c r="Q2305" s="36">
        <v>8</v>
      </c>
      <c r="R2305" s="36" t="s">
        <v>16</v>
      </c>
      <c r="S2305" s="40">
        <f>(VLOOKUP(P2305,'[1]BOM Info General'!$A:$L,12,0))*Q2305</f>
        <v>21.2</v>
      </c>
      <c r="T2305" s="37" t="s">
        <v>26</v>
      </c>
      <c r="U2305" s="37">
        <v>1</v>
      </c>
      <c r="V2305" s="37" t="s">
        <v>27</v>
      </c>
      <c r="W2305" s="17">
        <f>(VLOOKUP(T2305,'[1]Simulation pricing per sub assy'!$D:$E,2,0))*U2305</f>
        <v>7.04</v>
      </c>
      <c r="X2305" s="32" t="s">
        <v>616</v>
      </c>
      <c r="Y2305" s="38">
        <v>1</v>
      </c>
      <c r="Z2305" s="38" t="s">
        <v>23</v>
      </c>
      <c r="AA2305" s="18">
        <f>(VLOOKUP(X2305,'[1]Simulation pricing per sub assy'!$D:$E,2,0))*Y2305</f>
        <v>4.4802908000000006</v>
      </c>
    </row>
    <row r="2306" spans="1:27" x14ac:dyDescent="0.35">
      <c r="A2306" s="27" t="s">
        <v>3844</v>
      </c>
      <c r="B2306" s="27" t="s">
        <v>3845</v>
      </c>
      <c r="C2306" s="42">
        <f t="shared" si="35"/>
        <v>293.18669080000001</v>
      </c>
      <c r="D2306" s="33" t="s">
        <v>3540</v>
      </c>
      <c r="E2306" s="33">
        <v>2</v>
      </c>
      <c r="F2306" s="33" t="s">
        <v>3541</v>
      </c>
      <c r="G2306" s="14">
        <f>(VLOOKUP(D2306,'[1]BOM Info General'!$A:$L,12,0))*E2306</f>
        <v>130.12</v>
      </c>
      <c r="H2306" s="34" t="s">
        <v>41</v>
      </c>
      <c r="I2306" s="34">
        <v>1</v>
      </c>
      <c r="J2306" s="34" t="s">
        <v>47</v>
      </c>
      <c r="K2306" s="15">
        <f>(VLOOKUP(H2306,'[1]BOM Info General'!$A:$L,12,0))*I2306</f>
        <v>27.18</v>
      </c>
      <c r="L2306" s="35" t="s">
        <v>83</v>
      </c>
      <c r="M2306" s="35">
        <v>1</v>
      </c>
      <c r="N2306" s="35" t="s">
        <v>86</v>
      </c>
      <c r="O2306" s="9">
        <f>(VLOOKUP(L2306,'[1]Simulation pricing per sub assy'!$D:$E,2,0))*M2306</f>
        <v>103.16640000000004</v>
      </c>
      <c r="P2306" s="36" t="s">
        <v>50</v>
      </c>
      <c r="Q2306" s="36">
        <v>8</v>
      </c>
      <c r="R2306" s="36" t="s">
        <v>16</v>
      </c>
      <c r="S2306" s="40">
        <f>(VLOOKUP(P2306,'[1]BOM Info General'!$A:$L,12,0))*Q2306</f>
        <v>21.2</v>
      </c>
      <c r="T2306" s="37" t="s">
        <v>26</v>
      </c>
      <c r="U2306" s="37">
        <v>1</v>
      </c>
      <c r="V2306" s="37" t="s">
        <v>27</v>
      </c>
      <c r="W2306" s="17">
        <f>(VLOOKUP(T2306,'[1]Simulation pricing per sub assy'!$D:$E,2,0))*U2306</f>
        <v>7.04</v>
      </c>
      <c r="X2306" s="32" t="s">
        <v>616</v>
      </c>
      <c r="Y2306" s="38">
        <v>1</v>
      </c>
      <c r="Z2306" s="38" t="s">
        <v>23</v>
      </c>
      <c r="AA2306" s="18">
        <f>(VLOOKUP(X2306,'[1]Simulation pricing per sub assy'!$D:$E,2,0))*Y2306</f>
        <v>4.4802908000000006</v>
      </c>
    </row>
    <row r="2307" spans="1:27" x14ac:dyDescent="0.35">
      <c r="A2307" s="27" t="s">
        <v>3846</v>
      </c>
      <c r="B2307" s="27" t="s">
        <v>3847</v>
      </c>
      <c r="C2307" s="42">
        <f t="shared" ref="C2307:C2370" si="36">SUM(G2307+K2307+O2307+S2307+W2307+AA2307)</f>
        <v>284.6366908</v>
      </c>
      <c r="D2307" s="33" t="s">
        <v>3540</v>
      </c>
      <c r="E2307" s="33">
        <v>2</v>
      </c>
      <c r="F2307" s="33" t="s">
        <v>3541</v>
      </c>
      <c r="G2307" s="14">
        <f>(VLOOKUP(D2307,'[1]BOM Info General'!$A:$L,12,0))*E2307</f>
        <v>130.12</v>
      </c>
      <c r="H2307" s="34" t="s">
        <v>41</v>
      </c>
      <c r="I2307" s="34">
        <v>1</v>
      </c>
      <c r="J2307" s="34" t="s">
        <v>47</v>
      </c>
      <c r="K2307" s="15">
        <f>(VLOOKUP(H2307,'[1]BOM Info General'!$A:$L,12,0))*I2307</f>
        <v>27.18</v>
      </c>
      <c r="L2307" s="35" t="s">
        <v>528</v>
      </c>
      <c r="M2307" s="35">
        <v>1</v>
      </c>
      <c r="N2307" s="35" t="s">
        <v>88</v>
      </c>
      <c r="O2307" s="9">
        <f>(VLOOKUP(L2307,'[1]Simulation pricing per sub assy'!$D:$E,2,0))*M2307</f>
        <v>94.656400000000033</v>
      </c>
      <c r="P2307" s="36" t="s">
        <v>50</v>
      </c>
      <c r="Q2307" s="36">
        <v>8</v>
      </c>
      <c r="R2307" s="36" t="s">
        <v>16</v>
      </c>
      <c r="S2307" s="40">
        <f>(VLOOKUP(P2307,'[1]BOM Info General'!$A:$L,12,0))*Q2307</f>
        <v>21.2</v>
      </c>
      <c r="T2307" s="37" t="s">
        <v>28</v>
      </c>
      <c r="U2307" s="37">
        <v>1</v>
      </c>
      <c r="V2307" s="37" t="s">
        <v>29</v>
      </c>
      <c r="W2307" s="17">
        <f>(VLOOKUP(T2307,'[1]Simulation pricing per sub assy'!$D:$E,2,0))*U2307</f>
        <v>7</v>
      </c>
      <c r="X2307" s="32" t="s">
        <v>616</v>
      </c>
      <c r="Y2307" s="38">
        <v>1</v>
      </c>
      <c r="Z2307" s="38" t="s">
        <v>23</v>
      </c>
      <c r="AA2307" s="18">
        <f>(VLOOKUP(X2307,'[1]Simulation pricing per sub assy'!$D:$E,2,0))*Y2307</f>
        <v>4.4802908000000006</v>
      </c>
    </row>
    <row r="2308" spans="1:27" x14ac:dyDescent="0.35">
      <c r="A2308" s="27" t="s">
        <v>3848</v>
      </c>
      <c r="B2308" s="27" t="s">
        <v>3849</v>
      </c>
      <c r="C2308" s="42">
        <f t="shared" si="36"/>
        <v>285.73669080000002</v>
      </c>
      <c r="D2308" s="33" t="s">
        <v>3540</v>
      </c>
      <c r="E2308" s="33">
        <v>2</v>
      </c>
      <c r="F2308" s="33" t="s">
        <v>3541</v>
      </c>
      <c r="G2308" s="14">
        <f>(VLOOKUP(D2308,'[1]BOM Info General'!$A:$L,12,0))*E2308</f>
        <v>130.12</v>
      </c>
      <c r="H2308" s="34" t="s">
        <v>41</v>
      </c>
      <c r="I2308" s="34">
        <v>1</v>
      </c>
      <c r="J2308" s="34" t="s">
        <v>47</v>
      </c>
      <c r="K2308" s="15">
        <f>(VLOOKUP(H2308,'[1]BOM Info General'!$A:$L,12,0))*I2308</f>
        <v>27.18</v>
      </c>
      <c r="L2308" s="35" t="s">
        <v>85</v>
      </c>
      <c r="M2308" s="35">
        <v>1</v>
      </c>
      <c r="N2308" s="35" t="s">
        <v>82</v>
      </c>
      <c r="O2308" s="9">
        <f>(VLOOKUP(L2308,'[1]Simulation pricing per sub assy'!$D:$E,2,0))*M2308</f>
        <v>95.756400000000042</v>
      </c>
      <c r="P2308" s="36" t="s">
        <v>50</v>
      </c>
      <c r="Q2308" s="36">
        <v>8</v>
      </c>
      <c r="R2308" s="36" t="s">
        <v>16</v>
      </c>
      <c r="S2308" s="40">
        <f>(VLOOKUP(P2308,'[1]BOM Info General'!$A:$L,12,0))*Q2308</f>
        <v>21.2</v>
      </c>
      <c r="T2308" s="37" t="s">
        <v>28</v>
      </c>
      <c r="U2308" s="37">
        <v>1</v>
      </c>
      <c r="V2308" s="37" t="s">
        <v>29</v>
      </c>
      <c r="W2308" s="17">
        <f>(VLOOKUP(T2308,'[1]Simulation pricing per sub assy'!$D:$E,2,0))*U2308</f>
        <v>7</v>
      </c>
      <c r="X2308" s="32" t="s">
        <v>616</v>
      </c>
      <c r="Y2308" s="38">
        <v>1</v>
      </c>
      <c r="Z2308" s="38" t="s">
        <v>23</v>
      </c>
      <c r="AA2308" s="18">
        <f>(VLOOKUP(X2308,'[1]Simulation pricing per sub assy'!$D:$E,2,0))*Y2308</f>
        <v>4.4802908000000006</v>
      </c>
    </row>
    <row r="2309" spans="1:27" x14ac:dyDescent="0.35">
      <c r="A2309" s="27" t="s">
        <v>3850</v>
      </c>
      <c r="B2309" s="27" t="s">
        <v>3851</v>
      </c>
      <c r="C2309" s="42">
        <f t="shared" si="36"/>
        <v>285.73669080000002</v>
      </c>
      <c r="D2309" s="33" t="s">
        <v>3540</v>
      </c>
      <c r="E2309" s="33">
        <v>2</v>
      </c>
      <c r="F2309" s="33" t="s">
        <v>3541</v>
      </c>
      <c r="G2309" s="14">
        <f>(VLOOKUP(D2309,'[1]BOM Info General'!$A:$L,12,0))*E2309</f>
        <v>130.12</v>
      </c>
      <c r="H2309" s="34" t="s">
        <v>41</v>
      </c>
      <c r="I2309" s="34">
        <v>1</v>
      </c>
      <c r="J2309" s="34" t="s">
        <v>47</v>
      </c>
      <c r="K2309" s="15">
        <f>(VLOOKUP(H2309,'[1]BOM Info General'!$A:$L,12,0))*I2309</f>
        <v>27.18</v>
      </c>
      <c r="L2309" s="35" t="s">
        <v>81</v>
      </c>
      <c r="M2309" s="35">
        <v>1</v>
      </c>
      <c r="N2309" s="35" t="s">
        <v>80</v>
      </c>
      <c r="O2309" s="9">
        <f>(VLOOKUP(L2309,'[1]Simulation pricing per sub assy'!$D:$E,2,0))*M2309</f>
        <v>95.756400000000042</v>
      </c>
      <c r="P2309" s="36" t="s">
        <v>50</v>
      </c>
      <c r="Q2309" s="36">
        <v>8</v>
      </c>
      <c r="R2309" s="36" t="s">
        <v>16</v>
      </c>
      <c r="S2309" s="40">
        <f>(VLOOKUP(P2309,'[1]BOM Info General'!$A:$L,12,0))*Q2309</f>
        <v>21.2</v>
      </c>
      <c r="T2309" s="37" t="s">
        <v>28</v>
      </c>
      <c r="U2309" s="37">
        <v>1</v>
      </c>
      <c r="V2309" s="37" t="s">
        <v>29</v>
      </c>
      <c r="W2309" s="17">
        <f>(VLOOKUP(T2309,'[1]Simulation pricing per sub assy'!$D:$E,2,0))*U2309</f>
        <v>7</v>
      </c>
      <c r="X2309" s="32" t="s">
        <v>616</v>
      </c>
      <c r="Y2309" s="38">
        <v>1</v>
      </c>
      <c r="Z2309" s="38" t="s">
        <v>23</v>
      </c>
      <c r="AA2309" s="18">
        <f>(VLOOKUP(X2309,'[1]Simulation pricing per sub assy'!$D:$E,2,0))*Y2309</f>
        <v>4.4802908000000006</v>
      </c>
    </row>
    <row r="2310" spans="1:27" x14ac:dyDescent="0.35">
      <c r="A2310" s="27" t="s">
        <v>3852</v>
      </c>
      <c r="B2310" s="27" t="s">
        <v>3853</v>
      </c>
      <c r="C2310" s="42">
        <f t="shared" si="36"/>
        <v>285.18669080000001</v>
      </c>
      <c r="D2310" s="33" t="s">
        <v>3540</v>
      </c>
      <c r="E2310" s="33">
        <v>2</v>
      </c>
      <c r="F2310" s="33" t="s">
        <v>3541</v>
      </c>
      <c r="G2310" s="14">
        <f>(VLOOKUP(D2310,'[1]BOM Info General'!$A:$L,12,0))*E2310</f>
        <v>130.12</v>
      </c>
      <c r="H2310" s="34" t="s">
        <v>41</v>
      </c>
      <c r="I2310" s="34">
        <v>1</v>
      </c>
      <c r="J2310" s="34" t="s">
        <v>47</v>
      </c>
      <c r="K2310" s="15">
        <f>(VLOOKUP(H2310,'[1]BOM Info General'!$A:$L,12,0))*I2310</f>
        <v>27.18</v>
      </c>
      <c r="L2310" s="35" t="s">
        <v>87</v>
      </c>
      <c r="M2310" s="35">
        <v>1</v>
      </c>
      <c r="N2310" s="35" t="s">
        <v>84</v>
      </c>
      <c r="O2310" s="9">
        <f>(VLOOKUP(L2310,'[1]Simulation pricing per sub assy'!$D:$E,2,0))*M2310</f>
        <v>95.206400000000031</v>
      </c>
      <c r="P2310" s="36" t="s">
        <v>50</v>
      </c>
      <c r="Q2310" s="36">
        <v>8</v>
      </c>
      <c r="R2310" s="36" t="s">
        <v>16</v>
      </c>
      <c r="S2310" s="40">
        <f>(VLOOKUP(P2310,'[1]BOM Info General'!$A:$L,12,0))*Q2310</f>
        <v>21.2</v>
      </c>
      <c r="T2310" s="37" t="s">
        <v>28</v>
      </c>
      <c r="U2310" s="37">
        <v>1</v>
      </c>
      <c r="V2310" s="37" t="s">
        <v>29</v>
      </c>
      <c r="W2310" s="17">
        <f>(VLOOKUP(T2310,'[1]Simulation pricing per sub assy'!$D:$E,2,0))*U2310</f>
        <v>7</v>
      </c>
      <c r="X2310" s="32" t="s">
        <v>616</v>
      </c>
      <c r="Y2310" s="38">
        <v>1</v>
      </c>
      <c r="Z2310" s="38" t="s">
        <v>23</v>
      </c>
      <c r="AA2310" s="18">
        <f>(VLOOKUP(X2310,'[1]Simulation pricing per sub assy'!$D:$E,2,0))*Y2310</f>
        <v>4.4802908000000006</v>
      </c>
    </row>
    <row r="2311" spans="1:27" x14ac:dyDescent="0.35">
      <c r="A2311" s="27" t="s">
        <v>3854</v>
      </c>
      <c r="B2311" s="27" t="s">
        <v>3855</v>
      </c>
      <c r="C2311" s="42">
        <f t="shared" si="36"/>
        <v>293.14669079999999</v>
      </c>
      <c r="D2311" s="33" t="s">
        <v>3540</v>
      </c>
      <c r="E2311" s="33">
        <v>2</v>
      </c>
      <c r="F2311" s="33" t="s">
        <v>3541</v>
      </c>
      <c r="G2311" s="14">
        <f>(VLOOKUP(D2311,'[1]BOM Info General'!$A:$L,12,0))*E2311</f>
        <v>130.12</v>
      </c>
      <c r="H2311" s="34" t="s">
        <v>41</v>
      </c>
      <c r="I2311" s="34">
        <v>1</v>
      </c>
      <c r="J2311" s="34" t="s">
        <v>47</v>
      </c>
      <c r="K2311" s="15">
        <f>(VLOOKUP(H2311,'[1]BOM Info General'!$A:$L,12,0))*I2311</f>
        <v>27.18</v>
      </c>
      <c r="L2311" s="35" t="s">
        <v>83</v>
      </c>
      <c r="M2311" s="35">
        <v>1</v>
      </c>
      <c r="N2311" s="35" t="s">
        <v>86</v>
      </c>
      <c r="O2311" s="9">
        <f>(VLOOKUP(L2311,'[1]Simulation pricing per sub assy'!$D:$E,2,0))*M2311</f>
        <v>103.16640000000004</v>
      </c>
      <c r="P2311" s="36" t="s">
        <v>50</v>
      </c>
      <c r="Q2311" s="36">
        <v>8</v>
      </c>
      <c r="R2311" s="36" t="s">
        <v>16</v>
      </c>
      <c r="S2311" s="40">
        <f>(VLOOKUP(P2311,'[1]BOM Info General'!$A:$L,12,0))*Q2311</f>
        <v>21.2</v>
      </c>
      <c r="T2311" s="37" t="s">
        <v>28</v>
      </c>
      <c r="U2311" s="37">
        <v>1</v>
      </c>
      <c r="V2311" s="37" t="s">
        <v>29</v>
      </c>
      <c r="W2311" s="17">
        <f>(VLOOKUP(T2311,'[1]Simulation pricing per sub assy'!$D:$E,2,0))*U2311</f>
        <v>7</v>
      </c>
      <c r="X2311" s="32" t="s">
        <v>616</v>
      </c>
      <c r="Y2311" s="38">
        <v>1</v>
      </c>
      <c r="Z2311" s="38" t="s">
        <v>23</v>
      </c>
      <c r="AA2311" s="18">
        <f>(VLOOKUP(X2311,'[1]Simulation pricing per sub assy'!$D:$E,2,0))*Y2311</f>
        <v>4.4802908000000006</v>
      </c>
    </row>
    <row r="2312" spans="1:27" x14ac:dyDescent="0.35">
      <c r="A2312" s="27" t="s">
        <v>3856</v>
      </c>
      <c r="B2312" s="27" t="s">
        <v>3857</v>
      </c>
      <c r="C2312" s="42">
        <f t="shared" si="36"/>
        <v>284.07669079999999</v>
      </c>
      <c r="D2312" s="33" t="s">
        <v>3540</v>
      </c>
      <c r="E2312" s="33">
        <v>2</v>
      </c>
      <c r="F2312" s="33" t="s">
        <v>3541</v>
      </c>
      <c r="G2312" s="14">
        <f>(VLOOKUP(D2312,'[1]BOM Info General'!$A:$L,12,0))*E2312</f>
        <v>130.12</v>
      </c>
      <c r="H2312" s="34" t="s">
        <v>41</v>
      </c>
      <c r="I2312" s="34">
        <v>1</v>
      </c>
      <c r="J2312" s="34" t="s">
        <v>47</v>
      </c>
      <c r="K2312" s="15">
        <f>(VLOOKUP(H2312,'[1]BOM Info General'!$A:$L,12,0))*I2312</f>
        <v>27.18</v>
      </c>
      <c r="L2312" s="35" t="s">
        <v>528</v>
      </c>
      <c r="M2312" s="35">
        <v>1</v>
      </c>
      <c r="N2312" s="35" t="s">
        <v>88</v>
      </c>
      <c r="O2312" s="9">
        <f>(VLOOKUP(L2312,'[1]Simulation pricing per sub assy'!$D:$E,2,0))*M2312</f>
        <v>94.656400000000033</v>
      </c>
      <c r="P2312" s="36" t="s">
        <v>51</v>
      </c>
      <c r="Q2312" s="36">
        <v>8</v>
      </c>
      <c r="R2312" s="36" t="s">
        <v>17</v>
      </c>
      <c r="S2312" s="40">
        <f>(VLOOKUP(P2312,'[1]BOM Info General'!$A:$L,12,0))*Q2312</f>
        <v>21.2</v>
      </c>
      <c r="T2312" s="37" t="s">
        <v>24</v>
      </c>
      <c r="U2312" s="37">
        <v>1</v>
      </c>
      <c r="V2312" s="37" t="s">
        <v>25</v>
      </c>
      <c r="W2312" s="17">
        <f>(VLOOKUP(T2312,'[1]Simulation pricing per sub assy'!$D:$E,2,0))*U2312</f>
        <v>6.44</v>
      </c>
      <c r="X2312" s="32" t="s">
        <v>616</v>
      </c>
      <c r="Y2312" s="38">
        <v>1</v>
      </c>
      <c r="Z2312" s="38" t="s">
        <v>23</v>
      </c>
      <c r="AA2312" s="18">
        <f>(VLOOKUP(X2312,'[1]Simulation pricing per sub assy'!$D:$E,2,0))*Y2312</f>
        <v>4.4802908000000006</v>
      </c>
    </row>
    <row r="2313" spans="1:27" x14ac:dyDescent="0.35">
      <c r="A2313" s="27" t="s">
        <v>3858</v>
      </c>
      <c r="B2313" s="27" t="s">
        <v>3859</v>
      </c>
      <c r="C2313" s="42">
        <f t="shared" si="36"/>
        <v>285.17669080000002</v>
      </c>
      <c r="D2313" s="33" t="s">
        <v>3540</v>
      </c>
      <c r="E2313" s="33">
        <v>2</v>
      </c>
      <c r="F2313" s="33" t="s">
        <v>3541</v>
      </c>
      <c r="G2313" s="14">
        <f>(VLOOKUP(D2313,'[1]BOM Info General'!$A:$L,12,0))*E2313</f>
        <v>130.12</v>
      </c>
      <c r="H2313" s="34" t="s">
        <v>41</v>
      </c>
      <c r="I2313" s="34">
        <v>1</v>
      </c>
      <c r="J2313" s="34" t="s">
        <v>47</v>
      </c>
      <c r="K2313" s="15">
        <f>(VLOOKUP(H2313,'[1]BOM Info General'!$A:$L,12,0))*I2313</f>
        <v>27.18</v>
      </c>
      <c r="L2313" s="35" t="s">
        <v>85</v>
      </c>
      <c r="M2313" s="35">
        <v>1</v>
      </c>
      <c r="N2313" s="35" t="s">
        <v>82</v>
      </c>
      <c r="O2313" s="9">
        <f>(VLOOKUP(L2313,'[1]Simulation pricing per sub assy'!$D:$E,2,0))*M2313</f>
        <v>95.756400000000042</v>
      </c>
      <c r="P2313" s="36" t="s">
        <v>51</v>
      </c>
      <c r="Q2313" s="36">
        <v>8</v>
      </c>
      <c r="R2313" s="36" t="s">
        <v>17</v>
      </c>
      <c r="S2313" s="40">
        <f>(VLOOKUP(P2313,'[1]BOM Info General'!$A:$L,12,0))*Q2313</f>
        <v>21.2</v>
      </c>
      <c r="T2313" s="37" t="s">
        <v>24</v>
      </c>
      <c r="U2313" s="37">
        <v>1</v>
      </c>
      <c r="V2313" s="37" t="s">
        <v>25</v>
      </c>
      <c r="W2313" s="17">
        <f>(VLOOKUP(T2313,'[1]Simulation pricing per sub assy'!$D:$E,2,0))*U2313</f>
        <v>6.44</v>
      </c>
      <c r="X2313" s="32" t="s">
        <v>616</v>
      </c>
      <c r="Y2313" s="38">
        <v>1</v>
      </c>
      <c r="Z2313" s="38" t="s">
        <v>23</v>
      </c>
      <c r="AA2313" s="18">
        <f>(VLOOKUP(X2313,'[1]Simulation pricing per sub assy'!$D:$E,2,0))*Y2313</f>
        <v>4.4802908000000006</v>
      </c>
    </row>
    <row r="2314" spans="1:27" x14ac:dyDescent="0.35">
      <c r="A2314" s="27" t="s">
        <v>3860</v>
      </c>
      <c r="B2314" s="27" t="s">
        <v>3861</v>
      </c>
      <c r="C2314" s="42">
        <f t="shared" si="36"/>
        <v>285.17669080000002</v>
      </c>
      <c r="D2314" s="33" t="s">
        <v>3540</v>
      </c>
      <c r="E2314" s="33">
        <v>2</v>
      </c>
      <c r="F2314" s="33" t="s">
        <v>3541</v>
      </c>
      <c r="G2314" s="14">
        <f>(VLOOKUP(D2314,'[1]BOM Info General'!$A:$L,12,0))*E2314</f>
        <v>130.12</v>
      </c>
      <c r="H2314" s="34" t="s">
        <v>41</v>
      </c>
      <c r="I2314" s="34">
        <v>1</v>
      </c>
      <c r="J2314" s="34" t="s">
        <v>47</v>
      </c>
      <c r="K2314" s="15">
        <f>(VLOOKUP(H2314,'[1]BOM Info General'!$A:$L,12,0))*I2314</f>
        <v>27.18</v>
      </c>
      <c r="L2314" s="35" t="s">
        <v>81</v>
      </c>
      <c r="M2314" s="35">
        <v>1</v>
      </c>
      <c r="N2314" s="35" t="s">
        <v>80</v>
      </c>
      <c r="O2314" s="9">
        <f>(VLOOKUP(L2314,'[1]Simulation pricing per sub assy'!$D:$E,2,0))*M2314</f>
        <v>95.756400000000042</v>
      </c>
      <c r="P2314" s="36" t="s">
        <v>51</v>
      </c>
      <c r="Q2314" s="36">
        <v>8</v>
      </c>
      <c r="R2314" s="36" t="s">
        <v>17</v>
      </c>
      <c r="S2314" s="40">
        <f>(VLOOKUP(P2314,'[1]BOM Info General'!$A:$L,12,0))*Q2314</f>
        <v>21.2</v>
      </c>
      <c r="T2314" s="37" t="s">
        <v>24</v>
      </c>
      <c r="U2314" s="37">
        <v>1</v>
      </c>
      <c r="V2314" s="37" t="s">
        <v>25</v>
      </c>
      <c r="W2314" s="17">
        <f>(VLOOKUP(T2314,'[1]Simulation pricing per sub assy'!$D:$E,2,0))*U2314</f>
        <v>6.44</v>
      </c>
      <c r="X2314" s="32" t="s">
        <v>616</v>
      </c>
      <c r="Y2314" s="38">
        <v>1</v>
      </c>
      <c r="Z2314" s="38" t="s">
        <v>23</v>
      </c>
      <c r="AA2314" s="18">
        <f>(VLOOKUP(X2314,'[1]Simulation pricing per sub assy'!$D:$E,2,0))*Y2314</f>
        <v>4.4802908000000006</v>
      </c>
    </row>
    <row r="2315" spans="1:27" x14ac:dyDescent="0.35">
      <c r="A2315" s="27" t="s">
        <v>3862</v>
      </c>
      <c r="B2315" s="27" t="s">
        <v>3863</v>
      </c>
      <c r="C2315" s="42">
        <f t="shared" si="36"/>
        <v>284.62669080000001</v>
      </c>
      <c r="D2315" s="33" t="s">
        <v>3540</v>
      </c>
      <c r="E2315" s="33">
        <v>2</v>
      </c>
      <c r="F2315" s="33" t="s">
        <v>3541</v>
      </c>
      <c r="G2315" s="14">
        <f>(VLOOKUP(D2315,'[1]BOM Info General'!$A:$L,12,0))*E2315</f>
        <v>130.12</v>
      </c>
      <c r="H2315" s="34" t="s">
        <v>41</v>
      </c>
      <c r="I2315" s="34">
        <v>1</v>
      </c>
      <c r="J2315" s="34" t="s">
        <v>47</v>
      </c>
      <c r="K2315" s="15">
        <f>(VLOOKUP(H2315,'[1]BOM Info General'!$A:$L,12,0))*I2315</f>
        <v>27.18</v>
      </c>
      <c r="L2315" s="35" t="s">
        <v>87</v>
      </c>
      <c r="M2315" s="35">
        <v>1</v>
      </c>
      <c r="N2315" s="35" t="s">
        <v>84</v>
      </c>
      <c r="O2315" s="9">
        <f>(VLOOKUP(L2315,'[1]Simulation pricing per sub assy'!$D:$E,2,0))*M2315</f>
        <v>95.206400000000031</v>
      </c>
      <c r="P2315" s="36" t="s">
        <v>51</v>
      </c>
      <c r="Q2315" s="36">
        <v>8</v>
      </c>
      <c r="R2315" s="36" t="s">
        <v>17</v>
      </c>
      <c r="S2315" s="40">
        <f>(VLOOKUP(P2315,'[1]BOM Info General'!$A:$L,12,0))*Q2315</f>
        <v>21.2</v>
      </c>
      <c r="T2315" s="37" t="s">
        <v>24</v>
      </c>
      <c r="U2315" s="37">
        <v>1</v>
      </c>
      <c r="V2315" s="37" t="s">
        <v>25</v>
      </c>
      <c r="W2315" s="17">
        <f>(VLOOKUP(T2315,'[1]Simulation pricing per sub assy'!$D:$E,2,0))*U2315</f>
        <v>6.44</v>
      </c>
      <c r="X2315" s="32" t="s">
        <v>616</v>
      </c>
      <c r="Y2315" s="38">
        <v>1</v>
      </c>
      <c r="Z2315" s="38" t="s">
        <v>23</v>
      </c>
      <c r="AA2315" s="18">
        <f>(VLOOKUP(X2315,'[1]Simulation pricing per sub assy'!$D:$E,2,0))*Y2315</f>
        <v>4.4802908000000006</v>
      </c>
    </row>
    <row r="2316" spans="1:27" x14ac:dyDescent="0.35">
      <c r="A2316" s="27" t="s">
        <v>3864</v>
      </c>
      <c r="B2316" s="27" t="s">
        <v>3865</v>
      </c>
      <c r="C2316" s="42">
        <f t="shared" si="36"/>
        <v>292.58669079999999</v>
      </c>
      <c r="D2316" s="33" t="s">
        <v>3540</v>
      </c>
      <c r="E2316" s="33">
        <v>2</v>
      </c>
      <c r="F2316" s="33" t="s">
        <v>3541</v>
      </c>
      <c r="G2316" s="14">
        <f>(VLOOKUP(D2316,'[1]BOM Info General'!$A:$L,12,0))*E2316</f>
        <v>130.12</v>
      </c>
      <c r="H2316" s="34" t="s">
        <v>41</v>
      </c>
      <c r="I2316" s="34">
        <v>1</v>
      </c>
      <c r="J2316" s="34" t="s">
        <v>47</v>
      </c>
      <c r="K2316" s="15">
        <f>(VLOOKUP(H2316,'[1]BOM Info General'!$A:$L,12,0))*I2316</f>
        <v>27.18</v>
      </c>
      <c r="L2316" s="35" t="s">
        <v>83</v>
      </c>
      <c r="M2316" s="35">
        <v>1</v>
      </c>
      <c r="N2316" s="35" t="s">
        <v>86</v>
      </c>
      <c r="O2316" s="9">
        <f>(VLOOKUP(L2316,'[1]Simulation pricing per sub assy'!$D:$E,2,0))*M2316</f>
        <v>103.16640000000004</v>
      </c>
      <c r="P2316" s="36" t="s">
        <v>51</v>
      </c>
      <c r="Q2316" s="36">
        <v>8</v>
      </c>
      <c r="R2316" s="36" t="s">
        <v>17</v>
      </c>
      <c r="S2316" s="40">
        <f>(VLOOKUP(P2316,'[1]BOM Info General'!$A:$L,12,0))*Q2316</f>
        <v>21.2</v>
      </c>
      <c r="T2316" s="37" t="s">
        <v>24</v>
      </c>
      <c r="U2316" s="37">
        <v>1</v>
      </c>
      <c r="V2316" s="37" t="s">
        <v>25</v>
      </c>
      <c r="W2316" s="17">
        <f>(VLOOKUP(T2316,'[1]Simulation pricing per sub assy'!$D:$E,2,0))*U2316</f>
        <v>6.44</v>
      </c>
      <c r="X2316" s="32" t="s">
        <v>616</v>
      </c>
      <c r="Y2316" s="38">
        <v>1</v>
      </c>
      <c r="Z2316" s="38" t="s">
        <v>23</v>
      </c>
      <c r="AA2316" s="18">
        <f>(VLOOKUP(X2316,'[1]Simulation pricing per sub assy'!$D:$E,2,0))*Y2316</f>
        <v>4.4802908000000006</v>
      </c>
    </row>
    <row r="2317" spans="1:27" x14ac:dyDescent="0.35">
      <c r="A2317" s="27" t="s">
        <v>3866</v>
      </c>
      <c r="B2317" s="27" t="s">
        <v>3867</v>
      </c>
      <c r="C2317" s="42">
        <f t="shared" si="36"/>
        <v>284.67669080000002</v>
      </c>
      <c r="D2317" s="33" t="s">
        <v>3540</v>
      </c>
      <c r="E2317" s="33">
        <v>2</v>
      </c>
      <c r="F2317" s="33" t="s">
        <v>3541</v>
      </c>
      <c r="G2317" s="14">
        <f>(VLOOKUP(D2317,'[1]BOM Info General'!$A:$L,12,0))*E2317</f>
        <v>130.12</v>
      </c>
      <c r="H2317" s="34" t="s">
        <v>41</v>
      </c>
      <c r="I2317" s="34">
        <v>1</v>
      </c>
      <c r="J2317" s="34" t="s">
        <v>47</v>
      </c>
      <c r="K2317" s="15">
        <f>(VLOOKUP(H2317,'[1]BOM Info General'!$A:$L,12,0))*I2317</f>
        <v>27.18</v>
      </c>
      <c r="L2317" s="35" t="s">
        <v>528</v>
      </c>
      <c r="M2317" s="35">
        <v>1</v>
      </c>
      <c r="N2317" s="35" t="s">
        <v>88</v>
      </c>
      <c r="O2317" s="9">
        <f>(VLOOKUP(L2317,'[1]Simulation pricing per sub assy'!$D:$E,2,0))*M2317</f>
        <v>94.656400000000033</v>
      </c>
      <c r="P2317" s="36" t="s">
        <v>51</v>
      </c>
      <c r="Q2317" s="36">
        <v>8</v>
      </c>
      <c r="R2317" s="36" t="s">
        <v>17</v>
      </c>
      <c r="S2317" s="40">
        <f>(VLOOKUP(P2317,'[1]BOM Info General'!$A:$L,12,0))*Q2317</f>
        <v>21.2</v>
      </c>
      <c r="T2317" s="37" t="s">
        <v>26</v>
      </c>
      <c r="U2317" s="37">
        <v>1</v>
      </c>
      <c r="V2317" s="37" t="s">
        <v>27</v>
      </c>
      <c r="W2317" s="17">
        <f>(VLOOKUP(T2317,'[1]Simulation pricing per sub assy'!$D:$E,2,0))*U2317</f>
        <v>7.04</v>
      </c>
      <c r="X2317" s="32" t="s">
        <v>616</v>
      </c>
      <c r="Y2317" s="38">
        <v>1</v>
      </c>
      <c r="Z2317" s="38" t="s">
        <v>23</v>
      </c>
      <c r="AA2317" s="18">
        <f>(VLOOKUP(X2317,'[1]Simulation pricing per sub assy'!$D:$E,2,0))*Y2317</f>
        <v>4.4802908000000006</v>
      </c>
    </row>
    <row r="2318" spans="1:27" x14ac:dyDescent="0.35">
      <c r="A2318" s="27" t="s">
        <v>3868</v>
      </c>
      <c r="B2318" s="27" t="s">
        <v>3869</v>
      </c>
      <c r="C2318" s="42">
        <f t="shared" si="36"/>
        <v>285.77669080000004</v>
      </c>
      <c r="D2318" s="33" t="s">
        <v>3540</v>
      </c>
      <c r="E2318" s="33">
        <v>2</v>
      </c>
      <c r="F2318" s="33" t="s">
        <v>3541</v>
      </c>
      <c r="G2318" s="14">
        <f>(VLOOKUP(D2318,'[1]BOM Info General'!$A:$L,12,0))*E2318</f>
        <v>130.12</v>
      </c>
      <c r="H2318" s="34" t="s">
        <v>41</v>
      </c>
      <c r="I2318" s="34">
        <v>1</v>
      </c>
      <c r="J2318" s="34" t="s">
        <v>47</v>
      </c>
      <c r="K2318" s="15">
        <f>(VLOOKUP(H2318,'[1]BOM Info General'!$A:$L,12,0))*I2318</f>
        <v>27.18</v>
      </c>
      <c r="L2318" s="35" t="s">
        <v>85</v>
      </c>
      <c r="M2318" s="35">
        <v>1</v>
      </c>
      <c r="N2318" s="35" t="s">
        <v>82</v>
      </c>
      <c r="O2318" s="9">
        <f>(VLOOKUP(L2318,'[1]Simulation pricing per sub assy'!$D:$E,2,0))*M2318</f>
        <v>95.756400000000042</v>
      </c>
      <c r="P2318" s="36" t="s">
        <v>51</v>
      </c>
      <c r="Q2318" s="36">
        <v>8</v>
      </c>
      <c r="R2318" s="36" t="s">
        <v>17</v>
      </c>
      <c r="S2318" s="40">
        <f>(VLOOKUP(P2318,'[1]BOM Info General'!$A:$L,12,0))*Q2318</f>
        <v>21.2</v>
      </c>
      <c r="T2318" s="37" t="s">
        <v>26</v>
      </c>
      <c r="U2318" s="37">
        <v>1</v>
      </c>
      <c r="V2318" s="37" t="s">
        <v>27</v>
      </c>
      <c r="W2318" s="17">
        <f>(VLOOKUP(T2318,'[1]Simulation pricing per sub assy'!$D:$E,2,0))*U2318</f>
        <v>7.04</v>
      </c>
      <c r="X2318" s="32" t="s">
        <v>616</v>
      </c>
      <c r="Y2318" s="38">
        <v>1</v>
      </c>
      <c r="Z2318" s="38" t="s">
        <v>23</v>
      </c>
      <c r="AA2318" s="18">
        <f>(VLOOKUP(X2318,'[1]Simulation pricing per sub assy'!$D:$E,2,0))*Y2318</f>
        <v>4.4802908000000006</v>
      </c>
    </row>
    <row r="2319" spans="1:27" x14ac:dyDescent="0.35">
      <c r="A2319" s="27" t="s">
        <v>3870</v>
      </c>
      <c r="B2319" s="27" t="s">
        <v>3871</v>
      </c>
      <c r="C2319" s="42">
        <f t="shared" si="36"/>
        <v>285.77669080000004</v>
      </c>
      <c r="D2319" s="33" t="s">
        <v>3540</v>
      </c>
      <c r="E2319" s="33">
        <v>2</v>
      </c>
      <c r="F2319" s="33" t="s">
        <v>3541</v>
      </c>
      <c r="G2319" s="14">
        <f>(VLOOKUP(D2319,'[1]BOM Info General'!$A:$L,12,0))*E2319</f>
        <v>130.12</v>
      </c>
      <c r="H2319" s="34" t="s">
        <v>41</v>
      </c>
      <c r="I2319" s="34">
        <v>1</v>
      </c>
      <c r="J2319" s="34" t="s">
        <v>47</v>
      </c>
      <c r="K2319" s="15">
        <f>(VLOOKUP(H2319,'[1]BOM Info General'!$A:$L,12,0))*I2319</f>
        <v>27.18</v>
      </c>
      <c r="L2319" s="35" t="s">
        <v>81</v>
      </c>
      <c r="M2319" s="35">
        <v>1</v>
      </c>
      <c r="N2319" s="35" t="s">
        <v>80</v>
      </c>
      <c r="O2319" s="9">
        <f>(VLOOKUP(L2319,'[1]Simulation pricing per sub assy'!$D:$E,2,0))*M2319</f>
        <v>95.756400000000042</v>
      </c>
      <c r="P2319" s="36" t="s">
        <v>51</v>
      </c>
      <c r="Q2319" s="36">
        <v>8</v>
      </c>
      <c r="R2319" s="36" t="s">
        <v>17</v>
      </c>
      <c r="S2319" s="40">
        <f>(VLOOKUP(P2319,'[1]BOM Info General'!$A:$L,12,0))*Q2319</f>
        <v>21.2</v>
      </c>
      <c r="T2319" s="37" t="s">
        <v>26</v>
      </c>
      <c r="U2319" s="37">
        <v>1</v>
      </c>
      <c r="V2319" s="37" t="s">
        <v>27</v>
      </c>
      <c r="W2319" s="17">
        <f>(VLOOKUP(T2319,'[1]Simulation pricing per sub assy'!$D:$E,2,0))*U2319</f>
        <v>7.04</v>
      </c>
      <c r="X2319" s="32" t="s">
        <v>616</v>
      </c>
      <c r="Y2319" s="38">
        <v>1</v>
      </c>
      <c r="Z2319" s="38" t="s">
        <v>23</v>
      </c>
      <c r="AA2319" s="18">
        <f>(VLOOKUP(X2319,'[1]Simulation pricing per sub assy'!$D:$E,2,0))*Y2319</f>
        <v>4.4802908000000006</v>
      </c>
    </row>
    <row r="2320" spans="1:27" x14ac:dyDescent="0.35">
      <c r="A2320" s="27" t="s">
        <v>3872</v>
      </c>
      <c r="B2320" s="27" t="s">
        <v>3873</v>
      </c>
      <c r="C2320" s="42">
        <f t="shared" si="36"/>
        <v>285.22669080000003</v>
      </c>
      <c r="D2320" s="33" t="s">
        <v>3540</v>
      </c>
      <c r="E2320" s="33">
        <v>2</v>
      </c>
      <c r="F2320" s="33" t="s">
        <v>3541</v>
      </c>
      <c r="G2320" s="14">
        <f>(VLOOKUP(D2320,'[1]BOM Info General'!$A:$L,12,0))*E2320</f>
        <v>130.12</v>
      </c>
      <c r="H2320" s="34" t="s">
        <v>41</v>
      </c>
      <c r="I2320" s="34">
        <v>1</v>
      </c>
      <c r="J2320" s="34" t="s">
        <v>47</v>
      </c>
      <c r="K2320" s="15">
        <f>(VLOOKUP(H2320,'[1]BOM Info General'!$A:$L,12,0))*I2320</f>
        <v>27.18</v>
      </c>
      <c r="L2320" s="35" t="s">
        <v>87</v>
      </c>
      <c r="M2320" s="35">
        <v>1</v>
      </c>
      <c r="N2320" s="35" t="s">
        <v>84</v>
      </c>
      <c r="O2320" s="9">
        <f>(VLOOKUP(L2320,'[1]Simulation pricing per sub assy'!$D:$E,2,0))*M2320</f>
        <v>95.206400000000031</v>
      </c>
      <c r="P2320" s="36" t="s">
        <v>51</v>
      </c>
      <c r="Q2320" s="36">
        <v>8</v>
      </c>
      <c r="R2320" s="36" t="s">
        <v>17</v>
      </c>
      <c r="S2320" s="40">
        <f>(VLOOKUP(P2320,'[1]BOM Info General'!$A:$L,12,0))*Q2320</f>
        <v>21.2</v>
      </c>
      <c r="T2320" s="37" t="s">
        <v>26</v>
      </c>
      <c r="U2320" s="37">
        <v>1</v>
      </c>
      <c r="V2320" s="37" t="s">
        <v>27</v>
      </c>
      <c r="W2320" s="17">
        <f>(VLOOKUP(T2320,'[1]Simulation pricing per sub assy'!$D:$E,2,0))*U2320</f>
        <v>7.04</v>
      </c>
      <c r="X2320" s="32" t="s">
        <v>616</v>
      </c>
      <c r="Y2320" s="38">
        <v>1</v>
      </c>
      <c r="Z2320" s="38" t="s">
        <v>23</v>
      </c>
      <c r="AA2320" s="18">
        <f>(VLOOKUP(X2320,'[1]Simulation pricing per sub assy'!$D:$E,2,0))*Y2320</f>
        <v>4.4802908000000006</v>
      </c>
    </row>
    <row r="2321" spans="1:27" x14ac:dyDescent="0.35">
      <c r="A2321" s="27" t="s">
        <v>3874</v>
      </c>
      <c r="B2321" s="27" t="s">
        <v>3875</v>
      </c>
      <c r="C2321" s="42">
        <f t="shared" si="36"/>
        <v>293.18669080000001</v>
      </c>
      <c r="D2321" s="33" t="s">
        <v>3540</v>
      </c>
      <c r="E2321" s="33">
        <v>2</v>
      </c>
      <c r="F2321" s="33" t="s">
        <v>3541</v>
      </c>
      <c r="G2321" s="14">
        <f>(VLOOKUP(D2321,'[1]BOM Info General'!$A:$L,12,0))*E2321</f>
        <v>130.12</v>
      </c>
      <c r="H2321" s="34" t="s">
        <v>41</v>
      </c>
      <c r="I2321" s="34">
        <v>1</v>
      </c>
      <c r="J2321" s="34" t="s">
        <v>47</v>
      </c>
      <c r="K2321" s="15">
        <f>(VLOOKUP(H2321,'[1]BOM Info General'!$A:$L,12,0))*I2321</f>
        <v>27.18</v>
      </c>
      <c r="L2321" s="35" t="s">
        <v>83</v>
      </c>
      <c r="M2321" s="35">
        <v>1</v>
      </c>
      <c r="N2321" s="35" t="s">
        <v>86</v>
      </c>
      <c r="O2321" s="9">
        <f>(VLOOKUP(L2321,'[1]Simulation pricing per sub assy'!$D:$E,2,0))*M2321</f>
        <v>103.16640000000004</v>
      </c>
      <c r="P2321" s="36" t="s">
        <v>51</v>
      </c>
      <c r="Q2321" s="36">
        <v>8</v>
      </c>
      <c r="R2321" s="36" t="s">
        <v>17</v>
      </c>
      <c r="S2321" s="40">
        <f>(VLOOKUP(P2321,'[1]BOM Info General'!$A:$L,12,0))*Q2321</f>
        <v>21.2</v>
      </c>
      <c r="T2321" s="37" t="s">
        <v>26</v>
      </c>
      <c r="U2321" s="37">
        <v>1</v>
      </c>
      <c r="V2321" s="37" t="s">
        <v>27</v>
      </c>
      <c r="W2321" s="17">
        <f>(VLOOKUP(T2321,'[1]Simulation pricing per sub assy'!$D:$E,2,0))*U2321</f>
        <v>7.04</v>
      </c>
      <c r="X2321" s="32" t="s">
        <v>616</v>
      </c>
      <c r="Y2321" s="38">
        <v>1</v>
      </c>
      <c r="Z2321" s="38" t="s">
        <v>23</v>
      </c>
      <c r="AA2321" s="18">
        <f>(VLOOKUP(X2321,'[1]Simulation pricing per sub assy'!$D:$E,2,0))*Y2321</f>
        <v>4.4802908000000006</v>
      </c>
    </row>
    <row r="2322" spans="1:27" x14ac:dyDescent="0.35">
      <c r="A2322" s="27" t="s">
        <v>3876</v>
      </c>
      <c r="B2322" s="27" t="s">
        <v>3877</v>
      </c>
      <c r="C2322" s="42">
        <f t="shared" si="36"/>
        <v>284.6366908</v>
      </c>
      <c r="D2322" s="33" t="s">
        <v>3540</v>
      </c>
      <c r="E2322" s="33">
        <v>2</v>
      </c>
      <c r="F2322" s="33" t="s">
        <v>3541</v>
      </c>
      <c r="G2322" s="14">
        <f>(VLOOKUP(D2322,'[1]BOM Info General'!$A:$L,12,0))*E2322</f>
        <v>130.12</v>
      </c>
      <c r="H2322" s="34" t="s">
        <v>41</v>
      </c>
      <c r="I2322" s="34">
        <v>1</v>
      </c>
      <c r="J2322" s="34" t="s">
        <v>47</v>
      </c>
      <c r="K2322" s="15">
        <f>(VLOOKUP(H2322,'[1]BOM Info General'!$A:$L,12,0))*I2322</f>
        <v>27.18</v>
      </c>
      <c r="L2322" s="35" t="s">
        <v>528</v>
      </c>
      <c r="M2322" s="35">
        <v>1</v>
      </c>
      <c r="N2322" s="35" t="s">
        <v>88</v>
      </c>
      <c r="O2322" s="9">
        <f>(VLOOKUP(L2322,'[1]Simulation pricing per sub assy'!$D:$E,2,0))*M2322</f>
        <v>94.656400000000033</v>
      </c>
      <c r="P2322" s="36" t="s">
        <v>51</v>
      </c>
      <c r="Q2322" s="36">
        <v>8</v>
      </c>
      <c r="R2322" s="36" t="s">
        <v>17</v>
      </c>
      <c r="S2322" s="40">
        <f>(VLOOKUP(P2322,'[1]BOM Info General'!$A:$L,12,0))*Q2322</f>
        <v>21.2</v>
      </c>
      <c r="T2322" s="37" t="s">
        <v>28</v>
      </c>
      <c r="U2322" s="37">
        <v>1</v>
      </c>
      <c r="V2322" s="37" t="s">
        <v>29</v>
      </c>
      <c r="W2322" s="17">
        <f>(VLOOKUP(T2322,'[1]Simulation pricing per sub assy'!$D:$E,2,0))*U2322</f>
        <v>7</v>
      </c>
      <c r="X2322" s="32" t="s">
        <v>616</v>
      </c>
      <c r="Y2322" s="38">
        <v>1</v>
      </c>
      <c r="Z2322" s="38" t="s">
        <v>23</v>
      </c>
      <c r="AA2322" s="18">
        <f>(VLOOKUP(X2322,'[1]Simulation pricing per sub assy'!$D:$E,2,0))*Y2322</f>
        <v>4.4802908000000006</v>
      </c>
    </row>
    <row r="2323" spans="1:27" x14ac:dyDescent="0.35">
      <c r="A2323" s="27" t="s">
        <v>3878</v>
      </c>
      <c r="B2323" s="27" t="s">
        <v>3879</v>
      </c>
      <c r="C2323" s="42">
        <f t="shared" si="36"/>
        <v>285.73669080000002</v>
      </c>
      <c r="D2323" s="33" t="s">
        <v>3540</v>
      </c>
      <c r="E2323" s="33">
        <v>2</v>
      </c>
      <c r="F2323" s="33" t="s">
        <v>3541</v>
      </c>
      <c r="G2323" s="14">
        <f>(VLOOKUP(D2323,'[1]BOM Info General'!$A:$L,12,0))*E2323</f>
        <v>130.12</v>
      </c>
      <c r="H2323" s="34" t="s">
        <v>41</v>
      </c>
      <c r="I2323" s="34">
        <v>1</v>
      </c>
      <c r="J2323" s="34" t="s">
        <v>47</v>
      </c>
      <c r="K2323" s="15">
        <f>(VLOOKUP(H2323,'[1]BOM Info General'!$A:$L,12,0))*I2323</f>
        <v>27.18</v>
      </c>
      <c r="L2323" s="35" t="s">
        <v>85</v>
      </c>
      <c r="M2323" s="35">
        <v>1</v>
      </c>
      <c r="N2323" s="35" t="s">
        <v>82</v>
      </c>
      <c r="O2323" s="9">
        <f>(VLOOKUP(L2323,'[1]Simulation pricing per sub assy'!$D:$E,2,0))*M2323</f>
        <v>95.756400000000042</v>
      </c>
      <c r="P2323" s="36" t="s">
        <v>51</v>
      </c>
      <c r="Q2323" s="36">
        <v>8</v>
      </c>
      <c r="R2323" s="36" t="s">
        <v>17</v>
      </c>
      <c r="S2323" s="40">
        <f>(VLOOKUP(P2323,'[1]BOM Info General'!$A:$L,12,0))*Q2323</f>
        <v>21.2</v>
      </c>
      <c r="T2323" s="37" t="s">
        <v>28</v>
      </c>
      <c r="U2323" s="37">
        <v>1</v>
      </c>
      <c r="V2323" s="37" t="s">
        <v>29</v>
      </c>
      <c r="W2323" s="17">
        <f>(VLOOKUP(T2323,'[1]Simulation pricing per sub assy'!$D:$E,2,0))*U2323</f>
        <v>7</v>
      </c>
      <c r="X2323" s="32" t="s">
        <v>616</v>
      </c>
      <c r="Y2323" s="38">
        <v>1</v>
      </c>
      <c r="Z2323" s="38" t="s">
        <v>23</v>
      </c>
      <c r="AA2323" s="18">
        <f>(VLOOKUP(X2323,'[1]Simulation pricing per sub assy'!$D:$E,2,0))*Y2323</f>
        <v>4.4802908000000006</v>
      </c>
    </row>
    <row r="2324" spans="1:27" x14ac:dyDescent="0.35">
      <c r="A2324" s="27" t="s">
        <v>3880</v>
      </c>
      <c r="B2324" s="27" t="s">
        <v>3881</v>
      </c>
      <c r="C2324" s="42">
        <f t="shared" si="36"/>
        <v>285.73669080000002</v>
      </c>
      <c r="D2324" s="33" t="s">
        <v>3540</v>
      </c>
      <c r="E2324" s="33">
        <v>2</v>
      </c>
      <c r="F2324" s="33" t="s">
        <v>3541</v>
      </c>
      <c r="G2324" s="14">
        <f>(VLOOKUP(D2324,'[1]BOM Info General'!$A:$L,12,0))*E2324</f>
        <v>130.12</v>
      </c>
      <c r="H2324" s="34" t="s">
        <v>41</v>
      </c>
      <c r="I2324" s="34">
        <v>1</v>
      </c>
      <c r="J2324" s="34" t="s">
        <v>47</v>
      </c>
      <c r="K2324" s="15">
        <f>(VLOOKUP(H2324,'[1]BOM Info General'!$A:$L,12,0))*I2324</f>
        <v>27.18</v>
      </c>
      <c r="L2324" s="35" t="s">
        <v>81</v>
      </c>
      <c r="M2324" s="35">
        <v>1</v>
      </c>
      <c r="N2324" s="35" t="s">
        <v>80</v>
      </c>
      <c r="O2324" s="9">
        <f>(VLOOKUP(L2324,'[1]Simulation pricing per sub assy'!$D:$E,2,0))*M2324</f>
        <v>95.756400000000042</v>
      </c>
      <c r="P2324" s="36" t="s">
        <v>51</v>
      </c>
      <c r="Q2324" s="36">
        <v>8</v>
      </c>
      <c r="R2324" s="36" t="s">
        <v>17</v>
      </c>
      <c r="S2324" s="40">
        <f>(VLOOKUP(P2324,'[1]BOM Info General'!$A:$L,12,0))*Q2324</f>
        <v>21.2</v>
      </c>
      <c r="T2324" s="37" t="s">
        <v>28</v>
      </c>
      <c r="U2324" s="37">
        <v>1</v>
      </c>
      <c r="V2324" s="37" t="s">
        <v>29</v>
      </c>
      <c r="W2324" s="17">
        <f>(VLOOKUP(T2324,'[1]Simulation pricing per sub assy'!$D:$E,2,0))*U2324</f>
        <v>7</v>
      </c>
      <c r="X2324" s="32" t="s">
        <v>616</v>
      </c>
      <c r="Y2324" s="38">
        <v>1</v>
      </c>
      <c r="Z2324" s="38" t="s">
        <v>23</v>
      </c>
      <c r="AA2324" s="18">
        <f>(VLOOKUP(X2324,'[1]Simulation pricing per sub assy'!$D:$E,2,0))*Y2324</f>
        <v>4.4802908000000006</v>
      </c>
    </row>
    <row r="2325" spans="1:27" x14ac:dyDescent="0.35">
      <c r="A2325" s="27" t="s">
        <v>3882</v>
      </c>
      <c r="B2325" s="27" t="s">
        <v>3883</v>
      </c>
      <c r="C2325" s="42">
        <f t="shared" si="36"/>
        <v>285.18669080000001</v>
      </c>
      <c r="D2325" s="33" t="s">
        <v>3540</v>
      </c>
      <c r="E2325" s="33">
        <v>2</v>
      </c>
      <c r="F2325" s="33" t="s">
        <v>3541</v>
      </c>
      <c r="G2325" s="14">
        <f>(VLOOKUP(D2325,'[1]BOM Info General'!$A:$L,12,0))*E2325</f>
        <v>130.12</v>
      </c>
      <c r="H2325" s="34" t="s">
        <v>41</v>
      </c>
      <c r="I2325" s="34">
        <v>1</v>
      </c>
      <c r="J2325" s="34" t="s">
        <v>47</v>
      </c>
      <c r="K2325" s="15">
        <f>(VLOOKUP(H2325,'[1]BOM Info General'!$A:$L,12,0))*I2325</f>
        <v>27.18</v>
      </c>
      <c r="L2325" s="35" t="s">
        <v>87</v>
      </c>
      <c r="M2325" s="35">
        <v>1</v>
      </c>
      <c r="N2325" s="35" t="s">
        <v>84</v>
      </c>
      <c r="O2325" s="9">
        <f>(VLOOKUP(L2325,'[1]Simulation pricing per sub assy'!$D:$E,2,0))*M2325</f>
        <v>95.206400000000031</v>
      </c>
      <c r="P2325" s="36" t="s">
        <v>51</v>
      </c>
      <c r="Q2325" s="36">
        <v>8</v>
      </c>
      <c r="R2325" s="36" t="s">
        <v>17</v>
      </c>
      <c r="S2325" s="40">
        <f>(VLOOKUP(P2325,'[1]BOM Info General'!$A:$L,12,0))*Q2325</f>
        <v>21.2</v>
      </c>
      <c r="T2325" s="37" t="s">
        <v>28</v>
      </c>
      <c r="U2325" s="37">
        <v>1</v>
      </c>
      <c r="V2325" s="37" t="s">
        <v>29</v>
      </c>
      <c r="W2325" s="17">
        <f>(VLOOKUP(T2325,'[1]Simulation pricing per sub assy'!$D:$E,2,0))*U2325</f>
        <v>7</v>
      </c>
      <c r="X2325" s="32" t="s">
        <v>616</v>
      </c>
      <c r="Y2325" s="38">
        <v>1</v>
      </c>
      <c r="Z2325" s="38" t="s">
        <v>23</v>
      </c>
      <c r="AA2325" s="18">
        <f>(VLOOKUP(X2325,'[1]Simulation pricing per sub assy'!$D:$E,2,0))*Y2325</f>
        <v>4.4802908000000006</v>
      </c>
    </row>
    <row r="2326" spans="1:27" x14ac:dyDescent="0.35">
      <c r="A2326" s="27" t="s">
        <v>3884</v>
      </c>
      <c r="B2326" s="27" t="s">
        <v>3885</v>
      </c>
      <c r="C2326" s="42">
        <f t="shared" si="36"/>
        <v>293.14669079999999</v>
      </c>
      <c r="D2326" s="33" t="s">
        <v>3540</v>
      </c>
      <c r="E2326" s="33">
        <v>2</v>
      </c>
      <c r="F2326" s="33" t="s">
        <v>3541</v>
      </c>
      <c r="G2326" s="14">
        <f>(VLOOKUP(D2326,'[1]BOM Info General'!$A:$L,12,0))*E2326</f>
        <v>130.12</v>
      </c>
      <c r="H2326" s="34" t="s">
        <v>41</v>
      </c>
      <c r="I2326" s="34">
        <v>1</v>
      </c>
      <c r="J2326" s="34" t="s">
        <v>47</v>
      </c>
      <c r="K2326" s="15">
        <f>(VLOOKUP(H2326,'[1]BOM Info General'!$A:$L,12,0))*I2326</f>
        <v>27.18</v>
      </c>
      <c r="L2326" s="35" t="s">
        <v>83</v>
      </c>
      <c r="M2326" s="35">
        <v>1</v>
      </c>
      <c r="N2326" s="35" t="s">
        <v>86</v>
      </c>
      <c r="O2326" s="9">
        <f>(VLOOKUP(L2326,'[1]Simulation pricing per sub assy'!$D:$E,2,0))*M2326</f>
        <v>103.16640000000004</v>
      </c>
      <c r="P2326" s="36" t="s">
        <v>51</v>
      </c>
      <c r="Q2326" s="36">
        <v>8</v>
      </c>
      <c r="R2326" s="36" t="s">
        <v>17</v>
      </c>
      <c r="S2326" s="40">
        <f>(VLOOKUP(P2326,'[1]BOM Info General'!$A:$L,12,0))*Q2326</f>
        <v>21.2</v>
      </c>
      <c r="T2326" s="37" t="s">
        <v>28</v>
      </c>
      <c r="U2326" s="37">
        <v>1</v>
      </c>
      <c r="V2326" s="37" t="s">
        <v>29</v>
      </c>
      <c r="W2326" s="17">
        <f>(VLOOKUP(T2326,'[1]Simulation pricing per sub assy'!$D:$E,2,0))*U2326</f>
        <v>7</v>
      </c>
      <c r="X2326" s="32" t="s">
        <v>616</v>
      </c>
      <c r="Y2326" s="38">
        <v>1</v>
      </c>
      <c r="Z2326" s="38" t="s">
        <v>23</v>
      </c>
      <c r="AA2326" s="18">
        <f>(VLOOKUP(X2326,'[1]Simulation pricing per sub assy'!$D:$E,2,0))*Y2326</f>
        <v>4.4802908000000006</v>
      </c>
    </row>
    <row r="2327" spans="1:27" x14ac:dyDescent="0.35">
      <c r="A2327" s="27" t="s">
        <v>3886</v>
      </c>
      <c r="B2327" s="27" t="s">
        <v>3887</v>
      </c>
      <c r="C2327" s="42">
        <f t="shared" si="36"/>
        <v>284.07669079999999</v>
      </c>
      <c r="D2327" s="33" t="s">
        <v>3540</v>
      </c>
      <c r="E2327" s="33">
        <v>2</v>
      </c>
      <c r="F2327" s="33" t="s">
        <v>3541</v>
      </c>
      <c r="G2327" s="14">
        <f>(VLOOKUP(D2327,'[1]BOM Info General'!$A:$L,12,0))*E2327</f>
        <v>130.12</v>
      </c>
      <c r="H2327" s="34" t="s">
        <v>41</v>
      </c>
      <c r="I2327" s="34">
        <v>1</v>
      </c>
      <c r="J2327" s="34" t="s">
        <v>47</v>
      </c>
      <c r="K2327" s="15">
        <f>(VLOOKUP(H2327,'[1]BOM Info General'!$A:$L,12,0))*I2327</f>
        <v>27.18</v>
      </c>
      <c r="L2327" s="35" t="s">
        <v>528</v>
      </c>
      <c r="M2327" s="35">
        <v>1</v>
      </c>
      <c r="N2327" s="35" t="s">
        <v>88</v>
      </c>
      <c r="O2327" s="9">
        <f>(VLOOKUP(L2327,'[1]Simulation pricing per sub assy'!$D:$E,2,0))*M2327</f>
        <v>94.656400000000033</v>
      </c>
      <c r="P2327" s="36" t="s">
        <v>52</v>
      </c>
      <c r="Q2327" s="36">
        <v>8</v>
      </c>
      <c r="R2327" s="36" t="s">
        <v>18</v>
      </c>
      <c r="S2327" s="40">
        <f>(VLOOKUP(P2327,'[1]BOM Info General'!$A:$L,12,0))*Q2327</f>
        <v>21.2</v>
      </c>
      <c r="T2327" s="37" t="s">
        <v>24</v>
      </c>
      <c r="U2327" s="37">
        <v>1</v>
      </c>
      <c r="V2327" s="37" t="s">
        <v>25</v>
      </c>
      <c r="W2327" s="17">
        <f>(VLOOKUP(T2327,'[1]Simulation pricing per sub assy'!$D:$E,2,0))*U2327</f>
        <v>6.44</v>
      </c>
      <c r="X2327" s="32" t="s">
        <v>616</v>
      </c>
      <c r="Y2327" s="38">
        <v>1</v>
      </c>
      <c r="Z2327" s="38" t="s">
        <v>23</v>
      </c>
      <c r="AA2327" s="18">
        <f>(VLOOKUP(X2327,'[1]Simulation pricing per sub assy'!$D:$E,2,0))*Y2327</f>
        <v>4.4802908000000006</v>
      </c>
    </row>
    <row r="2328" spans="1:27" x14ac:dyDescent="0.35">
      <c r="A2328" s="27" t="s">
        <v>3888</v>
      </c>
      <c r="B2328" s="27" t="s">
        <v>3889</v>
      </c>
      <c r="C2328" s="42">
        <f t="shared" si="36"/>
        <v>285.17669080000002</v>
      </c>
      <c r="D2328" s="33" t="s">
        <v>3540</v>
      </c>
      <c r="E2328" s="33">
        <v>2</v>
      </c>
      <c r="F2328" s="33" t="s">
        <v>3541</v>
      </c>
      <c r="G2328" s="14">
        <f>(VLOOKUP(D2328,'[1]BOM Info General'!$A:$L,12,0))*E2328</f>
        <v>130.12</v>
      </c>
      <c r="H2328" s="34" t="s">
        <v>41</v>
      </c>
      <c r="I2328" s="34">
        <v>1</v>
      </c>
      <c r="J2328" s="34" t="s">
        <v>47</v>
      </c>
      <c r="K2328" s="15">
        <f>(VLOOKUP(H2328,'[1]BOM Info General'!$A:$L,12,0))*I2328</f>
        <v>27.18</v>
      </c>
      <c r="L2328" s="35" t="s">
        <v>85</v>
      </c>
      <c r="M2328" s="35">
        <v>1</v>
      </c>
      <c r="N2328" s="35" t="s">
        <v>82</v>
      </c>
      <c r="O2328" s="9">
        <f>(VLOOKUP(L2328,'[1]Simulation pricing per sub assy'!$D:$E,2,0))*M2328</f>
        <v>95.756400000000042</v>
      </c>
      <c r="P2328" s="36" t="s">
        <v>52</v>
      </c>
      <c r="Q2328" s="36">
        <v>8</v>
      </c>
      <c r="R2328" s="36" t="s">
        <v>18</v>
      </c>
      <c r="S2328" s="40">
        <f>(VLOOKUP(P2328,'[1]BOM Info General'!$A:$L,12,0))*Q2328</f>
        <v>21.2</v>
      </c>
      <c r="T2328" s="37" t="s">
        <v>24</v>
      </c>
      <c r="U2328" s="37">
        <v>1</v>
      </c>
      <c r="V2328" s="37" t="s">
        <v>25</v>
      </c>
      <c r="W2328" s="17">
        <f>(VLOOKUP(T2328,'[1]Simulation pricing per sub assy'!$D:$E,2,0))*U2328</f>
        <v>6.44</v>
      </c>
      <c r="X2328" s="32" t="s">
        <v>616</v>
      </c>
      <c r="Y2328" s="38">
        <v>1</v>
      </c>
      <c r="Z2328" s="38" t="s">
        <v>23</v>
      </c>
      <c r="AA2328" s="18">
        <f>(VLOOKUP(X2328,'[1]Simulation pricing per sub assy'!$D:$E,2,0))*Y2328</f>
        <v>4.4802908000000006</v>
      </c>
    </row>
    <row r="2329" spans="1:27" x14ac:dyDescent="0.35">
      <c r="A2329" s="27" t="s">
        <v>3890</v>
      </c>
      <c r="B2329" s="27" t="s">
        <v>3891</v>
      </c>
      <c r="C2329" s="42">
        <f t="shared" si="36"/>
        <v>285.17669080000002</v>
      </c>
      <c r="D2329" s="33" t="s">
        <v>3540</v>
      </c>
      <c r="E2329" s="33">
        <v>2</v>
      </c>
      <c r="F2329" s="33" t="s">
        <v>3541</v>
      </c>
      <c r="G2329" s="14">
        <f>(VLOOKUP(D2329,'[1]BOM Info General'!$A:$L,12,0))*E2329</f>
        <v>130.12</v>
      </c>
      <c r="H2329" s="34" t="s">
        <v>41</v>
      </c>
      <c r="I2329" s="34">
        <v>1</v>
      </c>
      <c r="J2329" s="34" t="s">
        <v>47</v>
      </c>
      <c r="K2329" s="15">
        <f>(VLOOKUP(H2329,'[1]BOM Info General'!$A:$L,12,0))*I2329</f>
        <v>27.18</v>
      </c>
      <c r="L2329" s="35" t="s">
        <v>81</v>
      </c>
      <c r="M2329" s="35">
        <v>1</v>
      </c>
      <c r="N2329" s="35" t="s">
        <v>80</v>
      </c>
      <c r="O2329" s="9">
        <f>(VLOOKUP(L2329,'[1]Simulation pricing per sub assy'!$D:$E,2,0))*M2329</f>
        <v>95.756400000000042</v>
      </c>
      <c r="P2329" s="36" t="s">
        <v>52</v>
      </c>
      <c r="Q2329" s="36">
        <v>8</v>
      </c>
      <c r="R2329" s="36" t="s">
        <v>18</v>
      </c>
      <c r="S2329" s="40">
        <f>(VLOOKUP(P2329,'[1]BOM Info General'!$A:$L,12,0))*Q2329</f>
        <v>21.2</v>
      </c>
      <c r="T2329" s="37" t="s">
        <v>24</v>
      </c>
      <c r="U2329" s="37">
        <v>1</v>
      </c>
      <c r="V2329" s="37" t="s">
        <v>25</v>
      </c>
      <c r="W2329" s="17">
        <f>(VLOOKUP(T2329,'[1]Simulation pricing per sub assy'!$D:$E,2,0))*U2329</f>
        <v>6.44</v>
      </c>
      <c r="X2329" s="32" t="s">
        <v>616</v>
      </c>
      <c r="Y2329" s="38">
        <v>1</v>
      </c>
      <c r="Z2329" s="38" t="s">
        <v>23</v>
      </c>
      <c r="AA2329" s="18">
        <f>(VLOOKUP(X2329,'[1]Simulation pricing per sub assy'!$D:$E,2,0))*Y2329</f>
        <v>4.4802908000000006</v>
      </c>
    </row>
    <row r="2330" spans="1:27" x14ac:dyDescent="0.35">
      <c r="A2330" s="27" t="s">
        <v>3892</v>
      </c>
      <c r="B2330" s="27" t="s">
        <v>3893</v>
      </c>
      <c r="C2330" s="42">
        <f t="shared" si="36"/>
        <v>284.62669080000001</v>
      </c>
      <c r="D2330" s="33" t="s">
        <v>3540</v>
      </c>
      <c r="E2330" s="33">
        <v>2</v>
      </c>
      <c r="F2330" s="33" t="s">
        <v>3541</v>
      </c>
      <c r="G2330" s="14">
        <f>(VLOOKUP(D2330,'[1]BOM Info General'!$A:$L,12,0))*E2330</f>
        <v>130.12</v>
      </c>
      <c r="H2330" s="34" t="s">
        <v>41</v>
      </c>
      <c r="I2330" s="34">
        <v>1</v>
      </c>
      <c r="J2330" s="34" t="s">
        <v>47</v>
      </c>
      <c r="K2330" s="15">
        <f>(VLOOKUP(H2330,'[1]BOM Info General'!$A:$L,12,0))*I2330</f>
        <v>27.18</v>
      </c>
      <c r="L2330" s="35" t="s">
        <v>87</v>
      </c>
      <c r="M2330" s="35">
        <v>1</v>
      </c>
      <c r="N2330" s="35" t="s">
        <v>84</v>
      </c>
      <c r="O2330" s="9">
        <f>(VLOOKUP(L2330,'[1]Simulation pricing per sub assy'!$D:$E,2,0))*M2330</f>
        <v>95.206400000000031</v>
      </c>
      <c r="P2330" s="36" t="s">
        <v>52</v>
      </c>
      <c r="Q2330" s="36">
        <v>8</v>
      </c>
      <c r="R2330" s="36" t="s">
        <v>18</v>
      </c>
      <c r="S2330" s="40">
        <f>(VLOOKUP(P2330,'[1]BOM Info General'!$A:$L,12,0))*Q2330</f>
        <v>21.2</v>
      </c>
      <c r="T2330" s="37" t="s">
        <v>24</v>
      </c>
      <c r="U2330" s="37">
        <v>1</v>
      </c>
      <c r="V2330" s="37" t="s">
        <v>25</v>
      </c>
      <c r="W2330" s="17">
        <f>(VLOOKUP(T2330,'[1]Simulation pricing per sub assy'!$D:$E,2,0))*U2330</f>
        <v>6.44</v>
      </c>
      <c r="X2330" s="32" t="s">
        <v>616</v>
      </c>
      <c r="Y2330" s="38">
        <v>1</v>
      </c>
      <c r="Z2330" s="38" t="s">
        <v>23</v>
      </c>
      <c r="AA2330" s="18">
        <f>(VLOOKUP(X2330,'[1]Simulation pricing per sub assy'!$D:$E,2,0))*Y2330</f>
        <v>4.4802908000000006</v>
      </c>
    </row>
    <row r="2331" spans="1:27" x14ac:dyDescent="0.35">
      <c r="A2331" s="27" t="s">
        <v>3894</v>
      </c>
      <c r="B2331" s="27" t="s">
        <v>3895</v>
      </c>
      <c r="C2331" s="42">
        <f t="shared" si="36"/>
        <v>292.58669079999999</v>
      </c>
      <c r="D2331" s="33" t="s">
        <v>3540</v>
      </c>
      <c r="E2331" s="33">
        <v>2</v>
      </c>
      <c r="F2331" s="33" t="s">
        <v>3541</v>
      </c>
      <c r="G2331" s="14">
        <f>(VLOOKUP(D2331,'[1]BOM Info General'!$A:$L,12,0))*E2331</f>
        <v>130.12</v>
      </c>
      <c r="H2331" s="34" t="s">
        <v>41</v>
      </c>
      <c r="I2331" s="34">
        <v>1</v>
      </c>
      <c r="J2331" s="34" t="s">
        <v>47</v>
      </c>
      <c r="K2331" s="15">
        <f>(VLOOKUP(H2331,'[1]BOM Info General'!$A:$L,12,0))*I2331</f>
        <v>27.18</v>
      </c>
      <c r="L2331" s="35" t="s">
        <v>83</v>
      </c>
      <c r="M2331" s="35">
        <v>1</v>
      </c>
      <c r="N2331" s="35" t="s">
        <v>86</v>
      </c>
      <c r="O2331" s="9">
        <f>(VLOOKUP(L2331,'[1]Simulation pricing per sub assy'!$D:$E,2,0))*M2331</f>
        <v>103.16640000000004</v>
      </c>
      <c r="P2331" s="36" t="s">
        <v>52</v>
      </c>
      <c r="Q2331" s="36">
        <v>8</v>
      </c>
      <c r="R2331" s="36" t="s">
        <v>18</v>
      </c>
      <c r="S2331" s="40">
        <f>(VLOOKUP(P2331,'[1]BOM Info General'!$A:$L,12,0))*Q2331</f>
        <v>21.2</v>
      </c>
      <c r="T2331" s="37" t="s">
        <v>24</v>
      </c>
      <c r="U2331" s="37">
        <v>1</v>
      </c>
      <c r="V2331" s="37" t="s">
        <v>25</v>
      </c>
      <c r="W2331" s="17">
        <f>(VLOOKUP(T2331,'[1]Simulation pricing per sub assy'!$D:$E,2,0))*U2331</f>
        <v>6.44</v>
      </c>
      <c r="X2331" s="32" t="s">
        <v>616</v>
      </c>
      <c r="Y2331" s="38">
        <v>1</v>
      </c>
      <c r="Z2331" s="38" t="s">
        <v>23</v>
      </c>
      <c r="AA2331" s="18">
        <f>(VLOOKUP(X2331,'[1]Simulation pricing per sub assy'!$D:$E,2,0))*Y2331</f>
        <v>4.4802908000000006</v>
      </c>
    </row>
    <row r="2332" spans="1:27" x14ac:dyDescent="0.35">
      <c r="A2332" s="27" t="s">
        <v>3896</v>
      </c>
      <c r="B2332" s="27" t="s">
        <v>3897</v>
      </c>
      <c r="C2332" s="42">
        <f t="shared" si="36"/>
        <v>284.67669080000002</v>
      </c>
      <c r="D2332" s="33" t="s">
        <v>3540</v>
      </c>
      <c r="E2332" s="33">
        <v>2</v>
      </c>
      <c r="F2332" s="33" t="s">
        <v>3541</v>
      </c>
      <c r="G2332" s="14">
        <f>(VLOOKUP(D2332,'[1]BOM Info General'!$A:$L,12,0))*E2332</f>
        <v>130.12</v>
      </c>
      <c r="H2332" s="34" t="s">
        <v>41</v>
      </c>
      <c r="I2332" s="34">
        <v>1</v>
      </c>
      <c r="J2332" s="34" t="s">
        <v>47</v>
      </c>
      <c r="K2332" s="15">
        <f>(VLOOKUP(H2332,'[1]BOM Info General'!$A:$L,12,0))*I2332</f>
        <v>27.18</v>
      </c>
      <c r="L2332" s="35" t="s">
        <v>528</v>
      </c>
      <c r="M2332" s="35">
        <v>1</v>
      </c>
      <c r="N2332" s="35" t="s">
        <v>88</v>
      </c>
      <c r="O2332" s="9">
        <f>(VLOOKUP(L2332,'[1]Simulation pricing per sub assy'!$D:$E,2,0))*M2332</f>
        <v>94.656400000000033</v>
      </c>
      <c r="P2332" s="36" t="s">
        <v>52</v>
      </c>
      <c r="Q2332" s="36">
        <v>8</v>
      </c>
      <c r="R2332" s="36" t="s">
        <v>18</v>
      </c>
      <c r="S2332" s="40">
        <f>(VLOOKUP(P2332,'[1]BOM Info General'!$A:$L,12,0))*Q2332</f>
        <v>21.2</v>
      </c>
      <c r="T2332" s="37" t="s">
        <v>26</v>
      </c>
      <c r="U2332" s="37">
        <v>1</v>
      </c>
      <c r="V2332" s="37" t="s">
        <v>27</v>
      </c>
      <c r="W2332" s="17">
        <f>(VLOOKUP(T2332,'[1]Simulation pricing per sub assy'!$D:$E,2,0))*U2332</f>
        <v>7.04</v>
      </c>
      <c r="X2332" s="32" t="s">
        <v>616</v>
      </c>
      <c r="Y2332" s="38">
        <v>1</v>
      </c>
      <c r="Z2332" s="38" t="s">
        <v>23</v>
      </c>
      <c r="AA2332" s="18">
        <f>(VLOOKUP(X2332,'[1]Simulation pricing per sub assy'!$D:$E,2,0))*Y2332</f>
        <v>4.4802908000000006</v>
      </c>
    </row>
    <row r="2333" spans="1:27" x14ac:dyDescent="0.35">
      <c r="A2333" s="27" t="s">
        <v>3898</v>
      </c>
      <c r="B2333" s="27" t="s">
        <v>3899</v>
      </c>
      <c r="C2333" s="42">
        <f t="shared" si="36"/>
        <v>285.77669080000004</v>
      </c>
      <c r="D2333" s="33" t="s">
        <v>3540</v>
      </c>
      <c r="E2333" s="33">
        <v>2</v>
      </c>
      <c r="F2333" s="33" t="s">
        <v>3541</v>
      </c>
      <c r="G2333" s="14">
        <f>(VLOOKUP(D2333,'[1]BOM Info General'!$A:$L,12,0))*E2333</f>
        <v>130.12</v>
      </c>
      <c r="H2333" s="34" t="s">
        <v>41</v>
      </c>
      <c r="I2333" s="34">
        <v>1</v>
      </c>
      <c r="J2333" s="34" t="s">
        <v>47</v>
      </c>
      <c r="K2333" s="15">
        <f>(VLOOKUP(H2333,'[1]BOM Info General'!$A:$L,12,0))*I2333</f>
        <v>27.18</v>
      </c>
      <c r="L2333" s="35" t="s">
        <v>85</v>
      </c>
      <c r="M2333" s="35">
        <v>1</v>
      </c>
      <c r="N2333" s="35" t="s">
        <v>82</v>
      </c>
      <c r="O2333" s="9">
        <f>(VLOOKUP(L2333,'[1]Simulation pricing per sub assy'!$D:$E,2,0))*M2333</f>
        <v>95.756400000000042</v>
      </c>
      <c r="P2333" s="36" t="s">
        <v>52</v>
      </c>
      <c r="Q2333" s="36">
        <v>8</v>
      </c>
      <c r="R2333" s="36" t="s">
        <v>18</v>
      </c>
      <c r="S2333" s="40">
        <f>(VLOOKUP(P2333,'[1]BOM Info General'!$A:$L,12,0))*Q2333</f>
        <v>21.2</v>
      </c>
      <c r="T2333" s="37" t="s">
        <v>26</v>
      </c>
      <c r="U2333" s="37">
        <v>1</v>
      </c>
      <c r="V2333" s="37" t="s">
        <v>27</v>
      </c>
      <c r="W2333" s="17">
        <f>(VLOOKUP(T2333,'[1]Simulation pricing per sub assy'!$D:$E,2,0))*U2333</f>
        <v>7.04</v>
      </c>
      <c r="X2333" s="32" t="s">
        <v>616</v>
      </c>
      <c r="Y2333" s="38">
        <v>1</v>
      </c>
      <c r="Z2333" s="38" t="s">
        <v>23</v>
      </c>
      <c r="AA2333" s="18">
        <f>(VLOOKUP(X2333,'[1]Simulation pricing per sub assy'!$D:$E,2,0))*Y2333</f>
        <v>4.4802908000000006</v>
      </c>
    </row>
    <row r="2334" spans="1:27" x14ac:dyDescent="0.35">
      <c r="A2334" s="27" t="s">
        <v>3900</v>
      </c>
      <c r="B2334" s="27" t="s">
        <v>3901</v>
      </c>
      <c r="C2334" s="42">
        <f t="shared" si="36"/>
        <v>285.77669080000004</v>
      </c>
      <c r="D2334" s="33" t="s">
        <v>3540</v>
      </c>
      <c r="E2334" s="33">
        <v>2</v>
      </c>
      <c r="F2334" s="33" t="s">
        <v>3541</v>
      </c>
      <c r="G2334" s="14">
        <f>(VLOOKUP(D2334,'[1]BOM Info General'!$A:$L,12,0))*E2334</f>
        <v>130.12</v>
      </c>
      <c r="H2334" s="34" t="s">
        <v>41</v>
      </c>
      <c r="I2334" s="34">
        <v>1</v>
      </c>
      <c r="J2334" s="34" t="s">
        <v>47</v>
      </c>
      <c r="K2334" s="15">
        <f>(VLOOKUP(H2334,'[1]BOM Info General'!$A:$L,12,0))*I2334</f>
        <v>27.18</v>
      </c>
      <c r="L2334" s="35" t="s">
        <v>81</v>
      </c>
      <c r="M2334" s="35">
        <v>1</v>
      </c>
      <c r="N2334" s="35" t="s">
        <v>80</v>
      </c>
      <c r="O2334" s="9">
        <f>(VLOOKUP(L2334,'[1]Simulation pricing per sub assy'!$D:$E,2,0))*M2334</f>
        <v>95.756400000000042</v>
      </c>
      <c r="P2334" s="36" t="s">
        <v>52</v>
      </c>
      <c r="Q2334" s="36">
        <v>8</v>
      </c>
      <c r="R2334" s="36" t="s">
        <v>18</v>
      </c>
      <c r="S2334" s="40">
        <f>(VLOOKUP(P2334,'[1]BOM Info General'!$A:$L,12,0))*Q2334</f>
        <v>21.2</v>
      </c>
      <c r="T2334" s="37" t="s">
        <v>26</v>
      </c>
      <c r="U2334" s="37">
        <v>1</v>
      </c>
      <c r="V2334" s="37" t="s">
        <v>27</v>
      </c>
      <c r="W2334" s="17">
        <f>(VLOOKUP(T2334,'[1]Simulation pricing per sub assy'!$D:$E,2,0))*U2334</f>
        <v>7.04</v>
      </c>
      <c r="X2334" s="32" t="s">
        <v>616</v>
      </c>
      <c r="Y2334" s="38">
        <v>1</v>
      </c>
      <c r="Z2334" s="38" t="s">
        <v>23</v>
      </c>
      <c r="AA2334" s="18">
        <f>(VLOOKUP(X2334,'[1]Simulation pricing per sub assy'!$D:$E,2,0))*Y2334</f>
        <v>4.4802908000000006</v>
      </c>
    </row>
    <row r="2335" spans="1:27" x14ac:dyDescent="0.35">
      <c r="A2335" s="27" t="s">
        <v>3902</v>
      </c>
      <c r="B2335" s="27" t="s">
        <v>3903</v>
      </c>
      <c r="C2335" s="42">
        <f t="shared" si="36"/>
        <v>285.22669080000003</v>
      </c>
      <c r="D2335" s="33" t="s">
        <v>3540</v>
      </c>
      <c r="E2335" s="33">
        <v>2</v>
      </c>
      <c r="F2335" s="33" t="s">
        <v>3541</v>
      </c>
      <c r="G2335" s="14">
        <f>(VLOOKUP(D2335,'[1]BOM Info General'!$A:$L,12,0))*E2335</f>
        <v>130.12</v>
      </c>
      <c r="H2335" s="34" t="s">
        <v>41</v>
      </c>
      <c r="I2335" s="34">
        <v>1</v>
      </c>
      <c r="J2335" s="34" t="s">
        <v>47</v>
      </c>
      <c r="K2335" s="15">
        <f>(VLOOKUP(H2335,'[1]BOM Info General'!$A:$L,12,0))*I2335</f>
        <v>27.18</v>
      </c>
      <c r="L2335" s="35" t="s">
        <v>87</v>
      </c>
      <c r="M2335" s="35">
        <v>1</v>
      </c>
      <c r="N2335" s="35" t="s">
        <v>84</v>
      </c>
      <c r="O2335" s="9">
        <f>(VLOOKUP(L2335,'[1]Simulation pricing per sub assy'!$D:$E,2,0))*M2335</f>
        <v>95.206400000000031</v>
      </c>
      <c r="P2335" s="36" t="s">
        <v>52</v>
      </c>
      <c r="Q2335" s="36">
        <v>8</v>
      </c>
      <c r="R2335" s="36" t="s">
        <v>18</v>
      </c>
      <c r="S2335" s="40">
        <f>(VLOOKUP(P2335,'[1]BOM Info General'!$A:$L,12,0))*Q2335</f>
        <v>21.2</v>
      </c>
      <c r="T2335" s="37" t="s">
        <v>26</v>
      </c>
      <c r="U2335" s="37">
        <v>1</v>
      </c>
      <c r="V2335" s="37" t="s">
        <v>27</v>
      </c>
      <c r="W2335" s="17">
        <f>(VLOOKUP(T2335,'[1]Simulation pricing per sub assy'!$D:$E,2,0))*U2335</f>
        <v>7.04</v>
      </c>
      <c r="X2335" s="32" t="s">
        <v>616</v>
      </c>
      <c r="Y2335" s="38">
        <v>1</v>
      </c>
      <c r="Z2335" s="38" t="s">
        <v>23</v>
      </c>
      <c r="AA2335" s="18">
        <f>(VLOOKUP(X2335,'[1]Simulation pricing per sub assy'!$D:$E,2,0))*Y2335</f>
        <v>4.4802908000000006</v>
      </c>
    </row>
    <row r="2336" spans="1:27" x14ac:dyDescent="0.35">
      <c r="A2336" s="27" t="s">
        <v>3904</v>
      </c>
      <c r="B2336" s="27" t="s">
        <v>3905</v>
      </c>
      <c r="C2336" s="42">
        <f t="shared" si="36"/>
        <v>293.18669080000001</v>
      </c>
      <c r="D2336" s="33" t="s">
        <v>3540</v>
      </c>
      <c r="E2336" s="33">
        <v>2</v>
      </c>
      <c r="F2336" s="33" t="s">
        <v>3541</v>
      </c>
      <c r="G2336" s="14">
        <f>(VLOOKUP(D2336,'[1]BOM Info General'!$A:$L,12,0))*E2336</f>
        <v>130.12</v>
      </c>
      <c r="H2336" s="34" t="s">
        <v>41</v>
      </c>
      <c r="I2336" s="34">
        <v>1</v>
      </c>
      <c r="J2336" s="34" t="s">
        <v>47</v>
      </c>
      <c r="K2336" s="15">
        <f>(VLOOKUP(H2336,'[1]BOM Info General'!$A:$L,12,0))*I2336</f>
        <v>27.18</v>
      </c>
      <c r="L2336" s="35" t="s">
        <v>83</v>
      </c>
      <c r="M2336" s="35">
        <v>1</v>
      </c>
      <c r="N2336" s="35" t="s">
        <v>86</v>
      </c>
      <c r="O2336" s="9">
        <f>(VLOOKUP(L2336,'[1]Simulation pricing per sub assy'!$D:$E,2,0))*M2336</f>
        <v>103.16640000000004</v>
      </c>
      <c r="P2336" s="36" t="s">
        <v>52</v>
      </c>
      <c r="Q2336" s="36">
        <v>8</v>
      </c>
      <c r="R2336" s="36" t="s">
        <v>18</v>
      </c>
      <c r="S2336" s="40">
        <f>(VLOOKUP(P2336,'[1]BOM Info General'!$A:$L,12,0))*Q2336</f>
        <v>21.2</v>
      </c>
      <c r="T2336" s="37" t="s">
        <v>26</v>
      </c>
      <c r="U2336" s="37">
        <v>1</v>
      </c>
      <c r="V2336" s="37" t="s">
        <v>27</v>
      </c>
      <c r="W2336" s="17">
        <f>(VLOOKUP(T2336,'[1]Simulation pricing per sub assy'!$D:$E,2,0))*U2336</f>
        <v>7.04</v>
      </c>
      <c r="X2336" s="32" t="s">
        <v>616</v>
      </c>
      <c r="Y2336" s="38">
        <v>1</v>
      </c>
      <c r="Z2336" s="38" t="s">
        <v>23</v>
      </c>
      <c r="AA2336" s="18">
        <f>(VLOOKUP(X2336,'[1]Simulation pricing per sub assy'!$D:$E,2,0))*Y2336</f>
        <v>4.4802908000000006</v>
      </c>
    </row>
    <row r="2337" spans="1:27" x14ac:dyDescent="0.35">
      <c r="A2337" s="27" t="s">
        <v>3906</v>
      </c>
      <c r="B2337" s="27" t="s">
        <v>3907</v>
      </c>
      <c r="C2337" s="42">
        <f t="shared" si="36"/>
        <v>284.6366908</v>
      </c>
      <c r="D2337" s="33" t="s">
        <v>3540</v>
      </c>
      <c r="E2337" s="33">
        <v>2</v>
      </c>
      <c r="F2337" s="33" t="s">
        <v>3541</v>
      </c>
      <c r="G2337" s="14">
        <f>(VLOOKUP(D2337,'[1]BOM Info General'!$A:$L,12,0))*E2337</f>
        <v>130.12</v>
      </c>
      <c r="H2337" s="34" t="s">
        <v>41</v>
      </c>
      <c r="I2337" s="34">
        <v>1</v>
      </c>
      <c r="J2337" s="34" t="s">
        <v>47</v>
      </c>
      <c r="K2337" s="15">
        <f>(VLOOKUP(H2337,'[1]BOM Info General'!$A:$L,12,0))*I2337</f>
        <v>27.18</v>
      </c>
      <c r="L2337" s="35" t="s">
        <v>528</v>
      </c>
      <c r="M2337" s="35">
        <v>1</v>
      </c>
      <c r="N2337" s="35" t="s">
        <v>88</v>
      </c>
      <c r="O2337" s="9">
        <f>(VLOOKUP(L2337,'[1]Simulation pricing per sub assy'!$D:$E,2,0))*M2337</f>
        <v>94.656400000000033</v>
      </c>
      <c r="P2337" s="36" t="s">
        <v>52</v>
      </c>
      <c r="Q2337" s="36">
        <v>8</v>
      </c>
      <c r="R2337" s="36" t="s">
        <v>18</v>
      </c>
      <c r="S2337" s="40">
        <f>(VLOOKUP(P2337,'[1]BOM Info General'!$A:$L,12,0))*Q2337</f>
        <v>21.2</v>
      </c>
      <c r="T2337" s="37" t="s">
        <v>28</v>
      </c>
      <c r="U2337" s="37">
        <v>1</v>
      </c>
      <c r="V2337" s="37" t="s">
        <v>29</v>
      </c>
      <c r="W2337" s="17">
        <f>(VLOOKUP(T2337,'[1]Simulation pricing per sub assy'!$D:$E,2,0))*U2337</f>
        <v>7</v>
      </c>
      <c r="X2337" s="32" t="s">
        <v>616</v>
      </c>
      <c r="Y2337" s="38">
        <v>1</v>
      </c>
      <c r="Z2337" s="38" t="s">
        <v>23</v>
      </c>
      <c r="AA2337" s="18">
        <f>(VLOOKUP(X2337,'[1]Simulation pricing per sub assy'!$D:$E,2,0))*Y2337</f>
        <v>4.4802908000000006</v>
      </c>
    </row>
    <row r="2338" spans="1:27" x14ac:dyDescent="0.35">
      <c r="A2338" s="27" t="s">
        <v>3908</v>
      </c>
      <c r="B2338" s="27" t="s">
        <v>3909</v>
      </c>
      <c r="C2338" s="42">
        <f t="shared" si="36"/>
        <v>285.73669080000002</v>
      </c>
      <c r="D2338" s="33" t="s">
        <v>3540</v>
      </c>
      <c r="E2338" s="33">
        <v>2</v>
      </c>
      <c r="F2338" s="33" t="s">
        <v>3541</v>
      </c>
      <c r="G2338" s="14">
        <f>(VLOOKUP(D2338,'[1]BOM Info General'!$A:$L,12,0))*E2338</f>
        <v>130.12</v>
      </c>
      <c r="H2338" s="34" t="s">
        <v>41</v>
      </c>
      <c r="I2338" s="34">
        <v>1</v>
      </c>
      <c r="J2338" s="34" t="s">
        <v>47</v>
      </c>
      <c r="K2338" s="15">
        <f>(VLOOKUP(H2338,'[1]BOM Info General'!$A:$L,12,0))*I2338</f>
        <v>27.18</v>
      </c>
      <c r="L2338" s="35" t="s">
        <v>85</v>
      </c>
      <c r="M2338" s="35">
        <v>1</v>
      </c>
      <c r="N2338" s="35" t="s">
        <v>82</v>
      </c>
      <c r="O2338" s="9">
        <f>(VLOOKUP(L2338,'[1]Simulation pricing per sub assy'!$D:$E,2,0))*M2338</f>
        <v>95.756400000000042</v>
      </c>
      <c r="P2338" s="36" t="s">
        <v>52</v>
      </c>
      <c r="Q2338" s="36">
        <v>8</v>
      </c>
      <c r="R2338" s="36" t="s">
        <v>18</v>
      </c>
      <c r="S2338" s="40">
        <f>(VLOOKUP(P2338,'[1]BOM Info General'!$A:$L,12,0))*Q2338</f>
        <v>21.2</v>
      </c>
      <c r="T2338" s="37" t="s">
        <v>28</v>
      </c>
      <c r="U2338" s="37">
        <v>1</v>
      </c>
      <c r="V2338" s="37" t="s">
        <v>29</v>
      </c>
      <c r="W2338" s="17">
        <f>(VLOOKUP(T2338,'[1]Simulation pricing per sub assy'!$D:$E,2,0))*U2338</f>
        <v>7</v>
      </c>
      <c r="X2338" s="32" t="s">
        <v>616</v>
      </c>
      <c r="Y2338" s="38">
        <v>1</v>
      </c>
      <c r="Z2338" s="38" t="s">
        <v>23</v>
      </c>
      <c r="AA2338" s="18">
        <f>(VLOOKUP(X2338,'[1]Simulation pricing per sub assy'!$D:$E,2,0))*Y2338</f>
        <v>4.4802908000000006</v>
      </c>
    </row>
    <row r="2339" spans="1:27" x14ac:dyDescent="0.35">
      <c r="A2339" s="27" t="s">
        <v>3910</v>
      </c>
      <c r="B2339" s="27" t="s">
        <v>3911</v>
      </c>
      <c r="C2339" s="42">
        <f t="shared" si="36"/>
        <v>285.73669080000002</v>
      </c>
      <c r="D2339" s="33" t="s">
        <v>3540</v>
      </c>
      <c r="E2339" s="33">
        <v>2</v>
      </c>
      <c r="F2339" s="33" t="s">
        <v>3541</v>
      </c>
      <c r="G2339" s="14">
        <f>(VLOOKUP(D2339,'[1]BOM Info General'!$A:$L,12,0))*E2339</f>
        <v>130.12</v>
      </c>
      <c r="H2339" s="34" t="s">
        <v>41</v>
      </c>
      <c r="I2339" s="34">
        <v>1</v>
      </c>
      <c r="J2339" s="34" t="s">
        <v>47</v>
      </c>
      <c r="K2339" s="15">
        <f>(VLOOKUP(H2339,'[1]BOM Info General'!$A:$L,12,0))*I2339</f>
        <v>27.18</v>
      </c>
      <c r="L2339" s="35" t="s">
        <v>81</v>
      </c>
      <c r="M2339" s="35">
        <v>1</v>
      </c>
      <c r="N2339" s="35" t="s">
        <v>80</v>
      </c>
      <c r="O2339" s="9">
        <f>(VLOOKUP(L2339,'[1]Simulation pricing per sub assy'!$D:$E,2,0))*M2339</f>
        <v>95.756400000000042</v>
      </c>
      <c r="P2339" s="36" t="s">
        <v>52</v>
      </c>
      <c r="Q2339" s="36">
        <v>8</v>
      </c>
      <c r="R2339" s="36" t="s">
        <v>18</v>
      </c>
      <c r="S2339" s="40">
        <f>(VLOOKUP(P2339,'[1]BOM Info General'!$A:$L,12,0))*Q2339</f>
        <v>21.2</v>
      </c>
      <c r="T2339" s="37" t="s">
        <v>28</v>
      </c>
      <c r="U2339" s="37">
        <v>1</v>
      </c>
      <c r="V2339" s="37" t="s">
        <v>29</v>
      </c>
      <c r="W2339" s="17">
        <f>(VLOOKUP(T2339,'[1]Simulation pricing per sub assy'!$D:$E,2,0))*U2339</f>
        <v>7</v>
      </c>
      <c r="X2339" s="32" t="s">
        <v>616</v>
      </c>
      <c r="Y2339" s="38">
        <v>1</v>
      </c>
      <c r="Z2339" s="38" t="s">
        <v>23</v>
      </c>
      <c r="AA2339" s="18">
        <f>(VLOOKUP(X2339,'[1]Simulation pricing per sub assy'!$D:$E,2,0))*Y2339</f>
        <v>4.4802908000000006</v>
      </c>
    </row>
    <row r="2340" spans="1:27" x14ac:dyDescent="0.35">
      <c r="A2340" s="27" t="s">
        <v>3912</v>
      </c>
      <c r="B2340" s="27" t="s">
        <v>3913</v>
      </c>
      <c r="C2340" s="42">
        <f t="shared" si="36"/>
        <v>285.18669080000001</v>
      </c>
      <c r="D2340" s="33" t="s">
        <v>3540</v>
      </c>
      <c r="E2340" s="33">
        <v>2</v>
      </c>
      <c r="F2340" s="33" t="s">
        <v>3541</v>
      </c>
      <c r="G2340" s="14">
        <f>(VLOOKUP(D2340,'[1]BOM Info General'!$A:$L,12,0))*E2340</f>
        <v>130.12</v>
      </c>
      <c r="H2340" s="34" t="s">
        <v>41</v>
      </c>
      <c r="I2340" s="34">
        <v>1</v>
      </c>
      <c r="J2340" s="34" t="s">
        <v>47</v>
      </c>
      <c r="K2340" s="15">
        <f>(VLOOKUP(H2340,'[1]BOM Info General'!$A:$L,12,0))*I2340</f>
        <v>27.18</v>
      </c>
      <c r="L2340" s="35" t="s">
        <v>87</v>
      </c>
      <c r="M2340" s="35">
        <v>1</v>
      </c>
      <c r="N2340" s="35" t="s">
        <v>84</v>
      </c>
      <c r="O2340" s="9">
        <f>(VLOOKUP(L2340,'[1]Simulation pricing per sub assy'!$D:$E,2,0))*M2340</f>
        <v>95.206400000000031</v>
      </c>
      <c r="P2340" s="36" t="s">
        <v>52</v>
      </c>
      <c r="Q2340" s="36">
        <v>8</v>
      </c>
      <c r="R2340" s="36" t="s">
        <v>18</v>
      </c>
      <c r="S2340" s="40">
        <f>(VLOOKUP(P2340,'[1]BOM Info General'!$A:$L,12,0))*Q2340</f>
        <v>21.2</v>
      </c>
      <c r="T2340" s="37" t="s">
        <v>28</v>
      </c>
      <c r="U2340" s="37">
        <v>1</v>
      </c>
      <c r="V2340" s="37" t="s">
        <v>29</v>
      </c>
      <c r="W2340" s="17">
        <f>(VLOOKUP(T2340,'[1]Simulation pricing per sub assy'!$D:$E,2,0))*U2340</f>
        <v>7</v>
      </c>
      <c r="X2340" s="32" t="s">
        <v>616</v>
      </c>
      <c r="Y2340" s="38">
        <v>1</v>
      </c>
      <c r="Z2340" s="38" t="s">
        <v>23</v>
      </c>
      <c r="AA2340" s="18">
        <f>(VLOOKUP(X2340,'[1]Simulation pricing per sub assy'!$D:$E,2,0))*Y2340</f>
        <v>4.4802908000000006</v>
      </c>
    </row>
    <row r="2341" spans="1:27" x14ac:dyDescent="0.35">
      <c r="A2341" s="27" t="s">
        <v>3914</v>
      </c>
      <c r="B2341" s="27" t="s">
        <v>3915</v>
      </c>
      <c r="C2341" s="42">
        <f t="shared" si="36"/>
        <v>293.14669079999999</v>
      </c>
      <c r="D2341" s="33" t="s">
        <v>3540</v>
      </c>
      <c r="E2341" s="33">
        <v>2</v>
      </c>
      <c r="F2341" s="33" t="s">
        <v>3541</v>
      </c>
      <c r="G2341" s="14">
        <f>(VLOOKUP(D2341,'[1]BOM Info General'!$A:$L,12,0))*E2341</f>
        <v>130.12</v>
      </c>
      <c r="H2341" s="34" t="s">
        <v>41</v>
      </c>
      <c r="I2341" s="34">
        <v>1</v>
      </c>
      <c r="J2341" s="34" t="s">
        <v>47</v>
      </c>
      <c r="K2341" s="15">
        <f>(VLOOKUP(H2341,'[1]BOM Info General'!$A:$L,12,0))*I2341</f>
        <v>27.18</v>
      </c>
      <c r="L2341" s="35" t="s">
        <v>83</v>
      </c>
      <c r="M2341" s="35">
        <v>1</v>
      </c>
      <c r="N2341" s="35" t="s">
        <v>86</v>
      </c>
      <c r="O2341" s="9">
        <f>(VLOOKUP(L2341,'[1]Simulation pricing per sub assy'!$D:$E,2,0))*M2341</f>
        <v>103.16640000000004</v>
      </c>
      <c r="P2341" s="36" t="s">
        <v>52</v>
      </c>
      <c r="Q2341" s="36">
        <v>8</v>
      </c>
      <c r="R2341" s="36" t="s">
        <v>18</v>
      </c>
      <c r="S2341" s="40">
        <f>(VLOOKUP(P2341,'[1]BOM Info General'!$A:$L,12,0))*Q2341</f>
        <v>21.2</v>
      </c>
      <c r="T2341" s="37" t="s">
        <v>28</v>
      </c>
      <c r="U2341" s="37">
        <v>1</v>
      </c>
      <c r="V2341" s="37" t="s">
        <v>29</v>
      </c>
      <c r="W2341" s="17">
        <f>(VLOOKUP(T2341,'[1]Simulation pricing per sub assy'!$D:$E,2,0))*U2341</f>
        <v>7</v>
      </c>
      <c r="X2341" s="32" t="s">
        <v>616</v>
      </c>
      <c r="Y2341" s="38">
        <v>1</v>
      </c>
      <c r="Z2341" s="38" t="s">
        <v>23</v>
      </c>
      <c r="AA2341" s="18">
        <f>(VLOOKUP(X2341,'[1]Simulation pricing per sub assy'!$D:$E,2,0))*Y2341</f>
        <v>4.4802908000000006</v>
      </c>
    </row>
    <row r="2342" spans="1:27" x14ac:dyDescent="0.35">
      <c r="A2342" s="27" t="s">
        <v>3916</v>
      </c>
      <c r="B2342" s="27" t="s">
        <v>3917</v>
      </c>
      <c r="C2342" s="42">
        <f t="shared" si="36"/>
        <v>286.1966908</v>
      </c>
      <c r="D2342" s="33" t="s">
        <v>3540</v>
      </c>
      <c r="E2342" s="33">
        <v>2</v>
      </c>
      <c r="F2342" s="33" t="s">
        <v>3541</v>
      </c>
      <c r="G2342" s="14">
        <f>(VLOOKUP(D2342,'[1]BOM Info General'!$A:$L,12,0))*E2342</f>
        <v>130.12</v>
      </c>
      <c r="H2342" s="34" t="s">
        <v>41</v>
      </c>
      <c r="I2342" s="34">
        <v>1</v>
      </c>
      <c r="J2342" s="34" t="s">
        <v>47</v>
      </c>
      <c r="K2342" s="15">
        <f>(VLOOKUP(H2342,'[1]BOM Info General'!$A:$L,12,0))*I2342</f>
        <v>27.18</v>
      </c>
      <c r="L2342" s="35" t="s">
        <v>528</v>
      </c>
      <c r="M2342" s="35">
        <v>1</v>
      </c>
      <c r="N2342" s="35" t="s">
        <v>88</v>
      </c>
      <c r="O2342" s="9">
        <f>(VLOOKUP(L2342,'[1]Simulation pricing per sub assy'!$D:$E,2,0))*M2342</f>
        <v>94.656400000000033</v>
      </c>
      <c r="P2342" s="36" t="s">
        <v>50</v>
      </c>
      <c r="Q2342" s="36">
        <v>8</v>
      </c>
      <c r="R2342" s="36" t="s">
        <v>611</v>
      </c>
      <c r="S2342" s="40">
        <f>(VLOOKUP(P2342,'[1]BOM Info General'!$A:$L,12,0))*Q2342</f>
        <v>21.2</v>
      </c>
      <c r="T2342" s="37" t="s">
        <v>30</v>
      </c>
      <c r="U2342" s="37">
        <v>1</v>
      </c>
      <c r="V2342" s="37" t="s">
        <v>31</v>
      </c>
      <c r="W2342" s="17">
        <f>(VLOOKUP(T2342,'[1]Simulation pricing per sub assy'!$D:$E,2,0))*U2342</f>
        <v>8.5599999999999987</v>
      </c>
      <c r="X2342" s="32" t="s">
        <v>616</v>
      </c>
      <c r="Y2342" s="38">
        <v>1</v>
      </c>
      <c r="Z2342" s="38" t="s">
        <v>23</v>
      </c>
      <c r="AA2342" s="18">
        <f>(VLOOKUP(X2342,'[1]Simulation pricing per sub assy'!$D:$E,2,0))*Y2342</f>
        <v>4.4802908000000006</v>
      </c>
    </row>
    <row r="2343" spans="1:27" x14ac:dyDescent="0.35">
      <c r="A2343" s="27" t="s">
        <v>3918</v>
      </c>
      <c r="B2343" s="27" t="s">
        <v>3919</v>
      </c>
      <c r="C2343" s="42">
        <f t="shared" si="36"/>
        <v>287.29669080000002</v>
      </c>
      <c r="D2343" s="33" t="s">
        <v>3540</v>
      </c>
      <c r="E2343" s="33">
        <v>2</v>
      </c>
      <c r="F2343" s="33" t="s">
        <v>3541</v>
      </c>
      <c r="G2343" s="14">
        <f>(VLOOKUP(D2343,'[1]BOM Info General'!$A:$L,12,0))*E2343</f>
        <v>130.12</v>
      </c>
      <c r="H2343" s="34" t="s">
        <v>41</v>
      </c>
      <c r="I2343" s="34">
        <v>1</v>
      </c>
      <c r="J2343" s="34" t="s">
        <v>47</v>
      </c>
      <c r="K2343" s="15">
        <f>(VLOOKUP(H2343,'[1]BOM Info General'!$A:$L,12,0))*I2343</f>
        <v>27.18</v>
      </c>
      <c r="L2343" s="35" t="s">
        <v>85</v>
      </c>
      <c r="M2343" s="35">
        <v>1</v>
      </c>
      <c r="N2343" s="35" t="s">
        <v>82</v>
      </c>
      <c r="O2343" s="9">
        <f>(VLOOKUP(L2343,'[1]Simulation pricing per sub assy'!$D:$E,2,0))*M2343</f>
        <v>95.756400000000042</v>
      </c>
      <c r="P2343" s="36" t="s">
        <v>50</v>
      </c>
      <c r="Q2343" s="36">
        <v>8</v>
      </c>
      <c r="R2343" s="36" t="s">
        <v>611</v>
      </c>
      <c r="S2343" s="40">
        <f>(VLOOKUP(P2343,'[1]BOM Info General'!$A:$L,12,0))*Q2343</f>
        <v>21.2</v>
      </c>
      <c r="T2343" s="37" t="s">
        <v>30</v>
      </c>
      <c r="U2343" s="37">
        <v>1</v>
      </c>
      <c r="V2343" s="37" t="s">
        <v>31</v>
      </c>
      <c r="W2343" s="17">
        <f>(VLOOKUP(T2343,'[1]Simulation pricing per sub assy'!$D:$E,2,0))*U2343</f>
        <v>8.5599999999999987</v>
      </c>
      <c r="X2343" s="32" t="s">
        <v>616</v>
      </c>
      <c r="Y2343" s="38">
        <v>1</v>
      </c>
      <c r="Z2343" s="38" t="s">
        <v>23</v>
      </c>
      <c r="AA2343" s="18">
        <f>(VLOOKUP(X2343,'[1]Simulation pricing per sub assy'!$D:$E,2,0))*Y2343</f>
        <v>4.4802908000000006</v>
      </c>
    </row>
    <row r="2344" spans="1:27" x14ac:dyDescent="0.35">
      <c r="A2344" s="27" t="s">
        <v>3920</v>
      </c>
      <c r="B2344" s="27" t="s">
        <v>3921</v>
      </c>
      <c r="C2344" s="42">
        <f t="shared" si="36"/>
        <v>287.29669080000002</v>
      </c>
      <c r="D2344" s="33" t="s">
        <v>3540</v>
      </c>
      <c r="E2344" s="33">
        <v>2</v>
      </c>
      <c r="F2344" s="33" t="s">
        <v>3541</v>
      </c>
      <c r="G2344" s="14">
        <f>(VLOOKUP(D2344,'[1]BOM Info General'!$A:$L,12,0))*E2344</f>
        <v>130.12</v>
      </c>
      <c r="H2344" s="34" t="s">
        <v>41</v>
      </c>
      <c r="I2344" s="34">
        <v>1</v>
      </c>
      <c r="J2344" s="34" t="s">
        <v>47</v>
      </c>
      <c r="K2344" s="15">
        <f>(VLOOKUP(H2344,'[1]BOM Info General'!$A:$L,12,0))*I2344</f>
        <v>27.18</v>
      </c>
      <c r="L2344" s="35" t="s">
        <v>81</v>
      </c>
      <c r="M2344" s="35">
        <v>1</v>
      </c>
      <c r="N2344" s="35" t="s">
        <v>80</v>
      </c>
      <c r="O2344" s="9">
        <f>(VLOOKUP(L2344,'[1]Simulation pricing per sub assy'!$D:$E,2,0))*M2344</f>
        <v>95.756400000000042</v>
      </c>
      <c r="P2344" s="36" t="s">
        <v>50</v>
      </c>
      <c r="Q2344" s="36">
        <v>8</v>
      </c>
      <c r="R2344" s="36" t="s">
        <v>611</v>
      </c>
      <c r="S2344" s="40">
        <f>(VLOOKUP(P2344,'[1]BOM Info General'!$A:$L,12,0))*Q2344</f>
        <v>21.2</v>
      </c>
      <c r="T2344" s="37" t="s">
        <v>30</v>
      </c>
      <c r="U2344" s="37">
        <v>1</v>
      </c>
      <c r="V2344" s="37" t="s">
        <v>31</v>
      </c>
      <c r="W2344" s="17">
        <f>(VLOOKUP(T2344,'[1]Simulation pricing per sub assy'!$D:$E,2,0))*U2344</f>
        <v>8.5599999999999987</v>
      </c>
      <c r="X2344" s="32" t="s">
        <v>616</v>
      </c>
      <c r="Y2344" s="38">
        <v>1</v>
      </c>
      <c r="Z2344" s="38" t="s">
        <v>23</v>
      </c>
      <c r="AA2344" s="18">
        <f>(VLOOKUP(X2344,'[1]Simulation pricing per sub assy'!$D:$E,2,0))*Y2344</f>
        <v>4.4802908000000006</v>
      </c>
    </row>
    <row r="2345" spans="1:27" x14ac:dyDescent="0.35">
      <c r="A2345" s="27" t="s">
        <v>3922</v>
      </c>
      <c r="B2345" s="27" t="s">
        <v>3923</v>
      </c>
      <c r="C2345" s="42">
        <f t="shared" si="36"/>
        <v>286.74669080000001</v>
      </c>
      <c r="D2345" s="33" t="s">
        <v>3540</v>
      </c>
      <c r="E2345" s="33">
        <v>2</v>
      </c>
      <c r="F2345" s="33" t="s">
        <v>3541</v>
      </c>
      <c r="G2345" s="14">
        <f>(VLOOKUP(D2345,'[1]BOM Info General'!$A:$L,12,0))*E2345</f>
        <v>130.12</v>
      </c>
      <c r="H2345" s="34" t="s">
        <v>41</v>
      </c>
      <c r="I2345" s="34">
        <v>1</v>
      </c>
      <c r="J2345" s="34" t="s">
        <v>47</v>
      </c>
      <c r="K2345" s="15">
        <f>(VLOOKUP(H2345,'[1]BOM Info General'!$A:$L,12,0))*I2345</f>
        <v>27.18</v>
      </c>
      <c r="L2345" s="35" t="s">
        <v>87</v>
      </c>
      <c r="M2345" s="35">
        <v>1</v>
      </c>
      <c r="N2345" s="35" t="s">
        <v>84</v>
      </c>
      <c r="O2345" s="9">
        <f>(VLOOKUP(L2345,'[1]Simulation pricing per sub assy'!$D:$E,2,0))*M2345</f>
        <v>95.206400000000031</v>
      </c>
      <c r="P2345" s="36" t="s">
        <v>50</v>
      </c>
      <c r="Q2345" s="36">
        <v>8</v>
      </c>
      <c r="R2345" s="36" t="s">
        <v>611</v>
      </c>
      <c r="S2345" s="40">
        <f>(VLOOKUP(P2345,'[1]BOM Info General'!$A:$L,12,0))*Q2345</f>
        <v>21.2</v>
      </c>
      <c r="T2345" s="37" t="s">
        <v>30</v>
      </c>
      <c r="U2345" s="37">
        <v>1</v>
      </c>
      <c r="V2345" s="37" t="s">
        <v>31</v>
      </c>
      <c r="W2345" s="17">
        <f>(VLOOKUP(T2345,'[1]Simulation pricing per sub assy'!$D:$E,2,0))*U2345</f>
        <v>8.5599999999999987</v>
      </c>
      <c r="X2345" s="32" t="s">
        <v>616</v>
      </c>
      <c r="Y2345" s="38">
        <v>1</v>
      </c>
      <c r="Z2345" s="38" t="s">
        <v>23</v>
      </c>
      <c r="AA2345" s="18">
        <f>(VLOOKUP(X2345,'[1]Simulation pricing per sub assy'!$D:$E,2,0))*Y2345</f>
        <v>4.4802908000000006</v>
      </c>
    </row>
    <row r="2346" spans="1:27" x14ac:dyDescent="0.35">
      <c r="A2346" s="27" t="s">
        <v>3924</v>
      </c>
      <c r="B2346" s="27" t="s">
        <v>3925</v>
      </c>
      <c r="C2346" s="42">
        <f t="shared" si="36"/>
        <v>294.70669079999999</v>
      </c>
      <c r="D2346" s="33" t="s">
        <v>3540</v>
      </c>
      <c r="E2346" s="33">
        <v>2</v>
      </c>
      <c r="F2346" s="33" t="s">
        <v>3541</v>
      </c>
      <c r="G2346" s="14">
        <f>(VLOOKUP(D2346,'[1]BOM Info General'!$A:$L,12,0))*E2346</f>
        <v>130.12</v>
      </c>
      <c r="H2346" s="34" t="s">
        <v>41</v>
      </c>
      <c r="I2346" s="34">
        <v>1</v>
      </c>
      <c r="J2346" s="34" t="s">
        <v>47</v>
      </c>
      <c r="K2346" s="15">
        <f>(VLOOKUP(H2346,'[1]BOM Info General'!$A:$L,12,0))*I2346</f>
        <v>27.18</v>
      </c>
      <c r="L2346" s="35" t="s">
        <v>83</v>
      </c>
      <c r="M2346" s="35">
        <v>1</v>
      </c>
      <c r="N2346" s="35" t="s">
        <v>86</v>
      </c>
      <c r="O2346" s="9">
        <f>(VLOOKUP(L2346,'[1]Simulation pricing per sub assy'!$D:$E,2,0))*M2346</f>
        <v>103.16640000000004</v>
      </c>
      <c r="P2346" s="36" t="s">
        <v>50</v>
      </c>
      <c r="Q2346" s="36">
        <v>8</v>
      </c>
      <c r="R2346" s="36" t="s">
        <v>611</v>
      </c>
      <c r="S2346" s="40">
        <f>(VLOOKUP(P2346,'[1]BOM Info General'!$A:$L,12,0))*Q2346</f>
        <v>21.2</v>
      </c>
      <c r="T2346" s="37" t="s">
        <v>30</v>
      </c>
      <c r="U2346" s="37">
        <v>1</v>
      </c>
      <c r="V2346" s="37" t="s">
        <v>31</v>
      </c>
      <c r="W2346" s="17">
        <f>(VLOOKUP(T2346,'[1]Simulation pricing per sub assy'!$D:$E,2,0))*U2346</f>
        <v>8.5599999999999987</v>
      </c>
      <c r="X2346" s="32" t="s">
        <v>616</v>
      </c>
      <c r="Y2346" s="38">
        <v>1</v>
      </c>
      <c r="Z2346" s="38" t="s">
        <v>23</v>
      </c>
      <c r="AA2346" s="18">
        <f>(VLOOKUP(X2346,'[1]Simulation pricing per sub assy'!$D:$E,2,0))*Y2346</f>
        <v>4.4802908000000006</v>
      </c>
    </row>
    <row r="2347" spans="1:27" x14ac:dyDescent="0.35">
      <c r="A2347" s="27" t="s">
        <v>3926</v>
      </c>
      <c r="B2347" s="27" t="s">
        <v>4889</v>
      </c>
      <c r="C2347" s="42">
        <f t="shared" si="36"/>
        <v>284.83669079999999</v>
      </c>
      <c r="D2347" s="28" t="s">
        <v>3540</v>
      </c>
      <c r="E2347" s="28">
        <v>2</v>
      </c>
      <c r="F2347" s="28" t="s">
        <v>3541</v>
      </c>
      <c r="G2347" s="14">
        <f>(VLOOKUP(D2347,'[1]BOM Info General'!$A:$L,12,0))*E2347</f>
        <v>130.12</v>
      </c>
      <c r="H2347" s="29" t="s">
        <v>41</v>
      </c>
      <c r="I2347" s="29">
        <v>1</v>
      </c>
      <c r="J2347" s="29" t="s">
        <v>47</v>
      </c>
      <c r="K2347" s="15">
        <f>(VLOOKUP(H2347,'[1]BOM Info General'!$A:$L,12,0))*I2347</f>
        <v>27.18</v>
      </c>
      <c r="L2347" s="26" t="s">
        <v>528</v>
      </c>
      <c r="M2347" s="26">
        <v>1</v>
      </c>
      <c r="N2347" s="26" t="s">
        <v>88</v>
      </c>
      <c r="O2347" s="9">
        <f>(VLOOKUP(L2347,'[1]Simulation pricing per sub assy'!$D:$E,2,0))*M2347</f>
        <v>94.656400000000033</v>
      </c>
      <c r="P2347" s="30" t="s">
        <v>50</v>
      </c>
      <c r="Q2347" s="30">
        <v>8</v>
      </c>
      <c r="R2347" s="30" t="s">
        <v>611</v>
      </c>
      <c r="S2347" s="40">
        <f>(VLOOKUP(P2347,'[1]BOM Info General'!$A:$L,12,0))*Q2347</f>
        <v>21.2</v>
      </c>
      <c r="T2347" s="31" t="s">
        <v>21</v>
      </c>
      <c r="U2347" s="31">
        <v>1</v>
      </c>
      <c r="V2347" s="31" t="s">
        <v>22</v>
      </c>
      <c r="W2347" s="17">
        <f>(VLOOKUP(T2347,'[1]Simulation pricing per sub assy'!$D:$E,2,0))*U2347</f>
        <v>7.2</v>
      </c>
      <c r="X2347" s="32" t="s">
        <v>616</v>
      </c>
      <c r="Y2347" s="32">
        <v>1</v>
      </c>
      <c r="Z2347" s="32" t="s">
        <v>23</v>
      </c>
      <c r="AA2347" s="18">
        <f>(VLOOKUP(X2347,'[1]Simulation pricing per sub assy'!$D:$E,2,0))*Y2347</f>
        <v>4.4802908000000006</v>
      </c>
    </row>
    <row r="2348" spans="1:27" x14ac:dyDescent="0.35">
      <c r="A2348" s="27" t="s">
        <v>3927</v>
      </c>
      <c r="B2348" s="27" t="s">
        <v>4890</v>
      </c>
      <c r="C2348" s="42">
        <f t="shared" si="36"/>
        <v>285.93669080000001</v>
      </c>
      <c r="D2348" s="28" t="s">
        <v>3540</v>
      </c>
      <c r="E2348" s="28">
        <v>2</v>
      </c>
      <c r="F2348" s="28" t="s">
        <v>3541</v>
      </c>
      <c r="G2348" s="14">
        <f>(VLOOKUP(D2348,'[1]BOM Info General'!$A:$L,12,0))*E2348</f>
        <v>130.12</v>
      </c>
      <c r="H2348" s="29" t="s">
        <v>41</v>
      </c>
      <c r="I2348" s="29">
        <v>1</v>
      </c>
      <c r="J2348" s="29" t="s">
        <v>47</v>
      </c>
      <c r="K2348" s="15">
        <f>(VLOOKUP(H2348,'[1]BOM Info General'!$A:$L,12,0))*I2348</f>
        <v>27.18</v>
      </c>
      <c r="L2348" s="26" t="s">
        <v>85</v>
      </c>
      <c r="M2348" s="26">
        <v>1</v>
      </c>
      <c r="N2348" s="26" t="s">
        <v>82</v>
      </c>
      <c r="O2348" s="9">
        <f>(VLOOKUP(L2348,'[1]Simulation pricing per sub assy'!$D:$E,2,0))*M2348</f>
        <v>95.756400000000042</v>
      </c>
      <c r="P2348" s="30" t="s">
        <v>50</v>
      </c>
      <c r="Q2348" s="30">
        <v>8</v>
      </c>
      <c r="R2348" s="30" t="s">
        <v>611</v>
      </c>
      <c r="S2348" s="40">
        <f>(VLOOKUP(P2348,'[1]BOM Info General'!$A:$L,12,0))*Q2348</f>
        <v>21.2</v>
      </c>
      <c r="T2348" s="31" t="s">
        <v>21</v>
      </c>
      <c r="U2348" s="31">
        <v>1</v>
      </c>
      <c r="V2348" s="31" t="s">
        <v>22</v>
      </c>
      <c r="W2348" s="17">
        <f>(VLOOKUP(T2348,'[1]Simulation pricing per sub assy'!$D:$E,2,0))*U2348</f>
        <v>7.2</v>
      </c>
      <c r="X2348" s="32" t="s">
        <v>616</v>
      </c>
      <c r="Y2348" s="32">
        <v>1</v>
      </c>
      <c r="Z2348" s="32" t="s">
        <v>23</v>
      </c>
      <c r="AA2348" s="18">
        <f>(VLOOKUP(X2348,'[1]Simulation pricing per sub assy'!$D:$E,2,0))*Y2348</f>
        <v>4.4802908000000006</v>
      </c>
    </row>
    <row r="2349" spans="1:27" x14ac:dyDescent="0.35">
      <c r="A2349" s="27" t="s">
        <v>3928</v>
      </c>
      <c r="B2349" s="27" t="s">
        <v>4891</v>
      </c>
      <c r="C2349" s="42">
        <f t="shared" si="36"/>
        <v>285.93669080000001</v>
      </c>
      <c r="D2349" s="28" t="s">
        <v>3540</v>
      </c>
      <c r="E2349" s="28">
        <v>2</v>
      </c>
      <c r="F2349" s="28" t="s">
        <v>3541</v>
      </c>
      <c r="G2349" s="14">
        <f>(VLOOKUP(D2349,'[1]BOM Info General'!$A:$L,12,0))*E2349</f>
        <v>130.12</v>
      </c>
      <c r="H2349" s="29" t="s">
        <v>41</v>
      </c>
      <c r="I2349" s="29">
        <v>1</v>
      </c>
      <c r="J2349" s="29" t="s">
        <v>47</v>
      </c>
      <c r="K2349" s="15">
        <f>(VLOOKUP(H2349,'[1]BOM Info General'!$A:$L,12,0))*I2349</f>
        <v>27.18</v>
      </c>
      <c r="L2349" s="26" t="s">
        <v>81</v>
      </c>
      <c r="M2349" s="26">
        <v>1</v>
      </c>
      <c r="N2349" s="26" t="s">
        <v>80</v>
      </c>
      <c r="O2349" s="9">
        <f>(VLOOKUP(L2349,'[1]Simulation pricing per sub assy'!$D:$E,2,0))*M2349</f>
        <v>95.756400000000042</v>
      </c>
      <c r="P2349" s="30" t="s">
        <v>50</v>
      </c>
      <c r="Q2349" s="30">
        <v>8</v>
      </c>
      <c r="R2349" s="30" t="s">
        <v>611</v>
      </c>
      <c r="S2349" s="40">
        <f>(VLOOKUP(P2349,'[1]BOM Info General'!$A:$L,12,0))*Q2349</f>
        <v>21.2</v>
      </c>
      <c r="T2349" s="31" t="s">
        <v>21</v>
      </c>
      <c r="U2349" s="31">
        <v>1</v>
      </c>
      <c r="V2349" s="31" t="s">
        <v>22</v>
      </c>
      <c r="W2349" s="17">
        <f>(VLOOKUP(T2349,'[1]Simulation pricing per sub assy'!$D:$E,2,0))*U2349</f>
        <v>7.2</v>
      </c>
      <c r="X2349" s="32" t="s">
        <v>616</v>
      </c>
      <c r="Y2349" s="32">
        <v>1</v>
      </c>
      <c r="Z2349" s="32" t="s">
        <v>23</v>
      </c>
      <c r="AA2349" s="18">
        <f>(VLOOKUP(X2349,'[1]Simulation pricing per sub assy'!$D:$E,2,0))*Y2349</f>
        <v>4.4802908000000006</v>
      </c>
    </row>
    <row r="2350" spans="1:27" x14ac:dyDescent="0.35">
      <c r="A2350" s="27" t="s">
        <v>3929</v>
      </c>
      <c r="B2350" s="27" t="s">
        <v>4892</v>
      </c>
      <c r="C2350" s="42">
        <f t="shared" si="36"/>
        <v>285.3866908</v>
      </c>
      <c r="D2350" s="28" t="s">
        <v>3540</v>
      </c>
      <c r="E2350" s="28">
        <v>2</v>
      </c>
      <c r="F2350" s="28" t="s">
        <v>3541</v>
      </c>
      <c r="G2350" s="14">
        <f>(VLOOKUP(D2350,'[1]BOM Info General'!$A:$L,12,0))*E2350</f>
        <v>130.12</v>
      </c>
      <c r="H2350" s="29" t="s">
        <v>41</v>
      </c>
      <c r="I2350" s="29">
        <v>1</v>
      </c>
      <c r="J2350" s="29" t="s">
        <v>47</v>
      </c>
      <c r="K2350" s="15">
        <f>(VLOOKUP(H2350,'[1]BOM Info General'!$A:$L,12,0))*I2350</f>
        <v>27.18</v>
      </c>
      <c r="L2350" s="26" t="s">
        <v>87</v>
      </c>
      <c r="M2350" s="26">
        <v>1</v>
      </c>
      <c r="N2350" s="26" t="s">
        <v>84</v>
      </c>
      <c r="O2350" s="9">
        <f>(VLOOKUP(L2350,'[1]Simulation pricing per sub assy'!$D:$E,2,0))*M2350</f>
        <v>95.206400000000031</v>
      </c>
      <c r="P2350" s="30" t="s">
        <v>50</v>
      </c>
      <c r="Q2350" s="30">
        <v>8</v>
      </c>
      <c r="R2350" s="30" t="s">
        <v>611</v>
      </c>
      <c r="S2350" s="40">
        <f>(VLOOKUP(P2350,'[1]BOM Info General'!$A:$L,12,0))*Q2350</f>
        <v>21.2</v>
      </c>
      <c r="T2350" s="31" t="s">
        <v>21</v>
      </c>
      <c r="U2350" s="31">
        <v>1</v>
      </c>
      <c r="V2350" s="31" t="s">
        <v>22</v>
      </c>
      <c r="W2350" s="17">
        <f>(VLOOKUP(T2350,'[1]Simulation pricing per sub assy'!$D:$E,2,0))*U2350</f>
        <v>7.2</v>
      </c>
      <c r="X2350" s="32" t="s">
        <v>616</v>
      </c>
      <c r="Y2350" s="32">
        <v>1</v>
      </c>
      <c r="Z2350" s="32" t="s">
        <v>23</v>
      </c>
      <c r="AA2350" s="18">
        <f>(VLOOKUP(X2350,'[1]Simulation pricing per sub assy'!$D:$E,2,0))*Y2350</f>
        <v>4.4802908000000006</v>
      </c>
    </row>
    <row r="2351" spans="1:27" x14ac:dyDescent="0.35">
      <c r="A2351" s="27" t="s">
        <v>3930</v>
      </c>
      <c r="B2351" s="27" t="s">
        <v>4893</v>
      </c>
      <c r="C2351" s="42">
        <f t="shared" si="36"/>
        <v>293.34669079999998</v>
      </c>
      <c r="D2351" s="28" t="s">
        <v>3540</v>
      </c>
      <c r="E2351" s="28">
        <v>2</v>
      </c>
      <c r="F2351" s="28" t="s">
        <v>3541</v>
      </c>
      <c r="G2351" s="14">
        <f>(VLOOKUP(D2351,'[1]BOM Info General'!$A:$L,12,0))*E2351</f>
        <v>130.12</v>
      </c>
      <c r="H2351" s="29" t="s">
        <v>41</v>
      </c>
      <c r="I2351" s="29">
        <v>1</v>
      </c>
      <c r="J2351" s="29" t="s">
        <v>47</v>
      </c>
      <c r="K2351" s="15">
        <f>(VLOOKUP(H2351,'[1]BOM Info General'!$A:$L,12,0))*I2351</f>
        <v>27.18</v>
      </c>
      <c r="L2351" s="26" t="s">
        <v>83</v>
      </c>
      <c r="M2351" s="26">
        <v>1</v>
      </c>
      <c r="N2351" s="26" t="s">
        <v>86</v>
      </c>
      <c r="O2351" s="9">
        <f>(VLOOKUP(L2351,'[1]Simulation pricing per sub assy'!$D:$E,2,0))*M2351</f>
        <v>103.16640000000004</v>
      </c>
      <c r="P2351" s="30" t="s">
        <v>50</v>
      </c>
      <c r="Q2351" s="30">
        <v>8</v>
      </c>
      <c r="R2351" s="30" t="s">
        <v>611</v>
      </c>
      <c r="S2351" s="40">
        <f>(VLOOKUP(P2351,'[1]BOM Info General'!$A:$L,12,0))*Q2351</f>
        <v>21.2</v>
      </c>
      <c r="T2351" s="31" t="s">
        <v>21</v>
      </c>
      <c r="U2351" s="31">
        <v>1</v>
      </c>
      <c r="V2351" s="31" t="s">
        <v>22</v>
      </c>
      <c r="W2351" s="17">
        <f>(VLOOKUP(T2351,'[1]Simulation pricing per sub assy'!$D:$E,2,0))*U2351</f>
        <v>7.2</v>
      </c>
      <c r="X2351" s="32" t="s">
        <v>616</v>
      </c>
      <c r="Y2351" s="32">
        <v>1</v>
      </c>
      <c r="Z2351" s="32" t="s">
        <v>23</v>
      </c>
      <c r="AA2351" s="18">
        <f>(VLOOKUP(X2351,'[1]Simulation pricing per sub assy'!$D:$E,2,0))*Y2351</f>
        <v>4.4802908000000006</v>
      </c>
    </row>
    <row r="2352" spans="1:27" x14ac:dyDescent="0.35">
      <c r="A2352" s="27" t="s">
        <v>3931</v>
      </c>
      <c r="B2352" s="27" t="s">
        <v>4894</v>
      </c>
      <c r="C2352" s="42">
        <f t="shared" si="36"/>
        <v>284.07669079999999</v>
      </c>
      <c r="D2352" s="28" t="s">
        <v>3540</v>
      </c>
      <c r="E2352" s="28">
        <v>2</v>
      </c>
      <c r="F2352" s="28" t="s">
        <v>3541</v>
      </c>
      <c r="G2352" s="14">
        <f>(VLOOKUP(D2352,'[1]BOM Info General'!$A:$L,12,0))*E2352</f>
        <v>130.12</v>
      </c>
      <c r="H2352" s="29" t="s">
        <v>41</v>
      </c>
      <c r="I2352" s="29">
        <v>1</v>
      </c>
      <c r="J2352" s="29" t="s">
        <v>47</v>
      </c>
      <c r="K2352" s="15">
        <f>(VLOOKUP(H2352,'[1]BOM Info General'!$A:$L,12,0))*I2352</f>
        <v>27.18</v>
      </c>
      <c r="L2352" s="26" t="s">
        <v>528</v>
      </c>
      <c r="M2352" s="26">
        <v>1</v>
      </c>
      <c r="N2352" s="26" t="s">
        <v>88</v>
      </c>
      <c r="O2352" s="9">
        <f>(VLOOKUP(L2352,'[1]Simulation pricing per sub assy'!$D:$E,2,0))*M2352</f>
        <v>94.656400000000033</v>
      </c>
      <c r="P2352" s="30" t="s">
        <v>50</v>
      </c>
      <c r="Q2352" s="30">
        <v>8</v>
      </c>
      <c r="R2352" s="30" t="s">
        <v>16</v>
      </c>
      <c r="S2352" s="40">
        <f>(VLOOKUP(P2352,'[1]BOM Info General'!$A:$L,12,0))*Q2352</f>
        <v>21.2</v>
      </c>
      <c r="T2352" s="31" t="s">
        <v>24</v>
      </c>
      <c r="U2352" s="31">
        <v>1</v>
      </c>
      <c r="V2352" s="31" t="s">
        <v>25</v>
      </c>
      <c r="W2352" s="17">
        <f>(VLOOKUP(T2352,'[1]Simulation pricing per sub assy'!$D:$E,2,0))*U2352</f>
        <v>6.44</v>
      </c>
      <c r="X2352" s="32" t="s">
        <v>616</v>
      </c>
      <c r="Y2352" s="32">
        <v>1</v>
      </c>
      <c r="Z2352" s="32" t="s">
        <v>23</v>
      </c>
      <c r="AA2352" s="18">
        <f>(VLOOKUP(X2352,'[1]Simulation pricing per sub assy'!$D:$E,2,0))*Y2352</f>
        <v>4.4802908000000006</v>
      </c>
    </row>
    <row r="2353" spans="1:27" x14ac:dyDescent="0.35">
      <c r="A2353" s="27" t="s">
        <v>3932</v>
      </c>
      <c r="B2353" s="27" t="s">
        <v>4895</v>
      </c>
      <c r="C2353" s="42">
        <f t="shared" si="36"/>
        <v>285.17669080000002</v>
      </c>
      <c r="D2353" s="28" t="s">
        <v>3540</v>
      </c>
      <c r="E2353" s="28">
        <v>2</v>
      </c>
      <c r="F2353" s="28" t="s">
        <v>3541</v>
      </c>
      <c r="G2353" s="14">
        <f>(VLOOKUP(D2353,'[1]BOM Info General'!$A:$L,12,0))*E2353</f>
        <v>130.12</v>
      </c>
      <c r="H2353" s="29" t="s">
        <v>41</v>
      </c>
      <c r="I2353" s="29">
        <v>1</v>
      </c>
      <c r="J2353" s="29" t="s">
        <v>47</v>
      </c>
      <c r="K2353" s="15">
        <f>(VLOOKUP(H2353,'[1]BOM Info General'!$A:$L,12,0))*I2353</f>
        <v>27.18</v>
      </c>
      <c r="L2353" s="26" t="s">
        <v>85</v>
      </c>
      <c r="M2353" s="26">
        <v>1</v>
      </c>
      <c r="N2353" s="26" t="s">
        <v>82</v>
      </c>
      <c r="O2353" s="9">
        <f>(VLOOKUP(L2353,'[1]Simulation pricing per sub assy'!$D:$E,2,0))*M2353</f>
        <v>95.756400000000042</v>
      </c>
      <c r="P2353" s="30" t="s">
        <v>50</v>
      </c>
      <c r="Q2353" s="30">
        <v>8</v>
      </c>
      <c r="R2353" s="30" t="s">
        <v>16</v>
      </c>
      <c r="S2353" s="40">
        <f>(VLOOKUP(P2353,'[1]BOM Info General'!$A:$L,12,0))*Q2353</f>
        <v>21.2</v>
      </c>
      <c r="T2353" s="31" t="s">
        <v>24</v>
      </c>
      <c r="U2353" s="31">
        <v>1</v>
      </c>
      <c r="V2353" s="31" t="s">
        <v>25</v>
      </c>
      <c r="W2353" s="17">
        <f>(VLOOKUP(T2353,'[1]Simulation pricing per sub assy'!$D:$E,2,0))*U2353</f>
        <v>6.44</v>
      </c>
      <c r="X2353" s="32" t="s">
        <v>616</v>
      </c>
      <c r="Y2353" s="32">
        <v>1</v>
      </c>
      <c r="Z2353" s="32" t="s">
        <v>23</v>
      </c>
      <c r="AA2353" s="18">
        <f>(VLOOKUP(X2353,'[1]Simulation pricing per sub assy'!$D:$E,2,0))*Y2353</f>
        <v>4.4802908000000006</v>
      </c>
    </row>
    <row r="2354" spans="1:27" x14ac:dyDescent="0.35">
      <c r="A2354" s="27" t="s">
        <v>3933</v>
      </c>
      <c r="B2354" s="27" t="s">
        <v>4896</v>
      </c>
      <c r="C2354" s="42">
        <f t="shared" si="36"/>
        <v>285.17669080000002</v>
      </c>
      <c r="D2354" s="28" t="s">
        <v>3540</v>
      </c>
      <c r="E2354" s="28">
        <v>2</v>
      </c>
      <c r="F2354" s="28" t="s">
        <v>3541</v>
      </c>
      <c r="G2354" s="14">
        <f>(VLOOKUP(D2354,'[1]BOM Info General'!$A:$L,12,0))*E2354</f>
        <v>130.12</v>
      </c>
      <c r="H2354" s="29" t="s">
        <v>41</v>
      </c>
      <c r="I2354" s="29">
        <v>1</v>
      </c>
      <c r="J2354" s="29" t="s">
        <v>47</v>
      </c>
      <c r="K2354" s="15">
        <f>(VLOOKUP(H2354,'[1]BOM Info General'!$A:$L,12,0))*I2354</f>
        <v>27.18</v>
      </c>
      <c r="L2354" s="26" t="s">
        <v>81</v>
      </c>
      <c r="M2354" s="26">
        <v>1</v>
      </c>
      <c r="N2354" s="26" t="s">
        <v>80</v>
      </c>
      <c r="O2354" s="9">
        <f>(VLOOKUP(L2354,'[1]Simulation pricing per sub assy'!$D:$E,2,0))*M2354</f>
        <v>95.756400000000042</v>
      </c>
      <c r="P2354" s="30" t="s">
        <v>50</v>
      </c>
      <c r="Q2354" s="30">
        <v>8</v>
      </c>
      <c r="R2354" s="30" t="s">
        <v>16</v>
      </c>
      <c r="S2354" s="40">
        <f>(VLOOKUP(P2354,'[1]BOM Info General'!$A:$L,12,0))*Q2354</f>
        <v>21.2</v>
      </c>
      <c r="T2354" s="31" t="s">
        <v>24</v>
      </c>
      <c r="U2354" s="31">
        <v>1</v>
      </c>
      <c r="V2354" s="31" t="s">
        <v>25</v>
      </c>
      <c r="W2354" s="17">
        <f>(VLOOKUP(T2354,'[1]Simulation pricing per sub assy'!$D:$E,2,0))*U2354</f>
        <v>6.44</v>
      </c>
      <c r="X2354" s="32" t="s">
        <v>616</v>
      </c>
      <c r="Y2354" s="32">
        <v>1</v>
      </c>
      <c r="Z2354" s="32" t="s">
        <v>23</v>
      </c>
      <c r="AA2354" s="18">
        <f>(VLOOKUP(X2354,'[1]Simulation pricing per sub assy'!$D:$E,2,0))*Y2354</f>
        <v>4.4802908000000006</v>
      </c>
    </row>
    <row r="2355" spans="1:27" x14ac:dyDescent="0.35">
      <c r="A2355" s="27" t="s">
        <v>3934</v>
      </c>
      <c r="B2355" s="27" t="s">
        <v>4897</v>
      </c>
      <c r="C2355" s="42">
        <f t="shared" si="36"/>
        <v>284.62669080000001</v>
      </c>
      <c r="D2355" s="28" t="s">
        <v>3540</v>
      </c>
      <c r="E2355" s="28">
        <v>2</v>
      </c>
      <c r="F2355" s="28" t="s">
        <v>3541</v>
      </c>
      <c r="G2355" s="14">
        <f>(VLOOKUP(D2355,'[1]BOM Info General'!$A:$L,12,0))*E2355</f>
        <v>130.12</v>
      </c>
      <c r="H2355" s="29" t="s">
        <v>41</v>
      </c>
      <c r="I2355" s="29">
        <v>1</v>
      </c>
      <c r="J2355" s="29" t="s">
        <v>47</v>
      </c>
      <c r="K2355" s="15">
        <f>(VLOOKUP(H2355,'[1]BOM Info General'!$A:$L,12,0))*I2355</f>
        <v>27.18</v>
      </c>
      <c r="L2355" s="26" t="s">
        <v>87</v>
      </c>
      <c r="M2355" s="26">
        <v>1</v>
      </c>
      <c r="N2355" s="26" t="s">
        <v>84</v>
      </c>
      <c r="O2355" s="9">
        <f>(VLOOKUP(L2355,'[1]Simulation pricing per sub assy'!$D:$E,2,0))*M2355</f>
        <v>95.206400000000031</v>
      </c>
      <c r="P2355" s="30" t="s">
        <v>50</v>
      </c>
      <c r="Q2355" s="30">
        <v>8</v>
      </c>
      <c r="R2355" s="30" t="s">
        <v>16</v>
      </c>
      <c r="S2355" s="40">
        <f>(VLOOKUP(P2355,'[1]BOM Info General'!$A:$L,12,0))*Q2355</f>
        <v>21.2</v>
      </c>
      <c r="T2355" s="31" t="s">
        <v>24</v>
      </c>
      <c r="U2355" s="31">
        <v>1</v>
      </c>
      <c r="V2355" s="31" t="s">
        <v>25</v>
      </c>
      <c r="W2355" s="17">
        <f>(VLOOKUP(T2355,'[1]Simulation pricing per sub assy'!$D:$E,2,0))*U2355</f>
        <v>6.44</v>
      </c>
      <c r="X2355" s="32" t="s">
        <v>616</v>
      </c>
      <c r="Y2355" s="32">
        <v>1</v>
      </c>
      <c r="Z2355" s="32" t="s">
        <v>23</v>
      </c>
      <c r="AA2355" s="18">
        <f>(VLOOKUP(X2355,'[1]Simulation pricing per sub assy'!$D:$E,2,0))*Y2355</f>
        <v>4.4802908000000006</v>
      </c>
    </row>
    <row r="2356" spans="1:27" x14ac:dyDescent="0.35">
      <c r="A2356" s="27" t="s">
        <v>3935</v>
      </c>
      <c r="B2356" s="27" t="s">
        <v>4898</v>
      </c>
      <c r="C2356" s="42">
        <f t="shared" si="36"/>
        <v>292.58669079999999</v>
      </c>
      <c r="D2356" s="28" t="s">
        <v>3540</v>
      </c>
      <c r="E2356" s="28">
        <v>2</v>
      </c>
      <c r="F2356" s="28" t="s">
        <v>3541</v>
      </c>
      <c r="G2356" s="14">
        <f>(VLOOKUP(D2356,'[1]BOM Info General'!$A:$L,12,0))*E2356</f>
        <v>130.12</v>
      </c>
      <c r="H2356" s="29" t="s">
        <v>41</v>
      </c>
      <c r="I2356" s="29">
        <v>1</v>
      </c>
      <c r="J2356" s="29" t="s">
        <v>47</v>
      </c>
      <c r="K2356" s="15">
        <f>(VLOOKUP(H2356,'[1]BOM Info General'!$A:$L,12,0))*I2356</f>
        <v>27.18</v>
      </c>
      <c r="L2356" s="26" t="s">
        <v>83</v>
      </c>
      <c r="M2356" s="26">
        <v>1</v>
      </c>
      <c r="N2356" s="26" t="s">
        <v>86</v>
      </c>
      <c r="O2356" s="9">
        <f>(VLOOKUP(L2356,'[1]Simulation pricing per sub assy'!$D:$E,2,0))*M2356</f>
        <v>103.16640000000004</v>
      </c>
      <c r="P2356" s="30" t="s">
        <v>50</v>
      </c>
      <c r="Q2356" s="30">
        <v>8</v>
      </c>
      <c r="R2356" s="30" t="s">
        <v>16</v>
      </c>
      <c r="S2356" s="40">
        <f>(VLOOKUP(P2356,'[1]BOM Info General'!$A:$L,12,0))*Q2356</f>
        <v>21.2</v>
      </c>
      <c r="T2356" s="31" t="s">
        <v>24</v>
      </c>
      <c r="U2356" s="31">
        <v>1</v>
      </c>
      <c r="V2356" s="31" t="s">
        <v>25</v>
      </c>
      <c r="W2356" s="17">
        <f>(VLOOKUP(T2356,'[1]Simulation pricing per sub assy'!$D:$E,2,0))*U2356</f>
        <v>6.44</v>
      </c>
      <c r="X2356" s="32" t="s">
        <v>616</v>
      </c>
      <c r="Y2356" s="32">
        <v>1</v>
      </c>
      <c r="Z2356" s="32" t="s">
        <v>23</v>
      </c>
      <c r="AA2356" s="18">
        <f>(VLOOKUP(X2356,'[1]Simulation pricing per sub assy'!$D:$E,2,0))*Y2356</f>
        <v>4.4802908000000006</v>
      </c>
    </row>
    <row r="2357" spans="1:27" x14ac:dyDescent="0.35">
      <c r="A2357" s="27" t="s">
        <v>3936</v>
      </c>
      <c r="B2357" s="27" t="s">
        <v>4899</v>
      </c>
      <c r="C2357" s="42">
        <f t="shared" si="36"/>
        <v>284.67669080000002</v>
      </c>
      <c r="D2357" s="28" t="s">
        <v>3540</v>
      </c>
      <c r="E2357" s="28">
        <v>2</v>
      </c>
      <c r="F2357" s="28" t="s">
        <v>3541</v>
      </c>
      <c r="G2357" s="14">
        <f>(VLOOKUP(D2357,'[1]BOM Info General'!$A:$L,12,0))*E2357</f>
        <v>130.12</v>
      </c>
      <c r="H2357" s="29" t="s">
        <v>41</v>
      </c>
      <c r="I2357" s="29">
        <v>1</v>
      </c>
      <c r="J2357" s="29" t="s">
        <v>47</v>
      </c>
      <c r="K2357" s="15">
        <f>(VLOOKUP(H2357,'[1]BOM Info General'!$A:$L,12,0))*I2357</f>
        <v>27.18</v>
      </c>
      <c r="L2357" s="26" t="s">
        <v>528</v>
      </c>
      <c r="M2357" s="26">
        <v>1</v>
      </c>
      <c r="N2357" s="26" t="s">
        <v>88</v>
      </c>
      <c r="O2357" s="9">
        <f>(VLOOKUP(L2357,'[1]Simulation pricing per sub assy'!$D:$E,2,0))*M2357</f>
        <v>94.656400000000033</v>
      </c>
      <c r="P2357" s="30" t="s">
        <v>50</v>
      </c>
      <c r="Q2357" s="30">
        <v>8</v>
      </c>
      <c r="R2357" s="30" t="s">
        <v>16</v>
      </c>
      <c r="S2357" s="40">
        <f>(VLOOKUP(P2357,'[1]BOM Info General'!$A:$L,12,0))*Q2357</f>
        <v>21.2</v>
      </c>
      <c r="T2357" s="31" t="s">
        <v>26</v>
      </c>
      <c r="U2357" s="31">
        <v>1</v>
      </c>
      <c r="V2357" s="31" t="s">
        <v>27</v>
      </c>
      <c r="W2357" s="17">
        <f>(VLOOKUP(T2357,'[1]Simulation pricing per sub assy'!$D:$E,2,0))*U2357</f>
        <v>7.04</v>
      </c>
      <c r="X2357" s="32" t="s">
        <v>616</v>
      </c>
      <c r="Y2357" s="32">
        <v>1</v>
      </c>
      <c r="Z2357" s="32" t="s">
        <v>23</v>
      </c>
      <c r="AA2357" s="18">
        <f>(VLOOKUP(X2357,'[1]Simulation pricing per sub assy'!$D:$E,2,0))*Y2357</f>
        <v>4.4802908000000006</v>
      </c>
    </row>
    <row r="2358" spans="1:27" x14ac:dyDescent="0.35">
      <c r="A2358" s="27" t="s">
        <v>3937</v>
      </c>
      <c r="B2358" s="27" t="s">
        <v>4900</v>
      </c>
      <c r="C2358" s="42">
        <f t="shared" si="36"/>
        <v>285.77669080000004</v>
      </c>
      <c r="D2358" s="28" t="s">
        <v>3540</v>
      </c>
      <c r="E2358" s="28">
        <v>2</v>
      </c>
      <c r="F2358" s="28" t="s">
        <v>3541</v>
      </c>
      <c r="G2358" s="14">
        <f>(VLOOKUP(D2358,'[1]BOM Info General'!$A:$L,12,0))*E2358</f>
        <v>130.12</v>
      </c>
      <c r="H2358" s="29" t="s">
        <v>41</v>
      </c>
      <c r="I2358" s="29">
        <v>1</v>
      </c>
      <c r="J2358" s="29" t="s">
        <v>47</v>
      </c>
      <c r="K2358" s="15">
        <f>(VLOOKUP(H2358,'[1]BOM Info General'!$A:$L,12,0))*I2358</f>
        <v>27.18</v>
      </c>
      <c r="L2358" s="26" t="s">
        <v>85</v>
      </c>
      <c r="M2358" s="26">
        <v>1</v>
      </c>
      <c r="N2358" s="26" t="s">
        <v>82</v>
      </c>
      <c r="O2358" s="9">
        <f>(VLOOKUP(L2358,'[1]Simulation pricing per sub assy'!$D:$E,2,0))*M2358</f>
        <v>95.756400000000042</v>
      </c>
      <c r="P2358" s="30" t="s">
        <v>50</v>
      </c>
      <c r="Q2358" s="30">
        <v>8</v>
      </c>
      <c r="R2358" s="30" t="s">
        <v>16</v>
      </c>
      <c r="S2358" s="40">
        <f>(VLOOKUP(P2358,'[1]BOM Info General'!$A:$L,12,0))*Q2358</f>
        <v>21.2</v>
      </c>
      <c r="T2358" s="31" t="s">
        <v>26</v>
      </c>
      <c r="U2358" s="31">
        <v>1</v>
      </c>
      <c r="V2358" s="31" t="s">
        <v>27</v>
      </c>
      <c r="W2358" s="17">
        <f>(VLOOKUP(T2358,'[1]Simulation pricing per sub assy'!$D:$E,2,0))*U2358</f>
        <v>7.04</v>
      </c>
      <c r="X2358" s="32" t="s">
        <v>616</v>
      </c>
      <c r="Y2358" s="32">
        <v>1</v>
      </c>
      <c r="Z2358" s="32" t="s">
        <v>23</v>
      </c>
      <c r="AA2358" s="18">
        <f>(VLOOKUP(X2358,'[1]Simulation pricing per sub assy'!$D:$E,2,0))*Y2358</f>
        <v>4.4802908000000006</v>
      </c>
    </row>
    <row r="2359" spans="1:27" x14ac:dyDescent="0.35">
      <c r="A2359" s="27" t="s">
        <v>3938</v>
      </c>
      <c r="B2359" s="27" t="s">
        <v>4901</v>
      </c>
      <c r="C2359" s="42">
        <f t="shared" si="36"/>
        <v>285.77669080000004</v>
      </c>
      <c r="D2359" s="28" t="s">
        <v>3540</v>
      </c>
      <c r="E2359" s="28">
        <v>2</v>
      </c>
      <c r="F2359" s="28" t="s">
        <v>3541</v>
      </c>
      <c r="G2359" s="14">
        <f>(VLOOKUP(D2359,'[1]BOM Info General'!$A:$L,12,0))*E2359</f>
        <v>130.12</v>
      </c>
      <c r="H2359" s="29" t="s">
        <v>41</v>
      </c>
      <c r="I2359" s="29">
        <v>1</v>
      </c>
      <c r="J2359" s="29" t="s">
        <v>47</v>
      </c>
      <c r="K2359" s="15">
        <f>(VLOOKUP(H2359,'[1]BOM Info General'!$A:$L,12,0))*I2359</f>
        <v>27.18</v>
      </c>
      <c r="L2359" s="26" t="s">
        <v>81</v>
      </c>
      <c r="M2359" s="26">
        <v>1</v>
      </c>
      <c r="N2359" s="26" t="s">
        <v>80</v>
      </c>
      <c r="O2359" s="9">
        <f>(VLOOKUP(L2359,'[1]Simulation pricing per sub assy'!$D:$E,2,0))*M2359</f>
        <v>95.756400000000042</v>
      </c>
      <c r="P2359" s="30" t="s">
        <v>50</v>
      </c>
      <c r="Q2359" s="30">
        <v>8</v>
      </c>
      <c r="R2359" s="30" t="s">
        <v>16</v>
      </c>
      <c r="S2359" s="40">
        <f>(VLOOKUP(P2359,'[1]BOM Info General'!$A:$L,12,0))*Q2359</f>
        <v>21.2</v>
      </c>
      <c r="T2359" s="31" t="s">
        <v>26</v>
      </c>
      <c r="U2359" s="31">
        <v>1</v>
      </c>
      <c r="V2359" s="31" t="s">
        <v>27</v>
      </c>
      <c r="W2359" s="17">
        <f>(VLOOKUP(T2359,'[1]Simulation pricing per sub assy'!$D:$E,2,0))*U2359</f>
        <v>7.04</v>
      </c>
      <c r="X2359" s="32" t="s">
        <v>616</v>
      </c>
      <c r="Y2359" s="32">
        <v>1</v>
      </c>
      <c r="Z2359" s="32" t="s">
        <v>23</v>
      </c>
      <c r="AA2359" s="18">
        <f>(VLOOKUP(X2359,'[1]Simulation pricing per sub assy'!$D:$E,2,0))*Y2359</f>
        <v>4.4802908000000006</v>
      </c>
    </row>
    <row r="2360" spans="1:27" x14ac:dyDescent="0.35">
      <c r="A2360" s="27" t="s">
        <v>3939</v>
      </c>
      <c r="B2360" s="27" t="s">
        <v>4902</v>
      </c>
      <c r="C2360" s="42">
        <f t="shared" si="36"/>
        <v>285.22669080000003</v>
      </c>
      <c r="D2360" s="28" t="s">
        <v>3540</v>
      </c>
      <c r="E2360" s="28">
        <v>2</v>
      </c>
      <c r="F2360" s="28" t="s">
        <v>3541</v>
      </c>
      <c r="G2360" s="14">
        <f>(VLOOKUP(D2360,'[1]BOM Info General'!$A:$L,12,0))*E2360</f>
        <v>130.12</v>
      </c>
      <c r="H2360" s="29" t="s">
        <v>41</v>
      </c>
      <c r="I2360" s="29">
        <v>1</v>
      </c>
      <c r="J2360" s="29" t="s">
        <v>47</v>
      </c>
      <c r="K2360" s="15">
        <f>(VLOOKUP(H2360,'[1]BOM Info General'!$A:$L,12,0))*I2360</f>
        <v>27.18</v>
      </c>
      <c r="L2360" s="26" t="s">
        <v>87</v>
      </c>
      <c r="M2360" s="26">
        <v>1</v>
      </c>
      <c r="N2360" s="26" t="s">
        <v>84</v>
      </c>
      <c r="O2360" s="9">
        <f>(VLOOKUP(L2360,'[1]Simulation pricing per sub assy'!$D:$E,2,0))*M2360</f>
        <v>95.206400000000031</v>
      </c>
      <c r="P2360" s="30" t="s">
        <v>50</v>
      </c>
      <c r="Q2360" s="30">
        <v>8</v>
      </c>
      <c r="R2360" s="30" t="s">
        <v>16</v>
      </c>
      <c r="S2360" s="40">
        <f>(VLOOKUP(P2360,'[1]BOM Info General'!$A:$L,12,0))*Q2360</f>
        <v>21.2</v>
      </c>
      <c r="T2360" s="31" t="s">
        <v>26</v>
      </c>
      <c r="U2360" s="31">
        <v>1</v>
      </c>
      <c r="V2360" s="31" t="s">
        <v>27</v>
      </c>
      <c r="W2360" s="17">
        <f>(VLOOKUP(T2360,'[1]Simulation pricing per sub assy'!$D:$E,2,0))*U2360</f>
        <v>7.04</v>
      </c>
      <c r="X2360" s="32" t="s">
        <v>616</v>
      </c>
      <c r="Y2360" s="32">
        <v>1</v>
      </c>
      <c r="Z2360" s="32" t="s">
        <v>23</v>
      </c>
      <c r="AA2360" s="18">
        <f>(VLOOKUP(X2360,'[1]Simulation pricing per sub assy'!$D:$E,2,0))*Y2360</f>
        <v>4.4802908000000006</v>
      </c>
    </row>
    <row r="2361" spans="1:27" x14ac:dyDescent="0.35">
      <c r="A2361" s="27" t="s">
        <v>3940</v>
      </c>
      <c r="B2361" s="27" t="s">
        <v>4903</v>
      </c>
      <c r="C2361" s="42">
        <f t="shared" si="36"/>
        <v>293.18669080000001</v>
      </c>
      <c r="D2361" s="28" t="s">
        <v>3540</v>
      </c>
      <c r="E2361" s="28">
        <v>2</v>
      </c>
      <c r="F2361" s="28" t="s">
        <v>3541</v>
      </c>
      <c r="G2361" s="14">
        <f>(VLOOKUP(D2361,'[1]BOM Info General'!$A:$L,12,0))*E2361</f>
        <v>130.12</v>
      </c>
      <c r="H2361" s="29" t="s">
        <v>41</v>
      </c>
      <c r="I2361" s="29">
        <v>1</v>
      </c>
      <c r="J2361" s="29" t="s">
        <v>47</v>
      </c>
      <c r="K2361" s="15">
        <f>(VLOOKUP(H2361,'[1]BOM Info General'!$A:$L,12,0))*I2361</f>
        <v>27.18</v>
      </c>
      <c r="L2361" s="26" t="s">
        <v>83</v>
      </c>
      <c r="M2361" s="26">
        <v>1</v>
      </c>
      <c r="N2361" s="26" t="s">
        <v>86</v>
      </c>
      <c r="O2361" s="9">
        <f>(VLOOKUP(L2361,'[1]Simulation pricing per sub assy'!$D:$E,2,0))*M2361</f>
        <v>103.16640000000004</v>
      </c>
      <c r="P2361" s="30" t="s">
        <v>50</v>
      </c>
      <c r="Q2361" s="30">
        <v>8</v>
      </c>
      <c r="R2361" s="30" t="s">
        <v>16</v>
      </c>
      <c r="S2361" s="40">
        <f>(VLOOKUP(P2361,'[1]BOM Info General'!$A:$L,12,0))*Q2361</f>
        <v>21.2</v>
      </c>
      <c r="T2361" s="31" t="s">
        <v>26</v>
      </c>
      <c r="U2361" s="31">
        <v>1</v>
      </c>
      <c r="V2361" s="31" t="s">
        <v>27</v>
      </c>
      <c r="W2361" s="17">
        <f>(VLOOKUP(T2361,'[1]Simulation pricing per sub assy'!$D:$E,2,0))*U2361</f>
        <v>7.04</v>
      </c>
      <c r="X2361" s="32" t="s">
        <v>616</v>
      </c>
      <c r="Y2361" s="32">
        <v>1</v>
      </c>
      <c r="Z2361" s="32" t="s">
        <v>23</v>
      </c>
      <c r="AA2361" s="18">
        <f>(VLOOKUP(X2361,'[1]Simulation pricing per sub assy'!$D:$E,2,0))*Y2361</f>
        <v>4.4802908000000006</v>
      </c>
    </row>
    <row r="2362" spans="1:27" x14ac:dyDescent="0.35">
      <c r="A2362" s="27" t="s">
        <v>3941</v>
      </c>
      <c r="B2362" s="27" t="s">
        <v>4904</v>
      </c>
      <c r="C2362" s="42">
        <f t="shared" si="36"/>
        <v>284.6366908</v>
      </c>
      <c r="D2362" s="28" t="s">
        <v>3540</v>
      </c>
      <c r="E2362" s="28">
        <v>2</v>
      </c>
      <c r="F2362" s="28" t="s">
        <v>3541</v>
      </c>
      <c r="G2362" s="14">
        <f>(VLOOKUP(D2362,'[1]BOM Info General'!$A:$L,12,0))*E2362</f>
        <v>130.12</v>
      </c>
      <c r="H2362" s="29" t="s">
        <v>41</v>
      </c>
      <c r="I2362" s="29">
        <v>1</v>
      </c>
      <c r="J2362" s="29" t="s">
        <v>47</v>
      </c>
      <c r="K2362" s="15">
        <f>(VLOOKUP(H2362,'[1]BOM Info General'!$A:$L,12,0))*I2362</f>
        <v>27.18</v>
      </c>
      <c r="L2362" s="26" t="s">
        <v>528</v>
      </c>
      <c r="M2362" s="26">
        <v>1</v>
      </c>
      <c r="N2362" s="26" t="s">
        <v>88</v>
      </c>
      <c r="O2362" s="9">
        <f>(VLOOKUP(L2362,'[1]Simulation pricing per sub assy'!$D:$E,2,0))*M2362</f>
        <v>94.656400000000033</v>
      </c>
      <c r="P2362" s="30" t="s">
        <v>50</v>
      </c>
      <c r="Q2362" s="30">
        <v>8</v>
      </c>
      <c r="R2362" s="30" t="s">
        <v>16</v>
      </c>
      <c r="S2362" s="40">
        <f>(VLOOKUP(P2362,'[1]BOM Info General'!$A:$L,12,0))*Q2362</f>
        <v>21.2</v>
      </c>
      <c r="T2362" s="31" t="s">
        <v>28</v>
      </c>
      <c r="U2362" s="31">
        <v>1</v>
      </c>
      <c r="V2362" s="31" t="s">
        <v>29</v>
      </c>
      <c r="W2362" s="17">
        <f>(VLOOKUP(T2362,'[1]Simulation pricing per sub assy'!$D:$E,2,0))*U2362</f>
        <v>7</v>
      </c>
      <c r="X2362" s="32" t="s">
        <v>616</v>
      </c>
      <c r="Y2362" s="32">
        <v>1</v>
      </c>
      <c r="Z2362" s="32" t="s">
        <v>23</v>
      </c>
      <c r="AA2362" s="18">
        <f>(VLOOKUP(X2362,'[1]Simulation pricing per sub assy'!$D:$E,2,0))*Y2362</f>
        <v>4.4802908000000006</v>
      </c>
    </row>
    <row r="2363" spans="1:27" x14ac:dyDescent="0.35">
      <c r="A2363" s="27" t="s">
        <v>3942</v>
      </c>
      <c r="B2363" s="27" t="s">
        <v>4905</v>
      </c>
      <c r="C2363" s="42">
        <f t="shared" si="36"/>
        <v>285.73669080000002</v>
      </c>
      <c r="D2363" s="28" t="s">
        <v>3540</v>
      </c>
      <c r="E2363" s="28">
        <v>2</v>
      </c>
      <c r="F2363" s="28" t="s">
        <v>3541</v>
      </c>
      <c r="G2363" s="14">
        <f>(VLOOKUP(D2363,'[1]BOM Info General'!$A:$L,12,0))*E2363</f>
        <v>130.12</v>
      </c>
      <c r="H2363" s="29" t="s">
        <v>41</v>
      </c>
      <c r="I2363" s="29">
        <v>1</v>
      </c>
      <c r="J2363" s="29" t="s">
        <v>47</v>
      </c>
      <c r="K2363" s="15">
        <f>(VLOOKUP(H2363,'[1]BOM Info General'!$A:$L,12,0))*I2363</f>
        <v>27.18</v>
      </c>
      <c r="L2363" s="26" t="s">
        <v>85</v>
      </c>
      <c r="M2363" s="26">
        <v>1</v>
      </c>
      <c r="N2363" s="26" t="s">
        <v>82</v>
      </c>
      <c r="O2363" s="9">
        <f>(VLOOKUP(L2363,'[1]Simulation pricing per sub assy'!$D:$E,2,0))*M2363</f>
        <v>95.756400000000042</v>
      </c>
      <c r="P2363" s="30" t="s">
        <v>50</v>
      </c>
      <c r="Q2363" s="30">
        <v>8</v>
      </c>
      <c r="R2363" s="30" t="s">
        <v>16</v>
      </c>
      <c r="S2363" s="40">
        <f>(VLOOKUP(P2363,'[1]BOM Info General'!$A:$L,12,0))*Q2363</f>
        <v>21.2</v>
      </c>
      <c r="T2363" s="31" t="s">
        <v>28</v>
      </c>
      <c r="U2363" s="31">
        <v>1</v>
      </c>
      <c r="V2363" s="31" t="s">
        <v>29</v>
      </c>
      <c r="W2363" s="17">
        <f>(VLOOKUP(T2363,'[1]Simulation pricing per sub assy'!$D:$E,2,0))*U2363</f>
        <v>7</v>
      </c>
      <c r="X2363" s="32" t="s">
        <v>616</v>
      </c>
      <c r="Y2363" s="32">
        <v>1</v>
      </c>
      <c r="Z2363" s="32" t="s">
        <v>23</v>
      </c>
      <c r="AA2363" s="18">
        <f>(VLOOKUP(X2363,'[1]Simulation pricing per sub assy'!$D:$E,2,0))*Y2363</f>
        <v>4.4802908000000006</v>
      </c>
    </row>
    <row r="2364" spans="1:27" x14ac:dyDescent="0.35">
      <c r="A2364" s="27" t="s">
        <v>3943</v>
      </c>
      <c r="B2364" s="27" t="s">
        <v>4906</v>
      </c>
      <c r="C2364" s="42">
        <f t="shared" si="36"/>
        <v>285.73669080000002</v>
      </c>
      <c r="D2364" s="28" t="s">
        <v>3540</v>
      </c>
      <c r="E2364" s="28">
        <v>2</v>
      </c>
      <c r="F2364" s="28" t="s">
        <v>3541</v>
      </c>
      <c r="G2364" s="14">
        <f>(VLOOKUP(D2364,'[1]BOM Info General'!$A:$L,12,0))*E2364</f>
        <v>130.12</v>
      </c>
      <c r="H2364" s="29" t="s">
        <v>41</v>
      </c>
      <c r="I2364" s="29">
        <v>1</v>
      </c>
      <c r="J2364" s="29" t="s">
        <v>47</v>
      </c>
      <c r="K2364" s="15">
        <f>(VLOOKUP(H2364,'[1]BOM Info General'!$A:$L,12,0))*I2364</f>
        <v>27.18</v>
      </c>
      <c r="L2364" s="26" t="s">
        <v>81</v>
      </c>
      <c r="M2364" s="26">
        <v>1</v>
      </c>
      <c r="N2364" s="26" t="s">
        <v>80</v>
      </c>
      <c r="O2364" s="9">
        <f>(VLOOKUP(L2364,'[1]Simulation pricing per sub assy'!$D:$E,2,0))*M2364</f>
        <v>95.756400000000042</v>
      </c>
      <c r="P2364" s="30" t="s">
        <v>50</v>
      </c>
      <c r="Q2364" s="30">
        <v>8</v>
      </c>
      <c r="R2364" s="30" t="s">
        <v>16</v>
      </c>
      <c r="S2364" s="40">
        <f>(VLOOKUP(P2364,'[1]BOM Info General'!$A:$L,12,0))*Q2364</f>
        <v>21.2</v>
      </c>
      <c r="T2364" s="31" t="s">
        <v>28</v>
      </c>
      <c r="U2364" s="31">
        <v>1</v>
      </c>
      <c r="V2364" s="31" t="s">
        <v>29</v>
      </c>
      <c r="W2364" s="17">
        <f>(VLOOKUP(T2364,'[1]Simulation pricing per sub assy'!$D:$E,2,0))*U2364</f>
        <v>7</v>
      </c>
      <c r="X2364" s="32" t="s">
        <v>616</v>
      </c>
      <c r="Y2364" s="32">
        <v>1</v>
      </c>
      <c r="Z2364" s="32" t="s">
        <v>23</v>
      </c>
      <c r="AA2364" s="18">
        <f>(VLOOKUP(X2364,'[1]Simulation pricing per sub assy'!$D:$E,2,0))*Y2364</f>
        <v>4.4802908000000006</v>
      </c>
    </row>
    <row r="2365" spans="1:27" x14ac:dyDescent="0.35">
      <c r="A2365" s="27" t="s">
        <v>3944</v>
      </c>
      <c r="B2365" s="27" t="s">
        <v>4907</v>
      </c>
      <c r="C2365" s="42">
        <f t="shared" si="36"/>
        <v>285.18669080000001</v>
      </c>
      <c r="D2365" s="28" t="s">
        <v>3540</v>
      </c>
      <c r="E2365" s="28">
        <v>2</v>
      </c>
      <c r="F2365" s="28" t="s">
        <v>3541</v>
      </c>
      <c r="G2365" s="14">
        <f>(VLOOKUP(D2365,'[1]BOM Info General'!$A:$L,12,0))*E2365</f>
        <v>130.12</v>
      </c>
      <c r="H2365" s="29" t="s">
        <v>41</v>
      </c>
      <c r="I2365" s="29">
        <v>1</v>
      </c>
      <c r="J2365" s="29" t="s">
        <v>47</v>
      </c>
      <c r="K2365" s="15">
        <f>(VLOOKUP(H2365,'[1]BOM Info General'!$A:$L,12,0))*I2365</f>
        <v>27.18</v>
      </c>
      <c r="L2365" s="26" t="s">
        <v>87</v>
      </c>
      <c r="M2365" s="26">
        <v>1</v>
      </c>
      <c r="N2365" s="26" t="s">
        <v>84</v>
      </c>
      <c r="O2365" s="9">
        <f>(VLOOKUP(L2365,'[1]Simulation pricing per sub assy'!$D:$E,2,0))*M2365</f>
        <v>95.206400000000031</v>
      </c>
      <c r="P2365" s="30" t="s">
        <v>50</v>
      </c>
      <c r="Q2365" s="30">
        <v>8</v>
      </c>
      <c r="R2365" s="30" t="s">
        <v>16</v>
      </c>
      <c r="S2365" s="40">
        <f>(VLOOKUP(P2365,'[1]BOM Info General'!$A:$L,12,0))*Q2365</f>
        <v>21.2</v>
      </c>
      <c r="T2365" s="31" t="s">
        <v>28</v>
      </c>
      <c r="U2365" s="31">
        <v>1</v>
      </c>
      <c r="V2365" s="31" t="s">
        <v>29</v>
      </c>
      <c r="W2365" s="17">
        <f>(VLOOKUP(T2365,'[1]Simulation pricing per sub assy'!$D:$E,2,0))*U2365</f>
        <v>7</v>
      </c>
      <c r="X2365" s="32" t="s">
        <v>616</v>
      </c>
      <c r="Y2365" s="32">
        <v>1</v>
      </c>
      <c r="Z2365" s="32" t="s">
        <v>23</v>
      </c>
      <c r="AA2365" s="18">
        <f>(VLOOKUP(X2365,'[1]Simulation pricing per sub assy'!$D:$E,2,0))*Y2365</f>
        <v>4.4802908000000006</v>
      </c>
    </row>
    <row r="2366" spans="1:27" x14ac:dyDescent="0.35">
      <c r="A2366" s="27" t="s">
        <v>3945</v>
      </c>
      <c r="B2366" s="27" t="s">
        <v>4908</v>
      </c>
      <c r="C2366" s="42">
        <f t="shared" si="36"/>
        <v>293.14669079999999</v>
      </c>
      <c r="D2366" s="28" t="s">
        <v>3540</v>
      </c>
      <c r="E2366" s="28">
        <v>2</v>
      </c>
      <c r="F2366" s="28" t="s">
        <v>3541</v>
      </c>
      <c r="G2366" s="14">
        <f>(VLOOKUP(D2366,'[1]BOM Info General'!$A:$L,12,0))*E2366</f>
        <v>130.12</v>
      </c>
      <c r="H2366" s="29" t="s">
        <v>41</v>
      </c>
      <c r="I2366" s="29">
        <v>1</v>
      </c>
      <c r="J2366" s="29" t="s">
        <v>47</v>
      </c>
      <c r="K2366" s="15">
        <f>(VLOOKUP(H2366,'[1]BOM Info General'!$A:$L,12,0))*I2366</f>
        <v>27.18</v>
      </c>
      <c r="L2366" s="26" t="s">
        <v>83</v>
      </c>
      <c r="M2366" s="26">
        <v>1</v>
      </c>
      <c r="N2366" s="26" t="s">
        <v>86</v>
      </c>
      <c r="O2366" s="9">
        <f>(VLOOKUP(L2366,'[1]Simulation pricing per sub assy'!$D:$E,2,0))*M2366</f>
        <v>103.16640000000004</v>
      </c>
      <c r="P2366" s="30" t="s">
        <v>50</v>
      </c>
      <c r="Q2366" s="30">
        <v>8</v>
      </c>
      <c r="R2366" s="30" t="s">
        <v>16</v>
      </c>
      <c r="S2366" s="40">
        <f>(VLOOKUP(P2366,'[1]BOM Info General'!$A:$L,12,0))*Q2366</f>
        <v>21.2</v>
      </c>
      <c r="T2366" s="31" t="s">
        <v>28</v>
      </c>
      <c r="U2366" s="31">
        <v>1</v>
      </c>
      <c r="V2366" s="31" t="s">
        <v>29</v>
      </c>
      <c r="W2366" s="17">
        <f>(VLOOKUP(T2366,'[1]Simulation pricing per sub assy'!$D:$E,2,0))*U2366</f>
        <v>7</v>
      </c>
      <c r="X2366" s="32" t="s">
        <v>616</v>
      </c>
      <c r="Y2366" s="32">
        <v>1</v>
      </c>
      <c r="Z2366" s="32" t="s">
        <v>23</v>
      </c>
      <c r="AA2366" s="18">
        <f>(VLOOKUP(X2366,'[1]Simulation pricing per sub assy'!$D:$E,2,0))*Y2366</f>
        <v>4.4802908000000006</v>
      </c>
    </row>
    <row r="2367" spans="1:27" x14ac:dyDescent="0.35">
      <c r="A2367" s="27" t="s">
        <v>3946</v>
      </c>
      <c r="B2367" s="27" t="s">
        <v>4909</v>
      </c>
      <c r="C2367" s="42">
        <f t="shared" si="36"/>
        <v>284.07669079999999</v>
      </c>
      <c r="D2367" s="28" t="s">
        <v>3540</v>
      </c>
      <c r="E2367" s="28">
        <v>2</v>
      </c>
      <c r="F2367" s="28" t="s">
        <v>3541</v>
      </c>
      <c r="G2367" s="14">
        <f>(VLOOKUP(D2367,'[1]BOM Info General'!$A:$L,12,0))*E2367</f>
        <v>130.12</v>
      </c>
      <c r="H2367" s="29" t="s">
        <v>41</v>
      </c>
      <c r="I2367" s="29">
        <v>1</v>
      </c>
      <c r="J2367" s="29" t="s">
        <v>47</v>
      </c>
      <c r="K2367" s="15">
        <f>(VLOOKUP(H2367,'[1]BOM Info General'!$A:$L,12,0))*I2367</f>
        <v>27.18</v>
      </c>
      <c r="L2367" s="26" t="s">
        <v>528</v>
      </c>
      <c r="M2367" s="26">
        <v>1</v>
      </c>
      <c r="N2367" s="26" t="s">
        <v>88</v>
      </c>
      <c r="O2367" s="9">
        <f>(VLOOKUP(L2367,'[1]Simulation pricing per sub assy'!$D:$E,2,0))*M2367</f>
        <v>94.656400000000033</v>
      </c>
      <c r="P2367" s="30" t="s">
        <v>51</v>
      </c>
      <c r="Q2367" s="30">
        <v>8</v>
      </c>
      <c r="R2367" s="30" t="s">
        <v>17</v>
      </c>
      <c r="S2367" s="40">
        <f>(VLOOKUP(P2367,'[1]BOM Info General'!$A:$L,12,0))*Q2367</f>
        <v>21.2</v>
      </c>
      <c r="T2367" s="31" t="s">
        <v>24</v>
      </c>
      <c r="U2367" s="31">
        <v>1</v>
      </c>
      <c r="V2367" s="31" t="s">
        <v>25</v>
      </c>
      <c r="W2367" s="17">
        <f>(VLOOKUP(T2367,'[1]Simulation pricing per sub assy'!$D:$E,2,0))*U2367</f>
        <v>6.44</v>
      </c>
      <c r="X2367" s="32" t="s">
        <v>616</v>
      </c>
      <c r="Y2367" s="32">
        <v>1</v>
      </c>
      <c r="Z2367" s="32" t="s">
        <v>23</v>
      </c>
      <c r="AA2367" s="18">
        <f>(VLOOKUP(X2367,'[1]Simulation pricing per sub assy'!$D:$E,2,0))*Y2367</f>
        <v>4.4802908000000006</v>
      </c>
    </row>
    <row r="2368" spans="1:27" x14ac:dyDescent="0.35">
      <c r="A2368" s="27" t="s">
        <v>3947</v>
      </c>
      <c r="B2368" s="27" t="s">
        <v>4910</v>
      </c>
      <c r="C2368" s="42">
        <f t="shared" si="36"/>
        <v>285.17669080000002</v>
      </c>
      <c r="D2368" s="28" t="s">
        <v>3540</v>
      </c>
      <c r="E2368" s="28">
        <v>2</v>
      </c>
      <c r="F2368" s="28" t="s">
        <v>3541</v>
      </c>
      <c r="G2368" s="14">
        <f>(VLOOKUP(D2368,'[1]BOM Info General'!$A:$L,12,0))*E2368</f>
        <v>130.12</v>
      </c>
      <c r="H2368" s="29" t="s">
        <v>41</v>
      </c>
      <c r="I2368" s="29">
        <v>1</v>
      </c>
      <c r="J2368" s="29" t="s">
        <v>47</v>
      </c>
      <c r="K2368" s="15">
        <f>(VLOOKUP(H2368,'[1]BOM Info General'!$A:$L,12,0))*I2368</f>
        <v>27.18</v>
      </c>
      <c r="L2368" s="26" t="s">
        <v>85</v>
      </c>
      <c r="M2368" s="26">
        <v>1</v>
      </c>
      <c r="N2368" s="26" t="s">
        <v>82</v>
      </c>
      <c r="O2368" s="9">
        <f>(VLOOKUP(L2368,'[1]Simulation pricing per sub assy'!$D:$E,2,0))*M2368</f>
        <v>95.756400000000042</v>
      </c>
      <c r="P2368" s="30" t="s">
        <v>51</v>
      </c>
      <c r="Q2368" s="30">
        <v>8</v>
      </c>
      <c r="R2368" s="30" t="s">
        <v>17</v>
      </c>
      <c r="S2368" s="40">
        <f>(VLOOKUP(P2368,'[1]BOM Info General'!$A:$L,12,0))*Q2368</f>
        <v>21.2</v>
      </c>
      <c r="T2368" s="31" t="s">
        <v>24</v>
      </c>
      <c r="U2368" s="31">
        <v>1</v>
      </c>
      <c r="V2368" s="31" t="s">
        <v>25</v>
      </c>
      <c r="W2368" s="17">
        <f>(VLOOKUP(T2368,'[1]Simulation pricing per sub assy'!$D:$E,2,0))*U2368</f>
        <v>6.44</v>
      </c>
      <c r="X2368" s="32" t="s">
        <v>616</v>
      </c>
      <c r="Y2368" s="32">
        <v>1</v>
      </c>
      <c r="Z2368" s="32" t="s">
        <v>23</v>
      </c>
      <c r="AA2368" s="18">
        <f>(VLOOKUP(X2368,'[1]Simulation pricing per sub assy'!$D:$E,2,0))*Y2368</f>
        <v>4.4802908000000006</v>
      </c>
    </row>
    <row r="2369" spans="1:27" x14ac:dyDescent="0.35">
      <c r="A2369" s="27" t="s">
        <v>3948</v>
      </c>
      <c r="B2369" s="27" t="s">
        <v>4911</v>
      </c>
      <c r="C2369" s="42">
        <f t="shared" si="36"/>
        <v>285.17669080000002</v>
      </c>
      <c r="D2369" s="28" t="s">
        <v>3540</v>
      </c>
      <c r="E2369" s="28">
        <v>2</v>
      </c>
      <c r="F2369" s="28" t="s">
        <v>3541</v>
      </c>
      <c r="G2369" s="14">
        <f>(VLOOKUP(D2369,'[1]BOM Info General'!$A:$L,12,0))*E2369</f>
        <v>130.12</v>
      </c>
      <c r="H2369" s="29" t="s">
        <v>41</v>
      </c>
      <c r="I2369" s="29">
        <v>1</v>
      </c>
      <c r="J2369" s="29" t="s">
        <v>47</v>
      </c>
      <c r="K2369" s="15">
        <f>(VLOOKUP(H2369,'[1]BOM Info General'!$A:$L,12,0))*I2369</f>
        <v>27.18</v>
      </c>
      <c r="L2369" s="26" t="s">
        <v>81</v>
      </c>
      <c r="M2369" s="26">
        <v>1</v>
      </c>
      <c r="N2369" s="26" t="s">
        <v>80</v>
      </c>
      <c r="O2369" s="9">
        <f>(VLOOKUP(L2369,'[1]Simulation pricing per sub assy'!$D:$E,2,0))*M2369</f>
        <v>95.756400000000042</v>
      </c>
      <c r="P2369" s="30" t="s">
        <v>51</v>
      </c>
      <c r="Q2369" s="30">
        <v>8</v>
      </c>
      <c r="R2369" s="30" t="s">
        <v>17</v>
      </c>
      <c r="S2369" s="40">
        <f>(VLOOKUP(P2369,'[1]BOM Info General'!$A:$L,12,0))*Q2369</f>
        <v>21.2</v>
      </c>
      <c r="T2369" s="31" t="s">
        <v>24</v>
      </c>
      <c r="U2369" s="31">
        <v>1</v>
      </c>
      <c r="V2369" s="31" t="s">
        <v>25</v>
      </c>
      <c r="W2369" s="17">
        <f>(VLOOKUP(T2369,'[1]Simulation pricing per sub assy'!$D:$E,2,0))*U2369</f>
        <v>6.44</v>
      </c>
      <c r="X2369" s="32" t="s">
        <v>616</v>
      </c>
      <c r="Y2369" s="32">
        <v>1</v>
      </c>
      <c r="Z2369" s="32" t="s">
        <v>23</v>
      </c>
      <c r="AA2369" s="18">
        <f>(VLOOKUP(X2369,'[1]Simulation pricing per sub assy'!$D:$E,2,0))*Y2369</f>
        <v>4.4802908000000006</v>
      </c>
    </row>
    <row r="2370" spans="1:27" x14ac:dyDescent="0.35">
      <c r="A2370" s="27" t="s">
        <v>3949</v>
      </c>
      <c r="B2370" s="27" t="s">
        <v>4912</v>
      </c>
      <c r="C2370" s="42">
        <f t="shared" si="36"/>
        <v>284.62669080000001</v>
      </c>
      <c r="D2370" s="28" t="s">
        <v>3540</v>
      </c>
      <c r="E2370" s="28">
        <v>2</v>
      </c>
      <c r="F2370" s="28" t="s">
        <v>3541</v>
      </c>
      <c r="G2370" s="14">
        <f>(VLOOKUP(D2370,'[1]BOM Info General'!$A:$L,12,0))*E2370</f>
        <v>130.12</v>
      </c>
      <c r="H2370" s="29" t="s">
        <v>41</v>
      </c>
      <c r="I2370" s="29">
        <v>1</v>
      </c>
      <c r="J2370" s="29" t="s">
        <v>47</v>
      </c>
      <c r="K2370" s="15">
        <f>(VLOOKUP(H2370,'[1]BOM Info General'!$A:$L,12,0))*I2370</f>
        <v>27.18</v>
      </c>
      <c r="L2370" s="26" t="s">
        <v>87</v>
      </c>
      <c r="M2370" s="26">
        <v>1</v>
      </c>
      <c r="N2370" s="26" t="s">
        <v>84</v>
      </c>
      <c r="O2370" s="9">
        <f>(VLOOKUP(L2370,'[1]Simulation pricing per sub assy'!$D:$E,2,0))*M2370</f>
        <v>95.206400000000031</v>
      </c>
      <c r="P2370" s="30" t="s">
        <v>51</v>
      </c>
      <c r="Q2370" s="30">
        <v>8</v>
      </c>
      <c r="R2370" s="30" t="s">
        <v>17</v>
      </c>
      <c r="S2370" s="40">
        <f>(VLOOKUP(P2370,'[1]BOM Info General'!$A:$L,12,0))*Q2370</f>
        <v>21.2</v>
      </c>
      <c r="T2370" s="31" t="s">
        <v>24</v>
      </c>
      <c r="U2370" s="31">
        <v>1</v>
      </c>
      <c r="V2370" s="31" t="s">
        <v>25</v>
      </c>
      <c r="W2370" s="17">
        <f>(VLOOKUP(T2370,'[1]Simulation pricing per sub assy'!$D:$E,2,0))*U2370</f>
        <v>6.44</v>
      </c>
      <c r="X2370" s="32" t="s">
        <v>616</v>
      </c>
      <c r="Y2370" s="32">
        <v>1</v>
      </c>
      <c r="Z2370" s="32" t="s">
        <v>23</v>
      </c>
      <c r="AA2370" s="18">
        <f>(VLOOKUP(X2370,'[1]Simulation pricing per sub assy'!$D:$E,2,0))*Y2370</f>
        <v>4.4802908000000006</v>
      </c>
    </row>
    <row r="2371" spans="1:27" x14ac:dyDescent="0.35">
      <c r="A2371" s="27" t="s">
        <v>3950</v>
      </c>
      <c r="B2371" s="27" t="s">
        <v>4913</v>
      </c>
      <c r="C2371" s="42">
        <f t="shared" ref="C2371:C2401" si="37">SUM(G2371+K2371+O2371+S2371+W2371+AA2371)</f>
        <v>292.58669079999999</v>
      </c>
      <c r="D2371" s="28" t="s">
        <v>3540</v>
      </c>
      <c r="E2371" s="28">
        <v>2</v>
      </c>
      <c r="F2371" s="28" t="s">
        <v>3541</v>
      </c>
      <c r="G2371" s="14">
        <f>(VLOOKUP(D2371,'[1]BOM Info General'!$A:$L,12,0))*E2371</f>
        <v>130.12</v>
      </c>
      <c r="H2371" s="29" t="s">
        <v>41</v>
      </c>
      <c r="I2371" s="29">
        <v>1</v>
      </c>
      <c r="J2371" s="29" t="s">
        <v>47</v>
      </c>
      <c r="K2371" s="15">
        <f>(VLOOKUP(H2371,'[1]BOM Info General'!$A:$L,12,0))*I2371</f>
        <v>27.18</v>
      </c>
      <c r="L2371" s="26" t="s">
        <v>83</v>
      </c>
      <c r="M2371" s="26">
        <v>1</v>
      </c>
      <c r="N2371" s="26" t="s">
        <v>86</v>
      </c>
      <c r="O2371" s="9">
        <f>(VLOOKUP(L2371,'[1]Simulation pricing per sub assy'!$D:$E,2,0))*M2371</f>
        <v>103.16640000000004</v>
      </c>
      <c r="P2371" s="30" t="s">
        <v>51</v>
      </c>
      <c r="Q2371" s="30">
        <v>8</v>
      </c>
      <c r="R2371" s="30" t="s">
        <v>17</v>
      </c>
      <c r="S2371" s="40">
        <f>(VLOOKUP(P2371,'[1]BOM Info General'!$A:$L,12,0))*Q2371</f>
        <v>21.2</v>
      </c>
      <c r="T2371" s="31" t="s">
        <v>24</v>
      </c>
      <c r="U2371" s="31">
        <v>1</v>
      </c>
      <c r="V2371" s="31" t="s">
        <v>25</v>
      </c>
      <c r="W2371" s="17">
        <f>(VLOOKUP(T2371,'[1]Simulation pricing per sub assy'!$D:$E,2,0))*U2371</f>
        <v>6.44</v>
      </c>
      <c r="X2371" s="32" t="s">
        <v>616</v>
      </c>
      <c r="Y2371" s="32">
        <v>1</v>
      </c>
      <c r="Z2371" s="32" t="s">
        <v>23</v>
      </c>
      <c r="AA2371" s="18">
        <f>(VLOOKUP(X2371,'[1]Simulation pricing per sub assy'!$D:$E,2,0))*Y2371</f>
        <v>4.4802908000000006</v>
      </c>
    </row>
    <row r="2372" spans="1:27" x14ac:dyDescent="0.35">
      <c r="A2372" s="27" t="s">
        <v>3951</v>
      </c>
      <c r="B2372" s="27" t="s">
        <v>4914</v>
      </c>
      <c r="C2372" s="42">
        <f t="shared" si="37"/>
        <v>284.67669080000002</v>
      </c>
      <c r="D2372" s="28" t="s">
        <v>3540</v>
      </c>
      <c r="E2372" s="28">
        <v>2</v>
      </c>
      <c r="F2372" s="28" t="s">
        <v>3541</v>
      </c>
      <c r="G2372" s="14">
        <f>(VLOOKUP(D2372,'[1]BOM Info General'!$A:$L,12,0))*E2372</f>
        <v>130.12</v>
      </c>
      <c r="H2372" s="29" t="s">
        <v>41</v>
      </c>
      <c r="I2372" s="29">
        <v>1</v>
      </c>
      <c r="J2372" s="29" t="s">
        <v>47</v>
      </c>
      <c r="K2372" s="15">
        <f>(VLOOKUP(H2372,'[1]BOM Info General'!$A:$L,12,0))*I2372</f>
        <v>27.18</v>
      </c>
      <c r="L2372" s="26" t="s">
        <v>528</v>
      </c>
      <c r="M2372" s="26">
        <v>1</v>
      </c>
      <c r="N2372" s="26" t="s">
        <v>88</v>
      </c>
      <c r="O2372" s="9">
        <f>(VLOOKUP(L2372,'[1]Simulation pricing per sub assy'!$D:$E,2,0))*M2372</f>
        <v>94.656400000000033</v>
      </c>
      <c r="P2372" s="30" t="s">
        <v>51</v>
      </c>
      <c r="Q2372" s="30">
        <v>8</v>
      </c>
      <c r="R2372" s="30" t="s">
        <v>17</v>
      </c>
      <c r="S2372" s="40">
        <f>(VLOOKUP(P2372,'[1]BOM Info General'!$A:$L,12,0))*Q2372</f>
        <v>21.2</v>
      </c>
      <c r="T2372" s="31" t="s">
        <v>26</v>
      </c>
      <c r="U2372" s="31">
        <v>1</v>
      </c>
      <c r="V2372" s="31" t="s">
        <v>27</v>
      </c>
      <c r="W2372" s="17">
        <f>(VLOOKUP(T2372,'[1]Simulation pricing per sub assy'!$D:$E,2,0))*U2372</f>
        <v>7.04</v>
      </c>
      <c r="X2372" s="32" t="s">
        <v>616</v>
      </c>
      <c r="Y2372" s="32">
        <v>1</v>
      </c>
      <c r="Z2372" s="32" t="s">
        <v>23</v>
      </c>
      <c r="AA2372" s="18">
        <f>(VLOOKUP(X2372,'[1]Simulation pricing per sub assy'!$D:$E,2,0))*Y2372</f>
        <v>4.4802908000000006</v>
      </c>
    </row>
    <row r="2373" spans="1:27" x14ac:dyDescent="0.35">
      <c r="A2373" s="27" t="s">
        <v>3952</v>
      </c>
      <c r="B2373" s="27" t="s">
        <v>4915</v>
      </c>
      <c r="C2373" s="42">
        <f t="shared" si="37"/>
        <v>285.77669080000004</v>
      </c>
      <c r="D2373" s="28" t="s">
        <v>3540</v>
      </c>
      <c r="E2373" s="28">
        <v>2</v>
      </c>
      <c r="F2373" s="28" t="s">
        <v>3541</v>
      </c>
      <c r="G2373" s="14">
        <f>(VLOOKUP(D2373,'[1]BOM Info General'!$A:$L,12,0))*E2373</f>
        <v>130.12</v>
      </c>
      <c r="H2373" s="29" t="s">
        <v>41</v>
      </c>
      <c r="I2373" s="29">
        <v>1</v>
      </c>
      <c r="J2373" s="29" t="s">
        <v>47</v>
      </c>
      <c r="K2373" s="15">
        <f>(VLOOKUP(H2373,'[1]BOM Info General'!$A:$L,12,0))*I2373</f>
        <v>27.18</v>
      </c>
      <c r="L2373" s="26" t="s">
        <v>85</v>
      </c>
      <c r="M2373" s="26">
        <v>1</v>
      </c>
      <c r="N2373" s="26" t="s">
        <v>82</v>
      </c>
      <c r="O2373" s="9">
        <f>(VLOOKUP(L2373,'[1]Simulation pricing per sub assy'!$D:$E,2,0))*M2373</f>
        <v>95.756400000000042</v>
      </c>
      <c r="P2373" s="30" t="s">
        <v>51</v>
      </c>
      <c r="Q2373" s="30">
        <v>8</v>
      </c>
      <c r="R2373" s="30" t="s">
        <v>17</v>
      </c>
      <c r="S2373" s="40">
        <f>(VLOOKUP(P2373,'[1]BOM Info General'!$A:$L,12,0))*Q2373</f>
        <v>21.2</v>
      </c>
      <c r="T2373" s="31" t="s">
        <v>26</v>
      </c>
      <c r="U2373" s="31">
        <v>1</v>
      </c>
      <c r="V2373" s="31" t="s">
        <v>27</v>
      </c>
      <c r="W2373" s="17">
        <f>(VLOOKUP(T2373,'[1]Simulation pricing per sub assy'!$D:$E,2,0))*U2373</f>
        <v>7.04</v>
      </c>
      <c r="X2373" s="32" t="s">
        <v>616</v>
      </c>
      <c r="Y2373" s="32">
        <v>1</v>
      </c>
      <c r="Z2373" s="32" t="s">
        <v>23</v>
      </c>
      <c r="AA2373" s="18">
        <f>(VLOOKUP(X2373,'[1]Simulation pricing per sub assy'!$D:$E,2,0))*Y2373</f>
        <v>4.4802908000000006</v>
      </c>
    </row>
    <row r="2374" spans="1:27" x14ac:dyDescent="0.35">
      <c r="A2374" s="27" t="s">
        <v>3953</v>
      </c>
      <c r="B2374" s="27" t="s">
        <v>4916</v>
      </c>
      <c r="C2374" s="42">
        <f t="shared" si="37"/>
        <v>285.77669080000004</v>
      </c>
      <c r="D2374" s="28" t="s">
        <v>3540</v>
      </c>
      <c r="E2374" s="28">
        <v>2</v>
      </c>
      <c r="F2374" s="28" t="s">
        <v>3541</v>
      </c>
      <c r="G2374" s="14">
        <f>(VLOOKUP(D2374,'[1]BOM Info General'!$A:$L,12,0))*E2374</f>
        <v>130.12</v>
      </c>
      <c r="H2374" s="29" t="s">
        <v>41</v>
      </c>
      <c r="I2374" s="29">
        <v>1</v>
      </c>
      <c r="J2374" s="29" t="s">
        <v>47</v>
      </c>
      <c r="K2374" s="15">
        <f>(VLOOKUP(H2374,'[1]BOM Info General'!$A:$L,12,0))*I2374</f>
        <v>27.18</v>
      </c>
      <c r="L2374" s="26" t="s">
        <v>81</v>
      </c>
      <c r="M2374" s="26">
        <v>1</v>
      </c>
      <c r="N2374" s="26" t="s">
        <v>80</v>
      </c>
      <c r="O2374" s="9">
        <f>(VLOOKUP(L2374,'[1]Simulation pricing per sub assy'!$D:$E,2,0))*M2374</f>
        <v>95.756400000000042</v>
      </c>
      <c r="P2374" s="30" t="s">
        <v>51</v>
      </c>
      <c r="Q2374" s="30">
        <v>8</v>
      </c>
      <c r="R2374" s="30" t="s">
        <v>17</v>
      </c>
      <c r="S2374" s="40">
        <f>(VLOOKUP(P2374,'[1]BOM Info General'!$A:$L,12,0))*Q2374</f>
        <v>21.2</v>
      </c>
      <c r="T2374" s="31" t="s">
        <v>26</v>
      </c>
      <c r="U2374" s="31">
        <v>1</v>
      </c>
      <c r="V2374" s="31" t="s">
        <v>27</v>
      </c>
      <c r="W2374" s="17">
        <f>(VLOOKUP(T2374,'[1]Simulation pricing per sub assy'!$D:$E,2,0))*U2374</f>
        <v>7.04</v>
      </c>
      <c r="X2374" s="32" t="s">
        <v>616</v>
      </c>
      <c r="Y2374" s="32">
        <v>1</v>
      </c>
      <c r="Z2374" s="32" t="s">
        <v>23</v>
      </c>
      <c r="AA2374" s="18">
        <f>(VLOOKUP(X2374,'[1]Simulation pricing per sub assy'!$D:$E,2,0))*Y2374</f>
        <v>4.4802908000000006</v>
      </c>
    </row>
    <row r="2375" spans="1:27" x14ac:dyDescent="0.35">
      <c r="A2375" s="27" t="s">
        <v>3954</v>
      </c>
      <c r="B2375" s="27" t="s">
        <v>4917</v>
      </c>
      <c r="C2375" s="42">
        <f t="shared" si="37"/>
        <v>285.22669080000003</v>
      </c>
      <c r="D2375" s="28" t="s">
        <v>3540</v>
      </c>
      <c r="E2375" s="28">
        <v>2</v>
      </c>
      <c r="F2375" s="28" t="s">
        <v>3541</v>
      </c>
      <c r="G2375" s="14">
        <f>(VLOOKUP(D2375,'[1]BOM Info General'!$A:$L,12,0))*E2375</f>
        <v>130.12</v>
      </c>
      <c r="H2375" s="29" t="s">
        <v>41</v>
      </c>
      <c r="I2375" s="29">
        <v>1</v>
      </c>
      <c r="J2375" s="29" t="s">
        <v>47</v>
      </c>
      <c r="K2375" s="15">
        <f>(VLOOKUP(H2375,'[1]BOM Info General'!$A:$L,12,0))*I2375</f>
        <v>27.18</v>
      </c>
      <c r="L2375" s="26" t="s">
        <v>87</v>
      </c>
      <c r="M2375" s="26">
        <v>1</v>
      </c>
      <c r="N2375" s="26" t="s">
        <v>84</v>
      </c>
      <c r="O2375" s="9">
        <f>(VLOOKUP(L2375,'[1]Simulation pricing per sub assy'!$D:$E,2,0))*M2375</f>
        <v>95.206400000000031</v>
      </c>
      <c r="P2375" s="30" t="s">
        <v>51</v>
      </c>
      <c r="Q2375" s="30">
        <v>8</v>
      </c>
      <c r="R2375" s="30" t="s">
        <v>17</v>
      </c>
      <c r="S2375" s="40">
        <f>(VLOOKUP(P2375,'[1]BOM Info General'!$A:$L,12,0))*Q2375</f>
        <v>21.2</v>
      </c>
      <c r="T2375" s="31" t="s">
        <v>26</v>
      </c>
      <c r="U2375" s="31">
        <v>1</v>
      </c>
      <c r="V2375" s="31" t="s">
        <v>27</v>
      </c>
      <c r="W2375" s="17">
        <f>(VLOOKUP(T2375,'[1]Simulation pricing per sub assy'!$D:$E,2,0))*U2375</f>
        <v>7.04</v>
      </c>
      <c r="X2375" s="32" t="s">
        <v>616</v>
      </c>
      <c r="Y2375" s="32">
        <v>1</v>
      </c>
      <c r="Z2375" s="32" t="s">
        <v>23</v>
      </c>
      <c r="AA2375" s="18">
        <f>(VLOOKUP(X2375,'[1]Simulation pricing per sub assy'!$D:$E,2,0))*Y2375</f>
        <v>4.4802908000000006</v>
      </c>
    </row>
    <row r="2376" spans="1:27" x14ac:dyDescent="0.35">
      <c r="A2376" s="27" t="s">
        <v>3955</v>
      </c>
      <c r="B2376" s="27" t="s">
        <v>4918</v>
      </c>
      <c r="C2376" s="42">
        <f t="shared" si="37"/>
        <v>293.18669080000001</v>
      </c>
      <c r="D2376" s="28" t="s">
        <v>3540</v>
      </c>
      <c r="E2376" s="28">
        <v>2</v>
      </c>
      <c r="F2376" s="28" t="s">
        <v>3541</v>
      </c>
      <c r="G2376" s="14">
        <f>(VLOOKUP(D2376,'[1]BOM Info General'!$A:$L,12,0))*E2376</f>
        <v>130.12</v>
      </c>
      <c r="H2376" s="29" t="s">
        <v>41</v>
      </c>
      <c r="I2376" s="29">
        <v>1</v>
      </c>
      <c r="J2376" s="29" t="s">
        <v>47</v>
      </c>
      <c r="K2376" s="15">
        <f>(VLOOKUP(H2376,'[1]BOM Info General'!$A:$L,12,0))*I2376</f>
        <v>27.18</v>
      </c>
      <c r="L2376" s="26" t="s">
        <v>83</v>
      </c>
      <c r="M2376" s="26">
        <v>1</v>
      </c>
      <c r="N2376" s="26" t="s">
        <v>86</v>
      </c>
      <c r="O2376" s="9">
        <f>(VLOOKUP(L2376,'[1]Simulation pricing per sub assy'!$D:$E,2,0))*M2376</f>
        <v>103.16640000000004</v>
      </c>
      <c r="P2376" s="30" t="s">
        <v>51</v>
      </c>
      <c r="Q2376" s="30">
        <v>8</v>
      </c>
      <c r="R2376" s="30" t="s">
        <v>17</v>
      </c>
      <c r="S2376" s="40">
        <f>(VLOOKUP(P2376,'[1]BOM Info General'!$A:$L,12,0))*Q2376</f>
        <v>21.2</v>
      </c>
      <c r="T2376" s="31" t="s">
        <v>26</v>
      </c>
      <c r="U2376" s="31">
        <v>1</v>
      </c>
      <c r="V2376" s="31" t="s">
        <v>27</v>
      </c>
      <c r="W2376" s="17">
        <f>(VLOOKUP(T2376,'[1]Simulation pricing per sub assy'!$D:$E,2,0))*U2376</f>
        <v>7.04</v>
      </c>
      <c r="X2376" s="32" t="s">
        <v>616</v>
      </c>
      <c r="Y2376" s="32">
        <v>1</v>
      </c>
      <c r="Z2376" s="32" t="s">
        <v>23</v>
      </c>
      <c r="AA2376" s="18">
        <f>(VLOOKUP(X2376,'[1]Simulation pricing per sub assy'!$D:$E,2,0))*Y2376</f>
        <v>4.4802908000000006</v>
      </c>
    </row>
    <row r="2377" spans="1:27" x14ac:dyDescent="0.35">
      <c r="A2377" s="27" t="s">
        <v>3956</v>
      </c>
      <c r="B2377" s="27" t="s">
        <v>4919</v>
      </c>
      <c r="C2377" s="42">
        <f t="shared" si="37"/>
        <v>284.6366908</v>
      </c>
      <c r="D2377" s="28" t="s">
        <v>3540</v>
      </c>
      <c r="E2377" s="28">
        <v>2</v>
      </c>
      <c r="F2377" s="28" t="s">
        <v>3541</v>
      </c>
      <c r="G2377" s="14">
        <f>(VLOOKUP(D2377,'[1]BOM Info General'!$A:$L,12,0))*E2377</f>
        <v>130.12</v>
      </c>
      <c r="H2377" s="29" t="s">
        <v>41</v>
      </c>
      <c r="I2377" s="29">
        <v>1</v>
      </c>
      <c r="J2377" s="29" t="s">
        <v>47</v>
      </c>
      <c r="K2377" s="15">
        <f>(VLOOKUP(H2377,'[1]BOM Info General'!$A:$L,12,0))*I2377</f>
        <v>27.18</v>
      </c>
      <c r="L2377" s="26" t="s">
        <v>528</v>
      </c>
      <c r="M2377" s="26">
        <v>1</v>
      </c>
      <c r="N2377" s="26" t="s">
        <v>88</v>
      </c>
      <c r="O2377" s="9">
        <f>(VLOOKUP(L2377,'[1]Simulation pricing per sub assy'!$D:$E,2,0))*M2377</f>
        <v>94.656400000000033</v>
      </c>
      <c r="P2377" s="30" t="s">
        <v>51</v>
      </c>
      <c r="Q2377" s="30">
        <v>8</v>
      </c>
      <c r="R2377" s="30" t="s">
        <v>17</v>
      </c>
      <c r="S2377" s="40">
        <f>(VLOOKUP(P2377,'[1]BOM Info General'!$A:$L,12,0))*Q2377</f>
        <v>21.2</v>
      </c>
      <c r="T2377" s="31" t="s">
        <v>28</v>
      </c>
      <c r="U2377" s="31">
        <v>1</v>
      </c>
      <c r="V2377" s="31" t="s">
        <v>29</v>
      </c>
      <c r="W2377" s="17">
        <f>(VLOOKUP(T2377,'[1]Simulation pricing per sub assy'!$D:$E,2,0))*U2377</f>
        <v>7</v>
      </c>
      <c r="X2377" s="32" t="s">
        <v>616</v>
      </c>
      <c r="Y2377" s="32">
        <v>1</v>
      </c>
      <c r="Z2377" s="32" t="s">
        <v>23</v>
      </c>
      <c r="AA2377" s="18">
        <f>(VLOOKUP(X2377,'[1]Simulation pricing per sub assy'!$D:$E,2,0))*Y2377</f>
        <v>4.4802908000000006</v>
      </c>
    </row>
    <row r="2378" spans="1:27" x14ac:dyDescent="0.35">
      <c r="A2378" s="27" t="s">
        <v>3957</v>
      </c>
      <c r="B2378" s="27" t="s">
        <v>4920</v>
      </c>
      <c r="C2378" s="42">
        <f t="shared" si="37"/>
        <v>285.73669080000002</v>
      </c>
      <c r="D2378" s="28" t="s">
        <v>3540</v>
      </c>
      <c r="E2378" s="28">
        <v>2</v>
      </c>
      <c r="F2378" s="28" t="s">
        <v>3541</v>
      </c>
      <c r="G2378" s="14">
        <f>(VLOOKUP(D2378,'[1]BOM Info General'!$A:$L,12,0))*E2378</f>
        <v>130.12</v>
      </c>
      <c r="H2378" s="29" t="s">
        <v>41</v>
      </c>
      <c r="I2378" s="29">
        <v>1</v>
      </c>
      <c r="J2378" s="29" t="s">
        <v>47</v>
      </c>
      <c r="K2378" s="15">
        <f>(VLOOKUP(H2378,'[1]BOM Info General'!$A:$L,12,0))*I2378</f>
        <v>27.18</v>
      </c>
      <c r="L2378" s="26" t="s">
        <v>85</v>
      </c>
      <c r="M2378" s="26">
        <v>1</v>
      </c>
      <c r="N2378" s="26" t="s">
        <v>82</v>
      </c>
      <c r="O2378" s="9">
        <f>(VLOOKUP(L2378,'[1]Simulation pricing per sub assy'!$D:$E,2,0))*M2378</f>
        <v>95.756400000000042</v>
      </c>
      <c r="P2378" s="30" t="s">
        <v>51</v>
      </c>
      <c r="Q2378" s="30">
        <v>8</v>
      </c>
      <c r="R2378" s="30" t="s">
        <v>17</v>
      </c>
      <c r="S2378" s="40">
        <f>(VLOOKUP(P2378,'[1]BOM Info General'!$A:$L,12,0))*Q2378</f>
        <v>21.2</v>
      </c>
      <c r="T2378" s="31" t="s">
        <v>28</v>
      </c>
      <c r="U2378" s="31">
        <v>1</v>
      </c>
      <c r="V2378" s="31" t="s">
        <v>29</v>
      </c>
      <c r="W2378" s="17">
        <f>(VLOOKUP(T2378,'[1]Simulation pricing per sub assy'!$D:$E,2,0))*U2378</f>
        <v>7</v>
      </c>
      <c r="X2378" s="32" t="s">
        <v>616</v>
      </c>
      <c r="Y2378" s="32">
        <v>1</v>
      </c>
      <c r="Z2378" s="32" t="s">
        <v>23</v>
      </c>
      <c r="AA2378" s="18">
        <f>(VLOOKUP(X2378,'[1]Simulation pricing per sub assy'!$D:$E,2,0))*Y2378</f>
        <v>4.4802908000000006</v>
      </c>
    </row>
    <row r="2379" spans="1:27" x14ac:dyDescent="0.35">
      <c r="A2379" s="27" t="s">
        <v>3958</v>
      </c>
      <c r="B2379" s="27" t="s">
        <v>4921</v>
      </c>
      <c r="C2379" s="42">
        <f t="shared" si="37"/>
        <v>285.73669080000002</v>
      </c>
      <c r="D2379" s="28" t="s">
        <v>3540</v>
      </c>
      <c r="E2379" s="28">
        <v>2</v>
      </c>
      <c r="F2379" s="28" t="s">
        <v>3541</v>
      </c>
      <c r="G2379" s="14">
        <f>(VLOOKUP(D2379,'[1]BOM Info General'!$A:$L,12,0))*E2379</f>
        <v>130.12</v>
      </c>
      <c r="H2379" s="29" t="s">
        <v>41</v>
      </c>
      <c r="I2379" s="29">
        <v>1</v>
      </c>
      <c r="J2379" s="29" t="s">
        <v>47</v>
      </c>
      <c r="K2379" s="15">
        <f>(VLOOKUP(H2379,'[1]BOM Info General'!$A:$L,12,0))*I2379</f>
        <v>27.18</v>
      </c>
      <c r="L2379" s="26" t="s">
        <v>81</v>
      </c>
      <c r="M2379" s="26">
        <v>1</v>
      </c>
      <c r="N2379" s="26" t="s">
        <v>80</v>
      </c>
      <c r="O2379" s="9">
        <f>(VLOOKUP(L2379,'[1]Simulation pricing per sub assy'!$D:$E,2,0))*M2379</f>
        <v>95.756400000000042</v>
      </c>
      <c r="P2379" s="30" t="s">
        <v>51</v>
      </c>
      <c r="Q2379" s="30">
        <v>8</v>
      </c>
      <c r="R2379" s="30" t="s">
        <v>17</v>
      </c>
      <c r="S2379" s="40">
        <f>(VLOOKUP(P2379,'[1]BOM Info General'!$A:$L,12,0))*Q2379</f>
        <v>21.2</v>
      </c>
      <c r="T2379" s="31" t="s">
        <v>28</v>
      </c>
      <c r="U2379" s="31">
        <v>1</v>
      </c>
      <c r="V2379" s="31" t="s">
        <v>29</v>
      </c>
      <c r="W2379" s="17">
        <f>(VLOOKUP(T2379,'[1]Simulation pricing per sub assy'!$D:$E,2,0))*U2379</f>
        <v>7</v>
      </c>
      <c r="X2379" s="32" t="s">
        <v>616</v>
      </c>
      <c r="Y2379" s="32">
        <v>1</v>
      </c>
      <c r="Z2379" s="32" t="s">
        <v>23</v>
      </c>
      <c r="AA2379" s="18">
        <f>(VLOOKUP(X2379,'[1]Simulation pricing per sub assy'!$D:$E,2,0))*Y2379</f>
        <v>4.4802908000000006</v>
      </c>
    </row>
    <row r="2380" spans="1:27" x14ac:dyDescent="0.35">
      <c r="A2380" s="27" t="s">
        <v>3959</v>
      </c>
      <c r="B2380" s="27" t="s">
        <v>4922</v>
      </c>
      <c r="C2380" s="42">
        <f t="shared" si="37"/>
        <v>285.18669080000001</v>
      </c>
      <c r="D2380" s="28" t="s">
        <v>3540</v>
      </c>
      <c r="E2380" s="28">
        <v>2</v>
      </c>
      <c r="F2380" s="28" t="s">
        <v>3541</v>
      </c>
      <c r="G2380" s="14">
        <f>(VLOOKUP(D2380,'[1]BOM Info General'!$A:$L,12,0))*E2380</f>
        <v>130.12</v>
      </c>
      <c r="H2380" s="29" t="s">
        <v>41</v>
      </c>
      <c r="I2380" s="29">
        <v>1</v>
      </c>
      <c r="J2380" s="29" t="s">
        <v>47</v>
      </c>
      <c r="K2380" s="15">
        <f>(VLOOKUP(H2380,'[1]BOM Info General'!$A:$L,12,0))*I2380</f>
        <v>27.18</v>
      </c>
      <c r="L2380" s="26" t="s">
        <v>87</v>
      </c>
      <c r="M2380" s="26">
        <v>1</v>
      </c>
      <c r="N2380" s="26" t="s">
        <v>84</v>
      </c>
      <c r="O2380" s="9">
        <f>(VLOOKUP(L2380,'[1]Simulation pricing per sub assy'!$D:$E,2,0))*M2380</f>
        <v>95.206400000000031</v>
      </c>
      <c r="P2380" s="30" t="s">
        <v>51</v>
      </c>
      <c r="Q2380" s="30">
        <v>8</v>
      </c>
      <c r="R2380" s="30" t="s">
        <v>17</v>
      </c>
      <c r="S2380" s="40">
        <f>(VLOOKUP(P2380,'[1]BOM Info General'!$A:$L,12,0))*Q2380</f>
        <v>21.2</v>
      </c>
      <c r="T2380" s="31" t="s">
        <v>28</v>
      </c>
      <c r="U2380" s="31">
        <v>1</v>
      </c>
      <c r="V2380" s="31" t="s">
        <v>29</v>
      </c>
      <c r="W2380" s="17">
        <f>(VLOOKUP(T2380,'[1]Simulation pricing per sub assy'!$D:$E,2,0))*U2380</f>
        <v>7</v>
      </c>
      <c r="X2380" s="32" t="s">
        <v>616</v>
      </c>
      <c r="Y2380" s="32">
        <v>1</v>
      </c>
      <c r="Z2380" s="32" t="s">
        <v>23</v>
      </c>
      <c r="AA2380" s="18">
        <f>(VLOOKUP(X2380,'[1]Simulation pricing per sub assy'!$D:$E,2,0))*Y2380</f>
        <v>4.4802908000000006</v>
      </c>
    </row>
    <row r="2381" spans="1:27" x14ac:dyDescent="0.35">
      <c r="A2381" s="27" t="s">
        <v>3960</v>
      </c>
      <c r="B2381" s="27" t="s">
        <v>4923</v>
      </c>
      <c r="C2381" s="42">
        <f t="shared" si="37"/>
        <v>293.14669079999999</v>
      </c>
      <c r="D2381" s="28" t="s">
        <v>3540</v>
      </c>
      <c r="E2381" s="28">
        <v>2</v>
      </c>
      <c r="F2381" s="28" t="s">
        <v>3541</v>
      </c>
      <c r="G2381" s="14">
        <f>(VLOOKUP(D2381,'[1]BOM Info General'!$A:$L,12,0))*E2381</f>
        <v>130.12</v>
      </c>
      <c r="H2381" s="29" t="s">
        <v>41</v>
      </c>
      <c r="I2381" s="29">
        <v>1</v>
      </c>
      <c r="J2381" s="29" t="s">
        <v>47</v>
      </c>
      <c r="K2381" s="15">
        <f>(VLOOKUP(H2381,'[1]BOM Info General'!$A:$L,12,0))*I2381</f>
        <v>27.18</v>
      </c>
      <c r="L2381" s="26" t="s">
        <v>83</v>
      </c>
      <c r="M2381" s="26">
        <v>1</v>
      </c>
      <c r="N2381" s="26" t="s">
        <v>86</v>
      </c>
      <c r="O2381" s="9">
        <f>(VLOOKUP(L2381,'[1]Simulation pricing per sub assy'!$D:$E,2,0))*M2381</f>
        <v>103.16640000000004</v>
      </c>
      <c r="P2381" s="30" t="s">
        <v>51</v>
      </c>
      <c r="Q2381" s="30">
        <v>8</v>
      </c>
      <c r="R2381" s="30" t="s">
        <v>17</v>
      </c>
      <c r="S2381" s="40">
        <f>(VLOOKUP(P2381,'[1]BOM Info General'!$A:$L,12,0))*Q2381</f>
        <v>21.2</v>
      </c>
      <c r="T2381" s="31" t="s">
        <v>28</v>
      </c>
      <c r="U2381" s="31">
        <v>1</v>
      </c>
      <c r="V2381" s="31" t="s">
        <v>29</v>
      </c>
      <c r="W2381" s="17">
        <f>(VLOOKUP(T2381,'[1]Simulation pricing per sub assy'!$D:$E,2,0))*U2381</f>
        <v>7</v>
      </c>
      <c r="X2381" s="32" t="s">
        <v>616</v>
      </c>
      <c r="Y2381" s="32">
        <v>1</v>
      </c>
      <c r="Z2381" s="32" t="s">
        <v>23</v>
      </c>
      <c r="AA2381" s="18">
        <f>(VLOOKUP(X2381,'[1]Simulation pricing per sub assy'!$D:$E,2,0))*Y2381</f>
        <v>4.4802908000000006</v>
      </c>
    </row>
    <row r="2382" spans="1:27" x14ac:dyDescent="0.35">
      <c r="A2382" s="27" t="s">
        <v>3961</v>
      </c>
      <c r="B2382" s="27" t="s">
        <v>4924</v>
      </c>
      <c r="C2382" s="42">
        <f t="shared" si="37"/>
        <v>284.07669079999999</v>
      </c>
      <c r="D2382" s="28" t="s">
        <v>3540</v>
      </c>
      <c r="E2382" s="28">
        <v>2</v>
      </c>
      <c r="F2382" s="28" t="s">
        <v>3541</v>
      </c>
      <c r="G2382" s="14">
        <f>(VLOOKUP(D2382,'[1]BOM Info General'!$A:$L,12,0))*E2382</f>
        <v>130.12</v>
      </c>
      <c r="H2382" s="29" t="s">
        <v>41</v>
      </c>
      <c r="I2382" s="29">
        <v>1</v>
      </c>
      <c r="J2382" s="29" t="s">
        <v>47</v>
      </c>
      <c r="K2382" s="15">
        <f>(VLOOKUP(H2382,'[1]BOM Info General'!$A:$L,12,0))*I2382</f>
        <v>27.18</v>
      </c>
      <c r="L2382" s="26" t="s">
        <v>528</v>
      </c>
      <c r="M2382" s="26">
        <v>1</v>
      </c>
      <c r="N2382" s="26" t="s">
        <v>88</v>
      </c>
      <c r="O2382" s="9">
        <f>(VLOOKUP(L2382,'[1]Simulation pricing per sub assy'!$D:$E,2,0))*M2382</f>
        <v>94.656400000000033</v>
      </c>
      <c r="P2382" s="30" t="s">
        <v>52</v>
      </c>
      <c r="Q2382" s="30">
        <v>8</v>
      </c>
      <c r="R2382" s="30" t="s">
        <v>18</v>
      </c>
      <c r="S2382" s="40">
        <f>(VLOOKUP(P2382,'[1]BOM Info General'!$A:$L,12,0))*Q2382</f>
        <v>21.2</v>
      </c>
      <c r="T2382" s="31" t="s">
        <v>24</v>
      </c>
      <c r="U2382" s="31">
        <v>1</v>
      </c>
      <c r="V2382" s="31" t="s">
        <v>25</v>
      </c>
      <c r="W2382" s="17">
        <f>(VLOOKUP(T2382,'[1]Simulation pricing per sub assy'!$D:$E,2,0))*U2382</f>
        <v>6.44</v>
      </c>
      <c r="X2382" s="32" t="s">
        <v>616</v>
      </c>
      <c r="Y2382" s="32">
        <v>1</v>
      </c>
      <c r="Z2382" s="32" t="s">
        <v>23</v>
      </c>
      <c r="AA2382" s="18">
        <f>(VLOOKUP(X2382,'[1]Simulation pricing per sub assy'!$D:$E,2,0))*Y2382</f>
        <v>4.4802908000000006</v>
      </c>
    </row>
    <row r="2383" spans="1:27" x14ac:dyDescent="0.35">
      <c r="A2383" s="27" t="s">
        <v>3962</v>
      </c>
      <c r="B2383" s="27" t="s">
        <v>4925</v>
      </c>
      <c r="C2383" s="42">
        <f t="shared" si="37"/>
        <v>285.17669080000002</v>
      </c>
      <c r="D2383" s="28" t="s">
        <v>3540</v>
      </c>
      <c r="E2383" s="28">
        <v>2</v>
      </c>
      <c r="F2383" s="28" t="s">
        <v>3541</v>
      </c>
      <c r="G2383" s="14">
        <f>(VLOOKUP(D2383,'[1]BOM Info General'!$A:$L,12,0))*E2383</f>
        <v>130.12</v>
      </c>
      <c r="H2383" s="29" t="s">
        <v>41</v>
      </c>
      <c r="I2383" s="29">
        <v>1</v>
      </c>
      <c r="J2383" s="29" t="s">
        <v>47</v>
      </c>
      <c r="K2383" s="15">
        <f>(VLOOKUP(H2383,'[1]BOM Info General'!$A:$L,12,0))*I2383</f>
        <v>27.18</v>
      </c>
      <c r="L2383" s="26" t="s">
        <v>85</v>
      </c>
      <c r="M2383" s="26">
        <v>1</v>
      </c>
      <c r="N2383" s="26" t="s">
        <v>82</v>
      </c>
      <c r="O2383" s="9">
        <f>(VLOOKUP(L2383,'[1]Simulation pricing per sub assy'!$D:$E,2,0))*M2383</f>
        <v>95.756400000000042</v>
      </c>
      <c r="P2383" s="30" t="s">
        <v>52</v>
      </c>
      <c r="Q2383" s="30">
        <v>8</v>
      </c>
      <c r="R2383" s="30" t="s">
        <v>18</v>
      </c>
      <c r="S2383" s="40">
        <f>(VLOOKUP(P2383,'[1]BOM Info General'!$A:$L,12,0))*Q2383</f>
        <v>21.2</v>
      </c>
      <c r="T2383" s="31" t="s">
        <v>24</v>
      </c>
      <c r="U2383" s="31">
        <v>1</v>
      </c>
      <c r="V2383" s="31" t="s">
        <v>25</v>
      </c>
      <c r="W2383" s="17">
        <f>(VLOOKUP(T2383,'[1]Simulation pricing per sub assy'!$D:$E,2,0))*U2383</f>
        <v>6.44</v>
      </c>
      <c r="X2383" s="32" t="s">
        <v>616</v>
      </c>
      <c r="Y2383" s="32">
        <v>1</v>
      </c>
      <c r="Z2383" s="32" t="s">
        <v>23</v>
      </c>
      <c r="AA2383" s="18">
        <f>(VLOOKUP(X2383,'[1]Simulation pricing per sub assy'!$D:$E,2,0))*Y2383</f>
        <v>4.4802908000000006</v>
      </c>
    </row>
    <row r="2384" spans="1:27" x14ac:dyDescent="0.35">
      <c r="A2384" s="27" t="s">
        <v>3963</v>
      </c>
      <c r="B2384" s="27" t="s">
        <v>4926</v>
      </c>
      <c r="C2384" s="42">
        <f t="shared" si="37"/>
        <v>285.17669080000002</v>
      </c>
      <c r="D2384" s="28" t="s">
        <v>3540</v>
      </c>
      <c r="E2384" s="28">
        <v>2</v>
      </c>
      <c r="F2384" s="28" t="s">
        <v>3541</v>
      </c>
      <c r="G2384" s="14">
        <f>(VLOOKUP(D2384,'[1]BOM Info General'!$A:$L,12,0))*E2384</f>
        <v>130.12</v>
      </c>
      <c r="H2384" s="29" t="s">
        <v>41</v>
      </c>
      <c r="I2384" s="29">
        <v>1</v>
      </c>
      <c r="J2384" s="29" t="s">
        <v>47</v>
      </c>
      <c r="K2384" s="15">
        <f>(VLOOKUP(H2384,'[1]BOM Info General'!$A:$L,12,0))*I2384</f>
        <v>27.18</v>
      </c>
      <c r="L2384" s="26" t="s">
        <v>81</v>
      </c>
      <c r="M2384" s="26">
        <v>1</v>
      </c>
      <c r="N2384" s="26" t="s">
        <v>80</v>
      </c>
      <c r="O2384" s="9">
        <f>(VLOOKUP(L2384,'[1]Simulation pricing per sub assy'!$D:$E,2,0))*M2384</f>
        <v>95.756400000000042</v>
      </c>
      <c r="P2384" s="30" t="s">
        <v>52</v>
      </c>
      <c r="Q2384" s="30">
        <v>8</v>
      </c>
      <c r="R2384" s="30" t="s">
        <v>18</v>
      </c>
      <c r="S2384" s="40">
        <f>(VLOOKUP(P2384,'[1]BOM Info General'!$A:$L,12,0))*Q2384</f>
        <v>21.2</v>
      </c>
      <c r="T2384" s="31" t="s">
        <v>24</v>
      </c>
      <c r="U2384" s="31">
        <v>1</v>
      </c>
      <c r="V2384" s="31" t="s">
        <v>25</v>
      </c>
      <c r="W2384" s="17">
        <f>(VLOOKUP(T2384,'[1]Simulation pricing per sub assy'!$D:$E,2,0))*U2384</f>
        <v>6.44</v>
      </c>
      <c r="X2384" s="32" t="s">
        <v>616</v>
      </c>
      <c r="Y2384" s="32">
        <v>1</v>
      </c>
      <c r="Z2384" s="32" t="s">
        <v>23</v>
      </c>
      <c r="AA2384" s="18">
        <f>(VLOOKUP(X2384,'[1]Simulation pricing per sub assy'!$D:$E,2,0))*Y2384</f>
        <v>4.4802908000000006</v>
      </c>
    </row>
    <row r="2385" spans="1:27" x14ac:dyDescent="0.35">
      <c r="A2385" s="27" t="s">
        <v>3964</v>
      </c>
      <c r="B2385" s="27" t="s">
        <v>4927</v>
      </c>
      <c r="C2385" s="42">
        <f t="shared" si="37"/>
        <v>284.62669080000001</v>
      </c>
      <c r="D2385" s="28" t="s">
        <v>3540</v>
      </c>
      <c r="E2385" s="28">
        <v>2</v>
      </c>
      <c r="F2385" s="28" t="s">
        <v>3541</v>
      </c>
      <c r="G2385" s="14">
        <f>(VLOOKUP(D2385,'[1]BOM Info General'!$A:$L,12,0))*E2385</f>
        <v>130.12</v>
      </c>
      <c r="H2385" s="29" t="s">
        <v>41</v>
      </c>
      <c r="I2385" s="29">
        <v>1</v>
      </c>
      <c r="J2385" s="29" t="s">
        <v>47</v>
      </c>
      <c r="K2385" s="15">
        <f>(VLOOKUP(H2385,'[1]BOM Info General'!$A:$L,12,0))*I2385</f>
        <v>27.18</v>
      </c>
      <c r="L2385" s="26" t="s">
        <v>87</v>
      </c>
      <c r="M2385" s="26">
        <v>1</v>
      </c>
      <c r="N2385" s="26" t="s">
        <v>84</v>
      </c>
      <c r="O2385" s="9">
        <f>(VLOOKUP(L2385,'[1]Simulation pricing per sub assy'!$D:$E,2,0))*M2385</f>
        <v>95.206400000000031</v>
      </c>
      <c r="P2385" s="30" t="s">
        <v>52</v>
      </c>
      <c r="Q2385" s="30">
        <v>8</v>
      </c>
      <c r="R2385" s="30" t="s">
        <v>18</v>
      </c>
      <c r="S2385" s="40">
        <f>(VLOOKUP(P2385,'[1]BOM Info General'!$A:$L,12,0))*Q2385</f>
        <v>21.2</v>
      </c>
      <c r="T2385" s="31" t="s">
        <v>24</v>
      </c>
      <c r="U2385" s="31">
        <v>1</v>
      </c>
      <c r="V2385" s="31" t="s">
        <v>25</v>
      </c>
      <c r="W2385" s="17">
        <f>(VLOOKUP(T2385,'[1]Simulation pricing per sub assy'!$D:$E,2,0))*U2385</f>
        <v>6.44</v>
      </c>
      <c r="X2385" s="32" t="s">
        <v>616</v>
      </c>
      <c r="Y2385" s="32">
        <v>1</v>
      </c>
      <c r="Z2385" s="32" t="s">
        <v>23</v>
      </c>
      <c r="AA2385" s="18">
        <f>(VLOOKUP(X2385,'[1]Simulation pricing per sub assy'!$D:$E,2,0))*Y2385</f>
        <v>4.4802908000000006</v>
      </c>
    </row>
    <row r="2386" spans="1:27" x14ac:dyDescent="0.35">
      <c r="A2386" s="27" t="s">
        <v>3965</v>
      </c>
      <c r="B2386" s="27" t="s">
        <v>4928</v>
      </c>
      <c r="C2386" s="42">
        <f t="shared" si="37"/>
        <v>292.58669079999999</v>
      </c>
      <c r="D2386" s="28" t="s">
        <v>3540</v>
      </c>
      <c r="E2386" s="28">
        <v>2</v>
      </c>
      <c r="F2386" s="28" t="s">
        <v>3541</v>
      </c>
      <c r="G2386" s="14">
        <f>(VLOOKUP(D2386,'[1]BOM Info General'!$A:$L,12,0))*E2386</f>
        <v>130.12</v>
      </c>
      <c r="H2386" s="29" t="s">
        <v>41</v>
      </c>
      <c r="I2386" s="29">
        <v>1</v>
      </c>
      <c r="J2386" s="29" t="s">
        <v>47</v>
      </c>
      <c r="K2386" s="15">
        <f>(VLOOKUP(H2386,'[1]BOM Info General'!$A:$L,12,0))*I2386</f>
        <v>27.18</v>
      </c>
      <c r="L2386" s="26" t="s">
        <v>83</v>
      </c>
      <c r="M2386" s="26">
        <v>1</v>
      </c>
      <c r="N2386" s="26" t="s">
        <v>86</v>
      </c>
      <c r="O2386" s="9">
        <f>(VLOOKUP(L2386,'[1]Simulation pricing per sub assy'!$D:$E,2,0))*M2386</f>
        <v>103.16640000000004</v>
      </c>
      <c r="P2386" s="30" t="s">
        <v>52</v>
      </c>
      <c r="Q2386" s="30">
        <v>8</v>
      </c>
      <c r="R2386" s="30" t="s">
        <v>18</v>
      </c>
      <c r="S2386" s="40">
        <f>(VLOOKUP(P2386,'[1]BOM Info General'!$A:$L,12,0))*Q2386</f>
        <v>21.2</v>
      </c>
      <c r="T2386" s="31" t="s">
        <v>24</v>
      </c>
      <c r="U2386" s="31">
        <v>1</v>
      </c>
      <c r="V2386" s="31" t="s">
        <v>25</v>
      </c>
      <c r="W2386" s="17">
        <f>(VLOOKUP(T2386,'[1]Simulation pricing per sub assy'!$D:$E,2,0))*U2386</f>
        <v>6.44</v>
      </c>
      <c r="X2386" s="32" t="s">
        <v>616</v>
      </c>
      <c r="Y2386" s="32">
        <v>1</v>
      </c>
      <c r="Z2386" s="32" t="s">
        <v>23</v>
      </c>
      <c r="AA2386" s="18">
        <f>(VLOOKUP(X2386,'[1]Simulation pricing per sub assy'!$D:$E,2,0))*Y2386</f>
        <v>4.4802908000000006</v>
      </c>
    </row>
    <row r="2387" spans="1:27" x14ac:dyDescent="0.35">
      <c r="A2387" s="27" t="s">
        <v>3966</v>
      </c>
      <c r="B2387" s="27" t="s">
        <v>4929</v>
      </c>
      <c r="C2387" s="42">
        <f t="shared" si="37"/>
        <v>284.67669080000002</v>
      </c>
      <c r="D2387" s="28" t="s">
        <v>3540</v>
      </c>
      <c r="E2387" s="28">
        <v>2</v>
      </c>
      <c r="F2387" s="28" t="s">
        <v>3541</v>
      </c>
      <c r="G2387" s="14">
        <f>(VLOOKUP(D2387,'[1]BOM Info General'!$A:$L,12,0))*E2387</f>
        <v>130.12</v>
      </c>
      <c r="H2387" s="29" t="s">
        <v>41</v>
      </c>
      <c r="I2387" s="29">
        <v>1</v>
      </c>
      <c r="J2387" s="29" t="s">
        <v>47</v>
      </c>
      <c r="K2387" s="15">
        <f>(VLOOKUP(H2387,'[1]BOM Info General'!$A:$L,12,0))*I2387</f>
        <v>27.18</v>
      </c>
      <c r="L2387" s="26" t="s">
        <v>528</v>
      </c>
      <c r="M2387" s="26">
        <v>1</v>
      </c>
      <c r="N2387" s="26" t="s">
        <v>88</v>
      </c>
      <c r="O2387" s="9">
        <f>(VLOOKUP(L2387,'[1]Simulation pricing per sub assy'!$D:$E,2,0))*M2387</f>
        <v>94.656400000000033</v>
      </c>
      <c r="P2387" s="30" t="s">
        <v>52</v>
      </c>
      <c r="Q2387" s="30">
        <v>8</v>
      </c>
      <c r="R2387" s="30" t="s">
        <v>18</v>
      </c>
      <c r="S2387" s="40">
        <f>(VLOOKUP(P2387,'[1]BOM Info General'!$A:$L,12,0))*Q2387</f>
        <v>21.2</v>
      </c>
      <c r="T2387" s="31" t="s">
        <v>26</v>
      </c>
      <c r="U2387" s="31">
        <v>1</v>
      </c>
      <c r="V2387" s="31" t="s">
        <v>27</v>
      </c>
      <c r="W2387" s="17">
        <f>(VLOOKUP(T2387,'[1]Simulation pricing per sub assy'!$D:$E,2,0))*U2387</f>
        <v>7.04</v>
      </c>
      <c r="X2387" s="32" t="s">
        <v>616</v>
      </c>
      <c r="Y2387" s="32">
        <v>1</v>
      </c>
      <c r="Z2387" s="32" t="s">
        <v>23</v>
      </c>
      <c r="AA2387" s="18">
        <f>(VLOOKUP(X2387,'[1]Simulation pricing per sub assy'!$D:$E,2,0))*Y2387</f>
        <v>4.4802908000000006</v>
      </c>
    </row>
    <row r="2388" spans="1:27" x14ac:dyDescent="0.35">
      <c r="A2388" s="27" t="s">
        <v>3967</v>
      </c>
      <c r="B2388" s="27" t="s">
        <v>4930</v>
      </c>
      <c r="C2388" s="42">
        <f t="shared" si="37"/>
        <v>285.77669080000004</v>
      </c>
      <c r="D2388" s="28" t="s">
        <v>3540</v>
      </c>
      <c r="E2388" s="28">
        <v>2</v>
      </c>
      <c r="F2388" s="28" t="s">
        <v>3541</v>
      </c>
      <c r="G2388" s="14">
        <f>(VLOOKUP(D2388,'[1]BOM Info General'!$A:$L,12,0))*E2388</f>
        <v>130.12</v>
      </c>
      <c r="H2388" s="29" t="s">
        <v>41</v>
      </c>
      <c r="I2388" s="29">
        <v>1</v>
      </c>
      <c r="J2388" s="29" t="s">
        <v>47</v>
      </c>
      <c r="K2388" s="15">
        <f>(VLOOKUP(H2388,'[1]BOM Info General'!$A:$L,12,0))*I2388</f>
        <v>27.18</v>
      </c>
      <c r="L2388" s="26" t="s">
        <v>85</v>
      </c>
      <c r="M2388" s="26">
        <v>1</v>
      </c>
      <c r="N2388" s="26" t="s">
        <v>82</v>
      </c>
      <c r="O2388" s="9">
        <f>(VLOOKUP(L2388,'[1]Simulation pricing per sub assy'!$D:$E,2,0))*M2388</f>
        <v>95.756400000000042</v>
      </c>
      <c r="P2388" s="30" t="s">
        <v>52</v>
      </c>
      <c r="Q2388" s="30">
        <v>8</v>
      </c>
      <c r="R2388" s="30" t="s">
        <v>18</v>
      </c>
      <c r="S2388" s="40">
        <f>(VLOOKUP(P2388,'[1]BOM Info General'!$A:$L,12,0))*Q2388</f>
        <v>21.2</v>
      </c>
      <c r="T2388" s="31" t="s">
        <v>26</v>
      </c>
      <c r="U2388" s="31">
        <v>1</v>
      </c>
      <c r="V2388" s="31" t="s">
        <v>27</v>
      </c>
      <c r="W2388" s="17">
        <f>(VLOOKUP(T2388,'[1]Simulation pricing per sub assy'!$D:$E,2,0))*U2388</f>
        <v>7.04</v>
      </c>
      <c r="X2388" s="32" t="s">
        <v>616</v>
      </c>
      <c r="Y2388" s="32">
        <v>1</v>
      </c>
      <c r="Z2388" s="32" t="s">
        <v>23</v>
      </c>
      <c r="AA2388" s="18">
        <f>(VLOOKUP(X2388,'[1]Simulation pricing per sub assy'!$D:$E,2,0))*Y2388</f>
        <v>4.4802908000000006</v>
      </c>
    </row>
    <row r="2389" spans="1:27" x14ac:dyDescent="0.35">
      <c r="A2389" s="27" t="s">
        <v>3968</v>
      </c>
      <c r="B2389" s="27" t="s">
        <v>4931</v>
      </c>
      <c r="C2389" s="42">
        <f t="shared" si="37"/>
        <v>285.77669080000004</v>
      </c>
      <c r="D2389" s="28" t="s">
        <v>3540</v>
      </c>
      <c r="E2389" s="28">
        <v>2</v>
      </c>
      <c r="F2389" s="28" t="s">
        <v>3541</v>
      </c>
      <c r="G2389" s="14">
        <f>(VLOOKUP(D2389,'[1]BOM Info General'!$A:$L,12,0))*E2389</f>
        <v>130.12</v>
      </c>
      <c r="H2389" s="29" t="s">
        <v>41</v>
      </c>
      <c r="I2389" s="29">
        <v>1</v>
      </c>
      <c r="J2389" s="29" t="s">
        <v>47</v>
      </c>
      <c r="K2389" s="15">
        <f>(VLOOKUP(H2389,'[1]BOM Info General'!$A:$L,12,0))*I2389</f>
        <v>27.18</v>
      </c>
      <c r="L2389" s="26" t="s">
        <v>81</v>
      </c>
      <c r="M2389" s="26">
        <v>1</v>
      </c>
      <c r="N2389" s="26" t="s">
        <v>80</v>
      </c>
      <c r="O2389" s="9">
        <f>(VLOOKUP(L2389,'[1]Simulation pricing per sub assy'!$D:$E,2,0))*M2389</f>
        <v>95.756400000000042</v>
      </c>
      <c r="P2389" s="30" t="s">
        <v>52</v>
      </c>
      <c r="Q2389" s="30">
        <v>8</v>
      </c>
      <c r="R2389" s="30" t="s">
        <v>18</v>
      </c>
      <c r="S2389" s="40">
        <f>(VLOOKUP(P2389,'[1]BOM Info General'!$A:$L,12,0))*Q2389</f>
        <v>21.2</v>
      </c>
      <c r="T2389" s="31" t="s">
        <v>26</v>
      </c>
      <c r="U2389" s="31">
        <v>1</v>
      </c>
      <c r="V2389" s="31" t="s">
        <v>27</v>
      </c>
      <c r="W2389" s="17">
        <f>(VLOOKUP(T2389,'[1]Simulation pricing per sub assy'!$D:$E,2,0))*U2389</f>
        <v>7.04</v>
      </c>
      <c r="X2389" s="32" t="s">
        <v>616</v>
      </c>
      <c r="Y2389" s="32">
        <v>1</v>
      </c>
      <c r="Z2389" s="32" t="s">
        <v>23</v>
      </c>
      <c r="AA2389" s="18">
        <f>(VLOOKUP(X2389,'[1]Simulation pricing per sub assy'!$D:$E,2,0))*Y2389</f>
        <v>4.4802908000000006</v>
      </c>
    </row>
    <row r="2390" spans="1:27" x14ac:dyDescent="0.35">
      <c r="A2390" s="27" t="s">
        <v>3969</v>
      </c>
      <c r="B2390" s="27" t="s">
        <v>4932</v>
      </c>
      <c r="C2390" s="42">
        <f t="shared" si="37"/>
        <v>285.22669080000003</v>
      </c>
      <c r="D2390" s="28" t="s">
        <v>3540</v>
      </c>
      <c r="E2390" s="28">
        <v>2</v>
      </c>
      <c r="F2390" s="28" t="s">
        <v>3541</v>
      </c>
      <c r="G2390" s="14">
        <f>(VLOOKUP(D2390,'[1]BOM Info General'!$A:$L,12,0))*E2390</f>
        <v>130.12</v>
      </c>
      <c r="H2390" s="29" t="s">
        <v>41</v>
      </c>
      <c r="I2390" s="29">
        <v>1</v>
      </c>
      <c r="J2390" s="29" t="s">
        <v>47</v>
      </c>
      <c r="K2390" s="15">
        <f>(VLOOKUP(H2390,'[1]BOM Info General'!$A:$L,12,0))*I2390</f>
        <v>27.18</v>
      </c>
      <c r="L2390" s="26" t="s">
        <v>87</v>
      </c>
      <c r="M2390" s="26">
        <v>1</v>
      </c>
      <c r="N2390" s="26" t="s">
        <v>84</v>
      </c>
      <c r="O2390" s="9">
        <f>(VLOOKUP(L2390,'[1]Simulation pricing per sub assy'!$D:$E,2,0))*M2390</f>
        <v>95.206400000000031</v>
      </c>
      <c r="P2390" s="30" t="s">
        <v>52</v>
      </c>
      <c r="Q2390" s="30">
        <v>8</v>
      </c>
      <c r="R2390" s="30" t="s">
        <v>18</v>
      </c>
      <c r="S2390" s="40">
        <f>(VLOOKUP(P2390,'[1]BOM Info General'!$A:$L,12,0))*Q2390</f>
        <v>21.2</v>
      </c>
      <c r="T2390" s="31" t="s">
        <v>26</v>
      </c>
      <c r="U2390" s="31">
        <v>1</v>
      </c>
      <c r="V2390" s="31" t="s">
        <v>27</v>
      </c>
      <c r="W2390" s="17">
        <f>(VLOOKUP(T2390,'[1]Simulation pricing per sub assy'!$D:$E,2,0))*U2390</f>
        <v>7.04</v>
      </c>
      <c r="X2390" s="32" t="s">
        <v>616</v>
      </c>
      <c r="Y2390" s="32">
        <v>1</v>
      </c>
      <c r="Z2390" s="32" t="s">
        <v>23</v>
      </c>
      <c r="AA2390" s="18">
        <f>(VLOOKUP(X2390,'[1]Simulation pricing per sub assy'!$D:$E,2,0))*Y2390</f>
        <v>4.4802908000000006</v>
      </c>
    </row>
    <row r="2391" spans="1:27" x14ac:dyDescent="0.35">
      <c r="A2391" s="27" t="s">
        <v>3970</v>
      </c>
      <c r="B2391" s="27" t="s">
        <v>4933</v>
      </c>
      <c r="C2391" s="42">
        <f t="shared" si="37"/>
        <v>293.18669080000001</v>
      </c>
      <c r="D2391" s="28" t="s">
        <v>3540</v>
      </c>
      <c r="E2391" s="28">
        <v>2</v>
      </c>
      <c r="F2391" s="28" t="s">
        <v>3541</v>
      </c>
      <c r="G2391" s="14">
        <f>(VLOOKUP(D2391,'[1]BOM Info General'!$A:$L,12,0))*E2391</f>
        <v>130.12</v>
      </c>
      <c r="H2391" s="29" t="s">
        <v>41</v>
      </c>
      <c r="I2391" s="29">
        <v>1</v>
      </c>
      <c r="J2391" s="29" t="s">
        <v>47</v>
      </c>
      <c r="K2391" s="15">
        <f>(VLOOKUP(H2391,'[1]BOM Info General'!$A:$L,12,0))*I2391</f>
        <v>27.18</v>
      </c>
      <c r="L2391" s="26" t="s">
        <v>83</v>
      </c>
      <c r="M2391" s="26">
        <v>1</v>
      </c>
      <c r="N2391" s="26" t="s">
        <v>86</v>
      </c>
      <c r="O2391" s="9">
        <f>(VLOOKUP(L2391,'[1]Simulation pricing per sub assy'!$D:$E,2,0))*M2391</f>
        <v>103.16640000000004</v>
      </c>
      <c r="P2391" s="30" t="s">
        <v>52</v>
      </c>
      <c r="Q2391" s="30">
        <v>8</v>
      </c>
      <c r="R2391" s="30" t="s">
        <v>18</v>
      </c>
      <c r="S2391" s="40">
        <f>(VLOOKUP(P2391,'[1]BOM Info General'!$A:$L,12,0))*Q2391</f>
        <v>21.2</v>
      </c>
      <c r="T2391" s="31" t="s">
        <v>26</v>
      </c>
      <c r="U2391" s="31">
        <v>1</v>
      </c>
      <c r="V2391" s="31" t="s">
        <v>27</v>
      </c>
      <c r="W2391" s="17">
        <f>(VLOOKUP(T2391,'[1]Simulation pricing per sub assy'!$D:$E,2,0))*U2391</f>
        <v>7.04</v>
      </c>
      <c r="X2391" s="32" t="s">
        <v>616</v>
      </c>
      <c r="Y2391" s="32">
        <v>1</v>
      </c>
      <c r="Z2391" s="32" t="s">
        <v>23</v>
      </c>
      <c r="AA2391" s="18">
        <f>(VLOOKUP(X2391,'[1]Simulation pricing per sub assy'!$D:$E,2,0))*Y2391</f>
        <v>4.4802908000000006</v>
      </c>
    </row>
    <row r="2392" spans="1:27" x14ac:dyDescent="0.35">
      <c r="A2392" s="27" t="s">
        <v>3971</v>
      </c>
      <c r="B2392" s="27" t="s">
        <v>4934</v>
      </c>
      <c r="C2392" s="42">
        <f t="shared" si="37"/>
        <v>284.6366908</v>
      </c>
      <c r="D2392" s="28" t="s">
        <v>3540</v>
      </c>
      <c r="E2392" s="28">
        <v>2</v>
      </c>
      <c r="F2392" s="28" t="s">
        <v>3541</v>
      </c>
      <c r="G2392" s="14">
        <f>(VLOOKUP(D2392,'[1]BOM Info General'!$A:$L,12,0))*E2392</f>
        <v>130.12</v>
      </c>
      <c r="H2392" s="29" t="s">
        <v>41</v>
      </c>
      <c r="I2392" s="29">
        <v>1</v>
      </c>
      <c r="J2392" s="29" t="s">
        <v>47</v>
      </c>
      <c r="K2392" s="15">
        <f>(VLOOKUP(H2392,'[1]BOM Info General'!$A:$L,12,0))*I2392</f>
        <v>27.18</v>
      </c>
      <c r="L2392" s="26" t="s">
        <v>528</v>
      </c>
      <c r="M2392" s="26">
        <v>1</v>
      </c>
      <c r="N2392" s="26" t="s">
        <v>88</v>
      </c>
      <c r="O2392" s="9">
        <f>(VLOOKUP(L2392,'[1]Simulation pricing per sub assy'!$D:$E,2,0))*M2392</f>
        <v>94.656400000000033</v>
      </c>
      <c r="P2392" s="30" t="s">
        <v>52</v>
      </c>
      <c r="Q2392" s="30">
        <v>8</v>
      </c>
      <c r="R2392" s="30" t="s">
        <v>18</v>
      </c>
      <c r="S2392" s="40">
        <f>(VLOOKUP(P2392,'[1]BOM Info General'!$A:$L,12,0))*Q2392</f>
        <v>21.2</v>
      </c>
      <c r="T2392" s="31" t="s">
        <v>28</v>
      </c>
      <c r="U2392" s="31">
        <v>1</v>
      </c>
      <c r="V2392" s="31" t="s">
        <v>29</v>
      </c>
      <c r="W2392" s="17">
        <f>(VLOOKUP(T2392,'[1]Simulation pricing per sub assy'!$D:$E,2,0))*U2392</f>
        <v>7</v>
      </c>
      <c r="X2392" s="32" t="s">
        <v>616</v>
      </c>
      <c r="Y2392" s="32">
        <v>1</v>
      </c>
      <c r="Z2392" s="32" t="s">
        <v>23</v>
      </c>
      <c r="AA2392" s="18">
        <f>(VLOOKUP(X2392,'[1]Simulation pricing per sub assy'!$D:$E,2,0))*Y2392</f>
        <v>4.4802908000000006</v>
      </c>
    </row>
    <row r="2393" spans="1:27" x14ac:dyDescent="0.35">
      <c r="A2393" s="27" t="s">
        <v>3972</v>
      </c>
      <c r="B2393" s="27" t="s">
        <v>4935</v>
      </c>
      <c r="C2393" s="42">
        <f t="shared" si="37"/>
        <v>285.73669080000002</v>
      </c>
      <c r="D2393" s="28" t="s">
        <v>3540</v>
      </c>
      <c r="E2393" s="28">
        <v>2</v>
      </c>
      <c r="F2393" s="28" t="s">
        <v>3541</v>
      </c>
      <c r="G2393" s="14">
        <f>(VLOOKUP(D2393,'[1]BOM Info General'!$A:$L,12,0))*E2393</f>
        <v>130.12</v>
      </c>
      <c r="H2393" s="29" t="s">
        <v>41</v>
      </c>
      <c r="I2393" s="29">
        <v>1</v>
      </c>
      <c r="J2393" s="29" t="s">
        <v>47</v>
      </c>
      <c r="K2393" s="15">
        <f>(VLOOKUP(H2393,'[1]BOM Info General'!$A:$L,12,0))*I2393</f>
        <v>27.18</v>
      </c>
      <c r="L2393" s="26" t="s">
        <v>85</v>
      </c>
      <c r="M2393" s="26">
        <v>1</v>
      </c>
      <c r="N2393" s="26" t="s">
        <v>82</v>
      </c>
      <c r="O2393" s="9">
        <f>(VLOOKUP(L2393,'[1]Simulation pricing per sub assy'!$D:$E,2,0))*M2393</f>
        <v>95.756400000000042</v>
      </c>
      <c r="P2393" s="30" t="s">
        <v>52</v>
      </c>
      <c r="Q2393" s="30">
        <v>8</v>
      </c>
      <c r="R2393" s="30" t="s">
        <v>18</v>
      </c>
      <c r="S2393" s="40">
        <f>(VLOOKUP(P2393,'[1]BOM Info General'!$A:$L,12,0))*Q2393</f>
        <v>21.2</v>
      </c>
      <c r="T2393" s="31" t="s">
        <v>28</v>
      </c>
      <c r="U2393" s="31">
        <v>1</v>
      </c>
      <c r="V2393" s="31" t="s">
        <v>29</v>
      </c>
      <c r="W2393" s="17">
        <f>(VLOOKUP(T2393,'[1]Simulation pricing per sub assy'!$D:$E,2,0))*U2393</f>
        <v>7</v>
      </c>
      <c r="X2393" s="32" t="s">
        <v>616</v>
      </c>
      <c r="Y2393" s="32">
        <v>1</v>
      </c>
      <c r="Z2393" s="32" t="s">
        <v>23</v>
      </c>
      <c r="AA2393" s="18">
        <f>(VLOOKUP(X2393,'[1]Simulation pricing per sub assy'!$D:$E,2,0))*Y2393</f>
        <v>4.4802908000000006</v>
      </c>
    </row>
    <row r="2394" spans="1:27" x14ac:dyDescent="0.35">
      <c r="A2394" s="27" t="s">
        <v>3973</v>
      </c>
      <c r="B2394" s="27" t="s">
        <v>4936</v>
      </c>
      <c r="C2394" s="42">
        <f t="shared" si="37"/>
        <v>285.73669080000002</v>
      </c>
      <c r="D2394" s="28" t="s">
        <v>3540</v>
      </c>
      <c r="E2394" s="28">
        <v>2</v>
      </c>
      <c r="F2394" s="28" t="s">
        <v>3541</v>
      </c>
      <c r="G2394" s="14">
        <f>(VLOOKUP(D2394,'[1]BOM Info General'!$A:$L,12,0))*E2394</f>
        <v>130.12</v>
      </c>
      <c r="H2394" s="29" t="s">
        <v>41</v>
      </c>
      <c r="I2394" s="29">
        <v>1</v>
      </c>
      <c r="J2394" s="29" t="s">
        <v>47</v>
      </c>
      <c r="K2394" s="15">
        <f>(VLOOKUP(H2394,'[1]BOM Info General'!$A:$L,12,0))*I2394</f>
        <v>27.18</v>
      </c>
      <c r="L2394" s="26" t="s">
        <v>81</v>
      </c>
      <c r="M2394" s="26">
        <v>1</v>
      </c>
      <c r="N2394" s="26" t="s">
        <v>80</v>
      </c>
      <c r="O2394" s="9">
        <f>(VLOOKUP(L2394,'[1]Simulation pricing per sub assy'!$D:$E,2,0))*M2394</f>
        <v>95.756400000000042</v>
      </c>
      <c r="P2394" s="30" t="s">
        <v>52</v>
      </c>
      <c r="Q2394" s="30">
        <v>8</v>
      </c>
      <c r="R2394" s="30" t="s">
        <v>18</v>
      </c>
      <c r="S2394" s="40">
        <f>(VLOOKUP(P2394,'[1]BOM Info General'!$A:$L,12,0))*Q2394</f>
        <v>21.2</v>
      </c>
      <c r="T2394" s="31" t="s">
        <v>28</v>
      </c>
      <c r="U2394" s="31">
        <v>1</v>
      </c>
      <c r="V2394" s="31" t="s">
        <v>29</v>
      </c>
      <c r="W2394" s="17">
        <f>(VLOOKUP(T2394,'[1]Simulation pricing per sub assy'!$D:$E,2,0))*U2394</f>
        <v>7</v>
      </c>
      <c r="X2394" s="32" t="s">
        <v>616</v>
      </c>
      <c r="Y2394" s="32">
        <v>1</v>
      </c>
      <c r="Z2394" s="32" t="s">
        <v>23</v>
      </c>
      <c r="AA2394" s="18">
        <f>(VLOOKUP(X2394,'[1]Simulation pricing per sub assy'!$D:$E,2,0))*Y2394</f>
        <v>4.4802908000000006</v>
      </c>
    </row>
    <row r="2395" spans="1:27" x14ac:dyDescent="0.35">
      <c r="A2395" s="27" t="s">
        <v>3974</v>
      </c>
      <c r="B2395" s="27" t="s">
        <v>4937</v>
      </c>
      <c r="C2395" s="42">
        <f t="shared" si="37"/>
        <v>285.18669080000001</v>
      </c>
      <c r="D2395" s="28" t="s">
        <v>3540</v>
      </c>
      <c r="E2395" s="28">
        <v>2</v>
      </c>
      <c r="F2395" s="28" t="s">
        <v>3541</v>
      </c>
      <c r="G2395" s="14">
        <f>(VLOOKUP(D2395,'[1]BOM Info General'!$A:$L,12,0))*E2395</f>
        <v>130.12</v>
      </c>
      <c r="H2395" s="29" t="s">
        <v>41</v>
      </c>
      <c r="I2395" s="29">
        <v>1</v>
      </c>
      <c r="J2395" s="29" t="s">
        <v>47</v>
      </c>
      <c r="K2395" s="15">
        <f>(VLOOKUP(H2395,'[1]BOM Info General'!$A:$L,12,0))*I2395</f>
        <v>27.18</v>
      </c>
      <c r="L2395" s="26" t="s">
        <v>87</v>
      </c>
      <c r="M2395" s="26">
        <v>1</v>
      </c>
      <c r="N2395" s="26" t="s">
        <v>84</v>
      </c>
      <c r="O2395" s="9">
        <f>(VLOOKUP(L2395,'[1]Simulation pricing per sub assy'!$D:$E,2,0))*M2395</f>
        <v>95.206400000000031</v>
      </c>
      <c r="P2395" s="30" t="s">
        <v>52</v>
      </c>
      <c r="Q2395" s="30">
        <v>8</v>
      </c>
      <c r="R2395" s="30" t="s">
        <v>18</v>
      </c>
      <c r="S2395" s="40">
        <f>(VLOOKUP(P2395,'[1]BOM Info General'!$A:$L,12,0))*Q2395</f>
        <v>21.2</v>
      </c>
      <c r="T2395" s="31" t="s">
        <v>28</v>
      </c>
      <c r="U2395" s="31">
        <v>1</v>
      </c>
      <c r="V2395" s="31" t="s">
        <v>29</v>
      </c>
      <c r="W2395" s="17">
        <f>(VLOOKUP(T2395,'[1]Simulation pricing per sub assy'!$D:$E,2,0))*U2395</f>
        <v>7</v>
      </c>
      <c r="X2395" s="32" t="s">
        <v>616</v>
      </c>
      <c r="Y2395" s="32">
        <v>1</v>
      </c>
      <c r="Z2395" s="32" t="s">
        <v>23</v>
      </c>
      <c r="AA2395" s="18">
        <f>(VLOOKUP(X2395,'[1]Simulation pricing per sub assy'!$D:$E,2,0))*Y2395</f>
        <v>4.4802908000000006</v>
      </c>
    </row>
    <row r="2396" spans="1:27" x14ac:dyDescent="0.35">
      <c r="A2396" s="27" t="s">
        <v>3975</v>
      </c>
      <c r="B2396" s="27" t="s">
        <v>4938</v>
      </c>
      <c r="C2396" s="42">
        <f t="shared" si="37"/>
        <v>293.14669079999999</v>
      </c>
      <c r="D2396" s="28" t="s">
        <v>3540</v>
      </c>
      <c r="E2396" s="28">
        <v>2</v>
      </c>
      <c r="F2396" s="28" t="s">
        <v>3541</v>
      </c>
      <c r="G2396" s="14">
        <f>(VLOOKUP(D2396,'[1]BOM Info General'!$A:$L,12,0))*E2396</f>
        <v>130.12</v>
      </c>
      <c r="H2396" s="29" t="s">
        <v>41</v>
      </c>
      <c r="I2396" s="29">
        <v>1</v>
      </c>
      <c r="J2396" s="29" t="s">
        <v>47</v>
      </c>
      <c r="K2396" s="15">
        <f>(VLOOKUP(H2396,'[1]BOM Info General'!$A:$L,12,0))*I2396</f>
        <v>27.18</v>
      </c>
      <c r="L2396" s="26" t="s">
        <v>83</v>
      </c>
      <c r="M2396" s="26">
        <v>1</v>
      </c>
      <c r="N2396" s="26" t="s">
        <v>86</v>
      </c>
      <c r="O2396" s="9">
        <f>(VLOOKUP(L2396,'[1]Simulation pricing per sub assy'!$D:$E,2,0))*M2396</f>
        <v>103.16640000000004</v>
      </c>
      <c r="P2396" s="30" t="s">
        <v>52</v>
      </c>
      <c r="Q2396" s="30">
        <v>8</v>
      </c>
      <c r="R2396" s="30" t="s">
        <v>18</v>
      </c>
      <c r="S2396" s="40">
        <f>(VLOOKUP(P2396,'[1]BOM Info General'!$A:$L,12,0))*Q2396</f>
        <v>21.2</v>
      </c>
      <c r="T2396" s="31" t="s">
        <v>28</v>
      </c>
      <c r="U2396" s="31">
        <v>1</v>
      </c>
      <c r="V2396" s="31" t="s">
        <v>29</v>
      </c>
      <c r="W2396" s="17">
        <f>(VLOOKUP(T2396,'[1]Simulation pricing per sub assy'!$D:$E,2,0))*U2396</f>
        <v>7</v>
      </c>
      <c r="X2396" s="32" t="s">
        <v>616</v>
      </c>
      <c r="Y2396" s="32">
        <v>1</v>
      </c>
      <c r="Z2396" s="32" t="s">
        <v>23</v>
      </c>
      <c r="AA2396" s="18">
        <f>(VLOOKUP(X2396,'[1]Simulation pricing per sub assy'!$D:$E,2,0))*Y2396</f>
        <v>4.4802908000000006</v>
      </c>
    </row>
    <row r="2397" spans="1:27" x14ac:dyDescent="0.35">
      <c r="A2397" s="27" t="s">
        <v>3976</v>
      </c>
      <c r="B2397" s="27" t="s">
        <v>4939</v>
      </c>
      <c r="C2397" s="42">
        <f t="shared" si="37"/>
        <v>286.1966908</v>
      </c>
      <c r="D2397" s="28" t="s">
        <v>3540</v>
      </c>
      <c r="E2397" s="28">
        <v>2</v>
      </c>
      <c r="F2397" s="28" t="s">
        <v>3541</v>
      </c>
      <c r="G2397" s="14">
        <f>(VLOOKUP(D2397,'[1]BOM Info General'!$A:$L,12,0))*E2397</f>
        <v>130.12</v>
      </c>
      <c r="H2397" s="29" t="s">
        <v>41</v>
      </c>
      <c r="I2397" s="29">
        <v>1</v>
      </c>
      <c r="J2397" s="29" t="s">
        <v>47</v>
      </c>
      <c r="K2397" s="15">
        <f>(VLOOKUP(H2397,'[1]BOM Info General'!$A:$L,12,0))*I2397</f>
        <v>27.18</v>
      </c>
      <c r="L2397" s="26" t="s">
        <v>528</v>
      </c>
      <c r="M2397" s="26">
        <v>1</v>
      </c>
      <c r="N2397" s="26" t="s">
        <v>88</v>
      </c>
      <c r="O2397" s="9">
        <f>(VLOOKUP(L2397,'[1]Simulation pricing per sub assy'!$D:$E,2,0))*M2397</f>
        <v>94.656400000000033</v>
      </c>
      <c r="P2397" s="30" t="s">
        <v>50</v>
      </c>
      <c r="Q2397" s="30">
        <v>8</v>
      </c>
      <c r="R2397" s="30" t="s">
        <v>611</v>
      </c>
      <c r="S2397" s="40">
        <f>(VLOOKUP(P2397,'[1]BOM Info General'!$A:$L,12,0))*Q2397</f>
        <v>21.2</v>
      </c>
      <c r="T2397" s="31" t="s">
        <v>30</v>
      </c>
      <c r="U2397" s="31">
        <v>1</v>
      </c>
      <c r="V2397" s="31" t="s">
        <v>31</v>
      </c>
      <c r="W2397" s="17">
        <f>(VLOOKUP(T2397,'[1]Simulation pricing per sub assy'!$D:$E,2,0))*U2397</f>
        <v>8.5599999999999987</v>
      </c>
      <c r="X2397" s="32" t="s">
        <v>616</v>
      </c>
      <c r="Y2397" s="32">
        <v>1</v>
      </c>
      <c r="Z2397" s="32" t="s">
        <v>23</v>
      </c>
      <c r="AA2397" s="18">
        <f>(VLOOKUP(X2397,'[1]Simulation pricing per sub assy'!$D:$E,2,0))*Y2397</f>
        <v>4.4802908000000006</v>
      </c>
    </row>
    <row r="2398" spans="1:27" x14ac:dyDescent="0.35">
      <c r="A2398" s="27" t="s">
        <v>3977</v>
      </c>
      <c r="B2398" s="27" t="s">
        <v>4940</v>
      </c>
      <c r="C2398" s="42">
        <f t="shared" si="37"/>
        <v>287.29669080000002</v>
      </c>
      <c r="D2398" s="28" t="s">
        <v>3540</v>
      </c>
      <c r="E2398" s="28">
        <v>2</v>
      </c>
      <c r="F2398" s="28" t="s">
        <v>3541</v>
      </c>
      <c r="G2398" s="14">
        <f>(VLOOKUP(D2398,'[1]BOM Info General'!$A:$L,12,0))*E2398</f>
        <v>130.12</v>
      </c>
      <c r="H2398" s="29" t="s">
        <v>41</v>
      </c>
      <c r="I2398" s="29">
        <v>1</v>
      </c>
      <c r="J2398" s="29" t="s">
        <v>47</v>
      </c>
      <c r="K2398" s="15">
        <f>(VLOOKUP(H2398,'[1]BOM Info General'!$A:$L,12,0))*I2398</f>
        <v>27.18</v>
      </c>
      <c r="L2398" s="26" t="s">
        <v>85</v>
      </c>
      <c r="M2398" s="26">
        <v>1</v>
      </c>
      <c r="N2398" s="26" t="s">
        <v>82</v>
      </c>
      <c r="O2398" s="9">
        <f>(VLOOKUP(L2398,'[1]Simulation pricing per sub assy'!$D:$E,2,0))*M2398</f>
        <v>95.756400000000042</v>
      </c>
      <c r="P2398" s="30" t="s">
        <v>50</v>
      </c>
      <c r="Q2398" s="30">
        <v>8</v>
      </c>
      <c r="R2398" s="30" t="s">
        <v>611</v>
      </c>
      <c r="S2398" s="40">
        <f>(VLOOKUP(P2398,'[1]BOM Info General'!$A:$L,12,0))*Q2398</f>
        <v>21.2</v>
      </c>
      <c r="T2398" s="31" t="s">
        <v>30</v>
      </c>
      <c r="U2398" s="31">
        <v>1</v>
      </c>
      <c r="V2398" s="31" t="s">
        <v>31</v>
      </c>
      <c r="W2398" s="17">
        <f>(VLOOKUP(T2398,'[1]Simulation pricing per sub assy'!$D:$E,2,0))*U2398</f>
        <v>8.5599999999999987</v>
      </c>
      <c r="X2398" s="32" t="s">
        <v>616</v>
      </c>
      <c r="Y2398" s="32">
        <v>1</v>
      </c>
      <c r="Z2398" s="32" t="s">
        <v>23</v>
      </c>
      <c r="AA2398" s="18">
        <f>(VLOOKUP(X2398,'[1]Simulation pricing per sub assy'!$D:$E,2,0))*Y2398</f>
        <v>4.4802908000000006</v>
      </c>
    </row>
    <row r="2399" spans="1:27" x14ac:dyDescent="0.35">
      <c r="A2399" s="27" t="s">
        <v>3978</v>
      </c>
      <c r="B2399" s="27" t="s">
        <v>4941</v>
      </c>
      <c r="C2399" s="42">
        <f t="shared" si="37"/>
        <v>287.29669080000002</v>
      </c>
      <c r="D2399" s="28" t="s">
        <v>3540</v>
      </c>
      <c r="E2399" s="28">
        <v>2</v>
      </c>
      <c r="F2399" s="28" t="s">
        <v>3541</v>
      </c>
      <c r="G2399" s="14">
        <f>(VLOOKUP(D2399,'[1]BOM Info General'!$A:$L,12,0))*E2399</f>
        <v>130.12</v>
      </c>
      <c r="H2399" s="29" t="s">
        <v>41</v>
      </c>
      <c r="I2399" s="29">
        <v>1</v>
      </c>
      <c r="J2399" s="29" t="s">
        <v>47</v>
      </c>
      <c r="K2399" s="15">
        <f>(VLOOKUP(H2399,'[1]BOM Info General'!$A:$L,12,0))*I2399</f>
        <v>27.18</v>
      </c>
      <c r="L2399" s="26" t="s">
        <v>81</v>
      </c>
      <c r="M2399" s="26">
        <v>1</v>
      </c>
      <c r="N2399" s="26" t="s">
        <v>80</v>
      </c>
      <c r="O2399" s="9">
        <f>(VLOOKUP(L2399,'[1]Simulation pricing per sub assy'!$D:$E,2,0))*M2399</f>
        <v>95.756400000000042</v>
      </c>
      <c r="P2399" s="30" t="s">
        <v>50</v>
      </c>
      <c r="Q2399" s="30">
        <v>8</v>
      </c>
      <c r="R2399" s="30" t="s">
        <v>611</v>
      </c>
      <c r="S2399" s="40">
        <f>(VLOOKUP(P2399,'[1]BOM Info General'!$A:$L,12,0))*Q2399</f>
        <v>21.2</v>
      </c>
      <c r="T2399" s="31" t="s">
        <v>30</v>
      </c>
      <c r="U2399" s="31">
        <v>1</v>
      </c>
      <c r="V2399" s="31" t="s">
        <v>31</v>
      </c>
      <c r="W2399" s="17">
        <f>(VLOOKUP(T2399,'[1]Simulation pricing per sub assy'!$D:$E,2,0))*U2399</f>
        <v>8.5599999999999987</v>
      </c>
      <c r="X2399" s="32" t="s">
        <v>616</v>
      </c>
      <c r="Y2399" s="32">
        <v>1</v>
      </c>
      <c r="Z2399" s="32" t="s">
        <v>23</v>
      </c>
      <c r="AA2399" s="18">
        <f>(VLOOKUP(X2399,'[1]Simulation pricing per sub assy'!$D:$E,2,0))*Y2399</f>
        <v>4.4802908000000006</v>
      </c>
    </row>
    <row r="2400" spans="1:27" x14ac:dyDescent="0.35">
      <c r="A2400" s="27" t="s">
        <v>3979</v>
      </c>
      <c r="B2400" s="27" t="s">
        <v>4942</v>
      </c>
      <c r="C2400" s="42">
        <f t="shared" si="37"/>
        <v>286.74669080000001</v>
      </c>
      <c r="D2400" s="28" t="s">
        <v>3540</v>
      </c>
      <c r="E2400" s="28">
        <v>2</v>
      </c>
      <c r="F2400" s="28" t="s">
        <v>3541</v>
      </c>
      <c r="G2400" s="14">
        <f>(VLOOKUP(D2400,'[1]BOM Info General'!$A:$L,12,0))*E2400</f>
        <v>130.12</v>
      </c>
      <c r="H2400" s="29" t="s">
        <v>41</v>
      </c>
      <c r="I2400" s="29">
        <v>1</v>
      </c>
      <c r="J2400" s="29" t="s">
        <v>47</v>
      </c>
      <c r="K2400" s="15">
        <f>(VLOOKUP(H2400,'[1]BOM Info General'!$A:$L,12,0))*I2400</f>
        <v>27.18</v>
      </c>
      <c r="L2400" s="26" t="s">
        <v>87</v>
      </c>
      <c r="M2400" s="26">
        <v>1</v>
      </c>
      <c r="N2400" s="26" t="s">
        <v>84</v>
      </c>
      <c r="O2400" s="9">
        <f>(VLOOKUP(L2400,'[1]Simulation pricing per sub assy'!$D:$E,2,0))*M2400</f>
        <v>95.206400000000031</v>
      </c>
      <c r="P2400" s="30" t="s">
        <v>50</v>
      </c>
      <c r="Q2400" s="30">
        <v>8</v>
      </c>
      <c r="R2400" s="30" t="s">
        <v>611</v>
      </c>
      <c r="S2400" s="40">
        <f>(VLOOKUP(P2400,'[1]BOM Info General'!$A:$L,12,0))*Q2400</f>
        <v>21.2</v>
      </c>
      <c r="T2400" s="31" t="s">
        <v>30</v>
      </c>
      <c r="U2400" s="31">
        <v>1</v>
      </c>
      <c r="V2400" s="31" t="s">
        <v>31</v>
      </c>
      <c r="W2400" s="17">
        <f>(VLOOKUP(T2400,'[1]Simulation pricing per sub assy'!$D:$E,2,0))*U2400</f>
        <v>8.5599999999999987</v>
      </c>
      <c r="X2400" s="32" t="s">
        <v>616</v>
      </c>
      <c r="Y2400" s="32">
        <v>1</v>
      </c>
      <c r="Z2400" s="32" t="s">
        <v>23</v>
      </c>
      <c r="AA2400" s="18">
        <f>(VLOOKUP(X2400,'[1]Simulation pricing per sub assy'!$D:$E,2,0))*Y2400</f>
        <v>4.4802908000000006</v>
      </c>
    </row>
    <row r="2401" spans="1:27" x14ac:dyDescent="0.35">
      <c r="A2401" s="27" t="s">
        <v>3980</v>
      </c>
      <c r="B2401" s="27" t="s">
        <v>4943</v>
      </c>
      <c r="C2401" s="42">
        <f t="shared" si="37"/>
        <v>294.70669079999999</v>
      </c>
      <c r="D2401" s="28" t="s">
        <v>3540</v>
      </c>
      <c r="E2401" s="28">
        <v>2</v>
      </c>
      <c r="F2401" s="28" t="s">
        <v>3541</v>
      </c>
      <c r="G2401" s="14">
        <f>(VLOOKUP(D2401,'[1]BOM Info General'!$A:$L,12,0))*E2401</f>
        <v>130.12</v>
      </c>
      <c r="H2401" s="29" t="s">
        <v>41</v>
      </c>
      <c r="I2401" s="29">
        <v>1</v>
      </c>
      <c r="J2401" s="29" t="s">
        <v>47</v>
      </c>
      <c r="K2401" s="15">
        <f>(VLOOKUP(H2401,'[1]BOM Info General'!$A:$L,12,0))*I2401</f>
        <v>27.18</v>
      </c>
      <c r="L2401" s="26" t="s">
        <v>83</v>
      </c>
      <c r="M2401" s="26">
        <v>1</v>
      </c>
      <c r="N2401" s="26" t="s">
        <v>86</v>
      </c>
      <c r="O2401" s="9">
        <f>(VLOOKUP(L2401,'[1]Simulation pricing per sub assy'!$D:$E,2,0))*M2401</f>
        <v>103.16640000000004</v>
      </c>
      <c r="P2401" s="30" t="s">
        <v>50</v>
      </c>
      <c r="Q2401" s="30">
        <v>8</v>
      </c>
      <c r="R2401" s="30" t="s">
        <v>611</v>
      </c>
      <c r="S2401" s="40">
        <f>(VLOOKUP(P2401,'[1]BOM Info General'!$A:$L,12,0))*Q2401</f>
        <v>21.2</v>
      </c>
      <c r="T2401" s="31" t="s">
        <v>30</v>
      </c>
      <c r="U2401" s="31">
        <v>1</v>
      </c>
      <c r="V2401" s="31" t="s">
        <v>31</v>
      </c>
      <c r="W2401" s="17">
        <f>(VLOOKUP(T2401,'[1]Simulation pricing per sub assy'!$D:$E,2,0))*U2401</f>
        <v>8.5599999999999987</v>
      </c>
      <c r="X2401" s="32" t="s">
        <v>616</v>
      </c>
      <c r="Y2401" s="32">
        <v>1</v>
      </c>
      <c r="Z2401" s="32" t="s">
        <v>23</v>
      </c>
      <c r="AA2401" s="18">
        <f>(VLOOKUP(X2401,'[1]Simulation pricing per sub assy'!$D:$E,2,0))*Y2401</f>
        <v>4.4802908000000006</v>
      </c>
    </row>
  </sheetData>
  <autoFilter ref="C1:AA2401" xr:uid="{2DFEA304-8AB0-4E7C-A10D-0478E027746D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00E919B33FD742A57C04995AB7F3AD" ma:contentTypeVersion="16" ma:contentTypeDescription="Create a new document." ma:contentTypeScope="" ma:versionID="23481d734d4461d18698f7568cb05099">
  <xsd:schema xmlns:xsd="http://www.w3.org/2001/XMLSchema" xmlns:xs="http://www.w3.org/2001/XMLSchema" xmlns:p="http://schemas.microsoft.com/office/2006/metadata/properties" xmlns:ns2="099abbac-de76-4021-9d58-ec970b9ea0dd" xmlns:ns3="af9e5e24-b0ac-45b9-9c79-cf42bf4a0f6e" targetNamespace="http://schemas.microsoft.com/office/2006/metadata/properties" ma:root="true" ma:fieldsID="dc7ecdaa26558919509b03813bf71318" ns2:_="" ns3:_="">
    <xsd:import namespace="099abbac-de76-4021-9d58-ec970b9ea0dd"/>
    <xsd:import namespace="af9e5e24-b0ac-45b9-9c79-cf42bf4a0f6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9abbac-de76-4021-9d58-ec970b9ea0d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3f78223-77c2-42e3-bfd4-04a2c6579882}" ma:internalName="TaxCatchAll" ma:showField="CatchAllData" ma:web="099abbac-de76-4021-9d58-ec970b9ea0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9e5e24-b0ac-45b9-9c79-cf42bf4a0f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43274a-3e64-4251-84d2-08fdc324d26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f9e5e24-b0ac-45b9-9c79-cf42bf4a0f6e">
      <Terms xmlns="http://schemas.microsoft.com/office/infopath/2007/PartnerControls"/>
    </lcf76f155ced4ddcb4097134ff3c332f>
    <TaxCatchAll xmlns="099abbac-de76-4021-9d58-ec970b9ea0dd" xsi:nil="true"/>
  </documentManagement>
</p:properties>
</file>

<file path=customXml/itemProps1.xml><?xml version="1.0" encoding="utf-8"?>
<ds:datastoreItem xmlns:ds="http://schemas.openxmlformats.org/officeDocument/2006/customXml" ds:itemID="{DEA0D6EA-E88A-43D4-94B1-F41176A629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9abbac-de76-4021-9d58-ec970b9ea0dd"/>
    <ds:schemaRef ds:uri="af9e5e24-b0ac-45b9-9c79-cf42bf4a0f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8FC8EF-6862-4D16-B79A-CD49670659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A49E96C-E8F6-40A3-B832-5C2E8F86CA92}">
  <ds:schemaRefs>
    <ds:schemaRef ds:uri="http://schemas.microsoft.com/office/2006/documentManagement/types"/>
    <ds:schemaRef ds:uri="099abbac-de76-4021-9d58-ec970b9ea0dd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purl.org/dc/dcmitype/"/>
    <ds:schemaRef ds:uri="http://purl.org/dc/elements/1.1/"/>
    <ds:schemaRef ds:uri="http://schemas.microsoft.com/office/2006/metadata/properties"/>
    <ds:schemaRef ds:uri="af9e5e24-b0ac-45b9-9c79-cf42bf4a0f6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L45-L60 RGB4 RGB3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Gilliom</dc:creator>
  <cp:keywords/>
  <dc:description/>
  <cp:lastModifiedBy>Lorena Garrido</cp:lastModifiedBy>
  <cp:revision/>
  <dcterms:created xsi:type="dcterms:W3CDTF">2021-12-03T20:23:52Z</dcterms:created>
  <dcterms:modified xsi:type="dcterms:W3CDTF">2025-05-09T18:16:57Z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0x0101001500E919B33FD742A57C04995AB7F3AD</vt:lpwstr>
  </property>
  <property fmtid="{D5CDD505-2E9C-101B-9397-08002B2CF9AE}" pid="3" name="MediaServiceImageTags">
    <vt:lpwstr/>
  </property>
</Properties>
</file>